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9395" windowHeight="7755" activeTab="1"/>
  </bookViews>
  <sheets>
    <sheet name="จน.ต้นปาล์มตอนบน " sheetId="1" r:id="rId1"/>
    <sheet name="จน.ต้นปาล์มตอนล่าง" sheetId="4" r:id="rId2"/>
  </sheets>
  <calcPr calcId="145621"/>
</workbook>
</file>

<file path=xl/calcChain.xml><?xml version="1.0" encoding="utf-8"?>
<calcChain xmlns="http://schemas.openxmlformats.org/spreadsheetml/2006/main">
  <c r="M10" i="4" l="1"/>
  <c r="L10" i="4"/>
</calcChain>
</file>

<file path=xl/sharedStrings.xml><?xml version="1.0" encoding="utf-8"?>
<sst xmlns="http://schemas.openxmlformats.org/spreadsheetml/2006/main" count="377" uniqueCount="272">
  <si>
    <t>จำนวนต้นปาล์ม ตอนบน ปี 2569</t>
  </si>
  <si>
    <t>(แก้ไข ครั้งที่ 2 วันที่ 31/01/69)</t>
  </si>
  <si>
    <t>แปลง</t>
  </si>
  <si>
    <t>บล็อก</t>
  </si>
  <si>
    <t>รหัสบล๊อก</t>
  </si>
  <si>
    <t>จน.ไร่</t>
  </si>
  <si>
    <t>จน.ต้น</t>
  </si>
  <si>
    <t>อายุ/ปี</t>
  </si>
  <si>
    <t>จน.ต้น/ไร่</t>
  </si>
  <si>
    <t>สายพันธ์</t>
  </si>
  <si>
    <t>ตะกุก</t>
  </si>
  <si>
    <t>37-T29</t>
  </si>
  <si>
    <t>22,32</t>
  </si>
  <si>
    <t>แอฟโรส</t>
  </si>
  <si>
    <t>ตะกุก 63</t>
  </si>
  <si>
    <t>63-T05-R</t>
  </si>
  <si>
    <t>ซีหราด</t>
  </si>
  <si>
    <t>37-T30</t>
  </si>
  <si>
    <t>23,32</t>
  </si>
  <si>
    <t>63-T22-R</t>
  </si>
  <si>
    <t>รวมตะกุก</t>
  </si>
  <si>
    <t>63-T23-R</t>
  </si>
  <si>
    <t>บางกัน</t>
  </si>
  <si>
    <t>30-B14</t>
  </si>
  <si>
    <t>31,39</t>
  </si>
  <si>
    <t>รวมตะกุก 63</t>
  </si>
  <si>
    <t>รวมบางกัน</t>
  </si>
  <si>
    <t>บางกัน64</t>
  </si>
  <si>
    <t>64-B02</t>
  </si>
  <si>
    <t>ไนจีเรีย,ลาเม่</t>
  </si>
  <si>
    <t>ตะกุก 49</t>
  </si>
  <si>
    <t>49-T16-R</t>
  </si>
  <si>
    <t>64-B05</t>
  </si>
  <si>
    <t>ไนจีเรีย</t>
  </si>
  <si>
    <t>49-T20-R</t>
  </si>
  <si>
    <t>64-B06</t>
  </si>
  <si>
    <t>ลาเม่,สปริงแบล็ค</t>
  </si>
  <si>
    <t>รวมตะกุก 49</t>
  </si>
  <si>
    <t>รวมบางกัน 64</t>
  </si>
  <si>
    <t>บางกัน 49</t>
  </si>
  <si>
    <t>49-B13</t>
  </si>
  <si>
    <t>บางกัน65</t>
  </si>
  <si>
    <t>65-B01</t>
  </si>
  <si>
    <t>สปริงแบล็ค</t>
  </si>
  <si>
    <t>รวมบางกัน 49</t>
  </si>
  <si>
    <t>65-B11</t>
  </si>
  <si>
    <t>ตะกุก 50</t>
  </si>
  <si>
    <t>50-T10-R</t>
  </si>
  <si>
    <t>รวมบางกัน Re65</t>
  </si>
  <si>
    <t>50-T12-R</t>
  </si>
  <si>
    <t>รวมปาล์มที่ให้ผลผลิตแล้ว</t>
  </si>
  <si>
    <t>รวมตะกุก 50</t>
  </si>
  <si>
    <t>ตะกุก 66</t>
  </si>
  <si>
    <t>66-T03</t>
  </si>
  <si>
    <t>บางกัน 50</t>
  </si>
  <si>
    <t>50-B07</t>
  </si>
  <si>
    <t>27,25</t>
  </si>
  <si>
    <t>คอมแพ็ค,ไนจีเรีย</t>
  </si>
  <si>
    <t>66-T04</t>
  </si>
  <si>
    <t>50-B10</t>
  </si>
  <si>
    <t>66-T06</t>
  </si>
  <si>
    <t>รวมบางกัน 50</t>
  </si>
  <si>
    <t>66-T07</t>
  </si>
  <si>
    <t>ตะกุก 52</t>
  </si>
  <si>
    <t>52-T28-R</t>
  </si>
  <si>
    <t>รวมตะกุก Re66</t>
  </si>
  <si>
    <t>รวมตะกุก 52</t>
  </si>
  <si>
    <t>ตะกุก 67</t>
  </si>
  <si>
    <t>67-T10</t>
  </si>
  <si>
    <t>ตะกุก 56</t>
  </si>
  <si>
    <t>56-T08-R</t>
  </si>
  <si>
    <t>67-T18</t>
  </si>
  <si>
    <t>56-T08</t>
  </si>
  <si>
    <t>67-T21</t>
  </si>
  <si>
    <t>56-T19-R</t>
  </si>
  <si>
    <t>67-T29</t>
  </si>
  <si>
    <t>56-T21-R</t>
  </si>
  <si>
    <t>67-T30</t>
  </si>
  <si>
    <t>56-T28-R</t>
  </si>
  <si>
    <t>รวมตะกุก Re67</t>
  </si>
  <si>
    <t>รวม ตะกุก 56</t>
  </si>
  <si>
    <t>ตะกุก 68</t>
  </si>
  <si>
    <t>68-T01</t>
  </si>
  <si>
    <t>บางกัน 57</t>
  </si>
  <si>
    <t>57-B03</t>
  </si>
  <si>
    <t>68-T02</t>
  </si>
  <si>
    <t>57-B12</t>
  </si>
  <si>
    <t>รวมตะกุก Re68</t>
  </si>
  <si>
    <t>57-B14</t>
  </si>
  <si>
    <t>รวมปาล์มที่ไม่ให้ผลผลิต</t>
  </si>
  <si>
    <t>รวมบางกัน 57</t>
  </si>
  <si>
    <t>รวมทั้งหมด</t>
  </si>
  <si>
    <t>ตะกุก 58</t>
  </si>
  <si>
    <t>58-T09-R</t>
  </si>
  <si>
    <t>58-T11-R</t>
  </si>
  <si>
    <t>50-B7</t>
  </si>
  <si>
    <t>คอมแพ็ค</t>
  </si>
  <si>
    <t>27ต้น/ไร่</t>
  </si>
  <si>
    <t>58-T13-R</t>
  </si>
  <si>
    <t xml:space="preserve">ไนจีเรีย </t>
  </si>
  <si>
    <t>25ต้น/ไร่</t>
  </si>
  <si>
    <t>58-T17-R</t>
  </si>
  <si>
    <t>64-B2</t>
  </si>
  <si>
    <t>22ต้น/ไร่</t>
  </si>
  <si>
    <t>58-T18-R</t>
  </si>
  <si>
    <t>ลาเม่</t>
  </si>
  <si>
    <t>รวมตะกุก 58</t>
  </si>
  <si>
    <t>64-B6</t>
  </si>
  <si>
    <t>บางกัน 60</t>
  </si>
  <si>
    <t>60-B04</t>
  </si>
  <si>
    <t>กาน่า</t>
  </si>
  <si>
    <t>60-B08</t>
  </si>
  <si>
    <t>60-B09</t>
  </si>
  <si>
    <t>รวมบางกัน 60</t>
  </si>
  <si>
    <t>จำนวนต้นปาล์ม  ปี 2569  แก้ไข 31/1/2569</t>
  </si>
  <si>
    <t>รหัสบล็อก</t>
  </si>
  <si>
    <t>อายุ
(ปี)</t>
  </si>
  <si>
    <t>ต้น/ไร่</t>
  </si>
  <si>
    <t>พันธุ์</t>
  </si>
  <si>
    <t>ยวนสาว</t>
  </si>
  <si>
    <t>30-PU1</t>
  </si>
  <si>
    <t>เทเนอร่า</t>
  </si>
  <si>
    <t>กะเปาRE60(ปลูก 13/11/60)</t>
  </si>
  <si>
    <t>60-A06</t>
  </si>
  <si>
    <t>25 และ 22</t>
  </si>
  <si>
    <t>กาน่า,ไนจีเรีย</t>
  </si>
  <si>
    <t>กะเปา</t>
  </si>
  <si>
    <t>30-PU3</t>
  </si>
  <si>
    <t>รวมกะเปาRe60</t>
  </si>
  <si>
    <t>ปลายราง</t>
  </si>
  <si>
    <t>30-PU4</t>
  </si>
  <si>
    <t>กะเปา(ปลูกวันที่10/8/63)</t>
  </si>
  <si>
    <t>63-A01-R</t>
  </si>
  <si>
    <t>ไนจีเรีย(ตัดวันที่5/8/66)</t>
  </si>
  <si>
    <t>รวมยวนสาว</t>
  </si>
  <si>
    <t>(ปลูกวันที่14/8/63)</t>
  </si>
  <si>
    <t>63-A03-R</t>
  </si>
  <si>
    <t>ตัดวันที่5/8/66</t>
  </si>
  <si>
    <t>พันไร่</t>
  </si>
  <si>
    <t>22-C05-R</t>
  </si>
  <si>
    <t>(ปลูกวันที่30/7/63)</t>
  </si>
  <si>
    <t>63-A07-R</t>
  </si>
  <si>
    <t>หมอนไม้</t>
  </si>
  <si>
    <t>รวมพันไร่</t>
  </si>
  <si>
    <t>63-A07</t>
  </si>
  <si>
    <t>49-A10-R</t>
  </si>
  <si>
    <t>รวมกะเปาRe63</t>
  </si>
  <si>
    <t>Replant 49</t>
  </si>
  <si>
    <t>49-A11-R</t>
  </si>
  <si>
    <t>หมอนไม้ Re63</t>
  </si>
  <si>
    <t>63-D08-R</t>
  </si>
  <si>
    <t>49-A12-R</t>
  </si>
  <si>
    <t>รวมหมอนไม้Re63(ปลูกวันที่18/9/63)</t>
  </si>
  <si>
    <t>49-A13-R</t>
  </si>
  <si>
    <t>ปลายราง(ปลูกวันที่30/7/64)</t>
  </si>
  <si>
    <t>64-P06-R</t>
  </si>
  <si>
    <t>เดลี่ลาเม</t>
  </si>
  <si>
    <t>รวมกะเปาRe49</t>
  </si>
  <si>
    <t>(ปลูกวันที่13/8/64)</t>
  </si>
  <si>
    <t>64-P07-R</t>
  </si>
  <si>
    <t>เดลี่ลาเม,ซีหราด</t>
  </si>
  <si>
    <t>50-A04</t>
  </si>
  <si>
    <t>แอ็ปโรด</t>
  </si>
  <si>
    <t>(ปลูกวันที่14/9/64)</t>
  </si>
  <si>
    <t>64-P08-R</t>
  </si>
  <si>
    <t>สปริงแบล็ค,เดลี่</t>
  </si>
  <si>
    <t>Replant 50</t>
  </si>
  <si>
    <t>50-A05</t>
  </si>
  <si>
    <t>(ปลูกวันที่26/8/64)</t>
  </si>
  <si>
    <t>64-P09-R</t>
  </si>
  <si>
    <t>สปริงแบล็ค,ซีหราด,ไนจีเรีย</t>
  </si>
  <si>
    <t>รวมกะเปาRe50</t>
  </si>
  <si>
    <t>รวมปลายรางRe64</t>
  </si>
  <si>
    <t>50-C05-R</t>
  </si>
  <si>
    <t>หมอนไม้Re64</t>
  </si>
  <si>
    <t>64-D02-R</t>
  </si>
  <si>
    <t>50-C07-R</t>
  </si>
  <si>
    <t>รวมหมอนไม้Re64(ปลูกวันที่24/6/64)</t>
  </si>
  <si>
    <t>รวมพันไร่Re50</t>
  </si>
  <si>
    <t>หมอนไม้(ปลูกวันที่26/7/65)</t>
  </si>
  <si>
    <t>65-D01-R</t>
  </si>
  <si>
    <t>ปลายรางRE51</t>
  </si>
  <si>
    <t>51-P07-R</t>
  </si>
  <si>
    <t>แอปโรด</t>
  </si>
  <si>
    <t>(ปลูกวันที่14/7/65)</t>
  </si>
  <si>
    <t>65-D03-R</t>
  </si>
  <si>
    <t>51-P07</t>
  </si>
  <si>
    <t>(ปลูกวันที่24/6/65)</t>
  </si>
  <si>
    <t>65-D04-R</t>
  </si>
  <si>
    <t>เดลี่ Cirad สปริงแบล็ค</t>
  </si>
  <si>
    <t xml:space="preserve">               รวมปลายรางRe51</t>
  </si>
  <si>
    <t>(ปลูกวันที่5/7/65)</t>
  </si>
  <si>
    <t>65-D05-R</t>
  </si>
  <si>
    <t>หน้าออฟฟิส</t>
  </si>
  <si>
    <t>55-P07-R</t>
  </si>
  <si>
    <t>รวมหมอนไม้Re65</t>
  </si>
  <si>
    <t>รวมปลายรางRe55</t>
  </si>
  <si>
    <t>รวมปาล์มที่ให้ผลผลิต</t>
  </si>
  <si>
    <t>พันไร่RE 56(15/10/56)</t>
  </si>
  <si>
    <t>56-C10-R</t>
  </si>
  <si>
    <t>ปลายราง(ปลูกวันที่29/7/66)</t>
  </si>
  <si>
    <t>66-P03-R</t>
  </si>
  <si>
    <t>รวมพันไร่Re56</t>
  </si>
  <si>
    <t>ปลูกวันที่17/7/66</t>
  </si>
  <si>
    <t>66-P04-R</t>
  </si>
  <si>
    <t>หมอนไม้RE 56(3/10//56)</t>
  </si>
  <si>
    <t>56-D07-R</t>
  </si>
  <si>
    <t>ปลูกวันที่22/7/66</t>
  </si>
  <si>
    <t>66-P05-R</t>
  </si>
  <si>
    <t>รวมหมอนไม้Re56</t>
  </si>
  <si>
    <t>รวมปลายรางRe66</t>
  </si>
  <si>
    <t>กะเปา RE 56</t>
  </si>
  <si>
    <t>56-A01</t>
  </si>
  <si>
    <t>หมอนไม้(ปลูกวันที่10/7/66)</t>
  </si>
  <si>
    <t>66-D09-R</t>
  </si>
  <si>
    <t>ปลูก A1=11/11/56</t>
  </si>
  <si>
    <t>56-A02</t>
  </si>
  <si>
    <t>รวมหมอนไม้Re66</t>
  </si>
  <si>
    <t>56-A03-R</t>
  </si>
  <si>
    <t>ยวนสาว(ปลูกวันที่3/7/66)</t>
  </si>
  <si>
    <t>66-PU2</t>
  </si>
  <si>
    <t>รวมกะเปาRe56</t>
  </si>
  <si>
    <t>พันไร่ Re 57(27/8/57)</t>
  </si>
  <si>
    <t>57-C06-R</t>
  </si>
  <si>
    <t>ปลายราง(ปลูกวันที่26/8/67)</t>
  </si>
  <si>
    <t>67-P01-R</t>
  </si>
  <si>
    <t>57-C06</t>
  </si>
  <si>
    <t>ปลูกวันที่21/8/67</t>
  </si>
  <si>
    <t>67-P02-R</t>
  </si>
  <si>
    <t>รวมพันไร่Re57 (ตัดวันที่ 26/7/61)</t>
  </si>
  <si>
    <t>รวมปลายรางRe67</t>
  </si>
  <si>
    <t>กะเปา  Re 57</t>
  </si>
  <si>
    <t>57-A08-R</t>
  </si>
  <si>
    <t>หมอนไม้(ปลูกวันที่9/8/67)</t>
  </si>
  <si>
    <t>67-D06-R</t>
  </si>
  <si>
    <t>ปลูก A8=4/8/57</t>
  </si>
  <si>
    <t>57-A09-R</t>
  </si>
  <si>
    <t>รวมหมอนไม้Re67</t>
  </si>
  <si>
    <t>รวมกะเปาRe57</t>
  </si>
  <si>
    <t>ยวนสาว (ปลูกวันที่10/7/68)</t>
  </si>
  <si>
    <t>68-PU1</t>
  </si>
  <si>
    <t>พันไร่ Re 59</t>
  </si>
  <si>
    <t>59-C03-R</t>
  </si>
  <si>
    <t>(ปลูกวันที่27/8/68)</t>
  </si>
  <si>
    <t>68-PU3</t>
  </si>
  <si>
    <t>ปลูก6/9/59</t>
  </si>
  <si>
    <t>59-C04-R</t>
  </si>
  <si>
    <t>(ปลูกวันที่9/7/68)</t>
  </si>
  <si>
    <t>68-PU4</t>
  </si>
  <si>
    <t xml:space="preserve">ให้ผลผลิตวันที่ </t>
  </si>
  <si>
    <t>59-C08-R</t>
  </si>
  <si>
    <t>(ปลูกวันที่13/8/68)</t>
  </si>
  <si>
    <t>68-PU5-R</t>
  </si>
  <si>
    <t>59-C09-R</t>
  </si>
  <si>
    <t>(ปลูกวันที่19/7/68)</t>
  </si>
  <si>
    <t>68-PU5</t>
  </si>
  <si>
    <t>59-C11-R</t>
  </si>
  <si>
    <t>(ปลูกวันที่14/8/68)</t>
  </si>
  <si>
    <t>68-PU6-R</t>
  </si>
  <si>
    <t>รวมพันไร่Re59</t>
  </si>
  <si>
    <t>68-PU6</t>
  </si>
  <si>
    <t>พันไร่ Re 60</t>
  </si>
  <si>
    <t>60-C01-R</t>
  </si>
  <si>
    <t>รวมยวนสาวRe68</t>
  </si>
  <si>
    <t>ปลูก15/7/60</t>
  </si>
  <si>
    <t>60-C02-R</t>
  </si>
  <si>
    <t>ให้ผลผลิต พ.ย 64</t>
  </si>
  <si>
    <t>รวมปาล์มที่ยังไม่ให้ผลผลิต</t>
  </si>
  <si>
    <t>ปลูก 26/8/60</t>
  </si>
  <si>
    <t>60-C05-R</t>
  </si>
  <si>
    <t>รวมปาล์มที่ให้ผลผลิตและไม่ให้ผลผลิต</t>
  </si>
  <si>
    <t>รวมพันไร่Re60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</si>
</sst>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87" formatCode="_-* #,##0.00_-;\-* #,##0.00_-;_-* \-??_-;_-@_-"/>
    <numFmt numFmtId="188" formatCode="_-* #,##0_-;\-* #,##0_-;_-* \-??_-;_-@_-"/>
    <numFmt numFmtId="189" formatCode="0_ ;\-0\ "/>
    <numFmt numFmtId="190" formatCode="#,##0_ ;\-#,##0\ "/>
    <numFmt numFmtId="191" formatCode="[$-1010000]d/m/yy;@"/>
  </numFmts>
  <fonts count="16" x14ac:knownFonts="1">
    <font>
      <sz val="16"/>
      <color theme="1"/>
      <name val="TH Sarabun New"/>
      <family val="2"/>
      <charset val="222"/>
    </font>
    <font>
      <sz val="14"/>
      <name val="Cordia New"/>
      <family val="2"/>
    </font>
    <font>
      <sz val="14"/>
      <name val="Cordia New"/>
      <family val="2"/>
    </font>
    <font>
      <b/>
      <sz val="16"/>
      <name val="TH SarabunPSK"/>
      <family val="2"/>
    </font>
    <font>
      <sz val="16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u/>
      <sz val="14"/>
      <name val="TH SarabunPSK"/>
      <family val="2"/>
    </font>
    <font>
      <sz val="12"/>
      <name val="TH SarabunPSK"/>
      <family val="2"/>
    </font>
    <font>
      <b/>
      <sz val="12"/>
      <name val="TH SarabunPSK"/>
      <family val="2"/>
    </font>
    <font>
      <b/>
      <sz val="24"/>
      <name val="TH SarabunPSK"/>
      <family val="2"/>
    </font>
    <font>
      <b/>
      <sz val="16"/>
      <name val="Cordia New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sz val="16"/>
      <name val="Cordia New"/>
      <family val="2"/>
    </font>
    <font>
      <b/>
      <sz val="16"/>
      <color theme="1"/>
      <name val="TH SarabunPSK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87" fontId="2" fillId="0" borderId="0" applyFill="0" applyBorder="0" applyAlignment="0" applyProtection="0"/>
    <xf numFmtId="0" fontId="2" fillId="0" borderId="0"/>
    <xf numFmtId="187" fontId="1" fillId="0" borderId="0" applyFill="0" applyBorder="0" applyAlignment="0" applyProtection="0"/>
  </cellStyleXfs>
  <cellXfs count="382">
    <xf numFmtId="0" fontId="0" fillId="0" borderId="0" xfId="0"/>
    <xf numFmtId="0" fontId="4" fillId="0" borderId="0" xfId="1" applyFont="1" applyFill="1" applyAlignment="1">
      <alignment horizontal="center" vertical="center"/>
    </xf>
    <xf numFmtId="189" fontId="6" fillId="0" borderId="31" xfId="1" applyNumberFormat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0" fontId="6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188" fontId="6" fillId="0" borderId="8" xfId="1" applyNumberFormat="1" applyFont="1" applyFill="1" applyBorder="1" applyAlignment="1">
      <alignment horizontal="center" vertical="center"/>
    </xf>
    <xf numFmtId="188" fontId="6" fillId="0" borderId="11" xfId="1" applyNumberFormat="1" applyFont="1" applyFill="1" applyBorder="1" applyAlignment="1">
      <alignment horizontal="center" vertical="center"/>
    </xf>
    <xf numFmtId="0" fontId="6" fillId="0" borderId="35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24" xfId="1" applyFont="1" applyFill="1" applyBorder="1" applyAlignment="1">
      <alignment horizontal="center" vertical="center"/>
    </xf>
    <xf numFmtId="189" fontId="6" fillId="0" borderId="0" xfId="2" applyNumberFormat="1" applyFont="1" applyFill="1" applyBorder="1" applyAlignment="1" applyProtection="1">
      <alignment horizontal="center" vertical="center"/>
    </xf>
    <xf numFmtId="189" fontId="6" fillId="0" borderId="22" xfId="1" applyNumberFormat="1" applyFont="1" applyFill="1" applyBorder="1" applyAlignment="1">
      <alignment horizontal="center" vertical="center"/>
    </xf>
    <xf numFmtId="189" fontId="6" fillId="0" borderId="16" xfId="2" applyNumberFormat="1" applyFont="1" applyFill="1" applyBorder="1" applyAlignment="1" applyProtection="1">
      <alignment horizontal="center" vertical="center"/>
    </xf>
    <xf numFmtId="189" fontId="6" fillId="0" borderId="24" xfId="2" applyNumberFormat="1" applyFont="1" applyFill="1" applyBorder="1" applyAlignment="1" applyProtection="1">
      <alignment horizontal="center" vertical="center"/>
    </xf>
    <xf numFmtId="189" fontId="6" fillId="0" borderId="22" xfId="2" applyNumberFormat="1" applyFont="1" applyFill="1" applyBorder="1" applyAlignment="1" applyProtection="1">
      <alignment horizontal="center" vertical="center"/>
    </xf>
    <xf numFmtId="189" fontId="6" fillId="0" borderId="16" xfId="1" applyNumberFormat="1" applyFont="1" applyFill="1" applyBorder="1" applyAlignment="1">
      <alignment horizontal="center" vertical="center"/>
    </xf>
    <xf numFmtId="0" fontId="6" fillId="0" borderId="32" xfId="1" applyFont="1" applyFill="1" applyBorder="1" applyAlignment="1">
      <alignment horizontal="center" vertical="center"/>
    </xf>
    <xf numFmtId="0" fontId="6" fillId="0" borderId="33" xfId="1" applyFont="1" applyFill="1" applyBorder="1" applyAlignment="1">
      <alignment horizontal="center" vertical="center"/>
    </xf>
    <xf numFmtId="0" fontId="6" fillId="0" borderId="34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3" fontId="6" fillId="0" borderId="2" xfId="1" applyNumberFormat="1" applyFont="1" applyFill="1" applyBorder="1" applyAlignment="1">
      <alignment horizontal="center" vertical="center"/>
    </xf>
    <xf numFmtId="188" fontId="6" fillId="0" borderId="2" xfId="2" applyNumberFormat="1" applyFont="1" applyFill="1" applyBorder="1" applyAlignment="1">
      <alignment horizontal="right" vertical="center"/>
    </xf>
    <xf numFmtId="0" fontId="6" fillId="0" borderId="1" xfId="1" applyFont="1" applyFill="1" applyBorder="1" applyAlignment="1">
      <alignment horizontal="center" vertical="center"/>
    </xf>
    <xf numFmtId="3" fontId="6" fillId="0" borderId="1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5" fillId="0" borderId="5" xfId="1" applyNumberFormat="1" applyFont="1" applyFill="1" applyBorder="1" applyAlignment="1">
      <alignment horizontal="center" vertical="center"/>
    </xf>
    <xf numFmtId="3" fontId="5" fillId="0" borderId="4" xfId="1" applyNumberFormat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center" vertical="center"/>
    </xf>
    <xf numFmtId="3" fontId="6" fillId="0" borderId="18" xfId="1" applyNumberFormat="1" applyFont="1" applyFill="1" applyBorder="1" applyAlignment="1">
      <alignment horizontal="center" vertical="center"/>
    </xf>
    <xf numFmtId="188" fontId="6" fillId="0" borderId="18" xfId="2" applyNumberFormat="1" applyFont="1" applyFill="1" applyBorder="1" applyAlignment="1" applyProtection="1">
      <alignment horizontal="right" vertical="center"/>
    </xf>
    <xf numFmtId="0" fontId="6" fillId="0" borderId="5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3" fontId="6" fillId="0" borderId="4" xfId="1" applyNumberFormat="1" applyFont="1" applyFill="1" applyBorder="1" applyAlignment="1">
      <alignment horizontal="center" vertical="center"/>
    </xf>
    <xf numFmtId="188" fontId="6" fillId="0" borderId="4" xfId="2" applyNumberFormat="1" applyFont="1" applyFill="1" applyBorder="1" applyAlignment="1">
      <alignment horizontal="right" vertical="center"/>
    </xf>
    <xf numFmtId="188" fontId="6" fillId="0" borderId="3" xfId="2" applyNumberFormat="1" applyFont="1" applyFill="1" applyBorder="1" applyAlignment="1">
      <alignment horizontal="right" vertical="center"/>
    </xf>
    <xf numFmtId="188" fontId="6" fillId="0" borderId="1" xfId="2" applyNumberFormat="1" applyFont="1" applyFill="1" applyBorder="1" applyAlignment="1">
      <alignment horizontal="right" vertical="center"/>
    </xf>
    <xf numFmtId="0" fontId="5" fillId="0" borderId="4" xfId="1" applyFont="1" applyFill="1" applyBorder="1" applyAlignment="1">
      <alignment horizontal="center" vertical="center"/>
    </xf>
    <xf numFmtId="0" fontId="6" fillId="0" borderId="38" xfId="1" applyFont="1" applyFill="1" applyBorder="1" applyAlignment="1">
      <alignment horizontal="center" vertical="center"/>
    </xf>
    <xf numFmtId="3" fontId="6" fillId="0" borderId="14" xfId="1" applyNumberFormat="1" applyFont="1" applyFill="1" applyBorder="1" applyAlignment="1">
      <alignment horizontal="center" vertical="center"/>
    </xf>
    <xf numFmtId="0" fontId="6" fillId="0" borderId="31" xfId="1" applyFont="1" applyFill="1" applyBorder="1" applyAlignment="1">
      <alignment horizontal="right" vertical="center"/>
    </xf>
    <xf numFmtId="0" fontId="6" fillId="0" borderId="0" xfId="1" applyFont="1" applyFill="1" applyBorder="1" applyAlignment="1">
      <alignment vertical="center"/>
    </xf>
    <xf numFmtId="3" fontId="6" fillId="0" borderId="9" xfId="1" applyNumberFormat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35" xfId="1" applyNumberFormat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 wrapText="1"/>
    </xf>
    <xf numFmtId="0" fontId="6" fillId="0" borderId="0" xfId="1" applyFont="1" applyFill="1" applyBorder="1" applyAlignment="1">
      <alignment vertical="center" wrapText="1"/>
    </xf>
    <xf numFmtId="0" fontId="6" fillId="0" borderId="0" xfId="1" applyFont="1" applyFill="1" applyAlignment="1">
      <alignment horizontal="center" vertical="center"/>
    </xf>
    <xf numFmtId="188" fontId="6" fillId="0" borderId="0" xfId="2" applyNumberFormat="1" applyFont="1" applyFill="1" applyBorder="1" applyAlignment="1">
      <alignment vertical="center" wrapText="1"/>
    </xf>
    <xf numFmtId="188" fontId="6" fillId="0" borderId="0" xfId="2" applyNumberFormat="1" applyFont="1" applyFill="1" applyAlignment="1">
      <alignment vertical="center"/>
    </xf>
    <xf numFmtId="0" fontId="6" fillId="0" borderId="0" xfId="1" applyFont="1" applyFill="1" applyBorder="1" applyAlignment="1">
      <alignment horizontal="left" vertical="center" wrapText="1"/>
    </xf>
    <xf numFmtId="0" fontId="6" fillId="0" borderId="0" xfId="1" applyFont="1" applyFill="1" applyAlignment="1">
      <alignment horizontal="left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189" fontId="8" fillId="0" borderId="18" xfId="2" applyNumberFormat="1" applyFont="1" applyFill="1" applyBorder="1" applyAlignment="1" applyProtection="1">
      <alignment horizontal="center" vertical="center"/>
    </xf>
    <xf numFmtId="190" fontId="8" fillId="0" borderId="4" xfId="1" applyNumberFormat="1" applyFont="1" applyFill="1" applyBorder="1" applyAlignment="1">
      <alignment horizontal="center" vertical="center"/>
    </xf>
    <xf numFmtId="3" fontId="8" fillId="0" borderId="2" xfId="1" applyNumberFormat="1" applyFont="1" applyFill="1" applyBorder="1" applyAlignment="1">
      <alignment horizontal="center" vertical="center"/>
    </xf>
    <xf numFmtId="3" fontId="8" fillId="0" borderId="3" xfId="1" applyNumberFormat="1" applyFont="1" applyFill="1" applyBorder="1" applyAlignment="1">
      <alignment horizontal="center" vertical="center"/>
    </xf>
    <xf numFmtId="190" fontId="8" fillId="0" borderId="2" xfId="1" applyNumberFormat="1" applyFont="1" applyFill="1" applyBorder="1" applyAlignment="1">
      <alignment horizontal="center" vertical="center"/>
    </xf>
    <xf numFmtId="190" fontId="8" fillId="0" borderId="3" xfId="1" applyNumberFormat="1" applyFont="1" applyFill="1" applyBorder="1" applyAlignment="1">
      <alignment horizontal="center" vertical="center"/>
    </xf>
    <xf numFmtId="3" fontId="8" fillId="0" borderId="4" xfId="1" applyNumberFormat="1" applyFont="1" applyFill="1" applyBorder="1" applyAlignment="1">
      <alignment horizontal="center" vertical="center"/>
    </xf>
    <xf numFmtId="3" fontId="8" fillId="0" borderId="18" xfId="1" applyNumberFormat="1" applyFont="1" applyFill="1" applyBorder="1" applyAlignment="1">
      <alignment horizontal="center" vertical="center"/>
    </xf>
    <xf numFmtId="3" fontId="8" fillId="0" borderId="1" xfId="1" applyNumberFormat="1" applyFont="1" applyFill="1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188" fontId="6" fillId="0" borderId="0" xfId="2" applyNumberFormat="1" applyFont="1" applyFill="1" applyAlignment="1">
      <alignment horizontal="center" vertical="center"/>
    </xf>
    <xf numFmtId="188" fontId="6" fillId="0" borderId="7" xfId="2" applyNumberFormat="1" applyFont="1" applyFill="1" applyBorder="1" applyAlignment="1">
      <alignment horizontal="center" vertical="center"/>
    </xf>
    <xf numFmtId="188" fontId="6" fillId="0" borderId="2" xfId="2" applyNumberFormat="1" applyFont="1" applyFill="1" applyBorder="1" applyAlignment="1">
      <alignment horizontal="center" vertical="center"/>
    </xf>
    <xf numFmtId="188" fontId="5" fillId="2" borderId="5" xfId="2" applyNumberFormat="1" applyFont="1" applyFill="1" applyBorder="1" applyAlignment="1">
      <alignment horizontal="center" vertical="center"/>
    </xf>
    <xf numFmtId="190" fontId="5" fillId="2" borderId="4" xfId="1" applyNumberFormat="1" applyFont="1" applyFill="1" applyBorder="1" applyAlignment="1">
      <alignment horizontal="right" vertical="center"/>
    </xf>
    <xf numFmtId="188" fontId="5" fillId="3" borderId="17" xfId="2" applyNumberFormat="1" applyFont="1" applyFill="1" applyBorder="1" applyAlignment="1">
      <alignment horizontal="center" vertical="center"/>
    </xf>
    <xf numFmtId="188" fontId="5" fillId="3" borderId="12" xfId="2" applyNumberFormat="1" applyFont="1" applyFill="1" applyBorder="1" applyAlignment="1">
      <alignment horizontal="right" vertical="center"/>
    </xf>
    <xf numFmtId="188" fontId="5" fillId="4" borderId="5" xfId="2" applyNumberFormat="1" applyFont="1" applyFill="1" applyBorder="1" applyAlignment="1">
      <alignment horizontal="center" vertical="center"/>
    </xf>
    <xf numFmtId="188" fontId="5" fillId="4" borderId="4" xfId="2" applyNumberFormat="1" applyFont="1" applyFill="1" applyBorder="1" applyAlignment="1">
      <alignment horizontal="right" vertical="center"/>
    </xf>
    <xf numFmtId="188" fontId="5" fillId="5" borderId="5" xfId="2" applyNumberFormat="1" applyFont="1" applyFill="1" applyBorder="1" applyAlignment="1">
      <alignment horizontal="center" vertical="center"/>
    </xf>
    <xf numFmtId="188" fontId="5" fillId="5" borderId="4" xfId="2" applyNumberFormat="1" applyFont="1" applyFill="1" applyBorder="1" applyAlignment="1">
      <alignment horizontal="right" vertical="center"/>
    </xf>
    <xf numFmtId="188" fontId="5" fillId="4" borderId="5" xfId="2" applyNumberFormat="1" applyFont="1" applyFill="1" applyBorder="1" applyAlignment="1" applyProtection="1">
      <alignment horizontal="center" vertical="center"/>
    </xf>
    <xf numFmtId="3" fontId="5" fillId="4" borderId="4" xfId="1" applyNumberFormat="1" applyFont="1" applyFill="1" applyBorder="1" applyAlignment="1">
      <alignment horizontal="right" vertical="center"/>
    </xf>
    <xf numFmtId="0" fontId="8" fillId="0" borderId="26" xfId="1" applyFont="1" applyFill="1" applyBorder="1" applyAlignment="1">
      <alignment horizontal="center" vertical="center" wrapText="1"/>
    </xf>
    <xf numFmtId="0" fontId="7" fillId="0" borderId="17" xfId="1" applyFont="1" applyFill="1" applyBorder="1" applyAlignment="1">
      <alignment vertical="top"/>
    </xf>
    <xf numFmtId="0" fontId="6" fillId="0" borderId="31" xfId="1" applyFont="1" applyFill="1" applyBorder="1" applyAlignment="1">
      <alignment horizontal="center" vertical="center"/>
    </xf>
    <xf numFmtId="0" fontId="6" fillId="0" borderId="25" xfId="1" applyFont="1" applyFill="1" applyBorder="1" applyAlignment="1">
      <alignment horizontal="center" vertical="center"/>
    </xf>
    <xf numFmtId="0" fontId="6" fillId="0" borderId="39" xfId="1" applyFont="1" applyFill="1" applyBorder="1" applyAlignment="1">
      <alignment horizontal="center" vertical="center"/>
    </xf>
    <xf numFmtId="188" fontId="6" fillId="0" borderId="36" xfId="2" applyNumberFormat="1" applyFont="1" applyFill="1" applyBorder="1" applyAlignment="1">
      <alignment horizontal="center" vertical="center"/>
    </xf>
    <xf numFmtId="0" fontId="6" fillId="0" borderId="37" xfId="1" applyFont="1" applyFill="1" applyBorder="1" applyAlignment="1">
      <alignment horizontal="center" vertical="center"/>
    </xf>
    <xf numFmtId="188" fontId="6" fillId="0" borderId="13" xfId="2" applyNumberFormat="1" applyFont="1" applyFill="1" applyBorder="1" applyAlignment="1">
      <alignment horizontal="right" vertical="center"/>
    </xf>
    <xf numFmtId="188" fontId="6" fillId="0" borderId="12" xfId="2" applyNumberFormat="1" applyFont="1" applyFill="1" applyBorder="1" applyAlignment="1">
      <alignment horizontal="right" vertical="center"/>
    </xf>
    <xf numFmtId="0" fontId="6" fillId="0" borderId="13" xfId="1" applyFont="1" applyFill="1" applyBorder="1" applyAlignment="1">
      <alignment horizontal="center" vertical="center"/>
    </xf>
    <xf numFmtId="0" fontId="6" fillId="0" borderId="12" xfId="1" applyFont="1" applyFill="1" applyBorder="1" applyAlignment="1">
      <alignment horizontal="center" vertical="center"/>
    </xf>
    <xf numFmtId="0" fontId="6" fillId="0" borderId="29" xfId="1" applyFont="1" applyFill="1" applyBorder="1" applyAlignment="1">
      <alignment horizontal="center" vertical="top"/>
    </xf>
    <xf numFmtId="188" fontId="5" fillId="4" borderId="4" xfId="2" applyNumberFormat="1" applyFont="1" applyFill="1" applyBorder="1" applyAlignment="1" applyProtection="1">
      <alignment horizontal="right" vertical="center"/>
    </xf>
    <xf numFmtId="0" fontId="8" fillId="0" borderId="13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center" vertical="center"/>
    </xf>
    <xf numFmtId="188" fontId="5" fillId="3" borderId="5" xfId="2" applyNumberFormat="1" applyFont="1" applyFill="1" applyBorder="1" applyAlignment="1">
      <alignment horizontal="center" vertical="center"/>
    </xf>
    <xf numFmtId="188" fontId="5" fillId="3" borderId="4" xfId="2" applyNumberFormat="1" applyFont="1" applyFill="1" applyBorder="1" applyAlignment="1">
      <alignment horizontal="right" vertical="center"/>
    </xf>
    <xf numFmtId="188" fontId="5" fillId="6" borderId="17" xfId="2" applyNumberFormat="1" applyFont="1" applyFill="1" applyBorder="1" applyAlignment="1">
      <alignment horizontal="center" vertical="center"/>
    </xf>
    <xf numFmtId="188" fontId="5" fillId="6" borderId="12" xfId="2" applyNumberFormat="1" applyFont="1" applyFill="1" applyBorder="1" applyAlignment="1">
      <alignment horizontal="right" vertical="center"/>
    </xf>
    <xf numFmtId="190" fontId="5" fillId="5" borderId="4" xfId="1" applyNumberFormat="1" applyFont="1" applyFill="1" applyBorder="1" applyAlignment="1">
      <alignment horizontal="right" vertical="center"/>
    </xf>
    <xf numFmtId="3" fontId="5" fillId="5" borderId="4" xfId="1" applyNumberFormat="1" applyFont="1" applyFill="1" applyBorder="1" applyAlignment="1">
      <alignment horizontal="right" vertical="center"/>
    </xf>
    <xf numFmtId="188" fontId="5" fillId="7" borderId="5" xfId="2" applyNumberFormat="1" applyFont="1" applyFill="1" applyBorder="1" applyAlignment="1">
      <alignment horizontal="center" vertical="center"/>
    </xf>
    <xf numFmtId="188" fontId="5" fillId="7" borderId="4" xfId="2" applyNumberFormat="1" applyFont="1" applyFill="1" applyBorder="1" applyAlignment="1">
      <alignment horizontal="right" vertical="center"/>
    </xf>
    <xf numFmtId="0" fontId="9" fillId="3" borderId="15" xfId="1" applyFont="1" applyFill="1" applyBorder="1" applyAlignment="1">
      <alignment horizontal="center" vertical="center"/>
    </xf>
    <xf numFmtId="0" fontId="9" fillId="3" borderId="22" xfId="1" applyFont="1" applyFill="1" applyBorder="1" applyAlignment="1">
      <alignment horizontal="center" vertical="center"/>
    </xf>
    <xf numFmtId="0" fontId="9" fillId="3" borderId="21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0" fontId="5" fillId="4" borderId="22" xfId="1" applyFont="1" applyFill="1" applyBorder="1" applyAlignment="1">
      <alignment horizontal="center" vertical="center"/>
    </xf>
    <xf numFmtId="0" fontId="5" fillId="4" borderId="28" xfId="1" applyFont="1" applyFill="1" applyBorder="1" applyAlignment="1">
      <alignment horizontal="center" vertical="center"/>
    </xf>
    <xf numFmtId="3" fontId="9" fillId="4" borderId="15" xfId="1" applyNumberFormat="1" applyFont="1" applyFill="1" applyBorder="1" applyAlignment="1">
      <alignment horizontal="center" vertical="center"/>
    </xf>
    <xf numFmtId="3" fontId="9" fillId="4" borderId="22" xfId="1" applyNumberFormat="1" applyFont="1" applyFill="1" applyBorder="1" applyAlignment="1">
      <alignment horizontal="center" vertical="center"/>
    </xf>
    <xf numFmtId="3" fontId="9" fillId="4" borderId="21" xfId="1" applyNumberFormat="1" applyFont="1" applyFill="1" applyBorder="1" applyAlignment="1">
      <alignment horizontal="center" vertical="center"/>
    </xf>
    <xf numFmtId="0" fontId="5" fillId="7" borderId="19" xfId="1" applyFont="1" applyFill="1" applyBorder="1" applyAlignment="1">
      <alignment horizontal="center" vertical="center"/>
    </xf>
    <xf numFmtId="0" fontId="5" fillId="7" borderId="22" xfId="1" applyFont="1" applyFill="1" applyBorder="1" applyAlignment="1">
      <alignment horizontal="center" vertical="center"/>
    </xf>
    <xf numFmtId="0" fontId="5" fillId="7" borderId="28" xfId="1" applyFont="1" applyFill="1" applyBorder="1" applyAlignment="1">
      <alignment horizontal="center" vertical="center"/>
    </xf>
    <xf numFmtId="188" fontId="9" fillId="7" borderId="15" xfId="1" applyNumberFormat="1" applyFont="1" applyFill="1" applyBorder="1" applyAlignment="1">
      <alignment horizontal="center" vertical="center"/>
    </xf>
    <xf numFmtId="188" fontId="9" fillId="7" borderId="22" xfId="1" applyNumberFormat="1" applyFont="1" applyFill="1" applyBorder="1" applyAlignment="1">
      <alignment horizontal="center" vertical="center"/>
    </xf>
    <xf numFmtId="188" fontId="9" fillId="7" borderId="21" xfId="1" applyNumberFormat="1" applyFont="1" applyFill="1" applyBorder="1" applyAlignment="1">
      <alignment horizontal="center" vertical="center"/>
    </xf>
    <xf numFmtId="0" fontId="6" fillId="0" borderId="29" xfId="1" applyFont="1" applyFill="1" applyBorder="1" applyAlignment="1">
      <alignment horizontal="center" vertical="top"/>
    </xf>
    <xf numFmtId="0" fontId="6" fillId="0" borderId="30" xfId="1" applyFont="1" applyFill="1" applyBorder="1" applyAlignment="1">
      <alignment horizontal="center" vertical="top"/>
    </xf>
    <xf numFmtId="0" fontId="6" fillId="0" borderId="17" xfId="1" applyFont="1" applyFill="1" applyBorder="1" applyAlignment="1">
      <alignment horizontal="center" vertical="top"/>
    </xf>
    <xf numFmtId="0" fontId="6" fillId="0" borderId="0" xfId="1" applyFont="1" applyFill="1" applyBorder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188" fontId="9" fillId="2" borderId="15" xfId="1" applyNumberFormat="1" applyFont="1" applyFill="1" applyBorder="1" applyAlignment="1">
      <alignment horizontal="center" vertical="center"/>
    </xf>
    <xf numFmtId="188" fontId="9" fillId="2" borderId="22" xfId="1" applyNumberFormat="1" applyFont="1" applyFill="1" applyBorder="1" applyAlignment="1">
      <alignment horizontal="center" vertical="center"/>
    </xf>
    <xf numFmtId="188" fontId="9" fillId="2" borderId="21" xfId="1" applyNumberFormat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/>
    </xf>
    <xf numFmtId="0" fontId="5" fillId="3" borderId="21" xfId="1" applyFont="1" applyFill="1" applyBorder="1" applyAlignment="1">
      <alignment horizontal="center" vertical="center"/>
    </xf>
    <xf numFmtId="0" fontId="5" fillId="6" borderId="40" xfId="1" applyFont="1" applyFill="1" applyBorder="1" applyAlignment="1">
      <alignment horizontal="center" vertical="center"/>
    </xf>
    <xf numFmtId="0" fontId="5" fillId="6" borderId="25" xfId="1" applyFont="1" applyFill="1" applyBorder="1" applyAlignment="1">
      <alignment horizontal="center" vertical="center"/>
    </xf>
    <xf numFmtId="0" fontId="5" fillId="6" borderId="39" xfId="1" applyFont="1" applyFill="1" applyBorder="1" applyAlignment="1">
      <alignment horizontal="center" vertical="center"/>
    </xf>
    <xf numFmtId="3" fontId="9" fillId="6" borderId="15" xfId="1" applyNumberFormat="1" applyFont="1" applyFill="1" applyBorder="1" applyAlignment="1">
      <alignment horizontal="center" vertical="center"/>
    </xf>
    <xf numFmtId="3" fontId="9" fillId="6" borderId="22" xfId="1" applyNumberFormat="1" applyFont="1" applyFill="1" applyBorder="1" applyAlignment="1">
      <alignment horizontal="center" vertical="center"/>
    </xf>
    <xf numFmtId="3" fontId="9" fillId="6" borderId="21" xfId="1" applyNumberFormat="1" applyFont="1" applyFill="1" applyBorder="1" applyAlignment="1">
      <alignment horizontal="center" vertical="center"/>
    </xf>
    <xf numFmtId="0" fontId="5" fillId="3" borderId="28" xfId="1" applyFont="1" applyFill="1" applyBorder="1" applyAlignment="1">
      <alignment horizontal="center" vertical="center"/>
    </xf>
    <xf numFmtId="0" fontId="5" fillId="5" borderId="19" xfId="1" applyFont="1" applyFill="1" applyBorder="1" applyAlignment="1">
      <alignment horizontal="center" vertical="center"/>
    </xf>
    <xf numFmtId="0" fontId="5" fillId="5" borderId="22" xfId="1" applyFont="1" applyFill="1" applyBorder="1" applyAlignment="1">
      <alignment horizontal="center" vertical="center"/>
    </xf>
    <xf numFmtId="0" fontId="5" fillId="5" borderId="28" xfId="1" applyFont="1" applyFill="1" applyBorder="1" applyAlignment="1">
      <alignment horizontal="center" vertical="center"/>
    </xf>
    <xf numFmtId="3" fontId="9" fillId="5" borderId="15" xfId="1" applyNumberFormat="1" applyFont="1" applyFill="1" applyBorder="1" applyAlignment="1">
      <alignment horizontal="center" vertical="center"/>
    </xf>
    <xf numFmtId="3" fontId="9" fillId="5" borderId="22" xfId="1" applyNumberFormat="1" applyFont="1" applyFill="1" applyBorder="1" applyAlignment="1">
      <alignment horizontal="center" vertical="center"/>
    </xf>
    <xf numFmtId="3" fontId="9" fillId="5" borderId="21" xfId="1" applyNumberFormat="1" applyFont="1" applyFill="1" applyBorder="1" applyAlignment="1">
      <alignment horizontal="center" vertical="center"/>
    </xf>
    <xf numFmtId="0" fontId="9" fillId="4" borderId="15" xfId="1" applyFont="1" applyFill="1" applyBorder="1" applyAlignment="1">
      <alignment horizontal="center" vertical="center"/>
    </xf>
    <xf numFmtId="0" fontId="9" fillId="4" borderId="22" xfId="1" applyFont="1" applyFill="1" applyBorder="1" applyAlignment="1">
      <alignment horizontal="center" vertical="center"/>
    </xf>
    <xf numFmtId="0" fontId="9" fillId="4" borderId="21" xfId="1" applyFont="1" applyFill="1" applyBorder="1" applyAlignment="1">
      <alignment horizontal="center" vertical="center"/>
    </xf>
    <xf numFmtId="188" fontId="9" fillId="4" borderId="15" xfId="1" applyNumberFormat="1" applyFont="1" applyFill="1" applyBorder="1" applyAlignment="1">
      <alignment horizontal="center" vertical="center"/>
    </xf>
    <xf numFmtId="188" fontId="9" fillId="4" borderId="22" xfId="1" applyNumberFormat="1" applyFont="1" applyFill="1" applyBorder="1" applyAlignment="1">
      <alignment horizontal="center" vertical="center"/>
    </xf>
    <xf numFmtId="188" fontId="9" fillId="4" borderId="21" xfId="1" applyNumberFormat="1" applyFont="1" applyFill="1" applyBorder="1" applyAlignment="1">
      <alignment horizontal="center" vertical="center"/>
    </xf>
    <xf numFmtId="190" fontId="9" fillId="5" borderId="15" xfId="1" applyNumberFormat="1" applyFont="1" applyFill="1" applyBorder="1" applyAlignment="1">
      <alignment horizontal="center" vertical="center"/>
    </xf>
    <xf numFmtId="190" fontId="9" fillId="5" borderId="22" xfId="1" applyNumberFormat="1" applyFont="1" applyFill="1" applyBorder="1" applyAlignment="1">
      <alignment horizontal="center" vertical="center"/>
    </xf>
    <xf numFmtId="190" fontId="9" fillId="5" borderId="21" xfId="1" applyNumberFormat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2" borderId="28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 wrapText="1"/>
    </xf>
    <xf numFmtId="0" fontId="3" fillId="0" borderId="25" xfId="1" applyFont="1" applyFill="1" applyBorder="1" applyAlignment="1">
      <alignment horizontal="center" vertical="center" wrapText="1"/>
    </xf>
    <xf numFmtId="189" fontId="9" fillId="4" borderId="15" xfId="2" applyNumberFormat="1" applyFont="1" applyFill="1" applyBorder="1" applyAlignment="1" applyProtection="1">
      <alignment horizontal="center" vertical="center"/>
    </xf>
    <xf numFmtId="189" fontId="9" fillId="4" borderId="22" xfId="2" applyNumberFormat="1" applyFont="1" applyFill="1" applyBorder="1" applyAlignment="1" applyProtection="1">
      <alignment horizontal="center" vertical="center"/>
    </xf>
    <xf numFmtId="189" fontId="9" fillId="4" borderId="21" xfId="2" applyNumberFormat="1" applyFont="1" applyFill="1" applyBorder="1" applyAlignment="1" applyProtection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3" fillId="8" borderId="29" xfId="1" applyFont="1" applyFill="1" applyBorder="1" applyAlignment="1">
      <alignment horizontal="center" vertical="center"/>
    </xf>
    <xf numFmtId="0" fontId="3" fillId="8" borderId="41" xfId="1" applyFont="1" applyFill="1" applyBorder="1" applyAlignment="1">
      <alignment horizontal="center" vertical="center"/>
    </xf>
    <xf numFmtId="0" fontId="3" fillId="8" borderId="41" xfId="1" applyFont="1" applyFill="1" applyBorder="1" applyAlignment="1">
      <alignment horizontal="center" vertical="center" wrapText="1"/>
    </xf>
    <xf numFmtId="0" fontId="3" fillId="8" borderId="42" xfId="1" applyFont="1" applyFill="1" applyBorder="1" applyAlignment="1">
      <alignment horizontal="center" vertical="center"/>
    </xf>
    <xf numFmtId="0" fontId="3" fillId="3" borderId="43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44" xfId="1" applyFont="1" applyFill="1" applyBorder="1" applyAlignment="1">
      <alignment horizontal="center" vertical="center"/>
    </xf>
    <xf numFmtId="0" fontId="3" fillId="3" borderId="41" xfId="1" applyFont="1" applyFill="1" applyBorder="1" applyAlignment="1">
      <alignment horizontal="center" vertical="center"/>
    </xf>
    <xf numFmtId="0" fontId="3" fillId="3" borderId="41" xfId="1" applyFont="1" applyFill="1" applyBorder="1" applyAlignment="1">
      <alignment horizontal="center" vertical="center" wrapText="1"/>
    </xf>
    <xf numFmtId="0" fontId="3" fillId="3" borderId="42" xfId="1" applyFont="1" applyFill="1" applyBorder="1" applyAlignment="1">
      <alignment horizontal="center" vertical="center"/>
    </xf>
    <xf numFmtId="0" fontId="3" fillId="8" borderId="17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horizontal="center" vertical="center"/>
    </xf>
    <xf numFmtId="0" fontId="3" fillId="8" borderId="45" xfId="1" applyFont="1" applyFill="1" applyBorder="1" applyAlignment="1">
      <alignment horizontal="center" vertical="center"/>
    </xf>
    <xf numFmtId="0" fontId="3" fillId="3" borderId="36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0" fontId="3" fillId="3" borderId="46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45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3" fontId="12" fillId="0" borderId="2" xfId="4" applyNumberFormat="1" applyFont="1" applyFill="1" applyBorder="1" applyAlignment="1" applyProtection="1">
      <alignment horizontal="center" vertical="center"/>
    </xf>
    <xf numFmtId="3" fontId="12" fillId="0" borderId="2" xfId="1" applyNumberFormat="1" applyFont="1" applyBorder="1" applyAlignment="1">
      <alignment horizontal="center" vertical="center"/>
    </xf>
    <xf numFmtId="3" fontId="4" fillId="0" borderId="2" xfId="4" applyNumberFormat="1" applyFont="1" applyFill="1" applyBorder="1" applyAlignment="1" applyProtection="1">
      <alignment horizontal="center" vertical="center"/>
    </xf>
    <xf numFmtId="3" fontId="4" fillId="0" borderId="8" xfId="4" applyNumberFormat="1" applyFont="1" applyFill="1" applyBorder="1" applyAlignment="1" applyProtection="1">
      <alignment horizontal="center" vertical="center"/>
    </xf>
    <xf numFmtId="0" fontId="4" fillId="0" borderId="30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3" fontId="4" fillId="0" borderId="18" xfId="4" applyNumberFormat="1" applyFont="1" applyFill="1" applyBorder="1" applyAlignment="1" applyProtection="1">
      <alignment horizontal="center" vertical="center"/>
    </xf>
    <xf numFmtId="3" fontId="13" fillId="0" borderId="18" xfId="4" applyNumberFormat="1" applyFont="1" applyFill="1" applyBorder="1" applyAlignment="1" applyProtection="1">
      <alignment horizontal="center" vertical="center"/>
    </xf>
    <xf numFmtId="3" fontId="4" fillId="0" borderId="47" xfId="4" applyNumberFormat="1" applyFont="1" applyFill="1" applyBorder="1" applyAlignment="1" applyProtection="1">
      <alignment horizontal="center" vertical="center"/>
    </xf>
    <xf numFmtId="188" fontId="4" fillId="9" borderId="20" xfId="4" applyNumberFormat="1" applyFont="1" applyFill="1" applyBorder="1" applyAlignment="1" applyProtection="1">
      <alignment horizontal="center" vertical="center"/>
    </xf>
    <xf numFmtId="0" fontId="14" fillId="0" borderId="0" xfId="1" applyFont="1" applyAlignment="1">
      <alignment vertical="center"/>
    </xf>
    <xf numFmtId="3" fontId="14" fillId="0" borderId="0" xfId="1" applyNumberFormat="1" applyFont="1" applyAlignment="1">
      <alignment vertical="center"/>
    </xf>
    <xf numFmtId="0" fontId="4" fillId="0" borderId="48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3" fontId="12" fillId="0" borderId="1" xfId="1" applyNumberFormat="1" applyFont="1" applyBorder="1" applyAlignment="1">
      <alignment horizontal="center" vertical="center"/>
    </xf>
    <xf numFmtId="3" fontId="12" fillId="0" borderId="1" xfId="4" applyNumberFormat="1" applyFont="1" applyFill="1" applyBorder="1" applyAlignment="1" applyProtection="1">
      <alignment horizontal="center" vertical="center"/>
    </xf>
    <xf numFmtId="3" fontId="4" fillId="0" borderId="1" xfId="4" applyNumberFormat="1" applyFont="1" applyFill="1" applyBorder="1" applyAlignment="1" applyProtection="1">
      <alignment horizontal="center" vertical="center"/>
    </xf>
    <xf numFmtId="3" fontId="4" fillId="0" borderId="9" xfId="4" applyNumberFormat="1" applyFont="1" applyFill="1" applyBorder="1" applyAlignment="1" applyProtection="1">
      <alignment horizontal="center" vertical="center"/>
    </xf>
    <xf numFmtId="0" fontId="3" fillId="10" borderId="19" xfId="1" applyFont="1" applyFill="1" applyBorder="1" applyAlignment="1">
      <alignment horizontal="center" vertical="center"/>
    </xf>
    <xf numFmtId="0" fontId="3" fillId="10" borderId="22" xfId="1" applyFont="1" applyFill="1" applyBorder="1" applyAlignment="1">
      <alignment horizontal="center" vertical="center"/>
    </xf>
    <xf numFmtId="0" fontId="3" fillId="10" borderId="28" xfId="1" applyFont="1" applyFill="1" applyBorder="1" applyAlignment="1">
      <alignment horizontal="center" vertical="center"/>
    </xf>
    <xf numFmtId="3" fontId="3" fillId="10" borderId="4" xfId="4" applyNumberFormat="1" applyFont="1" applyFill="1" applyBorder="1" applyAlignment="1" applyProtection="1">
      <alignment horizontal="center" vertical="center"/>
    </xf>
    <xf numFmtId="3" fontId="3" fillId="10" borderId="15" xfId="4" applyNumberFormat="1" applyFont="1" applyFill="1" applyBorder="1" applyAlignment="1" applyProtection="1">
      <alignment horizontal="center" vertical="center"/>
    </xf>
    <xf numFmtId="3" fontId="3" fillId="10" borderId="22" xfId="4" applyNumberFormat="1" applyFont="1" applyFill="1" applyBorder="1" applyAlignment="1" applyProtection="1">
      <alignment horizontal="center" vertical="center"/>
    </xf>
    <xf numFmtId="3" fontId="3" fillId="10" borderId="21" xfId="4" applyNumberFormat="1" applyFont="1" applyFill="1" applyBorder="1" applyAlignment="1" applyProtection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3" fontId="12" fillId="0" borderId="3" xfId="1" applyNumberFormat="1" applyFont="1" applyBorder="1" applyAlignment="1">
      <alignment horizontal="center" vertical="center"/>
    </xf>
    <xf numFmtId="3" fontId="12" fillId="0" borderId="3" xfId="4" applyNumberFormat="1" applyFont="1" applyFill="1" applyBorder="1" applyAlignment="1" applyProtection="1">
      <alignment horizontal="center" vertical="center"/>
    </xf>
    <xf numFmtId="3" fontId="4" fillId="0" borderId="3" xfId="4" applyNumberFormat="1" applyFont="1" applyFill="1" applyBorder="1" applyAlignment="1" applyProtection="1">
      <alignment horizontal="center" vertical="center"/>
    </xf>
    <xf numFmtId="3" fontId="4" fillId="0" borderId="11" xfId="4" applyNumberFormat="1" applyFont="1" applyFill="1" applyBorder="1" applyAlignment="1" applyProtection="1">
      <alignment horizontal="center" vertical="center"/>
    </xf>
    <xf numFmtId="3" fontId="13" fillId="0" borderId="2" xfId="4" applyNumberFormat="1" applyFont="1" applyFill="1" applyBorder="1" applyAlignment="1" applyProtection="1">
      <alignment horizontal="center" vertical="center"/>
    </xf>
    <xf numFmtId="0" fontId="3" fillId="11" borderId="19" xfId="1" applyFont="1" applyFill="1" applyBorder="1" applyAlignment="1">
      <alignment horizontal="center" vertical="center"/>
    </xf>
    <xf numFmtId="0" fontId="3" fillId="11" borderId="22" xfId="1" applyFont="1" applyFill="1" applyBorder="1" applyAlignment="1">
      <alignment horizontal="center" vertical="center"/>
    </xf>
    <xf numFmtId="0" fontId="3" fillId="11" borderId="28" xfId="1" applyFont="1" applyFill="1" applyBorder="1" applyAlignment="1">
      <alignment horizontal="center" vertical="center"/>
    </xf>
    <xf numFmtId="3" fontId="15" fillId="11" borderId="4" xfId="4" applyNumberFormat="1" applyFont="1" applyFill="1" applyBorder="1" applyAlignment="1" applyProtection="1">
      <alignment horizontal="center" vertical="center"/>
    </xf>
    <xf numFmtId="3" fontId="15" fillId="11" borderId="15" xfId="4" applyNumberFormat="1" applyFont="1" applyFill="1" applyBorder="1" applyAlignment="1" applyProtection="1">
      <alignment horizontal="center" vertical="center"/>
    </xf>
    <xf numFmtId="3" fontId="15" fillId="11" borderId="22" xfId="4" applyNumberFormat="1" applyFont="1" applyFill="1" applyBorder="1" applyAlignment="1" applyProtection="1">
      <alignment horizontal="center" vertical="center"/>
    </xf>
    <xf numFmtId="3" fontId="15" fillId="11" borderId="21" xfId="4" applyNumberFormat="1" applyFont="1" applyFill="1" applyBorder="1" applyAlignment="1" applyProtection="1">
      <alignment horizontal="center" vertical="center"/>
    </xf>
    <xf numFmtId="3" fontId="13" fillId="0" borderId="1" xfId="4" applyNumberFormat="1" applyFont="1" applyFill="1" applyBorder="1" applyAlignment="1" applyProtection="1">
      <alignment horizontal="center" vertical="center"/>
    </xf>
    <xf numFmtId="3" fontId="12" fillId="0" borderId="18" xfId="1" applyNumberFormat="1" applyFont="1" applyBorder="1" applyAlignment="1">
      <alignment horizontal="center" vertical="center"/>
    </xf>
    <xf numFmtId="3" fontId="12" fillId="0" borderId="18" xfId="4" applyNumberFormat="1" applyFont="1" applyFill="1" applyBorder="1" applyAlignment="1" applyProtection="1">
      <alignment horizontal="center" vertical="center"/>
    </xf>
    <xf numFmtId="3" fontId="4" fillId="0" borderId="20" xfId="4" applyNumberFormat="1" applyFont="1" applyFill="1" applyBorder="1" applyAlignment="1" applyProtection="1">
      <alignment horizontal="center" vertical="center"/>
    </xf>
    <xf numFmtId="0" fontId="3" fillId="12" borderId="19" xfId="1" applyFont="1" applyFill="1" applyBorder="1" applyAlignment="1">
      <alignment horizontal="center" vertical="center"/>
    </xf>
    <xf numFmtId="0" fontId="3" fillId="12" borderId="22" xfId="1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3" fontId="15" fillId="12" borderId="4" xfId="4" applyNumberFormat="1" applyFont="1" applyFill="1" applyBorder="1" applyAlignment="1" applyProtection="1">
      <alignment horizontal="center" vertical="center"/>
    </xf>
    <xf numFmtId="3" fontId="15" fillId="12" borderId="15" xfId="4" applyNumberFormat="1" applyFont="1" applyFill="1" applyBorder="1" applyAlignment="1" applyProtection="1">
      <alignment horizontal="center" vertical="center"/>
    </xf>
    <xf numFmtId="3" fontId="15" fillId="12" borderId="22" xfId="4" applyNumberFormat="1" applyFont="1" applyFill="1" applyBorder="1" applyAlignment="1" applyProtection="1">
      <alignment horizontal="center" vertical="center"/>
    </xf>
    <xf numFmtId="3" fontId="15" fillId="12" borderId="21" xfId="4" applyNumberFormat="1" applyFont="1" applyFill="1" applyBorder="1" applyAlignment="1" applyProtection="1">
      <alignment horizontal="center" vertical="center"/>
    </xf>
    <xf numFmtId="3" fontId="13" fillId="0" borderId="3" xfId="4" applyNumberFormat="1" applyFont="1" applyFill="1" applyBorder="1" applyAlignment="1" applyProtection="1">
      <alignment horizontal="center" vertical="center"/>
    </xf>
    <xf numFmtId="3" fontId="15" fillId="10" borderId="4" xfId="4" applyNumberFormat="1" applyFont="1" applyFill="1" applyBorder="1" applyAlignment="1" applyProtection="1">
      <alignment horizontal="center" vertical="center"/>
    </xf>
    <xf numFmtId="3" fontId="15" fillId="10" borderId="15" xfId="4" applyNumberFormat="1" applyFont="1" applyFill="1" applyBorder="1" applyAlignment="1" applyProtection="1">
      <alignment horizontal="center" vertical="center"/>
    </xf>
    <xf numFmtId="3" fontId="15" fillId="10" borderId="22" xfId="4" applyNumberFormat="1" applyFont="1" applyFill="1" applyBorder="1" applyAlignment="1" applyProtection="1">
      <alignment horizontal="center" vertical="center"/>
    </xf>
    <xf numFmtId="3" fontId="15" fillId="10" borderId="21" xfId="4" applyNumberFormat="1" applyFont="1" applyFill="1" applyBorder="1" applyAlignment="1" applyProtection="1">
      <alignment horizontal="center" vertical="center"/>
    </xf>
    <xf numFmtId="3" fontId="13" fillId="0" borderId="18" xfId="1" applyNumberFormat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3" fillId="13" borderId="19" xfId="1" applyFont="1" applyFill="1" applyBorder="1" applyAlignment="1">
      <alignment horizontal="center" vertical="center"/>
    </xf>
    <xf numFmtId="0" fontId="3" fillId="13" borderId="22" xfId="1" applyFont="1" applyFill="1" applyBorder="1" applyAlignment="1">
      <alignment horizontal="center" vertical="center"/>
    </xf>
    <xf numFmtId="0" fontId="3" fillId="13" borderId="28" xfId="1" applyFont="1" applyFill="1" applyBorder="1" applyAlignment="1">
      <alignment horizontal="center" vertical="center"/>
    </xf>
    <xf numFmtId="3" fontId="3" fillId="13" borderId="4" xfId="1" applyNumberFormat="1" applyFont="1" applyFill="1" applyBorder="1" applyAlignment="1">
      <alignment horizontal="center" vertical="center"/>
    </xf>
    <xf numFmtId="0" fontId="3" fillId="13" borderId="15" xfId="1" applyFont="1" applyFill="1" applyBorder="1" applyAlignment="1">
      <alignment horizontal="center" vertical="center"/>
    </xf>
    <xf numFmtId="0" fontId="4" fillId="13" borderId="22" xfId="1" applyFont="1" applyFill="1" applyBorder="1" applyAlignment="1">
      <alignment horizontal="center" vertical="center"/>
    </xf>
    <xf numFmtId="0" fontId="4" fillId="13" borderId="21" xfId="1" applyFont="1" applyFill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3" fontId="12" fillId="9" borderId="2" xfId="4" applyNumberFormat="1" applyFont="1" applyFill="1" applyBorder="1" applyAlignment="1" applyProtection="1">
      <alignment horizontal="center" vertical="center"/>
    </xf>
    <xf numFmtId="3" fontId="15" fillId="10" borderId="4" xfId="1" applyNumberFormat="1" applyFont="1" applyFill="1" applyBorder="1" applyAlignment="1">
      <alignment horizontal="center" vertical="center"/>
    </xf>
    <xf numFmtId="3" fontId="15" fillId="10" borderId="15" xfId="1" applyNumberFormat="1" applyFont="1" applyFill="1" applyBorder="1" applyAlignment="1">
      <alignment horizontal="center" vertical="center"/>
    </xf>
    <xf numFmtId="3" fontId="15" fillId="10" borderId="22" xfId="1" applyNumberFormat="1" applyFont="1" applyFill="1" applyBorder="1" applyAlignment="1">
      <alignment horizontal="center" vertical="center"/>
    </xf>
    <xf numFmtId="3" fontId="15" fillId="10" borderId="21" xfId="1" applyNumberFormat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3" fontId="12" fillId="9" borderId="1" xfId="4" applyNumberFormat="1" applyFont="1" applyFill="1" applyBorder="1" applyAlignment="1" applyProtection="1">
      <alignment horizontal="center" vertical="center"/>
    </xf>
    <xf numFmtId="3" fontId="4" fillId="0" borderId="9" xfId="4" applyNumberFormat="1" applyFont="1" applyFill="1" applyBorder="1" applyAlignment="1" applyProtection="1">
      <alignment horizontal="center" vertical="center" wrapText="1"/>
    </xf>
    <xf numFmtId="0" fontId="4" fillId="0" borderId="33" xfId="1" applyFont="1" applyBorder="1" applyAlignment="1">
      <alignment horizontal="center" vertical="center"/>
    </xf>
    <xf numFmtId="3" fontId="12" fillId="9" borderId="3" xfId="4" applyNumberFormat="1" applyFont="1" applyFill="1" applyBorder="1" applyAlignment="1" applyProtection="1">
      <alignment horizontal="center" vertical="center"/>
    </xf>
    <xf numFmtId="0" fontId="3" fillId="14" borderId="19" xfId="1" applyFont="1" applyFill="1" applyBorder="1" applyAlignment="1">
      <alignment horizontal="center" vertical="center"/>
    </xf>
    <xf numFmtId="0" fontId="3" fillId="14" borderId="22" xfId="1" applyFont="1" applyFill="1" applyBorder="1" applyAlignment="1">
      <alignment horizontal="center" vertical="center"/>
    </xf>
    <xf numFmtId="0" fontId="3" fillId="14" borderId="28" xfId="1" applyFont="1" applyFill="1" applyBorder="1" applyAlignment="1">
      <alignment horizontal="center" vertical="center"/>
    </xf>
    <xf numFmtId="3" fontId="15" fillId="14" borderId="4" xfId="4" applyNumberFormat="1" applyFont="1" applyFill="1" applyBorder="1" applyAlignment="1" applyProtection="1">
      <alignment horizontal="center" vertical="center"/>
    </xf>
    <xf numFmtId="3" fontId="15" fillId="14" borderId="15" xfId="4" applyNumberFormat="1" applyFont="1" applyFill="1" applyBorder="1" applyAlignment="1" applyProtection="1">
      <alignment horizontal="center" vertical="center"/>
    </xf>
    <xf numFmtId="3" fontId="15" fillId="14" borderId="22" xfId="4" applyNumberFormat="1" applyFont="1" applyFill="1" applyBorder="1" applyAlignment="1" applyProtection="1">
      <alignment horizontal="center" vertical="center"/>
    </xf>
    <xf numFmtId="3" fontId="15" fillId="14" borderId="21" xfId="4" applyNumberFormat="1" applyFont="1" applyFill="1" applyBorder="1" applyAlignment="1" applyProtection="1">
      <alignment horizontal="center" vertical="center"/>
    </xf>
    <xf numFmtId="1" fontId="4" fillId="0" borderId="2" xfId="4" applyNumberFormat="1" applyFont="1" applyFill="1" applyBorder="1" applyAlignment="1" applyProtection="1">
      <alignment horizontal="center" vertical="center"/>
    </xf>
    <xf numFmtId="0" fontId="4" fillId="0" borderId="49" xfId="1" applyFont="1" applyBorder="1" applyAlignment="1">
      <alignment horizontal="center" vertical="center"/>
    </xf>
    <xf numFmtId="1" fontId="4" fillId="0" borderId="3" xfId="4" applyNumberFormat="1" applyFont="1" applyFill="1" applyBorder="1" applyAlignment="1" applyProtection="1">
      <alignment horizontal="center" vertical="center"/>
    </xf>
    <xf numFmtId="0" fontId="3" fillId="13" borderId="15" xfId="1" applyFont="1" applyFill="1" applyBorder="1" applyAlignment="1">
      <alignment horizontal="center" vertical="center"/>
    </xf>
    <xf numFmtId="0" fontId="3" fillId="13" borderId="21" xfId="1" applyFont="1" applyFill="1" applyBorder="1" applyAlignment="1">
      <alignment horizontal="center" vertical="center"/>
    </xf>
    <xf numFmtId="3" fontId="15" fillId="12" borderId="4" xfId="1" applyNumberFormat="1" applyFont="1" applyFill="1" applyBorder="1" applyAlignment="1">
      <alignment horizontal="center" vertical="center"/>
    </xf>
    <xf numFmtId="3" fontId="15" fillId="12" borderId="15" xfId="1" applyNumberFormat="1" applyFont="1" applyFill="1" applyBorder="1" applyAlignment="1">
      <alignment horizontal="center" vertical="center"/>
    </xf>
    <xf numFmtId="3" fontId="15" fillId="12" borderId="22" xfId="1" applyNumberFormat="1" applyFont="1" applyFill="1" applyBorder="1" applyAlignment="1">
      <alignment horizontal="center" vertical="center"/>
    </xf>
    <xf numFmtId="3" fontId="15" fillId="12" borderId="21" xfId="1" applyNumberFormat="1" applyFont="1" applyFill="1" applyBorder="1" applyAlignment="1">
      <alignment horizontal="center" vertical="center"/>
    </xf>
    <xf numFmtId="3" fontId="4" fillId="0" borderId="2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3" fontId="4" fillId="0" borderId="3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14" borderId="19" xfId="1" applyFont="1" applyFill="1" applyBorder="1" applyAlignment="1">
      <alignment vertical="center"/>
    </xf>
    <xf numFmtId="0" fontId="3" fillId="14" borderId="22" xfId="1" applyFont="1" applyFill="1" applyBorder="1" applyAlignment="1">
      <alignment vertical="center"/>
    </xf>
    <xf numFmtId="0" fontId="3" fillId="14" borderId="28" xfId="1" applyFont="1" applyFill="1" applyBorder="1" applyAlignment="1">
      <alignment vertical="center"/>
    </xf>
    <xf numFmtId="3" fontId="3" fillId="14" borderId="4" xfId="1" applyNumberFormat="1" applyFont="1" applyFill="1" applyBorder="1" applyAlignment="1">
      <alignment horizontal="center" vertical="center"/>
    </xf>
    <xf numFmtId="3" fontId="3" fillId="14" borderId="15" xfId="1" applyNumberFormat="1" applyFont="1" applyFill="1" applyBorder="1" applyAlignment="1">
      <alignment horizontal="center" vertical="center"/>
    </xf>
    <xf numFmtId="3" fontId="3" fillId="14" borderId="22" xfId="1" applyNumberFormat="1" applyFont="1" applyFill="1" applyBorder="1" applyAlignment="1">
      <alignment horizontal="center" vertical="center"/>
    </xf>
    <xf numFmtId="3" fontId="3" fillId="14" borderId="21" xfId="1" applyNumberFormat="1" applyFont="1" applyFill="1" applyBorder="1" applyAlignment="1">
      <alignment horizontal="center" vertical="center"/>
    </xf>
    <xf numFmtId="0" fontId="4" fillId="15" borderId="10" xfId="1" applyFont="1" applyFill="1" applyBorder="1" applyAlignment="1">
      <alignment horizontal="center" vertical="center"/>
    </xf>
    <xf numFmtId="0" fontId="4" fillId="15" borderId="3" xfId="1" applyFont="1" applyFill="1" applyBorder="1" applyAlignment="1">
      <alignment horizontal="center" vertical="center"/>
    </xf>
    <xf numFmtId="0" fontId="4" fillId="15" borderId="33" xfId="1" applyFont="1" applyFill="1" applyBorder="1" applyAlignment="1">
      <alignment horizontal="center" vertical="center"/>
    </xf>
    <xf numFmtId="3" fontId="12" fillId="15" borderId="3" xfId="4" applyNumberFormat="1" applyFont="1" applyFill="1" applyBorder="1" applyAlignment="1" applyProtection="1">
      <alignment horizontal="center" vertical="center"/>
    </xf>
    <xf numFmtId="3" fontId="4" fillId="15" borderId="3" xfId="4" applyNumberFormat="1" applyFont="1" applyFill="1" applyBorder="1" applyAlignment="1" applyProtection="1">
      <alignment horizontal="center" vertical="center"/>
    </xf>
    <xf numFmtId="3" fontId="4" fillId="15" borderId="11" xfId="4" applyNumberFormat="1" applyFont="1" applyFill="1" applyBorder="1" applyAlignment="1" applyProtection="1">
      <alignment horizontal="center" vertical="center"/>
    </xf>
    <xf numFmtId="0" fontId="4" fillId="0" borderId="50" xfId="1" applyFont="1" applyBorder="1" applyAlignment="1">
      <alignment horizontal="center" vertical="center"/>
    </xf>
    <xf numFmtId="3" fontId="4" fillId="0" borderId="18" xfId="1" applyNumberFormat="1" applyFont="1" applyBorder="1" applyAlignment="1">
      <alignment horizontal="center" vertical="center"/>
    </xf>
    <xf numFmtId="3" fontId="4" fillId="0" borderId="0" xfId="1" applyNumberFormat="1" applyFont="1" applyBorder="1" applyAlignment="1">
      <alignment horizontal="center" vertical="center"/>
    </xf>
    <xf numFmtId="3" fontId="15" fillId="13" borderId="4" xfId="4" applyNumberFormat="1" applyFont="1" applyFill="1" applyBorder="1" applyAlignment="1" applyProtection="1">
      <alignment horizontal="center" vertical="center"/>
    </xf>
    <xf numFmtId="3" fontId="15" fillId="13" borderId="15" xfId="4" applyNumberFormat="1" applyFont="1" applyFill="1" applyBorder="1" applyAlignment="1" applyProtection="1">
      <alignment horizontal="center" vertical="center"/>
    </xf>
    <xf numFmtId="3" fontId="15" fillId="13" borderId="22" xfId="4" applyNumberFormat="1" applyFont="1" applyFill="1" applyBorder="1" applyAlignment="1" applyProtection="1">
      <alignment horizontal="center" vertical="center"/>
    </xf>
    <xf numFmtId="3" fontId="15" fillId="13" borderId="21" xfId="4" applyNumberFormat="1" applyFont="1" applyFill="1" applyBorder="1" applyAlignment="1" applyProtection="1">
      <alignment horizontal="center" vertical="center"/>
    </xf>
    <xf numFmtId="0" fontId="3" fillId="2" borderId="19" xfId="1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/>
    </xf>
    <xf numFmtId="3" fontId="3" fillId="2" borderId="4" xfId="1" applyNumberFormat="1" applyFont="1" applyFill="1" applyBorder="1" applyAlignment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3" fontId="3" fillId="2" borderId="22" xfId="1" applyNumberFormat="1" applyFont="1" applyFill="1" applyBorder="1" applyAlignment="1">
      <alignment horizontal="center" vertical="center"/>
    </xf>
    <xf numFmtId="3" fontId="3" fillId="2" borderId="21" xfId="1" applyNumberFormat="1" applyFont="1" applyFill="1" applyBorder="1" applyAlignment="1">
      <alignment horizontal="center" vertical="center"/>
    </xf>
    <xf numFmtId="3" fontId="3" fillId="12" borderId="4" xfId="1" applyNumberFormat="1" applyFont="1" applyFill="1" applyBorder="1" applyAlignment="1">
      <alignment horizontal="center" vertical="center"/>
    </xf>
    <xf numFmtId="3" fontId="3" fillId="12" borderId="15" xfId="1" applyNumberFormat="1" applyFont="1" applyFill="1" applyBorder="1" applyAlignment="1">
      <alignment horizontal="center" vertical="center"/>
    </xf>
    <xf numFmtId="3" fontId="3" fillId="12" borderId="22" xfId="1" applyNumberFormat="1" applyFont="1" applyFill="1" applyBorder="1" applyAlignment="1">
      <alignment horizontal="center" vertical="center"/>
    </xf>
    <xf numFmtId="3" fontId="3" fillId="12" borderId="21" xfId="1" applyNumberFormat="1" applyFont="1" applyFill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" fontId="4" fillId="0" borderId="18" xfId="1" applyNumberFormat="1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1" fontId="3" fillId="13" borderId="15" xfId="1" applyNumberFormat="1" applyFont="1" applyFill="1" applyBorder="1" applyAlignment="1">
      <alignment horizontal="center" vertical="center"/>
    </xf>
    <xf numFmtId="1" fontId="3" fillId="13" borderId="22" xfId="1" applyNumberFormat="1" applyFont="1" applyFill="1" applyBorder="1" applyAlignment="1">
      <alignment horizontal="center" vertical="center"/>
    </xf>
    <xf numFmtId="1" fontId="3" fillId="13" borderId="21" xfId="1" applyNumberFormat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3" fillId="14" borderId="22" xfId="1" applyFont="1" applyFill="1" applyBorder="1" applyAlignment="1">
      <alignment horizontal="center" vertical="center"/>
    </xf>
    <xf numFmtId="0" fontId="3" fillId="14" borderId="21" xfId="1" applyFont="1" applyFill="1" applyBorder="1" applyAlignment="1">
      <alignment horizontal="center" vertical="center"/>
    </xf>
    <xf numFmtId="3" fontId="13" fillId="0" borderId="2" xfId="1" applyNumberFormat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1" fontId="4" fillId="0" borderId="16" xfId="1" applyNumberFormat="1" applyFont="1" applyBorder="1" applyAlignment="1">
      <alignment horizontal="center" vertical="center"/>
    </xf>
    <xf numFmtId="3" fontId="13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191" fontId="4" fillId="0" borderId="9" xfId="1" applyNumberFormat="1" applyFont="1" applyBorder="1" applyAlignment="1">
      <alignment horizontal="center" vertical="center"/>
    </xf>
    <xf numFmtId="0" fontId="3" fillId="13" borderId="22" xfId="1" applyFont="1" applyFill="1" applyBorder="1" applyAlignment="1">
      <alignment horizontal="center" vertical="center"/>
    </xf>
    <xf numFmtId="0" fontId="3" fillId="13" borderId="21" xfId="1" applyFont="1" applyFill="1" applyBorder="1" applyAlignment="1">
      <alignment horizontal="center" vertical="center"/>
    </xf>
    <xf numFmtId="3" fontId="13" fillId="0" borderId="3" xfId="1" applyNumberFormat="1" applyFont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91" fontId="4" fillId="0" borderId="11" xfId="1" applyNumberFormat="1" applyFont="1" applyBorder="1" applyAlignment="1">
      <alignment horizontal="center" vertical="center"/>
    </xf>
    <xf numFmtId="3" fontId="3" fillId="10" borderId="4" xfId="1" applyNumberFormat="1" applyFont="1" applyFill="1" applyBorder="1" applyAlignment="1">
      <alignment horizontal="center" vertical="center"/>
    </xf>
    <xf numFmtId="1" fontId="3" fillId="10" borderId="15" xfId="1" applyNumberFormat="1" applyFont="1" applyFill="1" applyBorder="1" applyAlignment="1">
      <alignment horizontal="center" vertical="center"/>
    </xf>
    <xf numFmtId="1" fontId="3" fillId="10" borderId="22" xfId="1" applyNumberFormat="1" applyFont="1" applyFill="1" applyBorder="1" applyAlignment="1">
      <alignment horizontal="center" vertical="center"/>
    </xf>
    <xf numFmtId="1" fontId="3" fillId="10" borderId="21" xfId="1" applyNumberFormat="1" applyFont="1" applyFill="1" applyBorder="1" applyAlignment="1">
      <alignment horizontal="center" vertical="center"/>
    </xf>
    <xf numFmtId="0" fontId="3" fillId="13" borderId="4" xfId="1" applyFont="1" applyFill="1" applyBorder="1" applyAlignment="1">
      <alignment horizontal="center" vertical="center"/>
    </xf>
    <xf numFmtId="0" fontId="4" fillId="0" borderId="43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3" fontId="4" fillId="0" borderId="13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1" fontId="3" fillId="12" borderId="15" xfId="1" applyNumberFormat="1" applyFont="1" applyFill="1" applyBorder="1" applyAlignment="1">
      <alignment horizontal="center" vertical="center"/>
    </xf>
    <xf numFmtId="1" fontId="3" fillId="12" borderId="22" xfId="1" applyNumberFormat="1" applyFont="1" applyFill="1" applyBorder="1" applyAlignment="1">
      <alignment horizontal="center" vertical="center"/>
    </xf>
    <xf numFmtId="1" fontId="3" fillId="12" borderId="21" xfId="1" applyNumberFormat="1" applyFont="1" applyFill="1" applyBorder="1" applyAlignment="1">
      <alignment horizontal="center" vertical="center"/>
    </xf>
    <xf numFmtId="1" fontId="4" fillId="0" borderId="51" xfId="1" applyNumberFormat="1" applyFont="1" applyBorder="1" applyAlignment="1">
      <alignment horizontal="center" vertical="center"/>
    </xf>
    <xf numFmtId="1" fontId="4" fillId="0" borderId="52" xfId="1" applyNumberFormat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188" fontId="4" fillId="9" borderId="8" xfId="4" applyNumberFormat="1" applyFont="1" applyFill="1" applyBorder="1" applyAlignment="1" applyProtection="1">
      <alignment horizontal="center" vertical="center"/>
    </xf>
    <xf numFmtId="0" fontId="12" fillId="0" borderId="1" xfId="1" applyFont="1" applyBorder="1" applyAlignment="1">
      <alignment horizontal="center" vertical="center"/>
    </xf>
    <xf numFmtId="188" fontId="4" fillId="9" borderId="9" xfId="4" applyNumberFormat="1" applyFont="1" applyFill="1" applyBorder="1" applyAlignment="1" applyProtection="1">
      <alignment horizontal="center" vertical="center"/>
    </xf>
    <xf numFmtId="14" fontId="4" fillId="0" borderId="48" xfId="1" applyNumberFormat="1" applyFont="1" applyBorder="1" applyAlignment="1">
      <alignment horizontal="center" vertical="center"/>
    </xf>
    <xf numFmtId="188" fontId="4" fillId="9" borderId="11" xfId="4" applyNumberFormat="1" applyFont="1" applyFill="1" applyBorder="1" applyAlignment="1" applyProtection="1">
      <alignment horizontal="center" vertical="center"/>
    </xf>
    <xf numFmtId="3" fontId="3" fillId="12" borderId="4" xfId="4" applyNumberFormat="1" applyFont="1" applyFill="1" applyBorder="1" applyAlignment="1" applyProtection="1">
      <alignment horizontal="center" vertical="center"/>
    </xf>
    <xf numFmtId="3" fontId="3" fillId="12" borderId="15" xfId="4" applyNumberFormat="1" applyFont="1" applyFill="1" applyBorder="1" applyAlignment="1" applyProtection="1">
      <alignment horizontal="center" vertical="center"/>
    </xf>
    <xf numFmtId="3" fontId="3" fillId="12" borderId="22" xfId="4" applyNumberFormat="1" applyFont="1" applyFill="1" applyBorder="1" applyAlignment="1" applyProtection="1">
      <alignment horizontal="center" vertical="center"/>
    </xf>
    <xf numFmtId="3" fontId="3" fillId="12" borderId="21" xfId="4" applyNumberFormat="1" applyFont="1" applyFill="1" applyBorder="1" applyAlignment="1" applyProtection="1">
      <alignment horizontal="center" vertical="center"/>
    </xf>
    <xf numFmtId="0" fontId="4" fillId="15" borderId="7" xfId="1" applyFont="1" applyFill="1" applyBorder="1" applyAlignment="1">
      <alignment horizontal="center" vertical="center"/>
    </xf>
    <xf numFmtId="0" fontId="4" fillId="15" borderId="34" xfId="1" applyFont="1" applyFill="1" applyBorder="1" applyAlignment="1">
      <alignment horizontal="center" vertical="center"/>
    </xf>
    <xf numFmtId="0" fontId="4" fillId="15" borderId="2" xfId="1" applyFont="1" applyFill="1" applyBorder="1" applyAlignment="1">
      <alignment horizontal="center" vertical="center"/>
    </xf>
    <xf numFmtId="3" fontId="13" fillId="15" borderId="2" xfId="4" applyNumberFormat="1" applyFont="1" applyFill="1" applyBorder="1" applyAlignment="1" applyProtection="1">
      <alignment horizontal="center" vertical="center"/>
    </xf>
    <xf numFmtId="3" fontId="4" fillId="15" borderId="2" xfId="4" applyNumberFormat="1" applyFont="1" applyFill="1" applyBorder="1" applyAlignment="1" applyProtection="1">
      <alignment horizontal="center" vertical="center"/>
    </xf>
    <xf numFmtId="3" fontId="4" fillId="15" borderId="51" xfId="4" applyNumberFormat="1" applyFont="1" applyFill="1" applyBorder="1" applyAlignment="1" applyProtection="1">
      <alignment horizontal="center" vertical="center"/>
    </xf>
    <xf numFmtId="188" fontId="4" fillId="15" borderId="8" xfId="4" applyNumberFormat="1" applyFont="1" applyFill="1" applyBorder="1" applyAlignment="1" applyProtection="1">
      <alignment horizontal="center" vertical="center"/>
    </xf>
    <xf numFmtId="3" fontId="4" fillId="0" borderId="53" xfId="4" applyNumberFormat="1" applyFont="1" applyFill="1" applyBorder="1" applyAlignment="1" applyProtection="1">
      <alignment horizontal="center" vertical="center"/>
    </xf>
    <xf numFmtId="3" fontId="3" fillId="2" borderId="15" xfId="1" applyNumberFormat="1" applyFont="1" applyFill="1" applyBorder="1" applyAlignment="1">
      <alignment horizontal="center" vertical="center"/>
    </xf>
    <xf numFmtId="3" fontId="3" fillId="2" borderId="22" xfId="1" applyNumberFormat="1" applyFont="1" applyFill="1" applyBorder="1" applyAlignment="1">
      <alignment horizontal="center" vertical="center"/>
    </xf>
    <xf numFmtId="3" fontId="3" fillId="2" borderId="21" xfId="1" applyNumberFormat="1" applyFont="1" applyFill="1" applyBorder="1" applyAlignment="1">
      <alignment horizontal="center" vertical="center"/>
    </xf>
    <xf numFmtId="3" fontId="4" fillId="0" borderId="52" xfId="4" applyNumberFormat="1" applyFont="1" applyFill="1" applyBorder="1" applyAlignment="1" applyProtection="1">
      <alignment horizontal="center" vertical="center"/>
    </xf>
    <xf numFmtId="0" fontId="3" fillId="16" borderId="19" xfId="1" applyFont="1" applyFill="1" applyBorder="1" applyAlignment="1">
      <alignment horizontal="center" vertical="center"/>
    </xf>
    <xf numFmtId="0" fontId="3" fillId="16" borderId="22" xfId="1" applyFont="1" applyFill="1" applyBorder="1" applyAlignment="1">
      <alignment horizontal="center" vertical="center"/>
    </xf>
    <xf numFmtId="0" fontId="3" fillId="16" borderId="28" xfId="1" applyFont="1" applyFill="1" applyBorder="1" applyAlignment="1">
      <alignment horizontal="center" vertical="center"/>
    </xf>
    <xf numFmtId="3" fontId="3" fillId="16" borderId="12" xfId="1" applyNumberFormat="1" applyFont="1" applyFill="1" applyBorder="1" applyAlignment="1">
      <alignment horizontal="center" vertical="center"/>
    </xf>
    <xf numFmtId="0" fontId="3" fillId="16" borderId="15" xfId="1" applyFont="1" applyFill="1" applyBorder="1" applyAlignment="1">
      <alignment horizontal="center" vertical="center"/>
    </xf>
    <xf numFmtId="0" fontId="3" fillId="16" borderId="21" xfId="1" applyFont="1" applyFill="1" applyBorder="1" applyAlignment="1">
      <alignment horizontal="center" vertical="center"/>
    </xf>
    <xf numFmtId="0" fontId="4" fillId="15" borderId="0" xfId="1" applyFont="1" applyFill="1" applyBorder="1" applyAlignment="1">
      <alignment horizontal="center" vertical="center"/>
    </xf>
    <xf numFmtId="3" fontId="4" fillId="15" borderId="0" xfId="1" applyNumberFormat="1" applyFont="1" applyFill="1" applyBorder="1" applyAlignment="1">
      <alignment horizontal="center" vertical="center"/>
    </xf>
    <xf numFmtId="3" fontId="0" fillId="0" borderId="0" xfId="0" applyNumberFormat="1" applyFont="1" applyAlignment="1">
      <alignment vertical="center"/>
    </xf>
  </cellXfs>
  <cellStyles count="5">
    <cellStyle name="Comma 2" xfId="2"/>
    <cellStyle name="Comma 2 2" xfId="4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opLeftCell="A19" zoomScale="90" zoomScaleNormal="90" workbookViewId="0">
      <selection activeCell="K27" sqref="K27:M28"/>
    </sheetView>
  </sheetViews>
  <sheetFormatPr defaultRowHeight="24" x14ac:dyDescent="0.55000000000000004"/>
  <cols>
    <col min="16" max="16" width="12.75" customWidth="1"/>
  </cols>
  <sheetData>
    <row r="1" spans="1:16" ht="36" x14ac:dyDescent="0.55000000000000004">
      <c r="A1" s="163" t="s">
        <v>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</row>
    <row r="2" spans="1:16" ht="24.75" thickBot="1" x14ac:dyDescent="0.6">
      <c r="A2" s="164" t="s">
        <v>1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P2" s="164"/>
    </row>
    <row r="3" spans="1:16" ht="24.75" thickBot="1" x14ac:dyDescent="0.6">
      <c r="A3" s="61" t="s">
        <v>2</v>
      </c>
      <c r="B3" s="45" t="s">
        <v>3</v>
      </c>
      <c r="C3" s="34" t="s">
        <v>4</v>
      </c>
      <c r="D3" s="33" t="s">
        <v>5</v>
      </c>
      <c r="E3" s="45" t="s">
        <v>6</v>
      </c>
      <c r="F3" s="45" t="s">
        <v>7</v>
      </c>
      <c r="G3" s="62" t="s">
        <v>8</v>
      </c>
      <c r="H3" s="10" t="s">
        <v>9</v>
      </c>
      <c r="I3" s="61" t="s">
        <v>2</v>
      </c>
      <c r="J3" s="45" t="s">
        <v>3</v>
      </c>
      <c r="K3" s="34" t="s">
        <v>4</v>
      </c>
      <c r="L3" s="33" t="s">
        <v>5</v>
      </c>
      <c r="M3" s="45" t="s">
        <v>6</v>
      </c>
      <c r="N3" s="75" t="s">
        <v>7</v>
      </c>
      <c r="O3" s="62" t="s">
        <v>8</v>
      </c>
      <c r="P3" s="10" t="s">
        <v>9</v>
      </c>
    </row>
    <row r="4" spans="1:16" x14ac:dyDescent="0.55000000000000004">
      <c r="A4" s="100" t="s">
        <v>10</v>
      </c>
      <c r="B4" s="30">
        <v>29</v>
      </c>
      <c r="C4" s="31" t="s">
        <v>11</v>
      </c>
      <c r="D4" s="77">
        <v>102</v>
      </c>
      <c r="E4" s="29">
        <v>2243</v>
      </c>
      <c r="F4" s="64" t="s">
        <v>12</v>
      </c>
      <c r="G4" s="15">
        <v>22</v>
      </c>
      <c r="H4" s="5" t="s">
        <v>13</v>
      </c>
      <c r="I4" s="128" t="s">
        <v>14</v>
      </c>
      <c r="J4" s="26">
        <v>5</v>
      </c>
      <c r="K4" s="28" t="s">
        <v>15</v>
      </c>
      <c r="L4" s="77">
        <v>121</v>
      </c>
      <c r="M4" s="29">
        <v>3037</v>
      </c>
      <c r="N4" s="63">
        <v>6</v>
      </c>
      <c r="O4" s="25">
        <v>25</v>
      </c>
      <c r="P4" s="9" t="s">
        <v>16</v>
      </c>
    </row>
    <row r="5" spans="1:16" ht="24.75" thickBot="1" x14ac:dyDescent="0.6">
      <c r="A5" s="90"/>
      <c r="B5" s="27">
        <v>30</v>
      </c>
      <c r="C5" s="32" t="s">
        <v>17</v>
      </c>
      <c r="D5" s="77">
        <v>113</v>
      </c>
      <c r="E5" s="29">
        <v>2494</v>
      </c>
      <c r="F5" s="65" t="s">
        <v>18</v>
      </c>
      <c r="G5" s="16">
        <v>22</v>
      </c>
      <c r="H5" s="6" t="s">
        <v>13</v>
      </c>
      <c r="I5" s="128"/>
      <c r="J5" s="30">
        <v>22</v>
      </c>
      <c r="K5" s="31" t="s">
        <v>19</v>
      </c>
      <c r="L5" s="77">
        <v>38</v>
      </c>
      <c r="M5" s="44">
        <v>842</v>
      </c>
      <c r="N5" s="64">
        <v>6</v>
      </c>
      <c r="O5" s="23">
        <v>22</v>
      </c>
      <c r="P5" s="5" t="s">
        <v>16</v>
      </c>
    </row>
    <row r="6" spans="1:16" ht="24.75" thickBot="1" x14ac:dyDescent="0.6">
      <c r="A6" s="115" t="s">
        <v>20</v>
      </c>
      <c r="B6" s="116"/>
      <c r="C6" s="117"/>
      <c r="D6" s="83">
        <v>215</v>
      </c>
      <c r="E6" s="84">
        <v>4737</v>
      </c>
      <c r="F6" s="118"/>
      <c r="G6" s="119"/>
      <c r="H6" s="120"/>
      <c r="I6" s="129"/>
      <c r="J6" s="27">
        <v>23</v>
      </c>
      <c r="K6" s="32" t="s">
        <v>21</v>
      </c>
      <c r="L6" s="77">
        <v>38</v>
      </c>
      <c r="M6" s="43">
        <v>844</v>
      </c>
      <c r="N6" s="65">
        <v>6</v>
      </c>
      <c r="O6" s="24">
        <v>22</v>
      </c>
      <c r="P6" s="6" t="s">
        <v>16</v>
      </c>
    </row>
    <row r="7" spans="1:16" ht="24.75" thickBot="1" x14ac:dyDescent="0.6">
      <c r="A7" s="35" t="s">
        <v>22</v>
      </c>
      <c r="B7" s="27">
        <v>14</v>
      </c>
      <c r="C7" s="32" t="s">
        <v>23</v>
      </c>
      <c r="D7" s="77">
        <v>6</v>
      </c>
      <c r="E7" s="29">
        <v>126</v>
      </c>
      <c r="F7" s="65" t="s">
        <v>24</v>
      </c>
      <c r="G7" s="16">
        <v>22</v>
      </c>
      <c r="H7" s="7" t="s">
        <v>13</v>
      </c>
      <c r="I7" s="115" t="s">
        <v>25</v>
      </c>
      <c r="J7" s="116"/>
      <c r="K7" s="117"/>
      <c r="L7" s="83">
        <v>197</v>
      </c>
      <c r="M7" s="84">
        <v>4723</v>
      </c>
      <c r="N7" s="151"/>
      <c r="O7" s="152"/>
      <c r="P7" s="153"/>
    </row>
    <row r="8" spans="1:16" ht="24.75" thickBot="1" x14ac:dyDescent="0.6">
      <c r="A8" s="145" t="s">
        <v>26</v>
      </c>
      <c r="B8" s="146"/>
      <c r="C8" s="147"/>
      <c r="D8" s="85">
        <v>6</v>
      </c>
      <c r="E8" s="86">
        <v>126</v>
      </c>
      <c r="F8" s="148"/>
      <c r="G8" s="149"/>
      <c r="H8" s="150"/>
      <c r="I8" s="127" t="s">
        <v>27</v>
      </c>
      <c r="J8" s="26">
        <v>2</v>
      </c>
      <c r="K8" s="28" t="s">
        <v>28</v>
      </c>
      <c r="L8" s="77">
        <v>158</v>
      </c>
      <c r="M8" s="29">
        <v>3480</v>
      </c>
      <c r="N8" s="68">
        <v>5</v>
      </c>
      <c r="O8" s="25">
        <v>22</v>
      </c>
      <c r="P8" s="3" t="s">
        <v>29</v>
      </c>
    </row>
    <row r="9" spans="1:16" x14ac:dyDescent="0.55000000000000004">
      <c r="A9" s="127" t="s">
        <v>30</v>
      </c>
      <c r="B9" s="26">
        <v>16</v>
      </c>
      <c r="C9" s="28" t="s">
        <v>31</v>
      </c>
      <c r="D9" s="77">
        <v>4</v>
      </c>
      <c r="E9" s="29">
        <v>112</v>
      </c>
      <c r="F9" s="63">
        <v>20</v>
      </c>
      <c r="G9" s="14">
        <v>25</v>
      </c>
      <c r="H9" s="9" t="s">
        <v>13</v>
      </c>
      <c r="I9" s="128"/>
      <c r="J9" s="30">
        <v>5</v>
      </c>
      <c r="K9" s="31" t="s">
        <v>32</v>
      </c>
      <c r="L9" s="77">
        <v>143</v>
      </c>
      <c r="M9" s="29">
        <v>3140</v>
      </c>
      <c r="N9" s="74">
        <v>5</v>
      </c>
      <c r="O9" s="23">
        <v>22</v>
      </c>
      <c r="P9" s="5" t="s">
        <v>33</v>
      </c>
    </row>
    <row r="10" spans="1:16" ht="24.75" thickBot="1" x14ac:dyDescent="0.6">
      <c r="A10" s="129"/>
      <c r="B10" s="36">
        <v>20</v>
      </c>
      <c r="C10" s="37" t="s">
        <v>34</v>
      </c>
      <c r="D10" s="77">
        <v>113</v>
      </c>
      <c r="E10" s="38">
        <v>2833</v>
      </c>
      <c r="F10" s="66">
        <v>20</v>
      </c>
      <c r="G10" s="17">
        <v>25</v>
      </c>
      <c r="H10" s="6" t="s">
        <v>13</v>
      </c>
      <c r="I10" s="129"/>
      <c r="J10" s="27">
        <v>6</v>
      </c>
      <c r="K10" s="32" t="s">
        <v>35</v>
      </c>
      <c r="L10" s="77">
        <v>167</v>
      </c>
      <c r="M10" s="29">
        <v>3671</v>
      </c>
      <c r="N10" s="69">
        <v>5</v>
      </c>
      <c r="O10" s="24">
        <v>22</v>
      </c>
      <c r="P10" s="4" t="s">
        <v>36</v>
      </c>
    </row>
    <row r="11" spans="1:16" ht="24.75" thickBot="1" x14ac:dyDescent="0.6">
      <c r="A11" s="115" t="s">
        <v>37</v>
      </c>
      <c r="B11" s="116"/>
      <c r="C11" s="117"/>
      <c r="D11" s="87">
        <v>117</v>
      </c>
      <c r="E11" s="101">
        <v>2945</v>
      </c>
      <c r="F11" s="165"/>
      <c r="G11" s="166"/>
      <c r="H11" s="167"/>
      <c r="I11" s="115" t="s">
        <v>38</v>
      </c>
      <c r="J11" s="116"/>
      <c r="K11" s="117"/>
      <c r="L11" s="83">
        <v>468</v>
      </c>
      <c r="M11" s="84">
        <v>10291</v>
      </c>
      <c r="N11" s="151"/>
      <c r="O11" s="152"/>
      <c r="P11" s="153"/>
    </row>
    <row r="12" spans="1:16" ht="24.75" thickBot="1" x14ac:dyDescent="0.6">
      <c r="A12" s="39" t="s">
        <v>39</v>
      </c>
      <c r="B12" s="40">
        <v>13</v>
      </c>
      <c r="C12" s="41" t="s">
        <v>40</v>
      </c>
      <c r="D12" s="77">
        <v>168</v>
      </c>
      <c r="E12" s="42">
        <v>4192</v>
      </c>
      <c r="F12" s="67">
        <v>20</v>
      </c>
      <c r="G12" s="18">
        <v>25</v>
      </c>
      <c r="H12" s="8" t="s">
        <v>13</v>
      </c>
      <c r="I12" s="127" t="s">
        <v>41</v>
      </c>
      <c r="J12" s="26">
        <v>1</v>
      </c>
      <c r="K12" s="28" t="s">
        <v>42</v>
      </c>
      <c r="L12" s="77">
        <v>130</v>
      </c>
      <c r="M12" s="29">
        <v>2868</v>
      </c>
      <c r="N12" s="63">
        <v>4</v>
      </c>
      <c r="O12" s="26">
        <v>22</v>
      </c>
      <c r="P12" s="3" t="s">
        <v>43</v>
      </c>
    </row>
    <row r="13" spans="1:16" ht="24.75" thickBot="1" x14ac:dyDescent="0.6">
      <c r="A13" s="145" t="s">
        <v>44</v>
      </c>
      <c r="B13" s="146"/>
      <c r="C13" s="147"/>
      <c r="D13" s="85">
        <v>168</v>
      </c>
      <c r="E13" s="108">
        <v>4192</v>
      </c>
      <c r="F13" s="157"/>
      <c r="G13" s="158"/>
      <c r="H13" s="159"/>
      <c r="I13" s="129"/>
      <c r="J13" s="27">
        <v>11</v>
      </c>
      <c r="K13" s="32" t="s">
        <v>45</v>
      </c>
      <c r="L13" s="77">
        <v>145</v>
      </c>
      <c r="M13" s="43">
        <v>3193</v>
      </c>
      <c r="N13" s="63">
        <v>4</v>
      </c>
      <c r="O13" s="27">
        <v>22</v>
      </c>
      <c r="P13" s="13" t="s">
        <v>43</v>
      </c>
    </row>
    <row r="14" spans="1:16" ht="24.75" thickBot="1" x14ac:dyDescent="0.6">
      <c r="A14" s="127" t="s">
        <v>46</v>
      </c>
      <c r="B14" s="26">
        <v>10</v>
      </c>
      <c r="C14" s="28" t="s">
        <v>47</v>
      </c>
      <c r="D14" s="77">
        <v>115</v>
      </c>
      <c r="E14" s="29">
        <v>2872</v>
      </c>
      <c r="F14" s="68">
        <v>19</v>
      </c>
      <c r="G14" s="19">
        <v>25</v>
      </c>
      <c r="H14" s="11" t="s">
        <v>33</v>
      </c>
      <c r="I14" s="115" t="s">
        <v>48</v>
      </c>
      <c r="J14" s="116"/>
      <c r="K14" s="117"/>
      <c r="L14" s="83">
        <v>275</v>
      </c>
      <c r="M14" s="84">
        <v>6061</v>
      </c>
      <c r="N14" s="151"/>
      <c r="O14" s="152"/>
      <c r="P14" s="153"/>
    </row>
    <row r="15" spans="1:16" ht="24.75" thickBot="1" x14ac:dyDescent="0.6">
      <c r="A15" s="129"/>
      <c r="B15" s="27">
        <v>12</v>
      </c>
      <c r="C15" s="32" t="s">
        <v>49</v>
      </c>
      <c r="D15" s="77">
        <v>121</v>
      </c>
      <c r="E15" s="43">
        <v>3030</v>
      </c>
      <c r="F15" s="69">
        <v>19</v>
      </c>
      <c r="G15" s="20">
        <v>25</v>
      </c>
      <c r="H15" s="6" t="s">
        <v>33</v>
      </c>
      <c r="I15" s="160" t="s">
        <v>50</v>
      </c>
      <c r="J15" s="161"/>
      <c r="K15" s="162"/>
      <c r="L15" s="79">
        <v>3910</v>
      </c>
      <c r="M15" s="80">
        <v>93964</v>
      </c>
      <c r="N15" s="132"/>
      <c r="O15" s="133"/>
      <c r="P15" s="134"/>
    </row>
    <row r="16" spans="1:16" ht="24.75" thickBot="1" x14ac:dyDescent="0.6">
      <c r="A16" s="115" t="s">
        <v>51</v>
      </c>
      <c r="B16" s="116"/>
      <c r="C16" s="117"/>
      <c r="D16" s="83">
        <v>236</v>
      </c>
      <c r="E16" s="88">
        <v>5902</v>
      </c>
      <c r="F16" s="118"/>
      <c r="G16" s="119"/>
      <c r="H16" s="120"/>
      <c r="I16" s="128" t="s">
        <v>52</v>
      </c>
      <c r="J16" s="26">
        <v>3</v>
      </c>
      <c r="K16" s="28" t="s">
        <v>53</v>
      </c>
      <c r="L16" s="77">
        <v>111</v>
      </c>
      <c r="M16" s="29">
        <v>2449</v>
      </c>
      <c r="N16" s="68">
        <v>3</v>
      </c>
      <c r="O16" s="25">
        <v>22</v>
      </c>
      <c r="P16" s="9" t="s">
        <v>43</v>
      </c>
    </row>
    <row r="17" spans="1:16" ht="37.5" x14ac:dyDescent="0.55000000000000004">
      <c r="A17" s="127" t="s">
        <v>54</v>
      </c>
      <c r="B17" s="26">
        <v>7</v>
      </c>
      <c r="C17" s="28" t="s">
        <v>55</v>
      </c>
      <c r="D17" s="77">
        <v>157</v>
      </c>
      <c r="E17" s="29">
        <v>4022</v>
      </c>
      <c r="F17" s="70">
        <v>19</v>
      </c>
      <c r="G17" s="2" t="s">
        <v>56</v>
      </c>
      <c r="H17" s="89" t="s">
        <v>57</v>
      </c>
      <c r="I17" s="128"/>
      <c r="J17" s="26">
        <v>4</v>
      </c>
      <c r="K17" s="28" t="s">
        <v>58</v>
      </c>
      <c r="L17" s="77">
        <v>92</v>
      </c>
      <c r="M17" s="29">
        <v>2014</v>
      </c>
      <c r="N17" s="68">
        <v>3</v>
      </c>
      <c r="O17" s="25">
        <v>22</v>
      </c>
      <c r="P17" s="9" t="s">
        <v>43</v>
      </c>
    </row>
    <row r="18" spans="1:16" ht="24.75" thickBot="1" x14ac:dyDescent="0.6">
      <c r="A18" s="129"/>
      <c r="B18" s="27">
        <v>10</v>
      </c>
      <c r="C18" s="32" t="s">
        <v>59</v>
      </c>
      <c r="D18" s="77">
        <v>170</v>
      </c>
      <c r="E18" s="43">
        <v>4245</v>
      </c>
      <c r="F18" s="71">
        <v>19</v>
      </c>
      <c r="G18" s="16">
        <v>25</v>
      </c>
      <c r="H18" s="12" t="s">
        <v>33</v>
      </c>
      <c r="I18" s="128"/>
      <c r="J18" s="30">
        <v>6</v>
      </c>
      <c r="K18" s="31" t="s">
        <v>60</v>
      </c>
      <c r="L18" s="77">
        <v>132</v>
      </c>
      <c r="M18" s="29">
        <v>2898</v>
      </c>
      <c r="N18" s="74">
        <v>3</v>
      </c>
      <c r="O18" s="23">
        <v>22</v>
      </c>
      <c r="P18" s="5" t="s">
        <v>43</v>
      </c>
    </row>
    <row r="19" spans="1:16" ht="24.75" thickBot="1" x14ac:dyDescent="0.6">
      <c r="A19" s="115" t="s">
        <v>61</v>
      </c>
      <c r="B19" s="116"/>
      <c r="C19" s="117"/>
      <c r="D19" s="83">
        <v>327</v>
      </c>
      <c r="E19" s="88">
        <v>8267</v>
      </c>
      <c r="F19" s="154"/>
      <c r="G19" s="155"/>
      <c r="H19" s="156"/>
      <c r="I19" s="129"/>
      <c r="J19" s="27">
        <v>7</v>
      </c>
      <c r="K19" s="32" t="s">
        <v>62</v>
      </c>
      <c r="L19" s="77">
        <v>107</v>
      </c>
      <c r="M19" s="29">
        <v>2364</v>
      </c>
      <c r="N19" s="69">
        <v>3</v>
      </c>
      <c r="O19" s="24">
        <v>22</v>
      </c>
      <c r="P19" s="4" t="s">
        <v>43</v>
      </c>
    </row>
    <row r="20" spans="1:16" ht="24.75" thickBot="1" x14ac:dyDescent="0.6">
      <c r="A20" s="39" t="s">
        <v>63</v>
      </c>
      <c r="B20" s="40">
        <v>28</v>
      </c>
      <c r="C20" s="41" t="s">
        <v>64</v>
      </c>
      <c r="D20" s="77">
        <v>4</v>
      </c>
      <c r="E20" s="42">
        <v>92</v>
      </c>
      <c r="F20" s="72">
        <v>17</v>
      </c>
      <c r="G20" s="21">
        <v>25</v>
      </c>
      <c r="H20" s="8" t="s">
        <v>13</v>
      </c>
      <c r="I20" s="135" t="s">
        <v>65</v>
      </c>
      <c r="J20" s="136"/>
      <c r="K20" s="144"/>
      <c r="L20" s="104">
        <v>442</v>
      </c>
      <c r="M20" s="105">
        <v>9725</v>
      </c>
      <c r="N20" s="112"/>
      <c r="O20" s="113"/>
      <c r="P20" s="114"/>
    </row>
    <row r="21" spans="1:16" ht="24.75" thickBot="1" x14ac:dyDescent="0.6">
      <c r="A21" s="145" t="s">
        <v>66</v>
      </c>
      <c r="B21" s="146"/>
      <c r="C21" s="147"/>
      <c r="D21" s="85">
        <v>4</v>
      </c>
      <c r="E21" s="109">
        <v>92</v>
      </c>
      <c r="F21" s="148"/>
      <c r="G21" s="149"/>
      <c r="H21" s="150"/>
      <c r="I21" s="127" t="s">
        <v>67</v>
      </c>
      <c r="J21" s="46">
        <v>10</v>
      </c>
      <c r="K21" s="47" t="s">
        <v>68</v>
      </c>
      <c r="L21" s="78">
        <v>3</v>
      </c>
      <c r="M21" s="48">
        <v>61</v>
      </c>
      <c r="N21" s="102">
        <v>2</v>
      </c>
      <c r="O21" s="26">
        <v>22</v>
      </c>
      <c r="P21" s="3" t="s">
        <v>43</v>
      </c>
    </row>
    <row r="22" spans="1:16" x14ac:dyDescent="0.55000000000000004">
      <c r="A22" s="127" t="s">
        <v>69</v>
      </c>
      <c r="B22" s="26">
        <v>8</v>
      </c>
      <c r="C22" s="28" t="s">
        <v>70</v>
      </c>
      <c r="D22" s="77">
        <v>113</v>
      </c>
      <c r="E22" s="29">
        <v>2816</v>
      </c>
      <c r="F22" s="68">
        <v>13</v>
      </c>
      <c r="G22" s="22">
        <v>25</v>
      </c>
      <c r="H22" s="9" t="s">
        <v>33</v>
      </c>
      <c r="I22" s="128"/>
      <c r="J22" s="30">
        <v>18</v>
      </c>
      <c r="K22" s="4" t="s">
        <v>71</v>
      </c>
      <c r="L22" s="78">
        <v>8</v>
      </c>
      <c r="M22" s="49">
        <v>171</v>
      </c>
      <c r="N22" s="64">
        <v>2</v>
      </c>
      <c r="O22" s="27">
        <v>22</v>
      </c>
      <c r="P22" s="4" t="s">
        <v>43</v>
      </c>
    </row>
    <row r="23" spans="1:16" x14ac:dyDescent="0.55000000000000004">
      <c r="A23" s="128"/>
      <c r="B23" s="26">
        <v>8</v>
      </c>
      <c r="C23" s="28" t="s">
        <v>72</v>
      </c>
      <c r="D23" s="77">
        <v>9</v>
      </c>
      <c r="E23" s="29">
        <v>213</v>
      </c>
      <c r="F23" s="68">
        <v>13</v>
      </c>
      <c r="G23" s="22">
        <v>25</v>
      </c>
      <c r="H23" s="5" t="s">
        <v>33</v>
      </c>
      <c r="I23" s="128"/>
      <c r="J23" s="30">
        <v>21</v>
      </c>
      <c r="K23" s="50" t="s">
        <v>73</v>
      </c>
      <c r="L23" s="78">
        <v>11</v>
      </c>
      <c r="M23" s="44">
        <v>241</v>
      </c>
      <c r="N23" s="64">
        <v>2</v>
      </c>
      <c r="O23" s="27">
        <v>22</v>
      </c>
      <c r="P23" s="5" t="s">
        <v>43</v>
      </c>
    </row>
    <row r="24" spans="1:16" x14ac:dyDescent="0.55000000000000004">
      <c r="A24" s="128"/>
      <c r="B24" s="30">
        <v>19</v>
      </c>
      <c r="C24" s="31" t="s">
        <v>74</v>
      </c>
      <c r="D24" s="77">
        <v>128</v>
      </c>
      <c r="E24" s="29">
        <v>3199</v>
      </c>
      <c r="F24" s="68">
        <v>13</v>
      </c>
      <c r="G24" s="15">
        <v>25</v>
      </c>
      <c r="H24" s="5" t="s">
        <v>33</v>
      </c>
      <c r="I24" s="128"/>
      <c r="J24" s="26">
        <v>29</v>
      </c>
      <c r="K24" s="51" t="s">
        <v>75</v>
      </c>
      <c r="L24" s="77">
        <v>140</v>
      </c>
      <c r="M24" s="29">
        <v>3070</v>
      </c>
      <c r="N24" s="63">
        <v>2</v>
      </c>
      <c r="O24" s="27">
        <v>22</v>
      </c>
      <c r="P24" s="9" t="s">
        <v>43</v>
      </c>
    </row>
    <row r="25" spans="1:16" ht="24.75" thickBot="1" x14ac:dyDescent="0.6">
      <c r="A25" s="128"/>
      <c r="B25" s="30">
        <v>21</v>
      </c>
      <c r="C25" s="31" t="s">
        <v>76</v>
      </c>
      <c r="D25" s="77">
        <v>121</v>
      </c>
      <c r="E25" s="29">
        <v>3015</v>
      </c>
      <c r="F25" s="68">
        <v>13</v>
      </c>
      <c r="G25" s="15">
        <v>25</v>
      </c>
      <c r="H25" s="5" t="s">
        <v>33</v>
      </c>
      <c r="I25" s="129"/>
      <c r="J25" s="52">
        <v>30</v>
      </c>
      <c r="K25" s="53" t="s">
        <v>77</v>
      </c>
      <c r="L25" s="77">
        <v>149</v>
      </c>
      <c r="M25" s="43">
        <v>3270</v>
      </c>
      <c r="N25" s="63">
        <v>2</v>
      </c>
      <c r="O25" s="27">
        <v>22</v>
      </c>
      <c r="P25" s="13" t="s">
        <v>43</v>
      </c>
    </row>
    <row r="26" spans="1:16" ht="24.75" thickBot="1" x14ac:dyDescent="0.6">
      <c r="A26" s="129"/>
      <c r="B26" s="27">
        <v>28</v>
      </c>
      <c r="C26" s="32" t="s">
        <v>78</v>
      </c>
      <c r="D26" s="77">
        <v>56</v>
      </c>
      <c r="E26" s="29">
        <v>1403</v>
      </c>
      <c r="F26" s="73">
        <v>13</v>
      </c>
      <c r="G26" s="16">
        <v>25</v>
      </c>
      <c r="H26" s="6" t="s">
        <v>33</v>
      </c>
      <c r="I26" s="135" t="s">
        <v>79</v>
      </c>
      <c r="J26" s="136"/>
      <c r="K26" s="144"/>
      <c r="L26" s="104">
        <v>311</v>
      </c>
      <c r="M26" s="105">
        <v>6813</v>
      </c>
      <c r="N26" s="112"/>
      <c r="O26" s="113"/>
      <c r="P26" s="114"/>
    </row>
    <row r="27" spans="1:16" ht="24.75" thickBot="1" x14ac:dyDescent="0.6">
      <c r="A27" s="115" t="s">
        <v>80</v>
      </c>
      <c r="B27" s="116"/>
      <c r="C27" s="117"/>
      <c r="D27" s="83">
        <v>427</v>
      </c>
      <c r="E27" s="88">
        <v>10646</v>
      </c>
      <c r="F27" s="118"/>
      <c r="G27" s="119"/>
      <c r="H27" s="120"/>
      <c r="I27" s="127" t="s">
        <v>81</v>
      </c>
      <c r="J27" s="98">
        <v>1</v>
      </c>
      <c r="K27" s="91" t="s">
        <v>82</v>
      </c>
      <c r="L27" s="77">
        <v>144</v>
      </c>
      <c r="M27" s="96">
        <v>3171</v>
      </c>
      <c r="N27" s="102">
        <v>1</v>
      </c>
      <c r="O27" s="95">
        <v>22</v>
      </c>
      <c r="P27" s="6" t="s">
        <v>43</v>
      </c>
    </row>
    <row r="28" spans="1:16" ht="24.75" thickBot="1" x14ac:dyDescent="0.6">
      <c r="A28" s="127" t="s">
        <v>83</v>
      </c>
      <c r="B28" s="26">
        <v>3</v>
      </c>
      <c r="C28" s="28" t="s">
        <v>84</v>
      </c>
      <c r="D28" s="77">
        <v>169</v>
      </c>
      <c r="E28" s="29">
        <v>4231</v>
      </c>
      <c r="F28" s="68">
        <v>12</v>
      </c>
      <c r="G28" s="22">
        <v>25</v>
      </c>
      <c r="H28" s="9" t="s">
        <v>33</v>
      </c>
      <c r="I28" s="129"/>
      <c r="J28" s="99">
        <v>2</v>
      </c>
      <c r="K28" s="93" t="s">
        <v>85</v>
      </c>
      <c r="L28" s="94">
        <v>134</v>
      </c>
      <c r="M28" s="97">
        <v>2950</v>
      </c>
      <c r="N28" s="103">
        <v>1</v>
      </c>
      <c r="O28" s="92">
        <v>22</v>
      </c>
      <c r="P28" s="13" t="s">
        <v>43</v>
      </c>
    </row>
    <row r="29" spans="1:16" ht="24.75" thickBot="1" x14ac:dyDescent="0.6">
      <c r="A29" s="128"/>
      <c r="B29" s="30">
        <v>12</v>
      </c>
      <c r="C29" s="31" t="s">
        <v>86</v>
      </c>
      <c r="D29" s="77">
        <v>171</v>
      </c>
      <c r="E29" s="29">
        <v>4265</v>
      </c>
      <c r="F29" s="74">
        <v>12</v>
      </c>
      <c r="G29" s="15">
        <v>25</v>
      </c>
      <c r="H29" s="5" t="s">
        <v>33</v>
      </c>
      <c r="I29" s="135" t="s">
        <v>87</v>
      </c>
      <c r="J29" s="136"/>
      <c r="K29" s="137"/>
      <c r="L29" s="81">
        <v>278</v>
      </c>
      <c r="M29" s="82">
        <v>6121</v>
      </c>
      <c r="N29" s="112"/>
      <c r="O29" s="113"/>
      <c r="P29" s="114"/>
    </row>
    <row r="30" spans="1:16" ht="24.75" thickBot="1" x14ac:dyDescent="0.6">
      <c r="A30" s="129"/>
      <c r="B30" s="27">
        <v>14</v>
      </c>
      <c r="C30" s="32" t="s">
        <v>88</v>
      </c>
      <c r="D30" s="77">
        <v>67</v>
      </c>
      <c r="E30" s="29">
        <v>1663</v>
      </c>
      <c r="F30" s="69">
        <v>12</v>
      </c>
      <c r="G30" s="16">
        <v>25</v>
      </c>
      <c r="H30" s="6" t="s">
        <v>33</v>
      </c>
      <c r="I30" s="138" t="s">
        <v>89</v>
      </c>
      <c r="J30" s="139"/>
      <c r="K30" s="140"/>
      <c r="L30" s="106">
        <v>1031</v>
      </c>
      <c r="M30" s="107">
        <v>22659</v>
      </c>
      <c r="N30" s="141"/>
      <c r="O30" s="142"/>
      <c r="P30" s="143"/>
    </row>
    <row r="31" spans="1:16" ht="24.75" thickBot="1" x14ac:dyDescent="0.6">
      <c r="A31" s="115" t="s">
        <v>90</v>
      </c>
      <c r="B31" s="116"/>
      <c r="C31" s="117"/>
      <c r="D31" s="83">
        <v>407</v>
      </c>
      <c r="E31" s="88">
        <v>10159</v>
      </c>
      <c r="F31" s="118"/>
      <c r="G31" s="119"/>
      <c r="H31" s="120"/>
      <c r="I31" s="121" t="s">
        <v>91</v>
      </c>
      <c r="J31" s="122"/>
      <c r="K31" s="123"/>
      <c r="L31" s="110">
        <v>4941</v>
      </c>
      <c r="M31" s="111">
        <v>116623</v>
      </c>
      <c r="N31" s="124"/>
      <c r="O31" s="125"/>
      <c r="P31" s="126"/>
    </row>
    <row r="32" spans="1:16" x14ac:dyDescent="0.55000000000000004">
      <c r="A32" s="127" t="s">
        <v>92</v>
      </c>
      <c r="B32" s="26">
        <v>9</v>
      </c>
      <c r="C32" s="28" t="s">
        <v>93</v>
      </c>
      <c r="D32" s="77">
        <v>117</v>
      </c>
      <c r="E32" s="29">
        <v>2934</v>
      </c>
      <c r="F32" s="68">
        <v>11</v>
      </c>
      <c r="G32" s="22">
        <v>25</v>
      </c>
      <c r="H32" s="11" t="s">
        <v>33</v>
      </c>
      <c r="I32" s="1"/>
      <c r="J32" s="1"/>
      <c r="K32" s="1"/>
      <c r="L32" s="1"/>
      <c r="M32" s="1"/>
      <c r="N32" s="1"/>
      <c r="O32" s="1"/>
      <c r="P32" s="1"/>
    </row>
    <row r="33" spans="1:15" x14ac:dyDescent="0.55000000000000004">
      <c r="A33" s="128"/>
      <c r="B33" s="30">
        <v>11</v>
      </c>
      <c r="C33" s="31" t="s">
        <v>94</v>
      </c>
      <c r="D33" s="77">
        <v>116</v>
      </c>
      <c r="E33" s="29">
        <v>2903</v>
      </c>
      <c r="F33" s="74">
        <v>11</v>
      </c>
      <c r="G33" s="15">
        <v>25</v>
      </c>
      <c r="H33" s="5" t="s">
        <v>33</v>
      </c>
      <c r="I33" s="1"/>
      <c r="J33" s="130" t="s">
        <v>95</v>
      </c>
      <c r="K33" s="59" t="s">
        <v>96</v>
      </c>
      <c r="L33" s="57">
        <v>1307</v>
      </c>
      <c r="M33" s="54" t="s">
        <v>97</v>
      </c>
      <c r="N33" s="1"/>
      <c r="O33" s="55"/>
    </row>
    <row r="34" spans="1:15" x14ac:dyDescent="0.55000000000000004">
      <c r="A34" s="128"/>
      <c r="B34" s="30">
        <v>13</v>
      </c>
      <c r="C34" s="31" t="s">
        <v>98</v>
      </c>
      <c r="D34" s="77">
        <v>115</v>
      </c>
      <c r="E34" s="29">
        <v>2864</v>
      </c>
      <c r="F34" s="74">
        <v>11</v>
      </c>
      <c r="G34" s="15">
        <v>25</v>
      </c>
      <c r="H34" s="5" t="s">
        <v>33</v>
      </c>
      <c r="I34" s="1"/>
      <c r="J34" s="130"/>
      <c r="K34" s="60" t="s">
        <v>99</v>
      </c>
      <c r="L34" s="58">
        <v>2715</v>
      </c>
      <c r="M34" s="56" t="s">
        <v>100</v>
      </c>
      <c r="N34" s="1"/>
      <c r="O34" s="1"/>
    </row>
    <row r="35" spans="1:15" x14ac:dyDescent="0.55000000000000004">
      <c r="A35" s="128"/>
      <c r="B35" s="30">
        <v>17</v>
      </c>
      <c r="C35" s="31" t="s">
        <v>101</v>
      </c>
      <c r="D35" s="77">
        <v>128</v>
      </c>
      <c r="E35" s="29">
        <v>2825</v>
      </c>
      <c r="F35" s="74">
        <v>11</v>
      </c>
      <c r="G35" s="15">
        <v>22</v>
      </c>
      <c r="H35" s="5" t="s">
        <v>33</v>
      </c>
      <c r="I35" s="1"/>
      <c r="J35" s="131" t="s">
        <v>102</v>
      </c>
      <c r="K35" s="60" t="s">
        <v>33</v>
      </c>
      <c r="L35" s="76">
        <v>1084</v>
      </c>
      <c r="M35" s="131" t="s">
        <v>103</v>
      </c>
      <c r="N35" s="1"/>
      <c r="O35" s="1"/>
    </row>
    <row r="36" spans="1:15" ht="24.75" thickBot="1" x14ac:dyDescent="0.6">
      <c r="A36" s="129"/>
      <c r="B36" s="27">
        <v>18</v>
      </c>
      <c r="C36" s="32" t="s">
        <v>104</v>
      </c>
      <c r="D36" s="77">
        <v>129</v>
      </c>
      <c r="E36" s="29">
        <v>2843</v>
      </c>
      <c r="F36" s="69">
        <v>11</v>
      </c>
      <c r="G36" s="16">
        <v>22</v>
      </c>
      <c r="H36" s="6" t="s">
        <v>33</v>
      </c>
      <c r="I36" s="1"/>
      <c r="J36" s="131"/>
      <c r="K36" s="60" t="s">
        <v>105</v>
      </c>
      <c r="L36" s="76">
        <v>2416</v>
      </c>
      <c r="M36" s="131"/>
      <c r="N36" s="1"/>
      <c r="O36" s="1"/>
    </row>
    <row r="37" spans="1:15" ht="24.75" thickBot="1" x14ac:dyDescent="0.6">
      <c r="A37" s="115" t="s">
        <v>106</v>
      </c>
      <c r="B37" s="116"/>
      <c r="C37" s="117"/>
      <c r="D37" s="83">
        <v>605</v>
      </c>
      <c r="E37" s="88">
        <v>14369</v>
      </c>
      <c r="F37" s="118"/>
      <c r="G37" s="119"/>
      <c r="H37" s="120"/>
      <c r="I37" s="1"/>
      <c r="J37" s="131" t="s">
        <v>107</v>
      </c>
      <c r="K37" s="60" t="s">
        <v>105</v>
      </c>
      <c r="L37" s="76">
        <v>1628</v>
      </c>
      <c r="M37" s="131"/>
      <c r="N37" s="1"/>
      <c r="O37" s="1"/>
    </row>
    <row r="38" spans="1:15" x14ac:dyDescent="0.55000000000000004">
      <c r="A38" s="127" t="s">
        <v>108</v>
      </c>
      <c r="B38" s="26">
        <v>4</v>
      </c>
      <c r="C38" s="28" t="s">
        <v>109</v>
      </c>
      <c r="D38" s="77">
        <v>154</v>
      </c>
      <c r="E38" s="29">
        <v>3851</v>
      </c>
      <c r="F38" s="68">
        <v>9</v>
      </c>
      <c r="G38" s="14">
        <v>25</v>
      </c>
      <c r="H38" s="9" t="s">
        <v>110</v>
      </c>
      <c r="I38" s="1"/>
      <c r="J38" s="131"/>
      <c r="K38" s="60" t="s">
        <v>43</v>
      </c>
      <c r="L38" s="76">
        <v>2056</v>
      </c>
      <c r="M38" s="131"/>
      <c r="N38" s="1"/>
      <c r="O38" s="1"/>
    </row>
    <row r="39" spans="1:15" x14ac:dyDescent="0.55000000000000004">
      <c r="A39" s="128"/>
      <c r="B39" s="30">
        <v>8</v>
      </c>
      <c r="C39" s="31" t="s">
        <v>111</v>
      </c>
      <c r="D39" s="77">
        <v>139</v>
      </c>
      <c r="E39" s="29">
        <v>3476</v>
      </c>
      <c r="F39" s="74">
        <v>9</v>
      </c>
      <c r="G39" s="15">
        <v>25</v>
      </c>
      <c r="H39" s="5" t="s">
        <v>110</v>
      </c>
      <c r="I39" s="1"/>
      <c r="J39" s="1"/>
      <c r="K39" s="1"/>
      <c r="L39" s="1"/>
      <c r="M39" s="1"/>
      <c r="N39" s="1"/>
      <c r="O39" s="1"/>
    </row>
    <row r="40" spans="1:15" ht="24.75" thickBot="1" x14ac:dyDescent="0.6">
      <c r="A40" s="129"/>
      <c r="B40" s="27">
        <v>9</v>
      </c>
      <c r="C40" s="32" t="s">
        <v>112</v>
      </c>
      <c r="D40" s="77">
        <v>165</v>
      </c>
      <c r="E40" s="29">
        <v>4127</v>
      </c>
      <c r="F40" s="69">
        <v>9</v>
      </c>
      <c r="G40" s="16">
        <v>25</v>
      </c>
      <c r="H40" s="6" t="s">
        <v>110</v>
      </c>
      <c r="I40" s="1"/>
      <c r="J40" s="1"/>
      <c r="K40" s="1"/>
      <c r="L40" s="1"/>
      <c r="M40" s="1"/>
      <c r="N40" s="1"/>
      <c r="O40" s="1"/>
    </row>
    <row r="41" spans="1:15" ht="24.75" thickBot="1" x14ac:dyDescent="0.6">
      <c r="A41" s="115" t="s">
        <v>113</v>
      </c>
      <c r="B41" s="116"/>
      <c r="C41" s="117"/>
      <c r="D41" s="83">
        <v>458</v>
      </c>
      <c r="E41" s="88">
        <v>11454</v>
      </c>
      <c r="F41" s="118"/>
      <c r="G41" s="119"/>
      <c r="H41" s="120"/>
      <c r="I41" s="1"/>
      <c r="J41" s="1"/>
      <c r="K41" s="1"/>
      <c r="L41" s="1"/>
      <c r="M41" s="1"/>
      <c r="N41" s="1"/>
      <c r="O41" s="1"/>
    </row>
  </sheetData>
  <mergeCells count="59">
    <mergeCell ref="A8:C8"/>
    <mergeCell ref="F8:H8"/>
    <mergeCell ref="I8:I10"/>
    <mergeCell ref="A9:A10"/>
    <mergeCell ref="A11:C11"/>
    <mergeCell ref="F11:H11"/>
    <mergeCell ref="I11:K11"/>
    <mergeCell ref="A1:P1"/>
    <mergeCell ref="A2:P2"/>
    <mergeCell ref="I4:I6"/>
    <mergeCell ref="A6:C6"/>
    <mergeCell ref="F6:H6"/>
    <mergeCell ref="I7:K7"/>
    <mergeCell ref="N7:P7"/>
    <mergeCell ref="A16:C16"/>
    <mergeCell ref="F16:H16"/>
    <mergeCell ref="I16:I19"/>
    <mergeCell ref="A17:A18"/>
    <mergeCell ref="A19:C19"/>
    <mergeCell ref="F19:H19"/>
    <mergeCell ref="N11:P11"/>
    <mergeCell ref="I12:I13"/>
    <mergeCell ref="A13:C13"/>
    <mergeCell ref="F13:H13"/>
    <mergeCell ref="A14:A15"/>
    <mergeCell ref="I14:K14"/>
    <mergeCell ref="N14:P14"/>
    <mergeCell ref="I15:K15"/>
    <mergeCell ref="N15:P15"/>
    <mergeCell ref="A27:C27"/>
    <mergeCell ref="F27:H27"/>
    <mergeCell ref="I27:I28"/>
    <mergeCell ref="A28:A30"/>
    <mergeCell ref="I29:K29"/>
    <mergeCell ref="N29:P29"/>
    <mergeCell ref="I30:K30"/>
    <mergeCell ref="N30:P30"/>
    <mergeCell ref="I20:K20"/>
    <mergeCell ref="N20:P20"/>
    <mergeCell ref="A21:C21"/>
    <mergeCell ref="F21:H21"/>
    <mergeCell ref="I21:I25"/>
    <mergeCell ref="A22:A26"/>
    <mergeCell ref="I26:K26"/>
    <mergeCell ref="N26:P26"/>
    <mergeCell ref="A41:C41"/>
    <mergeCell ref="F41:H41"/>
    <mergeCell ref="A31:C31"/>
    <mergeCell ref="F31:H31"/>
    <mergeCell ref="I31:K31"/>
    <mergeCell ref="N31:P31"/>
    <mergeCell ref="A32:A36"/>
    <mergeCell ref="J33:J34"/>
    <mergeCell ref="J35:J36"/>
    <mergeCell ref="M35:M38"/>
    <mergeCell ref="A37:C37"/>
    <mergeCell ref="F37:H37"/>
    <mergeCell ref="J37:J38"/>
    <mergeCell ref="A38:A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tabSelected="1" topLeftCell="A32" zoomScale="80" zoomScaleNormal="80" workbookViewId="0">
      <selection activeCell="K39" sqref="K39:M45"/>
    </sheetView>
  </sheetViews>
  <sheetFormatPr defaultRowHeight="24" x14ac:dyDescent="0.55000000000000004"/>
  <cols>
    <col min="1" max="1" width="24.5" customWidth="1"/>
    <col min="8" max="8" width="13.125" customWidth="1"/>
    <col min="9" max="9" width="22.25" customWidth="1"/>
    <col min="16" max="16" width="21.125" customWidth="1"/>
  </cols>
  <sheetData>
    <row r="1" spans="1:18" ht="36.75" thickBot="1" x14ac:dyDescent="0.6">
      <c r="A1" s="168" t="s">
        <v>114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9"/>
      <c r="R1" s="169"/>
    </row>
    <row r="2" spans="1:18" x14ac:dyDescent="0.55000000000000004">
      <c r="A2" s="170" t="s">
        <v>2</v>
      </c>
      <c r="B2" s="171" t="s">
        <v>3</v>
      </c>
      <c r="C2" s="171" t="s">
        <v>115</v>
      </c>
      <c r="D2" s="171" t="s">
        <v>5</v>
      </c>
      <c r="E2" s="171" t="s">
        <v>6</v>
      </c>
      <c r="F2" s="172" t="s">
        <v>116</v>
      </c>
      <c r="G2" s="171" t="s">
        <v>117</v>
      </c>
      <c r="H2" s="173" t="s">
        <v>118</v>
      </c>
      <c r="I2" s="174" t="s">
        <v>2</v>
      </c>
      <c r="J2" s="175" t="s">
        <v>3</v>
      </c>
      <c r="K2" s="175" t="s">
        <v>115</v>
      </c>
      <c r="L2" s="176" t="s">
        <v>5</v>
      </c>
      <c r="M2" s="177" t="s">
        <v>6</v>
      </c>
      <c r="N2" s="178" t="s">
        <v>116</v>
      </c>
      <c r="O2" s="176" t="s">
        <v>117</v>
      </c>
      <c r="P2" s="179" t="s">
        <v>118</v>
      </c>
      <c r="Q2" s="169"/>
      <c r="R2" s="169"/>
    </row>
    <row r="3" spans="1:18" ht="24.75" thickBot="1" x14ac:dyDescent="0.6">
      <c r="A3" s="180"/>
      <c r="B3" s="181"/>
      <c r="C3" s="181"/>
      <c r="D3" s="181"/>
      <c r="E3" s="181"/>
      <c r="F3" s="181"/>
      <c r="G3" s="181"/>
      <c r="H3" s="182"/>
      <c r="I3" s="183"/>
      <c r="J3" s="184"/>
      <c r="K3" s="184"/>
      <c r="L3" s="185"/>
      <c r="M3" s="186"/>
      <c r="N3" s="186"/>
      <c r="O3" s="185"/>
      <c r="P3" s="187"/>
      <c r="Q3" s="169"/>
      <c r="R3" s="169"/>
    </row>
    <row r="4" spans="1:18" ht="24.75" thickBot="1" x14ac:dyDescent="0.6">
      <c r="A4" s="188" t="s">
        <v>119</v>
      </c>
      <c r="B4" s="189">
        <v>1</v>
      </c>
      <c r="C4" s="189" t="s">
        <v>120</v>
      </c>
      <c r="D4" s="190">
        <v>82</v>
      </c>
      <c r="E4" s="191">
        <v>1813</v>
      </c>
      <c r="F4" s="190">
        <v>39</v>
      </c>
      <c r="G4" s="192">
        <v>22</v>
      </c>
      <c r="H4" s="193" t="s">
        <v>121</v>
      </c>
      <c r="I4" s="194" t="s">
        <v>122</v>
      </c>
      <c r="J4" s="195">
        <v>6</v>
      </c>
      <c r="K4" s="195" t="s">
        <v>123</v>
      </c>
      <c r="L4" s="196">
        <v>142</v>
      </c>
      <c r="M4" s="197">
        <v>3259</v>
      </c>
      <c r="N4" s="196">
        <v>9</v>
      </c>
      <c r="O4" s="198" t="s">
        <v>124</v>
      </c>
      <c r="P4" s="199" t="s">
        <v>125</v>
      </c>
      <c r="Q4" s="200" t="s">
        <v>126</v>
      </c>
      <c r="R4" s="201">
        <v>1811</v>
      </c>
    </row>
    <row r="5" spans="1:18" ht="24.75" thickBot="1" x14ac:dyDescent="0.6">
      <c r="A5" s="202"/>
      <c r="B5" s="203">
        <v>3</v>
      </c>
      <c r="C5" s="203" t="s">
        <v>127</v>
      </c>
      <c r="D5" s="190">
        <v>72</v>
      </c>
      <c r="E5" s="204">
        <v>1574</v>
      </c>
      <c r="F5" s="205">
        <v>39</v>
      </c>
      <c r="G5" s="206">
        <v>22</v>
      </c>
      <c r="H5" s="207"/>
      <c r="I5" s="208" t="s">
        <v>128</v>
      </c>
      <c r="J5" s="209"/>
      <c r="K5" s="210"/>
      <c r="L5" s="211">
        <v>142</v>
      </c>
      <c r="M5" s="211">
        <v>3259</v>
      </c>
      <c r="N5" s="212"/>
      <c r="O5" s="213"/>
      <c r="P5" s="214"/>
      <c r="Q5" s="200" t="s">
        <v>129</v>
      </c>
      <c r="R5" s="201">
        <v>528</v>
      </c>
    </row>
    <row r="6" spans="1:18" ht="24.75" thickBot="1" x14ac:dyDescent="0.6">
      <c r="A6" s="215"/>
      <c r="B6" s="216">
        <v>4</v>
      </c>
      <c r="C6" s="216" t="s">
        <v>130</v>
      </c>
      <c r="D6" s="190">
        <v>69</v>
      </c>
      <c r="E6" s="217">
        <v>1509</v>
      </c>
      <c r="F6" s="218">
        <v>39</v>
      </c>
      <c r="G6" s="219">
        <v>22</v>
      </c>
      <c r="H6" s="220"/>
      <c r="I6" s="188" t="s">
        <v>131</v>
      </c>
      <c r="J6" s="189">
        <v>1</v>
      </c>
      <c r="K6" s="189" t="s">
        <v>132</v>
      </c>
      <c r="L6" s="190">
        <v>24</v>
      </c>
      <c r="M6" s="221">
        <v>534</v>
      </c>
      <c r="N6" s="190">
        <v>6</v>
      </c>
      <c r="O6" s="192">
        <v>22</v>
      </c>
      <c r="P6" s="193" t="s">
        <v>133</v>
      </c>
      <c r="Q6" s="200" t="s">
        <v>119</v>
      </c>
      <c r="R6" s="201">
        <v>223</v>
      </c>
    </row>
    <row r="7" spans="1:18" ht="24.75" thickBot="1" x14ac:dyDescent="0.6">
      <c r="A7" s="222" t="s">
        <v>134</v>
      </c>
      <c r="B7" s="223"/>
      <c r="C7" s="224"/>
      <c r="D7" s="225">
        <v>223</v>
      </c>
      <c r="E7" s="225">
        <v>4896</v>
      </c>
      <c r="F7" s="226"/>
      <c r="G7" s="227"/>
      <c r="H7" s="228"/>
      <c r="I7" s="215" t="s">
        <v>135</v>
      </c>
      <c r="J7" s="203">
        <v>3</v>
      </c>
      <c r="K7" s="203" t="s">
        <v>136</v>
      </c>
      <c r="L7" s="190">
        <v>39</v>
      </c>
      <c r="M7" s="229">
        <v>980</v>
      </c>
      <c r="N7" s="205">
        <v>6</v>
      </c>
      <c r="O7" s="206">
        <v>25</v>
      </c>
      <c r="P7" s="207" t="s">
        <v>137</v>
      </c>
      <c r="Q7" s="200" t="s">
        <v>138</v>
      </c>
      <c r="R7" s="201">
        <v>1243</v>
      </c>
    </row>
    <row r="8" spans="1:18" ht="24.75" thickBot="1" x14ac:dyDescent="0.6">
      <c r="A8" s="194" t="s">
        <v>138</v>
      </c>
      <c r="B8" s="195">
        <v>5</v>
      </c>
      <c r="C8" s="195" t="s">
        <v>139</v>
      </c>
      <c r="D8" s="190">
        <v>8</v>
      </c>
      <c r="E8" s="230">
        <v>184</v>
      </c>
      <c r="F8" s="231">
        <v>47</v>
      </c>
      <c r="G8" s="196">
        <v>22</v>
      </c>
      <c r="H8" s="232" t="s">
        <v>121</v>
      </c>
      <c r="I8" s="202" t="s">
        <v>140</v>
      </c>
      <c r="J8" s="216">
        <v>3</v>
      </c>
      <c r="K8" s="216" t="s">
        <v>141</v>
      </c>
      <c r="L8" s="190">
        <v>14</v>
      </c>
      <c r="M8" s="205">
        <v>309</v>
      </c>
      <c r="N8" s="218">
        <v>6</v>
      </c>
      <c r="O8" s="219">
        <v>22</v>
      </c>
      <c r="P8" s="220"/>
      <c r="Q8" s="200" t="s">
        <v>142</v>
      </c>
      <c r="R8" s="201">
        <v>887</v>
      </c>
    </row>
    <row r="9" spans="1:18" ht="24.75" thickBot="1" x14ac:dyDescent="0.6">
      <c r="A9" s="233" t="s">
        <v>143</v>
      </c>
      <c r="B9" s="234"/>
      <c r="C9" s="235"/>
      <c r="D9" s="236">
        <v>8</v>
      </c>
      <c r="E9" s="236">
        <v>184</v>
      </c>
      <c r="F9" s="237"/>
      <c r="G9" s="238"/>
      <c r="H9" s="239"/>
      <c r="I9" s="194" t="s">
        <v>140</v>
      </c>
      <c r="J9" s="216">
        <v>7</v>
      </c>
      <c r="K9" s="216" t="s">
        <v>144</v>
      </c>
      <c r="L9" s="190">
        <v>109</v>
      </c>
      <c r="M9" s="240">
        <v>2388</v>
      </c>
      <c r="N9" s="218">
        <v>6</v>
      </c>
      <c r="O9" s="219">
        <v>22</v>
      </c>
      <c r="P9" s="220" t="s">
        <v>137</v>
      </c>
      <c r="Q9" s="200"/>
      <c r="R9" s="200"/>
    </row>
    <row r="10" spans="1:18" ht="24.75" thickBot="1" x14ac:dyDescent="0.6">
      <c r="A10" s="188" t="s">
        <v>126</v>
      </c>
      <c r="B10" s="189">
        <v>10</v>
      </c>
      <c r="C10" s="189" t="s">
        <v>145</v>
      </c>
      <c r="D10" s="190">
        <v>111</v>
      </c>
      <c r="E10" s="221">
        <v>2785</v>
      </c>
      <c r="F10" s="190">
        <v>20</v>
      </c>
      <c r="G10" s="192">
        <v>25</v>
      </c>
      <c r="H10" s="193" t="s">
        <v>105</v>
      </c>
      <c r="I10" s="208" t="s">
        <v>146</v>
      </c>
      <c r="J10" s="209"/>
      <c r="K10" s="210"/>
      <c r="L10" s="241">
        <f>L6+L7+L8+L9</f>
        <v>186</v>
      </c>
      <c r="M10" s="241">
        <f>M6+M7+M8+M9</f>
        <v>4211</v>
      </c>
      <c r="N10" s="242"/>
      <c r="O10" s="243"/>
      <c r="P10" s="244"/>
      <c r="Q10" s="200"/>
      <c r="R10" s="200"/>
    </row>
    <row r="11" spans="1:18" ht="24.75" thickBot="1" x14ac:dyDescent="0.6">
      <c r="A11" s="202" t="s">
        <v>147</v>
      </c>
      <c r="B11" s="203">
        <v>11</v>
      </c>
      <c r="C11" s="203" t="s">
        <v>148</v>
      </c>
      <c r="D11" s="190">
        <v>97</v>
      </c>
      <c r="E11" s="229">
        <v>2421</v>
      </c>
      <c r="F11" s="205">
        <v>20</v>
      </c>
      <c r="G11" s="206">
        <v>25</v>
      </c>
      <c r="H11" s="207"/>
      <c r="I11" s="194" t="s">
        <v>149</v>
      </c>
      <c r="J11" s="195">
        <v>8</v>
      </c>
      <c r="K11" s="195" t="s">
        <v>150</v>
      </c>
      <c r="L11" s="190">
        <v>108</v>
      </c>
      <c r="M11" s="245">
        <v>2365</v>
      </c>
      <c r="N11" s="195">
        <v>6</v>
      </c>
      <c r="O11" s="195">
        <v>22</v>
      </c>
      <c r="P11" s="246" t="s">
        <v>33</v>
      </c>
      <c r="Q11" s="200"/>
      <c r="R11" s="200"/>
    </row>
    <row r="12" spans="1:18" ht="24.75" thickBot="1" x14ac:dyDescent="0.6">
      <c r="A12" s="202"/>
      <c r="B12" s="203">
        <v>12</v>
      </c>
      <c r="C12" s="203" t="s">
        <v>151</v>
      </c>
      <c r="D12" s="190">
        <v>151</v>
      </c>
      <c r="E12" s="229">
        <v>3764</v>
      </c>
      <c r="F12" s="205">
        <v>20</v>
      </c>
      <c r="G12" s="206">
        <v>25</v>
      </c>
      <c r="H12" s="207"/>
      <c r="I12" s="247" t="s">
        <v>152</v>
      </c>
      <c r="J12" s="248"/>
      <c r="K12" s="249"/>
      <c r="L12" s="250">
        <v>108</v>
      </c>
      <c r="M12" s="250">
        <v>2365</v>
      </c>
      <c r="N12" s="251"/>
      <c r="O12" s="252"/>
      <c r="P12" s="253"/>
      <c r="Q12" s="200"/>
      <c r="R12" s="200"/>
    </row>
    <row r="13" spans="1:18" ht="24.75" thickBot="1" x14ac:dyDescent="0.6">
      <c r="A13" s="215"/>
      <c r="B13" s="216">
        <v>13</v>
      </c>
      <c r="C13" s="216" t="s">
        <v>153</v>
      </c>
      <c r="D13" s="190">
        <v>116</v>
      </c>
      <c r="E13" s="240">
        <v>2893</v>
      </c>
      <c r="F13" s="218">
        <v>20</v>
      </c>
      <c r="G13" s="219">
        <v>25</v>
      </c>
      <c r="H13" s="220"/>
      <c r="I13" s="188" t="s">
        <v>154</v>
      </c>
      <c r="J13" s="189">
        <v>6</v>
      </c>
      <c r="K13" s="254" t="s">
        <v>155</v>
      </c>
      <c r="L13" s="190">
        <v>131</v>
      </c>
      <c r="M13" s="255">
        <v>2886</v>
      </c>
      <c r="N13" s="190">
        <v>5</v>
      </c>
      <c r="O13" s="192">
        <v>22</v>
      </c>
      <c r="P13" s="193" t="s">
        <v>156</v>
      </c>
      <c r="Q13" s="200"/>
      <c r="R13" s="200"/>
    </row>
    <row r="14" spans="1:18" ht="24.75" thickBot="1" x14ac:dyDescent="0.6">
      <c r="A14" s="208" t="s">
        <v>157</v>
      </c>
      <c r="B14" s="209"/>
      <c r="C14" s="210"/>
      <c r="D14" s="256">
        <v>475</v>
      </c>
      <c r="E14" s="256">
        <v>11863</v>
      </c>
      <c r="F14" s="257"/>
      <c r="G14" s="258"/>
      <c r="H14" s="259"/>
      <c r="I14" s="215" t="s">
        <v>158</v>
      </c>
      <c r="J14" s="203">
        <v>7</v>
      </c>
      <c r="K14" s="260" t="s">
        <v>159</v>
      </c>
      <c r="L14" s="190">
        <v>117</v>
      </c>
      <c r="M14" s="261">
        <v>2579</v>
      </c>
      <c r="N14" s="205">
        <v>5</v>
      </c>
      <c r="O14" s="206">
        <v>22</v>
      </c>
      <c r="P14" s="262" t="s">
        <v>160</v>
      </c>
      <c r="Q14" s="200"/>
      <c r="R14" s="200"/>
    </row>
    <row r="15" spans="1:18" x14ac:dyDescent="0.55000000000000004">
      <c r="A15" s="188" t="s">
        <v>126</v>
      </c>
      <c r="B15" s="189">
        <v>4</v>
      </c>
      <c r="C15" s="192" t="s">
        <v>161</v>
      </c>
      <c r="D15" s="190">
        <v>195</v>
      </c>
      <c r="E15" s="221">
        <v>4864</v>
      </c>
      <c r="F15" s="190">
        <v>19</v>
      </c>
      <c r="G15" s="192">
        <v>25</v>
      </c>
      <c r="H15" s="193" t="s">
        <v>162</v>
      </c>
      <c r="I15" s="215" t="s">
        <v>163</v>
      </c>
      <c r="J15" s="203">
        <v>8</v>
      </c>
      <c r="K15" s="260" t="s">
        <v>164</v>
      </c>
      <c r="L15" s="190">
        <v>155</v>
      </c>
      <c r="M15" s="261">
        <v>3402</v>
      </c>
      <c r="N15" s="205">
        <v>5</v>
      </c>
      <c r="O15" s="206">
        <v>22</v>
      </c>
      <c r="P15" s="207" t="s">
        <v>165</v>
      </c>
      <c r="Q15" s="200"/>
      <c r="R15" s="200"/>
    </row>
    <row r="16" spans="1:18" ht="24.75" thickBot="1" x14ac:dyDescent="0.6">
      <c r="A16" s="215" t="s">
        <v>166</v>
      </c>
      <c r="B16" s="216">
        <v>5</v>
      </c>
      <c r="C16" s="219" t="s">
        <v>167</v>
      </c>
      <c r="D16" s="190">
        <v>171</v>
      </c>
      <c r="E16" s="240">
        <v>4608</v>
      </c>
      <c r="F16" s="218">
        <v>19</v>
      </c>
      <c r="G16" s="219">
        <v>27</v>
      </c>
      <c r="H16" s="220" t="s">
        <v>96</v>
      </c>
      <c r="I16" s="215" t="s">
        <v>168</v>
      </c>
      <c r="J16" s="216">
        <v>9</v>
      </c>
      <c r="K16" s="263" t="s">
        <v>169</v>
      </c>
      <c r="L16" s="190">
        <v>100</v>
      </c>
      <c r="M16" s="264">
        <v>2192</v>
      </c>
      <c r="N16" s="218">
        <v>5</v>
      </c>
      <c r="O16" s="219">
        <v>22</v>
      </c>
      <c r="P16" s="220" t="s">
        <v>170</v>
      </c>
      <c r="Q16" s="200"/>
      <c r="R16" s="200"/>
    </row>
    <row r="17" spans="1:16" ht="24.75" thickBot="1" x14ac:dyDescent="0.6">
      <c r="A17" s="208" t="s">
        <v>171</v>
      </c>
      <c r="B17" s="209"/>
      <c r="C17" s="210"/>
      <c r="D17" s="241">
        <v>366</v>
      </c>
      <c r="E17" s="241">
        <v>9472</v>
      </c>
      <c r="F17" s="242"/>
      <c r="G17" s="243"/>
      <c r="H17" s="244"/>
      <c r="I17" s="265" t="s">
        <v>172</v>
      </c>
      <c r="J17" s="266"/>
      <c r="K17" s="267"/>
      <c r="L17" s="268">
        <v>503</v>
      </c>
      <c r="M17" s="268">
        <v>11059</v>
      </c>
      <c r="N17" s="269"/>
      <c r="O17" s="270"/>
      <c r="P17" s="271"/>
    </row>
    <row r="18" spans="1:16" ht="24.75" thickBot="1" x14ac:dyDescent="0.6">
      <c r="A18" s="188" t="s">
        <v>138</v>
      </c>
      <c r="B18" s="189">
        <v>5</v>
      </c>
      <c r="C18" s="272" t="s">
        <v>173</v>
      </c>
      <c r="D18" s="190">
        <v>103</v>
      </c>
      <c r="E18" s="190">
        <v>2792</v>
      </c>
      <c r="F18" s="190">
        <v>19</v>
      </c>
      <c r="G18" s="192">
        <v>27</v>
      </c>
      <c r="H18" s="193" t="s">
        <v>96</v>
      </c>
      <c r="I18" s="194" t="s">
        <v>174</v>
      </c>
      <c r="J18" s="195">
        <v>2</v>
      </c>
      <c r="K18" s="195" t="s">
        <v>175</v>
      </c>
      <c r="L18" s="190">
        <v>130</v>
      </c>
      <c r="M18" s="230">
        <v>2853</v>
      </c>
      <c r="N18" s="231">
        <v>5</v>
      </c>
      <c r="O18" s="196">
        <v>22</v>
      </c>
      <c r="P18" s="273" t="s">
        <v>43</v>
      </c>
    </row>
    <row r="19" spans="1:16" ht="24.75" thickBot="1" x14ac:dyDescent="0.6">
      <c r="A19" s="215" t="s">
        <v>166</v>
      </c>
      <c r="B19" s="216">
        <v>7</v>
      </c>
      <c r="C19" s="274" t="s">
        <v>176</v>
      </c>
      <c r="D19" s="190">
        <v>156</v>
      </c>
      <c r="E19" s="218">
        <v>4202</v>
      </c>
      <c r="F19" s="218">
        <v>19</v>
      </c>
      <c r="G19" s="219">
        <v>27</v>
      </c>
      <c r="H19" s="220"/>
      <c r="I19" s="247" t="s">
        <v>177</v>
      </c>
      <c r="J19" s="248"/>
      <c r="K19" s="249"/>
      <c r="L19" s="250">
        <v>130</v>
      </c>
      <c r="M19" s="250">
        <v>2853</v>
      </c>
      <c r="N19" s="275"/>
      <c r="O19" s="248"/>
      <c r="P19" s="276"/>
    </row>
    <row r="20" spans="1:16" ht="24.75" thickBot="1" x14ac:dyDescent="0.6">
      <c r="A20" s="233" t="s">
        <v>178</v>
      </c>
      <c r="B20" s="234"/>
      <c r="C20" s="235"/>
      <c r="D20" s="277">
        <v>259</v>
      </c>
      <c r="E20" s="277">
        <v>6994</v>
      </c>
      <c r="F20" s="278"/>
      <c r="G20" s="279"/>
      <c r="H20" s="280"/>
      <c r="I20" s="188" t="s">
        <v>179</v>
      </c>
      <c r="J20" s="189">
        <v>1</v>
      </c>
      <c r="K20" s="254" t="s">
        <v>180</v>
      </c>
      <c r="L20" s="190">
        <v>115</v>
      </c>
      <c r="M20" s="255">
        <v>2531</v>
      </c>
      <c r="N20" s="190">
        <v>4</v>
      </c>
      <c r="O20" s="192">
        <v>22</v>
      </c>
      <c r="P20" s="193" t="s">
        <v>43</v>
      </c>
    </row>
    <row r="21" spans="1:16" x14ac:dyDescent="0.55000000000000004">
      <c r="A21" s="188" t="s">
        <v>181</v>
      </c>
      <c r="B21" s="189">
        <v>7</v>
      </c>
      <c r="C21" s="189" t="s">
        <v>182</v>
      </c>
      <c r="D21" s="190">
        <v>15</v>
      </c>
      <c r="E21" s="281">
        <v>401</v>
      </c>
      <c r="F21" s="281">
        <v>18</v>
      </c>
      <c r="G21" s="281">
        <v>27</v>
      </c>
      <c r="H21" s="282" t="s">
        <v>183</v>
      </c>
      <c r="I21" s="215" t="s">
        <v>184</v>
      </c>
      <c r="J21" s="203">
        <v>3</v>
      </c>
      <c r="K21" s="260" t="s">
        <v>185</v>
      </c>
      <c r="L21" s="190">
        <v>127</v>
      </c>
      <c r="M21" s="261">
        <v>2803</v>
      </c>
      <c r="N21" s="205">
        <v>4</v>
      </c>
      <c r="O21" s="206">
        <v>22</v>
      </c>
      <c r="P21" s="262" t="s">
        <v>43</v>
      </c>
    </row>
    <row r="22" spans="1:16" ht="24.75" thickBot="1" x14ac:dyDescent="0.6">
      <c r="A22" s="215"/>
      <c r="B22" s="216">
        <v>7</v>
      </c>
      <c r="C22" s="216" t="s">
        <v>186</v>
      </c>
      <c r="D22" s="190">
        <v>6</v>
      </c>
      <c r="E22" s="283">
        <v>152</v>
      </c>
      <c r="F22" s="283">
        <v>18</v>
      </c>
      <c r="G22" s="283">
        <v>27</v>
      </c>
      <c r="H22" s="284" t="s">
        <v>183</v>
      </c>
      <c r="I22" s="215" t="s">
        <v>187</v>
      </c>
      <c r="J22" s="203">
        <v>4</v>
      </c>
      <c r="K22" s="260" t="s">
        <v>188</v>
      </c>
      <c r="L22" s="190">
        <v>128</v>
      </c>
      <c r="M22" s="261">
        <v>2819</v>
      </c>
      <c r="N22" s="205">
        <v>4</v>
      </c>
      <c r="O22" s="206">
        <v>22</v>
      </c>
      <c r="P22" s="262" t="s">
        <v>189</v>
      </c>
    </row>
    <row r="23" spans="1:16" ht="24.75" thickBot="1" x14ac:dyDescent="0.6">
      <c r="A23" s="285" t="s">
        <v>190</v>
      </c>
      <c r="B23" s="286"/>
      <c r="C23" s="287"/>
      <c r="D23" s="288">
        <v>21</v>
      </c>
      <c r="E23" s="288">
        <v>553</v>
      </c>
      <c r="F23" s="289"/>
      <c r="G23" s="290"/>
      <c r="H23" s="291"/>
      <c r="I23" s="292" t="s">
        <v>191</v>
      </c>
      <c r="J23" s="293">
        <v>5</v>
      </c>
      <c r="K23" s="294" t="s">
        <v>192</v>
      </c>
      <c r="L23" s="231">
        <v>122</v>
      </c>
      <c r="M23" s="295">
        <v>2687</v>
      </c>
      <c r="N23" s="295">
        <v>4</v>
      </c>
      <c r="O23" s="296">
        <v>22</v>
      </c>
      <c r="P23" s="297" t="s">
        <v>43</v>
      </c>
    </row>
    <row r="24" spans="1:16" ht="24.75" thickBot="1" x14ac:dyDescent="0.6">
      <c r="A24" s="194" t="s">
        <v>193</v>
      </c>
      <c r="B24" s="298">
        <v>7</v>
      </c>
      <c r="C24" s="195" t="s">
        <v>194</v>
      </c>
      <c r="D24" s="190">
        <v>4</v>
      </c>
      <c r="E24" s="299">
        <v>93</v>
      </c>
      <c r="F24" s="299">
        <v>14</v>
      </c>
      <c r="G24" s="300">
        <v>22</v>
      </c>
      <c r="H24" s="246" t="s">
        <v>105</v>
      </c>
      <c r="I24" s="247" t="s">
        <v>195</v>
      </c>
      <c r="J24" s="248"/>
      <c r="K24" s="249"/>
      <c r="L24" s="301">
        <v>492</v>
      </c>
      <c r="M24" s="301">
        <v>10840</v>
      </c>
      <c r="N24" s="302"/>
      <c r="O24" s="303"/>
      <c r="P24" s="304"/>
    </row>
    <row r="25" spans="1:16" ht="24.75" thickBot="1" x14ac:dyDescent="0.6">
      <c r="A25" s="265" t="s">
        <v>196</v>
      </c>
      <c r="B25" s="266"/>
      <c r="C25" s="267"/>
      <c r="D25" s="288">
        <v>4</v>
      </c>
      <c r="E25" s="288">
        <v>93</v>
      </c>
      <c r="F25" s="289"/>
      <c r="G25" s="290"/>
      <c r="H25" s="291"/>
      <c r="I25" s="305" t="s">
        <v>197</v>
      </c>
      <c r="J25" s="306"/>
      <c r="K25" s="307"/>
      <c r="L25" s="308">
        <v>4692</v>
      </c>
      <c r="M25" s="308">
        <v>113048</v>
      </c>
      <c r="N25" s="309"/>
      <c r="O25" s="310"/>
      <c r="P25" s="311"/>
    </row>
    <row r="26" spans="1:16" ht="24.75" thickBot="1" x14ac:dyDescent="0.6">
      <c r="A26" s="194" t="s">
        <v>198</v>
      </c>
      <c r="B26" s="298">
        <v>10</v>
      </c>
      <c r="C26" s="299" t="s">
        <v>199</v>
      </c>
      <c r="D26" s="190">
        <v>124</v>
      </c>
      <c r="E26" s="299">
        <v>3106</v>
      </c>
      <c r="F26" s="299">
        <v>13</v>
      </c>
      <c r="G26" s="300">
        <v>25</v>
      </c>
      <c r="H26" s="246" t="s">
        <v>33</v>
      </c>
      <c r="I26" s="188" t="s">
        <v>200</v>
      </c>
      <c r="J26" s="189">
        <v>3</v>
      </c>
      <c r="K26" s="189" t="s">
        <v>201</v>
      </c>
      <c r="L26" s="190">
        <v>116</v>
      </c>
      <c r="M26" s="281">
        <v>2550</v>
      </c>
      <c r="N26" s="189">
        <v>3</v>
      </c>
      <c r="O26" s="189">
        <v>22</v>
      </c>
      <c r="P26" s="282" t="s">
        <v>43</v>
      </c>
    </row>
    <row r="27" spans="1:16" ht="24.75" thickBot="1" x14ac:dyDescent="0.6">
      <c r="A27" s="233" t="s">
        <v>202</v>
      </c>
      <c r="B27" s="234"/>
      <c r="C27" s="235"/>
      <c r="D27" s="312">
        <v>124</v>
      </c>
      <c r="E27" s="312">
        <v>3106</v>
      </c>
      <c r="F27" s="313"/>
      <c r="G27" s="314"/>
      <c r="H27" s="315"/>
      <c r="I27" s="202" t="s">
        <v>203</v>
      </c>
      <c r="J27" s="203">
        <v>4</v>
      </c>
      <c r="K27" s="203" t="s">
        <v>204</v>
      </c>
      <c r="L27" s="190">
        <v>130</v>
      </c>
      <c r="M27" s="316">
        <v>2854</v>
      </c>
      <c r="N27" s="203">
        <v>3</v>
      </c>
      <c r="O27" s="203">
        <v>22</v>
      </c>
      <c r="P27" s="317" t="s">
        <v>43</v>
      </c>
    </row>
    <row r="28" spans="1:16" ht="24.75" thickBot="1" x14ac:dyDescent="0.6">
      <c r="A28" s="194" t="s">
        <v>205</v>
      </c>
      <c r="B28" s="298">
        <v>7</v>
      </c>
      <c r="C28" s="299" t="s">
        <v>206</v>
      </c>
      <c r="D28" s="190">
        <v>157</v>
      </c>
      <c r="E28" s="245">
        <v>3931</v>
      </c>
      <c r="F28" s="318">
        <v>13</v>
      </c>
      <c r="G28" s="319">
        <v>25</v>
      </c>
      <c r="H28" s="246" t="s">
        <v>33</v>
      </c>
      <c r="I28" s="215" t="s">
        <v>207</v>
      </c>
      <c r="J28" s="216">
        <v>5</v>
      </c>
      <c r="K28" s="216" t="s">
        <v>208</v>
      </c>
      <c r="L28" s="190">
        <v>141</v>
      </c>
      <c r="M28" s="283">
        <v>3111</v>
      </c>
      <c r="N28" s="216">
        <v>3</v>
      </c>
      <c r="O28" s="216">
        <v>22</v>
      </c>
      <c r="P28" s="284" t="s">
        <v>43</v>
      </c>
    </row>
    <row r="29" spans="1:16" ht="24.75" thickBot="1" x14ac:dyDescent="0.6">
      <c r="A29" s="247" t="s">
        <v>209</v>
      </c>
      <c r="B29" s="248"/>
      <c r="C29" s="249"/>
      <c r="D29" s="250">
        <v>157</v>
      </c>
      <c r="E29" s="250">
        <v>3931</v>
      </c>
      <c r="F29" s="320"/>
      <c r="G29" s="321"/>
      <c r="H29" s="322"/>
      <c r="I29" s="265" t="s">
        <v>210</v>
      </c>
      <c r="J29" s="266"/>
      <c r="K29" s="267"/>
      <c r="L29" s="288">
        <v>387</v>
      </c>
      <c r="M29" s="288">
        <v>8515</v>
      </c>
      <c r="N29" s="323"/>
      <c r="O29" s="324"/>
      <c r="P29" s="325"/>
    </row>
    <row r="30" spans="1:16" ht="24.75" thickBot="1" x14ac:dyDescent="0.6">
      <c r="A30" s="188" t="s">
        <v>211</v>
      </c>
      <c r="B30" s="254">
        <v>1</v>
      </c>
      <c r="C30" s="189" t="s">
        <v>212</v>
      </c>
      <c r="D30" s="190">
        <v>78</v>
      </c>
      <c r="E30" s="326">
        <v>1950</v>
      </c>
      <c r="F30" s="327">
        <v>13</v>
      </c>
      <c r="G30" s="328">
        <v>25</v>
      </c>
      <c r="H30" s="282" t="s">
        <v>33</v>
      </c>
      <c r="I30" s="194" t="s">
        <v>213</v>
      </c>
      <c r="J30" s="195">
        <v>9</v>
      </c>
      <c r="K30" s="195" t="s">
        <v>214</v>
      </c>
      <c r="L30" s="190">
        <v>136</v>
      </c>
      <c r="M30" s="299">
        <v>2999</v>
      </c>
      <c r="N30" s="195">
        <v>3</v>
      </c>
      <c r="O30" s="195">
        <v>22</v>
      </c>
      <c r="P30" s="246" t="s">
        <v>43</v>
      </c>
    </row>
    <row r="31" spans="1:16" ht="24.75" thickBot="1" x14ac:dyDescent="0.6">
      <c r="A31" s="202" t="s">
        <v>215</v>
      </c>
      <c r="B31" s="254">
        <v>2</v>
      </c>
      <c r="C31" s="189" t="s">
        <v>216</v>
      </c>
      <c r="D31" s="190">
        <v>153</v>
      </c>
      <c r="E31" s="329">
        <v>3835</v>
      </c>
      <c r="F31" s="330">
        <v>13</v>
      </c>
      <c r="G31" s="328">
        <v>25</v>
      </c>
      <c r="H31" s="331">
        <v>20788</v>
      </c>
      <c r="I31" s="247" t="s">
        <v>217</v>
      </c>
      <c r="J31" s="248"/>
      <c r="K31" s="249"/>
      <c r="L31" s="250">
        <v>136</v>
      </c>
      <c r="M31" s="250">
        <v>2999</v>
      </c>
      <c r="N31" s="251"/>
      <c r="O31" s="332"/>
      <c r="P31" s="333"/>
    </row>
    <row r="32" spans="1:16" ht="24.75" thickBot="1" x14ac:dyDescent="0.6">
      <c r="A32" s="194"/>
      <c r="B32" s="298">
        <v>3</v>
      </c>
      <c r="C32" s="195" t="s">
        <v>218</v>
      </c>
      <c r="D32" s="190">
        <v>85</v>
      </c>
      <c r="E32" s="334">
        <v>2119</v>
      </c>
      <c r="F32" s="335">
        <v>13</v>
      </c>
      <c r="G32" s="319">
        <v>25</v>
      </c>
      <c r="H32" s="336">
        <v>20783</v>
      </c>
      <c r="I32" s="188" t="s">
        <v>219</v>
      </c>
      <c r="J32" s="189">
        <v>2</v>
      </c>
      <c r="K32" s="189" t="s">
        <v>220</v>
      </c>
      <c r="L32" s="190">
        <v>90</v>
      </c>
      <c r="M32" s="281">
        <v>1970</v>
      </c>
      <c r="N32" s="189">
        <v>3</v>
      </c>
      <c r="O32" s="189">
        <v>22</v>
      </c>
      <c r="P32" s="282" t="s">
        <v>43</v>
      </c>
    </row>
    <row r="33" spans="1:16" ht="24.75" thickBot="1" x14ac:dyDescent="0.6">
      <c r="A33" s="208" t="s">
        <v>221</v>
      </c>
      <c r="B33" s="209"/>
      <c r="C33" s="210"/>
      <c r="D33" s="337">
        <v>316</v>
      </c>
      <c r="E33" s="337">
        <v>7904</v>
      </c>
      <c r="F33" s="338"/>
      <c r="G33" s="339"/>
      <c r="H33" s="340"/>
      <c r="I33" s="247" t="s">
        <v>217</v>
      </c>
      <c r="J33" s="248"/>
      <c r="K33" s="249"/>
      <c r="L33" s="250">
        <v>90</v>
      </c>
      <c r="M33" s="250">
        <v>1970</v>
      </c>
      <c r="N33" s="341"/>
      <c r="O33" s="251"/>
      <c r="P33" s="333"/>
    </row>
    <row r="34" spans="1:16" x14ac:dyDescent="0.55000000000000004">
      <c r="A34" s="188" t="s">
        <v>222</v>
      </c>
      <c r="B34" s="189">
        <v>6</v>
      </c>
      <c r="C34" s="281" t="s">
        <v>223</v>
      </c>
      <c r="D34" s="190">
        <v>100</v>
      </c>
      <c r="E34" s="326">
        <v>2495</v>
      </c>
      <c r="F34" s="281">
        <v>12</v>
      </c>
      <c r="G34" s="281">
        <v>25</v>
      </c>
      <c r="H34" s="282" t="s">
        <v>33</v>
      </c>
      <c r="I34" s="342" t="s">
        <v>224</v>
      </c>
      <c r="J34" s="343">
        <v>1</v>
      </c>
      <c r="K34" s="343" t="s">
        <v>225</v>
      </c>
      <c r="L34" s="190">
        <v>99</v>
      </c>
      <c r="M34" s="344">
        <v>2167</v>
      </c>
      <c r="N34" s="343">
        <v>2</v>
      </c>
      <c r="O34" s="343">
        <v>22</v>
      </c>
      <c r="P34" s="345" t="s">
        <v>43</v>
      </c>
    </row>
    <row r="35" spans="1:16" ht="24.75" thickBot="1" x14ac:dyDescent="0.6">
      <c r="A35" s="215"/>
      <c r="B35" s="216">
        <v>6</v>
      </c>
      <c r="C35" s="283" t="s">
        <v>226</v>
      </c>
      <c r="D35" s="190">
        <v>12</v>
      </c>
      <c r="E35" s="283">
        <v>300</v>
      </c>
      <c r="F35" s="283">
        <v>12</v>
      </c>
      <c r="G35" s="283">
        <v>25</v>
      </c>
      <c r="H35" s="284" t="s">
        <v>33</v>
      </c>
      <c r="I35" s="202" t="s">
        <v>227</v>
      </c>
      <c r="J35" s="203">
        <v>2</v>
      </c>
      <c r="K35" s="203" t="s">
        <v>228</v>
      </c>
      <c r="L35" s="190">
        <v>105</v>
      </c>
      <c r="M35" s="316">
        <v>2320</v>
      </c>
      <c r="N35" s="203">
        <v>2</v>
      </c>
      <c r="O35" s="203">
        <v>22</v>
      </c>
      <c r="P35" s="317" t="s">
        <v>43</v>
      </c>
    </row>
    <row r="36" spans="1:16" ht="24.75" thickBot="1" x14ac:dyDescent="0.6">
      <c r="A36" s="233" t="s">
        <v>229</v>
      </c>
      <c r="B36" s="234"/>
      <c r="C36" s="235"/>
      <c r="D36" s="312">
        <v>112</v>
      </c>
      <c r="E36" s="312">
        <v>2795</v>
      </c>
      <c r="F36" s="346"/>
      <c r="G36" s="347"/>
      <c r="H36" s="348"/>
      <c r="I36" s="265" t="s">
        <v>230</v>
      </c>
      <c r="J36" s="266"/>
      <c r="K36" s="267"/>
      <c r="L36" s="288">
        <v>204</v>
      </c>
      <c r="M36" s="288">
        <v>4487</v>
      </c>
      <c r="N36" s="323"/>
      <c r="O36" s="324"/>
      <c r="P36" s="325"/>
    </row>
    <row r="37" spans="1:16" ht="24.75" thickBot="1" x14ac:dyDescent="0.6">
      <c r="A37" s="188" t="s">
        <v>231</v>
      </c>
      <c r="B37" s="254">
        <v>8</v>
      </c>
      <c r="C37" s="281" t="s">
        <v>232</v>
      </c>
      <c r="D37" s="190">
        <v>172</v>
      </c>
      <c r="E37" s="281">
        <v>4308</v>
      </c>
      <c r="F37" s="327">
        <v>12</v>
      </c>
      <c r="G37" s="349">
        <v>25</v>
      </c>
      <c r="H37" s="282" t="s">
        <v>33</v>
      </c>
      <c r="I37" s="194" t="s">
        <v>233</v>
      </c>
      <c r="J37" s="195">
        <v>6</v>
      </c>
      <c r="K37" s="195" t="s">
        <v>234</v>
      </c>
      <c r="L37" s="190">
        <v>130</v>
      </c>
      <c r="M37" s="299">
        <v>2865</v>
      </c>
      <c r="N37" s="195">
        <v>2</v>
      </c>
      <c r="O37" s="195">
        <v>22</v>
      </c>
      <c r="P37" s="246" t="s">
        <v>43</v>
      </c>
    </row>
    <row r="38" spans="1:16" ht="24.75" thickBot="1" x14ac:dyDescent="0.6">
      <c r="A38" s="215" t="s">
        <v>235</v>
      </c>
      <c r="B38" s="263">
        <v>9</v>
      </c>
      <c r="C38" s="283" t="s">
        <v>236</v>
      </c>
      <c r="D38" s="190">
        <v>154</v>
      </c>
      <c r="E38" s="283">
        <v>3861</v>
      </c>
      <c r="F38" s="335">
        <v>12</v>
      </c>
      <c r="G38" s="350">
        <v>25</v>
      </c>
      <c r="H38" s="336">
        <v>21043</v>
      </c>
      <c r="I38" s="247" t="s">
        <v>237</v>
      </c>
      <c r="J38" s="248"/>
      <c r="K38" s="249"/>
      <c r="L38" s="250">
        <v>130</v>
      </c>
      <c r="M38" s="250">
        <v>2865</v>
      </c>
      <c r="N38" s="251"/>
      <c r="O38" s="332"/>
      <c r="P38" s="333"/>
    </row>
    <row r="39" spans="1:16" ht="24.75" thickBot="1" x14ac:dyDescent="0.6">
      <c r="A39" s="208" t="s">
        <v>238</v>
      </c>
      <c r="B39" s="209"/>
      <c r="C39" s="210"/>
      <c r="D39" s="337">
        <v>326</v>
      </c>
      <c r="E39" s="337">
        <v>8169</v>
      </c>
      <c r="F39" s="338"/>
      <c r="G39" s="339"/>
      <c r="H39" s="340"/>
      <c r="I39" s="188" t="s">
        <v>239</v>
      </c>
      <c r="J39" s="189">
        <v>1</v>
      </c>
      <c r="K39" s="351" t="s">
        <v>240</v>
      </c>
      <c r="L39" s="190">
        <v>86</v>
      </c>
      <c r="M39" s="191">
        <v>1892</v>
      </c>
      <c r="N39" s="192">
        <v>1</v>
      </c>
      <c r="O39" s="192">
        <v>22</v>
      </c>
      <c r="P39" s="352" t="s">
        <v>43</v>
      </c>
    </row>
    <row r="40" spans="1:16" x14ac:dyDescent="0.55000000000000004">
      <c r="A40" s="188" t="s">
        <v>241</v>
      </c>
      <c r="B40" s="189">
        <v>3</v>
      </c>
      <c r="C40" s="189" t="s">
        <v>242</v>
      </c>
      <c r="D40" s="190">
        <v>133</v>
      </c>
      <c r="E40" s="326">
        <v>3333</v>
      </c>
      <c r="F40" s="192">
        <v>10</v>
      </c>
      <c r="G40" s="192">
        <v>25</v>
      </c>
      <c r="H40" s="352" t="s">
        <v>33</v>
      </c>
      <c r="I40" s="202" t="s">
        <v>243</v>
      </c>
      <c r="J40" s="203">
        <v>3</v>
      </c>
      <c r="K40" s="353" t="s">
        <v>244</v>
      </c>
      <c r="L40" s="190">
        <v>77</v>
      </c>
      <c r="M40" s="204">
        <v>1686</v>
      </c>
      <c r="N40" s="206">
        <v>1</v>
      </c>
      <c r="O40" s="206">
        <v>22</v>
      </c>
      <c r="P40" s="354" t="s">
        <v>43</v>
      </c>
    </row>
    <row r="41" spans="1:16" x14ac:dyDescent="0.55000000000000004">
      <c r="A41" s="202" t="s">
        <v>245</v>
      </c>
      <c r="B41" s="203">
        <v>4</v>
      </c>
      <c r="C41" s="203" t="s">
        <v>246</v>
      </c>
      <c r="D41" s="190">
        <v>101</v>
      </c>
      <c r="E41" s="329">
        <v>2525</v>
      </c>
      <c r="F41" s="206">
        <v>10</v>
      </c>
      <c r="G41" s="206">
        <v>25</v>
      </c>
      <c r="H41" s="354"/>
      <c r="I41" s="202" t="s">
        <v>247</v>
      </c>
      <c r="J41" s="203">
        <v>4</v>
      </c>
      <c r="K41" s="203" t="s">
        <v>248</v>
      </c>
      <c r="L41" s="190">
        <v>63</v>
      </c>
      <c r="M41" s="316">
        <v>1380</v>
      </c>
      <c r="N41" s="206">
        <v>1</v>
      </c>
      <c r="O41" s="206">
        <v>22</v>
      </c>
      <c r="P41" s="354" t="s">
        <v>43</v>
      </c>
    </row>
    <row r="42" spans="1:16" x14ac:dyDescent="0.55000000000000004">
      <c r="A42" s="202" t="s">
        <v>249</v>
      </c>
      <c r="B42" s="203">
        <v>8</v>
      </c>
      <c r="C42" s="203" t="s">
        <v>250</v>
      </c>
      <c r="D42" s="190">
        <v>116</v>
      </c>
      <c r="E42" s="329">
        <v>2888</v>
      </c>
      <c r="F42" s="206">
        <v>10</v>
      </c>
      <c r="G42" s="206">
        <v>25</v>
      </c>
      <c r="H42" s="354"/>
      <c r="I42" s="355" t="s">
        <v>251</v>
      </c>
      <c r="J42" s="203">
        <v>5</v>
      </c>
      <c r="K42" s="203" t="s">
        <v>252</v>
      </c>
      <c r="L42" s="190">
        <v>53</v>
      </c>
      <c r="M42" s="316">
        <v>1168</v>
      </c>
      <c r="N42" s="206">
        <v>1</v>
      </c>
      <c r="O42" s="206">
        <v>22</v>
      </c>
      <c r="P42" s="354" t="s">
        <v>43</v>
      </c>
    </row>
    <row r="43" spans="1:16" x14ac:dyDescent="0.55000000000000004">
      <c r="A43" s="355">
        <v>23032</v>
      </c>
      <c r="B43" s="203">
        <v>9</v>
      </c>
      <c r="C43" s="203" t="s">
        <v>253</v>
      </c>
      <c r="D43" s="190">
        <v>76</v>
      </c>
      <c r="E43" s="329">
        <v>1905</v>
      </c>
      <c r="F43" s="206">
        <v>10</v>
      </c>
      <c r="G43" s="206">
        <v>25</v>
      </c>
      <c r="H43" s="354"/>
      <c r="I43" s="355" t="s">
        <v>254</v>
      </c>
      <c r="J43" s="203">
        <v>5</v>
      </c>
      <c r="K43" s="203" t="s">
        <v>255</v>
      </c>
      <c r="L43" s="190">
        <v>34</v>
      </c>
      <c r="M43" s="316">
        <v>751</v>
      </c>
      <c r="N43" s="206">
        <v>1</v>
      </c>
      <c r="O43" s="206">
        <v>22</v>
      </c>
      <c r="P43" s="354" t="s">
        <v>43</v>
      </c>
    </row>
    <row r="44" spans="1:16" ht="24.75" thickBot="1" x14ac:dyDescent="0.6">
      <c r="A44" s="215"/>
      <c r="B44" s="216">
        <v>11</v>
      </c>
      <c r="C44" s="216" t="s">
        <v>256</v>
      </c>
      <c r="D44" s="190">
        <v>92</v>
      </c>
      <c r="E44" s="334">
        <v>2291</v>
      </c>
      <c r="F44" s="219">
        <v>10</v>
      </c>
      <c r="G44" s="219">
        <v>25</v>
      </c>
      <c r="H44" s="356"/>
      <c r="I44" s="215" t="s">
        <v>257</v>
      </c>
      <c r="J44" s="216">
        <v>6</v>
      </c>
      <c r="K44" s="216" t="s">
        <v>258</v>
      </c>
      <c r="L44" s="190">
        <v>70</v>
      </c>
      <c r="M44" s="283">
        <v>1547</v>
      </c>
      <c r="N44" s="219">
        <v>1</v>
      </c>
      <c r="O44" s="219">
        <v>22</v>
      </c>
      <c r="P44" s="356" t="s">
        <v>43</v>
      </c>
    </row>
    <row r="45" spans="1:16" ht="24.75" thickBot="1" x14ac:dyDescent="0.6">
      <c r="A45" s="233" t="s">
        <v>259</v>
      </c>
      <c r="B45" s="234"/>
      <c r="C45" s="235"/>
      <c r="D45" s="357">
        <v>518</v>
      </c>
      <c r="E45" s="357">
        <v>12942</v>
      </c>
      <c r="F45" s="358"/>
      <c r="G45" s="359"/>
      <c r="H45" s="360"/>
      <c r="I45" s="215" t="s">
        <v>257</v>
      </c>
      <c r="J45" s="216">
        <v>6</v>
      </c>
      <c r="K45" s="216" t="s">
        <v>260</v>
      </c>
      <c r="L45" s="190">
        <v>7</v>
      </c>
      <c r="M45" s="283">
        <v>145</v>
      </c>
      <c r="N45" s="219">
        <v>1</v>
      </c>
      <c r="O45" s="219">
        <v>22</v>
      </c>
      <c r="P45" s="356" t="s">
        <v>43</v>
      </c>
    </row>
    <row r="46" spans="1:16" ht="24.75" thickBot="1" x14ac:dyDescent="0.6">
      <c r="A46" s="361" t="s">
        <v>261</v>
      </c>
      <c r="B46" s="362">
        <v>1</v>
      </c>
      <c r="C46" s="363" t="s">
        <v>262</v>
      </c>
      <c r="D46" s="190">
        <v>108</v>
      </c>
      <c r="E46" s="364">
        <v>2707</v>
      </c>
      <c r="F46" s="365">
        <v>9</v>
      </c>
      <c r="G46" s="366">
        <v>25</v>
      </c>
      <c r="H46" s="367" t="s">
        <v>110</v>
      </c>
      <c r="I46" s="233" t="s">
        <v>263</v>
      </c>
      <c r="J46" s="234"/>
      <c r="K46" s="235"/>
      <c r="L46" s="357">
        <v>390</v>
      </c>
      <c r="M46" s="357">
        <v>8569</v>
      </c>
      <c r="N46" s="358"/>
      <c r="O46" s="359"/>
      <c r="P46" s="360"/>
    </row>
    <row r="47" spans="1:16" ht="24.75" thickBot="1" x14ac:dyDescent="0.6">
      <c r="A47" s="202" t="s">
        <v>264</v>
      </c>
      <c r="B47" s="260">
        <v>2</v>
      </c>
      <c r="C47" s="203" t="s">
        <v>265</v>
      </c>
      <c r="D47" s="190">
        <v>85</v>
      </c>
      <c r="E47" s="229">
        <v>2132</v>
      </c>
      <c r="F47" s="206">
        <v>9</v>
      </c>
      <c r="G47" s="368">
        <v>25</v>
      </c>
      <c r="H47" s="354" t="s">
        <v>266</v>
      </c>
      <c r="I47" s="305" t="s">
        <v>267</v>
      </c>
      <c r="J47" s="306"/>
      <c r="K47" s="307"/>
      <c r="L47" s="308">
        <v>1337</v>
      </c>
      <c r="M47" s="308">
        <v>29405</v>
      </c>
      <c r="N47" s="369"/>
      <c r="O47" s="370"/>
      <c r="P47" s="371"/>
    </row>
    <row r="48" spans="1:16" ht="24.75" thickBot="1" x14ac:dyDescent="0.6">
      <c r="A48" s="215" t="s">
        <v>268</v>
      </c>
      <c r="B48" s="263">
        <v>5</v>
      </c>
      <c r="C48" s="216" t="s">
        <v>269</v>
      </c>
      <c r="D48" s="190">
        <v>29</v>
      </c>
      <c r="E48" s="240">
        <v>720</v>
      </c>
      <c r="F48" s="219">
        <v>9</v>
      </c>
      <c r="G48" s="372">
        <v>25</v>
      </c>
      <c r="H48" s="356"/>
      <c r="I48" s="373" t="s">
        <v>270</v>
      </c>
      <c r="J48" s="374"/>
      <c r="K48" s="375"/>
      <c r="L48" s="376">
        <v>6029</v>
      </c>
      <c r="M48" s="376">
        <v>142453</v>
      </c>
      <c r="N48" s="377"/>
      <c r="O48" s="374"/>
      <c r="P48" s="378"/>
    </row>
    <row r="49" spans="1:16" ht="24.75" thickBot="1" x14ac:dyDescent="0.6">
      <c r="A49" s="233" t="s">
        <v>271</v>
      </c>
      <c r="B49" s="234"/>
      <c r="C49" s="235"/>
      <c r="D49" s="357">
        <v>222</v>
      </c>
      <c r="E49" s="357">
        <v>5559</v>
      </c>
      <c r="F49" s="358"/>
      <c r="G49" s="359"/>
      <c r="H49" s="360"/>
      <c r="I49" s="379"/>
      <c r="J49" s="379"/>
      <c r="K49" s="379"/>
      <c r="L49" s="380"/>
      <c r="M49" s="380"/>
      <c r="N49" s="379"/>
      <c r="O49" s="379"/>
      <c r="P49" s="379"/>
    </row>
    <row r="56" spans="1:16" x14ac:dyDescent="0.55000000000000004">
      <c r="I56" s="381"/>
    </row>
  </sheetData>
  <mergeCells count="69">
    <mergeCell ref="A49:C49"/>
    <mergeCell ref="F49:H49"/>
    <mergeCell ref="I49:K49"/>
    <mergeCell ref="N49:P49"/>
    <mergeCell ref="A45:C45"/>
    <mergeCell ref="F45:H45"/>
    <mergeCell ref="I46:K46"/>
    <mergeCell ref="N46:P46"/>
    <mergeCell ref="I47:K47"/>
    <mergeCell ref="I48:K48"/>
    <mergeCell ref="N48:P48"/>
    <mergeCell ref="A36:C36"/>
    <mergeCell ref="F36:H36"/>
    <mergeCell ref="I36:K36"/>
    <mergeCell ref="I38:K38"/>
    <mergeCell ref="A39:C39"/>
    <mergeCell ref="F39:H39"/>
    <mergeCell ref="A29:C29"/>
    <mergeCell ref="F29:H29"/>
    <mergeCell ref="I29:K29"/>
    <mergeCell ref="I31:K31"/>
    <mergeCell ref="A33:C33"/>
    <mergeCell ref="F33:H33"/>
    <mergeCell ref="I33:K33"/>
    <mergeCell ref="A25:C25"/>
    <mergeCell ref="F25:H25"/>
    <mergeCell ref="I25:K25"/>
    <mergeCell ref="N25:P25"/>
    <mergeCell ref="A27:C27"/>
    <mergeCell ref="F27:H27"/>
    <mergeCell ref="I19:K19"/>
    <mergeCell ref="N19:P19"/>
    <mergeCell ref="A20:C20"/>
    <mergeCell ref="F20:H20"/>
    <mergeCell ref="F23:H23"/>
    <mergeCell ref="I24:K24"/>
    <mergeCell ref="N24:P24"/>
    <mergeCell ref="I10:K10"/>
    <mergeCell ref="N10:P10"/>
    <mergeCell ref="I12:K12"/>
    <mergeCell ref="A14:C14"/>
    <mergeCell ref="F14:H14"/>
    <mergeCell ref="A17:C17"/>
    <mergeCell ref="F17:H17"/>
    <mergeCell ref="I17:K17"/>
    <mergeCell ref="N17:P17"/>
    <mergeCell ref="P2:P3"/>
    <mergeCell ref="I5:K5"/>
    <mergeCell ref="N5:P5"/>
    <mergeCell ref="A7:C7"/>
    <mergeCell ref="F7:H7"/>
    <mergeCell ref="A9:C9"/>
    <mergeCell ref="F9:H9"/>
    <mergeCell ref="J2:J3"/>
    <mergeCell ref="K2:K3"/>
    <mergeCell ref="L2:L3"/>
    <mergeCell ref="M2:M3"/>
    <mergeCell ref="N2:N3"/>
    <mergeCell ref="O2:O3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2</vt:i4>
      </vt:variant>
    </vt:vector>
  </HeadingPairs>
  <TitlesOfParts>
    <vt:vector size="2" baseType="lpstr">
      <vt:lpstr>จน.ต้นปาล์มตอนบน </vt:lpstr>
      <vt:lpstr>จน.ต้นปาล์มตอนล่าง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</dc:creator>
  <cp:lastModifiedBy>user</cp:lastModifiedBy>
  <dcterms:created xsi:type="dcterms:W3CDTF">2026-04-24T03:57:58Z</dcterms:created>
  <dcterms:modified xsi:type="dcterms:W3CDTF">2026-04-24T10:04:07Z</dcterms:modified>
</cp:coreProperties>
</file>