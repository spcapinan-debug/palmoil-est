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272B9085-F87E-421F-ABA6-98A05F654D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_with_class" sheetId="1" r:id="rId1"/>
    <sheet name="Data" sheetId="6" r:id="rId2"/>
    <sheet name="Sheet4" sheetId="8" r:id="rId3"/>
    <sheet name="Pivot" sheetId="5" r:id="rId4"/>
    <sheet name="Detail" sheetId="7" r:id="rId5"/>
    <sheet name="Total" sheetId="9" r:id="rId6"/>
    <sheet name="R-N" sheetId="10" r:id="rId7"/>
    <sheet name="Detail_R" sheetId="11" r:id="rId8"/>
  </sheets>
  <definedNames>
    <definedName name="_xlnm._FilterDatabase" localSheetId="1" hidden="1">Data!$A$3:$A$137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8" i="11" l="1"/>
  <c r="B118" i="10"/>
  <c r="B118" i="9"/>
  <c r="B118" i="7"/>
</calcChain>
</file>

<file path=xl/sharedStrings.xml><?xml version="1.0" encoding="utf-8"?>
<sst xmlns="http://schemas.openxmlformats.org/spreadsheetml/2006/main" count="1342" uniqueCount="150">
  <si>
    <t>พื้นที่</t>
  </si>
  <si>
    <t>แปลง</t>
  </si>
  <si>
    <t>จน.ไร่</t>
  </si>
  <si>
    <t>จน.ต้น</t>
  </si>
  <si>
    <t>ปีปลูก</t>
  </si>
  <si>
    <t>ประเภท</t>
  </si>
  <si>
    <t>ขนาดปาล์ม</t>
  </si>
  <si>
    <t>Lower</t>
  </si>
  <si>
    <t>Upper</t>
  </si>
  <si>
    <t>Kapao</t>
  </si>
  <si>
    <t>Monmai</t>
  </si>
  <si>
    <t>Panrai</t>
  </si>
  <si>
    <t>Plairang</t>
  </si>
  <si>
    <t>Yuansao</t>
  </si>
  <si>
    <t>Banggun</t>
  </si>
  <si>
    <t>Takuk</t>
  </si>
  <si>
    <t>49-A10-R</t>
  </si>
  <si>
    <t>49-A11-R</t>
  </si>
  <si>
    <t>49-A12-R</t>
  </si>
  <si>
    <t>49-A13-R</t>
  </si>
  <si>
    <t>50-A04</t>
  </si>
  <si>
    <t>50-A05</t>
  </si>
  <si>
    <t>56-A01</t>
  </si>
  <si>
    <t>56-A02</t>
  </si>
  <si>
    <t>56-A03-R</t>
  </si>
  <si>
    <t>57-A08-R</t>
  </si>
  <si>
    <t>57-A09-R</t>
  </si>
  <si>
    <t>60-A06</t>
  </si>
  <si>
    <t>63-A01-R</t>
  </si>
  <si>
    <t>63-A03-R</t>
  </si>
  <si>
    <t>63-A07</t>
  </si>
  <si>
    <t>63-A07-R</t>
  </si>
  <si>
    <t>56-D07-R</t>
  </si>
  <si>
    <t>63-D08-R</t>
  </si>
  <si>
    <t>64-D02-R</t>
  </si>
  <si>
    <t>65-D01-R</t>
  </si>
  <si>
    <t>65-D03-R</t>
  </si>
  <si>
    <t>65-D04-R</t>
  </si>
  <si>
    <t>65-D05-R</t>
  </si>
  <si>
    <t>66-D09-R</t>
  </si>
  <si>
    <t>67-D06-R</t>
  </si>
  <si>
    <t>22-C05-R</t>
  </si>
  <si>
    <t>50-C05-R</t>
  </si>
  <si>
    <t>50-C07-R</t>
  </si>
  <si>
    <t>56-C10-R</t>
  </si>
  <si>
    <t>57-C06</t>
  </si>
  <si>
    <t>57-C06-R</t>
  </si>
  <si>
    <t>59-C03-R</t>
  </si>
  <si>
    <t>59-C04-R</t>
  </si>
  <si>
    <t>59-C08-R</t>
  </si>
  <si>
    <t>59-C09-R</t>
  </si>
  <si>
    <t>59-C11-R</t>
  </si>
  <si>
    <t>60-C01-R</t>
  </si>
  <si>
    <t>60-C02-R</t>
  </si>
  <si>
    <t>60-C05-R</t>
  </si>
  <si>
    <t>51-P07</t>
  </si>
  <si>
    <t>51-P07-R</t>
  </si>
  <si>
    <t>55-P07-R</t>
  </si>
  <si>
    <t>64-P06-R</t>
  </si>
  <si>
    <t>64-P07-R</t>
  </si>
  <si>
    <t>64-P08-R</t>
  </si>
  <si>
    <t>64-P09-R</t>
  </si>
  <si>
    <t>66-P03-R</t>
  </si>
  <si>
    <t>66-P04-R</t>
  </si>
  <si>
    <t>66-P05-R</t>
  </si>
  <si>
    <t>67-P01-R</t>
  </si>
  <si>
    <t>67-P02-R</t>
  </si>
  <si>
    <t>30-PU1</t>
  </si>
  <si>
    <t>30-PU3</t>
  </si>
  <si>
    <t>30-PU4</t>
  </si>
  <si>
    <t>66-PU2</t>
  </si>
  <si>
    <t>68-PU1</t>
  </si>
  <si>
    <t>68-PU3</t>
  </si>
  <si>
    <t>68-PU4</t>
  </si>
  <si>
    <t>68-PU5</t>
  </si>
  <si>
    <t>68-PU5-R</t>
  </si>
  <si>
    <t>68-PU6</t>
  </si>
  <si>
    <t>68-PU6-R</t>
  </si>
  <si>
    <t>30-B14</t>
  </si>
  <si>
    <t>49-B13</t>
  </si>
  <si>
    <t>49-T20-R</t>
  </si>
  <si>
    <t>50-B07</t>
  </si>
  <si>
    <t>50-B10</t>
  </si>
  <si>
    <t>57-B03</t>
  </si>
  <si>
    <t>57-B12</t>
  </si>
  <si>
    <t>57-B14</t>
  </si>
  <si>
    <t>60-B04</t>
  </si>
  <si>
    <t>60-B08</t>
  </si>
  <si>
    <t>60-B09</t>
  </si>
  <si>
    <t>64-B02</t>
  </si>
  <si>
    <t>64-B05</t>
  </si>
  <si>
    <t>64-B06</t>
  </si>
  <si>
    <t>65-B01</t>
  </si>
  <si>
    <t>65-B11</t>
  </si>
  <si>
    <t>37-T29</t>
  </si>
  <si>
    <t>37-T30</t>
  </si>
  <si>
    <t>49-T16-R</t>
  </si>
  <si>
    <t>50-T10-R</t>
  </si>
  <si>
    <t>50-T12-R</t>
  </si>
  <si>
    <t>52-T28-R</t>
  </si>
  <si>
    <t>56-T08</t>
  </si>
  <si>
    <t>56-T08-R</t>
  </si>
  <si>
    <t>56-T19-R</t>
  </si>
  <si>
    <t>56-T21-R</t>
  </si>
  <si>
    <t>56-T28-R</t>
  </si>
  <si>
    <t>58-T09-R</t>
  </si>
  <si>
    <t>58-T11-R</t>
  </si>
  <si>
    <t>58-T13-R</t>
  </si>
  <si>
    <t>58-T17-R</t>
  </si>
  <si>
    <t>58-T18-R</t>
  </si>
  <si>
    <t>63-T05-R</t>
  </si>
  <si>
    <t>63-T22-R</t>
  </si>
  <si>
    <t>63-T23-R</t>
  </si>
  <si>
    <t>66-T03</t>
  </si>
  <si>
    <t>66-T04</t>
  </si>
  <si>
    <t>66-T06</t>
  </si>
  <si>
    <t>66-T07</t>
  </si>
  <si>
    <t>67-T10</t>
  </si>
  <si>
    <t>67-T18</t>
  </si>
  <si>
    <t>67-T21</t>
  </si>
  <si>
    <t>67-T29</t>
  </si>
  <si>
    <t>67-T30</t>
  </si>
  <si>
    <t>68-T01</t>
  </si>
  <si>
    <t>68-T02</t>
  </si>
  <si>
    <t>RSPO</t>
  </si>
  <si>
    <t>NON-RSPO</t>
  </si>
  <si>
    <t>ใหญ่</t>
  </si>
  <si>
    <t>กลาง</t>
  </si>
  <si>
    <t>เล็ก</t>
  </si>
  <si>
    <t>ไม่ให้ผลผลิต</t>
  </si>
  <si>
    <t>Row Labels</t>
  </si>
  <si>
    <t>Grand Total</t>
  </si>
  <si>
    <t>Column Labels</t>
  </si>
  <si>
    <t>บล๊อก</t>
  </si>
  <si>
    <t>Sum of จน.ไร่</t>
  </si>
  <si>
    <t>Sum of จน.ต้น</t>
  </si>
  <si>
    <t>จำนวนไร่</t>
  </si>
  <si>
    <t>ปาล์มขนาดเล็ก
4-8 ปี</t>
  </si>
  <si>
    <t>ปาล์มขนาดกลาง
8-15 ปี</t>
  </si>
  <si>
    <t>ปาล์มขนาดใหญ่
15 ปีขึ้นไป</t>
  </si>
  <si>
    <t>ยวนสาว</t>
  </si>
  <si>
    <t>บางกัน</t>
  </si>
  <si>
    <t>กะเปา</t>
  </si>
  <si>
    <t>หมอนไม้</t>
  </si>
  <si>
    <t>ปลายราง</t>
  </si>
  <si>
    <t>พันไร่</t>
  </si>
  <si>
    <t>ตะกุก</t>
  </si>
  <si>
    <t>ไม่ให้ผลผลิต
ต่ำกว่า 4ปี</t>
  </si>
  <si>
    <t>NON-RSPO Total</t>
  </si>
  <si>
    <t>RSPO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</si>
</sst>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b/>
      <sz val="11"/>
      <color theme="1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3" fillId="2" borderId="0" xfId="0" applyFont="1" applyFill="1"/>
    <xf numFmtId="10" fontId="0" fillId="2" borderId="0" xfId="0" applyNumberFormat="1" applyFill="1"/>
    <xf numFmtId="0" fontId="3" fillId="0" borderId="0" xfId="0" applyFont="1" applyAlignment="1">
      <alignment vertical="center"/>
    </xf>
    <xf numFmtId="164" fontId="3" fillId="0" borderId="2" xfId="1" applyNumberFormat="1" applyFont="1" applyBorder="1"/>
    <xf numFmtId="10" fontId="3" fillId="0" borderId="2" xfId="0" applyNumberFormat="1" applyFont="1" applyBorder="1"/>
    <xf numFmtId="164" fontId="3" fillId="0" borderId="3" xfId="1" applyNumberFormat="1" applyFont="1" applyBorder="1"/>
    <xf numFmtId="10" fontId="3" fillId="0" borderId="3" xfId="0" applyNumberFormat="1" applyFont="1" applyBorder="1"/>
    <xf numFmtId="164" fontId="3" fillId="0" borderId="4" xfId="1" applyNumberFormat="1" applyFont="1" applyBorder="1"/>
    <xf numFmtId="10" fontId="3" fillId="0" borderId="4" xfId="0" applyNumberFormat="1" applyFont="1" applyBorder="1"/>
    <xf numFmtId="10" fontId="4" fillId="0" borderId="3" xfId="0" applyNumberFormat="1" applyFont="1" applyBorder="1"/>
    <xf numFmtId="10" fontId="4" fillId="0" borderId="2" xfId="0" applyNumberFormat="1" applyFont="1" applyBorder="1"/>
    <xf numFmtId="10" fontId="4" fillId="0" borderId="4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3" borderId="1" xfId="0" applyFont="1" applyFill="1" applyBorder="1"/>
    <xf numFmtId="164" fontId="3" fillId="3" borderId="1" xfId="1" applyNumberFormat="1" applyFont="1" applyFill="1" applyBorder="1"/>
    <xf numFmtId="10" fontId="3" fillId="3" borderId="1" xfId="0" applyNumberFormat="1" applyFont="1" applyFill="1" applyBorder="1"/>
    <xf numFmtId="10" fontId="4" fillId="3" borderId="1" xfId="0" applyNumberFormat="1" applyFont="1" applyFill="1" applyBorder="1"/>
    <xf numFmtId="0" fontId="4" fillId="2" borderId="5" xfId="0" applyFont="1" applyFill="1" applyBorder="1"/>
    <xf numFmtId="164" fontId="4" fillId="2" borderId="5" xfId="1" applyNumberFormat="1" applyFont="1" applyFill="1" applyBorder="1"/>
    <xf numFmtId="10" fontId="4" fillId="2" borderId="5" xfId="0" applyNumberFormat="1" applyFont="1" applyFill="1" applyBorder="1"/>
    <xf numFmtId="164" fontId="3" fillId="4" borderId="3" xfId="1" applyNumberFormat="1" applyFont="1" applyFill="1" applyBorder="1"/>
    <xf numFmtId="164" fontId="3" fillId="4" borderId="2" xfId="1" applyNumberFormat="1" applyFont="1" applyFill="1" applyBorder="1"/>
    <xf numFmtId="10" fontId="3" fillId="0" borderId="0" xfId="0" applyNumberFormat="1" applyFont="1"/>
    <xf numFmtId="164" fontId="3" fillId="0" borderId="3" xfId="1" applyNumberFormat="1" applyFont="1" applyFill="1" applyBorder="1"/>
    <xf numFmtId="10" fontId="3" fillId="0" borderId="3" xfId="0" applyNumberFormat="1" applyFont="1" applyFill="1" applyBorder="1"/>
    <xf numFmtId="10" fontId="4" fillId="0" borderId="3" xfId="0" applyNumberFormat="1" applyFont="1" applyFill="1" applyBorder="1"/>
    <xf numFmtId="0" fontId="4" fillId="0" borderId="2" xfId="0" applyFont="1" applyFill="1" applyBorder="1" applyAlignment="1">
      <alignment horizontal="right"/>
    </xf>
    <xf numFmtId="164" fontId="3" fillId="0" borderId="2" xfId="1" applyNumberFormat="1" applyFont="1" applyFill="1" applyBorder="1"/>
    <xf numFmtId="10" fontId="3" fillId="0" borderId="2" xfId="0" applyNumberFormat="1" applyFont="1" applyFill="1" applyBorder="1"/>
    <xf numFmtId="10" fontId="4" fillId="0" borderId="2" xfId="0" applyNumberFormat="1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2" borderId="6" xfId="0" applyFont="1" applyFill="1" applyBorder="1"/>
    <xf numFmtId="164" fontId="4" fillId="2" borderId="6" xfId="1" applyNumberFormat="1" applyFont="1" applyFill="1" applyBorder="1"/>
    <xf numFmtId="10" fontId="4" fillId="2" borderId="6" xfId="0" applyNumberFormat="1" applyFont="1" applyFill="1" applyBorder="1"/>
    <xf numFmtId="0" fontId="4" fillId="3" borderId="7" xfId="0" applyFont="1" applyFill="1" applyBorder="1"/>
    <xf numFmtId="164" fontId="3" fillId="3" borderId="7" xfId="1" applyNumberFormat="1" applyFont="1" applyFill="1" applyBorder="1"/>
    <xf numFmtId="10" fontId="3" fillId="3" borderId="7" xfId="0" applyNumberFormat="1" applyFont="1" applyFill="1" applyBorder="1"/>
    <xf numFmtId="10" fontId="4" fillId="3" borderId="7" xfId="0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0" fontId="4" fillId="5" borderId="5" xfId="0" applyNumberFormat="1" applyFont="1" applyFill="1" applyBorder="1"/>
    <xf numFmtId="10" fontId="4" fillId="3" borderId="5" xfId="0" applyNumberFormat="1" applyFont="1" applyFill="1" applyBorder="1"/>
    <xf numFmtId="164" fontId="3" fillId="0" borderId="10" xfId="1" applyNumberFormat="1" applyFont="1" applyFill="1" applyBorder="1"/>
    <xf numFmtId="164" fontId="3" fillId="0" borderId="11" xfId="1" applyNumberFormat="1" applyFont="1" applyFill="1" applyBorder="1"/>
    <xf numFmtId="164" fontId="3" fillId="0" borderId="10" xfId="1" applyNumberFormat="1" applyFont="1" applyBorder="1"/>
    <xf numFmtId="164" fontId="3" fillId="0" borderId="11" xfId="1" applyNumberFormat="1" applyFont="1" applyBorder="1"/>
    <xf numFmtId="164" fontId="3" fillId="0" borderId="12" xfId="1" applyNumberFormat="1" applyFont="1" applyBorder="1"/>
    <xf numFmtId="164" fontId="4" fillId="2" borderId="13" xfId="1" applyNumberFormat="1" applyFont="1" applyFill="1" applyBorder="1"/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10" fontId="3" fillId="0" borderId="16" xfId="0" applyNumberFormat="1" applyFont="1" applyFill="1" applyBorder="1"/>
    <xf numFmtId="10" fontId="4" fillId="0" borderId="17" xfId="0" applyNumberFormat="1" applyFont="1" applyFill="1" applyBorder="1"/>
    <xf numFmtId="10" fontId="3" fillId="0" borderId="18" xfId="0" applyNumberFormat="1" applyFont="1" applyFill="1" applyBorder="1"/>
    <xf numFmtId="10" fontId="4" fillId="0" borderId="19" xfId="0" applyNumberFormat="1" applyFont="1" applyFill="1" applyBorder="1"/>
    <xf numFmtId="10" fontId="3" fillId="0" borderId="16" xfId="0" applyNumberFormat="1" applyFont="1" applyBorder="1"/>
    <xf numFmtId="10" fontId="4" fillId="0" borderId="17" xfId="0" applyNumberFormat="1" applyFont="1" applyBorder="1"/>
    <xf numFmtId="10" fontId="3" fillId="0" borderId="18" xfId="0" applyNumberFormat="1" applyFont="1" applyBorder="1"/>
    <xf numFmtId="10" fontId="4" fillId="0" borderId="19" xfId="0" applyNumberFormat="1" applyFont="1" applyBorder="1"/>
    <xf numFmtId="10" fontId="3" fillId="0" borderId="20" xfId="0" applyNumberFormat="1" applyFont="1" applyBorder="1"/>
    <xf numFmtId="10" fontId="4" fillId="0" borderId="21" xfId="0" applyNumberFormat="1" applyFont="1" applyBorder="1"/>
    <xf numFmtId="10" fontId="4" fillId="3" borderId="22" xfId="0" applyNumberFormat="1" applyFont="1" applyFill="1" applyBorder="1"/>
    <xf numFmtId="10" fontId="4" fillId="3" borderId="23" xfId="0" applyNumberFormat="1" applyFont="1" applyFill="1" applyBorder="1"/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10" fontId="4" fillId="5" borderId="22" xfId="0" applyNumberFormat="1" applyFont="1" applyFill="1" applyBorder="1"/>
    <xf numFmtId="10" fontId="4" fillId="5" borderId="23" xfId="0" applyNumberFormat="1" applyFont="1" applyFill="1" applyBorder="1"/>
    <xf numFmtId="10" fontId="4" fillId="0" borderId="25" xfId="0" applyNumberFormat="1" applyFont="1" applyFill="1" applyBorder="1"/>
    <xf numFmtId="10" fontId="4" fillId="0" borderId="26" xfId="0" applyNumberFormat="1" applyFont="1" applyFill="1" applyBorder="1"/>
    <xf numFmtId="10" fontId="4" fillId="0" borderId="25" xfId="0" applyNumberFormat="1" applyFont="1" applyBorder="1"/>
    <xf numFmtId="10" fontId="4" fillId="0" borderId="26" xfId="0" applyNumberFormat="1" applyFont="1" applyBorder="1"/>
    <xf numFmtId="10" fontId="4" fillId="0" borderId="27" xfId="0" applyNumberFormat="1" applyFont="1" applyBorder="1"/>
    <xf numFmtId="10" fontId="4" fillId="2" borderId="8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hZ Nuklaeo" refreshedDate="46101.56744421296" createdVersion="7" refreshedVersion="7" minRefreshableVersion="3" recordCount="109" xr:uid="{5F7D17F9-4641-4ECB-B27F-75B5C06CDBB2}">
  <cacheSource type="worksheet">
    <worksheetSource ref="A1:H1048576" sheet="data_with_class"/>
  </cacheSource>
  <cacheFields count="8">
    <cacheField name="พื้นที่" numFmtId="0">
      <sharedItems containsBlank="1"/>
    </cacheField>
    <cacheField name="แปลง" numFmtId="0">
      <sharedItems containsBlank="1" count="8">
        <s v="Kapao"/>
        <s v="Monmai"/>
        <s v="Panrai"/>
        <s v="Plairang"/>
        <s v="Yuansao"/>
        <s v="Banggun"/>
        <s v="Takuk"/>
        <m/>
      </sharedItems>
    </cacheField>
    <cacheField name="บล๊อก" numFmtId="0">
      <sharedItems containsBlank="1" count="109">
        <s v="49-A10-R"/>
        <s v="49-A11-R"/>
        <s v="49-A12-R"/>
        <s v="49-A13-R"/>
        <s v="50-A04"/>
        <s v="50-A05"/>
        <s v="56-A01"/>
        <s v="56-A02"/>
        <s v="56-A03-R"/>
        <s v="57-A08-R"/>
        <s v="57-A09-R"/>
        <s v="60-A06"/>
        <s v="63-A01-R"/>
        <s v="63-A03-R"/>
        <s v="63-A07"/>
        <s v="63-A07-R"/>
        <s v="56-D07-R"/>
        <s v="63-D08-R"/>
        <s v="64-D02-R"/>
        <s v="65-D01-R"/>
        <s v="65-D03-R"/>
        <s v="65-D04-R"/>
        <s v="65-D05-R"/>
        <s v="66-D09-R"/>
        <s v="67-D06-R"/>
        <s v="22-C05-R"/>
        <s v="50-C05-R"/>
        <s v="50-C07-R"/>
        <s v="56-C10-R"/>
        <s v="57-C06"/>
        <s v="57-C06-R"/>
        <s v="59-C03-R"/>
        <s v="59-C04-R"/>
        <s v="59-C08-R"/>
        <s v="59-C09-R"/>
        <s v="59-C11-R"/>
        <s v="60-C01-R"/>
        <s v="60-C02-R"/>
        <s v="60-C05-R"/>
        <s v="51-P07"/>
        <s v="51-P07-R"/>
        <s v="55-P07-R"/>
        <s v="64-P06-R"/>
        <s v="64-P07-R"/>
        <s v="64-P08-R"/>
        <s v="64-P09-R"/>
        <s v="66-P03-R"/>
        <s v="66-P04-R"/>
        <s v="66-P05-R"/>
        <s v="67-P01-R"/>
        <s v="67-P02-R"/>
        <s v="30-PU1"/>
        <s v="30-PU3"/>
        <s v="30-PU4"/>
        <s v="66-PU2"/>
        <s v="68-PU1"/>
        <s v="68-PU3"/>
        <s v="68-PU4"/>
        <s v="68-PU5"/>
        <s v="68-PU5-R"/>
        <s v="68-PU6"/>
        <s v="68-PU6-R"/>
        <s v="30-B14"/>
        <s v="49-B13"/>
        <s v="50-B07"/>
        <s v="50-B10"/>
        <s v="57-B03"/>
        <s v="57-B12"/>
        <s v="57-B14"/>
        <s v="60-B04"/>
        <s v="60-B08"/>
        <s v="60-B09"/>
        <s v="64-B02"/>
        <s v="64-B05"/>
        <s v="64-B06"/>
        <s v="65-B01"/>
        <s v="65-B11"/>
        <s v="37-T29"/>
        <s v="37-T30"/>
        <s v="49-T16-R"/>
        <s v="49-T20-R"/>
        <s v="50-T10-R"/>
        <s v="50-T12-R"/>
        <s v="52-T28-R"/>
        <s v="56-T08"/>
        <s v="56-T08-R"/>
        <s v="56-T19-R"/>
        <s v="56-T21-R"/>
        <s v="56-T28-R"/>
        <s v="58-T09-R"/>
        <s v="58-T11-R"/>
        <s v="58-T13-R"/>
        <s v="58-T17-R"/>
        <s v="58-T18-R"/>
        <s v="63-T05-R"/>
        <s v="63-T22-R"/>
        <s v="63-T23-R"/>
        <s v="66-T03"/>
        <s v="66-T04"/>
        <s v="66-T06"/>
        <s v="66-T07"/>
        <s v="67-T10"/>
        <s v="67-T18"/>
        <s v="67-T21"/>
        <s v="67-T29"/>
        <s v="67-T30"/>
        <s v="68-T01"/>
        <s v="68-T02"/>
        <m/>
      </sharedItems>
    </cacheField>
    <cacheField name="จน.ไร่" numFmtId="0">
      <sharedItems containsString="0" containsBlank="1" containsNumber="1" containsInteger="1" minValue="3" maxValue="195"/>
    </cacheField>
    <cacheField name="จน.ต้น" numFmtId="0">
      <sharedItems containsString="0" containsBlank="1" containsNumber="1" containsInteger="1" minValue="61" maxValue="4864"/>
    </cacheField>
    <cacheField name="ปีปลูก" numFmtId="0">
      <sharedItems containsString="0" containsBlank="1" containsNumber="1" containsInteger="1" minValue="2522" maxValue="2568"/>
    </cacheField>
    <cacheField name="ประเภท" numFmtId="0">
      <sharedItems containsBlank="1" count="3">
        <s v="RSPO"/>
        <s v="NON-RSPO"/>
        <m/>
      </sharedItems>
    </cacheField>
    <cacheField name="ขนาดปาล์ม" numFmtId="0">
      <sharedItems containsBlank="1" count="5">
        <s v="ใหญ่"/>
        <s v="กลาง"/>
        <s v="เล็ก"/>
        <s v="ไม่ให้ผลผลิต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Lower"/>
    <x v="0"/>
    <x v="0"/>
    <n v="111"/>
    <n v="2785"/>
    <n v="2549"/>
    <x v="0"/>
    <x v="0"/>
  </r>
  <r>
    <s v="Lower"/>
    <x v="0"/>
    <x v="1"/>
    <n v="97"/>
    <n v="2421"/>
    <n v="2549"/>
    <x v="0"/>
    <x v="0"/>
  </r>
  <r>
    <s v="Lower"/>
    <x v="0"/>
    <x v="2"/>
    <n v="151"/>
    <n v="3764"/>
    <n v="2549"/>
    <x v="0"/>
    <x v="0"/>
  </r>
  <r>
    <s v="Lower"/>
    <x v="0"/>
    <x v="3"/>
    <n v="116"/>
    <n v="2893"/>
    <n v="2549"/>
    <x v="0"/>
    <x v="0"/>
  </r>
  <r>
    <s v="Lower"/>
    <x v="0"/>
    <x v="4"/>
    <n v="195"/>
    <n v="4864"/>
    <n v="2550"/>
    <x v="1"/>
    <x v="0"/>
  </r>
  <r>
    <s v="Lower"/>
    <x v="0"/>
    <x v="5"/>
    <n v="171"/>
    <n v="4608"/>
    <n v="2550"/>
    <x v="1"/>
    <x v="0"/>
  </r>
  <r>
    <s v="Lower"/>
    <x v="0"/>
    <x v="6"/>
    <n v="78"/>
    <n v="1950"/>
    <n v="2556"/>
    <x v="1"/>
    <x v="1"/>
  </r>
  <r>
    <s v="Lower"/>
    <x v="0"/>
    <x v="7"/>
    <n v="153"/>
    <n v="3835"/>
    <n v="2556"/>
    <x v="1"/>
    <x v="1"/>
  </r>
  <r>
    <s v="Lower"/>
    <x v="0"/>
    <x v="8"/>
    <n v="85"/>
    <n v="2119"/>
    <n v="2556"/>
    <x v="0"/>
    <x v="1"/>
  </r>
  <r>
    <s v="Lower"/>
    <x v="0"/>
    <x v="9"/>
    <n v="172"/>
    <n v="4308"/>
    <n v="2557"/>
    <x v="0"/>
    <x v="1"/>
  </r>
  <r>
    <s v="Lower"/>
    <x v="0"/>
    <x v="10"/>
    <n v="154"/>
    <n v="3861"/>
    <n v="2557"/>
    <x v="0"/>
    <x v="1"/>
  </r>
  <r>
    <s v="Lower"/>
    <x v="0"/>
    <x v="11"/>
    <n v="142"/>
    <n v="3259"/>
    <n v="2560"/>
    <x v="1"/>
    <x v="1"/>
  </r>
  <r>
    <s v="Lower"/>
    <x v="0"/>
    <x v="12"/>
    <n v="24"/>
    <n v="534"/>
    <n v="2563"/>
    <x v="0"/>
    <x v="2"/>
  </r>
  <r>
    <s v="Lower"/>
    <x v="0"/>
    <x v="13"/>
    <n v="39"/>
    <n v="980"/>
    <n v="2563"/>
    <x v="0"/>
    <x v="2"/>
  </r>
  <r>
    <s v="Lower"/>
    <x v="0"/>
    <x v="14"/>
    <n v="109"/>
    <n v="2388"/>
    <n v="2563"/>
    <x v="1"/>
    <x v="2"/>
  </r>
  <r>
    <s v="Lower"/>
    <x v="0"/>
    <x v="15"/>
    <n v="14"/>
    <n v="309"/>
    <n v="2563"/>
    <x v="0"/>
    <x v="2"/>
  </r>
  <r>
    <s v="Lower"/>
    <x v="1"/>
    <x v="16"/>
    <n v="157"/>
    <n v="3931"/>
    <n v="2556"/>
    <x v="0"/>
    <x v="1"/>
  </r>
  <r>
    <s v="Lower"/>
    <x v="1"/>
    <x v="17"/>
    <n v="108"/>
    <n v="2365"/>
    <n v="2563"/>
    <x v="0"/>
    <x v="2"/>
  </r>
  <r>
    <s v="Lower"/>
    <x v="1"/>
    <x v="18"/>
    <n v="130"/>
    <n v="2853"/>
    <n v="2564"/>
    <x v="0"/>
    <x v="2"/>
  </r>
  <r>
    <s v="Lower"/>
    <x v="1"/>
    <x v="19"/>
    <n v="115"/>
    <n v="2531"/>
    <n v="2565"/>
    <x v="0"/>
    <x v="2"/>
  </r>
  <r>
    <s v="Lower"/>
    <x v="1"/>
    <x v="20"/>
    <n v="127"/>
    <n v="2803"/>
    <n v="2565"/>
    <x v="0"/>
    <x v="2"/>
  </r>
  <r>
    <s v="Lower"/>
    <x v="1"/>
    <x v="21"/>
    <n v="128"/>
    <n v="2819"/>
    <n v="2565"/>
    <x v="0"/>
    <x v="2"/>
  </r>
  <r>
    <s v="Lower"/>
    <x v="1"/>
    <x v="22"/>
    <n v="122"/>
    <n v="2687"/>
    <n v="2565"/>
    <x v="0"/>
    <x v="2"/>
  </r>
  <r>
    <s v="Lower"/>
    <x v="1"/>
    <x v="23"/>
    <n v="136"/>
    <n v="2999"/>
    <n v="2566"/>
    <x v="0"/>
    <x v="2"/>
  </r>
  <r>
    <s v="Lower"/>
    <x v="1"/>
    <x v="24"/>
    <n v="130"/>
    <n v="2865"/>
    <n v="2567"/>
    <x v="0"/>
    <x v="2"/>
  </r>
  <r>
    <s v="Lower"/>
    <x v="2"/>
    <x v="25"/>
    <n v="8"/>
    <n v="184"/>
    <n v="2522"/>
    <x v="0"/>
    <x v="0"/>
  </r>
  <r>
    <s v="Lower"/>
    <x v="2"/>
    <x v="26"/>
    <n v="103"/>
    <n v="2792"/>
    <n v="2550"/>
    <x v="0"/>
    <x v="0"/>
  </r>
  <r>
    <s v="Lower"/>
    <x v="2"/>
    <x v="27"/>
    <n v="156"/>
    <n v="4202"/>
    <n v="2550"/>
    <x v="0"/>
    <x v="0"/>
  </r>
  <r>
    <s v="Lower"/>
    <x v="2"/>
    <x v="28"/>
    <n v="124"/>
    <n v="3106"/>
    <n v="2556"/>
    <x v="0"/>
    <x v="1"/>
  </r>
  <r>
    <s v="Lower"/>
    <x v="2"/>
    <x v="29"/>
    <n v="12"/>
    <n v="300"/>
    <n v="2557"/>
    <x v="1"/>
    <x v="1"/>
  </r>
  <r>
    <s v="Lower"/>
    <x v="2"/>
    <x v="30"/>
    <n v="100"/>
    <n v="2495"/>
    <n v="2557"/>
    <x v="0"/>
    <x v="1"/>
  </r>
  <r>
    <s v="Lower"/>
    <x v="2"/>
    <x v="31"/>
    <n v="133"/>
    <n v="3333"/>
    <n v="2559"/>
    <x v="0"/>
    <x v="1"/>
  </r>
  <r>
    <s v="Lower"/>
    <x v="2"/>
    <x v="32"/>
    <n v="101"/>
    <n v="2525"/>
    <n v="2559"/>
    <x v="0"/>
    <x v="1"/>
  </r>
  <r>
    <s v="Lower"/>
    <x v="2"/>
    <x v="33"/>
    <n v="116"/>
    <n v="2888"/>
    <n v="2559"/>
    <x v="0"/>
    <x v="1"/>
  </r>
  <r>
    <s v="Lower"/>
    <x v="2"/>
    <x v="34"/>
    <n v="76"/>
    <n v="1905"/>
    <n v="2559"/>
    <x v="0"/>
    <x v="1"/>
  </r>
  <r>
    <s v="Lower"/>
    <x v="2"/>
    <x v="35"/>
    <n v="92"/>
    <n v="2291"/>
    <n v="2559"/>
    <x v="0"/>
    <x v="1"/>
  </r>
  <r>
    <s v="Lower"/>
    <x v="2"/>
    <x v="36"/>
    <n v="108"/>
    <n v="2707"/>
    <n v="2560"/>
    <x v="0"/>
    <x v="1"/>
  </r>
  <r>
    <s v="Lower"/>
    <x v="2"/>
    <x v="37"/>
    <n v="85"/>
    <n v="2132"/>
    <n v="2560"/>
    <x v="0"/>
    <x v="1"/>
  </r>
  <r>
    <s v="Lower"/>
    <x v="2"/>
    <x v="38"/>
    <n v="29"/>
    <n v="720"/>
    <n v="2560"/>
    <x v="0"/>
    <x v="1"/>
  </r>
  <r>
    <s v="Lower"/>
    <x v="3"/>
    <x v="39"/>
    <n v="6"/>
    <n v="152"/>
    <n v="2551"/>
    <x v="1"/>
    <x v="0"/>
  </r>
  <r>
    <s v="Lower"/>
    <x v="3"/>
    <x v="40"/>
    <n v="15"/>
    <n v="401"/>
    <n v="2551"/>
    <x v="0"/>
    <x v="0"/>
  </r>
  <r>
    <s v="Lower"/>
    <x v="3"/>
    <x v="41"/>
    <n v="4"/>
    <n v="93"/>
    <n v="2555"/>
    <x v="0"/>
    <x v="1"/>
  </r>
  <r>
    <s v="Lower"/>
    <x v="3"/>
    <x v="42"/>
    <n v="131"/>
    <n v="2886"/>
    <n v="2564"/>
    <x v="0"/>
    <x v="2"/>
  </r>
  <r>
    <s v="Lower"/>
    <x v="3"/>
    <x v="43"/>
    <n v="117"/>
    <n v="2579"/>
    <n v="2564"/>
    <x v="0"/>
    <x v="2"/>
  </r>
  <r>
    <s v="Lower"/>
    <x v="3"/>
    <x v="44"/>
    <n v="155"/>
    <n v="3402"/>
    <n v="2564"/>
    <x v="0"/>
    <x v="2"/>
  </r>
  <r>
    <s v="Lower"/>
    <x v="3"/>
    <x v="45"/>
    <n v="100"/>
    <n v="2192"/>
    <n v="2564"/>
    <x v="0"/>
    <x v="2"/>
  </r>
  <r>
    <s v="Lower"/>
    <x v="3"/>
    <x v="46"/>
    <n v="116"/>
    <n v="2550"/>
    <n v="2566"/>
    <x v="0"/>
    <x v="2"/>
  </r>
  <r>
    <s v="Lower"/>
    <x v="3"/>
    <x v="47"/>
    <n v="130"/>
    <n v="2854"/>
    <n v="2566"/>
    <x v="0"/>
    <x v="2"/>
  </r>
  <r>
    <s v="Lower"/>
    <x v="3"/>
    <x v="48"/>
    <n v="141"/>
    <n v="3111"/>
    <n v="2566"/>
    <x v="0"/>
    <x v="2"/>
  </r>
  <r>
    <s v="Lower"/>
    <x v="3"/>
    <x v="49"/>
    <n v="99"/>
    <n v="2167"/>
    <n v="2567"/>
    <x v="0"/>
    <x v="3"/>
  </r>
  <r>
    <s v="Lower"/>
    <x v="3"/>
    <x v="50"/>
    <n v="105"/>
    <n v="2320"/>
    <n v="2567"/>
    <x v="0"/>
    <x v="3"/>
  </r>
  <r>
    <s v="Lower"/>
    <x v="4"/>
    <x v="51"/>
    <n v="82"/>
    <n v="1813"/>
    <n v="2530"/>
    <x v="1"/>
    <x v="0"/>
  </r>
  <r>
    <s v="Lower"/>
    <x v="4"/>
    <x v="52"/>
    <n v="72"/>
    <n v="1574"/>
    <n v="2530"/>
    <x v="1"/>
    <x v="0"/>
  </r>
  <r>
    <s v="Lower"/>
    <x v="4"/>
    <x v="53"/>
    <n v="69"/>
    <n v="1509"/>
    <n v="2530"/>
    <x v="1"/>
    <x v="0"/>
  </r>
  <r>
    <s v="Lower"/>
    <x v="4"/>
    <x v="54"/>
    <n v="90"/>
    <n v="1970"/>
    <n v="2566"/>
    <x v="1"/>
    <x v="2"/>
  </r>
  <r>
    <s v="Lower"/>
    <x v="4"/>
    <x v="55"/>
    <n v="86"/>
    <n v="1892"/>
    <n v="2568"/>
    <x v="1"/>
    <x v="3"/>
  </r>
  <r>
    <s v="Lower"/>
    <x v="4"/>
    <x v="56"/>
    <n v="77"/>
    <n v="1686"/>
    <n v="2568"/>
    <x v="1"/>
    <x v="3"/>
  </r>
  <r>
    <s v="Lower"/>
    <x v="4"/>
    <x v="57"/>
    <n v="63"/>
    <n v="1380"/>
    <n v="2568"/>
    <x v="1"/>
    <x v="3"/>
  </r>
  <r>
    <s v="Lower"/>
    <x v="4"/>
    <x v="58"/>
    <n v="34"/>
    <n v="751"/>
    <n v="2568"/>
    <x v="1"/>
    <x v="3"/>
  </r>
  <r>
    <s v="Lower"/>
    <x v="4"/>
    <x v="59"/>
    <n v="53"/>
    <n v="1168"/>
    <n v="2568"/>
    <x v="0"/>
    <x v="3"/>
  </r>
  <r>
    <s v="Lower"/>
    <x v="4"/>
    <x v="60"/>
    <n v="7"/>
    <n v="145"/>
    <n v="2568"/>
    <x v="1"/>
    <x v="3"/>
  </r>
  <r>
    <s v="Lower"/>
    <x v="4"/>
    <x v="61"/>
    <n v="70"/>
    <n v="1547"/>
    <n v="2568"/>
    <x v="0"/>
    <x v="3"/>
  </r>
  <r>
    <s v="Upper"/>
    <x v="5"/>
    <x v="62"/>
    <n v="6"/>
    <n v="126"/>
    <n v="2530"/>
    <x v="1"/>
    <x v="0"/>
  </r>
  <r>
    <s v="Upper"/>
    <x v="5"/>
    <x v="63"/>
    <n v="168"/>
    <n v="4192"/>
    <n v="2549"/>
    <x v="1"/>
    <x v="0"/>
  </r>
  <r>
    <s v="Upper"/>
    <x v="5"/>
    <x v="64"/>
    <n v="157"/>
    <n v="4022"/>
    <n v="2550"/>
    <x v="1"/>
    <x v="0"/>
  </r>
  <r>
    <s v="Upper"/>
    <x v="5"/>
    <x v="65"/>
    <n v="170"/>
    <n v="4245"/>
    <n v="2550"/>
    <x v="1"/>
    <x v="0"/>
  </r>
  <r>
    <s v="Upper"/>
    <x v="5"/>
    <x v="66"/>
    <n v="169"/>
    <n v="4231"/>
    <n v="2557"/>
    <x v="1"/>
    <x v="1"/>
  </r>
  <r>
    <s v="Upper"/>
    <x v="5"/>
    <x v="67"/>
    <n v="171"/>
    <n v="4265"/>
    <n v="2557"/>
    <x v="1"/>
    <x v="1"/>
  </r>
  <r>
    <s v="Upper"/>
    <x v="5"/>
    <x v="68"/>
    <n v="67"/>
    <n v="1663"/>
    <n v="2557"/>
    <x v="1"/>
    <x v="1"/>
  </r>
  <r>
    <s v="Upper"/>
    <x v="5"/>
    <x v="69"/>
    <n v="154"/>
    <n v="3851"/>
    <n v="2560"/>
    <x v="1"/>
    <x v="1"/>
  </r>
  <r>
    <s v="Upper"/>
    <x v="5"/>
    <x v="70"/>
    <n v="139"/>
    <n v="3476"/>
    <n v="2560"/>
    <x v="1"/>
    <x v="1"/>
  </r>
  <r>
    <s v="Upper"/>
    <x v="5"/>
    <x v="71"/>
    <n v="165"/>
    <n v="4127"/>
    <n v="2560"/>
    <x v="1"/>
    <x v="1"/>
  </r>
  <r>
    <s v="Upper"/>
    <x v="5"/>
    <x v="72"/>
    <n v="158"/>
    <n v="3480"/>
    <n v="2564"/>
    <x v="1"/>
    <x v="2"/>
  </r>
  <r>
    <s v="Upper"/>
    <x v="5"/>
    <x v="73"/>
    <n v="143"/>
    <n v="3140"/>
    <n v="2564"/>
    <x v="1"/>
    <x v="2"/>
  </r>
  <r>
    <s v="Upper"/>
    <x v="5"/>
    <x v="74"/>
    <n v="167"/>
    <n v="3671"/>
    <n v="2564"/>
    <x v="1"/>
    <x v="2"/>
  </r>
  <r>
    <s v="Upper"/>
    <x v="5"/>
    <x v="75"/>
    <n v="130"/>
    <n v="2868"/>
    <n v="2565"/>
    <x v="1"/>
    <x v="2"/>
  </r>
  <r>
    <s v="Upper"/>
    <x v="5"/>
    <x v="76"/>
    <n v="145"/>
    <n v="3193"/>
    <n v="2565"/>
    <x v="1"/>
    <x v="2"/>
  </r>
  <r>
    <s v="Upper"/>
    <x v="6"/>
    <x v="77"/>
    <n v="102"/>
    <n v="2243"/>
    <n v="2537"/>
    <x v="1"/>
    <x v="0"/>
  </r>
  <r>
    <s v="Upper"/>
    <x v="6"/>
    <x v="78"/>
    <n v="113"/>
    <n v="2494"/>
    <n v="2537"/>
    <x v="1"/>
    <x v="0"/>
  </r>
  <r>
    <s v="Upper"/>
    <x v="6"/>
    <x v="79"/>
    <n v="4"/>
    <n v="112"/>
    <n v="2549"/>
    <x v="0"/>
    <x v="0"/>
  </r>
  <r>
    <s v="Upper"/>
    <x v="6"/>
    <x v="80"/>
    <n v="113"/>
    <n v="2833"/>
    <n v="2549"/>
    <x v="0"/>
    <x v="0"/>
  </r>
  <r>
    <s v="Upper"/>
    <x v="6"/>
    <x v="81"/>
    <n v="115"/>
    <n v="2872"/>
    <n v="2550"/>
    <x v="0"/>
    <x v="0"/>
  </r>
  <r>
    <s v="Upper"/>
    <x v="6"/>
    <x v="82"/>
    <n v="121"/>
    <n v="3030"/>
    <n v="2550"/>
    <x v="0"/>
    <x v="0"/>
  </r>
  <r>
    <s v="Upper"/>
    <x v="6"/>
    <x v="83"/>
    <n v="4"/>
    <n v="92"/>
    <n v="2552"/>
    <x v="0"/>
    <x v="0"/>
  </r>
  <r>
    <s v="Upper"/>
    <x v="6"/>
    <x v="84"/>
    <n v="9"/>
    <n v="213"/>
    <n v="2556"/>
    <x v="1"/>
    <x v="1"/>
  </r>
  <r>
    <s v="Upper"/>
    <x v="6"/>
    <x v="85"/>
    <n v="113"/>
    <n v="2816"/>
    <n v="2556"/>
    <x v="0"/>
    <x v="1"/>
  </r>
  <r>
    <s v="Upper"/>
    <x v="6"/>
    <x v="86"/>
    <n v="128"/>
    <n v="3199"/>
    <n v="2556"/>
    <x v="0"/>
    <x v="1"/>
  </r>
  <r>
    <s v="Upper"/>
    <x v="6"/>
    <x v="87"/>
    <n v="121"/>
    <n v="3015"/>
    <n v="2556"/>
    <x v="0"/>
    <x v="1"/>
  </r>
  <r>
    <s v="Upper"/>
    <x v="6"/>
    <x v="88"/>
    <n v="56"/>
    <n v="1403"/>
    <n v="2556"/>
    <x v="0"/>
    <x v="1"/>
  </r>
  <r>
    <s v="Upper"/>
    <x v="6"/>
    <x v="89"/>
    <n v="117"/>
    <n v="2934"/>
    <n v="2558"/>
    <x v="0"/>
    <x v="1"/>
  </r>
  <r>
    <s v="Upper"/>
    <x v="6"/>
    <x v="90"/>
    <n v="116"/>
    <n v="2903"/>
    <n v="2558"/>
    <x v="0"/>
    <x v="1"/>
  </r>
  <r>
    <s v="Upper"/>
    <x v="6"/>
    <x v="91"/>
    <n v="115"/>
    <n v="2864"/>
    <n v="2558"/>
    <x v="0"/>
    <x v="1"/>
  </r>
  <r>
    <s v="Upper"/>
    <x v="6"/>
    <x v="92"/>
    <n v="128"/>
    <n v="2825"/>
    <n v="2558"/>
    <x v="0"/>
    <x v="1"/>
  </r>
  <r>
    <s v="Upper"/>
    <x v="6"/>
    <x v="93"/>
    <n v="129"/>
    <n v="2843"/>
    <n v="2558"/>
    <x v="0"/>
    <x v="1"/>
  </r>
  <r>
    <s v="Upper"/>
    <x v="6"/>
    <x v="94"/>
    <n v="121"/>
    <n v="3037"/>
    <n v="2563"/>
    <x v="0"/>
    <x v="2"/>
  </r>
  <r>
    <s v="Upper"/>
    <x v="6"/>
    <x v="95"/>
    <n v="38"/>
    <n v="842"/>
    <n v="2563"/>
    <x v="0"/>
    <x v="2"/>
  </r>
  <r>
    <s v="Upper"/>
    <x v="6"/>
    <x v="96"/>
    <n v="38"/>
    <n v="844"/>
    <n v="2563"/>
    <x v="0"/>
    <x v="2"/>
  </r>
  <r>
    <s v="Upper"/>
    <x v="6"/>
    <x v="97"/>
    <n v="111"/>
    <n v="2449"/>
    <n v="2566"/>
    <x v="1"/>
    <x v="2"/>
  </r>
  <r>
    <s v="Upper"/>
    <x v="6"/>
    <x v="98"/>
    <n v="92"/>
    <n v="2014"/>
    <n v="2566"/>
    <x v="1"/>
    <x v="2"/>
  </r>
  <r>
    <s v="Upper"/>
    <x v="6"/>
    <x v="99"/>
    <n v="132"/>
    <n v="2898"/>
    <n v="2566"/>
    <x v="1"/>
    <x v="2"/>
  </r>
  <r>
    <s v="Upper"/>
    <x v="6"/>
    <x v="100"/>
    <n v="107"/>
    <n v="2364"/>
    <n v="2566"/>
    <x v="1"/>
    <x v="2"/>
  </r>
  <r>
    <s v="Upper"/>
    <x v="6"/>
    <x v="101"/>
    <n v="3"/>
    <n v="61"/>
    <n v="2567"/>
    <x v="1"/>
    <x v="3"/>
  </r>
  <r>
    <s v="Upper"/>
    <x v="6"/>
    <x v="102"/>
    <n v="8"/>
    <n v="171"/>
    <n v="2567"/>
    <x v="1"/>
    <x v="3"/>
  </r>
  <r>
    <s v="Upper"/>
    <x v="6"/>
    <x v="103"/>
    <n v="11"/>
    <n v="241"/>
    <n v="2567"/>
    <x v="1"/>
    <x v="3"/>
  </r>
  <r>
    <s v="Upper"/>
    <x v="6"/>
    <x v="104"/>
    <n v="140"/>
    <n v="3070"/>
    <n v="2567"/>
    <x v="1"/>
    <x v="3"/>
  </r>
  <r>
    <s v="Upper"/>
    <x v="6"/>
    <x v="105"/>
    <n v="149"/>
    <n v="3270"/>
    <n v="2567"/>
    <x v="1"/>
    <x v="3"/>
  </r>
  <r>
    <s v="Upper"/>
    <x v="6"/>
    <x v="106"/>
    <n v="144"/>
    <n v="3171"/>
    <n v="2568"/>
    <x v="1"/>
    <x v="3"/>
  </r>
  <r>
    <s v="Upper"/>
    <x v="6"/>
    <x v="107"/>
    <n v="134"/>
    <n v="2950"/>
    <n v="2568"/>
    <x v="1"/>
    <x v="3"/>
  </r>
  <r>
    <m/>
    <x v="7"/>
    <x v="108"/>
    <m/>
    <m/>
    <m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CAC67-C70D-46D8-BCE0-C53C59E623B1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2" firstHeaderRow="1" firstDataRow="2" firstDataCol="1"/>
  <pivotFields count="8">
    <pivotField showAll="0"/>
    <pivotField axis="axisRow" showAll="0">
      <items count="9">
        <item x="5"/>
        <item x="0"/>
        <item x="1"/>
        <item x="2"/>
        <item x="3"/>
        <item x="6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6">
        <item x="1"/>
        <item x="3"/>
        <item x="2"/>
        <item x="0"/>
        <item h="1"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จน.ไร่" fld="3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6D967-8437-4AD1-B8A7-39EAE103232A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L121" firstHeaderRow="1" firstDataRow="3" firstDataCol="1"/>
  <pivotFields count="8">
    <pivotField showAll="0"/>
    <pivotField axis="axisRow" showAll="0">
      <items count="9">
        <item x="5"/>
        <item x="0"/>
        <item x="1"/>
        <item x="2"/>
        <item x="3"/>
        <item x="6"/>
        <item x="4"/>
        <item x="7"/>
        <item t="default"/>
      </items>
    </pivotField>
    <pivotField axis="axisRow" showAll="0">
      <items count="110">
        <item x="25"/>
        <item x="62"/>
        <item x="51"/>
        <item x="52"/>
        <item x="53"/>
        <item x="77"/>
        <item x="78"/>
        <item x="0"/>
        <item x="1"/>
        <item x="2"/>
        <item x="3"/>
        <item x="63"/>
        <item x="79"/>
        <item x="80"/>
        <item x="4"/>
        <item x="5"/>
        <item x="64"/>
        <item x="65"/>
        <item x="26"/>
        <item x="27"/>
        <item x="81"/>
        <item x="82"/>
        <item x="39"/>
        <item x="40"/>
        <item x="83"/>
        <item x="41"/>
        <item x="6"/>
        <item x="7"/>
        <item x="8"/>
        <item x="28"/>
        <item x="16"/>
        <item x="84"/>
        <item x="85"/>
        <item x="86"/>
        <item x="87"/>
        <item x="88"/>
        <item x="9"/>
        <item x="10"/>
        <item x="66"/>
        <item x="67"/>
        <item x="68"/>
        <item x="29"/>
        <item x="30"/>
        <item x="89"/>
        <item x="90"/>
        <item x="91"/>
        <item x="92"/>
        <item x="93"/>
        <item x="31"/>
        <item x="32"/>
        <item x="33"/>
        <item x="34"/>
        <item x="35"/>
        <item x="11"/>
        <item x="69"/>
        <item x="70"/>
        <item x="71"/>
        <item x="36"/>
        <item x="37"/>
        <item x="38"/>
        <item x="12"/>
        <item x="13"/>
        <item x="14"/>
        <item x="15"/>
        <item x="17"/>
        <item x="94"/>
        <item x="95"/>
        <item x="96"/>
        <item x="72"/>
        <item x="73"/>
        <item x="74"/>
        <item x="18"/>
        <item x="42"/>
        <item x="43"/>
        <item x="44"/>
        <item x="45"/>
        <item x="75"/>
        <item x="76"/>
        <item x="19"/>
        <item x="20"/>
        <item x="21"/>
        <item x="22"/>
        <item x="23"/>
        <item x="46"/>
        <item x="47"/>
        <item x="48"/>
        <item x="54"/>
        <item x="97"/>
        <item x="98"/>
        <item x="99"/>
        <item x="100"/>
        <item x="24"/>
        <item x="49"/>
        <item x="50"/>
        <item x="101"/>
        <item x="102"/>
        <item x="103"/>
        <item x="104"/>
        <item x="105"/>
        <item x="55"/>
        <item x="56"/>
        <item x="57"/>
        <item x="58"/>
        <item x="59"/>
        <item x="60"/>
        <item x="61"/>
        <item x="106"/>
        <item x="107"/>
        <item x="108"/>
        <item t="default"/>
      </items>
    </pivotField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Col" showAll="0">
      <items count="6">
        <item x="1"/>
        <item x="3"/>
        <item x="2"/>
        <item x="0"/>
        <item h="1" x="4"/>
        <item t="default"/>
      </items>
    </pivotField>
  </pivotFields>
  <rowFields count="2">
    <field x="1"/>
    <field x="2"/>
  </rowFields>
  <rowItems count="116">
    <i>
      <x/>
    </i>
    <i r="1">
      <x v="1"/>
    </i>
    <i r="1">
      <x v="11"/>
    </i>
    <i r="1">
      <x v="16"/>
    </i>
    <i r="1">
      <x v="17"/>
    </i>
    <i r="1">
      <x v="38"/>
    </i>
    <i r="1">
      <x v="39"/>
    </i>
    <i r="1">
      <x v="40"/>
    </i>
    <i r="1">
      <x v="54"/>
    </i>
    <i r="1">
      <x v="55"/>
    </i>
    <i r="1">
      <x v="56"/>
    </i>
    <i r="1">
      <x v="68"/>
    </i>
    <i r="1">
      <x v="69"/>
    </i>
    <i r="1">
      <x v="70"/>
    </i>
    <i r="1">
      <x v="76"/>
    </i>
    <i r="1">
      <x v="77"/>
    </i>
    <i>
      <x v="1"/>
    </i>
    <i r="1">
      <x v="7"/>
    </i>
    <i r="1">
      <x v="8"/>
    </i>
    <i r="1">
      <x v="9"/>
    </i>
    <i r="1">
      <x v="10"/>
    </i>
    <i r="1">
      <x v="14"/>
    </i>
    <i r="1">
      <x v="15"/>
    </i>
    <i r="1">
      <x v="26"/>
    </i>
    <i r="1">
      <x v="27"/>
    </i>
    <i r="1">
      <x v="28"/>
    </i>
    <i r="1">
      <x v="36"/>
    </i>
    <i r="1">
      <x v="37"/>
    </i>
    <i r="1">
      <x v="53"/>
    </i>
    <i r="1">
      <x v="60"/>
    </i>
    <i r="1">
      <x v="61"/>
    </i>
    <i r="1">
      <x v="62"/>
    </i>
    <i r="1">
      <x v="63"/>
    </i>
    <i>
      <x v="2"/>
    </i>
    <i r="1">
      <x v="30"/>
    </i>
    <i r="1">
      <x v="64"/>
    </i>
    <i r="1">
      <x v="71"/>
    </i>
    <i r="1">
      <x v="78"/>
    </i>
    <i r="1">
      <x v="79"/>
    </i>
    <i r="1">
      <x v="80"/>
    </i>
    <i r="1">
      <x v="81"/>
    </i>
    <i r="1">
      <x v="82"/>
    </i>
    <i r="1">
      <x v="91"/>
    </i>
    <i>
      <x v="3"/>
    </i>
    <i r="1">
      <x/>
    </i>
    <i r="1">
      <x v="18"/>
    </i>
    <i r="1">
      <x v="19"/>
    </i>
    <i r="1">
      <x v="29"/>
    </i>
    <i r="1">
      <x v="41"/>
    </i>
    <i r="1">
      <x v="42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>
      <x v="4"/>
    </i>
    <i r="1">
      <x v="22"/>
    </i>
    <i r="1">
      <x v="23"/>
    </i>
    <i r="1">
      <x v="25"/>
    </i>
    <i r="1">
      <x v="72"/>
    </i>
    <i r="1">
      <x v="73"/>
    </i>
    <i r="1">
      <x v="74"/>
    </i>
    <i r="1">
      <x v="75"/>
    </i>
    <i r="1">
      <x v="83"/>
    </i>
    <i r="1">
      <x v="84"/>
    </i>
    <i r="1">
      <x v="85"/>
    </i>
    <i r="1">
      <x v="92"/>
    </i>
    <i r="1">
      <x v="93"/>
    </i>
    <i>
      <x v="5"/>
    </i>
    <i r="1">
      <x v="5"/>
    </i>
    <i r="1">
      <x v="6"/>
    </i>
    <i r="1">
      <x v="12"/>
    </i>
    <i r="1">
      <x v="13"/>
    </i>
    <i r="1">
      <x v="20"/>
    </i>
    <i r="1">
      <x v="21"/>
    </i>
    <i r="1">
      <x v="24"/>
    </i>
    <i r="1">
      <x v="31"/>
    </i>
    <i r="1">
      <x v="32"/>
    </i>
    <i r="1">
      <x v="33"/>
    </i>
    <i r="1">
      <x v="34"/>
    </i>
    <i r="1">
      <x v="35"/>
    </i>
    <i r="1">
      <x v="43"/>
    </i>
    <i r="1">
      <x v="44"/>
    </i>
    <i r="1">
      <x v="45"/>
    </i>
    <i r="1">
      <x v="46"/>
    </i>
    <i r="1">
      <x v="47"/>
    </i>
    <i r="1">
      <x v="65"/>
    </i>
    <i r="1">
      <x v="66"/>
    </i>
    <i r="1">
      <x v="67"/>
    </i>
    <i r="1">
      <x v="87"/>
    </i>
    <i r="1">
      <x v="88"/>
    </i>
    <i r="1">
      <x v="89"/>
    </i>
    <i r="1">
      <x v="90"/>
    </i>
    <i r="1">
      <x v="94"/>
    </i>
    <i r="1">
      <x v="95"/>
    </i>
    <i r="1">
      <x v="96"/>
    </i>
    <i r="1">
      <x v="97"/>
    </i>
    <i r="1">
      <x v="98"/>
    </i>
    <i r="1">
      <x v="106"/>
    </i>
    <i r="1">
      <x v="107"/>
    </i>
    <i>
      <x v="6"/>
    </i>
    <i r="1">
      <x v="2"/>
    </i>
    <i r="1">
      <x v="3"/>
    </i>
    <i r="1">
      <x v="4"/>
    </i>
    <i r="1">
      <x v="86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t="grand">
      <x/>
    </i>
  </rowItems>
  <colFields count="2">
    <field x="6"/>
    <field x="7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จน.ไร่" fld="3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opLeftCell="A94" workbookViewId="0">
      <selection activeCell="L88" sqref="L88"/>
    </sheetView>
  </sheetViews>
  <sheetFormatPr defaultRowHeight="14.4" x14ac:dyDescent="0.3"/>
  <cols>
    <col min="2" max="2" width="7.88671875" bestFit="1" customWidth="1"/>
    <col min="3" max="3" width="13.88671875" bestFit="1" customWidth="1"/>
    <col min="6" max="6" width="9.88671875" customWidth="1"/>
    <col min="7" max="7" width="15" customWidth="1"/>
    <col min="8" max="8" width="17.44140625" customWidth="1"/>
  </cols>
  <sheetData>
    <row r="1" spans="1:8" x14ac:dyDescent="0.3">
      <c r="A1" s="1" t="s">
        <v>0</v>
      </c>
      <c r="B1" s="1" t="s">
        <v>1</v>
      </c>
      <c r="C1" s="1" t="s">
        <v>133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11</v>
      </c>
      <c r="C2" t="s">
        <v>41</v>
      </c>
      <c r="D2" s="8">
        <v>8</v>
      </c>
      <c r="E2">
        <v>184</v>
      </c>
      <c r="F2">
        <v>2522</v>
      </c>
      <c r="G2" t="s">
        <v>124</v>
      </c>
      <c r="H2" t="s">
        <v>126</v>
      </c>
    </row>
    <row r="3" spans="1:8" x14ac:dyDescent="0.3">
      <c r="A3" t="s">
        <v>8</v>
      </c>
      <c r="B3" t="s">
        <v>14</v>
      </c>
      <c r="C3" t="s">
        <v>78</v>
      </c>
      <c r="D3" s="8">
        <v>6</v>
      </c>
      <c r="E3">
        <v>126</v>
      </c>
      <c r="F3">
        <v>2530</v>
      </c>
      <c r="G3" t="s">
        <v>125</v>
      </c>
      <c r="H3" t="s">
        <v>126</v>
      </c>
    </row>
    <row r="4" spans="1:8" x14ac:dyDescent="0.3">
      <c r="A4" t="s">
        <v>7</v>
      </c>
      <c r="B4" t="s">
        <v>13</v>
      </c>
      <c r="C4" t="s">
        <v>67</v>
      </c>
      <c r="D4" s="8">
        <v>82</v>
      </c>
      <c r="E4">
        <v>1813</v>
      </c>
      <c r="F4">
        <v>2530</v>
      </c>
      <c r="G4" t="s">
        <v>125</v>
      </c>
      <c r="H4" t="s">
        <v>126</v>
      </c>
    </row>
    <row r="5" spans="1:8" x14ac:dyDescent="0.3">
      <c r="A5" t="s">
        <v>7</v>
      </c>
      <c r="B5" t="s">
        <v>13</v>
      </c>
      <c r="C5" t="s">
        <v>68</v>
      </c>
      <c r="D5" s="8">
        <v>72</v>
      </c>
      <c r="E5">
        <v>1574</v>
      </c>
      <c r="F5">
        <v>2530</v>
      </c>
      <c r="G5" t="s">
        <v>125</v>
      </c>
      <c r="H5" t="s">
        <v>126</v>
      </c>
    </row>
    <row r="6" spans="1:8" x14ac:dyDescent="0.3">
      <c r="A6" t="s">
        <v>7</v>
      </c>
      <c r="B6" t="s">
        <v>13</v>
      </c>
      <c r="C6" t="s">
        <v>69</v>
      </c>
      <c r="D6" s="8">
        <v>69</v>
      </c>
      <c r="E6">
        <v>1509</v>
      </c>
      <c r="F6">
        <v>2530</v>
      </c>
      <c r="G6" t="s">
        <v>125</v>
      </c>
      <c r="H6" t="s">
        <v>126</v>
      </c>
    </row>
    <row r="7" spans="1:8" x14ac:dyDescent="0.3">
      <c r="A7" t="s">
        <v>8</v>
      </c>
      <c r="B7" t="s">
        <v>15</v>
      </c>
      <c r="C7" t="s">
        <v>94</v>
      </c>
      <c r="D7" s="8">
        <v>102</v>
      </c>
      <c r="E7">
        <v>2243</v>
      </c>
      <c r="F7">
        <v>2537</v>
      </c>
      <c r="G7" t="s">
        <v>125</v>
      </c>
      <c r="H7" t="s">
        <v>126</v>
      </c>
    </row>
    <row r="8" spans="1:8" x14ac:dyDescent="0.3">
      <c r="A8" t="s">
        <v>8</v>
      </c>
      <c r="B8" t="s">
        <v>15</v>
      </c>
      <c r="C8" t="s">
        <v>95</v>
      </c>
      <c r="D8" s="8">
        <v>113</v>
      </c>
      <c r="E8">
        <v>2494</v>
      </c>
      <c r="F8">
        <v>2537</v>
      </c>
      <c r="G8" t="s">
        <v>125</v>
      </c>
      <c r="H8" t="s">
        <v>126</v>
      </c>
    </row>
    <row r="9" spans="1:8" x14ac:dyDescent="0.3">
      <c r="A9" t="s">
        <v>7</v>
      </c>
      <c r="B9" t="s">
        <v>9</v>
      </c>
      <c r="C9" t="s">
        <v>16</v>
      </c>
      <c r="D9" s="8">
        <v>111</v>
      </c>
      <c r="E9">
        <v>2785</v>
      </c>
      <c r="F9">
        <v>2549</v>
      </c>
      <c r="G9" t="s">
        <v>124</v>
      </c>
      <c r="H9" t="s">
        <v>126</v>
      </c>
    </row>
    <row r="10" spans="1:8" x14ac:dyDescent="0.3">
      <c r="A10" t="s">
        <v>7</v>
      </c>
      <c r="B10" t="s">
        <v>9</v>
      </c>
      <c r="C10" t="s">
        <v>17</v>
      </c>
      <c r="D10" s="8">
        <v>97</v>
      </c>
      <c r="E10">
        <v>2421</v>
      </c>
      <c r="F10">
        <v>2549</v>
      </c>
      <c r="G10" t="s">
        <v>124</v>
      </c>
      <c r="H10" t="s">
        <v>126</v>
      </c>
    </row>
    <row r="11" spans="1:8" x14ac:dyDescent="0.3">
      <c r="A11" t="s">
        <v>7</v>
      </c>
      <c r="B11" t="s">
        <v>9</v>
      </c>
      <c r="C11" t="s">
        <v>18</v>
      </c>
      <c r="D11" s="8">
        <v>151</v>
      </c>
      <c r="E11">
        <v>3764</v>
      </c>
      <c r="F11">
        <v>2549</v>
      </c>
      <c r="G11" t="s">
        <v>124</v>
      </c>
      <c r="H11" t="s">
        <v>126</v>
      </c>
    </row>
    <row r="12" spans="1:8" x14ac:dyDescent="0.3">
      <c r="A12" t="s">
        <v>7</v>
      </c>
      <c r="B12" t="s">
        <v>9</v>
      </c>
      <c r="C12" t="s">
        <v>19</v>
      </c>
      <c r="D12" s="8">
        <v>116</v>
      </c>
      <c r="E12">
        <v>2893</v>
      </c>
      <c r="F12">
        <v>2549</v>
      </c>
      <c r="G12" t="s">
        <v>124</v>
      </c>
      <c r="H12" t="s">
        <v>126</v>
      </c>
    </row>
    <row r="13" spans="1:8" x14ac:dyDescent="0.3">
      <c r="A13" t="s">
        <v>8</v>
      </c>
      <c r="B13" t="s">
        <v>14</v>
      </c>
      <c r="C13" t="s">
        <v>79</v>
      </c>
      <c r="D13" s="8">
        <v>168</v>
      </c>
      <c r="E13">
        <v>4192</v>
      </c>
      <c r="F13">
        <v>2549</v>
      </c>
      <c r="G13" t="s">
        <v>125</v>
      </c>
      <c r="H13" t="s">
        <v>126</v>
      </c>
    </row>
    <row r="14" spans="1:8" x14ac:dyDescent="0.3">
      <c r="A14" t="s">
        <v>8</v>
      </c>
      <c r="B14" t="s">
        <v>15</v>
      </c>
      <c r="C14" t="s">
        <v>96</v>
      </c>
      <c r="D14" s="8">
        <v>4</v>
      </c>
      <c r="E14">
        <v>112</v>
      </c>
      <c r="F14">
        <v>2549</v>
      </c>
      <c r="G14" t="s">
        <v>124</v>
      </c>
      <c r="H14" t="s">
        <v>126</v>
      </c>
    </row>
    <row r="15" spans="1:8" x14ac:dyDescent="0.3">
      <c r="A15" t="s">
        <v>8</v>
      </c>
      <c r="B15" t="s">
        <v>15</v>
      </c>
      <c r="C15" t="s">
        <v>80</v>
      </c>
      <c r="D15" s="8">
        <v>113</v>
      </c>
      <c r="E15">
        <v>2833</v>
      </c>
      <c r="F15">
        <v>2549</v>
      </c>
      <c r="G15" t="s">
        <v>124</v>
      </c>
      <c r="H15" t="s">
        <v>126</v>
      </c>
    </row>
    <row r="16" spans="1:8" x14ac:dyDescent="0.3">
      <c r="A16" t="s">
        <v>7</v>
      </c>
      <c r="B16" t="s">
        <v>9</v>
      </c>
      <c r="C16" t="s">
        <v>20</v>
      </c>
      <c r="D16" s="8">
        <v>195</v>
      </c>
      <c r="E16">
        <v>4864</v>
      </c>
      <c r="F16">
        <v>2550</v>
      </c>
      <c r="G16" t="s">
        <v>125</v>
      </c>
      <c r="H16" t="s">
        <v>126</v>
      </c>
    </row>
    <row r="17" spans="1:8" x14ac:dyDescent="0.3">
      <c r="A17" t="s">
        <v>7</v>
      </c>
      <c r="B17" t="s">
        <v>9</v>
      </c>
      <c r="C17" t="s">
        <v>21</v>
      </c>
      <c r="D17" s="8">
        <v>171</v>
      </c>
      <c r="E17">
        <v>4608</v>
      </c>
      <c r="F17">
        <v>2550</v>
      </c>
      <c r="G17" t="s">
        <v>125</v>
      </c>
      <c r="H17" t="s">
        <v>126</v>
      </c>
    </row>
    <row r="18" spans="1:8" x14ac:dyDescent="0.3">
      <c r="A18" t="s">
        <v>8</v>
      </c>
      <c r="B18" t="s">
        <v>14</v>
      </c>
      <c r="C18" t="s">
        <v>81</v>
      </c>
      <c r="D18" s="8">
        <v>157</v>
      </c>
      <c r="E18">
        <v>4022</v>
      </c>
      <c r="F18">
        <v>2550</v>
      </c>
      <c r="G18" t="s">
        <v>125</v>
      </c>
      <c r="H18" t="s">
        <v>126</v>
      </c>
    </row>
    <row r="19" spans="1:8" x14ac:dyDescent="0.3">
      <c r="A19" t="s">
        <v>8</v>
      </c>
      <c r="B19" t="s">
        <v>14</v>
      </c>
      <c r="C19" t="s">
        <v>82</v>
      </c>
      <c r="D19" s="8">
        <v>170</v>
      </c>
      <c r="E19">
        <v>4245</v>
      </c>
      <c r="F19">
        <v>2550</v>
      </c>
      <c r="G19" t="s">
        <v>125</v>
      </c>
      <c r="H19" t="s">
        <v>126</v>
      </c>
    </row>
    <row r="20" spans="1:8" x14ac:dyDescent="0.3">
      <c r="A20" t="s">
        <v>7</v>
      </c>
      <c r="B20" t="s">
        <v>11</v>
      </c>
      <c r="C20" t="s">
        <v>42</v>
      </c>
      <c r="D20" s="8">
        <v>103</v>
      </c>
      <c r="E20">
        <v>2792</v>
      </c>
      <c r="F20">
        <v>2550</v>
      </c>
      <c r="G20" t="s">
        <v>124</v>
      </c>
      <c r="H20" t="s">
        <v>126</v>
      </c>
    </row>
    <row r="21" spans="1:8" x14ac:dyDescent="0.3">
      <c r="A21" t="s">
        <v>7</v>
      </c>
      <c r="B21" t="s">
        <v>11</v>
      </c>
      <c r="C21" t="s">
        <v>43</v>
      </c>
      <c r="D21" s="8">
        <v>156</v>
      </c>
      <c r="E21">
        <v>4202</v>
      </c>
      <c r="F21">
        <v>2550</v>
      </c>
      <c r="G21" t="s">
        <v>124</v>
      </c>
      <c r="H21" t="s">
        <v>126</v>
      </c>
    </row>
    <row r="22" spans="1:8" x14ac:dyDescent="0.3">
      <c r="A22" t="s">
        <v>8</v>
      </c>
      <c r="B22" t="s">
        <v>15</v>
      </c>
      <c r="C22" t="s">
        <v>97</v>
      </c>
      <c r="D22" s="8">
        <v>115</v>
      </c>
      <c r="E22">
        <v>2872</v>
      </c>
      <c r="F22">
        <v>2550</v>
      </c>
      <c r="G22" t="s">
        <v>124</v>
      </c>
      <c r="H22" t="s">
        <v>126</v>
      </c>
    </row>
    <row r="23" spans="1:8" x14ac:dyDescent="0.3">
      <c r="A23" t="s">
        <v>8</v>
      </c>
      <c r="B23" t="s">
        <v>15</v>
      </c>
      <c r="C23" t="s">
        <v>98</v>
      </c>
      <c r="D23" s="8">
        <v>121</v>
      </c>
      <c r="E23">
        <v>3030</v>
      </c>
      <c r="F23">
        <v>2550</v>
      </c>
      <c r="G23" t="s">
        <v>124</v>
      </c>
      <c r="H23" t="s">
        <v>126</v>
      </c>
    </row>
    <row r="24" spans="1:8" x14ac:dyDescent="0.3">
      <c r="A24" t="s">
        <v>7</v>
      </c>
      <c r="B24" t="s">
        <v>12</v>
      </c>
      <c r="C24" t="s">
        <v>55</v>
      </c>
      <c r="D24">
        <v>6</v>
      </c>
      <c r="E24">
        <v>152</v>
      </c>
      <c r="F24">
        <v>2551</v>
      </c>
      <c r="G24" t="s">
        <v>125</v>
      </c>
      <c r="H24" t="s">
        <v>126</v>
      </c>
    </row>
    <row r="25" spans="1:8" x14ac:dyDescent="0.3">
      <c r="A25" t="s">
        <v>7</v>
      </c>
      <c r="B25" t="s">
        <v>12</v>
      </c>
      <c r="C25" t="s">
        <v>56</v>
      </c>
      <c r="D25">
        <v>15</v>
      </c>
      <c r="E25">
        <v>401</v>
      </c>
      <c r="F25">
        <v>2551</v>
      </c>
      <c r="G25" t="s">
        <v>124</v>
      </c>
      <c r="H25" t="s">
        <v>126</v>
      </c>
    </row>
    <row r="26" spans="1:8" x14ac:dyDescent="0.3">
      <c r="A26" t="s">
        <v>8</v>
      </c>
      <c r="B26" t="s">
        <v>15</v>
      </c>
      <c r="C26" t="s">
        <v>99</v>
      </c>
      <c r="D26" s="8">
        <v>4</v>
      </c>
      <c r="E26">
        <v>92</v>
      </c>
      <c r="F26">
        <v>2552</v>
      </c>
      <c r="G26" t="s">
        <v>124</v>
      </c>
      <c r="H26" t="s">
        <v>126</v>
      </c>
    </row>
    <row r="27" spans="1:8" x14ac:dyDescent="0.3">
      <c r="A27" t="s">
        <v>7</v>
      </c>
      <c r="B27" t="s">
        <v>12</v>
      </c>
      <c r="C27" t="s">
        <v>57</v>
      </c>
      <c r="D27">
        <v>4</v>
      </c>
      <c r="E27">
        <v>93</v>
      </c>
      <c r="F27">
        <v>2555</v>
      </c>
      <c r="G27" t="s">
        <v>124</v>
      </c>
      <c r="H27" t="s">
        <v>127</v>
      </c>
    </row>
    <row r="28" spans="1:8" x14ac:dyDescent="0.3">
      <c r="A28" t="s">
        <v>7</v>
      </c>
      <c r="B28" t="s">
        <v>9</v>
      </c>
      <c r="C28" t="s">
        <v>22</v>
      </c>
      <c r="D28">
        <v>78</v>
      </c>
      <c r="E28">
        <v>1950</v>
      </c>
      <c r="F28">
        <v>2556</v>
      </c>
      <c r="G28" t="s">
        <v>125</v>
      </c>
      <c r="H28" t="s">
        <v>127</v>
      </c>
    </row>
    <row r="29" spans="1:8" x14ac:dyDescent="0.3">
      <c r="A29" t="s">
        <v>7</v>
      </c>
      <c r="B29" t="s">
        <v>9</v>
      </c>
      <c r="C29" t="s">
        <v>23</v>
      </c>
      <c r="D29">
        <v>153</v>
      </c>
      <c r="E29">
        <v>3835</v>
      </c>
      <c r="F29">
        <v>2556</v>
      </c>
      <c r="G29" t="s">
        <v>125</v>
      </c>
      <c r="H29" t="s">
        <v>127</v>
      </c>
    </row>
    <row r="30" spans="1:8" x14ac:dyDescent="0.3">
      <c r="A30" t="s">
        <v>7</v>
      </c>
      <c r="B30" t="s">
        <v>9</v>
      </c>
      <c r="C30" t="s">
        <v>24</v>
      </c>
      <c r="D30">
        <v>85</v>
      </c>
      <c r="E30">
        <v>2119</v>
      </c>
      <c r="F30">
        <v>2556</v>
      </c>
      <c r="G30" t="s">
        <v>124</v>
      </c>
      <c r="H30" t="s">
        <v>127</v>
      </c>
    </row>
    <row r="31" spans="1:8" x14ac:dyDescent="0.3">
      <c r="A31" t="s">
        <v>7</v>
      </c>
      <c r="B31" t="s">
        <v>11</v>
      </c>
      <c r="C31" t="s">
        <v>44</v>
      </c>
      <c r="D31">
        <v>124</v>
      </c>
      <c r="E31">
        <v>3106</v>
      </c>
      <c r="F31">
        <v>2556</v>
      </c>
      <c r="G31" t="s">
        <v>124</v>
      </c>
      <c r="H31" t="s">
        <v>127</v>
      </c>
    </row>
    <row r="32" spans="1:8" x14ac:dyDescent="0.3">
      <c r="A32" t="s">
        <v>7</v>
      </c>
      <c r="B32" t="s">
        <v>10</v>
      </c>
      <c r="C32" t="s">
        <v>32</v>
      </c>
      <c r="D32">
        <v>157</v>
      </c>
      <c r="E32">
        <v>3931</v>
      </c>
      <c r="F32">
        <v>2556</v>
      </c>
      <c r="G32" t="s">
        <v>124</v>
      </c>
      <c r="H32" t="s">
        <v>127</v>
      </c>
    </row>
    <row r="33" spans="1:8" x14ac:dyDescent="0.3">
      <c r="A33" t="s">
        <v>8</v>
      </c>
      <c r="B33" t="s">
        <v>15</v>
      </c>
      <c r="C33" t="s">
        <v>100</v>
      </c>
      <c r="D33" s="8">
        <v>9</v>
      </c>
      <c r="E33">
        <v>213</v>
      </c>
      <c r="F33">
        <v>2556</v>
      </c>
      <c r="G33" t="s">
        <v>125</v>
      </c>
      <c r="H33" t="s">
        <v>127</v>
      </c>
    </row>
    <row r="34" spans="1:8" x14ac:dyDescent="0.3">
      <c r="A34" t="s">
        <v>8</v>
      </c>
      <c r="B34" t="s">
        <v>15</v>
      </c>
      <c r="C34" t="s">
        <v>101</v>
      </c>
      <c r="D34" s="8">
        <v>113</v>
      </c>
      <c r="E34">
        <v>2816</v>
      </c>
      <c r="F34">
        <v>2556</v>
      </c>
      <c r="G34" t="s">
        <v>124</v>
      </c>
      <c r="H34" t="s">
        <v>127</v>
      </c>
    </row>
    <row r="35" spans="1:8" x14ac:dyDescent="0.3">
      <c r="A35" t="s">
        <v>8</v>
      </c>
      <c r="B35" t="s">
        <v>15</v>
      </c>
      <c r="C35" t="s">
        <v>102</v>
      </c>
      <c r="D35" s="8">
        <v>128</v>
      </c>
      <c r="E35">
        <v>3199</v>
      </c>
      <c r="F35">
        <v>2556</v>
      </c>
      <c r="G35" t="s">
        <v>124</v>
      </c>
      <c r="H35" t="s">
        <v>127</v>
      </c>
    </row>
    <row r="36" spans="1:8" x14ac:dyDescent="0.3">
      <c r="A36" t="s">
        <v>8</v>
      </c>
      <c r="B36" t="s">
        <v>15</v>
      </c>
      <c r="C36" t="s">
        <v>103</v>
      </c>
      <c r="D36" s="8">
        <v>121</v>
      </c>
      <c r="E36">
        <v>3015</v>
      </c>
      <c r="F36">
        <v>2556</v>
      </c>
      <c r="G36" t="s">
        <v>124</v>
      </c>
      <c r="H36" t="s">
        <v>127</v>
      </c>
    </row>
    <row r="37" spans="1:8" x14ac:dyDescent="0.3">
      <c r="A37" t="s">
        <v>8</v>
      </c>
      <c r="B37" t="s">
        <v>15</v>
      </c>
      <c r="C37" t="s">
        <v>104</v>
      </c>
      <c r="D37" s="8">
        <v>56</v>
      </c>
      <c r="E37">
        <v>1403</v>
      </c>
      <c r="F37">
        <v>2556</v>
      </c>
      <c r="G37" t="s">
        <v>124</v>
      </c>
      <c r="H37" t="s">
        <v>127</v>
      </c>
    </row>
    <row r="38" spans="1:8" x14ac:dyDescent="0.3">
      <c r="A38" t="s">
        <v>7</v>
      </c>
      <c r="B38" t="s">
        <v>9</v>
      </c>
      <c r="C38" t="s">
        <v>25</v>
      </c>
      <c r="D38">
        <v>172</v>
      </c>
      <c r="E38">
        <v>4308</v>
      </c>
      <c r="F38">
        <v>2557</v>
      </c>
      <c r="G38" t="s">
        <v>124</v>
      </c>
      <c r="H38" t="s">
        <v>127</v>
      </c>
    </row>
    <row r="39" spans="1:8" x14ac:dyDescent="0.3">
      <c r="A39" t="s">
        <v>7</v>
      </c>
      <c r="B39" t="s">
        <v>9</v>
      </c>
      <c r="C39" t="s">
        <v>26</v>
      </c>
      <c r="D39">
        <v>154</v>
      </c>
      <c r="E39">
        <v>3861</v>
      </c>
      <c r="F39">
        <v>2557</v>
      </c>
      <c r="G39" t="s">
        <v>124</v>
      </c>
      <c r="H39" t="s">
        <v>127</v>
      </c>
    </row>
    <row r="40" spans="1:8" x14ac:dyDescent="0.3">
      <c r="A40" t="s">
        <v>8</v>
      </c>
      <c r="B40" t="s">
        <v>14</v>
      </c>
      <c r="C40" t="s">
        <v>83</v>
      </c>
      <c r="D40" s="8">
        <v>169</v>
      </c>
      <c r="E40">
        <v>4231</v>
      </c>
      <c r="F40">
        <v>2557</v>
      </c>
      <c r="G40" t="s">
        <v>125</v>
      </c>
      <c r="H40" t="s">
        <v>127</v>
      </c>
    </row>
    <row r="41" spans="1:8" x14ac:dyDescent="0.3">
      <c r="A41" t="s">
        <v>8</v>
      </c>
      <c r="B41" t="s">
        <v>14</v>
      </c>
      <c r="C41" t="s">
        <v>84</v>
      </c>
      <c r="D41" s="8">
        <v>171</v>
      </c>
      <c r="E41">
        <v>4265</v>
      </c>
      <c r="F41">
        <v>2557</v>
      </c>
      <c r="G41" t="s">
        <v>125</v>
      </c>
      <c r="H41" t="s">
        <v>127</v>
      </c>
    </row>
    <row r="42" spans="1:8" x14ac:dyDescent="0.3">
      <c r="A42" t="s">
        <v>8</v>
      </c>
      <c r="B42" t="s">
        <v>14</v>
      </c>
      <c r="C42" t="s">
        <v>85</v>
      </c>
      <c r="D42" s="8">
        <v>67</v>
      </c>
      <c r="E42">
        <v>1663</v>
      </c>
      <c r="F42">
        <v>2557</v>
      </c>
      <c r="G42" t="s">
        <v>125</v>
      </c>
      <c r="H42" t="s">
        <v>127</v>
      </c>
    </row>
    <row r="43" spans="1:8" x14ac:dyDescent="0.3">
      <c r="A43" t="s">
        <v>7</v>
      </c>
      <c r="B43" t="s">
        <v>11</v>
      </c>
      <c r="C43" t="s">
        <v>45</v>
      </c>
      <c r="D43">
        <v>12</v>
      </c>
      <c r="E43">
        <v>300</v>
      </c>
      <c r="F43">
        <v>2557</v>
      </c>
      <c r="G43" t="s">
        <v>125</v>
      </c>
      <c r="H43" t="s">
        <v>127</v>
      </c>
    </row>
    <row r="44" spans="1:8" x14ac:dyDescent="0.3">
      <c r="A44" t="s">
        <v>7</v>
      </c>
      <c r="B44" t="s">
        <v>11</v>
      </c>
      <c r="C44" t="s">
        <v>46</v>
      </c>
      <c r="D44">
        <v>100</v>
      </c>
      <c r="E44">
        <v>2495</v>
      </c>
      <c r="F44">
        <v>2557</v>
      </c>
      <c r="G44" t="s">
        <v>124</v>
      </c>
      <c r="H44" t="s">
        <v>127</v>
      </c>
    </row>
    <row r="45" spans="1:8" x14ac:dyDescent="0.3">
      <c r="A45" t="s">
        <v>8</v>
      </c>
      <c r="B45" t="s">
        <v>15</v>
      </c>
      <c r="C45" t="s">
        <v>105</v>
      </c>
      <c r="D45" s="8">
        <v>117</v>
      </c>
      <c r="E45">
        <v>2934</v>
      </c>
      <c r="F45">
        <v>2558</v>
      </c>
      <c r="G45" t="s">
        <v>124</v>
      </c>
      <c r="H45" t="s">
        <v>127</v>
      </c>
    </row>
    <row r="46" spans="1:8" x14ac:dyDescent="0.3">
      <c r="A46" t="s">
        <v>8</v>
      </c>
      <c r="B46" t="s">
        <v>15</v>
      </c>
      <c r="C46" t="s">
        <v>106</v>
      </c>
      <c r="D46" s="8">
        <v>116</v>
      </c>
      <c r="E46">
        <v>2903</v>
      </c>
      <c r="F46">
        <v>2558</v>
      </c>
      <c r="G46" t="s">
        <v>124</v>
      </c>
      <c r="H46" t="s">
        <v>127</v>
      </c>
    </row>
    <row r="47" spans="1:8" x14ac:dyDescent="0.3">
      <c r="A47" t="s">
        <v>8</v>
      </c>
      <c r="B47" t="s">
        <v>15</v>
      </c>
      <c r="C47" t="s">
        <v>107</v>
      </c>
      <c r="D47" s="8">
        <v>115</v>
      </c>
      <c r="E47">
        <v>2864</v>
      </c>
      <c r="F47">
        <v>2558</v>
      </c>
      <c r="G47" t="s">
        <v>124</v>
      </c>
      <c r="H47" t="s">
        <v>127</v>
      </c>
    </row>
    <row r="48" spans="1:8" x14ac:dyDescent="0.3">
      <c r="A48" t="s">
        <v>8</v>
      </c>
      <c r="B48" t="s">
        <v>15</v>
      </c>
      <c r="C48" t="s">
        <v>108</v>
      </c>
      <c r="D48" s="8">
        <v>128</v>
      </c>
      <c r="E48">
        <v>2825</v>
      </c>
      <c r="F48">
        <v>2558</v>
      </c>
      <c r="G48" t="s">
        <v>124</v>
      </c>
      <c r="H48" t="s">
        <v>127</v>
      </c>
    </row>
    <row r="49" spans="1:8" x14ac:dyDescent="0.3">
      <c r="A49" t="s">
        <v>8</v>
      </c>
      <c r="B49" t="s">
        <v>15</v>
      </c>
      <c r="C49" t="s">
        <v>109</v>
      </c>
      <c r="D49" s="8">
        <v>129</v>
      </c>
      <c r="E49">
        <v>2843</v>
      </c>
      <c r="F49">
        <v>2558</v>
      </c>
      <c r="G49" t="s">
        <v>124</v>
      </c>
      <c r="H49" t="s">
        <v>127</v>
      </c>
    </row>
    <row r="50" spans="1:8" x14ac:dyDescent="0.3">
      <c r="A50" t="s">
        <v>7</v>
      </c>
      <c r="B50" t="s">
        <v>11</v>
      </c>
      <c r="C50" t="s">
        <v>47</v>
      </c>
      <c r="D50">
        <v>133</v>
      </c>
      <c r="E50">
        <v>3333</v>
      </c>
      <c r="F50">
        <v>2559</v>
      </c>
      <c r="G50" t="s">
        <v>124</v>
      </c>
      <c r="H50" t="s">
        <v>127</v>
      </c>
    </row>
    <row r="51" spans="1:8" x14ac:dyDescent="0.3">
      <c r="A51" t="s">
        <v>7</v>
      </c>
      <c r="B51" t="s">
        <v>11</v>
      </c>
      <c r="C51" t="s">
        <v>48</v>
      </c>
      <c r="D51">
        <v>101</v>
      </c>
      <c r="E51">
        <v>2525</v>
      </c>
      <c r="F51">
        <v>2559</v>
      </c>
      <c r="G51" t="s">
        <v>124</v>
      </c>
      <c r="H51" t="s">
        <v>127</v>
      </c>
    </row>
    <row r="52" spans="1:8" x14ac:dyDescent="0.3">
      <c r="A52" t="s">
        <v>7</v>
      </c>
      <c r="B52" t="s">
        <v>11</v>
      </c>
      <c r="C52" t="s">
        <v>49</v>
      </c>
      <c r="D52">
        <v>116</v>
      </c>
      <c r="E52">
        <v>2888</v>
      </c>
      <c r="F52">
        <v>2559</v>
      </c>
      <c r="G52" t="s">
        <v>124</v>
      </c>
      <c r="H52" t="s">
        <v>127</v>
      </c>
    </row>
    <row r="53" spans="1:8" x14ac:dyDescent="0.3">
      <c r="A53" t="s">
        <v>7</v>
      </c>
      <c r="B53" t="s">
        <v>11</v>
      </c>
      <c r="C53" t="s">
        <v>50</v>
      </c>
      <c r="D53">
        <v>76</v>
      </c>
      <c r="E53">
        <v>1905</v>
      </c>
      <c r="F53">
        <v>2559</v>
      </c>
      <c r="G53" t="s">
        <v>124</v>
      </c>
      <c r="H53" t="s">
        <v>127</v>
      </c>
    </row>
    <row r="54" spans="1:8" x14ac:dyDescent="0.3">
      <c r="A54" t="s">
        <v>7</v>
      </c>
      <c r="B54" t="s">
        <v>11</v>
      </c>
      <c r="C54" t="s">
        <v>51</v>
      </c>
      <c r="D54">
        <v>92</v>
      </c>
      <c r="E54">
        <v>2291</v>
      </c>
      <c r="F54">
        <v>2559</v>
      </c>
      <c r="G54" t="s">
        <v>124</v>
      </c>
      <c r="H54" t="s">
        <v>127</v>
      </c>
    </row>
    <row r="55" spans="1:8" x14ac:dyDescent="0.3">
      <c r="A55" t="s">
        <v>7</v>
      </c>
      <c r="B55" t="s">
        <v>9</v>
      </c>
      <c r="C55" t="s">
        <v>27</v>
      </c>
      <c r="D55">
        <v>142</v>
      </c>
      <c r="E55">
        <v>3259</v>
      </c>
      <c r="F55">
        <v>2560</v>
      </c>
      <c r="G55" t="s">
        <v>125</v>
      </c>
      <c r="H55" t="s">
        <v>127</v>
      </c>
    </row>
    <row r="56" spans="1:8" x14ac:dyDescent="0.3">
      <c r="A56" t="s">
        <v>8</v>
      </c>
      <c r="B56" t="s">
        <v>14</v>
      </c>
      <c r="C56" t="s">
        <v>86</v>
      </c>
      <c r="D56" s="8">
        <v>154</v>
      </c>
      <c r="E56">
        <v>3851</v>
      </c>
      <c r="F56">
        <v>2560</v>
      </c>
      <c r="G56" t="s">
        <v>125</v>
      </c>
      <c r="H56" t="s">
        <v>127</v>
      </c>
    </row>
    <row r="57" spans="1:8" x14ac:dyDescent="0.3">
      <c r="A57" t="s">
        <v>8</v>
      </c>
      <c r="B57" t="s">
        <v>14</v>
      </c>
      <c r="C57" t="s">
        <v>87</v>
      </c>
      <c r="D57" s="8">
        <v>139</v>
      </c>
      <c r="E57">
        <v>3476</v>
      </c>
      <c r="F57">
        <v>2560</v>
      </c>
      <c r="G57" t="s">
        <v>125</v>
      </c>
      <c r="H57" t="s">
        <v>127</v>
      </c>
    </row>
    <row r="58" spans="1:8" x14ac:dyDescent="0.3">
      <c r="A58" t="s">
        <v>8</v>
      </c>
      <c r="B58" t="s">
        <v>14</v>
      </c>
      <c r="C58" t="s">
        <v>88</v>
      </c>
      <c r="D58" s="8">
        <v>165</v>
      </c>
      <c r="E58">
        <v>4127</v>
      </c>
      <c r="F58">
        <v>2560</v>
      </c>
      <c r="G58" t="s">
        <v>125</v>
      </c>
      <c r="H58" t="s">
        <v>127</v>
      </c>
    </row>
    <row r="59" spans="1:8" x14ac:dyDescent="0.3">
      <c r="A59" t="s">
        <v>7</v>
      </c>
      <c r="B59" t="s">
        <v>11</v>
      </c>
      <c r="C59" t="s">
        <v>52</v>
      </c>
      <c r="D59">
        <v>108</v>
      </c>
      <c r="E59">
        <v>2707</v>
      </c>
      <c r="F59">
        <v>2560</v>
      </c>
      <c r="G59" t="s">
        <v>124</v>
      </c>
      <c r="H59" t="s">
        <v>127</v>
      </c>
    </row>
    <row r="60" spans="1:8" x14ac:dyDescent="0.3">
      <c r="A60" t="s">
        <v>7</v>
      </c>
      <c r="B60" t="s">
        <v>11</v>
      </c>
      <c r="C60" t="s">
        <v>53</v>
      </c>
      <c r="D60">
        <v>85</v>
      </c>
      <c r="E60">
        <v>2132</v>
      </c>
      <c r="F60">
        <v>2560</v>
      </c>
      <c r="G60" t="s">
        <v>124</v>
      </c>
      <c r="H60" t="s">
        <v>127</v>
      </c>
    </row>
    <row r="61" spans="1:8" x14ac:dyDescent="0.3">
      <c r="A61" t="s">
        <v>7</v>
      </c>
      <c r="B61" t="s">
        <v>11</v>
      </c>
      <c r="C61" t="s">
        <v>54</v>
      </c>
      <c r="D61">
        <v>29</v>
      </c>
      <c r="E61">
        <v>720</v>
      </c>
      <c r="F61">
        <v>2560</v>
      </c>
      <c r="G61" t="s">
        <v>124</v>
      </c>
      <c r="H61" t="s">
        <v>127</v>
      </c>
    </row>
    <row r="62" spans="1:8" x14ac:dyDescent="0.3">
      <c r="A62" t="s">
        <v>7</v>
      </c>
      <c r="B62" t="s">
        <v>9</v>
      </c>
      <c r="C62" t="s">
        <v>28</v>
      </c>
      <c r="D62">
        <v>24</v>
      </c>
      <c r="E62">
        <v>534</v>
      </c>
      <c r="F62">
        <v>2563</v>
      </c>
      <c r="G62" t="s">
        <v>124</v>
      </c>
      <c r="H62" t="s">
        <v>128</v>
      </c>
    </row>
    <row r="63" spans="1:8" x14ac:dyDescent="0.3">
      <c r="A63" t="s">
        <v>7</v>
      </c>
      <c r="B63" t="s">
        <v>9</v>
      </c>
      <c r="C63" t="s">
        <v>29</v>
      </c>
      <c r="D63">
        <v>39</v>
      </c>
      <c r="E63">
        <v>980</v>
      </c>
      <c r="F63">
        <v>2563</v>
      </c>
      <c r="G63" t="s">
        <v>124</v>
      </c>
      <c r="H63" t="s">
        <v>128</v>
      </c>
    </row>
    <row r="64" spans="1:8" x14ac:dyDescent="0.3">
      <c r="A64" t="s">
        <v>7</v>
      </c>
      <c r="B64" t="s">
        <v>9</v>
      </c>
      <c r="C64" t="s">
        <v>30</v>
      </c>
      <c r="D64">
        <v>109</v>
      </c>
      <c r="E64">
        <v>2388</v>
      </c>
      <c r="F64">
        <v>2563</v>
      </c>
      <c r="G64" t="s">
        <v>125</v>
      </c>
      <c r="H64" t="s">
        <v>128</v>
      </c>
    </row>
    <row r="65" spans="1:8" x14ac:dyDescent="0.3">
      <c r="A65" t="s">
        <v>7</v>
      </c>
      <c r="B65" t="s">
        <v>9</v>
      </c>
      <c r="C65" t="s">
        <v>31</v>
      </c>
      <c r="D65">
        <v>14</v>
      </c>
      <c r="E65">
        <v>309</v>
      </c>
      <c r="F65">
        <v>2563</v>
      </c>
      <c r="G65" t="s">
        <v>124</v>
      </c>
      <c r="H65" t="s">
        <v>128</v>
      </c>
    </row>
    <row r="66" spans="1:8" x14ac:dyDescent="0.3">
      <c r="A66" t="s">
        <v>7</v>
      </c>
      <c r="B66" t="s">
        <v>10</v>
      </c>
      <c r="C66" t="s">
        <v>33</v>
      </c>
      <c r="D66">
        <v>108</v>
      </c>
      <c r="E66">
        <v>2365</v>
      </c>
      <c r="F66">
        <v>2563</v>
      </c>
      <c r="G66" t="s">
        <v>124</v>
      </c>
      <c r="H66" t="s">
        <v>128</v>
      </c>
    </row>
    <row r="67" spans="1:8" x14ac:dyDescent="0.3">
      <c r="A67" t="s">
        <v>8</v>
      </c>
      <c r="B67" t="s">
        <v>15</v>
      </c>
      <c r="C67" t="s">
        <v>110</v>
      </c>
      <c r="D67" s="8">
        <v>121</v>
      </c>
      <c r="E67">
        <v>3037</v>
      </c>
      <c r="F67">
        <v>2563</v>
      </c>
      <c r="G67" t="s">
        <v>124</v>
      </c>
      <c r="H67" t="s">
        <v>128</v>
      </c>
    </row>
    <row r="68" spans="1:8" x14ac:dyDescent="0.3">
      <c r="A68" t="s">
        <v>8</v>
      </c>
      <c r="B68" t="s">
        <v>15</v>
      </c>
      <c r="C68" t="s">
        <v>111</v>
      </c>
      <c r="D68" s="8">
        <v>38</v>
      </c>
      <c r="E68">
        <v>842</v>
      </c>
      <c r="F68">
        <v>2563</v>
      </c>
      <c r="G68" t="s">
        <v>124</v>
      </c>
      <c r="H68" t="s">
        <v>128</v>
      </c>
    </row>
    <row r="69" spans="1:8" x14ac:dyDescent="0.3">
      <c r="A69" t="s">
        <v>8</v>
      </c>
      <c r="B69" t="s">
        <v>15</v>
      </c>
      <c r="C69" t="s">
        <v>112</v>
      </c>
      <c r="D69" s="8">
        <v>38</v>
      </c>
      <c r="E69">
        <v>844</v>
      </c>
      <c r="F69">
        <v>2563</v>
      </c>
      <c r="G69" t="s">
        <v>124</v>
      </c>
      <c r="H69" t="s">
        <v>128</v>
      </c>
    </row>
    <row r="70" spans="1:8" x14ac:dyDescent="0.3">
      <c r="A70" t="s">
        <v>8</v>
      </c>
      <c r="B70" t="s">
        <v>14</v>
      </c>
      <c r="C70" t="s">
        <v>89</v>
      </c>
      <c r="D70" s="8">
        <v>158</v>
      </c>
      <c r="E70">
        <v>3480</v>
      </c>
      <c r="F70">
        <v>2564</v>
      </c>
      <c r="G70" t="s">
        <v>125</v>
      </c>
      <c r="H70" t="s">
        <v>128</v>
      </c>
    </row>
    <row r="71" spans="1:8" x14ac:dyDescent="0.3">
      <c r="A71" t="s">
        <v>8</v>
      </c>
      <c r="B71" t="s">
        <v>14</v>
      </c>
      <c r="C71" t="s">
        <v>90</v>
      </c>
      <c r="D71" s="8">
        <v>143</v>
      </c>
      <c r="E71">
        <v>3140</v>
      </c>
      <c r="F71">
        <v>2564</v>
      </c>
      <c r="G71" t="s">
        <v>125</v>
      </c>
      <c r="H71" t="s">
        <v>128</v>
      </c>
    </row>
    <row r="72" spans="1:8" x14ac:dyDescent="0.3">
      <c r="A72" t="s">
        <v>8</v>
      </c>
      <c r="B72" t="s">
        <v>14</v>
      </c>
      <c r="C72" t="s">
        <v>91</v>
      </c>
      <c r="D72" s="8">
        <v>167</v>
      </c>
      <c r="E72">
        <v>3671</v>
      </c>
      <c r="F72">
        <v>2564</v>
      </c>
      <c r="G72" t="s">
        <v>125</v>
      </c>
      <c r="H72" t="s">
        <v>128</v>
      </c>
    </row>
    <row r="73" spans="1:8" x14ac:dyDescent="0.3">
      <c r="A73" t="s">
        <v>7</v>
      </c>
      <c r="B73" t="s">
        <v>10</v>
      </c>
      <c r="C73" t="s">
        <v>34</v>
      </c>
      <c r="D73">
        <v>130</v>
      </c>
      <c r="E73">
        <v>2853</v>
      </c>
      <c r="F73">
        <v>2564</v>
      </c>
      <c r="G73" t="s">
        <v>124</v>
      </c>
      <c r="H73" t="s">
        <v>128</v>
      </c>
    </row>
    <row r="74" spans="1:8" x14ac:dyDescent="0.3">
      <c r="A74" t="s">
        <v>7</v>
      </c>
      <c r="B74" t="s">
        <v>12</v>
      </c>
      <c r="C74" t="s">
        <v>58</v>
      </c>
      <c r="D74">
        <v>131</v>
      </c>
      <c r="E74">
        <v>2886</v>
      </c>
      <c r="F74">
        <v>2564</v>
      </c>
      <c r="G74" t="s">
        <v>124</v>
      </c>
      <c r="H74" t="s">
        <v>128</v>
      </c>
    </row>
    <row r="75" spans="1:8" x14ac:dyDescent="0.3">
      <c r="A75" t="s">
        <v>7</v>
      </c>
      <c r="B75" t="s">
        <v>12</v>
      </c>
      <c r="C75" t="s">
        <v>59</v>
      </c>
      <c r="D75">
        <v>117</v>
      </c>
      <c r="E75">
        <v>2579</v>
      </c>
      <c r="F75">
        <v>2564</v>
      </c>
      <c r="G75" t="s">
        <v>124</v>
      </c>
      <c r="H75" t="s">
        <v>128</v>
      </c>
    </row>
    <row r="76" spans="1:8" x14ac:dyDescent="0.3">
      <c r="A76" t="s">
        <v>7</v>
      </c>
      <c r="B76" t="s">
        <v>12</v>
      </c>
      <c r="C76" t="s">
        <v>60</v>
      </c>
      <c r="D76">
        <v>155</v>
      </c>
      <c r="E76">
        <v>3402</v>
      </c>
      <c r="F76">
        <v>2564</v>
      </c>
      <c r="G76" t="s">
        <v>124</v>
      </c>
      <c r="H76" t="s">
        <v>128</v>
      </c>
    </row>
    <row r="77" spans="1:8" x14ac:dyDescent="0.3">
      <c r="A77" t="s">
        <v>7</v>
      </c>
      <c r="B77" t="s">
        <v>12</v>
      </c>
      <c r="C77" t="s">
        <v>61</v>
      </c>
      <c r="D77">
        <v>100</v>
      </c>
      <c r="E77">
        <v>2192</v>
      </c>
      <c r="F77">
        <v>2564</v>
      </c>
      <c r="G77" t="s">
        <v>124</v>
      </c>
      <c r="H77" t="s">
        <v>128</v>
      </c>
    </row>
    <row r="78" spans="1:8" x14ac:dyDescent="0.3">
      <c r="A78" t="s">
        <v>8</v>
      </c>
      <c r="B78" t="s">
        <v>14</v>
      </c>
      <c r="C78" t="s">
        <v>92</v>
      </c>
      <c r="D78" s="8">
        <v>130</v>
      </c>
      <c r="E78">
        <v>2868</v>
      </c>
      <c r="F78">
        <v>2565</v>
      </c>
      <c r="G78" t="s">
        <v>125</v>
      </c>
      <c r="H78" t="s">
        <v>128</v>
      </c>
    </row>
    <row r="79" spans="1:8" x14ac:dyDescent="0.3">
      <c r="A79" t="s">
        <v>8</v>
      </c>
      <c r="B79" t="s">
        <v>14</v>
      </c>
      <c r="C79" t="s">
        <v>93</v>
      </c>
      <c r="D79" s="8">
        <v>145</v>
      </c>
      <c r="E79">
        <v>3193</v>
      </c>
      <c r="F79">
        <v>2565</v>
      </c>
      <c r="G79" t="s">
        <v>125</v>
      </c>
      <c r="H79" t="s">
        <v>128</v>
      </c>
    </row>
    <row r="80" spans="1:8" x14ac:dyDescent="0.3">
      <c r="A80" t="s">
        <v>7</v>
      </c>
      <c r="B80" t="s">
        <v>10</v>
      </c>
      <c r="C80" t="s">
        <v>35</v>
      </c>
      <c r="D80">
        <v>115</v>
      </c>
      <c r="E80">
        <v>2531</v>
      </c>
      <c r="F80">
        <v>2565</v>
      </c>
      <c r="G80" t="s">
        <v>124</v>
      </c>
      <c r="H80" t="s">
        <v>128</v>
      </c>
    </row>
    <row r="81" spans="1:8" x14ac:dyDescent="0.3">
      <c r="A81" t="s">
        <v>7</v>
      </c>
      <c r="B81" t="s">
        <v>10</v>
      </c>
      <c r="C81" t="s">
        <v>36</v>
      </c>
      <c r="D81">
        <v>127</v>
      </c>
      <c r="E81">
        <v>2803</v>
      </c>
      <c r="F81">
        <v>2565</v>
      </c>
      <c r="G81" t="s">
        <v>124</v>
      </c>
      <c r="H81" t="s">
        <v>128</v>
      </c>
    </row>
    <row r="82" spans="1:8" x14ac:dyDescent="0.3">
      <c r="A82" t="s">
        <v>7</v>
      </c>
      <c r="B82" t="s">
        <v>10</v>
      </c>
      <c r="C82" t="s">
        <v>37</v>
      </c>
      <c r="D82">
        <v>128</v>
      </c>
      <c r="E82">
        <v>2819</v>
      </c>
      <c r="F82">
        <v>2565</v>
      </c>
      <c r="G82" t="s">
        <v>124</v>
      </c>
      <c r="H82" t="s">
        <v>128</v>
      </c>
    </row>
    <row r="83" spans="1:8" x14ac:dyDescent="0.3">
      <c r="A83" t="s">
        <v>7</v>
      </c>
      <c r="B83" t="s">
        <v>10</v>
      </c>
      <c r="C83" t="s">
        <v>38</v>
      </c>
      <c r="D83">
        <v>122</v>
      </c>
      <c r="E83">
        <v>2687</v>
      </c>
      <c r="F83">
        <v>2565</v>
      </c>
      <c r="G83" t="s">
        <v>124</v>
      </c>
      <c r="H83" t="s">
        <v>128</v>
      </c>
    </row>
    <row r="84" spans="1:8" x14ac:dyDescent="0.3">
      <c r="A84" t="s">
        <v>7</v>
      </c>
      <c r="B84" t="s">
        <v>10</v>
      </c>
      <c r="C84" t="s">
        <v>39</v>
      </c>
      <c r="D84">
        <v>136</v>
      </c>
      <c r="E84">
        <v>2999</v>
      </c>
      <c r="F84">
        <v>2566</v>
      </c>
      <c r="G84" t="s">
        <v>124</v>
      </c>
      <c r="H84" t="s">
        <v>128</v>
      </c>
    </row>
    <row r="85" spans="1:8" x14ac:dyDescent="0.3">
      <c r="A85" t="s">
        <v>7</v>
      </c>
      <c r="B85" t="s">
        <v>12</v>
      </c>
      <c r="C85" t="s">
        <v>62</v>
      </c>
      <c r="D85">
        <v>116</v>
      </c>
      <c r="E85">
        <v>2550</v>
      </c>
      <c r="F85">
        <v>2566</v>
      </c>
      <c r="G85" t="s">
        <v>124</v>
      </c>
      <c r="H85" t="s">
        <v>128</v>
      </c>
    </row>
    <row r="86" spans="1:8" x14ac:dyDescent="0.3">
      <c r="A86" t="s">
        <v>7</v>
      </c>
      <c r="B86" t="s">
        <v>12</v>
      </c>
      <c r="C86" t="s">
        <v>63</v>
      </c>
      <c r="D86">
        <v>130</v>
      </c>
      <c r="E86">
        <v>2854</v>
      </c>
      <c r="F86">
        <v>2566</v>
      </c>
      <c r="G86" t="s">
        <v>124</v>
      </c>
      <c r="H86" t="s">
        <v>128</v>
      </c>
    </row>
    <row r="87" spans="1:8" x14ac:dyDescent="0.3">
      <c r="A87" t="s">
        <v>7</v>
      </c>
      <c r="B87" t="s">
        <v>12</v>
      </c>
      <c r="C87" t="s">
        <v>64</v>
      </c>
      <c r="D87">
        <v>141</v>
      </c>
      <c r="E87">
        <v>3111</v>
      </c>
      <c r="F87">
        <v>2566</v>
      </c>
      <c r="G87" t="s">
        <v>124</v>
      </c>
      <c r="H87" t="s">
        <v>128</v>
      </c>
    </row>
    <row r="88" spans="1:8" x14ac:dyDescent="0.3">
      <c r="A88" t="s">
        <v>7</v>
      </c>
      <c r="B88" t="s">
        <v>13</v>
      </c>
      <c r="C88" t="s">
        <v>70</v>
      </c>
      <c r="D88">
        <v>90</v>
      </c>
      <c r="E88">
        <v>1970</v>
      </c>
      <c r="F88">
        <v>2566</v>
      </c>
      <c r="G88" t="s">
        <v>125</v>
      </c>
      <c r="H88" t="s">
        <v>128</v>
      </c>
    </row>
    <row r="89" spans="1:8" x14ac:dyDescent="0.3">
      <c r="A89" t="s">
        <v>8</v>
      </c>
      <c r="B89" t="s">
        <v>15</v>
      </c>
      <c r="C89" t="s">
        <v>113</v>
      </c>
      <c r="D89" s="8">
        <v>111</v>
      </c>
      <c r="E89">
        <v>2449</v>
      </c>
      <c r="F89">
        <v>2566</v>
      </c>
      <c r="G89" t="s">
        <v>125</v>
      </c>
      <c r="H89" t="s">
        <v>128</v>
      </c>
    </row>
    <row r="90" spans="1:8" x14ac:dyDescent="0.3">
      <c r="A90" t="s">
        <v>8</v>
      </c>
      <c r="B90" t="s">
        <v>15</v>
      </c>
      <c r="C90" t="s">
        <v>114</v>
      </c>
      <c r="D90" s="8">
        <v>92</v>
      </c>
      <c r="E90">
        <v>2014</v>
      </c>
      <c r="F90">
        <v>2566</v>
      </c>
      <c r="G90" t="s">
        <v>125</v>
      </c>
      <c r="H90" t="s">
        <v>128</v>
      </c>
    </row>
    <row r="91" spans="1:8" x14ac:dyDescent="0.3">
      <c r="A91" t="s">
        <v>8</v>
      </c>
      <c r="B91" t="s">
        <v>15</v>
      </c>
      <c r="C91" t="s">
        <v>115</v>
      </c>
      <c r="D91" s="8">
        <v>132</v>
      </c>
      <c r="E91">
        <v>2898</v>
      </c>
      <c r="F91">
        <v>2566</v>
      </c>
      <c r="G91" t="s">
        <v>125</v>
      </c>
      <c r="H91" t="s">
        <v>128</v>
      </c>
    </row>
    <row r="92" spans="1:8" x14ac:dyDescent="0.3">
      <c r="A92" t="s">
        <v>8</v>
      </c>
      <c r="B92" t="s">
        <v>15</v>
      </c>
      <c r="C92" t="s">
        <v>116</v>
      </c>
      <c r="D92" s="8">
        <v>107</v>
      </c>
      <c r="E92">
        <v>2364</v>
      </c>
      <c r="F92">
        <v>2566</v>
      </c>
      <c r="G92" t="s">
        <v>125</v>
      </c>
      <c r="H92" t="s">
        <v>128</v>
      </c>
    </row>
    <row r="93" spans="1:8" x14ac:dyDescent="0.3">
      <c r="A93" t="s">
        <v>7</v>
      </c>
      <c r="B93" t="s">
        <v>10</v>
      </c>
      <c r="C93" t="s">
        <v>40</v>
      </c>
      <c r="D93">
        <v>130</v>
      </c>
      <c r="E93">
        <v>2865</v>
      </c>
      <c r="F93">
        <v>2567</v>
      </c>
      <c r="G93" t="s">
        <v>124</v>
      </c>
      <c r="H93" t="s">
        <v>128</v>
      </c>
    </row>
    <row r="94" spans="1:8" x14ac:dyDescent="0.3">
      <c r="A94" t="s">
        <v>7</v>
      </c>
      <c r="B94" t="s">
        <v>12</v>
      </c>
      <c r="C94" t="s">
        <v>65</v>
      </c>
      <c r="D94">
        <v>99</v>
      </c>
      <c r="E94">
        <v>2167</v>
      </c>
      <c r="F94">
        <v>2567</v>
      </c>
      <c r="G94" t="s">
        <v>124</v>
      </c>
      <c r="H94" t="s">
        <v>129</v>
      </c>
    </row>
    <row r="95" spans="1:8" x14ac:dyDescent="0.3">
      <c r="A95" t="s">
        <v>7</v>
      </c>
      <c r="B95" t="s">
        <v>12</v>
      </c>
      <c r="C95" t="s">
        <v>66</v>
      </c>
      <c r="D95">
        <v>105</v>
      </c>
      <c r="E95">
        <v>2320</v>
      </c>
      <c r="F95">
        <v>2567</v>
      </c>
      <c r="G95" t="s">
        <v>124</v>
      </c>
      <c r="H95" t="s">
        <v>129</v>
      </c>
    </row>
    <row r="96" spans="1:8" x14ac:dyDescent="0.3">
      <c r="A96" t="s">
        <v>8</v>
      </c>
      <c r="B96" t="s">
        <v>15</v>
      </c>
      <c r="C96" t="s">
        <v>117</v>
      </c>
      <c r="D96" s="8">
        <v>3</v>
      </c>
      <c r="E96">
        <v>61</v>
      </c>
      <c r="F96">
        <v>2567</v>
      </c>
      <c r="G96" t="s">
        <v>125</v>
      </c>
      <c r="H96" t="s">
        <v>129</v>
      </c>
    </row>
    <row r="97" spans="1:8" x14ac:dyDescent="0.3">
      <c r="A97" t="s">
        <v>8</v>
      </c>
      <c r="B97" t="s">
        <v>15</v>
      </c>
      <c r="C97" t="s">
        <v>118</v>
      </c>
      <c r="D97" s="8">
        <v>8</v>
      </c>
      <c r="E97">
        <v>171</v>
      </c>
      <c r="F97">
        <v>2567</v>
      </c>
      <c r="G97" t="s">
        <v>125</v>
      </c>
      <c r="H97" t="s">
        <v>129</v>
      </c>
    </row>
    <row r="98" spans="1:8" x14ac:dyDescent="0.3">
      <c r="A98" t="s">
        <v>8</v>
      </c>
      <c r="B98" t="s">
        <v>15</v>
      </c>
      <c r="C98" t="s">
        <v>119</v>
      </c>
      <c r="D98" s="8">
        <v>11</v>
      </c>
      <c r="E98">
        <v>241</v>
      </c>
      <c r="F98">
        <v>2567</v>
      </c>
      <c r="G98" t="s">
        <v>125</v>
      </c>
      <c r="H98" t="s">
        <v>129</v>
      </c>
    </row>
    <row r="99" spans="1:8" x14ac:dyDescent="0.3">
      <c r="A99" t="s">
        <v>8</v>
      </c>
      <c r="B99" t="s">
        <v>15</v>
      </c>
      <c r="C99" t="s">
        <v>120</v>
      </c>
      <c r="D99" s="8">
        <v>140</v>
      </c>
      <c r="E99">
        <v>3070</v>
      </c>
      <c r="F99">
        <v>2567</v>
      </c>
      <c r="G99" t="s">
        <v>125</v>
      </c>
      <c r="H99" t="s">
        <v>129</v>
      </c>
    </row>
    <row r="100" spans="1:8" x14ac:dyDescent="0.3">
      <c r="A100" t="s">
        <v>8</v>
      </c>
      <c r="B100" t="s">
        <v>15</v>
      </c>
      <c r="C100" t="s">
        <v>121</v>
      </c>
      <c r="D100" s="8">
        <v>149</v>
      </c>
      <c r="E100">
        <v>3270</v>
      </c>
      <c r="F100">
        <v>2567</v>
      </c>
      <c r="G100" t="s">
        <v>125</v>
      </c>
      <c r="H100" t="s">
        <v>129</v>
      </c>
    </row>
    <row r="101" spans="1:8" x14ac:dyDescent="0.3">
      <c r="A101" t="s">
        <v>7</v>
      </c>
      <c r="B101" t="s">
        <v>13</v>
      </c>
      <c r="C101" t="s">
        <v>71</v>
      </c>
      <c r="D101">
        <v>86</v>
      </c>
      <c r="E101">
        <v>1892</v>
      </c>
      <c r="F101">
        <v>2568</v>
      </c>
      <c r="G101" t="s">
        <v>125</v>
      </c>
      <c r="H101" t="s">
        <v>129</v>
      </c>
    </row>
    <row r="102" spans="1:8" x14ac:dyDescent="0.3">
      <c r="A102" t="s">
        <v>7</v>
      </c>
      <c r="B102" t="s">
        <v>13</v>
      </c>
      <c r="C102" t="s">
        <v>72</v>
      </c>
      <c r="D102">
        <v>77</v>
      </c>
      <c r="E102">
        <v>1686</v>
      </c>
      <c r="F102">
        <v>2568</v>
      </c>
      <c r="G102" t="s">
        <v>125</v>
      </c>
      <c r="H102" t="s">
        <v>129</v>
      </c>
    </row>
    <row r="103" spans="1:8" x14ac:dyDescent="0.3">
      <c r="A103" t="s">
        <v>7</v>
      </c>
      <c r="B103" t="s">
        <v>13</v>
      </c>
      <c r="C103" t="s">
        <v>73</v>
      </c>
      <c r="D103">
        <v>63</v>
      </c>
      <c r="E103">
        <v>1380</v>
      </c>
      <c r="F103">
        <v>2568</v>
      </c>
      <c r="G103" t="s">
        <v>125</v>
      </c>
      <c r="H103" t="s">
        <v>129</v>
      </c>
    </row>
    <row r="104" spans="1:8" x14ac:dyDescent="0.3">
      <c r="A104" t="s">
        <v>7</v>
      </c>
      <c r="B104" t="s">
        <v>13</v>
      </c>
      <c r="C104" t="s">
        <v>74</v>
      </c>
      <c r="D104">
        <v>34</v>
      </c>
      <c r="E104">
        <v>751</v>
      </c>
      <c r="F104">
        <v>2568</v>
      </c>
      <c r="G104" t="s">
        <v>125</v>
      </c>
      <c r="H104" t="s">
        <v>129</v>
      </c>
    </row>
    <row r="105" spans="1:8" x14ac:dyDescent="0.3">
      <c r="A105" t="s">
        <v>7</v>
      </c>
      <c r="B105" t="s">
        <v>13</v>
      </c>
      <c r="C105" t="s">
        <v>75</v>
      </c>
      <c r="D105">
        <v>53</v>
      </c>
      <c r="E105">
        <v>1168</v>
      </c>
      <c r="F105">
        <v>2568</v>
      </c>
      <c r="G105" t="s">
        <v>124</v>
      </c>
      <c r="H105" t="s">
        <v>129</v>
      </c>
    </row>
    <row r="106" spans="1:8" x14ac:dyDescent="0.3">
      <c r="A106" t="s">
        <v>7</v>
      </c>
      <c r="B106" t="s">
        <v>13</v>
      </c>
      <c r="C106" t="s">
        <v>76</v>
      </c>
      <c r="D106">
        <v>7</v>
      </c>
      <c r="E106">
        <v>145</v>
      </c>
      <c r="F106">
        <v>2568</v>
      </c>
      <c r="G106" t="s">
        <v>125</v>
      </c>
      <c r="H106" t="s">
        <v>129</v>
      </c>
    </row>
    <row r="107" spans="1:8" x14ac:dyDescent="0.3">
      <c r="A107" t="s">
        <v>7</v>
      </c>
      <c r="B107" t="s">
        <v>13</v>
      </c>
      <c r="C107" t="s">
        <v>77</v>
      </c>
      <c r="D107">
        <v>70</v>
      </c>
      <c r="E107">
        <v>1547</v>
      </c>
      <c r="F107">
        <v>2568</v>
      </c>
      <c r="G107" t="s">
        <v>124</v>
      </c>
      <c r="H107" t="s">
        <v>129</v>
      </c>
    </row>
    <row r="108" spans="1:8" x14ac:dyDescent="0.3">
      <c r="A108" t="s">
        <v>8</v>
      </c>
      <c r="B108" t="s">
        <v>15</v>
      </c>
      <c r="C108" t="s">
        <v>122</v>
      </c>
      <c r="D108" s="8">
        <v>144</v>
      </c>
      <c r="E108">
        <v>3171</v>
      </c>
      <c r="F108">
        <v>2568</v>
      </c>
      <c r="G108" t="s">
        <v>125</v>
      </c>
      <c r="H108" t="s">
        <v>129</v>
      </c>
    </row>
    <row r="109" spans="1:8" x14ac:dyDescent="0.3">
      <c r="A109" t="s">
        <v>8</v>
      </c>
      <c r="B109" t="s">
        <v>15</v>
      </c>
      <c r="C109" t="s">
        <v>123</v>
      </c>
      <c r="D109" s="8">
        <v>134</v>
      </c>
      <c r="E109">
        <v>2950</v>
      </c>
      <c r="F109">
        <v>2568</v>
      </c>
      <c r="G109" t="s">
        <v>125</v>
      </c>
      <c r="H109" t="s">
        <v>129</v>
      </c>
    </row>
  </sheetData>
  <sortState xmlns:xlrd2="http://schemas.microsoft.com/office/spreadsheetml/2017/richdata2" ref="A2:H109">
    <sortCondition ref="C2:C1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F492-7AF4-4802-9303-537B385A2537}">
  <dimension ref="A3:D137"/>
  <sheetViews>
    <sheetView workbookViewId="0">
      <selection activeCell="M50" sqref="M50"/>
    </sheetView>
  </sheetViews>
  <sheetFormatPr defaultRowHeight="14.4" x14ac:dyDescent="0.3"/>
  <cols>
    <col min="1" max="1" width="18.21875" style="5" customWidth="1"/>
    <col min="2" max="2" width="8.6640625" style="5" bestFit="1" customWidth="1"/>
    <col min="3" max="3" width="9.21875" style="5" bestFit="1" customWidth="1"/>
    <col min="4" max="4" width="12.5546875" bestFit="1" customWidth="1"/>
    <col min="5" max="6" width="8.88671875" style="5"/>
    <col min="7" max="7" width="10.77734375" style="5" bestFit="1" customWidth="1"/>
    <col min="8" max="12" width="8.88671875" style="5"/>
    <col min="13" max="13" width="11.109375" style="5" bestFit="1" customWidth="1"/>
    <col min="14" max="16384" width="8.88671875" style="5"/>
  </cols>
  <sheetData>
    <row r="3" spans="1:4" x14ac:dyDescent="0.3">
      <c r="A3" s="5" t="s">
        <v>130</v>
      </c>
      <c r="B3" s="5" t="s">
        <v>134</v>
      </c>
      <c r="C3" s="5" t="s">
        <v>135</v>
      </c>
      <c r="D3" t="s">
        <v>134</v>
      </c>
    </row>
    <row r="4" spans="1:4" x14ac:dyDescent="0.3">
      <c r="A4" s="9" t="s">
        <v>127</v>
      </c>
      <c r="B4" s="9">
        <v>3818</v>
      </c>
      <c r="C4" s="9">
        <v>94386</v>
      </c>
      <c r="D4" s="10">
        <v>0.34449156365604983</v>
      </c>
    </row>
    <row r="5" spans="1:4" x14ac:dyDescent="0.3">
      <c r="A5" s="5" t="s">
        <v>14</v>
      </c>
      <c r="B5" s="5">
        <v>865</v>
      </c>
      <c r="C5" s="5">
        <v>21613</v>
      </c>
      <c r="D5" s="7">
        <v>7.804746007398719E-2</v>
      </c>
    </row>
    <row r="6" spans="1:4" x14ac:dyDescent="0.3">
      <c r="A6" s="5" t="s">
        <v>83</v>
      </c>
      <c r="B6" s="5">
        <v>169</v>
      </c>
      <c r="C6" s="5">
        <v>4231</v>
      </c>
      <c r="D6" s="7">
        <v>1.5248578904628711E-2</v>
      </c>
    </row>
    <row r="7" spans="1:4" x14ac:dyDescent="0.3">
      <c r="A7" s="5" t="s">
        <v>84</v>
      </c>
      <c r="B7" s="5">
        <v>171</v>
      </c>
      <c r="C7" s="5">
        <v>4265</v>
      </c>
      <c r="D7" s="7">
        <v>1.5429035459713074E-2</v>
      </c>
    </row>
    <row r="8" spans="1:4" x14ac:dyDescent="0.3">
      <c r="A8" s="5" t="s">
        <v>85</v>
      </c>
      <c r="B8" s="5">
        <v>67</v>
      </c>
      <c r="C8" s="5">
        <v>1663</v>
      </c>
      <c r="D8" s="7">
        <v>6.0452945953261752E-3</v>
      </c>
    </row>
    <row r="9" spans="1:4" x14ac:dyDescent="0.3">
      <c r="A9" s="5" t="s">
        <v>86</v>
      </c>
      <c r="B9" s="5">
        <v>154</v>
      </c>
      <c r="C9" s="5">
        <v>3851</v>
      </c>
      <c r="D9" s="7">
        <v>1.3895154741495984E-2</v>
      </c>
    </row>
    <row r="10" spans="1:4" x14ac:dyDescent="0.3">
      <c r="A10" s="5" t="s">
        <v>87</v>
      </c>
      <c r="B10" s="5">
        <v>139</v>
      </c>
      <c r="C10" s="5">
        <v>3476</v>
      </c>
      <c r="D10" s="7">
        <v>1.2541730578363259E-2</v>
      </c>
    </row>
    <row r="11" spans="1:4" x14ac:dyDescent="0.3">
      <c r="A11" s="5" t="s">
        <v>88</v>
      </c>
      <c r="B11" s="5">
        <v>165</v>
      </c>
      <c r="C11" s="5">
        <v>4127</v>
      </c>
      <c r="D11" s="7">
        <v>1.4887665794459983E-2</v>
      </c>
    </row>
    <row r="12" spans="1:4" x14ac:dyDescent="0.3">
      <c r="A12" s="5" t="s">
        <v>9</v>
      </c>
      <c r="B12" s="5">
        <v>784</v>
      </c>
      <c r="C12" s="5">
        <v>19332</v>
      </c>
      <c r="D12" s="7">
        <v>7.0738969593070467E-2</v>
      </c>
    </row>
    <row r="13" spans="1:4" x14ac:dyDescent="0.3">
      <c r="A13" s="5" t="s">
        <v>22</v>
      </c>
      <c r="B13" s="5">
        <v>78</v>
      </c>
      <c r="C13" s="5">
        <v>1950</v>
      </c>
      <c r="D13" s="7">
        <v>7.0378056482901744E-3</v>
      </c>
    </row>
    <row r="14" spans="1:4" x14ac:dyDescent="0.3">
      <c r="A14" s="5" t="s">
        <v>23</v>
      </c>
      <c r="B14" s="5">
        <v>153</v>
      </c>
      <c r="C14" s="5">
        <v>3835</v>
      </c>
      <c r="D14" s="7">
        <v>1.3804926463953803E-2</v>
      </c>
    </row>
    <row r="15" spans="1:4" x14ac:dyDescent="0.3">
      <c r="A15" s="5" t="s">
        <v>24</v>
      </c>
      <c r="B15" s="5">
        <v>85</v>
      </c>
      <c r="C15" s="5">
        <v>2119</v>
      </c>
      <c r="D15" s="7">
        <v>7.6694035910854462E-3</v>
      </c>
    </row>
    <row r="16" spans="1:4" x14ac:dyDescent="0.3">
      <c r="A16" s="5" t="s">
        <v>25</v>
      </c>
      <c r="B16" s="5">
        <v>172</v>
      </c>
      <c r="C16" s="5">
        <v>4308</v>
      </c>
      <c r="D16" s="7">
        <v>1.5519263737255255E-2</v>
      </c>
    </row>
    <row r="17" spans="1:4" x14ac:dyDescent="0.3">
      <c r="A17" s="5" t="s">
        <v>26</v>
      </c>
      <c r="B17" s="5">
        <v>154</v>
      </c>
      <c r="C17" s="5">
        <v>3861</v>
      </c>
      <c r="D17" s="7">
        <v>1.3895154741495984E-2</v>
      </c>
    </row>
    <row r="18" spans="1:4" x14ac:dyDescent="0.3">
      <c r="A18" s="5" t="s">
        <v>27</v>
      </c>
      <c r="B18" s="5">
        <v>142</v>
      </c>
      <c r="C18" s="5">
        <v>3259</v>
      </c>
      <c r="D18" s="7">
        <v>1.2812415410989804E-2</v>
      </c>
    </row>
    <row r="19" spans="1:4" x14ac:dyDescent="0.3">
      <c r="A19" s="5" t="s">
        <v>10</v>
      </c>
      <c r="B19" s="5">
        <v>157</v>
      </c>
      <c r="C19" s="5">
        <v>3931</v>
      </c>
      <c r="D19" s="7">
        <v>1.416583957412253E-2</v>
      </c>
    </row>
    <row r="20" spans="1:4" x14ac:dyDescent="0.3">
      <c r="A20" s="5" t="s">
        <v>32</v>
      </c>
      <c r="B20" s="5">
        <v>157</v>
      </c>
      <c r="C20" s="5">
        <v>3931</v>
      </c>
      <c r="D20" s="7">
        <v>1.416583957412253E-2</v>
      </c>
    </row>
    <row r="21" spans="1:4" x14ac:dyDescent="0.3">
      <c r="A21" s="5" t="s">
        <v>11</v>
      </c>
      <c r="B21" s="5">
        <v>976</v>
      </c>
      <c r="C21" s="5">
        <v>24402</v>
      </c>
      <c r="D21" s="7">
        <v>8.8062798881169357E-2</v>
      </c>
    </row>
    <row r="22" spans="1:4" x14ac:dyDescent="0.3">
      <c r="A22" s="5" t="s">
        <v>44</v>
      </c>
      <c r="B22" s="5">
        <v>124</v>
      </c>
      <c r="C22" s="5">
        <v>3106</v>
      </c>
      <c r="D22" s="7">
        <v>1.1188306415230533E-2</v>
      </c>
    </row>
    <row r="23" spans="1:4" x14ac:dyDescent="0.3">
      <c r="A23" s="5" t="s">
        <v>45</v>
      </c>
      <c r="B23" s="5">
        <v>12</v>
      </c>
      <c r="C23" s="5">
        <v>300</v>
      </c>
      <c r="D23" s="7">
        <v>1.0827393305061807E-3</v>
      </c>
    </row>
    <row r="24" spans="1:4" x14ac:dyDescent="0.3">
      <c r="A24" s="5" t="s">
        <v>46</v>
      </c>
      <c r="B24" s="5">
        <v>100</v>
      </c>
      <c r="C24" s="5">
        <v>2495</v>
      </c>
      <c r="D24" s="7">
        <v>9.0228277542181712E-3</v>
      </c>
    </row>
    <row r="25" spans="1:4" x14ac:dyDescent="0.3">
      <c r="A25" s="5" t="s">
        <v>47</v>
      </c>
      <c r="B25" s="5">
        <v>133</v>
      </c>
      <c r="C25" s="5">
        <v>3333</v>
      </c>
      <c r="D25" s="7">
        <v>1.2000360913110169E-2</v>
      </c>
    </row>
    <row r="26" spans="1:4" x14ac:dyDescent="0.3">
      <c r="A26" s="5" t="s">
        <v>48</v>
      </c>
      <c r="B26" s="5">
        <v>101</v>
      </c>
      <c r="C26" s="5">
        <v>2525</v>
      </c>
      <c r="D26" s="7">
        <v>9.1130560317603544E-3</v>
      </c>
    </row>
    <row r="27" spans="1:4" x14ac:dyDescent="0.3">
      <c r="A27" s="5" t="s">
        <v>49</v>
      </c>
      <c r="B27" s="5">
        <v>116</v>
      </c>
      <c r="C27" s="5">
        <v>2888</v>
      </c>
      <c r="D27" s="7">
        <v>1.0466480194893079E-2</v>
      </c>
    </row>
    <row r="28" spans="1:4" x14ac:dyDescent="0.3">
      <c r="A28" s="5" t="s">
        <v>50</v>
      </c>
      <c r="B28" s="5">
        <v>76</v>
      </c>
      <c r="C28" s="5">
        <v>1905</v>
      </c>
      <c r="D28" s="7">
        <v>6.8573490932058107E-3</v>
      </c>
    </row>
    <row r="29" spans="1:4" x14ac:dyDescent="0.3">
      <c r="A29" s="5" t="s">
        <v>51</v>
      </c>
      <c r="B29" s="5">
        <v>92</v>
      </c>
      <c r="C29" s="5">
        <v>2291</v>
      </c>
      <c r="D29" s="7">
        <v>8.301001533880718E-3</v>
      </c>
    </row>
    <row r="30" spans="1:4" x14ac:dyDescent="0.3">
      <c r="A30" s="5" t="s">
        <v>52</v>
      </c>
      <c r="B30" s="5">
        <v>108</v>
      </c>
      <c r="C30" s="5">
        <v>2707</v>
      </c>
      <c r="D30" s="7">
        <v>9.7446539745556261E-3</v>
      </c>
    </row>
    <row r="31" spans="1:4" x14ac:dyDescent="0.3">
      <c r="A31" s="5" t="s">
        <v>53</v>
      </c>
      <c r="B31" s="5">
        <v>85</v>
      </c>
      <c r="C31" s="5">
        <v>2132</v>
      </c>
      <c r="D31" s="7">
        <v>7.6694035910854462E-3</v>
      </c>
    </row>
    <row r="32" spans="1:4" x14ac:dyDescent="0.3">
      <c r="A32" s="5" t="s">
        <v>54</v>
      </c>
      <c r="B32" s="5">
        <v>29</v>
      </c>
      <c r="C32" s="5">
        <v>720</v>
      </c>
      <c r="D32" s="7">
        <v>2.6166200487232698E-3</v>
      </c>
    </row>
    <row r="33" spans="1:4" x14ac:dyDescent="0.3">
      <c r="A33" s="5" t="s">
        <v>12</v>
      </c>
      <c r="B33" s="5">
        <v>4</v>
      </c>
      <c r="C33" s="5">
        <v>93</v>
      </c>
      <c r="D33" s="7">
        <v>3.6091311016872688E-4</v>
      </c>
    </row>
    <row r="34" spans="1:4" x14ac:dyDescent="0.3">
      <c r="A34" s="5" t="s">
        <v>57</v>
      </c>
      <c r="B34" s="5">
        <v>4</v>
      </c>
      <c r="C34" s="5">
        <v>93</v>
      </c>
      <c r="D34" s="7">
        <v>3.6091311016872688E-4</v>
      </c>
    </row>
    <row r="35" spans="1:4" x14ac:dyDescent="0.3">
      <c r="A35" s="5" t="s">
        <v>15</v>
      </c>
      <c r="B35" s="5">
        <v>1032</v>
      </c>
      <c r="C35" s="5">
        <v>25015</v>
      </c>
      <c r="D35" s="7">
        <v>9.3115582423531532E-2</v>
      </c>
    </row>
    <row r="36" spans="1:4" x14ac:dyDescent="0.3">
      <c r="A36" s="5" t="s">
        <v>100</v>
      </c>
      <c r="B36" s="5">
        <v>9</v>
      </c>
      <c r="C36" s="5">
        <v>213</v>
      </c>
      <c r="D36" s="7">
        <v>8.1205449787963551E-4</v>
      </c>
    </row>
    <row r="37" spans="1:4" x14ac:dyDescent="0.3">
      <c r="A37" s="5" t="s">
        <v>101</v>
      </c>
      <c r="B37" s="5">
        <v>113</v>
      </c>
      <c r="C37" s="5">
        <v>2816</v>
      </c>
      <c r="D37" s="7">
        <v>1.0195795362266535E-2</v>
      </c>
    </row>
    <row r="38" spans="1:4" x14ac:dyDescent="0.3">
      <c r="A38" s="5" t="s">
        <v>102</v>
      </c>
      <c r="B38" s="5">
        <v>128</v>
      </c>
      <c r="C38" s="5">
        <v>3199</v>
      </c>
      <c r="D38" s="7">
        <v>1.154921952539926E-2</v>
      </c>
    </row>
    <row r="39" spans="1:4" x14ac:dyDescent="0.3">
      <c r="A39" s="5" t="s">
        <v>103</v>
      </c>
      <c r="B39" s="5">
        <v>121</v>
      </c>
      <c r="C39" s="5">
        <v>3015</v>
      </c>
      <c r="D39" s="7">
        <v>1.0917621582603988E-2</v>
      </c>
    </row>
    <row r="40" spans="1:4" x14ac:dyDescent="0.3">
      <c r="A40" s="5" t="s">
        <v>104</v>
      </c>
      <c r="B40" s="5">
        <v>56</v>
      </c>
      <c r="C40" s="5">
        <v>1403</v>
      </c>
      <c r="D40" s="7">
        <v>5.0527835423621759E-3</v>
      </c>
    </row>
    <row r="41" spans="1:4" x14ac:dyDescent="0.3">
      <c r="A41" s="5" t="s">
        <v>105</v>
      </c>
      <c r="B41" s="5">
        <v>117</v>
      </c>
      <c r="C41" s="5">
        <v>2934</v>
      </c>
      <c r="D41" s="7">
        <v>1.0556708472435261E-2</v>
      </c>
    </row>
    <row r="42" spans="1:4" x14ac:dyDescent="0.3">
      <c r="A42" s="5" t="s">
        <v>106</v>
      </c>
      <c r="B42" s="5">
        <v>116</v>
      </c>
      <c r="C42" s="5">
        <v>2903</v>
      </c>
      <c r="D42" s="7">
        <v>1.0466480194893079E-2</v>
      </c>
    </row>
    <row r="43" spans="1:4" x14ac:dyDescent="0.3">
      <c r="A43" s="5" t="s">
        <v>107</v>
      </c>
      <c r="B43" s="5">
        <v>115</v>
      </c>
      <c r="C43" s="5">
        <v>2864</v>
      </c>
      <c r="D43" s="7">
        <v>1.0376251917350898E-2</v>
      </c>
    </row>
    <row r="44" spans="1:4" x14ac:dyDescent="0.3">
      <c r="A44" s="5" t="s">
        <v>108</v>
      </c>
      <c r="B44" s="5">
        <v>128</v>
      </c>
      <c r="C44" s="5">
        <v>2825</v>
      </c>
      <c r="D44" s="7">
        <v>1.154921952539926E-2</v>
      </c>
    </row>
    <row r="45" spans="1:4" x14ac:dyDescent="0.3">
      <c r="A45" s="5" t="s">
        <v>109</v>
      </c>
      <c r="B45" s="5">
        <v>129</v>
      </c>
      <c r="C45" s="5">
        <v>2843</v>
      </c>
      <c r="D45" s="7">
        <v>1.1639447802941441E-2</v>
      </c>
    </row>
    <row r="46" spans="1:4" x14ac:dyDescent="0.3">
      <c r="A46" s="9" t="s">
        <v>129</v>
      </c>
      <c r="B46" s="9">
        <v>1183</v>
      </c>
      <c r="C46" s="9">
        <v>25990</v>
      </c>
      <c r="D46" s="10">
        <v>0.10674005233240097</v>
      </c>
    </row>
    <row r="47" spans="1:4" x14ac:dyDescent="0.3">
      <c r="A47" s="5" t="s">
        <v>12</v>
      </c>
      <c r="B47" s="5">
        <v>204</v>
      </c>
      <c r="C47" s="5">
        <v>4487</v>
      </c>
      <c r="D47" s="7">
        <v>1.8406568618605072E-2</v>
      </c>
    </row>
    <row r="48" spans="1:4" x14ac:dyDescent="0.3">
      <c r="A48" s="5" t="s">
        <v>65</v>
      </c>
      <c r="B48" s="5">
        <v>99</v>
      </c>
      <c r="C48" s="5">
        <v>2167</v>
      </c>
      <c r="D48" s="7">
        <v>8.9325994766759897E-3</v>
      </c>
    </row>
    <row r="49" spans="1:4" x14ac:dyDescent="0.3">
      <c r="A49" s="5" t="s">
        <v>66</v>
      </c>
      <c r="B49" s="5">
        <v>105</v>
      </c>
      <c r="C49" s="5">
        <v>2320</v>
      </c>
      <c r="D49" s="7">
        <v>9.4739691419290801E-3</v>
      </c>
    </row>
    <row r="50" spans="1:4" x14ac:dyDescent="0.3">
      <c r="A50" s="5" t="s">
        <v>15</v>
      </c>
      <c r="B50" s="5">
        <v>589</v>
      </c>
      <c r="C50" s="5">
        <v>12934</v>
      </c>
      <c r="D50" s="7">
        <v>5.3144455472345031E-2</v>
      </c>
    </row>
    <row r="51" spans="1:4" x14ac:dyDescent="0.3">
      <c r="A51" s="5" t="s">
        <v>117</v>
      </c>
      <c r="B51" s="5">
        <v>3</v>
      </c>
      <c r="C51" s="5">
        <v>61</v>
      </c>
      <c r="D51" s="7">
        <v>2.7068483262654517E-4</v>
      </c>
    </row>
    <row r="52" spans="1:4" x14ac:dyDescent="0.3">
      <c r="A52" s="5" t="s">
        <v>118</v>
      </c>
      <c r="B52" s="5">
        <v>8</v>
      </c>
      <c r="C52" s="5">
        <v>171</v>
      </c>
      <c r="D52" s="7">
        <v>7.2182622033745375E-4</v>
      </c>
    </row>
    <row r="53" spans="1:4" x14ac:dyDescent="0.3">
      <c r="A53" s="5" t="s">
        <v>119</v>
      </c>
      <c r="B53" s="5">
        <v>11</v>
      </c>
      <c r="C53" s="5">
        <v>241</v>
      </c>
      <c r="D53" s="7">
        <v>9.9251105296399881E-4</v>
      </c>
    </row>
    <row r="54" spans="1:4" x14ac:dyDescent="0.3">
      <c r="A54" s="5" t="s">
        <v>120</v>
      </c>
      <c r="B54" s="5">
        <v>140</v>
      </c>
      <c r="C54" s="5">
        <v>3070</v>
      </c>
      <c r="D54" s="7">
        <v>1.2631958855905441E-2</v>
      </c>
    </row>
    <row r="55" spans="1:4" x14ac:dyDescent="0.3">
      <c r="A55" s="5" t="s">
        <v>121</v>
      </c>
      <c r="B55" s="5">
        <v>149</v>
      </c>
      <c r="C55" s="5">
        <v>3270</v>
      </c>
      <c r="D55" s="7">
        <v>1.3444013353785077E-2</v>
      </c>
    </row>
    <row r="56" spans="1:4" x14ac:dyDescent="0.3">
      <c r="A56" s="5" t="s">
        <v>122</v>
      </c>
      <c r="B56" s="5">
        <v>144</v>
      </c>
      <c r="C56" s="5">
        <v>3171</v>
      </c>
      <c r="D56" s="7">
        <v>1.2992871966074168E-2</v>
      </c>
    </row>
    <row r="57" spans="1:4" x14ac:dyDescent="0.3">
      <c r="A57" s="5" t="s">
        <v>123</v>
      </c>
      <c r="B57" s="5">
        <v>134</v>
      </c>
      <c r="C57" s="5">
        <v>2950</v>
      </c>
      <c r="D57" s="7">
        <v>1.209058919065235E-2</v>
      </c>
    </row>
    <row r="58" spans="1:4" x14ac:dyDescent="0.3">
      <c r="A58" s="5" t="s">
        <v>13</v>
      </c>
      <c r="B58" s="5">
        <v>390</v>
      </c>
      <c r="C58" s="5">
        <v>8569</v>
      </c>
      <c r="D58" s="7">
        <v>3.518902824145087E-2</v>
      </c>
    </row>
    <row r="59" spans="1:4" x14ac:dyDescent="0.3">
      <c r="A59" s="5" t="s">
        <v>71</v>
      </c>
      <c r="B59" s="5">
        <v>86</v>
      </c>
      <c r="C59" s="5">
        <v>1892</v>
      </c>
      <c r="D59" s="7">
        <v>7.7596318686276276E-3</v>
      </c>
    </row>
    <row r="60" spans="1:4" x14ac:dyDescent="0.3">
      <c r="A60" s="5" t="s">
        <v>72</v>
      </c>
      <c r="B60" s="5">
        <v>77</v>
      </c>
      <c r="C60" s="5">
        <v>1686</v>
      </c>
      <c r="D60" s="7">
        <v>6.9475773707479921E-3</v>
      </c>
    </row>
    <row r="61" spans="1:4" x14ac:dyDescent="0.3">
      <c r="A61" s="5" t="s">
        <v>73</v>
      </c>
      <c r="B61" s="5">
        <v>63</v>
      </c>
      <c r="C61" s="5">
        <v>1380</v>
      </c>
      <c r="D61" s="7">
        <v>5.6843814851574486E-3</v>
      </c>
    </row>
    <row r="62" spans="1:4" x14ac:dyDescent="0.3">
      <c r="A62" s="5" t="s">
        <v>74</v>
      </c>
      <c r="B62" s="5">
        <v>34</v>
      </c>
      <c r="C62" s="5">
        <v>751</v>
      </c>
      <c r="D62" s="7">
        <v>3.0677614364341783E-3</v>
      </c>
    </row>
    <row r="63" spans="1:4" x14ac:dyDescent="0.3">
      <c r="A63" s="5" t="s">
        <v>75</v>
      </c>
      <c r="B63" s="5">
        <v>53</v>
      </c>
      <c r="C63" s="5">
        <v>1168</v>
      </c>
      <c r="D63" s="7">
        <v>4.7820987097356308E-3</v>
      </c>
    </row>
    <row r="64" spans="1:4" x14ac:dyDescent="0.3">
      <c r="A64" s="5" t="s">
        <v>76</v>
      </c>
      <c r="B64" s="5">
        <v>7</v>
      </c>
      <c r="C64" s="5">
        <v>145</v>
      </c>
      <c r="D64" s="7">
        <v>6.3159794279527199E-4</v>
      </c>
    </row>
    <row r="65" spans="1:4" x14ac:dyDescent="0.3">
      <c r="A65" s="5" t="s">
        <v>77</v>
      </c>
      <c r="B65" s="5">
        <v>70</v>
      </c>
      <c r="C65" s="5">
        <v>1547</v>
      </c>
      <c r="D65" s="7">
        <v>6.3159794279527203E-3</v>
      </c>
    </row>
    <row r="66" spans="1:4" x14ac:dyDescent="0.3">
      <c r="A66" s="9" t="s">
        <v>128</v>
      </c>
      <c r="B66" s="9">
        <v>3544</v>
      </c>
      <c r="C66" s="9">
        <v>78477</v>
      </c>
      <c r="D66" s="10">
        <v>0.319769015609492</v>
      </c>
    </row>
    <row r="67" spans="1:4" x14ac:dyDescent="0.3">
      <c r="A67" s="5" t="s">
        <v>14</v>
      </c>
      <c r="B67" s="5">
        <v>743</v>
      </c>
      <c r="C67" s="5">
        <v>16352</v>
      </c>
      <c r="D67" s="7">
        <v>6.7039610213841014E-2</v>
      </c>
    </row>
    <row r="68" spans="1:4" x14ac:dyDescent="0.3">
      <c r="A68" s="5" t="s">
        <v>89</v>
      </c>
      <c r="B68" s="5">
        <v>158</v>
      </c>
      <c r="C68" s="5">
        <v>3480</v>
      </c>
      <c r="D68" s="7">
        <v>1.4256067851664712E-2</v>
      </c>
    </row>
    <row r="69" spans="1:4" x14ac:dyDescent="0.3">
      <c r="A69" s="5" t="s">
        <v>90</v>
      </c>
      <c r="B69" s="5">
        <v>143</v>
      </c>
      <c r="C69" s="5">
        <v>3140</v>
      </c>
      <c r="D69" s="7">
        <v>1.2902643688531987E-2</v>
      </c>
    </row>
    <row r="70" spans="1:4" x14ac:dyDescent="0.3">
      <c r="A70" s="5" t="s">
        <v>91</v>
      </c>
      <c r="B70" s="5">
        <v>167</v>
      </c>
      <c r="C70" s="5">
        <v>3671</v>
      </c>
      <c r="D70" s="7">
        <v>1.5068122349544346E-2</v>
      </c>
    </row>
    <row r="71" spans="1:4" x14ac:dyDescent="0.3">
      <c r="A71" s="5" t="s">
        <v>92</v>
      </c>
      <c r="B71" s="5">
        <v>130</v>
      </c>
      <c r="C71" s="5">
        <v>2868</v>
      </c>
      <c r="D71" s="7">
        <v>1.1729676080483623E-2</v>
      </c>
    </row>
    <row r="72" spans="1:4" x14ac:dyDescent="0.3">
      <c r="A72" s="5" t="s">
        <v>93</v>
      </c>
      <c r="B72" s="5">
        <v>145</v>
      </c>
      <c r="C72" s="5">
        <v>3193</v>
      </c>
      <c r="D72" s="7">
        <v>1.308310024361635E-2</v>
      </c>
    </row>
    <row r="73" spans="1:4" x14ac:dyDescent="0.3">
      <c r="A73" s="5" t="s">
        <v>9</v>
      </c>
      <c r="B73" s="5">
        <v>186</v>
      </c>
      <c r="C73" s="5">
        <v>4211</v>
      </c>
      <c r="D73" s="7">
        <v>1.6782459622845799E-2</v>
      </c>
    </row>
    <row r="74" spans="1:4" x14ac:dyDescent="0.3">
      <c r="A74" s="5" t="s">
        <v>28</v>
      </c>
      <c r="B74" s="5">
        <v>24</v>
      </c>
      <c r="C74" s="5">
        <v>534</v>
      </c>
      <c r="D74" s="7">
        <v>2.1654786610123614E-3</v>
      </c>
    </row>
    <row r="75" spans="1:4" x14ac:dyDescent="0.3">
      <c r="A75" s="5" t="s">
        <v>29</v>
      </c>
      <c r="B75" s="5">
        <v>39</v>
      </c>
      <c r="C75" s="5">
        <v>980</v>
      </c>
      <c r="D75" s="7">
        <v>3.5189028241450872E-3</v>
      </c>
    </row>
    <row r="76" spans="1:4" x14ac:dyDescent="0.3">
      <c r="A76" s="5" t="s">
        <v>30</v>
      </c>
      <c r="B76" s="5">
        <v>109</v>
      </c>
      <c r="C76" s="5">
        <v>2388</v>
      </c>
      <c r="D76" s="7">
        <v>9.8348822520978076E-3</v>
      </c>
    </row>
    <row r="77" spans="1:4" x14ac:dyDescent="0.3">
      <c r="A77" s="5" t="s">
        <v>31</v>
      </c>
      <c r="B77" s="5">
        <v>14</v>
      </c>
      <c r="C77" s="5">
        <v>309</v>
      </c>
      <c r="D77" s="7">
        <v>1.263195885590544E-3</v>
      </c>
    </row>
    <row r="78" spans="1:4" x14ac:dyDescent="0.3">
      <c r="A78" s="5" t="s">
        <v>10</v>
      </c>
      <c r="B78" s="5">
        <v>996</v>
      </c>
      <c r="C78" s="5">
        <v>21922</v>
      </c>
      <c r="D78" s="7">
        <v>8.9867364432012986E-2</v>
      </c>
    </row>
    <row r="79" spans="1:4" x14ac:dyDescent="0.3">
      <c r="A79" s="5" t="s">
        <v>33</v>
      </c>
      <c r="B79" s="5">
        <v>108</v>
      </c>
      <c r="C79" s="5">
        <v>2365</v>
      </c>
      <c r="D79" s="7">
        <v>9.7446539745556261E-3</v>
      </c>
    </row>
    <row r="80" spans="1:4" x14ac:dyDescent="0.3">
      <c r="A80" s="5" t="s">
        <v>34</v>
      </c>
      <c r="B80" s="5">
        <v>130</v>
      </c>
      <c r="C80" s="5">
        <v>2853</v>
      </c>
      <c r="D80" s="7">
        <v>1.1729676080483623E-2</v>
      </c>
    </row>
    <row r="81" spans="1:4" x14ac:dyDescent="0.3">
      <c r="A81" s="5" t="s">
        <v>35</v>
      </c>
      <c r="B81" s="5">
        <v>115</v>
      </c>
      <c r="C81" s="5">
        <v>2531</v>
      </c>
      <c r="D81" s="7">
        <v>1.0376251917350898E-2</v>
      </c>
    </row>
    <row r="82" spans="1:4" x14ac:dyDescent="0.3">
      <c r="A82" s="5" t="s">
        <v>36</v>
      </c>
      <c r="B82" s="5">
        <v>127</v>
      </c>
      <c r="C82" s="5">
        <v>2803</v>
      </c>
      <c r="D82" s="7">
        <v>1.1458991247857079E-2</v>
      </c>
    </row>
    <row r="83" spans="1:4" x14ac:dyDescent="0.3">
      <c r="A83" s="5" t="s">
        <v>37</v>
      </c>
      <c r="B83" s="5">
        <v>128</v>
      </c>
      <c r="C83" s="5">
        <v>2819</v>
      </c>
      <c r="D83" s="7">
        <v>1.154921952539926E-2</v>
      </c>
    </row>
    <row r="84" spans="1:4" x14ac:dyDescent="0.3">
      <c r="A84" s="5" t="s">
        <v>38</v>
      </c>
      <c r="B84" s="5">
        <v>122</v>
      </c>
      <c r="C84" s="5">
        <v>2687</v>
      </c>
      <c r="D84" s="7">
        <v>1.100784986014617E-2</v>
      </c>
    </row>
    <row r="85" spans="1:4" x14ac:dyDescent="0.3">
      <c r="A85" s="5" t="s">
        <v>39</v>
      </c>
      <c r="B85" s="5">
        <v>136</v>
      </c>
      <c r="C85" s="5">
        <v>2999</v>
      </c>
      <c r="D85" s="7">
        <v>1.2271045745736713E-2</v>
      </c>
    </row>
    <row r="86" spans="1:4" x14ac:dyDescent="0.3">
      <c r="A86" s="5" t="s">
        <v>40</v>
      </c>
      <c r="B86" s="5">
        <v>130</v>
      </c>
      <c r="C86" s="5">
        <v>2865</v>
      </c>
      <c r="D86" s="7">
        <v>1.1729676080483623E-2</v>
      </c>
    </row>
    <row r="87" spans="1:4" x14ac:dyDescent="0.3">
      <c r="A87" s="5" t="s">
        <v>12</v>
      </c>
      <c r="B87" s="5">
        <v>890</v>
      </c>
      <c r="C87" s="5">
        <v>19574</v>
      </c>
      <c r="D87" s="7">
        <v>8.0303167012541726E-2</v>
      </c>
    </row>
    <row r="88" spans="1:4" x14ac:dyDescent="0.3">
      <c r="A88" s="5" t="s">
        <v>58</v>
      </c>
      <c r="B88" s="5">
        <v>131</v>
      </c>
      <c r="C88" s="5">
        <v>2886</v>
      </c>
      <c r="D88" s="7">
        <v>1.1819904358025806E-2</v>
      </c>
    </row>
    <row r="89" spans="1:4" x14ac:dyDescent="0.3">
      <c r="A89" s="5" t="s">
        <v>59</v>
      </c>
      <c r="B89" s="5">
        <v>117</v>
      </c>
      <c r="C89" s="5">
        <v>2579</v>
      </c>
      <c r="D89" s="7">
        <v>1.0556708472435261E-2</v>
      </c>
    </row>
    <row r="90" spans="1:4" x14ac:dyDescent="0.3">
      <c r="A90" s="5" t="s">
        <v>60</v>
      </c>
      <c r="B90" s="5">
        <v>155</v>
      </c>
      <c r="C90" s="5">
        <v>3402</v>
      </c>
      <c r="D90" s="7">
        <v>1.3985383019038167E-2</v>
      </c>
    </row>
    <row r="91" spans="1:4" x14ac:dyDescent="0.3">
      <c r="A91" s="5" t="s">
        <v>61</v>
      </c>
      <c r="B91" s="5">
        <v>100</v>
      </c>
      <c r="C91" s="5">
        <v>2192</v>
      </c>
      <c r="D91" s="7">
        <v>9.0228277542181712E-3</v>
      </c>
    </row>
    <row r="92" spans="1:4" x14ac:dyDescent="0.3">
      <c r="A92" s="5" t="s">
        <v>62</v>
      </c>
      <c r="B92" s="5">
        <v>116</v>
      </c>
      <c r="C92" s="5">
        <v>2550</v>
      </c>
      <c r="D92" s="7">
        <v>1.0466480194893079E-2</v>
      </c>
    </row>
    <row r="93" spans="1:4" x14ac:dyDescent="0.3">
      <c r="A93" s="5" t="s">
        <v>63</v>
      </c>
      <c r="B93" s="5">
        <v>130</v>
      </c>
      <c r="C93" s="5">
        <v>2854</v>
      </c>
      <c r="D93" s="7">
        <v>1.1729676080483623E-2</v>
      </c>
    </row>
    <row r="94" spans="1:4" x14ac:dyDescent="0.3">
      <c r="A94" s="5" t="s">
        <v>64</v>
      </c>
      <c r="B94" s="5">
        <v>141</v>
      </c>
      <c r="C94" s="5">
        <v>3111</v>
      </c>
      <c r="D94" s="7">
        <v>1.2722187133447622E-2</v>
      </c>
    </row>
    <row r="95" spans="1:4" x14ac:dyDescent="0.3">
      <c r="A95" s="5" t="s">
        <v>15</v>
      </c>
      <c r="B95" s="5">
        <v>639</v>
      </c>
      <c r="C95" s="5">
        <v>14448</v>
      </c>
      <c r="D95" s="7">
        <v>5.7655869349454117E-2</v>
      </c>
    </row>
    <row r="96" spans="1:4" x14ac:dyDescent="0.3">
      <c r="A96" s="5" t="s">
        <v>110</v>
      </c>
      <c r="B96" s="5">
        <v>121</v>
      </c>
      <c r="C96" s="5">
        <v>3037</v>
      </c>
      <c r="D96" s="7">
        <v>1.0917621582603988E-2</v>
      </c>
    </row>
    <row r="97" spans="1:4" x14ac:dyDescent="0.3">
      <c r="A97" s="5" t="s">
        <v>111</v>
      </c>
      <c r="B97" s="5">
        <v>38</v>
      </c>
      <c r="C97" s="5">
        <v>842</v>
      </c>
      <c r="D97" s="7">
        <v>3.4286745466029053E-3</v>
      </c>
    </row>
    <row r="98" spans="1:4" x14ac:dyDescent="0.3">
      <c r="A98" s="5" t="s">
        <v>112</v>
      </c>
      <c r="B98" s="5">
        <v>38</v>
      </c>
      <c r="C98" s="5">
        <v>844</v>
      </c>
      <c r="D98" s="7">
        <v>3.4286745466029053E-3</v>
      </c>
    </row>
    <row r="99" spans="1:4" x14ac:dyDescent="0.3">
      <c r="A99" s="5" t="s">
        <v>113</v>
      </c>
      <c r="B99" s="5">
        <v>111</v>
      </c>
      <c r="C99" s="5">
        <v>2449</v>
      </c>
      <c r="D99" s="7">
        <v>1.001533880718217E-2</v>
      </c>
    </row>
    <row r="100" spans="1:4" x14ac:dyDescent="0.3">
      <c r="A100" s="5" t="s">
        <v>114</v>
      </c>
      <c r="B100" s="5">
        <v>92</v>
      </c>
      <c r="C100" s="5">
        <v>2014</v>
      </c>
      <c r="D100" s="7">
        <v>8.301001533880718E-3</v>
      </c>
    </row>
    <row r="101" spans="1:4" x14ac:dyDescent="0.3">
      <c r="A101" s="5" t="s">
        <v>115</v>
      </c>
      <c r="B101" s="5">
        <v>132</v>
      </c>
      <c r="C101" s="5">
        <v>2898</v>
      </c>
      <c r="D101" s="7">
        <v>1.1910132635567987E-2</v>
      </c>
    </row>
    <row r="102" spans="1:4" x14ac:dyDescent="0.3">
      <c r="A102" s="5" t="s">
        <v>116</v>
      </c>
      <c r="B102" s="5">
        <v>107</v>
      </c>
      <c r="C102" s="5">
        <v>2364</v>
      </c>
      <c r="D102" s="7">
        <v>9.6544256970134447E-3</v>
      </c>
    </row>
    <row r="103" spans="1:4" x14ac:dyDescent="0.3">
      <c r="A103" s="5" t="s">
        <v>13</v>
      </c>
      <c r="B103" s="5">
        <v>90</v>
      </c>
      <c r="C103" s="5">
        <v>1970</v>
      </c>
      <c r="D103" s="7">
        <v>8.1205449787963551E-3</v>
      </c>
    </row>
    <row r="104" spans="1:4" x14ac:dyDescent="0.3">
      <c r="A104" s="5" t="s">
        <v>70</v>
      </c>
      <c r="B104" s="5">
        <v>90</v>
      </c>
      <c r="C104" s="5">
        <v>1970</v>
      </c>
      <c r="D104" s="7">
        <v>8.1205449787963551E-3</v>
      </c>
    </row>
    <row r="105" spans="1:4" x14ac:dyDescent="0.3">
      <c r="A105" s="5" t="s">
        <v>126</v>
      </c>
      <c r="B105" s="5">
        <v>2538</v>
      </c>
      <c r="C105" s="5">
        <v>63056</v>
      </c>
      <c r="D105" s="7">
        <v>0.2289993684020572</v>
      </c>
    </row>
    <row r="106" spans="1:4" x14ac:dyDescent="0.3">
      <c r="A106" s="5" t="s">
        <v>14</v>
      </c>
      <c r="B106" s="5">
        <v>614</v>
      </c>
      <c r="C106" s="5">
        <v>15418</v>
      </c>
      <c r="D106" s="7">
        <v>5.5400162410899574E-2</v>
      </c>
    </row>
    <row r="107" spans="1:4" x14ac:dyDescent="0.3">
      <c r="A107" s="5" t="s">
        <v>78</v>
      </c>
      <c r="B107" s="5">
        <v>6</v>
      </c>
      <c r="C107" s="5">
        <v>126</v>
      </c>
      <c r="D107" s="7">
        <v>5.4136966525309034E-4</v>
      </c>
    </row>
    <row r="108" spans="1:4" x14ac:dyDescent="0.3">
      <c r="A108" s="5" t="s">
        <v>79</v>
      </c>
      <c r="B108" s="5">
        <v>168</v>
      </c>
      <c r="C108" s="5">
        <v>4192</v>
      </c>
      <c r="D108" s="7">
        <v>1.515835062708653E-2</v>
      </c>
    </row>
    <row r="109" spans="1:4" x14ac:dyDescent="0.3">
      <c r="A109" s="5" t="s">
        <v>81</v>
      </c>
      <c r="B109" s="5">
        <v>157</v>
      </c>
      <c r="C109" s="5">
        <v>4022</v>
      </c>
      <c r="D109" s="7">
        <v>1.416583957412253E-2</v>
      </c>
    </row>
    <row r="110" spans="1:4" x14ac:dyDescent="0.3">
      <c r="A110" s="5" t="s">
        <v>82</v>
      </c>
      <c r="B110" s="5">
        <v>170</v>
      </c>
      <c r="C110" s="5">
        <v>4245</v>
      </c>
      <c r="D110" s="7">
        <v>1.5338807182170892E-2</v>
      </c>
    </row>
    <row r="111" spans="1:4" x14ac:dyDescent="0.3">
      <c r="A111" s="5" t="s">
        <v>9</v>
      </c>
      <c r="B111" s="5">
        <v>841</v>
      </c>
      <c r="C111" s="5">
        <v>21335</v>
      </c>
      <c r="D111" s="7">
        <v>7.5881981412974822E-2</v>
      </c>
    </row>
    <row r="112" spans="1:4" x14ac:dyDescent="0.3">
      <c r="A112" s="5" t="s">
        <v>16</v>
      </c>
      <c r="B112" s="5">
        <v>111</v>
      </c>
      <c r="C112" s="5">
        <v>2785</v>
      </c>
      <c r="D112" s="7">
        <v>1.001533880718217E-2</v>
      </c>
    </row>
    <row r="113" spans="1:4" x14ac:dyDescent="0.3">
      <c r="A113" s="5" t="s">
        <v>17</v>
      </c>
      <c r="B113" s="5">
        <v>97</v>
      </c>
      <c r="C113" s="5">
        <v>2421</v>
      </c>
      <c r="D113" s="7">
        <v>8.7521429215916269E-3</v>
      </c>
    </row>
    <row r="114" spans="1:4" x14ac:dyDescent="0.3">
      <c r="A114" s="5" t="s">
        <v>18</v>
      </c>
      <c r="B114" s="5">
        <v>151</v>
      </c>
      <c r="C114" s="5">
        <v>3764</v>
      </c>
      <c r="D114" s="7">
        <v>1.362446990886944E-2</v>
      </c>
    </row>
    <row r="115" spans="1:4" x14ac:dyDescent="0.3">
      <c r="A115" s="5" t="s">
        <v>19</v>
      </c>
      <c r="B115" s="5">
        <v>116</v>
      </c>
      <c r="C115" s="5">
        <v>2893</v>
      </c>
      <c r="D115" s="7">
        <v>1.0466480194893079E-2</v>
      </c>
    </row>
    <row r="116" spans="1:4" x14ac:dyDescent="0.3">
      <c r="A116" s="5" t="s">
        <v>20</v>
      </c>
      <c r="B116" s="5">
        <v>195</v>
      </c>
      <c r="C116" s="5">
        <v>4864</v>
      </c>
      <c r="D116" s="7">
        <v>1.7594514120725435E-2</v>
      </c>
    </row>
    <row r="117" spans="1:4" x14ac:dyDescent="0.3">
      <c r="A117" s="5" t="s">
        <v>21</v>
      </c>
      <c r="B117" s="5">
        <v>171</v>
      </c>
      <c r="C117" s="5">
        <v>4608</v>
      </c>
      <c r="D117" s="7">
        <v>1.5429035459713074E-2</v>
      </c>
    </row>
    <row r="118" spans="1:4" x14ac:dyDescent="0.3">
      <c r="A118" s="5" t="s">
        <v>11</v>
      </c>
      <c r="B118" s="5">
        <v>267</v>
      </c>
      <c r="C118" s="5">
        <v>7178</v>
      </c>
      <c r="D118" s="7">
        <v>2.4090950103762519E-2</v>
      </c>
    </row>
    <row r="119" spans="1:4" x14ac:dyDescent="0.3">
      <c r="A119" s="5" t="s">
        <v>41</v>
      </c>
      <c r="B119" s="5">
        <v>8</v>
      </c>
      <c r="C119" s="5">
        <v>184</v>
      </c>
      <c r="D119" s="7">
        <v>7.2182622033745375E-4</v>
      </c>
    </row>
    <row r="120" spans="1:4" x14ac:dyDescent="0.3">
      <c r="A120" s="5" t="s">
        <v>42</v>
      </c>
      <c r="B120" s="5">
        <v>103</v>
      </c>
      <c r="C120" s="5">
        <v>2792</v>
      </c>
      <c r="D120" s="7">
        <v>9.2935125868447172E-3</v>
      </c>
    </row>
    <row r="121" spans="1:4" x14ac:dyDescent="0.3">
      <c r="A121" s="5" t="s">
        <v>43</v>
      </c>
      <c r="B121" s="5">
        <v>156</v>
      </c>
      <c r="C121" s="5">
        <v>4202</v>
      </c>
      <c r="D121" s="7">
        <v>1.4075611296580349E-2</v>
      </c>
    </row>
    <row r="122" spans="1:4" x14ac:dyDescent="0.3">
      <c r="A122" s="5" t="s">
        <v>12</v>
      </c>
      <c r="B122" s="5">
        <v>21</v>
      </c>
      <c r="C122" s="5">
        <v>553</v>
      </c>
      <c r="D122" s="7">
        <v>1.8947938283858162E-3</v>
      </c>
    </row>
    <row r="123" spans="1:4" x14ac:dyDescent="0.3">
      <c r="A123" s="5" t="s">
        <v>55</v>
      </c>
      <c r="B123" s="5">
        <v>6</v>
      </c>
      <c r="C123" s="5">
        <v>152</v>
      </c>
      <c r="D123" s="7">
        <v>5.4136966525309034E-4</v>
      </c>
    </row>
    <row r="124" spans="1:4" x14ac:dyDescent="0.3">
      <c r="A124" s="5" t="s">
        <v>56</v>
      </c>
      <c r="B124" s="5">
        <v>15</v>
      </c>
      <c r="C124" s="5">
        <v>401</v>
      </c>
      <c r="D124" s="7">
        <v>1.3534241631327259E-3</v>
      </c>
    </row>
    <row r="125" spans="1:4" x14ac:dyDescent="0.3">
      <c r="A125" s="5" t="s">
        <v>15</v>
      </c>
      <c r="B125" s="5">
        <v>572</v>
      </c>
      <c r="C125" s="5">
        <v>13676</v>
      </c>
      <c r="D125" s="7">
        <v>5.1610574754127947E-2</v>
      </c>
    </row>
    <row r="126" spans="1:4" x14ac:dyDescent="0.3">
      <c r="A126" s="5" t="s">
        <v>94</v>
      </c>
      <c r="B126" s="5">
        <v>102</v>
      </c>
      <c r="C126" s="5">
        <v>2243</v>
      </c>
      <c r="D126" s="7">
        <v>9.2032843093025358E-3</v>
      </c>
    </row>
    <row r="127" spans="1:4" x14ac:dyDescent="0.3">
      <c r="A127" s="5" t="s">
        <v>95</v>
      </c>
      <c r="B127" s="5">
        <v>113</v>
      </c>
      <c r="C127" s="5">
        <v>2494</v>
      </c>
      <c r="D127" s="7">
        <v>1.0195795362266535E-2</v>
      </c>
    </row>
    <row r="128" spans="1:4" x14ac:dyDescent="0.3">
      <c r="A128" s="5" t="s">
        <v>96</v>
      </c>
      <c r="B128" s="5">
        <v>4</v>
      </c>
      <c r="C128" s="5">
        <v>112</v>
      </c>
      <c r="D128" s="7">
        <v>3.6091311016872688E-4</v>
      </c>
    </row>
    <row r="129" spans="1:4" x14ac:dyDescent="0.3">
      <c r="A129" s="5" t="s">
        <v>80</v>
      </c>
      <c r="B129" s="5">
        <v>113</v>
      </c>
      <c r="C129" s="5">
        <v>2833</v>
      </c>
      <c r="D129" s="7">
        <v>1.0195795362266535E-2</v>
      </c>
    </row>
    <row r="130" spans="1:4" x14ac:dyDescent="0.3">
      <c r="A130" s="5" t="s">
        <v>97</v>
      </c>
      <c r="B130" s="5">
        <v>115</v>
      </c>
      <c r="C130" s="5">
        <v>2872</v>
      </c>
      <c r="D130" s="7">
        <v>1.0376251917350898E-2</v>
      </c>
    </row>
    <row r="131" spans="1:4" x14ac:dyDescent="0.3">
      <c r="A131" s="5" t="s">
        <v>98</v>
      </c>
      <c r="B131" s="5">
        <v>121</v>
      </c>
      <c r="C131" s="5">
        <v>3030</v>
      </c>
      <c r="D131" s="7">
        <v>1.0917621582603988E-2</v>
      </c>
    </row>
    <row r="132" spans="1:4" x14ac:dyDescent="0.3">
      <c r="A132" s="5" t="s">
        <v>99</v>
      </c>
      <c r="B132" s="5">
        <v>4</v>
      </c>
      <c r="C132" s="5">
        <v>92</v>
      </c>
      <c r="D132" s="7">
        <v>3.6091311016872688E-4</v>
      </c>
    </row>
    <row r="133" spans="1:4" x14ac:dyDescent="0.3">
      <c r="A133" s="5" t="s">
        <v>13</v>
      </c>
      <c r="B133" s="5">
        <v>223</v>
      </c>
      <c r="C133" s="5">
        <v>4896</v>
      </c>
      <c r="D133" s="7">
        <v>2.0120905891906522E-2</v>
      </c>
    </row>
    <row r="134" spans="1:4" x14ac:dyDescent="0.3">
      <c r="A134" s="5" t="s">
        <v>67</v>
      </c>
      <c r="B134" s="5">
        <v>82</v>
      </c>
      <c r="C134" s="5">
        <v>1813</v>
      </c>
      <c r="D134" s="7">
        <v>7.398718758458901E-3</v>
      </c>
    </row>
    <row r="135" spans="1:4" x14ac:dyDescent="0.3">
      <c r="A135" s="5" t="s">
        <v>68</v>
      </c>
      <c r="B135" s="5">
        <v>72</v>
      </c>
      <c r="C135" s="5">
        <v>1574</v>
      </c>
      <c r="D135" s="7">
        <v>6.4964359830370841E-3</v>
      </c>
    </row>
    <row r="136" spans="1:4" x14ac:dyDescent="0.3">
      <c r="A136" s="5" t="s">
        <v>69</v>
      </c>
      <c r="B136" s="5">
        <v>69</v>
      </c>
      <c r="C136" s="5">
        <v>1509</v>
      </c>
      <c r="D136" s="7">
        <v>6.2257511504105389E-3</v>
      </c>
    </row>
    <row r="137" spans="1:4" x14ac:dyDescent="0.3">
      <c r="A137" s="5" t="s">
        <v>131</v>
      </c>
      <c r="B137" s="5">
        <v>11083</v>
      </c>
      <c r="C137" s="5">
        <v>261909</v>
      </c>
      <c r="D137" s="7">
        <v>1</v>
      </c>
    </row>
  </sheetData>
  <autoFilter ref="A3:A137" xr:uid="{337CF492-7AF4-4802-9303-537B385A2537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5A1E-05AC-4F8E-B0E6-6B57936B30E3}">
  <dimension ref="A3:F12"/>
  <sheetViews>
    <sheetView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.6640625" bestFit="1" customWidth="1"/>
    <col min="4" max="4" width="5" bestFit="1" customWidth="1"/>
    <col min="5" max="5" width="5.33203125" bestFit="1" customWidth="1"/>
    <col min="6" max="6" width="10.77734375" bestFit="1" customWidth="1"/>
    <col min="7" max="7" width="7.5546875" bestFit="1" customWidth="1"/>
    <col min="8" max="8" width="12.6640625" bestFit="1" customWidth="1"/>
    <col min="9" max="9" width="4.33203125" bestFit="1" customWidth="1"/>
    <col min="10" max="10" width="5.33203125" bestFit="1" customWidth="1"/>
    <col min="11" max="11" width="10.21875" bestFit="1" customWidth="1"/>
    <col min="12" max="12" width="9" bestFit="1" customWidth="1"/>
    <col min="13" max="13" width="11.6640625" bestFit="1" customWidth="1"/>
    <col min="14" max="14" width="10.77734375" bestFit="1" customWidth="1"/>
    <col min="15" max="15" width="10.21875" bestFit="1" customWidth="1"/>
    <col min="16" max="16" width="7.6640625" bestFit="1" customWidth="1"/>
    <col min="17" max="17" width="10.21875" bestFit="1" customWidth="1"/>
    <col min="18" max="18" width="7.6640625" bestFit="1" customWidth="1"/>
    <col min="19" max="19" width="5.5546875" bestFit="1" customWidth="1"/>
    <col min="20" max="20" width="7.6640625" bestFit="1" customWidth="1"/>
    <col min="21" max="21" width="5.5546875" bestFit="1" customWidth="1"/>
    <col min="22" max="22" width="7.6640625" bestFit="1" customWidth="1"/>
    <col min="23" max="23" width="5.5546875" bestFit="1" customWidth="1"/>
    <col min="24" max="24" width="7.6640625" bestFit="1" customWidth="1"/>
    <col min="25" max="25" width="5.5546875" bestFit="1" customWidth="1"/>
    <col min="26" max="26" width="7.6640625" bestFit="1" customWidth="1"/>
    <col min="27" max="27" width="10.21875" bestFit="1" customWidth="1"/>
    <col min="28" max="28" width="7.6640625" bestFit="1" customWidth="1"/>
    <col min="29" max="29" width="5.5546875" bestFit="1" customWidth="1"/>
    <col min="30" max="30" width="7.6640625" bestFit="1" customWidth="1"/>
    <col min="31" max="31" width="5.5546875" bestFit="1" customWidth="1"/>
    <col min="32" max="32" width="7.6640625" bestFit="1" customWidth="1"/>
    <col min="33" max="33" width="5.5546875" bestFit="1" customWidth="1"/>
    <col min="34" max="34" width="7.6640625" bestFit="1" customWidth="1"/>
    <col min="35" max="35" width="5.5546875" bestFit="1" customWidth="1"/>
    <col min="36" max="36" width="7.6640625" bestFit="1" customWidth="1"/>
    <col min="37" max="37" width="10.21875" bestFit="1" customWidth="1"/>
    <col min="38" max="38" width="7.6640625" bestFit="1" customWidth="1"/>
    <col min="39" max="39" width="10.21875" bestFit="1" customWidth="1"/>
    <col min="40" max="40" width="7.6640625" bestFit="1" customWidth="1"/>
    <col min="41" max="41" width="10.21875" bestFit="1" customWidth="1"/>
    <col min="42" max="42" width="7.6640625" bestFit="1" customWidth="1"/>
    <col min="43" max="43" width="5.5546875" bestFit="1" customWidth="1"/>
    <col min="44" max="44" width="7.6640625" bestFit="1" customWidth="1"/>
    <col min="45" max="45" width="10.21875" bestFit="1" customWidth="1"/>
    <col min="46" max="46" width="7.6640625" bestFit="1" customWidth="1"/>
    <col min="47" max="47" width="5.5546875" bestFit="1" customWidth="1"/>
    <col min="48" max="48" width="7.6640625" bestFit="1" customWidth="1"/>
    <col min="49" max="49" width="10.21875" bestFit="1" customWidth="1"/>
    <col min="50" max="50" width="7.6640625" bestFit="1" customWidth="1"/>
    <col min="51" max="51" width="10.21875" bestFit="1" customWidth="1"/>
    <col min="52" max="52" width="7.6640625" bestFit="1" customWidth="1"/>
    <col min="53" max="53" width="10.21875" bestFit="1" customWidth="1"/>
    <col min="54" max="54" width="7.6640625" bestFit="1" customWidth="1"/>
    <col min="55" max="55" width="5.5546875" bestFit="1" customWidth="1"/>
    <col min="56" max="56" width="7.6640625" bestFit="1" customWidth="1"/>
    <col min="57" max="57" width="10.21875" bestFit="1" customWidth="1"/>
    <col min="58" max="58" width="7.6640625" bestFit="1" customWidth="1"/>
    <col min="59" max="59" width="10.21875" bestFit="1" customWidth="1"/>
    <col min="60" max="60" width="7.6640625" bestFit="1" customWidth="1"/>
    <col min="61" max="61" width="10.21875" bestFit="1" customWidth="1"/>
    <col min="62" max="62" width="5.5546875" bestFit="1" customWidth="1"/>
    <col min="63" max="63" width="7.6640625" bestFit="1" customWidth="1"/>
    <col min="64" max="64" width="5.5546875" bestFit="1" customWidth="1"/>
    <col min="65" max="65" width="7.6640625" bestFit="1" customWidth="1"/>
    <col min="66" max="66" width="5.5546875" bestFit="1" customWidth="1"/>
    <col min="67" max="67" width="7.6640625" bestFit="1" customWidth="1"/>
    <col min="68" max="68" width="6" bestFit="1" customWidth="1"/>
    <col min="69" max="69" width="8.6640625" bestFit="1" customWidth="1"/>
    <col min="70" max="70" width="6" bestFit="1" customWidth="1"/>
    <col min="71" max="71" width="8.6640625" bestFit="1" customWidth="1"/>
    <col min="72" max="72" width="10.21875" bestFit="1" customWidth="1"/>
    <col min="73" max="73" width="8.6640625" bestFit="1" customWidth="1"/>
    <col min="74" max="74" width="6" bestFit="1" customWidth="1"/>
    <col min="75" max="75" width="8.6640625" bestFit="1" customWidth="1"/>
    <col min="76" max="76" width="6" bestFit="1" customWidth="1"/>
    <col min="77" max="77" width="8.6640625" bestFit="1" customWidth="1"/>
    <col min="78" max="78" width="10.21875" bestFit="1" customWidth="1"/>
    <col min="79" max="79" width="8.6640625" bestFit="1" customWidth="1"/>
    <col min="80" max="80" width="6" bestFit="1" customWidth="1"/>
    <col min="81" max="81" width="8.6640625" bestFit="1" customWidth="1"/>
    <col min="82" max="82" width="10.21875" bestFit="1" customWidth="1"/>
    <col min="83" max="83" width="8.6640625" bestFit="1" customWidth="1"/>
    <col min="84" max="84" width="10.21875" bestFit="1" customWidth="1"/>
    <col min="85" max="85" width="5.5546875" bestFit="1" customWidth="1"/>
    <col min="86" max="86" width="8.6640625" bestFit="1" customWidth="1"/>
    <col min="87" max="87" width="10.21875" bestFit="1" customWidth="1"/>
    <col min="88" max="88" width="5.5546875" bestFit="1" customWidth="1"/>
    <col min="89" max="89" width="8.6640625" bestFit="1" customWidth="1"/>
    <col min="90" max="90" width="6" bestFit="1" customWidth="1"/>
    <col min="91" max="91" width="8.6640625" bestFit="1" customWidth="1"/>
    <col min="92" max="92" width="6" bestFit="1" customWidth="1"/>
    <col min="93" max="93" width="8.6640625" bestFit="1" customWidth="1"/>
    <col min="94" max="94" width="6" bestFit="1" customWidth="1"/>
    <col min="95" max="95" width="8.6640625" bestFit="1" customWidth="1"/>
    <col min="96" max="96" width="6" bestFit="1" customWidth="1"/>
    <col min="97" max="97" width="8.6640625" bestFit="1" customWidth="1"/>
    <col min="98" max="98" width="6" bestFit="1" customWidth="1"/>
    <col min="99" max="99" width="8.6640625" bestFit="1" customWidth="1"/>
    <col min="100" max="100" width="6" bestFit="1" customWidth="1"/>
    <col min="101" max="101" width="8.6640625" bestFit="1" customWidth="1"/>
    <col min="102" max="102" width="6" bestFit="1" customWidth="1"/>
    <col min="103" max="103" width="8.6640625" bestFit="1" customWidth="1"/>
    <col min="104" max="104" width="6" bestFit="1" customWidth="1"/>
    <col min="105" max="105" width="8.6640625" bestFit="1" customWidth="1"/>
    <col min="106" max="106" width="6" bestFit="1" customWidth="1"/>
    <col min="107" max="107" width="8.6640625" bestFit="1" customWidth="1"/>
    <col min="108" max="108" width="10.21875" bestFit="1" customWidth="1"/>
    <col min="109" max="109" width="5.5546875" bestFit="1" customWidth="1"/>
    <col min="110" max="110" width="8.6640625" bestFit="1" customWidth="1"/>
    <col min="111" max="111" width="6" bestFit="1" customWidth="1"/>
    <col min="112" max="112" width="8.6640625" bestFit="1" customWidth="1"/>
    <col min="113" max="113" width="10.21875" bestFit="1" customWidth="1"/>
    <col min="114" max="114" width="8.6640625" bestFit="1" customWidth="1"/>
    <col min="115" max="115" width="6" bestFit="1" customWidth="1"/>
    <col min="116" max="116" width="8.6640625" bestFit="1" customWidth="1"/>
    <col min="117" max="117" width="10.21875" bestFit="1" customWidth="1"/>
    <col min="118" max="118" width="8.6640625" bestFit="1" customWidth="1"/>
    <col min="119" max="119" width="6" bestFit="1" customWidth="1"/>
    <col min="120" max="120" width="8.6640625" bestFit="1" customWidth="1"/>
    <col min="121" max="121" width="10.21875" bestFit="1" customWidth="1"/>
    <col min="122" max="122" width="8.6640625" bestFit="1" customWidth="1"/>
    <col min="123" max="123" width="10.21875" bestFit="1" customWidth="1"/>
    <col min="124" max="124" width="8.6640625" bestFit="1" customWidth="1"/>
    <col min="125" max="125" width="6" bestFit="1" customWidth="1"/>
    <col min="126" max="126" width="8.6640625" bestFit="1" customWidth="1"/>
    <col min="127" max="127" width="10.21875" bestFit="1" customWidth="1"/>
    <col min="128" max="128" width="8.6640625" bestFit="1" customWidth="1"/>
    <col min="129" max="129" width="10.21875" bestFit="1" customWidth="1"/>
    <col min="130" max="130" width="8.6640625" bestFit="1" customWidth="1"/>
    <col min="131" max="131" width="10.21875" bestFit="1" customWidth="1"/>
    <col min="132" max="132" width="8.6640625" bestFit="1" customWidth="1"/>
    <col min="133" max="133" width="10.21875" bestFit="1" customWidth="1"/>
    <col min="134" max="134" width="8.6640625" bestFit="1" customWidth="1"/>
    <col min="135" max="135" width="10.21875" bestFit="1" customWidth="1"/>
    <col min="136" max="136" width="8.6640625" bestFit="1" customWidth="1"/>
    <col min="137" max="137" width="6" bestFit="1" customWidth="1"/>
    <col min="138" max="138" width="8.6640625" bestFit="1" customWidth="1"/>
    <col min="139" max="139" width="10.21875" bestFit="1" customWidth="1"/>
    <col min="140" max="140" width="8.6640625" bestFit="1" customWidth="1"/>
    <col min="141" max="141" width="10.21875" bestFit="1" customWidth="1"/>
    <col min="142" max="142" width="5.5546875" bestFit="1" customWidth="1"/>
    <col min="143" max="143" width="8.6640625" bestFit="1" customWidth="1"/>
    <col min="144" max="144" width="6" bestFit="1" customWidth="1"/>
    <col min="145" max="145" width="8.6640625" bestFit="1" customWidth="1"/>
    <col min="146" max="146" width="6" bestFit="1" customWidth="1"/>
    <col min="147" max="147" width="8.6640625" bestFit="1" customWidth="1"/>
    <col min="148" max="148" width="10.21875" bestFit="1" customWidth="1"/>
    <col min="149" max="149" width="5.5546875" bestFit="1" customWidth="1"/>
    <col min="150" max="150" width="8.6640625" bestFit="1" customWidth="1"/>
    <col min="151" max="151" width="10.21875" bestFit="1" customWidth="1"/>
    <col min="152" max="152" width="8.6640625" bestFit="1" customWidth="1"/>
    <col min="153" max="153" width="10.21875" bestFit="1" customWidth="1"/>
    <col min="154" max="154" width="8.6640625" bestFit="1" customWidth="1"/>
    <col min="155" max="155" width="10.21875" bestFit="1" customWidth="1"/>
    <col min="156" max="156" width="8.6640625" bestFit="1" customWidth="1"/>
    <col min="157" max="157" width="10.21875" bestFit="1" customWidth="1"/>
    <col min="158" max="158" width="8.6640625" bestFit="1" customWidth="1"/>
    <col min="159" max="159" width="10.21875" bestFit="1" customWidth="1"/>
    <col min="160" max="160" width="8.6640625" bestFit="1" customWidth="1"/>
    <col min="161" max="161" width="10.21875" bestFit="1" customWidth="1"/>
    <col min="162" max="162" width="8.6640625" bestFit="1" customWidth="1"/>
    <col min="163" max="163" width="10.21875" bestFit="1" customWidth="1"/>
    <col min="164" max="164" width="8.6640625" bestFit="1" customWidth="1"/>
    <col min="165" max="165" width="6" bestFit="1" customWidth="1"/>
    <col min="166" max="166" width="8.6640625" bestFit="1" customWidth="1"/>
    <col min="167" max="167" width="10.21875" bestFit="1" customWidth="1"/>
    <col min="168" max="168" width="8.6640625" bestFit="1" customWidth="1"/>
    <col min="169" max="169" width="9" bestFit="1" customWidth="1"/>
    <col min="170" max="170" width="11.6640625" bestFit="1" customWidth="1"/>
    <col min="171" max="171" width="10.77734375" bestFit="1" customWidth="1"/>
  </cols>
  <sheetData>
    <row r="3" spans="1:6" x14ac:dyDescent="0.3">
      <c r="A3" s="2" t="s">
        <v>134</v>
      </c>
      <c r="B3" s="2" t="s">
        <v>132</v>
      </c>
    </row>
    <row r="4" spans="1:6" x14ac:dyDescent="0.3">
      <c r="A4" s="2" t="s">
        <v>130</v>
      </c>
      <c r="B4" t="s">
        <v>127</v>
      </c>
      <c r="C4" t="s">
        <v>129</v>
      </c>
      <c r="D4" t="s">
        <v>128</v>
      </c>
      <c r="E4" t="s">
        <v>126</v>
      </c>
      <c r="F4" t="s">
        <v>131</v>
      </c>
    </row>
    <row r="5" spans="1:6" x14ac:dyDescent="0.3">
      <c r="A5" s="3" t="s">
        <v>14</v>
      </c>
      <c r="B5" s="6">
        <v>865</v>
      </c>
      <c r="C5" s="6"/>
      <c r="D5" s="6">
        <v>743</v>
      </c>
      <c r="E5" s="6">
        <v>501</v>
      </c>
      <c r="F5" s="6">
        <v>2109</v>
      </c>
    </row>
    <row r="6" spans="1:6" x14ac:dyDescent="0.3">
      <c r="A6" s="3" t="s">
        <v>9</v>
      </c>
      <c r="B6" s="6">
        <v>784</v>
      </c>
      <c r="C6" s="6"/>
      <c r="D6" s="6">
        <v>186</v>
      </c>
      <c r="E6" s="6">
        <v>841</v>
      </c>
      <c r="F6" s="6">
        <v>1811</v>
      </c>
    </row>
    <row r="7" spans="1:6" x14ac:dyDescent="0.3">
      <c r="A7" s="3" t="s">
        <v>10</v>
      </c>
      <c r="B7" s="6">
        <v>157</v>
      </c>
      <c r="C7" s="6"/>
      <c r="D7" s="6">
        <v>996</v>
      </c>
      <c r="E7" s="6"/>
      <c r="F7" s="6">
        <v>1153</v>
      </c>
    </row>
    <row r="8" spans="1:6" x14ac:dyDescent="0.3">
      <c r="A8" s="3" t="s">
        <v>11</v>
      </c>
      <c r="B8" s="6">
        <v>976</v>
      </c>
      <c r="C8" s="6"/>
      <c r="D8" s="6"/>
      <c r="E8" s="6">
        <v>267</v>
      </c>
      <c r="F8" s="6">
        <v>1243</v>
      </c>
    </row>
    <row r="9" spans="1:6" x14ac:dyDescent="0.3">
      <c r="A9" s="3" t="s">
        <v>12</v>
      </c>
      <c r="B9" s="6">
        <v>4</v>
      </c>
      <c r="C9" s="6">
        <v>204</v>
      </c>
      <c r="D9" s="6">
        <v>890</v>
      </c>
      <c r="E9" s="6">
        <v>21</v>
      </c>
      <c r="F9" s="6">
        <v>1119</v>
      </c>
    </row>
    <row r="10" spans="1:6" x14ac:dyDescent="0.3">
      <c r="A10" s="3" t="s">
        <v>15</v>
      </c>
      <c r="B10" s="6">
        <v>1032</v>
      </c>
      <c r="C10" s="6">
        <v>589</v>
      </c>
      <c r="D10" s="6">
        <v>639</v>
      </c>
      <c r="E10" s="6">
        <v>572</v>
      </c>
      <c r="F10" s="6">
        <v>2832</v>
      </c>
    </row>
    <row r="11" spans="1:6" x14ac:dyDescent="0.3">
      <c r="A11" s="3" t="s">
        <v>13</v>
      </c>
      <c r="B11" s="6"/>
      <c r="C11" s="6">
        <v>390</v>
      </c>
      <c r="D11" s="6">
        <v>90</v>
      </c>
      <c r="E11" s="6">
        <v>223</v>
      </c>
      <c r="F11" s="6">
        <v>703</v>
      </c>
    </row>
    <row r="12" spans="1:6" x14ac:dyDescent="0.3">
      <c r="A12" s="3" t="s">
        <v>131</v>
      </c>
      <c r="B12" s="6">
        <v>3818</v>
      </c>
      <c r="C12" s="6">
        <v>1183</v>
      </c>
      <c r="D12" s="6">
        <v>3544</v>
      </c>
      <c r="E12" s="6">
        <v>2425</v>
      </c>
      <c r="F12" s="6">
        <v>10970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04CA-6FAB-47CE-A6D1-7EEDF93AD353}">
  <dimension ref="A3:L121"/>
  <sheetViews>
    <sheetView tabSelected="1" workbookViewId="0">
      <selection activeCell="P12" sqref="P12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3" width="12.6640625" bestFit="1" customWidth="1"/>
    <col min="4" max="5" width="7" bestFit="1" customWidth="1"/>
    <col min="6" max="6" width="15" bestFit="1" customWidth="1"/>
    <col min="7" max="7" width="7.5546875" bestFit="1" customWidth="1"/>
    <col min="8" max="8" width="12.6640625" bestFit="1" customWidth="1"/>
    <col min="9" max="10" width="7" bestFit="1" customWidth="1"/>
    <col min="11" max="11" width="10.21875" bestFit="1" customWidth="1"/>
    <col min="12" max="12" width="10.77734375" bestFit="1" customWidth="1"/>
    <col min="13" max="13" width="11.6640625" bestFit="1" customWidth="1"/>
    <col min="14" max="14" width="10.77734375" bestFit="1" customWidth="1"/>
    <col min="15" max="15" width="10.21875" bestFit="1" customWidth="1"/>
    <col min="16" max="16" width="7.6640625" bestFit="1" customWidth="1"/>
    <col min="17" max="17" width="10.21875" bestFit="1" customWidth="1"/>
    <col min="18" max="18" width="7.6640625" bestFit="1" customWidth="1"/>
    <col min="19" max="19" width="5.5546875" bestFit="1" customWidth="1"/>
    <col min="20" max="20" width="7.6640625" bestFit="1" customWidth="1"/>
    <col min="21" max="21" width="5.5546875" bestFit="1" customWidth="1"/>
    <col min="22" max="22" width="7.6640625" bestFit="1" customWidth="1"/>
    <col min="23" max="23" width="5.5546875" bestFit="1" customWidth="1"/>
    <col min="24" max="24" width="7.6640625" bestFit="1" customWidth="1"/>
    <col min="25" max="25" width="5.5546875" bestFit="1" customWidth="1"/>
    <col min="26" max="26" width="7.6640625" bestFit="1" customWidth="1"/>
    <col min="27" max="27" width="10.21875" bestFit="1" customWidth="1"/>
    <col min="28" max="28" width="7.6640625" bestFit="1" customWidth="1"/>
    <col min="29" max="29" width="5.5546875" bestFit="1" customWidth="1"/>
    <col min="30" max="30" width="7.6640625" bestFit="1" customWidth="1"/>
    <col min="31" max="31" width="5.5546875" bestFit="1" customWidth="1"/>
    <col min="32" max="32" width="7.6640625" bestFit="1" customWidth="1"/>
    <col min="33" max="33" width="5.5546875" bestFit="1" customWidth="1"/>
    <col min="34" max="34" width="7.6640625" bestFit="1" customWidth="1"/>
    <col min="35" max="35" width="5.5546875" bestFit="1" customWidth="1"/>
    <col min="36" max="36" width="7.6640625" bestFit="1" customWidth="1"/>
    <col min="37" max="37" width="10.21875" bestFit="1" customWidth="1"/>
    <col min="38" max="38" width="7.6640625" bestFit="1" customWidth="1"/>
    <col min="39" max="39" width="10.21875" bestFit="1" customWidth="1"/>
    <col min="40" max="40" width="7.6640625" bestFit="1" customWidth="1"/>
    <col min="41" max="41" width="10.21875" bestFit="1" customWidth="1"/>
    <col min="42" max="42" width="7.6640625" bestFit="1" customWidth="1"/>
    <col min="43" max="43" width="5.5546875" bestFit="1" customWidth="1"/>
    <col min="44" max="44" width="7.6640625" bestFit="1" customWidth="1"/>
    <col min="45" max="45" width="10.21875" bestFit="1" customWidth="1"/>
    <col min="46" max="46" width="7.6640625" bestFit="1" customWidth="1"/>
    <col min="47" max="47" width="5.5546875" bestFit="1" customWidth="1"/>
    <col min="48" max="48" width="7.6640625" bestFit="1" customWidth="1"/>
    <col min="49" max="49" width="10.21875" bestFit="1" customWidth="1"/>
    <col min="50" max="50" width="7.6640625" bestFit="1" customWidth="1"/>
    <col min="51" max="51" width="10.21875" bestFit="1" customWidth="1"/>
    <col min="52" max="52" width="7.6640625" bestFit="1" customWidth="1"/>
    <col min="53" max="53" width="10.21875" bestFit="1" customWidth="1"/>
    <col min="54" max="54" width="7.6640625" bestFit="1" customWidth="1"/>
    <col min="55" max="55" width="5.5546875" bestFit="1" customWidth="1"/>
    <col min="56" max="56" width="7.6640625" bestFit="1" customWidth="1"/>
    <col min="57" max="57" width="10.21875" bestFit="1" customWidth="1"/>
    <col min="58" max="58" width="7.6640625" bestFit="1" customWidth="1"/>
    <col min="59" max="59" width="10.21875" bestFit="1" customWidth="1"/>
    <col min="60" max="60" width="7.6640625" bestFit="1" customWidth="1"/>
    <col min="61" max="61" width="10.21875" bestFit="1" customWidth="1"/>
    <col min="62" max="62" width="5.5546875" bestFit="1" customWidth="1"/>
    <col min="63" max="63" width="7.6640625" bestFit="1" customWidth="1"/>
    <col min="64" max="64" width="5.5546875" bestFit="1" customWidth="1"/>
    <col min="65" max="65" width="7.6640625" bestFit="1" customWidth="1"/>
    <col min="66" max="66" width="5.5546875" bestFit="1" customWidth="1"/>
    <col min="67" max="67" width="7.6640625" bestFit="1" customWidth="1"/>
    <col min="68" max="68" width="6" bestFit="1" customWidth="1"/>
    <col min="69" max="69" width="8.6640625" bestFit="1" customWidth="1"/>
    <col min="70" max="70" width="6" bestFit="1" customWidth="1"/>
    <col min="71" max="71" width="8.6640625" bestFit="1" customWidth="1"/>
    <col min="72" max="72" width="10.21875" bestFit="1" customWidth="1"/>
    <col min="73" max="73" width="8.6640625" bestFit="1" customWidth="1"/>
    <col min="74" max="74" width="6" bestFit="1" customWidth="1"/>
    <col min="75" max="75" width="8.6640625" bestFit="1" customWidth="1"/>
    <col min="76" max="76" width="6" bestFit="1" customWidth="1"/>
    <col min="77" max="77" width="8.6640625" bestFit="1" customWidth="1"/>
    <col min="78" max="78" width="10.21875" bestFit="1" customWidth="1"/>
    <col min="79" max="79" width="8.6640625" bestFit="1" customWidth="1"/>
    <col min="80" max="80" width="6" bestFit="1" customWidth="1"/>
    <col min="81" max="81" width="8.6640625" bestFit="1" customWidth="1"/>
    <col min="82" max="82" width="10.21875" bestFit="1" customWidth="1"/>
    <col min="83" max="83" width="8.6640625" bestFit="1" customWidth="1"/>
    <col min="84" max="84" width="10.21875" bestFit="1" customWidth="1"/>
    <col min="85" max="85" width="5.5546875" bestFit="1" customWidth="1"/>
    <col min="86" max="86" width="8.6640625" bestFit="1" customWidth="1"/>
    <col min="87" max="87" width="10.21875" bestFit="1" customWidth="1"/>
    <col min="88" max="88" width="5.5546875" bestFit="1" customWidth="1"/>
    <col min="89" max="89" width="8.6640625" bestFit="1" customWidth="1"/>
    <col min="90" max="90" width="6" bestFit="1" customWidth="1"/>
    <col min="91" max="91" width="8.6640625" bestFit="1" customWidth="1"/>
    <col min="92" max="92" width="6" bestFit="1" customWidth="1"/>
    <col min="93" max="93" width="8.6640625" bestFit="1" customWidth="1"/>
    <col min="94" max="94" width="6" bestFit="1" customWidth="1"/>
    <col min="95" max="95" width="8.6640625" bestFit="1" customWidth="1"/>
    <col min="96" max="96" width="6" bestFit="1" customWidth="1"/>
    <col min="97" max="97" width="8.6640625" bestFit="1" customWidth="1"/>
    <col min="98" max="98" width="6" bestFit="1" customWidth="1"/>
    <col min="99" max="99" width="8.6640625" bestFit="1" customWidth="1"/>
    <col min="100" max="100" width="6" bestFit="1" customWidth="1"/>
    <col min="101" max="101" width="8.6640625" bestFit="1" customWidth="1"/>
    <col min="102" max="102" width="6" bestFit="1" customWidth="1"/>
    <col min="103" max="103" width="8.6640625" bestFit="1" customWidth="1"/>
    <col min="104" max="104" width="6" bestFit="1" customWidth="1"/>
    <col min="105" max="105" width="8.6640625" bestFit="1" customWidth="1"/>
    <col min="106" max="106" width="6" bestFit="1" customWidth="1"/>
    <col min="107" max="107" width="8.6640625" bestFit="1" customWidth="1"/>
    <col min="108" max="108" width="10.21875" bestFit="1" customWidth="1"/>
    <col min="109" max="109" width="5.5546875" bestFit="1" customWidth="1"/>
    <col min="110" max="110" width="8.6640625" bestFit="1" customWidth="1"/>
    <col min="111" max="111" width="6" bestFit="1" customWidth="1"/>
    <col min="112" max="112" width="8.6640625" bestFit="1" customWidth="1"/>
    <col min="113" max="113" width="10.21875" bestFit="1" customWidth="1"/>
    <col min="114" max="114" width="8.6640625" bestFit="1" customWidth="1"/>
    <col min="115" max="115" width="6" bestFit="1" customWidth="1"/>
    <col min="116" max="116" width="8.6640625" bestFit="1" customWidth="1"/>
    <col min="117" max="117" width="10.21875" bestFit="1" customWidth="1"/>
    <col min="118" max="118" width="8.6640625" bestFit="1" customWidth="1"/>
    <col min="119" max="119" width="6" bestFit="1" customWidth="1"/>
    <col min="120" max="120" width="8.6640625" bestFit="1" customWidth="1"/>
    <col min="121" max="121" width="10.21875" bestFit="1" customWidth="1"/>
    <col min="122" max="122" width="8.6640625" bestFit="1" customWidth="1"/>
    <col min="123" max="123" width="10.21875" bestFit="1" customWidth="1"/>
    <col min="124" max="124" width="8.6640625" bestFit="1" customWidth="1"/>
    <col min="125" max="125" width="6" bestFit="1" customWidth="1"/>
    <col min="126" max="126" width="8.6640625" bestFit="1" customWidth="1"/>
    <col min="127" max="127" width="10.21875" bestFit="1" customWidth="1"/>
    <col min="128" max="128" width="8.6640625" bestFit="1" customWidth="1"/>
    <col min="129" max="129" width="10.21875" bestFit="1" customWidth="1"/>
    <col min="130" max="130" width="8.6640625" bestFit="1" customWidth="1"/>
    <col min="131" max="131" width="10.21875" bestFit="1" customWidth="1"/>
    <col min="132" max="132" width="8.6640625" bestFit="1" customWidth="1"/>
    <col min="133" max="133" width="10.21875" bestFit="1" customWidth="1"/>
    <col min="134" max="134" width="8.6640625" bestFit="1" customWidth="1"/>
    <col min="135" max="135" width="10.21875" bestFit="1" customWidth="1"/>
    <col min="136" max="136" width="8.6640625" bestFit="1" customWidth="1"/>
    <col min="137" max="137" width="6" bestFit="1" customWidth="1"/>
    <col min="138" max="138" width="8.6640625" bestFit="1" customWidth="1"/>
    <col min="139" max="139" width="10.21875" bestFit="1" customWidth="1"/>
    <col min="140" max="140" width="8.6640625" bestFit="1" customWidth="1"/>
    <col min="141" max="141" width="10.21875" bestFit="1" customWidth="1"/>
    <col min="142" max="142" width="5.5546875" bestFit="1" customWidth="1"/>
    <col min="143" max="143" width="8.6640625" bestFit="1" customWidth="1"/>
    <col min="144" max="144" width="6" bestFit="1" customWidth="1"/>
    <col min="145" max="145" width="8.6640625" bestFit="1" customWidth="1"/>
    <col min="146" max="146" width="6" bestFit="1" customWidth="1"/>
    <col min="147" max="147" width="8.6640625" bestFit="1" customWidth="1"/>
    <col min="148" max="148" width="10.21875" bestFit="1" customWidth="1"/>
    <col min="149" max="149" width="5.5546875" bestFit="1" customWidth="1"/>
    <col min="150" max="150" width="8.6640625" bestFit="1" customWidth="1"/>
    <col min="151" max="151" width="10.21875" bestFit="1" customWidth="1"/>
    <col min="152" max="152" width="8.6640625" bestFit="1" customWidth="1"/>
    <col min="153" max="153" width="10.21875" bestFit="1" customWidth="1"/>
    <col min="154" max="154" width="8.6640625" bestFit="1" customWidth="1"/>
    <col min="155" max="155" width="10.21875" bestFit="1" customWidth="1"/>
    <col min="156" max="156" width="8.6640625" bestFit="1" customWidth="1"/>
    <col min="157" max="157" width="10.21875" bestFit="1" customWidth="1"/>
    <col min="158" max="158" width="8.6640625" bestFit="1" customWidth="1"/>
    <col min="159" max="159" width="10.21875" bestFit="1" customWidth="1"/>
    <col min="160" max="160" width="8.6640625" bestFit="1" customWidth="1"/>
    <col min="161" max="161" width="10.21875" bestFit="1" customWidth="1"/>
    <col min="162" max="162" width="8.6640625" bestFit="1" customWidth="1"/>
    <col min="163" max="163" width="10.21875" bestFit="1" customWidth="1"/>
    <col min="164" max="164" width="8.6640625" bestFit="1" customWidth="1"/>
    <col min="165" max="165" width="6" bestFit="1" customWidth="1"/>
    <col min="166" max="166" width="8.6640625" bestFit="1" customWidth="1"/>
    <col min="167" max="167" width="10.21875" bestFit="1" customWidth="1"/>
    <col min="168" max="168" width="8.6640625" bestFit="1" customWidth="1"/>
    <col min="169" max="169" width="9" bestFit="1" customWidth="1"/>
    <col min="170" max="170" width="11.6640625" bestFit="1" customWidth="1"/>
    <col min="171" max="171" width="10.77734375" bestFit="1" customWidth="1"/>
  </cols>
  <sheetData>
    <row r="3" spans="1:12" x14ac:dyDescent="0.3">
      <c r="A3" s="2" t="s">
        <v>134</v>
      </c>
      <c r="B3" s="2" t="s">
        <v>132</v>
      </c>
    </row>
    <row r="4" spans="1:12" x14ac:dyDescent="0.3">
      <c r="B4" t="s">
        <v>125</v>
      </c>
      <c r="F4" t="s">
        <v>148</v>
      </c>
      <c r="G4" t="s">
        <v>124</v>
      </c>
      <c r="K4" t="s">
        <v>149</v>
      </c>
      <c r="L4" t="s">
        <v>131</v>
      </c>
    </row>
    <row r="5" spans="1:12" x14ac:dyDescent="0.3">
      <c r="A5" s="2" t="s">
        <v>130</v>
      </c>
      <c r="B5" t="s">
        <v>127</v>
      </c>
      <c r="C5" t="s">
        <v>129</v>
      </c>
      <c r="D5" t="s">
        <v>128</v>
      </c>
      <c r="E5" t="s">
        <v>126</v>
      </c>
      <c r="G5" t="s">
        <v>127</v>
      </c>
      <c r="H5" t="s">
        <v>129</v>
      </c>
      <c r="I5" t="s">
        <v>128</v>
      </c>
      <c r="J5" t="s">
        <v>126</v>
      </c>
    </row>
    <row r="6" spans="1:12" x14ac:dyDescent="0.3">
      <c r="A6" s="3" t="s">
        <v>14</v>
      </c>
      <c r="B6" s="7">
        <v>7.8851412944393795E-2</v>
      </c>
      <c r="C6" s="7">
        <v>0</v>
      </c>
      <c r="D6" s="7">
        <v>6.7730173199635368E-2</v>
      </c>
      <c r="E6" s="7">
        <v>4.567000911577028E-2</v>
      </c>
      <c r="F6" s="7">
        <v>0.19225159525979946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0.19225159525979946</v>
      </c>
    </row>
    <row r="7" spans="1:12" x14ac:dyDescent="0.3">
      <c r="A7" s="4" t="s">
        <v>78</v>
      </c>
      <c r="B7" s="7">
        <v>0</v>
      </c>
      <c r="C7" s="7">
        <v>0</v>
      </c>
      <c r="D7" s="7">
        <v>0</v>
      </c>
      <c r="E7" s="7">
        <v>5.4694621695533269E-4</v>
      </c>
      <c r="F7" s="7">
        <v>5.4694621695533269E-4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5.4694621695533269E-4</v>
      </c>
    </row>
    <row r="8" spans="1:12" x14ac:dyDescent="0.3">
      <c r="A8" s="4" t="s">
        <v>79</v>
      </c>
      <c r="B8" s="7">
        <v>0</v>
      </c>
      <c r="C8" s="7">
        <v>0</v>
      </c>
      <c r="D8" s="7">
        <v>0</v>
      </c>
      <c r="E8" s="7">
        <v>1.5314494074749316E-2</v>
      </c>
      <c r="F8" s="7">
        <v>1.5314494074749316E-2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1.5314494074749316E-2</v>
      </c>
    </row>
    <row r="9" spans="1:12" x14ac:dyDescent="0.3">
      <c r="A9" s="4" t="s">
        <v>81</v>
      </c>
      <c r="B9" s="7">
        <v>0</v>
      </c>
      <c r="C9" s="7">
        <v>0</v>
      </c>
      <c r="D9" s="7">
        <v>0</v>
      </c>
      <c r="E9" s="7">
        <v>1.431175934366454E-2</v>
      </c>
      <c r="F9" s="7">
        <v>1.431175934366454E-2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1.431175934366454E-2</v>
      </c>
    </row>
    <row r="10" spans="1:12" x14ac:dyDescent="0.3">
      <c r="A10" s="4" t="s">
        <v>82</v>
      </c>
      <c r="B10" s="7">
        <v>0</v>
      </c>
      <c r="C10" s="7">
        <v>0</v>
      </c>
      <c r="D10" s="7">
        <v>0</v>
      </c>
      <c r="E10" s="7">
        <v>1.5496809480401094E-2</v>
      </c>
      <c r="F10" s="7">
        <v>1.5496809480401094E-2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1.5496809480401094E-2</v>
      </c>
    </row>
    <row r="11" spans="1:12" x14ac:dyDescent="0.3">
      <c r="A11" s="4" t="s">
        <v>83</v>
      </c>
      <c r="B11" s="7">
        <v>1.5405651777575205E-2</v>
      </c>
      <c r="C11" s="7">
        <v>0</v>
      </c>
      <c r="D11" s="7">
        <v>0</v>
      </c>
      <c r="E11" s="7">
        <v>0</v>
      </c>
      <c r="F11" s="7">
        <v>1.5405651777575205E-2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1.5405651777575205E-2</v>
      </c>
    </row>
    <row r="12" spans="1:12" x14ac:dyDescent="0.3">
      <c r="A12" s="4" t="s">
        <v>84</v>
      </c>
      <c r="B12" s="7">
        <v>1.5587967183226983E-2</v>
      </c>
      <c r="C12" s="7">
        <v>0</v>
      </c>
      <c r="D12" s="7">
        <v>0</v>
      </c>
      <c r="E12" s="7">
        <v>0</v>
      </c>
      <c r="F12" s="7">
        <v>1.5587967183226983E-2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1.5587967183226983E-2</v>
      </c>
    </row>
    <row r="13" spans="1:12" x14ac:dyDescent="0.3">
      <c r="A13" s="4" t="s">
        <v>85</v>
      </c>
      <c r="B13" s="7">
        <v>6.1075660893345485E-3</v>
      </c>
      <c r="C13" s="7">
        <v>0</v>
      </c>
      <c r="D13" s="7">
        <v>0</v>
      </c>
      <c r="E13" s="7">
        <v>0</v>
      </c>
      <c r="F13" s="7">
        <v>6.1075660893345485E-3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6.1075660893345485E-3</v>
      </c>
    </row>
    <row r="14" spans="1:12" x14ac:dyDescent="0.3">
      <c r="A14" s="4" t="s">
        <v>86</v>
      </c>
      <c r="B14" s="7">
        <v>1.4038286235186874E-2</v>
      </c>
      <c r="C14" s="7">
        <v>0</v>
      </c>
      <c r="D14" s="7">
        <v>0</v>
      </c>
      <c r="E14" s="7">
        <v>0</v>
      </c>
      <c r="F14" s="7">
        <v>1.4038286235186874E-2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1.4038286235186874E-2</v>
      </c>
    </row>
    <row r="15" spans="1:12" x14ac:dyDescent="0.3">
      <c r="A15" s="4" t="s">
        <v>87</v>
      </c>
      <c r="B15" s="7">
        <v>1.2670920692798541E-2</v>
      </c>
      <c r="C15" s="7">
        <v>0</v>
      </c>
      <c r="D15" s="7">
        <v>0</v>
      </c>
      <c r="E15" s="7">
        <v>0</v>
      </c>
      <c r="F15" s="7">
        <v>1.2670920692798541E-2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1.2670920692798541E-2</v>
      </c>
    </row>
    <row r="16" spans="1:12" x14ac:dyDescent="0.3">
      <c r="A16" s="4" t="s">
        <v>88</v>
      </c>
      <c r="B16" s="7">
        <v>1.504102096627165E-2</v>
      </c>
      <c r="C16" s="7">
        <v>0</v>
      </c>
      <c r="D16" s="7">
        <v>0</v>
      </c>
      <c r="E16" s="7">
        <v>0</v>
      </c>
      <c r="F16" s="7">
        <v>1.504102096627165E-2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1.504102096627165E-2</v>
      </c>
    </row>
    <row r="17" spans="1:12" x14ac:dyDescent="0.3">
      <c r="A17" s="4" t="s">
        <v>89</v>
      </c>
      <c r="B17" s="7">
        <v>0</v>
      </c>
      <c r="C17" s="7">
        <v>0</v>
      </c>
      <c r="D17" s="7">
        <v>1.4402917046490429E-2</v>
      </c>
      <c r="E17" s="7">
        <v>0</v>
      </c>
      <c r="F17" s="7">
        <v>1.4402917046490429E-2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1.4402917046490429E-2</v>
      </c>
    </row>
    <row r="18" spans="1:12" x14ac:dyDescent="0.3">
      <c r="A18" s="4" t="s">
        <v>90</v>
      </c>
      <c r="B18" s="7">
        <v>0</v>
      </c>
      <c r="C18" s="7">
        <v>0</v>
      </c>
      <c r="D18" s="7">
        <v>1.3035551504102096E-2</v>
      </c>
      <c r="E18" s="7">
        <v>0</v>
      </c>
      <c r="F18" s="7">
        <v>1.3035551504102096E-2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1.3035551504102096E-2</v>
      </c>
    </row>
    <row r="19" spans="1:12" x14ac:dyDescent="0.3">
      <c r="A19" s="4" t="s">
        <v>91</v>
      </c>
      <c r="B19" s="7">
        <v>0</v>
      </c>
      <c r="C19" s="7">
        <v>0</v>
      </c>
      <c r="D19" s="7">
        <v>1.5223336371923428E-2</v>
      </c>
      <c r="E19" s="7">
        <v>0</v>
      </c>
      <c r="F19" s="7">
        <v>1.5223336371923428E-2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1.5223336371923428E-2</v>
      </c>
    </row>
    <row r="20" spans="1:12" x14ac:dyDescent="0.3">
      <c r="A20" s="4" t="s">
        <v>92</v>
      </c>
      <c r="B20" s="7">
        <v>0</v>
      </c>
      <c r="C20" s="7">
        <v>0</v>
      </c>
      <c r="D20" s="7">
        <v>1.1850501367365542E-2</v>
      </c>
      <c r="E20" s="7">
        <v>0</v>
      </c>
      <c r="F20" s="7">
        <v>1.1850501367365542E-2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1.1850501367365542E-2</v>
      </c>
    </row>
    <row r="21" spans="1:12" x14ac:dyDescent="0.3">
      <c r="A21" s="4" t="s">
        <v>93</v>
      </c>
      <c r="B21" s="7">
        <v>0</v>
      </c>
      <c r="C21" s="7">
        <v>0</v>
      </c>
      <c r="D21" s="7">
        <v>1.3217866909753875E-2</v>
      </c>
      <c r="E21" s="7">
        <v>0</v>
      </c>
      <c r="F21" s="7">
        <v>1.3217866909753875E-2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1.3217866909753875E-2</v>
      </c>
    </row>
    <row r="22" spans="1:12" x14ac:dyDescent="0.3">
      <c r="A22" s="3" t="s">
        <v>9</v>
      </c>
      <c r="B22" s="7">
        <v>3.4001823154056518E-2</v>
      </c>
      <c r="C22" s="7">
        <v>0</v>
      </c>
      <c r="D22" s="7">
        <v>9.9361896080218774E-3</v>
      </c>
      <c r="E22" s="7">
        <v>3.3363719234275294E-2</v>
      </c>
      <c r="F22" s="7">
        <v>7.7301731996353693E-2</v>
      </c>
      <c r="G22" s="7">
        <v>3.7465815861440294E-2</v>
      </c>
      <c r="H22" s="7">
        <v>0</v>
      </c>
      <c r="I22" s="7">
        <v>7.019143117593437E-3</v>
      </c>
      <c r="J22" s="7">
        <v>4.3299908842297175E-2</v>
      </c>
      <c r="K22" s="7">
        <v>8.7784867821330909E-2</v>
      </c>
      <c r="L22" s="7">
        <v>0.16508659981768459</v>
      </c>
    </row>
    <row r="23" spans="1:12" x14ac:dyDescent="0.3">
      <c r="A23" s="4" t="s">
        <v>16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1.0118505013673656E-2</v>
      </c>
      <c r="K23" s="7">
        <v>1.0118505013673656E-2</v>
      </c>
      <c r="L23" s="7">
        <v>1.0118505013673656E-2</v>
      </c>
    </row>
    <row r="24" spans="1:12" x14ac:dyDescent="0.3">
      <c r="A24" s="4" t="s">
        <v>17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8.8422971741112123E-3</v>
      </c>
      <c r="K24" s="7">
        <v>8.8422971741112123E-3</v>
      </c>
      <c r="L24" s="7">
        <v>8.8422971741112123E-3</v>
      </c>
    </row>
    <row r="25" spans="1:12" x14ac:dyDescent="0.3">
      <c r="A25" s="4" t="s">
        <v>18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1.3764813126709206E-2</v>
      </c>
      <c r="K25" s="7">
        <v>1.3764813126709206E-2</v>
      </c>
      <c r="L25" s="7">
        <v>1.3764813126709206E-2</v>
      </c>
    </row>
    <row r="26" spans="1:12" x14ac:dyDescent="0.3">
      <c r="A26" s="4" t="s">
        <v>19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1.05742935278031E-2</v>
      </c>
      <c r="K26" s="7">
        <v>1.05742935278031E-2</v>
      </c>
      <c r="L26" s="7">
        <v>1.05742935278031E-2</v>
      </c>
    </row>
    <row r="27" spans="1:12" x14ac:dyDescent="0.3">
      <c r="A27" s="4" t="s">
        <v>20</v>
      </c>
      <c r="B27" s="7">
        <v>0</v>
      </c>
      <c r="C27" s="7">
        <v>0</v>
      </c>
      <c r="D27" s="7">
        <v>0</v>
      </c>
      <c r="E27" s="7">
        <v>1.7775752051048314E-2</v>
      </c>
      <c r="F27" s="7">
        <v>1.7775752051048314E-2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1.7775752051048314E-2</v>
      </c>
    </row>
    <row r="28" spans="1:12" x14ac:dyDescent="0.3">
      <c r="A28" s="4" t="s">
        <v>21</v>
      </c>
      <c r="B28" s="7">
        <v>0</v>
      </c>
      <c r="C28" s="7">
        <v>0</v>
      </c>
      <c r="D28" s="7">
        <v>0</v>
      </c>
      <c r="E28" s="7">
        <v>1.5587967183226983E-2</v>
      </c>
      <c r="F28" s="7">
        <v>1.5587967183226983E-2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1.5587967183226983E-2</v>
      </c>
    </row>
    <row r="29" spans="1:12" x14ac:dyDescent="0.3">
      <c r="A29" s="4" t="s">
        <v>22</v>
      </c>
      <c r="B29" s="7">
        <v>7.1103008204193253E-3</v>
      </c>
      <c r="C29" s="7">
        <v>0</v>
      </c>
      <c r="D29" s="7">
        <v>0</v>
      </c>
      <c r="E29" s="7">
        <v>0</v>
      </c>
      <c r="F29" s="7">
        <v>7.1103008204193253E-3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7.1103008204193253E-3</v>
      </c>
    </row>
    <row r="30" spans="1:12" x14ac:dyDescent="0.3">
      <c r="A30" s="4" t="s">
        <v>23</v>
      </c>
      <c r="B30" s="7">
        <v>1.3947128532360985E-2</v>
      </c>
      <c r="C30" s="7">
        <v>0</v>
      </c>
      <c r="D30" s="7">
        <v>0</v>
      </c>
      <c r="E30" s="7">
        <v>0</v>
      </c>
      <c r="F30" s="7">
        <v>1.3947128532360985E-2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1.3947128532360985E-2</v>
      </c>
    </row>
    <row r="31" spans="1:12" x14ac:dyDescent="0.3">
      <c r="A31" s="4" t="s">
        <v>24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7.7484047402005471E-3</v>
      </c>
      <c r="H31" s="7">
        <v>0</v>
      </c>
      <c r="I31" s="7">
        <v>0</v>
      </c>
      <c r="J31" s="7">
        <v>0</v>
      </c>
      <c r="K31" s="7">
        <v>7.7484047402005471E-3</v>
      </c>
      <c r="L31" s="7">
        <v>7.7484047402005471E-3</v>
      </c>
    </row>
    <row r="32" spans="1:12" x14ac:dyDescent="0.3">
      <c r="A32" s="4" t="s">
        <v>25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1.5679124886052873E-2</v>
      </c>
      <c r="H32" s="7">
        <v>0</v>
      </c>
      <c r="I32" s="7">
        <v>0</v>
      </c>
      <c r="J32" s="7">
        <v>0</v>
      </c>
      <c r="K32" s="7">
        <v>1.5679124886052873E-2</v>
      </c>
      <c r="L32" s="7">
        <v>1.5679124886052873E-2</v>
      </c>
    </row>
    <row r="33" spans="1:12" x14ac:dyDescent="0.3">
      <c r="A33" s="4" t="s">
        <v>26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1.4038286235186874E-2</v>
      </c>
      <c r="H33" s="7">
        <v>0</v>
      </c>
      <c r="I33" s="7">
        <v>0</v>
      </c>
      <c r="J33" s="7">
        <v>0</v>
      </c>
      <c r="K33" s="7">
        <v>1.4038286235186874E-2</v>
      </c>
      <c r="L33" s="7">
        <v>1.4038286235186874E-2</v>
      </c>
    </row>
    <row r="34" spans="1:12" x14ac:dyDescent="0.3">
      <c r="A34" s="4" t="s">
        <v>27</v>
      </c>
      <c r="B34" s="7">
        <v>1.2944393801276207E-2</v>
      </c>
      <c r="C34" s="7">
        <v>0</v>
      </c>
      <c r="D34" s="7">
        <v>0</v>
      </c>
      <c r="E34" s="7">
        <v>0</v>
      </c>
      <c r="F34" s="7">
        <v>1.2944393801276207E-2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1.2944393801276207E-2</v>
      </c>
    </row>
    <row r="35" spans="1:12" x14ac:dyDescent="0.3">
      <c r="A35" s="4" t="s">
        <v>28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2.1877848678213308E-3</v>
      </c>
      <c r="J35" s="7">
        <v>0</v>
      </c>
      <c r="K35" s="7">
        <v>2.1877848678213308E-3</v>
      </c>
      <c r="L35" s="7">
        <v>2.1877848678213308E-3</v>
      </c>
    </row>
    <row r="36" spans="1:12" x14ac:dyDescent="0.3">
      <c r="A36" s="4" t="s">
        <v>29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3.5551504102096627E-3</v>
      </c>
      <c r="J36" s="7">
        <v>0</v>
      </c>
      <c r="K36" s="7">
        <v>3.5551504102096627E-3</v>
      </c>
      <c r="L36" s="7">
        <v>3.5551504102096627E-3</v>
      </c>
    </row>
    <row r="37" spans="1:12" x14ac:dyDescent="0.3">
      <c r="A37" s="4" t="s">
        <v>30</v>
      </c>
      <c r="B37" s="7">
        <v>0</v>
      </c>
      <c r="C37" s="7">
        <v>0</v>
      </c>
      <c r="D37" s="7">
        <v>9.9361896080218774E-3</v>
      </c>
      <c r="E37" s="7">
        <v>0</v>
      </c>
      <c r="F37" s="7">
        <v>9.9361896080218774E-3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9.9361896080218774E-3</v>
      </c>
    </row>
    <row r="38" spans="1:12" x14ac:dyDescent="0.3">
      <c r="A38" s="4" t="s">
        <v>31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1.2762078395624431E-3</v>
      </c>
      <c r="J38" s="7">
        <v>0</v>
      </c>
      <c r="K38" s="7">
        <v>1.2762078395624431E-3</v>
      </c>
      <c r="L38" s="7">
        <v>1.2762078395624431E-3</v>
      </c>
    </row>
    <row r="39" spans="1:12" x14ac:dyDescent="0.3">
      <c r="A39" s="3" t="s">
        <v>10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1.431175934366454E-2</v>
      </c>
      <c r="H39" s="7">
        <v>0</v>
      </c>
      <c r="I39" s="7">
        <v>9.0793072014585238E-2</v>
      </c>
      <c r="J39" s="7">
        <v>0</v>
      </c>
      <c r="K39" s="7">
        <v>0.10510483135824977</v>
      </c>
      <c r="L39" s="7">
        <v>0.10510483135824977</v>
      </c>
    </row>
    <row r="40" spans="1:12" x14ac:dyDescent="0.3">
      <c r="A40" s="4" t="s">
        <v>32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1.431175934366454E-2</v>
      </c>
      <c r="H40" s="7">
        <v>0</v>
      </c>
      <c r="I40" s="7">
        <v>0</v>
      </c>
      <c r="J40" s="7">
        <v>0</v>
      </c>
      <c r="K40" s="7">
        <v>1.431175934366454E-2</v>
      </c>
      <c r="L40" s="7">
        <v>1.431175934366454E-2</v>
      </c>
    </row>
    <row r="41" spans="1:12" x14ac:dyDescent="0.3">
      <c r="A41" s="4" t="s">
        <v>33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9.8450319051959882E-3</v>
      </c>
      <c r="J41" s="7">
        <v>0</v>
      </c>
      <c r="K41" s="7">
        <v>9.8450319051959882E-3</v>
      </c>
      <c r="L41" s="7">
        <v>9.8450319051959882E-3</v>
      </c>
    </row>
    <row r="42" spans="1:12" x14ac:dyDescent="0.3">
      <c r="A42" s="4" t="s">
        <v>34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1.1850501367365542E-2</v>
      </c>
      <c r="J42" s="7">
        <v>0</v>
      </c>
      <c r="K42" s="7">
        <v>1.1850501367365542E-2</v>
      </c>
      <c r="L42" s="7">
        <v>1.1850501367365542E-2</v>
      </c>
    </row>
    <row r="43" spans="1:12" x14ac:dyDescent="0.3">
      <c r="A43" s="4" t="s">
        <v>35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1.0483135824977211E-2</v>
      </c>
      <c r="J43" s="7">
        <v>0</v>
      </c>
      <c r="K43" s="7">
        <v>1.0483135824977211E-2</v>
      </c>
      <c r="L43" s="7">
        <v>1.0483135824977211E-2</v>
      </c>
    </row>
    <row r="44" spans="1:12" x14ac:dyDescent="0.3">
      <c r="A44" s="4" t="s">
        <v>36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1.1577028258887876E-2</v>
      </c>
      <c r="J44" s="7">
        <v>0</v>
      </c>
      <c r="K44" s="7">
        <v>1.1577028258887876E-2</v>
      </c>
      <c r="L44" s="7">
        <v>1.1577028258887876E-2</v>
      </c>
    </row>
    <row r="45" spans="1:12" x14ac:dyDescent="0.3">
      <c r="A45" s="4" t="s">
        <v>37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1.1668185961713765E-2</v>
      </c>
      <c r="J45" s="7">
        <v>0</v>
      </c>
      <c r="K45" s="7">
        <v>1.1668185961713765E-2</v>
      </c>
      <c r="L45" s="7">
        <v>1.1668185961713765E-2</v>
      </c>
    </row>
    <row r="46" spans="1:12" x14ac:dyDescent="0.3">
      <c r="A46" s="4" t="s">
        <v>38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1.1121239744758432E-2</v>
      </c>
      <c r="J46" s="7">
        <v>0</v>
      </c>
      <c r="K46" s="7">
        <v>1.1121239744758432E-2</v>
      </c>
      <c r="L46" s="7">
        <v>1.1121239744758432E-2</v>
      </c>
    </row>
    <row r="47" spans="1:12" x14ac:dyDescent="0.3">
      <c r="A47" s="4" t="s">
        <v>39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1.2397447584320875E-2</v>
      </c>
      <c r="J47" s="7">
        <v>0</v>
      </c>
      <c r="K47" s="7">
        <v>1.2397447584320875E-2</v>
      </c>
      <c r="L47" s="7">
        <v>1.2397447584320875E-2</v>
      </c>
    </row>
    <row r="48" spans="1:12" x14ac:dyDescent="0.3">
      <c r="A48" s="4" t="s">
        <v>40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1.1850501367365542E-2</v>
      </c>
      <c r="J48" s="7">
        <v>0</v>
      </c>
      <c r="K48" s="7">
        <v>1.1850501367365542E-2</v>
      </c>
      <c r="L48" s="7">
        <v>1.1850501367365542E-2</v>
      </c>
    </row>
    <row r="49" spans="1:12" x14ac:dyDescent="0.3">
      <c r="A49" s="3" t="s">
        <v>11</v>
      </c>
      <c r="B49" s="7">
        <v>1.0938924339106654E-3</v>
      </c>
      <c r="C49" s="7">
        <v>0</v>
      </c>
      <c r="D49" s="7">
        <v>0</v>
      </c>
      <c r="E49" s="7">
        <v>0</v>
      </c>
      <c r="F49" s="7">
        <v>1.0938924339106654E-3</v>
      </c>
      <c r="G49" s="7">
        <v>8.7876025524156798E-2</v>
      </c>
      <c r="H49" s="7">
        <v>0</v>
      </c>
      <c r="I49" s="7">
        <v>0</v>
      </c>
      <c r="J49" s="7">
        <v>2.4339106654512305E-2</v>
      </c>
      <c r="K49" s="7">
        <v>0.1122151321786691</v>
      </c>
      <c r="L49" s="7">
        <v>0.11330902461257976</v>
      </c>
    </row>
    <row r="50" spans="1:12" x14ac:dyDescent="0.3">
      <c r="A50" s="4" t="s">
        <v>41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7.2926162260711033E-4</v>
      </c>
      <c r="K50" s="7">
        <v>7.2926162260711033E-4</v>
      </c>
      <c r="L50" s="7">
        <v>7.2926162260711033E-4</v>
      </c>
    </row>
    <row r="51" spans="1:12" x14ac:dyDescent="0.3">
      <c r="A51" s="4" t="s">
        <v>42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9.3892433910665457E-3</v>
      </c>
      <c r="K51" s="7">
        <v>9.3892433910665457E-3</v>
      </c>
      <c r="L51" s="7">
        <v>9.3892433910665457E-3</v>
      </c>
    </row>
    <row r="52" spans="1:12" x14ac:dyDescent="0.3">
      <c r="A52" s="4" t="s">
        <v>43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1.4220601640838651E-2</v>
      </c>
      <c r="K52" s="7">
        <v>1.4220601640838651E-2</v>
      </c>
      <c r="L52" s="7">
        <v>1.4220601640838651E-2</v>
      </c>
    </row>
    <row r="53" spans="1:12" x14ac:dyDescent="0.3">
      <c r="A53" s="4" t="s">
        <v>44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1.130355515041021E-2</v>
      </c>
      <c r="H53" s="7">
        <v>0</v>
      </c>
      <c r="I53" s="7">
        <v>0</v>
      </c>
      <c r="J53" s="7">
        <v>0</v>
      </c>
      <c r="K53" s="7">
        <v>1.130355515041021E-2</v>
      </c>
      <c r="L53" s="7">
        <v>1.130355515041021E-2</v>
      </c>
    </row>
    <row r="54" spans="1:12" x14ac:dyDescent="0.3">
      <c r="A54" s="4" t="s">
        <v>45</v>
      </c>
      <c r="B54" s="7">
        <v>1.0938924339106654E-3</v>
      </c>
      <c r="C54" s="7">
        <v>0</v>
      </c>
      <c r="D54" s="7">
        <v>0</v>
      </c>
      <c r="E54" s="7">
        <v>0</v>
      </c>
      <c r="F54" s="7">
        <v>1.0938924339106654E-3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1.0938924339106654E-3</v>
      </c>
    </row>
    <row r="55" spans="1:12" x14ac:dyDescent="0.3">
      <c r="A55" s="4" t="s">
        <v>46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9.1157702825888781E-3</v>
      </c>
      <c r="H55" s="7">
        <v>0</v>
      </c>
      <c r="I55" s="7">
        <v>0</v>
      </c>
      <c r="J55" s="7">
        <v>0</v>
      </c>
      <c r="K55" s="7">
        <v>9.1157702825888781E-3</v>
      </c>
      <c r="L55" s="7">
        <v>9.1157702825888781E-3</v>
      </c>
    </row>
    <row r="56" spans="1:12" x14ac:dyDescent="0.3">
      <c r="A56" s="4" t="s">
        <v>47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1.2123974475843209E-2</v>
      </c>
      <c r="H56" s="7">
        <v>0</v>
      </c>
      <c r="I56" s="7">
        <v>0</v>
      </c>
      <c r="J56" s="7">
        <v>0</v>
      </c>
      <c r="K56" s="7">
        <v>1.2123974475843209E-2</v>
      </c>
      <c r="L56" s="7">
        <v>1.2123974475843209E-2</v>
      </c>
    </row>
    <row r="57" spans="1:12" x14ac:dyDescent="0.3">
      <c r="A57" s="4" t="s">
        <v>48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9.2069279854147673E-3</v>
      </c>
      <c r="H57" s="7">
        <v>0</v>
      </c>
      <c r="I57" s="7">
        <v>0</v>
      </c>
      <c r="J57" s="7">
        <v>0</v>
      </c>
      <c r="K57" s="7">
        <v>9.2069279854147673E-3</v>
      </c>
      <c r="L57" s="7">
        <v>9.2069279854147673E-3</v>
      </c>
    </row>
    <row r="58" spans="1:12" x14ac:dyDescent="0.3">
      <c r="A58" s="4" t="s">
        <v>49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1.05742935278031E-2</v>
      </c>
      <c r="H58" s="7">
        <v>0</v>
      </c>
      <c r="I58" s="7">
        <v>0</v>
      </c>
      <c r="J58" s="7">
        <v>0</v>
      </c>
      <c r="K58" s="7">
        <v>1.05742935278031E-2</v>
      </c>
      <c r="L58" s="7">
        <v>1.05742935278031E-2</v>
      </c>
    </row>
    <row r="59" spans="1:12" x14ac:dyDescent="0.3">
      <c r="A59" s="4" t="s">
        <v>50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6.9279854147675478E-3</v>
      </c>
      <c r="H59" s="7">
        <v>0</v>
      </c>
      <c r="I59" s="7">
        <v>0</v>
      </c>
      <c r="J59" s="7">
        <v>0</v>
      </c>
      <c r="K59" s="7">
        <v>6.9279854147675478E-3</v>
      </c>
      <c r="L59" s="7">
        <v>6.9279854147675478E-3</v>
      </c>
    </row>
    <row r="60" spans="1:12" x14ac:dyDescent="0.3">
      <c r="A60" s="4" t="s">
        <v>51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8.386508659981768E-3</v>
      </c>
      <c r="H60" s="7">
        <v>0</v>
      </c>
      <c r="I60" s="7">
        <v>0</v>
      </c>
      <c r="J60" s="7">
        <v>0</v>
      </c>
      <c r="K60" s="7">
        <v>8.386508659981768E-3</v>
      </c>
      <c r="L60" s="7">
        <v>8.386508659981768E-3</v>
      </c>
    </row>
    <row r="61" spans="1:12" x14ac:dyDescent="0.3">
      <c r="A61" s="4" t="s">
        <v>52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9.8450319051959882E-3</v>
      </c>
      <c r="H61" s="7">
        <v>0</v>
      </c>
      <c r="I61" s="7">
        <v>0</v>
      </c>
      <c r="J61" s="7">
        <v>0</v>
      </c>
      <c r="K61" s="7">
        <v>9.8450319051959882E-3</v>
      </c>
      <c r="L61" s="7">
        <v>9.8450319051959882E-3</v>
      </c>
    </row>
    <row r="62" spans="1:12" x14ac:dyDescent="0.3">
      <c r="A62" s="4" t="s">
        <v>53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7.7484047402005471E-3</v>
      </c>
      <c r="H62" s="7">
        <v>0</v>
      </c>
      <c r="I62" s="7">
        <v>0</v>
      </c>
      <c r="J62" s="7">
        <v>0</v>
      </c>
      <c r="K62" s="7">
        <v>7.7484047402005471E-3</v>
      </c>
      <c r="L62" s="7">
        <v>7.7484047402005471E-3</v>
      </c>
    </row>
    <row r="63" spans="1:12" x14ac:dyDescent="0.3">
      <c r="A63" s="4" t="s">
        <v>54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2.643573381950775E-3</v>
      </c>
      <c r="H63" s="7">
        <v>0</v>
      </c>
      <c r="I63" s="7">
        <v>0</v>
      </c>
      <c r="J63" s="7">
        <v>0</v>
      </c>
      <c r="K63" s="7">
        <v>2.643573381950775E-3</v>
      </c>
      <c r="L63" s="7">
        <v>2.643573381950775E-3</v>
      </c>
    </row>
    <row r="64" spans="1:12" x14ac:dyDescent="0.3">
      <c r="A64" s="3" t="s">
        <v>12</v>
      </c>
      <c r="B64" s="7">
        <v>0</v>
      </c>
      <c r="C64" s="7">
        <v>0</v>
      </c>
      <c r="D64" s="7">
        <v>0</v>
      </c>
      <c r="E64" s="7">
        <v>5.4694621695533269E-4</v>
      </c>
      <c r="F64" s="7">
        <v>5.4694621695533269E-4</v>
      </c>
      <c r="G64" s="7">
        <v>3.6463081130355516E-4</v>
      </c>
      <c r="H64" s="7">
        <v>1.8596171376481313E-2</v>
      </c>
      <c r="I64" s="7">
        <v>8.1130355515041025E-2</v>
      </c>
      <c r="J64" s="7">
        <v>1.3673655423883319E-3</v>
      </c>
      <c r="K64" s="7">
        <v>0.10145852324521422</v>
      </c>
      <c r="L64" s="7">
        <v>0.10200546946216955</v>
      </c>
    </row>
    <row r="65" spans="1:12" x14ac:dyDescent="0.3">
      <c r="A65" s="4" t="s">
        <v>55</v>
      </c>
      <c r="B65" s="7">
        <v>0</v>
      </c>
      <c r="C65" s="7">
        <v>0</v>
      </c>
      <c r="D65" s="7">
        <v>0</v>
      </c>
      <c r="E65" s="7">
        <v>5.4694621695533269E-4</v>
      </c>
      <c r="F65" s="7">
        <v>5.4694621695533269E-4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5.4694621695533269E-4</v>
      </c>
    </row>
    <row r="66" spans="1:12" x14ac:dyDescent="0.3">
      <c r="A66" s="4" t="s">
        <v>56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1.3673655423883319E-3</v>
      </c>
      <c r="K66" s="7">
        <v>1.3673655423883319E-3</v>
      </c>
      <c r="L66" s="7">
        <v>1.3673655423883319E-3</v>
      </c>
    </row>
    <row r="67" spans="1:12" x14ac:dyDescent="0.3">
      <c r="A67" s="4" t="s">
        <v>57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3.6463081130355516E-4</v>
      </c>
      <c r="H67" s="7">
        <v>0</v>
      </c>
      <c r="I67" s="7">
        <v>0</v>
      </c>
      <c r="J67" s="7">
        <v>0</v>
      </c>
      <c r="K67" s="7">
        <v>3.6463081130355516E-4</v>
      </c>
      <c r="L67" s="7">
        <v>3.6463081130355516E-4</v>
      </c>
    </row>
    <row r="68" spans="1:12" x14ac:dyDescent="0.3">
      <c r="A68" s="4" t="s">
        <v>58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1.1941659070191431E-2</v>
      </c>
      <c r="J68" s="7">
        <v>0</v>
      </c>
      <c r="K68" s="7">
        <v>1.1941659070191431E-2</v>
      </c>
      <c r="L68" s="7">
        <v>1.1941659070191431E-2</v>
      </c>
    </row>
    <row r="69" spans="1:12" x14ac:dyDescent="0.3">
      <c r="A69" s="4" t="s">
        <v>59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1.0665451230628988E-2</v>
      </c>
      <c r="J69" s="7">
        <v>0</v>
      </c>
      <c r="K69" s="7">
        <v>1.0665451230628988E-2</v>
      </c>
      <c r="L69" s="7">
        <v>1.0665451230628988E-2</v>
      </c>
    </row>
    <row r="70" spans="1:12" x14ac:dyDescent="0.3">
      <c r="A70" s="4" t="s">
        <v>60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1.4129443938012761E-2</v>
      </c>
      <c r="J70" s="7">
        <v>0</v>
      </c>
      <c r="K70" s="7">
        <v>1.4129443938012761E-2</v>
      </c>
      <c r="L70" s="7">
        <v>1.4129443938012761E-2</v>
      </c>
    </row>
    <row r="71" spans="1:12" x14ac:dyDescent="0.3">
      <c r="A71" s="4" t="s">
        <v>61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9.1157702825888781E-3</v>
      </c>
      <c r="J71" s="7">
        <v>0</v>
      </c>
      <c r="K71" s="7">
        <v>9.1157702825888781E-3</v>
      </c>
      <c r="L71" s="7">
        <v>9.1157702825888781E-3</v>
      </c>
    </row>
    <row r="72" spans="1:12" x14ac:dyDescent="0.3">
      <c r="A72" s="4" t="s">
        <v>62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1.05742935278031E-2</v>
      </c>
      <c r="J72" s="7">
        <v>0</v>
      </c>
      <c r="K72" s="7">
        <v>1.05742935278031E-2</v>
      </c>
      <c r="L72" s="7">
        <v>1.05742935278031E-2</v>
      </c>
    </row>
    <row r="73" spans="1:12" x14ac:dyDescent="0.3">
      <c r="A73" s="4" t="s">
        <v>63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1.1850501367365542E-2</v>
      </c>
      <c r="J73" s="7">
        <v>0</v>
      </c>
      <c r="K73" s="7">
        <v>1.1850501367365542E-2</v>
      </c>
      <c r="L73" s="7">
        <v>1.1850501367365542E-2</v>
      </c>
    </row>
    <row r="74" spans="1:12" x14ac:dyDescent="0.3">
      <c r="A74" s="4" t="s">
        <v>64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1.285323609845032E-2</v>
      </c>
      <c r="J74" s="7">
        <v>0</v>
      </c>
      <c r="K74" s="7">
        <v>1.285323609845032E-2</v>
      </c>
      <c r="L74" s="7">
        <v>1.285323609845032E-2</v>
      </c>
    </row>
    <row r="75" spans="1:12" x14ac:dyDescent="0.3">
      <c r="A75" s="4" t="s">
        <v>65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9.0246125797629907E-3</v>
      </c>
      <c r="I75" s="7">
        <v>0</v>
      </c>
      <c r="J75" s="7">
        <v>0</v>
      </c>
      <c r="K75" s="7">
        <v>9.0246125797629907E-3</v>
      </c>
      <c r="L75" s="7">
        <v>9.0246125797629907E-3</v>
      </c>
    </row>
    <row r="76" spans="1:12" x14ac:dyDescent="0.3">
      <c r="A76" s="4" t="s">
        <v>66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9.5715587967183224E-3</v>
      </c>
      <c r="I76" s="7">
        <v>0</v>
      </c>
      <c r="J76" s="7">
        <v>0</v>
      </c>
      <c r="K76" s="7">
        <v>9.5715587967183224E-3</v>
      </c>
      <c r="L76" s="7">
        <v>9.5715587967183224E-3</v>
      </c>
    </row>
    <row r="77" spans="1:12" x14ac:dyDescent="0.3">
      <c r="A77" s="3" t="s">
        <v>15</v>
      </c>
      <c r="B77" s="7">
        <v>8.2041932543299909E-4</v>
      </c>
      <c r="C77" s="7">
        <v>5.3691886964448494E-2</v>
      </c>
      <c r="D77" s="7">
        <v>4.0291704649042845E-2</v>
      </c>
      <c r="E77" s="7">
        <v>1.9598906107566091E-2</v>
      </c>
      <c r="F77" s="7">
        <v>0.11440291704649043</v>
      </c>
      <c r="G77" s="7">
        <v>9.3254329990884233E-2</v>
      </c>
      <c r="H77" s="7">
        <v>0</v>
      </c>
      <c r="I77" s="7">
        <v>1.7958067456700092E-2</v>
      </c>
      <c r="J77" s="7">
        <v>3.2543299908842298E-2</v>
      </c>
      <c r="K77" s="7">
        <v>0.14375569735642663</v>
      </c>
      <c r="L77" s="7">
        <v>0.25815861440291704</v>
      </c>
    </row>
    <row r="78" spans="1:12" x14ac:dyDescent="0.3">
      <c r="A78" s="4" t="s">
        <v>94</v>
      </c>
      <c r="B78" s="7">
        <v>0</v>
      </c>
      <c r="C78" s="7">
        <v>0</v>
      </c>
      <c r="D78" s="7">
        <v>0</v>
      </c>
      <c r="E78" s="7">
        <v>9.2980856882406565E-3</v>
      </c>
      <c r="F78" s="7">
        <v>9.2980856882406565E-3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9.2980856882406565E-3</v>
      </c>
    </row>
    <row r="79" spans="1:12" x14ac:dyDescent="0.3">
      <c r="A79" s="4" t="s">
        <v>95</v>
      </c>
      <c r="B79" s="7">
        <v>0</v>
      </c>
      <c r="C79" s="7">
        <v>0</v>
      </c>
      <c r="D79" s="7">
        <v>0</v>
      </c>
      <c r="E79" s="7">
        <v>1.0300820419325432E-2</v>
      </c>
      <c r="F79" s="7">
        <v>1.0300820419325432E-2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1.0300820419325432E-2</v>
      </c>
    </row>
    <row r="80" spans="1:12" x14ac:dyDescent="0.3">
      <c r="A80" s="4" t="s">
        <v>96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3.6463081130355516E-4</v>
      </c>
      <c r="K80" s="7">
        <v>3.6463081130355516E-4</v>
      </c>
      <c r="L80" s="7">
        <v>3.6463081130355516E-4</v>
      </c>
    </row>
    <row r="81" spans="1:12" x14ac:dyDescent="0.3">
      <c r="A81" s="4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1.0300820419325432E-2</v>
      </c>
      <c r="K81" s="7">
        <v>1.0300820419325432E-2</v>
      </c>
      <c r="L81" s="7">
        <v>1.0300820419325432E-2</v>
      </c>
    </row>
    <row r="82" spans="1:12" x14ac:dyDescent="0.3">
      <c r="A82" s="4" t="s">
        <v>97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1.0483135824977211E-2</v>
      </c>
      <c r="K82" s="7">
        <v>1.0483135824977211E-2</v>
      </c>
      <c r="L82" s="7">
        <v>1.0483135824977211E-2</v>
      </c>
    </row>
    <row r="83" spans="1:12" x14ac:dyDescent="0.3">
      <c r="A83" s="4" t="s">
        <v>98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1.1030082041932543E-2</v>
      </c>
      <c r="K83" s="7">
        <v>1.1030082041932543E-2</v>
      </c>
      <c r="L83" s="7">
        <v>1.1030082041932543E-2</v>
      </c>
    </row>
    <row r="84" spans="1:12" x14ac:dyDescent="0.3">
      <c r="A84" s="4" t="s">
        <v>99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3.6463081130355516E-4</v>
      </c>
      <c r="K84" s="7">
        <v>3.6463081130355516E-4</v>
      </c>
      <c r="L84" s="7">
        <v>3.6463081130355516E-4</v>
      </c>
    </row>
    <row r="85" spans="1:12" x14ac:dyDescent="0.3">
      <c r="A85" s="4" t="s">
        <v>100</v>
      </c>
      <c r="B85" s="7">
        <v>8.2041932543299909E-4</v>
      </c>
      <c r="C85" s="7">
        <v>0</v>
      </c>
      <c r="D85" s="7">
        <v>0</v>
      </c>
      <c r="E85" s="7">
        <v>0</v>
      </c>
      <c r="F85" s="7">
        <v>8.2041932543299909E-4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8.2041932543299909E-4</v>
      </c>
    </row>
    <row r="86" spans="1:12" x14ac:dyDescent="0.3">
      <c r="A86" s="4" t="s">
        <v>101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1.0300820419325432E-2</v>
      </c>
      <c r="H86" s="7">
        <v>0</v>
      </c>
      <c r="I86" s="7">
        <v>0</v>
      </c>
      <c r="J86" s="7">
        <v>0</v>
      </c>
      <c r="K86" s="7">
        <v>1.0300820419325432E-2</v>
      </c>
      <c r="L86" s="7">
        <v>1.0300820419325432E-2</v>
      </c>
    </row>
    <row r="87" spans="1:12" x14ac:dyDescent="0.3">
      <c r="A87" s="4" t="s">
        <v>102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1.1668185961713765E-2</v>
      </c>
      <c r="H87" s="7">
        <v>0</v>
      </c>
      <c r="I87" s="7">
        <v>0</v>
      </c>
      <c r="J87" s="7">
        <v>0</v>
      </c>
      <c r="K87" s="7">
        <v>1.1668185961713765E-2</v>
      </c>
      <c r="L87" s="7">
        <v>1.1668185961713765E-2</v>
      </c>
    </row>
    <row r="88" spans="1:12" x14ac:dyDescent="0.3">
      <c r="A88" s="4" t="s">
        <v>103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1.1030082041932543E-2</v>
      </c>
      <c r="H88" s="7">
        <v>0</v>
      </c>
      <c r="I88" s="7">
        <v>0</v>
      </c>
      <c r="J88" s="7">
        <v>0</v>
      </c>
      <c r="K88" s="7">
        <v>1.1030082041932543E-2</v>
      </c>
      <c r="L88" s="7">
        <v>1.1030082041932543E-2</v>
      </c>
    </row>
    <row r="89" spans="1:12" x14ac:dyDescent="0.3">
      <c r="A89" s="4" t="s">
        <v>104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5.1048313582497725E-3</v>
      </c>
      <c r="H89" s="7">
        <v>0</v>
      </c>
      <c r="I89" s="7">
        <v>0</v>
      </c>
      <c r="J89" s="7">
        <v>0</v>
      </c>
      <c r="K89" s="7">
        <v>5.1048313582497725E-3</v>
      </c>
      <c r="L89" s="7">
        <v>5.1048313582497725E-3</v>
      </c>
    </row>
    <row r="90" spans="1:12" x14ac:dyDescent="0.3">
      <c r="A90" s="4" t="s">
        <v>105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1.0665451230628988E-2</v>
      </c>
      <c r="H90" s="7">
        <v>0</v>
      </c>
      <c r="I90" s="7">
        <v>0</v>
      </c>
      <c r="J90" s="7">
        <v>0</v>
      </c>
      <c r="K90" s="7">
        <v>1.0665451230628988E-2</v>
      </c>
      <c r="L90" s="7">
        <v>1.0665451230628988E-2</v>
      </c>
    </row>
    <row r="91" spans="1:12" x14ac:dyDescent="0.3">
      <c r="A91" s="4" t="s">
        <v>106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1.05742935278031E-2</v>
      </c>
      <c r="H91" s="7">
        <v>0</v>
      </c>
      <c r="I91" s="7">
        <v>0</v>
      </c>
      <c r="J91" s="7">
        <v>0</v>
      </c>
      <c r="K91" s="7">
        <v>1.05742935278031E-2</v>
      </c>
      <c r="L91" s="7">
        <v>1.05742935278031E-2</v>
      </c>
    </row>
    <row r="92" spans="1:12" x14ac:dyDescent="0.3">
      <c r="A92" s="4" t="s">
        <v>107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1.0483135824977211E-2</v>
      </c>
      <c r="H92" s="7">
        <v>0</v>
      </c>
      <c r="I92" s="7">
        <v>0</v>
      </c>
      <c r="J92" s="7">
        <v>0</v>
      </c>
      <c r="K92" s="7">
        <v>1.0483135824977211E-2</v>
      </c>
      <c r="L92" s="7">
        <v>1.0483135824977211E-2</v>
      </c>
    </row>
    <row r="93" spans="1:12" x14ac:dyDescent="0.3">
      <c r="A93" s="4" t="s">
        <v>108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1.1668185961713765E-2</v>
      </c>
      <c r="H93" s="7">
        <v>0</v>
      </c>
      <c r="I93" s="7">
        <v>0</v>
      </c>
      <c r="J93" s="7">
        <v>0</v>
      </c>
      <c r="K93" s="7">
        <v>1.1668185961713765E-2</v>
      </c>
      <c r="L93" s="7">
        <v>1.1668185961713765E-2</v>
      </c>
    </row>
    <row r="94" spans="1:12" x14ac:dyDescent="0.3">
      <c r="A94" s="4" t="s">
        <v>109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1.1759343664539654E-2</v>
      </c>
      <c r="H94" s="7">
        <v>0</v>
      </c>
      <c r="I94" s="7">
        <v>0</v>
      </c>
      <c r="J94" s="7">
        <v>0</v>
      </c>
      <c r="K94" s="7">
        <v>1.1759343664539654E-2</v>
      </c>
      <c r="L94" s="7">
        <v>1.1759343664539654E-2</v>
      </c>
    </row>
    <row r="95" spans="1:12" x14ac:dyDescent="0.3">
      <c r="A95" s="4" t="s">
        <v>110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1.1030082041932543E-2</v>
      </c>
      <c r="J95" s="7">
        <v>0</v>
      </c>
      <c r="K95" s="7">
        <v>1.1030082041932543E-2</v>
      </c>
      <c r="L95" s="7">
        <v>1.1030082041932543E-2</v>
      </c>
    </row>
    <row r="96" spans="1:12" x14ac:dyDescent="0.3">
      <c r="A96" s="4" t="s">
        <v>111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3.4639927073837739E-3</v>
      </c>
      <c r="J96" s="7">
        <v>0</v>
      </c>
      <c r="K96" s="7">
        <v>3.4639927073837739E-3</v>
      </c>
      <c r="L96" s="7">
        <v>3.4639927073837739E-3</v>
      </c>
    </row>
    <row r="97" spans="1:12" x14ac:dyDescent="0.3">
      <c r="A97" s="4" t="s">
        <v>112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3.4639927073837739E-3</v>
      </c>
      <c r="J97" s="7">
        <v>0</v>
      </c>
      <c r="K97" s="7">
        <v>3.4639927073837739E-3</v>
      </c>
      <c r="L97" s="7">
        <v>3.4639927073837739E-3</v>
      </c>
    </row>
    <row r="98" spans="1:12" x14ac:dyDescent="0.3">
      <c r="A98" s="4" t="s">
        <v>113</v>
      </c>
      <c r="B98" s="7">
        <v>0</v>
      </c>
      <c r="C98" s="7">
        <v>0</v>
      </c>
      <c r="D98" s="7">
        <v>1.0118505013673656E-2</v>
      </c>
      <c r="E98" s="7">
        <v>0</v>
      </c>
      <c r="F98" s="7">
        <v>1.0118505013673656E-2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1.0118505013673656E-2</v>
      </c>
    </row>
    <row r="99" spans="1:12" x14ac:dyDescent="0.3">
      <c r="A99" s="4" t="s">
        <v>114</v>
      </c>
      <c r="B99" s="7">
        <v>0</v>
      </c>
      <c r="C99" s="7">
        <v>0</v>
      </c>
      <c r="D99" s="7">
        <v>8.386508659981768E-3</v>
      </c>
      <c r="E99" s="7">
        <v>0</v>
      </c>
      <c r="F99" s="7">
        <v>8.386508659981768E-3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8.386508659981768E-3</v>
      </c>
    </row>
    <row r="100" spans="1:12" x14ac:dyDescent="0.3">
      <c r="A100" s="4" t="s">
        <v>115</v>
      </c>
      <c r="B100" s="7">
        <v>0</v>
      </c>
      <c r="C100" s="7">
        <v>0</v>
      </c>
      <c r="D100" s="7">
        <v>1.203281677301732E-2</v>
      </c>
      <c r="E100" s="7">
        <v>0</v>
      </c>
      <c r="F100" s="7">
        <v>1.203281677301732E-2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1.203281677301732E-2</v>
      </c>
    </row>
    <row r="101" spans="1:12" x14ac:dyDescent="0.3">
      <c r="A101" s="4" t="s">
        <v>116</v>
      </c>
      <c r="B101" s="7">
        <v>0</v>
      </c>
      <c r="C101" s="7">
        <v>0</v>
      </c>
      <c r="D101" s="7">
        <v>9.7538742023701008E-3</v>
      </c>
      <c r="E101" s="7">
        <v>0</v>
      </c>
      <c r="F101" s="7">
        <v>9.7538742023701008E-3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9.7538742023701008E-3</v>
      </c>
    </row>
    <row r="102" spans="1:12" x14ac:dyDescent="0.3">
      <c r="A102" s="4" t="s">
        <v>117</v>
      </c>
      <c r="B102" s="7">
        <v>0</v>
      </c>
      <c r="C102" s="7">
        <v>2.7347310847766635E-4</v>
      </c>
      <c r="D102" s="7">
        <v>0</v>
      </c>
      <c r="E102" s="7">
        <v>0</v>
      </c>
      <c r="F102" s="7">
        <v>2.7347310847766635E-4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2.7347310847766635E-4</v>
      </c>
    </row>
    <row r="103" spans="1:12" x14ac:dyDescent="0.3">
      <c r="A103" s="4" t="s">
        <v>118</v>
      </c>
      <c r="B103" s="7">
        <v>0</v>
      </c>
      <c r="C103" s="7">
        <v>7.2926162260711033E-4</v>
      </c>
      <c r="D103" s="7">
        <v>0</v>
      </c>
      <c r="E103" s="7">
        <v>0</v>
      </c>
      <c r="F103" s="7">
        <v>7.2926162260711033E-4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7.2926162260711033E-4</v>
      </c>
    </row>
    <row r="104" spans="1:12" x14ac:dyDescent="0.3">
      <c r="A104" s="4" t="s">
        <v>119</v>
      </c>
      <c r="B104" s="7">
        <v>0</v>
      </c>
      <c r="C104" s="7">
        <v>1.0027347310847766E-3</v>
      </c>
      <c r="D104" s="7">
        <v>0</v>
      </c>
      <c r="E104" s="7">
        <v>0</v>
      </c>
      <c r="F104" s="7">
        <v>1.0027347310847766E-3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1.0027347310847766E-3</v>
      </c>
    </row>
    <row r="105" spans="1:12" x14ac:dyDescent="0.3">
      <c r="A105" s="4" t="s">
        <v>120</v>
      </c>
      <c r="B105" s="7">
        <v>0</v>
      </c>
      <c r="C105" s="7">
        <v>1.276207839562443E-2</v>
      </c>
      <c r="D105" s="7">
        <v>0</v>
      </c>
      <c r="E105" s="7">
        <v>0</v>
      </c>
      <c r="F105" s="7">
        <v>1.276207839562443E-2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1.276207839562443E-2</v>
      </c>
    </row>
    <row r="106" spans="1:12" x14ac:dyDescent="0.3">
      <c r="A106" s="4" t="s">
        <v>121</v>
      </c>
      <c r="B106" s="7">
        <v>0</v>
      </c>
      <c r="C106" s="7">
        <v>1.358249772105743E-2</v>
      </c>
      <c r="D106" s="7">
        <v>0</v>
      </c>
      <c r="E106" s="7">
        <v>0</v>
      </c>
      <c r="F106" s="7">
        <v>1.358249772105743E-2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1.358249772105743E-2</v>
      </c>
    </row>
    <row r="107" spans="1:12" x14ac:dyDescent="0.3">
      <c r="A107" s="4" t="s">
        <v>122</v>
      </c>
      <c r="B107" s="7">
        <v>0</v>
      </c>
      <c r="C107" s="7">
        <v>1.3126709206927985E-2</v>
      </c>
      <c r="D107" s="7">
        <v>0</v>
      </c>
      <c r="E107" s="7">
        <v>0</v>
      </c>
      <c r="F107" s="7">
        <v>1.3126709206927985E-2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1.3126709206927985E-2</v>
      </c>
    </row>
    <row r="108" spans="1:12" x14ac:dyDescent="0.3">
      <c r="A108" s="4" t="s">
        <v>123</v>
      </c>
      <c r="B108" s="7">
        <v>0</v>
      </c>
      <c r="C108" s="7">
        <v>1.2215132178669097E-2</v>
      </c>
      <c r="D108" s="7">
        <v>0</v>
      </c>
      <c r="E108" s="7">
        <v>0</v>
      </c>
      <c r="F108" s="7">
        <v>1.2215132178669097E-2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1.2215132178669097E-2</v>
      </c>
    </row>
    <row r="109" spans="1:12" x14ac:dyDescent="0.3">
      <c r="A109" s="3" t="s">
        <v>13</v>
      </c>
      <c r="B109" s="7">
        <v>0</v>
      </c>
      <c r="C109" s="7">
        <v>2.4339106654512305E-2</v>
      </c>
      <c r="D109" s="7">
        <v>8.2041932543299913E-3</v>
      </c>
      <c r="E109" s="7">
        <v>2.0328167730173201E-2</v>
      </c>
      <c r="F109" s="7">
        <v>5.2871467639015499E-2</v>
      </c>
      <c r="G109" s="7">
        <v>0</v>
      </c>
      <c r="H109" s="7">
        <v>1.1212397447584321E-2</v>
      </c>
      <c r="I109" s="7">
        <v>0</v>
      </c>
      <c r="J109" s="7">
        <v>0</v>
      </c>
      <c r="K109" s="7">
        <v>1.1212397447584321E-2</v>
      </c>
      <c r="L109" s="7">
        <v>6.4083865086599814E-2</v>
      </c>
    </row>
    <row r="110" spans="1:12" x14ac:dyDescent="0.3">
      <c r="A110" s="4" t="s">
        <v>67</v>
      </c>
      <c r="B110" s="7">
        <v>0</v>
      </c>
      <c r="C110" s="7">
        <v>0</v>
      </c>
      <c r="D110" s="7">
        <v>0</v>
      </c>
      <c r="E110" s="7">
        <v>7.4749316317228804E-3</v>
      </c>
      <c r="F110" s="7">
        <v>7.4749316317228804E-3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7.4749316317228804E-3</v>
      </c>
    </row>
    <row r="111" spans="1:12" x14ac:dyDescent="0.3">
      <c r="A111" s="4" t="s">
        <v>68</v>
      </c>
      <c r="B111" s="7">
        <v>0</v>
      </c>
      <c r="C111" s="7">
        <v>0</v>
      </c>
      <c r="D111" s="7">
        <v>0</v>
      </c>
      <c r="E111" s="7">
        <v>6.5633546034639927E-3</v>
      </c>
      <c r="F111" s="7">
        <v>6.5633546034639927E-3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6.5633546034639927E-3</v>
      </c>
    </row>
    <row r="112" spans="1:12" x14ac:dyDescent="0.3">
      <c r="A112" s="4" t="s">
        <v>69</v>
      </c>
      <c r="B112" s="7">
        <v>0</v>
      </c>
      <c r="C112" s="7">
        <v>0</v>
      </c>
      <c r="D112" s="7">
        <v>0</v>
      </c>
      <c r="E112" s="7">
        <v>6.289881494986326E-3</v>
      </c>
      <c r="F112" s="7">
        <v>6.289881494986326E-3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6.289881494986326E-3</v>
      </c>
    </row>
    <row r="113" spans="1:12" x14ac:dyDescent="0.3">
      <c r="A113" s="4" t="s">
        <v>70</v>
      </c>
      <c r="B113" s="7">
        <v>0</v>
      </c>
      <c r="C113" s="7">
        <v>0</v>
      </c>
      <c r="D113" s="7">
        <v>8.2041932543299913E-3</v>
      </c>
      <c r="E113" s="7">
        <v>0</v>
      </c>
      <c r="F113" s="7">
        <v>8.2041932543299913E-3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8.2041932543299913E-3</v>
      </c>
    </row>
    <row r="114" spans="1:12" x14ac:dyDescent="0.3">
      <c r="A114" s="4" t="s">
        <v>71</v>
      </c>
      <c r="B114" s="7">
        <v>0</v>
      </c>
      <c r="C114" s="7">
        <v>7.8395624430264363E-3</v>
      </c>
      <c r="D114" s="7">
        <v>0</v>
      </c>
      <c r="E114" s="7">
        <v>0</v>
      </c>
      <c r="F114" s="7">
        <v>7.8395624430264363E-3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7.8395624430264363E-3</v>
      </c>
    </row>
    <row r="115" spans="1:12" x14ac:dyDescent="0.3">
      <c r="A115" s="4" t="s">
        <v>72</v>
      </c>
      <c r="B115" s="7">
        <v>0</v>
      </c>
      <c r="C115" s="7">
        <v>7.019143117593437E-3</v>
      </c>
      <c r="D115" s="7">
        <v>0</v>
      </c>
      <c r="E115" s="7">
        <v>0</v>
      </c>
      <c r="F115" s="7">
        <v>7.019143117593437E-3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7.019143117593437E-3</v>
      </c>
    </row>
    <row r="116" spans="1:12" x14ac:dyDescent="0.3">
      <c r="A116" s="4" t="s">
        <v>73</v>
      </c>
      <c r="B116" s="7">
        <v>0</v>
      </c>
      <c r="C116" s="7">
        <v>5.7429352780309934E-3</v>
      </c>
      <c r="D116" s="7">
        <v>0</v>
      </c>
      <c r="E116" s="7">
        <v>0</v>
      </c>
      <c r="F116" s="7">
        <v>5.7429352780309934E-3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5.7429352780309934E-3</v>
      </c>
    </row>
    <row r="117" spans="1:12" x14ac:dyDescent="0.3">
      <c r="A117" s="4" t="s">
        <v>74</v>
      </c>
      <c r="B117" s="7">
        <v>0</v>
      </c>
      <c r="C117" s="7">
        <v>3.0993618960802188E-3</v>
      </c>
      <c r="D117" s="7">
        <v>0</v>
      </c>
      <c r="E117" s="7">
        <v>0</v>
      </c>
      <c r="F117" s="7">
        <v>3.0993618960802188E-3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3.0993618960802188E-3</v>
      </c>
    </row>
    <row r="118" spans="1:12" x14ac:dyDescent="0.3">
      <c r="A118" s="4" t="s">
        <v>75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4.8313582497721058E-3</v>
      </c>
      <c r="I118" s="7">
        <v>0</v>
      </c>
      <c r="J118" s="7">
        <v>0</v>
      </c>
      <c r="K118" s="7">
        <v>4.8313582497721058E-3</v>
      </c>
      <c r="L118" s="7">
        <v>4.8313582497721058E-3</v>
      </c>
    </row>
    <row r="119" spans="1:12" x14ac:dyDescent="0.3">
      <c r="A119" s="4" t="s">
        <v>76</v>
      </c>
      <c r="B119" s="7">
        <v>0</v>
      </c>
      <c r="C119" s="7">
        <v>6.3810391978122156E-4</v>
      </c>
      <c r="D119" s="7">
        <v>0</v>
      </c>
      <c r="E119" s="7">
        <v>0</v>
      </c>
      <c r="F119" s="7">
        <v>6.3810391978122156E-4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6.3810391978122156E-4</v>
      </c>
    </row>
    <row r="120" spans="1:12" x14ac:dyDescent="0.3">
      <c r="A120" s="4" t="s">
        <v>77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6.3810391978122152E-3</v>
      </c>
      <c r="I120" s="7">
        <v>0</v>
      </c>
      <c r="J120" s="7">
        <v>0</v>
      </c>
      <c r="K120" s="7">
        <v>6.3810391978122152E-3</v>
      </c>
      <c r="L120" s="7">
        <v>6.3810391978122152E-3</v>
      </c>
    </row>
    <row r="121" spans="1:12" x14ac:dyDescent="0.3">
      <c r="A121" s="3" t="s">
        <v>131</v>
      </c>
      <c r="B121" s="7">
        <v>0.11476754785779399</v>
      </c>
      <c r="C121" s="7">
        <v>7.8030993618960806E-2</v>
      </c>
      <c r="D121" s="7">
        <v>0.12616226071103009</v>
      </c>
      <c r="E121" s="7">
        <v>0.1195077484047402</v>
      </c>
      <c r="F121" s="7">
        <v>0.43846855059252504</v>
      </c>
      <c r="G121" s="7">
        <v>0.2332725615314494</v>
      </c>
      <c r="H121" s="7">
        <v>2.9808568824065632E-2</v>
      </c>
      <c r="I121" s="7">
        <v>0.19690063810391978</v>
      </c>
      <c r="J121" s="7">
        <v>0.10154968094804011</v>
      </c>
      <c r="K121" s="7">
        <v>0.5615314494074749</v>
      </c>
      <c r="L121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E916-695D-40E4-A45E-8F8C2D2EFB70}">
  <dimension ref="A2:N118"/>
  <sheetViews>
    <sheetView topLeftCell="A85" workbookViewId="0">
      <selection activeCell="K78" sqref="K78"/>
    </sheetView>
  </sheetViews>
  <sheetFormatPr defaultColWidth="13.77734375" defaultRowHeight="14.4" x14ac:dyDescent="0.3"/>
  <cols>
    <col min="1" max="1" width="11.109375" style="5" customWidth="1"/>
    <col min="2" max="16384" width="13.77734375" style="5"/>
  </cols>
  <sheetData>
    <row r="2" spans="1:14" s="11" customFormat="1" ht="28.8" x14ac:dyDescent="0.3">
      <c r="A2" s="21" t="s">
        <v>0</v>
      </c>
      <c r="B2" s="21" t="s">
        <v>136</v>
      </c>
      <c r="C2" s="22" t="s">
        <v>147</v>
      </c>
      <c r="D2" s="22" t="s">
        <v>137</v>
      </c>
      <c r="E2" s="22" t="s">
        <v>138</v>
      </c>
      <c r="F2" s="22" t="s">
        <v>139</v>
      </c>
      <c r="G2" s="21" t="s">
        <v>131</v>
      </c>
    </row>
    <row r="3" spans="1:14" x14ac:dyDescent="0.3">
      <c r="A3" s="26" t="s">
        <v>141</v>
      </c>
      <c r="B3" s="27">
        <v>2109</v>
      </c>
      <c r="C3" s="28">
        <v>0</v>
      </c>
      <c r="D3" s="28">
        <v>6.7730173199635368E-2</v>
      </c>
      <c r="E3" s="28">
        <v>7.8851412944393795E-2</v>
      </c>
      <c r="F3" s="28">
        <v>4.567000911577028E-2</v>
      </c>
      <c r="G3" s="29">
        <v>0.19225159525979946</v>
      </c>
      <c r="J3" s="35"/>
      <c r="K3" s="35"/>
      <c r="L3" s="35"/>
      <c r="M3" s="35"/>
      <c r="N3" s="35"/>
    </row>
    <row r="4" spans="1:14" x14ac:dyDescent="0.3">
      <c r="A4" s="25" t="s">
        <v>78</v>
      </c>
      <c r="B4" s="33">
        <v>6</v>
      </c>
      <c r="C4" s="15">
        <v>0</v>
      </c>
      <c r="D4" s="15">
        <v>0</v>
      </c>
      <c r="E4" s="15">
        <v>0</v>
      </c>
      <c r="F4" s="15">
        <v>5.4694621695533269E-4</v>
      </c>
      <c r="G4" s="18">
        <v>5.4694621695533269E-4</v>
      </c>
      <c r="J4" s="35"/>
      <c r="K4" s="35"/>
      <c r="L4" s="35"/>
      <c r="M4" s="35"/>
      <c r="N4" s="35"/>
    </row>
    <row r="5" spans="1:14" x14ac:dyDescent="0.3">
      <c r="A5" s="23" t="s">
        <v>79</v>
      </c>
      <c r="B5" s="34">
        <v>168</v>
      </c>
      <c r="C5" s="13">
        <v>0</v>
      </c>
      <c r="D5" s="13">
        <v>0</v>
      </c>
      <c r="E5" s="13">
        <v>0</v>
      </c>
      <c r="F5" s="13">
        <v>1.5314494074749316E-2</v>
      </c>
      <c r="G5" s="19">
        <v>1.5314494074749316E-2</v>
      </c>
      <c r="J5" s="35"/>
      <c r="K5" s="35"/>
      <c r="L5" s="35"/>
      <c r="M5" s="35"/>
      <c r="N5" s="35"/>
    </row>
    <row r="6" spans="1:14" x14ac:dyDescent="0.3">
      <c r="A6" s="23" t="s">
        <v>81</v>
      </c>
      <c r="B6" s="34">
        <v>157</v>
      </c>
      <c r="C6" s="13">
        <v>0</v>
      </c>
      <c r="D6" s="13">
        <v>0</v>
      </c>
      <c r="E6" s="13">
        <v>0</v>
      </c>
      <c r="F6" s="13">
        <v>1.431175934366454E-2</v>
      </c>
      <c r="G6" s="19">
        <v>1.431175934366454E-2</v>
      </c>
      <c r="J6" s="35"/>
      <c r="K6" s="35"/>
      <c r="L6" s="35"/>
      <c r="M6" s="35"/>
      <c r="N6" s="35"/>
    </row>
    <row r="7" spans="1:14" x14ac:dyDescent="0.3">
      <c r="A7" s="23" t="s">
        <v>82</v>
      </c>
      <c r="B7" s="34">
        <v>170</v>
      </c>
      <c r="C7" s="13">
        <v>0</v>
      </c>
      <c r="D7" s="13">
        <v>0</v>
      </c>
      <c r="E7" s="13">
        <v>0</v>
      </c>
      <c r="F7" s="13">
        <v>1.5496809480401094E-2</v>
      </c>
      <c r="G7" s="19">
        <v>1.5496809480401094E-2</v>
      </c>
      <c r="J7" s="35"/>
      <c r="K7" s="35"/>
      <c r="L7" s="35"/>
      <c r="M7" s="35"/>
      <c r="N7" s="35"/>
    </row>
    <row r="8" spans="1:14" x14ac:dyDescent="0.3">
      <c r="A8" s="23" t="s">
        <v>83</v>
      </c>
      <c r="B8" s="12">
        <v>169</v>
      </c>
      <c r="C8" s="13">
        <v>0</v>
      </c>
      <c r="D8" s="13">
        <v>0</v>
      </c>
      <c r="E8" s="13">
        <v>1.5405651777575205E-2</v>
      </c>
      <c r="F8" s="13">
        <v>0</v>
      </c>
      <c r="G8" s="19">
        <v>1.5405651777575205E-2</v>
      </c>
      <c r="J8" s="35"/>
      <c r="K8" s="35"/>
      <c r="L8" s="35"/>
      <c r="M8" s="35"/>
      <c r="N8" s="35"/>
    </row>
    <row r="9" spans="1:14" x14ac:dyDescent="0.3">
      <c r="A9" s="23" t="s">
        <v>84</v>
      </c>
      <c r="B9" s="12">
        <v>171</v>
      </c>
      <c r="C9" s="13">
        <v>0</v>
      </c>
      <c r="D9" s="13">
        <v>0</v>
      </c>
      <c r="E9" s="13">
        <v>1.5587967183226983E-2</v>
      </c>
      <c r="F9" s="13">
        <v>0</v>
      </c>
      <c r="G9" s="19">
        <v>1.5587967183226983E-2</v>
      </c>
      <c r="J9" s="35"/>
      <c r="K9" s="35"/>
      <c r="L9" s="35"/>
      <c r="M9" s="35"/>
      <c r="N9" s="35"/>
    </row>
    <row r="10" spans="1:14" x14ac:dyDescent="0.3">
      <c r="A10" s="23" t="s">
        <v>85</v>
      </c>
      <c r="B10" s="12">
        <v>67</v>
      </c>
      <c r="C10" s="13">
        <v>0</v>
      </c>
      <c r="D10" s="13">
        <v>0</v>
      </c>
      <c r="E10" s="13">
        <v>6.1075660893345485E-3</v>
      </c>
      <c r="F10" s="13">
        <v>0</v>
      </c>
      <c r="G10" s="19">
        <v>6.1075660893345485E-3</v>
      </c>
      <c r="J10" s="35"/>
      <c r="K10" s="35"/>
      <c r="L10" s="35"/>
      <c r="M10" s="35"/>
      <c r="N10" s="35"/>
    </row>
    <row r="11" spans="1:14" x14ac:dyDescent="0.3">
      <c r="A11" s="23" t="s">
        <v>86</v>
      </c>
      <c r="B11" s="12">
        <v>154</v>
      </c>
      <c r="C11" s="13">
        <v>0</v>
      </c>
      <c r="D11" s="13">
        <v>0</v>
      </c>
      <c r="E11" s="13">
        <v>1.4038286235186874E-2</v>
      </c>
      <c r="F11" s="13">
        <v>0</v>
      </c>
      <c r="G11" s="19">
        <v>1.4038286235186874E-2</v>
      </c>
      <c r="J11" s="35"/>
      <c r="K11" s="35"/>
      <c r="L11" s="35"/>
      <c r="M11" s="35"/>
      <c r="N11" s="35"/>
    </row>
    <row r="12" spans="1:14" x14ac:dyDescent="0.3">
      <c r="A12" s="23" t="s">
        <v>87</v>
      </c>
      <c r="B12" s="12">
        <v>139</v>
      </c>
      <c r="C12" s="13">
        <v>0</v>
      </c>
      <c r="D12" s="13">
        <v>0</v>
      </c>
      <c r="E12" s="13">
        <v>1.2670920692798541E-2</v>
      </c>
      <c r="F12" s="13">
        <v>0</v>
      </c>
      <c r="G12" s="19">
        <v>1.2670920692798541E-2</v>
      </c>
      <c r="J12" s="35"/>
      <c r="K12" s="35"/>
      <c r="L12" s="35"/>
      <c r="M12" s="35"/>
      <c r="N12" s="35"/>
    </row>
    <row r="13" spans="1:14" x14ac:dyDescent="0.3">
      <c r="A13" s="23" t="s">
        <v>88</v>
      </c>
      <c r="B13" s="12">
        <v>165</v>
      </c>
      <c r="C13" s="13">
        <v>0</v>
      </c>
      <c r="D13" s="13">
        <v>0</v>
      </c>
      <c r="E13" s="13">
        <v>1.504102096627165E-2</v>
      </c>
      <c r="F13" s="13">
        <v>0</v>
      </c>
      <c r="G13" s="19">
        <v>1.504102096627165E-2</v>
      </c>
      <c r="J13" s="35"/>
      <c r="K13" s="35"/>
      <c r="L13" s="35"/>
      <c r="M13" s="35"/>
      <c r="N13" s="35"/>
    </row>
    <row r="14" spans="1:14" x14ac:dyDescent="0.3">
      <c r="A14" s="23" t="s">
        <v>89</v>
      </c>
      <c r="B14" s="12">
        <v>158</v>
      </c>
      <c r="C14" s="13">
        <v>0</v>
      </c>
      <c r="D14" s="13">
        <v>1.4402917046490429E-2</v>
      </c>
      <c r="E14" s="13">
        <v>0</v>
      </c>
      <c r="F14" s="13">
        <v>0</v>
      </c>
      <c r="G14" s="19">
        <v>1.4402917046490429E-2</v>
      </c>
      <c r="J14" s="35"/>
      <c r="K14" s="35"/>
      <c r="L14" s="35"/>
      <c r="M14" s="35"/>
      <c r="N14" s="35"/>
    </row>
    <row r="15" spans="1:14" x14ac:dyDescent="0.3">
      <c r="A15" s="23" t="s">
        <v>90</v>
      </c>
      <c r="B15" s="12">
        <v>143</v>
      </c>
      <c r="C15" s="13">
        <v>0</v>
      </c>
      <c r="D15" s="13">
        <v>1.3035551504102096E-2</v>
      </c>
      <c r="E15" s="13">
        <v>0</v>
      </c>
      <c r="F15" s="13">
        <v>0</v>
      </c>
      <c r="G15" s="19">
        <v>1.3035551504102096E-2</v>
      </c>
      <c r="J15" s="35"/>
      <c r="K15" s="35"/>
      <c r="L15" s="35"/>
      <c r="M15" s="35"/>
      <c r="N15" s="35"/>
    </row>
    <row r="16" spans="1:14" x14ac:dyDescent="0.3">
      <c r="A16" s="23" t="s">
        <v>91</v>
      </c>
      <c r="B16" s="12">
        <v>167</v>
      </c>
      <c r="C16" s="13">
        <v>0</v>
      </c>
      <c r="D16" s="13">
        <v>1.5223336371923428E-2</v>
      </c>
      <c r="E16" s="13">
        <v>0</v>
      </c>
      <c r="F16" s="13">
        <v>0</v>
      </c>
      <c r="G16" s="19">
        <v>1.5223336371923428E-2</v>
      </c>
      <c r="J16" s="35"/>
      <c r="K16" s="35"/>
      <c r="L16" s="35"/>
      <c r="M16" s="35"/>
      <c r="N16" s="35"/>
    </row>
    <row r="17" spans="1:14" x14ac:dyDescent="0.3">
      <c r="A17" s="23" t="s">
        <v>92</v>
      </c>
      <c r="B17" s="12">
        <v>130</v>
      </c>
      <c r="C17" s="13">
        <v>0</v>
      </c>
      <c r="D17" s="13">
        <v>1.1850501367365542E-2</v>
      </c>
      <c r="E17" s="13">
        <v>0</v>
      </c>
      <c r="F17" s="13">
        <v>0</v>
      </c>
      <c r="G17" s="19">
        <v>1.1850501367365542E-2</v>
      </c>
      <c r="J17" s="35"/>
      <c r="K17" s="35"/>
      <c r="L17" s="35"/>
      <c r="M17" s="35"/>
      <c r="N17" s="35"/>
    </row>
    <row r="18" spans="1:14" x14ac:dyDescent="0.3">
      <c r="A18" s="24" t="s">
        <v>93</v>
      </c>
      <c r="B18" s="16">
        <v>145</v>
      </c>
      <c r="C18" s="17">
        <v>0</v>
      </c>
      <c r="D18" s="17">
        <v>1.3217866909753875E-2</v>
      </c>
      <c r="E18" s="17">
        <v>0</v>
      </c>
      <c r="F18" s="17">
        <v>0</v>
      </c>
      <c r="G18" s="20">
        <v>1.3217866909753875E-2</v>
      </c>
      <c r="J18" s="35"/>
      <c r="K18" s="35"/>
      <c r="L18" s="35"/>
      <c r="M18" s="35"/>
      <c r="N18" s="35"/>
    </row>
    <row r="19" spans="1:14" x14ac:dyDescent="0.3">
      <c r="A19" s="26" t="s">
        <v>142</v>
      </c>
      <c r="B19" s="27">
        <v>1811</v>
      </c>
      <c r="C19" s="28">
        <v>0</v>
      </c>
      <c r="D19" s="28">
        <v>1.6955332725615314E-2</v>
      </c>
      <c r="E19" s="28">
        <v>7.1467639015496812E-2</v>
      </c>
      <c r="F19" s="28">
        <v>7.6663628076572468E-2</v>
      </c>
      <c r="G19" s="29">
        <v>0.16508659981768459</v>
      </c>
      <c r="J19" s="35"/>
      <c r="K19" s="35"/>
      <c r="L19" s="35"/>
      <c r="M19" s="35"/>
      <c r="N19" s="35"/>
    </row>
    <row r="20" spans="1:14" x14ac:dyDescent="0.3">
      <c r="A20" s="25" t="s">
        <v>16</v>
      </c>
      <c r="B20" s="14">
        <v>111</v>
      </c>
      <c r="C20" s="15">
        <v>0</v>
      </c>
      <c r="D20" s="15">
        <v>0</v>
      </c>
      <c r="E20" s="15">
        <v>0</v>
      </c>
      <c r="F20" s="15">
        <v>1.0118505013673656E-2</v>
      </c>
      <c r="G20" s="18">
        <v>1.0118505013673656E-2</v>
      </c>
      <c r="J20" s="35"/>
      <c r="K20" s="35"/>
      <c r="L20" s="35"/>
      <c r="M20" s="35"/>
      <c r="N20" s="35"/>
    </row>
    <row r="21" spans="1:14" x14ac:dyDescent="0.3">
      <c r="A21" s="23" t="s">
        <v>17</v>
      </c>
      <c r="B21" s="12">
        <v>97</v>
      </c>
      <c r="C21" s="13">
        <v>0</v>
      </c>
      <c r="D21" s="13">
        <v>0</v>
      </c>
      <c r="E21" s="13">
        <v>0</v>
      </c>
      <c r="F21" s="13">
        <v>8.8422971741112123E-3</v>
      </c>
      <c r="G21" s="19">
        <v>8.8422971741112123E-3</v>
      </c>
      <c r="J21" s="35"/>
      <c r="K21" s="35"/>
      <c r="L21" s="35"/>
      <c r="M21" s="35"/>
      <c r="N21" s="35"/>
    </row>
    <row r="22" spans="1:14" x14ac:dyDescent="0.3">
      <c r="A22" s="23" t="s">
        <v>18</v>
      </c>
      <c r="B22" s="12">
        <v>151</v>
      </c>
      <c r="C22" s="13">
        <v>0</v>
      </c>
      <c r="D22" s="13">
        <v>0</v>
      </c>
      <c r="E22" s="13">
        <v>0</v>
      </c>
      <c r="F22" s="13">
        <v>1.3764813126709206E-2</v>
      </c>
      <c r="G22" s="19">
        <v>1.3764813126709206E-2</v>
      </c>
      <c r="J22" s="35"/>
      <c r="K22" s="35"/>
      <c r="L22" s="35"/>
      <c r="M22" s="35"/>
      <c r="N22" s="35"/>
    </row>
    <row r="23" spans="1:14" x14ac:dyDescent="0.3">
      <c r="A23" s="23" t="s">
        <v>19</v>
      </c>
      <c r="B23" s="12">
        <v>116</v>
      </c>
      <c r="C23" s="13">
        <v>0</v>
      </c>
      <c r="D23" s="13">
        <v>0</v>
      </c>
      <c r="E23" s="13">
        <v>0</v>
      </c>
      <c r="F23" s="13">
        <v>1.05742935278031E-2</v>
      </c>
      <c r="G23" s="19">
        <v>1.05742935278031E-2</v>
      </c>
      <c r="J23" s="35"/>
      <c r="K23" s="35"/>
      <c r="L23" s="35"/>
      <c r="M23" s="35"/>
      <c r="N23" s="35"/>
    </row>
    <row r="24" spans="1:14" x14ac:dyDescent="0.3">
      <c r="A24" s="23" t="s">
        <v>20</v>
      </c>
      <c r="B24" s="12">
        <v>195</v>
      </c>
      <c r="C24" s="13">
        <v>0</v>
      </c>
      <c r="D24" s="13">
        <v>0</v>
      </c>
      <c r="E24" s="13">
        <v>0</v>
      </c>
      <c r="F24" s="13">
        <v>1.7775752051048314E-2</v>
      </c>
      <c r="G24" s="19">
        <v>1.7775752051048314E-2</v>
      </c>
      <c r="J24" s="35"/>
      <c r="K24" s="35"/>
      <c r="L24" s="35"/>
      <c r="M24" s="35"/>
      <c r="N24" s="35"/>
    </row>
    <row r="25" spans="1:14" x14ac:dyDescent="0.3">
      <c r="A25" s="23" t="s">
        <v>21</v>
      </c>
      <c r="B25" s="12">
        <v>171</v>
      </c>
      <c r="C25" s="13">
        <v>0</v>
      </c>
      <c r="D25" s="13">
        <v>0</v>
      </c>
      <c r="E25" s="13">
        <v>0</v>
      </c>
      <c r="F25" s="13">
        <v>1.5587967183226983E-2</v>
      </c>
      <c r="G25" s="19">
        <v>1.5587967183226983E-2</v>
      </c>
      <c r="J25" s="35"/>
      <c r="K25" s="35"/>
      <c r="L25" s="35"/>
      <c r="M25" s="35"/>
      <c r="N25" s="35"/>
    </row>
    <row r="26" spans="1:14" x14ac:dyDescent="0.3">
      <c r="A26" s="23" t="s">
        <v>22</v>
      </c>
      <c r="B26" s="12">
        <v>78</v>
      </c>
      <c r="C26" s="13">
        <v>0</v>
      </c>
      <c r="D26" s="13">
        <v>0</v>
      </c>
      <c r="E26" s="13">
        <v>7.1103008204193253E-3</v>
      </c>
      <c r="F26" s="13">
        <v>0</v>
      </c>
      <c r="G26" s="19">
        <v>7.1103008204193253E-3</v>
      </c>
      <c r="J26" s="35"/>
      <c r="K26" s="35"/>
      <c r="L26" s="35"/>
      <c r="M26" s="35"/>
      <c r="N26" s="35"/>
    </row>
    <row r="27" spans="1:14" x14ac:dyDescent="0.3">
      <c r="A27" s="23" t="s">
        <v>23</v>
      </c>
      <c r="B27" s="12">
        <v>153</v>
      </c>
      <c r="C27" s="13">
        <v>0</v>
      </c>
      <c r="D27" s="13">
        <v>0</v>
      </c>
      <c r="E27" s="13">
        <v>1.3947128532360985E-2</v>
      </c>
      <c r="F27" s="13">
        <v>0</v>
      </c>
      <c r="G27" s="19">
        <v>1.3947128532360985E-2</v>
      </c>
      <c r="J27" s="35"/>
      <c r="K27" s="35"/>
      <c r="L27" s="35"/>
      <c r="M27" s="35"/>
      <c r="N27" s="35"/>
    </row>
    <row r="28" spans="1:14" x14ac:dyDescent="0.3">
      <c r="A28" s="23" t="s">
        <v>24</v>
      </c>
      <c r="B28" s="12">
        <v>85</v>
      </c>
      <c r="C28" s="13">
        <v>0</v>
      </c>
      <c r="D28" s="13">
        <v>0</v>
      </c>
      <c r="E28" s="13">
        <v>7.7484047402005471E-3</v>
      </c>
      <c r="F28" s="13">
        <v>0</v>
      </c>
      <c r="G28" s="19">
        <v>7.7484047402005471E-3</v>
      </c>
      <c r="J28" s="35"/>
      <c r="K28" s="35"/>
      <c r="L28" s="35"/>
      <c r="M28" s="35"/>
      <c r="N28" s="35"/>
    </row>
    <row r="29" spans="1:14" x14ac:dyDescent="0.3">
      <c r="A29" s="23" t="s">
        <v>25</v>
      </c>
      <c r="B29" s="12">
        <v>172</v>
      </c>
      <c r="C29" s="13">
        <v>0</v>
      </c>
      <c r="D29" s="13">
        <v>0</v>
      </c>
      <c r="E29" s="13">
        <v>1.5679124886052873E-2</v>
      </c>
      <c r="F29" s="13">
        <v>0</v>
      </c>
      <c r="G29" s="19">
        <v>1.5679124886052873E-2</v>
      </c>
      <c r="J29" s="35"/>
      <c r="K29" s="35"/>
      <c r="L29" s="35"/>
      <c r="M29" s="35"/>
      <c r="N29" s="35"/>
    </row>
    <row r="30" spans="1:14" x14ac:dyDescent="0.3">
      <c r="A30" s="23" t="s">
        <v>26</v>
      </c>
      <c r="B30" s="12">
        <v>154</v>
      </c>
      <c r="C30" s="13">
        <v>0</v>
      </c>
      <c r="D30" s="13">
        <v>0</v>
      </c>
      <c r="E30" s="13">
        <v>1.4038286235186874E-2</v>
      </c>
      <c r="F30" s="13">
        <v>0</v>
      </c>
      <c r="G30" s="19">
        <v>1.4038286235186874E-2</v>
      </c>
      <c r="J30" s="35"/>
      <c r="K30" s="35"/>
      <c r="L30" s="35"/>
      <c r="M30" s="35"/>
      <c r="N30" s="35"/>
    </row>
    <row r="31" spans="1:14" x14ac:dyDescent="0.3">
      <c r="A31" s="23" t="s">
        <v>27</v>
      </c>
      <c r="B31" s="12">
        <v>142</v>
      </c>
      <c r="C31" s="13">
        <v>0</v>
      </c>
      <c r="D31" s="13">
        <v>0</v>
      </c>
      <c r="E31" s="13">
        <v>1.2944393801276207E-2</v>
      </c>
      <c r="F31" s="13">
        <v>0</v>
      </c>
      <c r="G31" s="19">
        <v>1.2944393801276207E-2</v>
      </c>
      <c r="J31" s="35"/>
      <c r="K31" s="35"/>
      <c r="L31" s="35"/>
      <c r="M31" s="35"/>
      <c r="N31" s="35"/>
    </row>
    <row r="32" spans="1:14" x14ac:dyDescent="0.3">
      <c r="A32" s="23" t="s">
        <v>28</v>
      </c>
      <c r="B32" s="12">
        <v>24</v>
      </c>
      <c r="C32" s="13">
        <v>0</v>
      </c>
      <c r="D32" s="13">
        <v>2.1877848678213308E-3</v>
      </c>
      <c r="E32" s="13">
        <v>0</v>
      </c>
      <c r="F32" s="13">
        <v>0</v>
      </c>
      <c r="G32" s="19">
        <v>2.1877848678213308E-3</v>
      </c>
      <c r="J32" s="35"/>
      <c r="K32" s="35"/>
      <c r="L32" s="35"/>
      <c r="M32" s="35"/>
      <c r="N32" s="35"/>
    </row>
    <row r="33" spans="1:14" x14ac:dyDescent="0.3">
      <c r="A33" s="23" t="s">
        <v>29</v>
      </c>
      <c r="B33" s="12">
        <v>39</v>
      </c>
      <c r="C33" s="13">
        <v>0</v>
      </c>
      <c r="D33" s="13">
        <v>3.5551504102096627E-3</v>
      </c>
      <c r="E33" s="13">
        <v>0</v>
      </c>
      <c r="F33" s="13">
        <v>0</v>
      </c>
      <c r="G33" s="19">
        <v>3.5551504102096627E-3</v>
      </c>
      <c r="J33" s="35"/>
      <c r="K33" s="35"/>
      <c r="L33" s="35"/>
      <c r="M33" s="35"/>
      <c r="N33" s="35"/>
    </row>
    <row r="34" spans="1:14" x14ac:dyDescent="0.3">
      <c r="A34" s="23" t="s">
        <v>30</v>
      </c>
      <c r="B34" s="12">
        <v>109</v>
      </c>
      <c r="C34" s="13">
        <v>0</v>
      </c>
      <c r="D34" s="13">
        <v>9.9361896080218774E-3</v>
      </c>
      <c r="E34" s="13">
        <v>0</v>
      </c>
      <c r="F34" s="13">
        <v>0</v>
      </c>
      <c r="G34" s="19">
        <v>9.9361896080218774E-3</v>
      </c>
      <c r="J34" s="35"/>
      <c r="K34" s="35"/>
      <c r="L34" s="35"/>
      <c r="M34" s="35"/>
      <c r="N34" s="35"/>
    </row>
    <row r="35" spans="1:14" x14ac:dyDescent="0.3">
      <c r="A35" s="24" t="s">
        <v>31</v>
      </c>
      <c r="B35" s="16">
        <v>14</v>
      </c>
      <c r="C35" s="17">
        <v>0</v>
      </c>
      <c r="D35" s="17">
        <v>1.2762078395624431E-3</v>
      </c>
      <c r="E35" s="17">
        <v>0</v>
      </c>
      <c r="F35" s="17">
        <v>0</v>
      </c>
      <c r="G35" s="20">
        <v>1.2762078395624431E-3</v>
      </c>
      <c r="J35" s="35"/>
      <c r="K35" s="35"/>
      <c r="L35" s="35"/>
      <c r="M35" s="35"/>
      <c r="N35" s="35"/>
    </row>
    <row r="36" spans="1:14" x14ac:dyDescent="0.3">
      <c r="A36" s="26" t="s">
        <v>143</v>
      </c>
      <c r="B36" s="27">
        <v>1153</v>
      </c>
      <c r="C36" s="28">
        <v>0</v>
      </c>
      <c r="D36" s="28">
        <v>9.0793072014585238E-2</v>
      </c>
      <c r="E36" s="28">
        <v>1.431175934366454E-2</v>
      </c>
      <c r="F36" s="28">
        <v>0</v>
      </c>
      <c r="G36" s="29">
        <v>0.10510483135824977</v>
      </c>
      <c r="J36" s="35"/>
      <c r="K36" s="35"/>
      <c r="L36" s="35"/>
      <c r="M36" s="35"/>
      <c r="N36" s="35"/>
    </row>
    <row r="37" spans="1:14" x14ac:dyDescent="0.3">
      <c r="A37" s="25" t="s">
        <v>32</v>
      </c>
      <c r="B37" s="14">
        <v>157</v>
      </c>
      <c r="C37" s="15">
        <v>0</v>
      </c>
      <c r="D37" s="15">
        <v>0</v>
      </c>
      <c r="E37" s="15">
        <v>1.431175934366454E-2</v>
      </c>
      <c r="F37" s="15">
        <v>0</v>
      </c>
      <c r="G37" s="18">
        <v>1.431175934366454E-2</v>
      </c>
      <c r="J37" s="35"/>
      <c r="K37" s="35"/>
      <c r="L37" s="35"/>
      <c r="M37" s="35"/>
      <c r="N37" s="35"/>
    </row>
    <row r="38" spans="1:14" x14ac:dyDescent="0.3">
      <c r="A38" s="23" t="s">
        <v>33</v>
      </c>
      <c r="B38" s="12">
        <v>108</v>
      </c>
      <c r="C38" s="13">
        <v>0</v>
      </c>
      <c r="D38" s="13">
        <v>9.8450319051959882E-3</v>
      </c>
      <c r="E38" s="13">
        <v>0</v>
      </c>
      <c r="F38" s="13">
        <v>0</v>
      </c>
      <c r="G38" s="19">
        <v>9.8450319051959882E-3</v>
      </c>
      <c r="J38" s="35"/>
      <c r="K38" s="35"/>
      <c r="L38" s="35"/>
      <c r="M38" s="35"/>
      <c r="N38" s="35"/>
    </row>
    <row r="39" spans="1:14" x14ac:dyDescent="0.3">
      <c r="A39" s="23" t="s">
        <v>34</v>
      </c>
      <c r="B39" s="12">
        <v>130</v>
      </c>
      <c r="C39" s="13">
        <v>0</v>
      </c>
      <c r="D39" s="13">
        <v>1.1850501367365542E-2</v>
      </c>
      <c r="E39" s="13">
        <v>0</v>
      </c>
      <c r="F39" s="13">
        <v>0</v>
      </c>
      <c r="G39" s="19">
        <v>1.1850501367365542E-2</v>
      </c>
      <c r="J39" s="35"/>
      <c r="K39" s="35"/>
      <c r="L39" s="35"/>
      <c r="M39" s="35"/>
      <c r="N39" s="35"/>
    </row>
    <row r="40" spans="1:14" x14ac:dyDescent="0.3">
      <c r="A40" s="23" t="s">
        <v>35</v>
      </c>
      <c r="B40" s="12">
        <v>115</v>
      </c>
      <c r="C40" s="13">
        <v>0</v>
      </c>
      <c r="D40" s="13">
        <v>1.0483135824977211E-2</v>
      </c>
      <c r="E40" s="13">
        <v>0</v>
      </c>
      <c r="F40" s="13">
        <v>0</v>
      </c>
      <c r="G40" s="19">
        <v>1.0483135824977211E-2</v>
      </c>
      <c r="J40" s="35"/>
      <c r="K40" s="35"/>
      <c r="L40" s="35"/>
      <c r="M40" s="35"/>
      <c r="N40" s="35"/>
    </row>
    <row r="41" spans="1:14" x14ac:dyDescent="0.3">
      <c r="A41" s="23" t="s">
        <v>36</v>
      </c>
      <c r="B41" s="12">
        <v>127</v>
      </c>
      <c r="C41" s="13">
        <v>0</v>
      </c>
      <c r="D41" s="13">
        <v>1.1577028258887876E-2</v>
      </c>
      <c r="E41" s="13">
        <v>0</v>
      </c>
      <c r="F41" s="13">
        <v>0</v>
      </c>
      <c r="G41" s="19">
        <v>1.1577028258887876E-2</v>
      </c>
      <c r="J41" s="35"/>
      <c r="K41" s="35"/>
      <c r="L41" s="35"/>
      <c r="M41" s="35"/>
      <c r="N41" s="35"/>
    </row>
    <row r="42" spans="1:14" x14ac:dyDescent="0.3">
      <c r="A42" s="23" t="s">
        <v>37</v>
      </c>
      <c r="B42" s="12">
        <v>128</v>
      </c>
      <c r="C42" s="13">
        <v>0</v>
      </c>
      <c r="D42" s="13">
        <v>1.1668185961713765E-2</v>
      </c>
      <c r="E42" s="13">
        <v>0</v>
      </c>
      <c r="F42" s="13">
        <v>0</v>
      </c>
      <c r="G42" s="19">
        <v>1.1668185961713765E-2</v>
      </c>
      <c r="J42" s="35"/>
      <c r="K42" s="35"/>
      <c r="L42" s="35"/>
      <c r="M42" s="35"/>
      <c r="N42" s="35"/>
    </row>
    <row r="43" spans="1:14" x14ac:dyDescent="0.3">
      <c r="A43" s="23" t="s">
        <v>38</v>
      </c>
      <c r="B43" s="12">
        <v>122</v>
      </c>
      <c r="C43" s="13">
        <v>0</v>
      </c>
      <c r="D43" s="13">
        <v>1.1121239744758432E-2</v>
      </c>
      <c r="E43" s="13">
        <v>0</v>
      </c>
      <c r="F43" s="13">
        <v>0</v>
      </c>
      <c r="G43" s="19">
        <v>1.1121239744758432E-2</v>
      </c>
      <c r="J43" s="35"/>
      <c r="K43" s="35"/>
      <c r="L43" s="35"/>
      <c r="M43" s="35"/>
      <c r="N43" s="35"/>
    </row>
    <row r="44" spans="1:14" x14ac:dyDescent="0.3">
      <c r="A44" s="23" t="s">
        <v>39</v>
      </c>
      <c r="B44" s="12">
        <v>136</v>
      </c>
      <c r="C44" s="13">
        <v>0</v>
      </c>
      <c r="D44" s="13">
        <v>1.2397447584320875E-2</v>
      </c>
      <c r="E44" s="13">
        <v>0</v>
      </c>
      <c r="F44" s="13">
        <v>0</v>
      </c>
      <c r="G44" s="19">
        <v>1.2397447584320875E-2</v>
      </c>
      <c r="J44" s="35"/>
      <c r="K44" s="35"/>
      <c r="L44" s="35"/>
      <c r="M44" s="35"/>
      <c r="N44" s="35"/>
    </row>
    <row r="45" spans="1:14" x14ac:dyDescent="0.3">
      <c r="A45" s="24" t="s">
        <v>40</v>
      </c>
      <c r="B45" s="16">
        <v>130</v>
      </c>
      <c r="C45" s="17">
        <v>0</v>
      </c>
      <c r="D45" s="17">
        <v>1.1850501367365542E-2</v>
      </c>
      <c r="E45" s="17">
        <v>0</v>
      </c>
      <c r="F45" s="17">
        <v>0</v>
      </c>
      <c r="G45" s="20">
        <v>1.1850501367365542E-2</v>
      </c>
      <c r="J45" s="35"/>
      <c r="K45" s="35"/>
      <c r="L45" s="35"/>
      <c r="M45" s="35"/>
      <c r="N45" s="35"/>
    </row>
    <row r="46" spans="1:14" x14ac:dyDescent="0.3">
      <c r="A46" s="26" t="s">
        <v>145</v>
      </c>
      <c r="B46" s="27">
        <v>1243</v>
      </c>
      <c r="C46" s="28">
        <v>0</v>
      </c>
      <c r="D46" s="28">
        <v>0</v>
      </c>
      <c r="E46" s="28">
        <v>8.8969917958067454E-2</v>
      </c>
      <c r="F46" s="28">
        <v>2.4339106654512305E-2</v>
      </c>
      <c r="G46" s="29">
        <v>0.11330902461257976</v>
      </c>
      <c r="J46" s="35"/>
      <c r="K46" s="35"/>
      <c r="L46" s="35"/>
      <c r="M46" s="35"/>
      <c r="N46" s="35"/>
    </row>
    <row r="47" spans="1:14" x14ac:dyDescent="0.3">
      <c r="A47" s="25" t="s">
        <v>41</v>
      </c>
      <c r="B47" s="14">
        <v>8</v>
      </c>
      <c r="C47" s="15">
        <v>0</v>
      </c>
      <c r="D47" s="15">
        <v>0</v>
      </c>
      <c r="E47" s="15">
        <v>0</v>
      </c>
      <c r="F47" s="15">
        <v>7.2926162260711033E-4</v>
      </c>
      <c r="G47" s="18">
        <v>7.2926162260711033E-4</v>
      </c>
      <c r="J47" s="35"/>
      <c r="K47" s="35"/>
      <c r="L47" s="35"/>
      <c r="M47" s="35"/>
      <c r="N47" s="35"/>
    </row>
    <row r="48" spans="1:14" x14ac:dyDescent="0.3">
      <c r="A48" s="23" t="s">
        <v>42</v>
      </c>
      <c r="B48" s="12">
        <v>103</v>
      </c>
      <c r="C48" s="13">
        <v>0</v>
      </c>
      <c r="D48" s="13">
        <v>0</v>
      </c>
      <c r="E48" s="13">
        <v>0</v>
      </c>
      <c r="F48" s="13">
        <v>9.3892433910665457E-3</v>
      </c>
      <c r="G48" s="19">
        <v>9.3892433910665457E-3</v>
      </c>
      <c r="J48" s="35"/>
      <c r="K48" s="35"/>
      <c r="L48" s="35"/>
      <c r="M48" s="35"/>
      <c r="N48" s="35"/>
    </row>
    <row r="49" spans="1:14" x14ac:dyDescent="0.3">
      <c r="A49" s="23" t="s">
        <v>43</v>
      </c>
      <c r="B49" s="12">
        <v>156</v>
      </c>
      <c r="C49" s="13">
        <v>0</v>
      </c>
      <c r="D49" s="13">
        <v>0</v>
      </c>
      <c r="E49" s="13">
        <v>0</v>
      </c>
      <c r="F49" s="13">
        <v>1.4220601640838651E-2</v>
      </c>
      <c r="G49" s="19">
        <v>1.4220601640838651E-2</v>
      </c>
      <c r="J49" s="35"/>
      <c r="K49" s="35"/>
      <c r="L49" s="35"/>
      <c r="M49" s="35"/>
      <c r="N49" s="35"/>
    </row>
    <row r="50" spans="1:14" x14ac:dyDescent="0.3">
      <c r="A50" s="23" t="s">
        <v>44</v>
      </c>
      <c r="B50" s="12">
        <v>124</v>
      </c>
      <c r="C50" s="13">
        <v>0</v>
      </c>
      <c r="D50" s="13">
        <v>0</v>
      </c>
      <c r="E50" s="13">
        <v>1.130355515041021E-2</v>
      </c>
      <c r="F50" s="13">
        <v>0</v>
      </c>
      <c r="G50" s="19">
        <v>1.130355515041021E-2</v>
      </c>
      <c r="J50" s="35"/>
      <c r="K50" s="35"/>
      <c r="L50" s="35"/>
      <c r="M50" s="35"/>
      <c r="N50" s="35"/>
    </row>
    <row r="51" spans="1:14" x14ac:dyDescent="0.3">
      <c r="A51" s="23" t="s">
        <v>45</v>
      </c>
      <c r="B51" s="12">
        <v>12</v>
      </c>
      <c r="C51" s="13">
        <v>0</v>
      </c>
      <c r="D51" s="13">
        <v>0</v>
      </c>
      <c r="E51" s="13">
        <v>1.0938924339106654E-3</v>
      </c>
      <c r="F51" s="13">
        <v>0</v>
      </c>
      <c r="G51" s="19">
        <v>1.0938924339106654E-3</v>
      </c>
      <c r="J51" s="35"/>
      <c r="K51" s="35"/>
      <c r="L51" s="35"/>
      <c r="M51" s="35"/>
      <c r="N51" s="35"/>
    </row>
    <row r="52" spans="1:14" x14ac:dyDescent="0.3">
      <c r="A52" s="23" t="s">
        <v>46</v>
      </c>
      <c r="B52" s="12">
        <v>100</v>
      </c>
      <c r="C52" s="13">
        <v>0</v>
      </c>
      <c r="D52" s="13">
        <v>0</v>
      </c>
      <c r="E52" s="13">
        <v>9.1157702825888781E-3</v>
      </c>
      <c r="F52" s="13">
        <v>0</v>
      </c>
      <c r="G52" s="19">
        <v>9.1157702825888781E-3</v>
      </c>
      <c r="J52" s="35"/>
      <c r="K52" s="35"/>
      <c r="L52" s="35"/>
      <c r="M52" s="35"/>
      <c r="N52" s="35"/>
    </row>
    <row r="53" spans="1:14" x14ac:dyDescent="0.3">
      <c r="A53" s="23" t="s">
        <v>47</v>
      </c>
      <c r="B53" s="12">
        <v>133</v>
      </c>
      <c r="C53" s="13">
        <v>0</v>
      </c>
      <c r="D53" s="13">
        <v>0</v>
      </c>
      <c r="E53" s="13">
        <v>1.2123974475843209E-2</v>
      </c>
      <c r="F53" s="13">
        <v>0</v>
      </c>
      <c r="G53" s="19">
        <v>1.2123974475843209E-2</v>
      </c>
      <c r="J53" s="35"/>
      <c r="K53" s="35"/>
      <c r="L53" s="35"/>
      <c r="M53" s="35"/>
      <c r="N53" s="35"/>
    </row>
    <row r="54" spans="1:14" x14ac:dyDescent="0.3">
      <c r="A54" s="23" t="s">
        <v>48</v>
      </c>
      <c r="B54" s="12">
        <v>101</v>
      </c>
      <c r="C54" s="13">
        <v>0</v>
      </c>
      <c r="D54" s="13">
        <v>0</v>
      </c>
      <c r="E54" s="13">
        <v>9.2069279854147673E-3</v>
      </c>
      <c r="F54" s="13">
        <v>0</v>
      </c>
      <c r="G54" s="19">
        <v>9.2069279854147673E-3</v>
      </c>
      <c r="J54" s="35"/>
      <c r="K54" s="35"/>
      <c r="L54" s="35"/>
      <c r="M54" s="35"/>
      <c r="N54" s="35"/>
    </row>
    <row r="55" spans="1:14" x14ac:dyDescent="0.3">
      <c r="A55" s="23" t="s">
        <v>49</v>
      </c>
      <c r="B55" s="12">
        <v>116</v>
      </c>
      <c r="C55" s="13">
        <v>0</v>
      </c>
      <c r="D55" s="13">
        <v>0</v>
      </c>
      <c r="E55" s="13">
        <v>1.05742935278031E-2</v>
      </c>
      <c r="F55" s="13">
        <v>0</v>
      </c>
      <c r="G55" s="19">
        <v>1.05742935278031E-2</v>
      </c>
      <c r="J55" s="35"/>
      <c r="K55" s="35"/>
      <c r="L55" s="35"/>
      <c r="M55" s="35"/>
      <c r="N55" s="35"/>
    </row>
    <row r="56" spans="1:14" x14ac:dyDescent="0.3">
      <c r="A56" s="23" t="s">
        <v>50</v>
      </c>
      <c r="B56" s="12">
        <v>76</v>
      </c>
      <c r="C56" s="13">
        <v>0</v>
      </c>
      <c r="D56" s="13">
        <v>0</v>
      </c>
      <c r="E56" s="13">
        <v>6.9279854147675478E-3</v>
      </c>
      <c r="F56" s="13">
        <v>0</v>
      </c>
      <c r="G56" s="19">
        <v>6.9279854147675478E-3</v>
      </c>
      <c r="J56" s="35"/>
      <c r="K56" s="35"/>
      <c r="L56" s="35"/>
      <c r="M56" s="35"/>
      <c r="N56" s="35"/>
    </row>
    <row r="57" spans="1:14" x14ac:dyDescent="0.3">
      <c r="A57" s="23" t="s">
        <v>51</v>
      </c>
      <c r="B57" s="12">
        <v>92</v>
      </c>
      <c r="C57" s="13">
        <v>0</v>
      </c>
      <c r="D57" s="13">
        <v>0</v>
      </c>
      <c r="E57" s="13">
        <v>8.386508659981768E-3</v>
      </c>
      <c r="F57" s="13">
        <v>0</v>
      </c>
      <c r="G57" s="19">
        <v>8.386508659981768E-3</v>
      </c>
      <c r="J57" s="35"/>
      <c r="K57" s="35"/>
      <c r="L57" s="35"/>
      <c r="M57" s="35"/>
      <c r="N57" s="35"/>
    </row>
    <row r="58" spans="1:14" x14ac:dyDescent="0.3">
      <c r="A58" s="23" t="s">
        <v>52</v>
      </c>
      <c r="B58" s="12">
        <v>108</v>
      </c>
      <c r="C58" s="13">
        <v>0</v>
      </c>
      <c r="D58" s="13">
        <v>0</v>
      </c>
      <c r="E58" s="13">
        <v>9.8450319051959882E-3</v>
      </c>
      <c r="F58" s="13">
        <v>0</v>
      </c>
      <c r="G58" s="19">
        <v>9.8450319051959882E-3</v>
      </c>
      <c r="J58" s="35"/>
      <c r="K58" s="35"/>
      <c r="L58" s="35"/>
      <c r="M58" s="35"/>
      <c r="N58" s="35"/>
    </row>
    <row r="59" spans="1:14" x14ac:dyDescent="0.3">
      <c r="A59" s="23" t="s">
        <v>53</v>
      </c>
      <c r="B59" s="12">
        <v>85</v>
      </c>
      <c r="C59" s="13">
        <v>0</v>
      </c>
      <c r="D59" s="13">
        <v>0</v>
      </c>
      <c r="E59" s="13">
        <v>7.7484047402005471E-3</v>
      </c>
      <c r="F59" s="13">
        <v>0</v>
      </c>
      <c r="G59" s="19">
        <v>7.7484047402005471E-3</v>
      </c>
      <c r="J59" s="35"/>
      <c r="K59" s="35"/>
      <c r="L59" s="35"/>
      <c r="M59" s="35"/>
      <c r="N59" s="35"/>
    </row>
    <row r="60" spans="1:14" x14ac:dyDescent="0.3">
      <c r="A60" s="24" t="s">
        <v>54</v>
      </c>
      <c r="B60" s="16">
        <v>29</v>
      </c>
      <c r="C60" s="17">
        <v>0</v>
      </c>
      <c r="D60" s="17">
        <v>0</v>
      </c>
      <c r="E60" s="17">
        <v>2.643573381950775E-3</v>
      </c>
      <c r="F60" s="17">
        <v>0</v>
      </c>
      <c r="G60" s="20">
        <v>2.643573381950775E-3</v>
      </c>
      <c r="J60" s="35"/>
      <c r="K60" s="35"/>
      <c r="L60" s="35"/>
      <c r="M60" s="35"/>
      <c r="N60" s="35"/>
    </row>
    <row r="61" spans="1:14" x14ac:dyDescent="0.3">
      <c r="A61" s="26" t="s">
        <v>144</v>
      </c>
      <c r="B61" s="27">
        <v>1119</v>
      </c>
      <c r="C61" s="28">
        <v>1.8596171376481313E-2</v>
      </c>
      <c r="D61" s="28">
        <v>8.1130355515041025E-2</v>
      </c>
      <c r="E61" s="28">
        <v>3.6463081130355516E-4</v>
      </c>
      <c r="F61" s="28">
        <v>1.9143117593436645E-3</v>
      </c>
      <c r="G61" s="29">
        <v>0.10200546946216955</v>
      </c>
      <c r="J61" s="35"/>
      <c r="K61" s="35"/>
      <c r="L61" s="35"/>
      <c r="M61" s="35"/>
      <c r="N61" s="35"/>
    </row>
    <row r="62" spans="1:14" x14ac:dyDescent="0.3">
      <c r="A62" s="25" t="s">
        <v>55</v>
      </c>
      <c r="B62" s="14">
        <v>6</v>
      </c>
      <c r="C62" s="15">
        <v>0</v>
      </c>
      <c r="D62" s="15">
        <v>0</v>
      </c>
      <c r="E62" s="15">
        <v>0</v>
      </c>
      <c r="F62" s="15">
        <v>5.4694621695533269E-4</v>
      </c>
      <c r="G62" s="18">
        <v>5.4694621695533269E-4</v>
      </c>
      <c r="J62" s="35"/>
      <c r="K62" s="35"/>
      <c r="L62" s="35"/>
      <c r="M62" s="35"/>
      <c r="N62" s="35"/>
    </row>
    <row r="63" spans="1:14" x14ac:dyDescent="0.3">
      <c r="A63" s="23" t="s">
        <v>56</v>
      </c>
      <c r="B63" s="12">
        <v>15</v>
      </c>
      <c r="C63" s="13">
        <v>0</v>
      </c>
      <c r="D63" s="13">
        <v>0</v>
      </c>
      <c r="E63" s="13">
        <v>0</v>
      </c>
      <c r="F63" s="13">
        <v>1.3673655423883319E-3</v>
      </c>
      <c r="G63" s="19">
        <v>1.3673655423883319E-3</v>
      </c>
      <c r="J63" s="35"/>
      <c r="K63" s="35"/>
      <c r="L63" s="35"/>
      <c r="M63" s="35"/>
      <c r="N63" s="35"/>
    </row>
    <row r="64" spans="1:14" x14ac:dyDescent="0.3">
      <c r="A64" s="23" t="s">
        <v>57</v>
      </c>
      <c r="B64" s="12">
        <v>4</v>
      </c>
      <c r="C64" s="13">
        <v>0</v>
      </c>
      <c r="D64" s="13">
        <v>0</v>
      </c>
      <c r="E64" s="13">
        <v>3.6463081130355516E-4</v>
      </c>
      <c r="F64" s="13">
        <v>0</v>
      </c>
      <c r="G64" s="19">
        <v>3.6463081130355516E-4</v>
      </c>
      <c r="J64" s="35"/>
      <c r="K64" s="35"/>
      <c r="L64" s="35"/>
      <c r="M64" s="35"/>
      <c r="N64" s="35"/>
    </row>
    <row r="65" spans="1:14" x14ac:dyDescent="0.3">
      <c r="A65" s="23" t="s">
        <v>58</v>
      </c>
      <c r="B65" s="12">
        <v>131</v>
      </c>
      <c r="C65" s="13">
        <v>0</v>
      </c>
      <c r="D65" s="13">
        <v>1.1941659070191431E-2</v>
      </c>
      <c r="E65" s="13">
        <v>0</v>
      </c>
      <c r="F65" s="13">
        <v>0</v>
      </c>
      <c r="G65" s="19">
        <v>1.1941659070191431E-2</v>
      </c>
      <c r="J65" s="35"/>
      <c r="K65" s="35"/>
      <c r="L65" s="35"/>
      <c r="M65" s="35"/>
      <c r="N65" s="35"/>
    </row>
    <row r="66" spans="1:14" x14ac:dyDescent="0.3">
      <c r="A66" s="23" t="s">
        <v>59</v>
      </c>
      <c r="B66" s="12">
        <v>117</v>
      </c>
      <c r="C66" s="13">
        <v>0</v>
      </c>
      <c r="D66" s="13">
        <v>1.0665451230628988E-2</v>
      </c>
      <c r="E66" s="13">
        <v>0</v>
      </c>
      <c r="F66" s="13">
        <v>0</v>
      </c>
      <c r="G66" s="19">
        <v>1.0665451230628988E-2</v>
      </c>
      <c r="J66" s="35"/>
      <c r="K66" s="35"/>
      <c r="L66" s="35"/>
      <c r="M66" s="35"/>
      <c r="N66" s="35"/>
    </row>
    <row r="67" spans="1:14" x14ac:dyDescent="0.3">
      <c r="A67" s="23" t="s">
        <v>60</v>
      </c>
      <c r="B67" s="12">
        <v>155</v>
      </c>
      <c r="C67" s="13">
        <v>0</v>
      </c>
      <c r="D67" s="13">
        <v>1.4129443938012761E-2</v>
      </c>
      <c r="E67" s="13">
        <v>0</v>
      </c>
      <c r="F67" s="13">
        <v>0</v>
      </c>
      <c r="G67" s="19">
        <v>1.4129443938012761E-2</v>
      </c>
      <c r="J67" s="35"/>
      <c r="K67" s="35"/>
      <c r="L67" s="35"/>
      <c r="M67" s="35"/>
      <c r="N67" s="35"/>
    </row>
    <row r="68" spans="1:14" x14ac:dyDescent="0.3">
      <c r="A68" s="23" t="s">
        <v>61</v>
      </c>
      <c r="B68" s="12">
        <v>100</v>
      </c>
      <c r="C68" s="13">
        <v>0</v>
      </c>
      <c r="D68" s="13">
        <v>9.1157702825888781E-3</v>
      </c>
      <c r="E68" s="13">
        <v>0</v>
      </c>
      <c r="F68" s="13">
        <v>0</v>
      </c>
      <c r="G68" s="19">
        <v>9.1157702825888781E-3</v>
      </c>
      <c r="J68" s="35"/>
      <c r="K68" s="35"/>
      <c r="L68" s="35"/>
      <c r="M68" s="35"/>
      <c r="N68" s="35"/>
    </row>
    <row r="69" spans="1:14" x14ac:dyDescent="0.3">
      <c r="A69" s="23" t="s">
        <v>62</v>
      </c>
      <c r="B69" s="12">
        <v>116</v>
      </c>
      <c r="C69" s="13">
        <v>0</v>
      </c>
      <c r="D69" s="13">
        <v>1.05742935278031E-2</v>
      </c>
      <c r="E69" s="13">
        <v>0</v>
      </c>
      <c r="F69" s="13">
        <v>0</v>
      </c>
      <c r="G69" s="19">
        <v>1.05742935278031E-2</v>
      </c>
      <c r="J69" s="35"/>
      <c r="K69" s="35"/>
      <c r="L69" s="35"/>
      <c r="M69" s="35"/>
      <c r="N69" s="35"/>
    </row>
    <row r="70" spans="1:14" x14ac:dyDescent="0.3">
      <c r="A70" s="23" t="s">
        <v>63</v>
      </c>
      <c r="B70" s="12">
        <v>130</v>
      </c>
      <c r="C70" s="13">
        <v>0</v>
      </c>
      <c r="D70" s="13">
        <v>1.1850501367365542E-2</v>
      </c>
      <c r="E70" s="13">
        <v>0</v>
      </c>
      <c r="F70" s="13">
        <v>0</v>
      </c>
      <c r="G70" s="19">
        <v>1.1850501367365542E-2</v>
      </c>
      <c r="J70" s="35"/>
      <c r="K70" s="35"/>
      <c r="L70" s="35"/>
      <c r="M70" s="35"/>
      <c r="N70" s="35"/>
    </row>
    <row r="71" spans="1:14" x14ac:dyDescent="0.3">
      <c r="A71" s="23" t="s">
        <v>64</v>
      </c>
      <c r="B71" s="12">
        <v>141</v>
      </c>
      <c r="C71" s="13">
        <v>0</v>
      </c>
      <c r="D71" s="13">
        <v>1.285323609845032E-2</v>
      </c>
      <c r="E71" s="13">
        <v>0</v>
      </c>
      <c r="F71" s="13">
        <v>0</v>
      </c>
      <c r="G71" s="19">
        <v>1.285323609845032E-2</v>
      </c>
      <c r="J71" s="35"/>
      <c r="K71" s="35"/>
      <c r="L71" s="35"/>
      <c r="M71" s="35"/>
      <c r="N71" s="35"/>
    </row>
    <row r="72" spans="1:14" x14ac:dyDescent="0.3">
      <c r="A72" s="23" t="s">
        <v>65</v>
      </c>
      <c r="B72" s="12">
        <v>99</v>
      </c>
      <c r="C72" s="13">
        <v>9.0246125797629907E-3</v>
      </c>
      <c r="D72" s="13">
        <v>0</v>
      </c>
      <c r="E72" s="13">
        <v>0</v>
      </c>
      <c r="F72" s="13">
        <v>0</v>
      </c>
      <c r="G72" s="19">
        <v>9.0246125797629907E-3</v>
      </c>
      <c r="J72" s="35"/>
      <c r="K72" s="35"/>
      <c r="L72" s="35"/>
      <c r="M72" s="35"/>
      <c r="N72" s="35"/>
    </row>
    <row r="73" spans="1:14" x14ac:dyDescent="0.3">
      <c r="A73" s="24" t="s">
        <v>66</v>
      </c>
      <c r="B73" s="16">
        <v>105</v>
      </c>
      <c r="C73" s="17">
        <v>9.5715587967183224E-3</v>
      </c>
      <c r="D73" s="17">
        <v>0</v>
      </c>
      <c r="E73" s="17">
        <v>0</v>
      </c>
      <c r="F73" s="17">
        <v>0</v>
      </c>
      <c r="G73" s="20">
        <v>9.5715587967183224E-3</v>
      </c>
      <c r="J73" s="35"/>
      <c r="K73" s="35"/>
      <c r="L73" s="35"/>
      <c r="M73" s="35"/>
      <c r="N73" s="35"/>
    </row>
    <row r="74" spans="1:14" x14ac:dyDescent="0.3">
      <c r="A74" s="26" t="s">
        <v>146</v>
      </c>
      <c r="B74" s="27">
        <v>2832</v>
      </c>
      <c r="C74" s="28">
        <v>5.3691886964448494E-2</v>
      </c>
      <c r="D74" s="28">
        <v>5.8249772105742934E-2</v>
      </c>
      <c r="E74" s="28">
        <v>9.4074749316317235E-2</v>
      </c>
      <c r="F74" s="28">
        <v>5.2142206016408385E-2</v>
      </c>
      <c r="G74" s="29">
        <v>0.25815861440291704</v>
      </c>
      <c r="J74" s="35"/>
      <c r="K74" s="35"/>
      <c r="L74" s="35"/>
      <c r="M74" s="35"/>
      <c r="N74" s="35"/>
    </row>
    <row r="75" spans="1:14" x14ac:dyDescent="0.3">
      <c r="A75" s="25" t="s">
        <v>94</v>
      </c>
      <c r="B75" s="33">
        <v>102</v>
      </c>
      <c r="C75" s="15">
        <v>0</v>
      </c>
      <c r="D75" s="15">
        <v>0</v>
      </c>
      <c r="E75" s="15">
        <v>0</v>
      </c>
      <c r="F75" s="15">
        <v>9.2980856882406565E-3</v>
      </c>
      <c r="G75" s="18">
        <v>9.2980856882406565E-3</v>
      </c>
      <c r="J75" s="35"/>
      <c r="K75" s="35"/>
      <c r="L75" s="35"/>
      <c r="M75" s="35"/>
      <c r="N75" s="35"/>
    </row>
    <row r="76" spans="1:14" x14ac:dyDescent="0.3">
      <c r="A76" s="23" t="s">
        <v>95</v>
      </c>
      <c r="B76" s="34">
        <v>113</v>
      </c>
      <c r="C76" s="13">
        <v>0</v>
      </c>
      <c r="D76" s="13">
        <v>0</v>
      </c>
      <c r="E76" s="13">
        <v>0</v>
      </c>
      <c r="F76" s="13">
        <v>1.0300820419325432E-2</v>
      </c>
      <c r="G76" s="19">
        <v>1.0300820419325432E-2</v>
      </c>
      <c r="J76" s="35"/>
      <c r="K76" s="35"/>
      <c r="L76" s="35"/>
      <c r="M76" s="35"/>
      <c r="N76" s="35"/>
    </row>
    <row r="77" spans="1:14" x14ac:dyDescent="0.3">
      <c r="A77" s="23" t="s">
        <v>96</v>
      </c>
      <c r="B77" s="34">
        <v>4</v>
      </c>
      <c r="C77" s="13">
        <v>0</v>
      </c>
      <c r="D77" s="13">
        <v>0</v>
      </c>
      <c r="E77" s="13">
        <v>0</v>
      </c>
      <c r="F77" s="13">
        <v>3.6463081130355516E-4</v>
      </c>
      <c r="G77" s="19">
        <v>3.6463081130355516E-4</v>
      </c>
      <c r="J77" s="35"/>
      <c r="K77" s="35"/>
      <c r="L77" s="35"/>
      <c r="M77" s="35"/>
      <c r="N77" s="35"/>
    </row>
    <row r="78" spans="1:14" x14ac:dyDescent="0.3">
      <c r="A78" s="23" t="s">
        <v>80</v>
      </c>
      <c r="B78" s="34">
        <v>113</v>
      </c>
      <c r="C78" s="13">
        <v>0</v>
      </c>
      <c r="D78" s="13">
        <v>0</v>
      </c>
      <c r="E78" s="13">
        <v>0</v>
      </c>
      <c r="F78" s="13">
        <v>1.0300820419325432E-2</v>
      </c>
      <c r="G78" s="19">
        <v>1.0300820419325432E-2</v>
      </c>
      <c r="J78" s="35"/>
      <c r="K78" s="35"/>
      <c r="L78" s="35"/>
      <c r="M78" s="35"/>
      <c r="N78" s="35"/>
    </row>
    <row r="79" spans="1:14" x14ac:dyDescent="0.3">
      <c r="A79" s="23" t="s">
        <v>97</v>
      </c>
      <c r="B79" s="34">
        <v>115</v>
      </c>
      <c r="C79" s="13">
        <v>0</v>
      </c>
      <c r="D79" s="13">
        <v>0</v>
      </c>
      <c r="E79" s="13">
        <v>0</v>
      </c>
      <c r="F79" s="13">
        <v>1.0483135824977211E-2</v>
      </c>
      <c r="G79" s="19">
        <v>1.0483135824977211E-2</v>
      </c>
      <c r="J79" s="35"/>
      <c r="K79" s="35"/>
      <c r="L79" s="35"/>
      <c r="M79" s="35"/>
      <c r="N79" s="35"/>
    </row>
    <row r="80" spans="1:14" x14ac:dyDescent="0.3">
      <c r="A80" s="23" t="s">
        <v>98</v>
      </c>
      <c r="B80" s="34">
        <v>121</v>
      </c>
      <c r="C80" s="13">
        <v>0</v>
      </c>
      <c r="D80" s="13">
        <v>0</v>
      </c>
      <c r="E80" s="13">
        <v>0</v>
      </c>
      <c r="F80" s="13">
        <v>1.1030082041932543E-2</v>
      </c>
      <c r="G80" s="19">
        <v>1.1030082041932543E-2</v>
      </c>
      <c r="J80" s="35"/>
      <c r="K80" s="35"/>
      <c r="L80" s="35"/>
      <c r="M80" s="35"/>
      <c r="N80" s="35"/>
    </row>
    <row r="81" spans="1:14" x14ac:dyDescent="0.3">
      <c r="A81" s="23" t="s">
        <v>99</v>
      </c>
      <c r="B81" s="12">
        <v>4</v>
      </c>
      <c r="C81" s="13">
        <v>0</v>
      </c>
      <c r="D81" s="13">
        <v>0</v>
      </c>
      <c r="E81" s="13">
        <v>0</v>
      </c>
      <c r="F81" s="13">
        <v>3.6463081130355516E-4</v>
      </c>
      <c r="G81" s="19">
        <v>3.6463081130355516E-4</v>
      </c>
      <c r="J81" s="35"/>
      <c r="K81" s="35"/>
      <c r="L81" s="35"/>
      <c r="M81" s="35"/>
      <c r="N81" s="35"/>
    </row>
    <row r="82" spans="1:14" x14ac:dyDescent="0.3">
      <c r="A82" s="23" t="s">
        <v>100</v>
      </c>
      <c r="B82" s="12">
        <v>9</v>
      </c>
      <c r="C82" s="13">
        <v>0</v>
      </c>
      <c r="D82" s="13">
        <v>0</v>
      </c>
      <c r="E82" s="13">
        <v>8.2041932543299909E-4</v>
      </c>
      <c r="F82" s="13">
        <v>0</v>
      </c>
      <c r="G82" s="19">
        <v>8.2041932543299909E-4</v>
      </c>
      <c r="J82" s="35"/>
      <c r="K82" s="35"/>
      <c r="L82" s="35"/>
      <c r="M82" s="35"/>
      <c r="N82" s="35"/>
    </row>
    <row r="83" spans="1:14" x14ac:dyDescent="0.3">
      <c r="A83" s="23" t="s">
        <v>101</v>
      </c>
      <c r="B83" s="12">
        <v>113</v>
      </c>
      <c r="C83" s="13">
        <v>0</v>
      </c>
      <c r="D83" s="13">
        <v>0</v>
      </c>
      <c r="E83" s="13">
        <v>1.0300820419325432E-2</v>
      </c>
      <c r="F83" s="13">
        <v>0</v>
      </c>
      <c r="G83" s="19">
        <v>1.0300820419325432E-2</v>
      </c>
      <c r="J83" s="35"/>
      <c r="K83" s="35"/>
      <c r="L83" s="35"/>
      <c r="M83" s="35"/>
      <c r="N83" s="35"/>
    </row>
    <row r="84" spans="1:14" x14ac:dyDescent="0.3">
      <c r="A84" s="23" t="s">
        <v>102</v>
      </c>
      <c r="B84" s="12">
        <v>128</v>
      </c>
      <c r="C84" s="13">
        <v>0</v>
      </c>
      <c r="D84" s="13">
        <v>0</v>
      </c>
      <c r="E84" s="13">
        <v>1.1668185961713765E-2</v>
      </c>
      <c r="F84" s="13">
        <v>0</v>
      </c>
      <c r="G84" s="19">
        <v>1.1668185961713765E-2</v>
      </c>
      <c r="J84" s="35"/>
      <c r="K84" s="35"/>
      <c r="L84" s="35"/>
      <c r="M84" s="35"/>
      <c r="N84" s="35"/>
    </row>
    <row r="85" spans="1:14" x14ac:dyDescent="0.3">
      <c r="A85" s="23" t="s">
        <v>103</v>
      </c>
      <c r="B85" s="12">
        <v>121</v>
      </c>
      <c r="C85" s="13">
        <v>0</v>
      </c>
      <c r="D85" s="13">
        <v>0</v>
      </c>
      <c r="E85" s="13">
        <v>1.1030082041932543E-2</v>
      </c>
      <c r="F85" s="13">
        <v>0</v>
      </c>
      <c r="G85" s="19">
        <v>1.1030082041932543E-2</v>
      </c>
      <c r="J85" s="35"/>
      <c r="K85" s="35"/>
      <c r="L85" s="35"/>
      <c r="M85" s="35"/>
      <c r="N85" s="35"/>
    </row>
    <row r="86" spans="1:14" x14ac:dyDescent="0.3">
      <c r="A86" s="23" t="s">
        <v>104</v>
      </c>
      <c r="B86" s="12">
        <v>56</v>
      </c>
      <c r="C86" s="13">
        <v>0</v>
      </c>
      <c r="D86" s="13">
        <v>0</v>
      </c>
      <c r="E86" s="13">
        <v>5.1048313582497725E-3</v>
      </c>
      <c r="F86" s="13">
        <v>0</v>
      </c>
      <c r="G86" s="19">
        <v>5.1048313582497725E-3</v>
      </c>
      <c r="J86" s="35"/>
      <c r="K86" s="35"/>
      <c r="L86" s="35"/>
      <c r="M86" s="35"/>
      <c r="N86" s="35"/>
    </row>
    <row r="87" spans="1:14" x14ac:dyDescent="0.3">
      <c r="A87" s="23" t="s">
        <v>105</v>
      </c>
      <c r="B87" s="12">
        <v>117</v>
      </c>
      <c r="C87" s="13">
        <v>0</v>
      </c>
      <c r="D87" s="13">
        <v>0</v>
      </c>
      <c r="E87" s="13">
        <v>1.0665451230628988E-2</v>
      </c>
      <c r="F87" s="13">
        <v>0</v>
      </c>
      <c r="G87" s="19">
        <v>1.0665451230628988E-2</v>
      </c>
      <c r="J87" s="35"/>
      <c r="K87" s="35"/>
      <c r="L87" s="35"/>
      <c r="M87" s="35"/>
      <c r="N87" s="35"/>
    </row>
    <row r="88" spans="1:14" x14ac:dyDescent="0.3">
      <c r="A88" s="23" t="s">
        <v>106</v>
      </c>
      <c r="B88" s="12">
        <v>116</v>
      </c>
      <c r="C88" s="13">
        <v>0</v>
      </c>
      <c r="D88" s="13">
        <v>0</v>
      </c>
      <c r="E88" s="13">
        <v>1.05742935278031E-2</v>
      </c>
      <c r="F88" s="13">
        <v>0</v>
      </c>
      <c r="G88" s="19">
        <v>1.05742935278031E-2</v>
      </c>
      <c r="J88" s="35"/>
      <c r="K88" s="35"/>
      <c r="L88" s="35"/>
      <c r="M88" s="35"/>
      <c r="N88" s="35"/>
    </row>
    <row r="89" spans="1:14" x14ac:dyDescent="0.3">
      <c r="A89" s="23" t="s">
        <v>107</v>
      </c>
      <c r="B89" s="12">
        <v>115</v>
      </c>
      <c r="C89" s="13">
        <v>0</v>
      </c>
      <c r="D89" s="13">
        <v>0</v>
      </c>
      <c r="E89" s="13">
        <v>1.0483135824977211E-2</v>
      </c>
      <c r="F89" s="13">
        <v>0</v>
      </c>
      <c r="G89" s="19">
        <v>1.0483135824977211E-2</v>
      </c>
      <c r="J89" s="35"/>
      <c r="K89" s="35"/>
      <c r="L89" s="35"/>
      <c r="M89" s="35"/>
      <c r="N89" s="35"/>
    </row>
    <row r="90" spans="1:14" x14ac:dyDescent="0.3">
      <c r="A90" s="23" t="s">
        <v>108</v>
      </c>
      <c r="B90" s="12">
        <v>128</v>
      </c>
      <c r="C90" s="13">
        <v>0</v>
      </c>
      <c r="D90" s="13">
        <v>0</v>
      </c>
      <c r="E90" s="13">
        <v>1.1668185961713765E-2</v>
      </c>
      <c r="F90" s="13">
        <v>0</v>
      </c>
      <c r="G90" s="19">
        <v>1.1668185961713765E-2</v>
      </c>
      <c r="J90" s="35"/>
      <c r="K90" s="35"/>
      <c r="L90" s="35"/>
      <c r="M90" s="35"/>
      <c r="N90" s="35"/>
    </row>
    <row r="91" spans="1:14" x14ac:dyDescent="0.3">
      <c r="A91" s="23" t="s">
        <v>109</v>
      </c>
      <c r="B91" s="12">
        <v>129</v>
      </c>
      <c r="C91" s="13">
        <v>0</v>
      </c>
      <c r="D91" s="13">
        <v>0</v>
      </c>
      <c r="E91" s="13">
        <v>1.1759343664539654E-2</v>
      </c>
      <c r="F91" s="13">
        <v>0</v>
      </c>
      <c r="G91" s="19">
        <v>1.1759343664539654E-2</v>
      </c>
      <c r="J91" s="35"/>
      <c r="K91" s="35"/>
      <c r="L91" s="35"/>
      <c r="M91" s="35"/>
      <c r="N91" s="35"/>
    </row>
    <row r="92" spans="1:14" x14ac:dyDescent="0.3">
      <c r="A92" s="23" t="s">
        <v>110</v>
      </c>
      <c r="B92" s="12">
        <v>121</v>
      </c>
      <c r="C92" s="13">
        <v>0</v>
      </c>
      <c r="D92" s="13">
        <v>1.1030082041932543E-2</v>
      </c>
      <c r="E92" s="13">
        <v>0</v>
      </c>
      <c r="F92" s="13">
        <v>0</v>
      </c>
      <c r="G92" s="19">
        <v>1.1030082041932543E-2</v>
      </c>
      <c r="J92" s="35"/>
      <c r="K92" s="35"/>
      <c r="L92" s="35"/>
      <c r="M92" s="35"/>
      <c r="N92" s="35"/>
    </row>
    <row r="93" spans="1:14" x14ac:dyDescent="0.3">
      <c r="A93" s="23" t="s">
        <v>111</v>
      </c>
      <c r="B93" s="12">
        <v>38</v>
      </c>
      <c r="C93" s="13">
        <v>0</v>
      </c>
      <c r="D93" s="13">
        <v>3.4639927073837739E-3</v>
      </c>
      <c r="E93" s="13">
        <v>0</v>
      </c>
      <c r="F93" s="13">
        <v>0</v>
      </c>
      <c r="G93" s="19">
        <v>3.4639927073837739E-3</v>
      </c>
      <c r="J93" s="35"/>
      <c r="K93" s="35"/>
      <c r="L93" s="35"/>
      <c r="M93" s="35"/>
      <c r="N93" s="35"/>
    </row>
    <row r="94" spans="1:14" x14ac:dyDescent="0.3">
      <c r="A94" s="23" t="s">
        <v>112</v>
      </c>
      <c r="B94" s="12">
        <v>38</v>
      </c>
      <c r="C94" s="13">
        <v>0</v>
      </c>
      <c r="D94" s="13">
        <v>3.4639927073837739E-3</v>
      </c>
      <c r="E94" s="13">
        <v>0</v>
      </c>
      <c r="F94" s="13">
        <v>0</v>
      </c>
      <c r="G94" s="19">
        <v>3.4639927073837739E-3</v>
      </c>
      <c r="J94" s="35"/>
      <c r="K94" s="35"/>
      <c r="L94" s="35"/>
      <c r="M94" s="35"/>
      <c r="N94" s="35"/>
    </row>
    <row r="95" spans="1:14" x14ac:dyDescent="0.3">
      <c r="A95" s="23" t="s">
        <v>113</v>
      </c>
      <c r="B95" s="12">
        <v>111</v>
      </c>
      <c r="C95" s="13">
        <v>0</v>
      </c>
      <c r="D95" s="13">
        <v>1.0118505013673656E-2</v>
      </c>
      <c r="E95" s="13">
        <v>0</v>
      </c>
      <c r="F95" s="13">
        <v>0</v>
      </c>
      <c r="G95" s="19">
        <v>1.0118505013673656E-2</v>
      </c>
      <c r="J95" s="35"/>
      <c r="K95" s="35"/>
      <c r="L95" s="35"/>
      <c r="M95" s="35"/>
      <c r="N95" s="35"/>
    </row>
    <row r="96" spans="1:14" x14ac:dyDescent="0.3">
      <c r="A96" s="23" t="s">
        <v>114</v>
      </c>
      <c r="B96" s="12">
        <v>92</v>
      </c>
      <c r="C96" s="13">
        <v>0</v>
      </c>
      <c r="D96" s="13">
        <v>8.386508659981768E-3</v>
      </c>
      <c r="E96" s="13">
        <v>0</v>
      </c>
      <c r="F96" s="13">
        <v>0</v>
      </c>
      <c r="G96" s="19">
        <v>8.386508659981768E-3</v>
      </c>
      <c r="J96" s="35"/>
      <c r="K96" s="35"/>
      <c r="L96" s="35"/>
      <c r="M96" s="35"/>
      <c r="N96" s="35"/>
    </row>
    <row r="97" spans="1:14" x14ac:dyDescent="0.3">
      <c r="A97" s="23" t="s">
        <v>115</v>
      </c>
      <c r="B97" s="12">
        <v>132</v>
      </c>
      <c r="C97" s="13">
        <v>0</v>
      </c>
      <c r="D97" s="13">
        <v>1.203281677301732E-2</v>
      </c>
      <c r="E97" s="13">
        <v>0</v>
      </c>
      <c r="F97" s="13">
        <v>0</v>
      </c>
      <c r="G97" s="19">
        <v>1.203281677301732E-2</v>
      </c>
      <c r="J97" s="35"/>
      <c r="K97" s="35"/>
      <c r="L97" s="35"/>
      <c r="M97" s="35"/>
      <c r="N97" s="35"/>
    </row>
    <row r="98" spans="1:14" x14ac:dyDescent="0.3">
      <c r="A98" s="23" t="s">
        <v>116</v>
      </c>
      <c r="B98" s="12">
        <v>107</v>
      </c>
      <c r="C98" s="13">
        <v>0</v>
      </c>
      <c r="D98" s="13">
        <v>9.7538742023701008E-3</v>
      </c>
      <c r="E98" s="13">
        <v>0</v>
      </c>
      <c r="F98" s="13">
        <v>0</v>
      </c>
      <c r="G98" s="19">
        <v>9.7538742023701008E-3</v>
      </c>
      <c r="J98" s="35"/>
      <c r="K98" s="35"/>
      <c r="L98" s="35"/>
      <c r="M98" s="35"/>
      <c r="N98" s="35"/>
    </row>
    <row r="99" spans="1:14" x14ac:dyDescent="0.3">
      <c r="A99" s="23" t="s">
        <v>117</v>
      </c>
      <c r="B99" s="12">
        <v>3</v>
      </c>
      <c r="C99" s="13">
        <v>2.7347310847766635E-4</v>
      </c>
      <c r="D99" s="13">
        <v>0</v>
      </c>
      <c r="E99" s="13">
        <v>0</v>
      </c>
      <c r="F99" s="13">
        <v>0</v>
      </c>
      <c r="G99" s="19">
        <v>2.7347310847766635E-4</v>
      </c>
      <c r="J99" s="35"/>
      <c r="K99" s="35"/>
      <c r="L99" s="35"/>
      <c r="M99" s="35"/>
      <c r="N99" s="35"/>
    </row>
    <row r="100" spans="1:14" x14ac:dyDescent="0.3">
      <c r="A100" s="23" t="s">
        <v>118</v>
      </c>
      <c r="B100" s="12">
        <v>8</v>
      </c>
      <c r="C100" s="13">
        <v>7.2926162260711033E-4</v>
      </c>
      <c r="D100" s="13">
        <v>0</v>
      </c>
      <c r="E100" s="13">
        <v>0</v>
      </c>
      <c r="F100" s="13">
        <v>0</v>
      </c>
      <c r="G100" s="19">
        <v>7.2926162260711033E-4</v>
      </c>
      <c r="J100" s="35"/>
      <c r="K100" s="35"/>
      <c r="L100" s="35"/>
      <c r="M100" s="35"/>
      <c r="N100" s="35"/>
    </row>
    <row r="101" spans="1:14" x14ac:dyDescent="0.3">
      <c r="A101" s="23" t="s">
        <v>119</v>
      </c>
      <c r="B101" s="12">
        <v>11</v>
      </c>
      <c r="C101" s="13">
        <v>1.0027347310847766E-3</v>
      </c>
      <c r="D101" s="13">
        <v>0</v>
      </c>
      <c r="E101" s="13">
        <v>0</v>
      </c>
      <c r="F101" s="13">
        <v>0</v>
      </c>
      <c r="G101" s="19">
        <v>1.0027347310847766E-3</v>
      </c>
      <c r="J101" s="35"/>
      <c r="K101" s="35"/>
      <c r="L101" s="35"/>
      <c r="M101" s="35"/>
      <c r="N101" s="35"/>
    </row>
    <row r="102" spans="1:14" x14ac:dyDescent="0.3">
      <c r="A102" s="23" t="s">
        <v>120</v>
      </c>
      <c r="B102" s="12">
        <v>140</v>
      </c>
      <c r="C102" s="13">
        <v>1.276207839562443E-2</v>
      </c>
      <c r="D102" s="13">
        <v>0</v>
      </c>
      <c r="E102" s="13">
        <v>0</v>
      </c>
      <c r="F102" s="13">
        <v>0</v>
      </c>
      <c r="G102" s="19">
        <v>1.276207839562443E-2</v>
      </c>
      <c r="J102" s="35"/>
      <c r="K102" s="35"/>
      <c r="L102" s="35"/>
      <c r="M102" s="35"/>
      <c r="N102" s="35"/>
    </row>
    <row r="103" spans="1:14" x14ac:dyDescent="0.3">
      <c r="A103" s="23" t="s">
        <v>121</v>
      </c>
      <c r="B103" s="12">
        <v>149</v>
      </c>
      <c r="C103" s="13">
        <v>1.358249772105743E-2</v>
      </c>
      <c r="D103" s="13">
        <v>0</v>
      </c>
      <c r="E103" s="13">
        <v>0</v>
      </c>
      <c r="F103" s="13">
        <v>0</v>
      </c>
      <c r="G103" s="19">
        <v>1.358249772105743E-2</v>
      </c>
      <c r="J103" s="35"/>
      <c r="K103" s="35"/>
      <c r="L103" s="35"/>
      <c r="M103" s="35"/>
      <c r="N103" s="35"/>
    </row>
    <row r="104" spans="1:14" x14ac:dyDescent="0.3">
      <c r="A104" s="23" t="s">
        <v>122</v>
      </c>
      <c r="B104" s="12">
        <v>144</v>
      </c>
      <c r="C104" s="13">
        <v>1.3126709206927985E-2</v>
      </c>
      <c r="D104" s="13">
        <v>0</v>
      </c>
      <c r="E104" s="13">
        <v>0</v>
      </c>
      <c r="F104" s="13">
        <v>0</v>
      </c>
      <c r="G104" s="19">
        <v>1.3126709206927985E-2</v>
      </c>
      <c r="J104" s="35"/>
      <c r="K104" s="35"/>
      <c r="L104" s="35"/>
      <c r="M104" s="35"/>
      <c r="N104" s="35"/>
    </row>
    <row r="105" spans="1:14" x14ac:dyDescent="0.3">
      <c r="A105" s="24" t="s">
        <v>123</v>
      </c>
      <c r="B105" s="16">
        <v>134</v>
      </c>
      <c r="C105" s="17">
        <v>1.2215132178669097E-2</v>
      </c>
      <c r="D105" s="17">
        <v>0</v>
      </c>
      <c r="E105" s="17">
        <v>0</v>
      </c>
      <c r="F105" s="17">
        <v>0</v>
      </c>
      <c r="G105" s="20">
        <v>1.2215132178669097E-2</v>
      </c>
      <c r="J105" s="35"/>
      <c r="K105" s="35"/>
      <c r="L105" s="35"/>
      <c r="M105" s="35"/>
      <c r="N105" s="35"/>
    </row>
    <row r="106" spans="1:14" x14ac:dyDescent="0.3">
      <c r="A106" s="26" t="s">
        <v>140</v>
      </c>
      <c r="B106" s="27">
        <v>703</v>
      </c>
      <c r="C106" s="28">
        <v>3.5551504102096627E-2</v>
      </c>
      <c r="D106" s="28">
        <v>8.2041932543299913E-3</v>
      </c>
      <c r="E106" s="28">
        <v>0</v>
      </c>
      <c r="F106" s="28">
        <v>2.0328167730173201E-2</v>
      </c>
      <c r="G106" s="29">
        <v>6.4083865086599814E-2</v>
      </c>
      <c r="J106" s="35"/>
      <c r="K106" s="35"/>
      <c r="L106" s="35"/>
      <c r="M106" s="35"/>
      <c r="N106" s="35"/>
    </row>
    <row r="107" spans="1:14" x14ac:dyDescent="0.3">
      <c r="A107" s="25" t="s">
        <v>67</v>
      </c>
      <c r="B107" s="14">
        <v>82</v>
      </c>
      <c r="C107" s="15">
        <v>0</v>
      </c>
      <c r="D107" s="15">
        <v>0</v>
      </c>
      <c r="E107" s="15">
        <v>0</v>
      </c>
      <c r="F107" s="15">
        <v>7.4749316317228804E-3</v>
      </c>
      <c r="G107" s="18">
        <v>7.4749316317228804E-3</v>
      </c>
      <c r="J107" s="35"/>
      <c r="K107" s="35"/>
      <c r="L107" s="35"/>
      <c r="M107" s="35"/>
      <c r="N107" s="35"/>
    </row>
    <row r="108" spans="1:14" x14ac:dyDescent="0.3">
      <c r="A108" s="23" t="s">
        <v>68</v>
      </c>
      <c r="B108" s="12">
        <v>72</v>
      </c>
      <c r="C108" s="13">
        <v>0</v>
      </c>
      <c r="D108" s="13">
        <v>0</v>
      </c>
      <c r="E108" s="13">
        <v>0</v>
      </c>
      <c r="F108" s="13">
        <v>6.5633546034639927E-3</v>
      </c>
      <c r="G108" s="19">
        <v>6.5633546034639927E-3</v>
      </c>
      <c r="J108" s="35"/>
      <c r="K108" s="35"/>
      <c r="L108" s="35"/>
      <c r="M108" s="35"/>
      <c r="N108" s="35"/>
    </row>
    <row r="109" spans="1:14" x14ac:dyDescent="0.3">
      <c r="A109" s="23" t="s">
        <v>69</v>
      </c>
      <c r="B109" s="12">
        <v>69</v>
      </c>
      <c r="C109" s="13">
        <v>0</v>
      </c>
      <c r="D109" s="13">
        <v>0</v>
      </c>
      <c r="E109" s="13">
        <v>0</v>
      </c>
      <c r="F109" s="13">
        <v>6.289881494986326E-3</v>
      </c>
      <c r="G109" s="19">
        <v>6.289881494986326E-3</v>
      </c>
      <c r="J109" s="35"/>
      <c r="K109" s="35"/>
      <c r="L109" s="35"/>
      <c r="M109" s="35"/>
      <c r="N109" s="35"/>
    </row>
    <row r="110" spans="1:14" x14ac:dyDescent="0.3">
      <c r="A110" s="23" t="s">
        <v>70</v>
      </c>
      <c r="B110" s="12">
        <v>90</v>
      </c>
      <c r="C110" s="13">
        <v>0</v>
      </c>
      <c r="D110" s="13">
        <v>8.2041932543299913E-3</v>
      </c>
      <c r="E110" s="13">
        <v>0</v>
      </c>
      <c r="F110" s="13">
        <v>0</v>
      </c>
      <c r="G110" s="19">
        <v>8.2041932543299913E-3</v>
      </c>
      <c r="J110" s="35"/>
      <c r="K110" s="35"/>
      <c r="L110" s="35"/>
      <c r="M110" s="35"/>
      <c r="N110" s="35"/>
    </row>
    <row r="111" spans="1:14" x14ac:dyDescent="0.3">
      <c r="A111" s="23" t="s">
        <v>71</v>
      </c>
      <c r="B111" s="12">
        <v>86</v>
      </c>
      <c r="C111" s="13">
        <v>7.8395624430264363E-3</v>
      </c>
      <c r="D111" s="13">
        <v>0</v>
      </c>
      <c r="E111" s="13">
        <v>0</v>
      </c>
      <c r="F111" s="13">
        <v>0</v>
      </c>
      <c r="G111" s="19">
        <v>7.8395624430264363E-3</v>
      </c>
      <c r="J111" s="35"/>
      <c r="K111" s="35"/>
      <c r="L111" s="35"/>
      <c r="M111" s="35"/>
      <c r="N111" s="35"/>
    </row>
    <row r="112" spans="1:14" x14ac:dyDescent="0.3">
      <c r="A112" s="23" t="s">
        <v>72</v>
      </c>
      <c r="B112" s="12">
        <v>77</v>
      </c>
      <c r="C112" s="13">
        <v>7.019143117593437E-3</v>
      </c>
      <c r="D112" s="13">
        <v>0</v>
      </c>
      <c r="E112" s="13">
        <v>0</v>
      </c>
      <c r="F112" s="13">
        <v>0</v>
      </c>
      <c r="G112" s="19">
        <v>7.019143117593437E-3</v>
      </c>
      <c r="J112" s="35"/>
      <c r="K112" s="35"/>
      <c r="L112" s="35"/>
      <c r="M112" s="35"/>
      <c r="N112" s="35"/>
    </row>
    <row r="113" spans="1:14" x14ac:dyDescent="0.3">
      <c r="A113" s="23" t="s">
        <v>73</v>
      </c>
      <c r="B113" s="12">
        <v>63</v>
      </c>
      <c r="C113" s="13">
        <v>5.7429352780309934E-3</v>
      </c>
      <c r="D113" s="13">
        <v>0</v>
      </c>
      <c r="E113" s="13">
        <v>0</v>
      </c>
      <c r="F113" s="13">
        <v>0</v>
      </c>
      <c r="G113" s="19">
        <v>5.7429352780309934E-3</v>
      </c>
      <c r="J113" s="35"/>
      <c r="K113" s="35"/>
      <c r="L113" s="35"/>
      <c r="M113" s="35"/>
      <c r="N113" s="35"/>
    </row>
    <row r="114" spans="1:14" x14ac:dyDescent="0.3">
      <c r="A114" s="23" t="s">
        <v>74</v>
      </c>
      <c r="B114" s="12">
        <v>34</v>
      </c>
      <c r="C114" s="13">
        <v>3.0993618960802188E-3</v>
      </c>
      <c r="D114" s="13">
        <v>0</v>
      </c>
      <c r="E114" s="13">
        <v>0</v>
      </c>
      <c r="F114" s="13">
        <v>0</v>
      </c>
      <c r="G114" s="19">
        <v>3.0993618960802188E-3</v>
      </c>
      <c r="J114" s="35"/>
      <c r="K114" s="35"/>
      <c r="L114" s="35"/>
      <c r="M114" s="35"/>
      <c r="N114" s="35"/>
    </row>
    <row r="115" spans="1:14" x14ac:dyDescent="0.3">
      <c r="A115" s="23" t="s">
        <v>75</v>
      </c>
      <c r="B115" s="12">
        <v>53</v>
      </c>
      <c r="C115" s="13">
        <v>4.8313582497721058E-3</v>
      </c>
      <c r="D115" s="13">
        <v>0</v>
      </c>
      <c r="E115" s="13">
        <v>0</v>
      </c>
      <c r="F115" s="13">
        <v>0</v>
      </c>
      <c r="G115" s="19">
        <v>4.8313582497721058E-3</v>
      </c>
      <c r="J115" s="35"/>
      <c r="K115" s="35"/>
      <c r="L115" s="35"/>
      <c r="M115" s="35"/>
      <c r="N115" s="35"/>
    </row>
    <row r="116" spans="1:14" x14ac:dyDescent="0.3">
      <c r="A116" s="23" t="s">
        <v>76</v>
      </c>
      <c r="B116" s="12">
        <v>7</v>
      </c>
      <c r="C116" s="13">
        <v>6.3810391978122156E-4</v>
      </c>
      <c r="D116" s="13">
        <v>0</v>
      </c>
      <c r="E116" s="13">
        <v>0</v>
      </c>
      <c r="F116" s="13">
        <v>0</v>
      </c>
      <c r="G116" s="19">
        <v>6.3810391978122156E-4</v>
      </c>
      <c r="J116" s="35"/>
      <c r="K116" s="35"/>
      <c r="L116" s="35"/>
      <c r="M116" s="35"/>
      <c r="N116" s="35"/>
    </row>
    <row r="117" spans="1:14" x14ac:dyDescent="0.3">
      <c r="A117" s="24" t="s">
        <v>77</v>
      </c>
      <c r="B117" s="16">
        <v>70</v>
      </c>
      <c r="C117" s="17">
        <v>6.3810391978122152E-3</v>
      </c>
      <c r="D117" s="17">
        <v>0</v>
      </c>
      <c r="E117" s="17">
        <v>0</v>
      </c>
      <c r="F117" s="17">
        <v>0</v>
      </c>
      <c r="G117" s="20">
        <v>6.3810391978122152E-3</v>
      </c>
      <c r="J117" s="35"/>
      <c r="K117" s="35"/>
      <c r="L117" s="35"/>
      <c r="M117" s="35"/>
      <c r="N117" s="35"/>
    </row>
    <row r="118" spans="1:14" ht="15" thickBot="1" x14ac:dyDescent="0.35">
      <c r="A118" s="30" t="s">
        <v>131</v>
      </c>
      <c r="B118" s="31">
        <f>11083-113</f>
        <v>10970</v>
      </c>
      <c r="C118" s="32">
        <v>0.10783956244302643</v>
      </c>
      <c r="D118" s="32">
        <v>0.32306289881494987</v>
      </c>
      <c r="E118" s="32">
        <v>0.3480401093892434</v>
      </c>
      <c r="F118" s="32">
        <v>0.2210574293527803</v>
      </c>
      <c r="G118" s="32">
        <v>1</v>
      </c>
      <c r="J118" s="35"/>
      <c r="K118" s="35"/>
      <c r="L118" s="35"/>
      <c r="M118" s="35"/>
      <c r="N118" s="35"/>
    </row>
  </sheetData>
  <pageMargins left="0.44" right="0.4" top="0.28000000000000003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93E3-F6AA-4339-9F55-6E5CB9BD6EEA}">
  <dimension ref="A2:N119"/>
  <sheetViews>
    <sheetView workbookViewId="0">
      <selection activeCell="K124" sqref="K124"/>
    </sheetView>
  </sheetViews>
  <sheetFormatPr defaultColWidth="13.77734375" defaultRowHeight="14.4" x14ac:dyDescent="0.3"/>
  <cols>
    <col min="1" max="1" width="11.109375" style="5" customWidth="1"/>
    <col min="2" max="16384" width="13.77734375" style="5"/>
  </cols>
  <sheetData>
    <row r="2" spans="1:14" s="11" customFormat="1" ht="28.8" x14ac:dyDescent="0.3">
      <c r="A2" s="21" t="s">
        <v>0</v>
      </c>
      <c r="B2" s="21" t="s">
        <v>136</v>
      </c>
      <c r="C2" s="22" t="s">
        <v>147</v>
      </c>
      <c r="D2" s="22" t="s">
        <v>137</v>
      </c>
      <c r="E2" s="22" t="s">
        <v>138</v>
      </c>
      <c r="F2" s="22" t="s">
        <v>139</v>
      </c>
      <c r="G2" s="21" t="s">
        <v>131</v>
      </c>
    </row>
    <row r="3" spans="1:14" x14ac:dyDescent="0.3">
      <c r="A3" s="44" t="s">
        <v>141</v>
      </c>
      <c r="B3" s="36">
        <v>2109</v>
      </c>
      <c r="C3" s="37">
        <v>0</v>
      </c>
      <c r="D3" s="37">
        <v>6.7730173199635368E-2</v>
      </c>
      <c r="E3" s="37">
        <v>7.8851412944393795E-2</v>
      </c>
      <c r="F3" s="37">
        <v>4.567000911577028E-2</v>
      </c>
      <c r="G3" s="38">
        <v>0.19225159525979946</v>
      </c>
      <c r="J3" s="35"/>
      <c r="K3" s="35"/>
      <c r="L3" s="35"/>
      <c r="M3" s="35"/>
      <c r="N3" s="35"/>
    </row>
    <row r="4" spans="1:14" hidden="1" x14ac:dyDescent="0.3">
      <c r="A4" s="39" t="s">
        <v>78</v>
      </c>
      <c r="B4" s="40">
        <v>6</v>
      </c>
      <c r="C4" s="41">
        <v>0</v>
      </c>
      <c r="D4" s="41">
        <v>0</v>
      </c>
      <c r="E4" s="41">
        <v>0</v>
      </c>
      <c r="F4" s="41">
        <v>5.4694621695533269E-4</v>
      </c>
      <c r="G4" s="42">
        <v>5.4694621695533269E-4</v>
      </c>
      <c r="J4" s="35"/>
      <c r="K4" s="35"/>
      <c r="L4" s="35"/>
      <c r="M4" s="35"/>
      <c r="N4" s="35"/>
    </row>
    <row r="5" spans="1:14" hidden="1" x14ac:dyDescent="0.3">
      <c r="A5" s="39" t="s">
        <v>79</v>
      </c>
      <c r="B5" s="40">
        <v>168</v>
      </c>
      <c r="C5" s="41">
        <v>0</v>
      </c>
      <c r="D5" s="41">
        <v>0</v>
      </c>
      <c r="E5" s="41">
        <v>0</v>
      </c>
      <c r="F5" s="41">
        <v>1.5314494074749316E-2</v>
      </c>
      <c r="G5" s="42">
        <v>1.5314494074749316E-2</v>
      </c>
      <c r="J5" s="35"/>
      <c r="K5" s="35"/>
      <c r="L5" s="35"/>
      <c r="M5" s="35"/>
      <c r="N5" s="35"/>
    </row>
    <row r="6" spans="1:14" hidden="1" x14ac:dyDescent="0.3">
      <c r="A6" s="39" t="s">
        <v>81</v>
      </c>
      <c r="B6" s="40">
        <v>157</v>
      </c>
      <c r="C6" s="41">
        <v>0</v>
      </c>
      <c r="D6" s="41">
        <v>0</v>
      </c>
      <c r="E6" s="41">
        <v>0</v>
      </c>
      <c r="F6" s="41">
        <v>1.431175934366454E-2</v>
      </c>
      <c r="G6" s="42">
        <v>1.431175934366454E-2</v>
      </c>
      <c r="J6" s="35"/>
      <c r="K6" s="35"/>
      <c r="L6" s="35"/>
      <c r="M6" s="35"/>
      <c r="N6" s="35"/>
    </row>
    <row r="7" spans="1:14" hidden="1" x14ac:dyDescent="0.3">
      <c r="A7" s="39" t="s">
        <v>82</v>
      </c>
      <c r="B7" s="40">
        <v>170</v>
      </c>
      <c r="C7" s="41">
        <v>0</v>
      </c>
      <c r="D7" s="41">
        <v>0</v>
      </c>
      <c r="E7" s="41">
        <v>0</v>
      </c>
      <c r="F7" s="41">
        <v>1.5496809480401094E-2</v>
      </c>
      <c r="G7" s="42">
        <v>1.5496809480401094E-2</v>
      </c>
      <c r="J7" s="35"/>
      <c r="K7" s="35"/>
      <c r="L7" s="35"/>
      <c r="M7" s="35"/>
      <c r="N7" s="35"/>
    </row>
    <row r="8" spans="1:14" hidden="1" x14ac:dyDescent="0.3">
      <c r="A8" s="39" t="s">
        <v>83</v>
      </c>
      <c r="B8" s="40">
        <v>169</v>
      </c>
      <c r="C8" s="41">
        <v>0</v>
      </c>
      <c r="D8" s="41">
        <v>0</v>
      </c>
      <c r="E8" s="41">
        <v>1.5405651777575205E-2</v>
      </c>
      <c r="F8" s="41">
        <v>0</v>
      </c>
      <c r="G8" s="42">
        <v>1.5405651777575205E-2</v>
      </c>
      <c r="J8" s="35"/>
      <c r="K8" s="35"/>
      <c r="L8" s="35"/>
      <c r="M8" s="35"/>
      <c r="N8" s="35"/>
    </row>
    <row r="9" spans="1:14" hidden="1" x14ac:dyDescent="0.3">
      <c r="A9" s="39" t="s">
        <v>84</v>
      </c>
      <c r="B9" s="40">
        <v>171</v>
      </c>
      <c r="C9" s="41">
        <v>0</v>
      </c>
      <c r="D9" s="41">
        <v>0</v>
      </c>
      <c r="E9" s="41">
        <v>1.5587967183226983E-2</v>
      </c>
      <c r="F9" s="41">
        <v>0</v>
      </c>
      <c r="G9" s="42">
        <v>1.5587967183226983E-2</v>
      </c>
      <c r="J9" s="35"/>
      <c r="K9" s="35"/>
      <c r="L9" s="35"/>
      <c r="M9" s="35"/>
      <c r="N9" s="35"/>
    </row>
    <row r="10" spans="1:14" hidden="1" x14ac:dyDescent="0.3">
      <c r="A10" s="39" t="s">
        <v>85</v>
      </c>
      <c r="B10" s="40">
        <v>67</v>
      </c>
      <c r="C10" s="41">
        <v>0</v>
      </c>
      <c r="D10" s="41">
        <v>0</v>
      </c>
      <c r="E10" s="41">
        <v>6.1075660893345485E-3</v>
      </c>
      <c r="F10" s="41">
        <v>0</v>
      </c>
      <c r="G10" s="42">
        <v>6.1075660893345485E-3</v>
      </c>
      <c r="J10" s="35"/>
      <c r="K10" s="35"/>
      <c r="L10" s="35"/>
      <c r="M10" s="35"/>
      <c r="N10" s="35"/>
    </row>
    <row r="11" spans="1:14" hidden="1" x14ac:dyDescent="0.3">
      <c r="A11" s="39" t="s">
        <v>86</v>
      </c>
      <c r="B11" s="40">
        <v>154</v>
      </c>
      <c r="C11" s="41">
        <v>0</v>
      </c>
      <c r="D11" s="41">
        <v>0</v>
      </c>
      <c r="E11" s="41">
        <v>1.4038286235186874E-2</v>
      </c>
      <c r="F11" s="41">
        <v>0</v>
      </c>
      <c r="G11" s="42">
        <v>1.4038286235186874E-2</v>
      </c>
      <c r="J11" s="35"/>
      <c r="K11" s="35"/>
      <c r="L11" s="35"/>
      <c r="M11" s="35"/>
      <c r="N11" s="35"/>
    </row>
    <row r="12" spans="1:14" hidden="1" x14ac:dyDescent="0.3">
      <c r="A12" s="39" t="s">
        <v>87</v>
      </c>
      <c r="B12" s="40">
        <v>139</v>
      </c>
      <c r="C12" s="41">
        <v>0</v>
      </c>
      <c r="D12" s="41">
        <v>0</v>
      </c>
      <c r="E12" s="41">
        <v>1.2670920692798541E-2</v>
      </c>
      <c r="F12" s="41">
        <v>0</v>
      </c>
      <c r="G12" s="42">
        <v>1.2670920692798541E-2</v>
      </c>
      <c r="J12" s="35"/>
      <c r="K12" s="35"/>
      <c r="L12" s="35"/>
      <c r="M12" s="35"/>
      <c r="N12" s="35"/>
    </row>
    <row r="13" spans="1:14" hidden="1" x14ac:dyDescent="0.3">
      <c r="A13" s="39" t="s">
        <v>88</v>
      </c>
      <c r="B13" s="40">
        <v>165</v>
      </c>
      <c r="C13" s="41">
        <v>0</v>
      </c>
      <c r="D13" s="41">
        <v>0</v>
      </c>
      <c r="E13" s="41">
        <v>1.504102096627165E-2</v>
      </c>
      <c r="F13" s="41">
        <v>0</v>
      </c>
      <c r="G13" s="42">
        <v>1.504102096627165E-2</v>
      </c>
      <c r="J13" s="35"/>
      <c r="K13" s="35"/>
      <c r="L13" s="35"/>
      <c r="M13" s="35"/>
      <c r="N13" s="35"/>
    </row>
    <row r="14" spans="1:14" hidden="1" x14ac:dyDescent="0.3">
      <c r="A14" s="39" t="s">
        <v>89</v>
      </c>
      <c r="B14" s="40">
        <v>158</v>
      </c>
      <c r="C14" s="41">
        <v>0</v>
      </c>
      <c r="D14" s="41">
        <v>1.4402917046490429E-2</v>
      </c>
      <c r="E14" s="41">
        <v>0</v>
      </c>
      <c r="F14" s="41">
        <v>0</v>
      </c>
      <c r="G14" s="42">
        <v>1.4402917046490429E-2</v>
      </c>
      <c r="J14" s="35"/>
      <c r="K14" s="35"/>
      <c r="L14" s="35"/>
      <c r="M14" s="35"/>
      <c r="N14" s="35"/>
    </row>
    <row r="15" spans="1:14" hidden="1" x14ac:dyDescent="0.3">
      <c r="A15" s="39" t="s">
        <v>90</v>
      </c>
      <c r="B15" s="40">
        <v>143</v>
      </c>
      <c r="C15" s="41">
        <v>0</v>
      </c>
      <c r="D15" s="41">
        <v>1.3035551504102096E-2</v>
      </c>
      <c r="E15" s="41">
        <v>0</v>
      </c>
      <c r="F15" s="41">
        <v>0</v>
      </c>
      <c r="G15" s="42">
        <v>1.3035551504102096E-2</v>
      </c>
      <c r="J15" s="35"/>
      <c r="K15" s="35"/>
      <c r="L15" s="35"/>
      <c r="M15" s="35"/>
      <c r="N15" s="35"/>
    </row>
    <row r="16" spans="1:14" hidden="1" x14ac:dyDescent="0.3">
      <c r="A16" s="39" t="s">
        <v>91</v>
      </c>
      <c r="B16" s="40">
        <v>167</v>
      </c>
      <c r="C16" s="41">
        <v>0</v>
      </c>
      <c r="D16" s="41">
        <v>1.5223336371923428E-2</v>
      </c>
      <c r="E16" s="41">
        <v>0</v>
      </c>
      <c r="F16" s="41">
        <v>0</v>
      </c>
      <c r="G16" s="42">
        <v>1.5223336371923428E-2</v>
      </c>
      <c r="J16" s="35"/>
      <c r="K16" s="35"/>
      <c r="L16" s="35"/>
      <c r="M16" s="35"/>
      <c r="N16" s="35"/>
    </row>
    <row r="17" spans="1:14" hidden="1" x14ac:dyDescent="0.3">
      <c r="A17" s="39" t="s">
        <v>92</v>
      </c>
      <c r="B17" s="40">
        <v>130</v>
      </c>
      <c r="C17" s="41">
        <v>0</v>
      </c>
      <c r="D17" s="41">
        <v>1.1850501367365542E-2</v>
      </c>
      <c r="E17" s="41">
        <v>0</v>
      </c>
      <c r="F17" s="41">
        <v>0</v>
      </c>
      <c r="G17" s="42">
        <v>1.1850501367365542E-2</v>
      </c>
      <c r="J17" s="35"/>
      <c r="K17" s="35"/>
      <c r="L17" s="35"/>
      <c r="M17" s="35"/>
      <c r="N17" s="35"/>
    </row>
    <row r="18" spans="1:14" hidden="1" x14ac:dyDescent="0.3">
      <c r="A18" s="39" t="s">
        <v>93</v>
      </c>
      <c r="B18" s="40">
        <v>145</v>
      </c>
      <c r="C18" s="41">
        <v>0</v>
      </c>
      <c r="D18" s="41">
        <v>1.3217866909753875E-2</v>
      </c>
      <c r="E18" s="41">
        <v>0</v>
      </c>
      <c r="F18" s="41">
        <v>0</v>
      </c>
      <c r="G18" s="42">
        <v>1.3217866909753875E-2</v>
      </c>
      <c r="J18" s="35"/>
      <c r="K18" s="35"/>
      <c r="L18" s="35"/>
      <c r="M18" s="35"/>
      <c r="N18" s="35"/>
    </row>
    <row r="19" spans="1:14" x14ac:dyDescent="0.3">
      <c r="A19" s="43" t="s">
        <v>142</v>
      </c>
      <c r="B19" s="40">
        <v>1811</v>
      </c>
      <c r="C19" s="41">
        <v>0</v>
      </c>
      <c r="D19" s="41">
        <v>1.6955332725615314E-2</v>
      </c>
      <c r="E19" s="41">
        <v>7.1467639015496812E-2</v>
      </c>
      <c r="F19" s="41">
        <v>7.6663628076572468E-2</v>
      </c>
      <c r="G19" s="42">
        <v>0.16508659981768459</v>
      </c>
      <c r="J19" s="35"/>
      <c r="K19" s="35"/>
      <c r="L19" s="35"/>
      <c r="M19" s="35"/>
      <c r="N19" s="35"/>
    </row>
    <row r="20" spans="1:14" hidden="1" x14ac:dyDescent="0.3">
      <c r="A20" s="39" t="s">
        <v>16</v>
      </c>
      <c r="B20" s="40">
        <v>111</v>
      </c>
      <c r="C20" s="41">
        <v>0</v>
      </c>
      <c r="D20" s="41">
        <v>0</v>
      </c>
      <c r="E20" s="41">
        <v>0</v>
      </c>
      <c r="F20" s="41">
        <v>1.0118505013673656E-2</v>
      </c>
      <c r="G20" s="42">
        <v>1.0118505013673656E-2</v>
      </c>
      <c r="J20" s="35"/>
      <c r="K20" s="35"/>
      <c r="L20" s="35"/>
      <c r="M20" s="35"/>
      <c r="N20" s="35"/>
    </row>
    <row r="21" spans="1:14" hidden="1" x14ac:dyDescent="0.3">
      <c r="A21" s="39" t="s">
        <v>17</v>
      </c>
      <c r="B21" s="40">
        <v>97</v>
      </c>
      <c r="C21" s="41">
        <v>0</v>
      </c>
      <c r="D21" s="41">
        <v>0</v>
      </c>
      <c r="E21" s="41">
        <v>0</v>
      </c>
      <c r="F21" s="41">
        <v>8.8422971741112123E-3</v>
      </c>
      <c r="G21" s="42">
        <v>8.8422971741112123E-3</v>
      </c>
      <c r="J21" s="35"/>
      <c r="K21" s="35"/>
      <c r="L21" s="35"/>
      <c r="M21" s="35"/>
      <c r="N21" s="35"/>
    </row>
    <row r="22" spans="1:14" hidden="1" x14ac:dyDescent="0.3">
      <c r="A22" s="39" t="s">
        <v>18</v>
      </c>
      <c r="B22" s="40">
        <v>151</v>
      </c>
      <c r="C22" s="41">
        <v>0</v>
      </c>
      <c r="D22" s="41">
        <v>0</v>
      </c>
      <c r="E22" s="41">
        <v>0</v>
      </c>
      <c r="F22" s="41">
        <v>1.3764813126709206E-2</v>
      </c>
      <c r="G22" s="42">
        <v>1.3764813126709206E-2</v>
      </c>
      <c r="J22" s="35"/>
      <c r="K22" s="35"/>
      <c r="L22" s="35"/>
      <c r="M22" s="35"/>
      <c r="N22" s="35"/>
    </row>
    <row r="23" spans="1:14" hidden="1" x14ac:dyDescent="0.3">
      <c r="A23" s="39" t="s">
        <v>19</v>
      </c>
      <c r="B23" s="40">
        <v>116</v>
      </c>
      <c r="C23" s="41">
        <v>0</v>
      </c>
      <c r="D23" s="41">
        <v>0</v>
      </c>
      <c r="E23" s="41">
        <v>0</v>
      </c>
      <c r="F23" s="41">
        <v>1.05742935278031E-2</v>
      </c>
      <c r="G23" s="42">
        <v>1.05742935278031E-2</v>
      </c>
      <c r="J23" s="35"/>
      <c r="K23" s="35"/>
      <c r="L23" s="35"/>
      <c r="M23" s="35"/>
      <c r="N23" s="35"/>
    </row>
    <row r="24" spans="1:14" hidden="1" x14ac:dyDescent="0.3">
      <c r="A24" s="39" t="s">
        <v>20</v>
      </c>
      <c r="B24" s="40">
        <v>195</v>
      </c>
      <c r="C24" s="41">
        <v>0</v>
      </c>
      <c r="D24" s="41">
        <v>0</v>
      </c>
      <c r="E24" s="41">
        <v>0</v>
      </c>
      <c r="F24" s="41">
        <v>1.7775752051048314E-2</v>
      </c>
      <c r="G24" s="42">
        <v>1.7775752051048314E-2</v>
      </c>
      <c r="J24" s="35"/>
      <c r="K24" s="35"/>
      <c r="L24" s="35"/>
      <c r="M24" s="35"/>
      <c r="N24" s="35"/>
    </row>
    <row r="25" spans="1:14" hidden="1" x14ac:dyDescent="0.3">
      <c r="A25" s="39" t="s">
        <v>21</v>
      </c>
      <c r="B25" s="40">
        <v>171</v>
      </c>
      <c r="C25" s="41">
        <v>0</v>
      </c>
      <c r="D25" s="41">
        <v>0</v>
      </c>
      <c r="E25" s="41">
        <v>0</v>
      </c>
      <c r="F25" s="41">
        <v>1.5587967183226983E-2</v>
      </c>
      <c r="G25" s="42">
        <v>1.5587967183226983E-2</v>
      </c>
      <c r="J25" s="35"/>
      <c r="K25" s="35"/>
      <c r="L25" s="35"/>
      <c r="M25" s="35"/>
      <c r="N25" s="35"/>
    </row>
    <row r="26" spans="1:14" hidden="1" x14ac:dyDescent="0.3">
      <c r="A26" s="39" t="s">
        <v>22</v>
      </c>
      <c r="B26" s="40">
        <v>78</v>
      </c>
      <c r="C26" s="41">
        <v>0</v>
      </c>
      <c r="D26" s="41">
        <v>0</v>
      </c>
      <c r="E26" s="41">
        <v>7.1103008204193253E-3</v>
      </c>
      <c r="F26" s="41">
        <v>0</v>
      </c>
      <c r="G26" s="42">
        <v>7.1103008204193253E-3</v>
      </c>
      <c r="J26" s="35"/>
      <c r="K26" s="35"/>
      <c r="L26" s="35"/>
      <c r="M26" s="35"/>
      <c r="N26" s="35"/>
    </row>
    <row r="27" spans="1:14" hidden="1" x14ac:dyDescent="0.3">
      <c r="A27" s="39" t="s">
        <v>23</v>
      </c>
      <c r="B27" s="40">
        <v>153</v>
      </c>
      <c r="C27" s="41">
        <v>0</v>
      </c>
      <c r="D27" s="41">
        <v>0</v>
      </c>
      <c r="E27" s="41">
        <v>1.3947128532360985E-2</v>
      </c>
      <c r="F27" s="41">
        <v>0</v>
      </c>
      <c r="G27" s="42">
        <v>1.3947128532360985E-2</v>
      </c>
      <c r="J27" s="35"/>
      <c r="K27" s="35"/>
      <c r="L27" s="35"/>
      <c r="M27" s="35"/>
      <c r="N27" s="35"/>
    </row>
    <row r="28" spans="1:14" hidden="1" x14ac:dyDescent="0.3">
      <c r="A28" s="39" t="s">
        <v>24</v>
      </c>
      <c r="B28" s="40">
        <v>85</v>
      </c>
      <c r="C28" s="41">
        <v>0</v>
      </c>
      <c r="D28" s="41">
        <v>0</v>
      </c>
      <c r="E28" s="41">
        <v>7.7484047402005471E-3</v>
      </c>
      <c r="F28" s="41">
        <v>0</v>
      </c>
      <c r="G28" s="42">
        <v>7.7484047402005471E-3</v>
      </c>
      <c r="J28" s="35"/>
      <c r="K28" s="35"/>
      <c r="L28" s="35"/>
      <c r="M28" s="35"/>
      <c r="N28" s="35"/>
    </row>
    <row r="29" spans="1:14" hidden="1" x14ac:dyDescent="0.3">
      <c r="A29" s="39" t="s">
        <v>25</v>
      </c>
      <c r="B29" s="40">
        <v>172</v>
      </c>
      <c r="C29" s="41">
        <v>0</v>
      </c>
      <c r="D29" s="41">
        <v>0</v>
      </c>
      <c r="E29" s="41">
        <v>1.5679124886052873E-2</v>
      </c>
      <c r="F29" s="41">
        <v>0</v>
      </c>
      <c r="G29" s="42">
        <v>1.5679124886052873E-2</v>
      </c>
      <c r="J29" s="35"/>
      <c r="K29" s="35"/>
      <c r="L29" s="35"/>
      <c r="M29" s="35"/>
      <c r="N29" s="35"/>
    </row>
    <row r="30" spans="1:14" hidden="1" x14ac:dyDescent="0.3">
      <c r="A30" s="39" t="s">
        <v>26</v>
      </c>
      <c r="B30" s="40">
        <v>154</v>
      </c>
      <c r="C30" s="41">
        <v>0</v>
      </c>
      <c r="D30" s="41">
        <v>0</v>
      </c>
      <c r="E30" s="41">
        <v>1.4038286235186874E-2</v>
      </c>
      <c r="F30" s="41">
        <v>0</v>
      </c>
      <c r="G30" s="42">
        <v>1.4038286235186874E-2</v>
      </c>
      <c r="J30" s="35"/>
      <c r="K30" s="35"/>
      <c r="L30" s="35"/>
      <c r="M30" s="35"/>
      <c r="N30" s="35"/>
    </row>
    <row r="31" spans="1:14" hidden="1" x14ac:dyDescent="0.3">
      <c r="A31" s="39" t="s">
        <v>27</v>
      </c>
      <c r="B31" s="40">
        <v>142</v>
      </c>
      <c r="C31" s="41">
        <v>0</v>
      </c>
      <c r="D31" s="41">
        <v>0</v>
      </c>
      <c r="E31" s="41">
        <v>1.2944393801276207E-2</v>
      </c>
      <c r="F31" s="41">
        <v>0</v>
      </c>
      <c r="G31" s="42">
        <v>1.2944393801276207E-2</v>
      </c>
      <c r="J31" s="35"/>
      <c r="K31" s="35"/>
      <c r="L31" s="35"/>
      <c r="M31" s="35"/>
      <c r="N31" s="35"/>
    </row>
    <row r="32" spans="1:14" hidden="1" x14ac:dyDescent="0.3">
      <c r="A32" s="39" t="s">
        <v>28</v>
      </c>
      <c r="B32" s="40">
        <v>24</v>
      </c>
      <c r="C32" s="41">
        <v>0</v>
      </c>
      <c r="D32" s="41">
        <v>2.1877848678213308E-3</v>
      </c>
      <c r="E32" s="41">
        <v>0</v>
      </c>
      <c r="F32" s="41">
        <v>0</v>
      </c>
      <c r="G32" s="42">
        <v>2.1877848678213308E-3</v>
      </c>
      <c r="J32" s="35"/>
      <c r="K32" s="35"/>
      <c r="L32" s="35"/>
      <c r="M32" s="35"/>
      <c r="N32" s="35"/>
    </row>
    <row r="33" spans="1:14" hidden="1" x14ac:dyDescent="0.3">
      <c r="A33" s="39" t="s">
        <v>29</v>
      </c>
      <c r="B33" s="40">
        <v>39</v>
      </c>
      <c r="C33" s="41">
        <v>0</v>
      </c>
      <c r="D33" s="41">
        <v>3.5551504102096627E-3</v>
      </c>
      <c r="E33" s="41">
        <v>0</v>
      </c>
      <c r="F33" s="41">
        <v>0</v>
      </c>
      <c r="G33" s="42">
        <v>3.5551504102096627E-3</v>
      </c>
      <c r="J33" s="35"/>
      <c r="K33" s="35"/>
      <c r="L33" s="35"/>
      <c r="M33" s="35"/>
      <c r="N33" s="35"/>
    </row>
    <row r="34" spans="1:14" hidden="1" x14ac:dyDescent="0.3">
      <c r="A34" s="39" t="s">
        <v>30</v>
      </c>
      <c r="B34" s="40">
        <v>109</v>
      </c>
      <c r="C34" s="41">
        <v>0</v>
      </c>
      <c r="D34" s="41">
        <v>9.9361896080218774E-3</v>
      </c>
      <c r="E34" s="41">
        <v>0</v>
      </c>
      <c r="F34" s="41">
        <v>0</v>
      </c>
      <c r="G34" s="42">
        <v>9.9361896080218774E-3</v>
      </c>
      <c r="J34" s="35"/>
      <c r="K34" s="35"/>
      <c r="L34" s="35"/>
      <c r="M34" s="35"/>
      <c r="N34" s="35"/>
    </row>
    <row r="35" spans="1:14" hidden="1" x14ac:dyDescent="0.3">
      <c r="A35" s="39" t="s">
        <v>31</v>
      </c>
      <c r="B35" s="40">
        <v>14</v>
      </c>
      <c r="C35" s="41">
        <v>0</v>
      </c>
      <c r="D35" s="41">
        <v>1.2762078395624431E-3</v>
      </c>
      <c r="E35" s="41">
        <v>0</v>
      </c>
      <c r="F35" s="41">
        <v>0</v>
      </c>
      <c r="G35" s="42">
        <v>1.2762078395624431E-3</v>
      </c>
      <c r="J35" s="35"/>
      <c r="K35" s="35"/>
      <c r="L35" s="35"/>
      <c r="M35" s="35"/>
      <c r="N35" s="35"/>
    </row>
    <row r="36" spans="1:14" x14ac:dyDescent="0.3">
      <c r="A36" s="43" t="s">
        <v>143</v>
      </c>
      <c r="B36" s="40">
        <v>1153</v>
      </c>
      <c r="C36" s="41">
        <v>0</v>
      </c>
      <c r="D36" s="41">
        <v>9.0793072014585238E-2</v>
      </c>
      <c r="E36" s="41">
        <v>1.431175934366454E-2</v>
      </c>
      <c r="F36" s="41">
        <v>0</v>
      </c>
      <c r="G36" s="42">
        <v>0.10510483135824977</v>
      </c>
      <c r="J36" s="35"/>
      <c r="K36" s="35"/>
      <c r="L36" s="35"/>
      <c r="M36" s="35"/>
      <c r="N36" s="35"/>
    </row>
    <row r="37" spans="1:14" hidden="1" x14ac:dyDescent="0.3">
      <c r="A37" s="39" t="s">
        <v>32</v>
      </c>
      <c r="B37" s="40">
        <v>157</v>
      </c>
      <c r="C37" s="41">
        <v>0</v>
      </c>
      <c r="D37" s="41">
        <v>0</v>
      </c>
      <c r="E37" s="41">
        <v>1.431175934366454E-2</v>
      </c>
      <c r="F37" s="41">
        <v>0</v>
      </c>
      <c r="G37" s="42">
        <v>1.431175934366454E-2</v>
      </c>
      <c r="J37" s="35"/>
      <c r="K37" s="35"/>
      <c r="L37" s="35"/>
      <c r="M37" s="35"/>
      <c r="N37" s="35"/>
    </row>
    <row r="38" spans="1:14" hidden="1" x14ac:dyDescent="0.3">
      <c r="A38" s="39" t="s">
        <v>33</v>
      </c>
      <c r="B38" s="40">
        <v>108</v>
      </c>
      <c r="C38" s="41">
        <v>0</v>
      </c>
      <c r="D38" s="41">
        <v>9.8450319051959882E-3</v>
      </c>
      <c r="E38" s="41">
        <v>0</v>
      </c>
      <c r="F38" s="41">
        <v>0</v>
      </c>
      <c r="G38" s="42">
        <v>9.8450319051959882E-3</v>
      </c>
      <c r="J38" s="35"/>
      <c r="K38" s="35"/>
      <c r="L38" s="35"/>
      <c r="M38" s="35"/>
      <c r="N38" s="35"/>
    </row>
    <row r="39" spans="1:14" hidden="1" x14ac:dyDescent="0.3">
      <c r="A39" s="39" t="s">
        <v>34</v>
      </c>
      <c r="B39" s="40">
        <v>130</v>
      </c>
      <c r="C39" s="41">
        <v>0</v>
      </c>
      <c r="D39" s="41">
        <v>1.1850501367365542E-2</v>
      </c>
      <c r="E39" s="41">
        <v>0</v>
      </c>
      <c r="F39" s="41">
        <v>0</v>
      </c>
      <c r="G39" s="42">
        <v>1.1850501367365542E-2</v>
      </c>
      <c r="J39" s="35"/>
      <c r="K39" s="35"/>
      <c r="L39" s="35"/>
      <c r="M39" s="35"/>
      <c r="N39" s="35"/>
    </row>
    <row r="40" spans="1:14" hidden="1" x14ac:dyDescent="0.3">
      <c r="A40" s="39" t="s">
        <v>35</v>
      </c>
      <c r="B40" s="40">
        <v>115</v>
      </c>
      <c r="C40" s="41">
        <v>0</v>
      </c>
      <c r="D40" s="41">
        <v>1.0483135824977211E-2</v>
      </c>
      <c r="E40" s="41">
        <v>0</v>
      </c>
      <c r="F40" s="41">
        <v>0</v>
      </c>
      <c r="G40" s="42">
        <v>1.0483135824977211E-2</v>
      </c>
      <c r="J40" s="35"/>
      <c r="K40" s="35"/>
      <c r="L40" s="35"/>
      <c r="M40" s="35"/>
      <c r="N40" s="35"/>
    </row>
    <row r="41" spans="1:14" hidden="1" x14ac:dyDescent="0.3">
      <c r="A41" s="39" t="s">
        <v>36</v>
      </c>
      <c r="B41" s="40">
        <v>127</v>
      </c>
      <c r="C41" s="41">
        <v>0</v>
      </c>
      <c r="D41" s="41">
        <v>1.1577028258887876E-2</v>
      </c>
      <c r="E41" s="41">
        <v>0</v>
      </c>
      <c r="F41" s="41">
        <v>0</v>
      </c>
      <c r="G41" s="42">
        <v>1.1577028258887876E-2</v>
      </c>
      <c r="J41" s="35"/>
      <c r="K41" s="35"/>
      <c r="L41" s="35"/>
      <c r="M41" s="35"/>
      <c r="N41" s="35"/>
    </row>
    <row r="42" spans="1:14" hidden="1" x14ac:dyDescent="0.3">
      <c r="A42" s="39" t="s">
        <v>37</v>
      </c>
      <c r="B42" s="40">
        <v>128</v>
      </c>
      <c r="C42" s="41">
        <v>0</v>
      </c>
      <c r="D42" s="41">
        <v>1.1668185961713765E-2</v>
      </c>
      <c r="E42" s="41">
        <v>0</v>
      </c>
      <c r="F42" s="41">
        <v>0</v>
      </c>
      <c r="G42" s="42">
        <v>1.1668185961713765E-2</v>
      </c>
      <c r="J42" s="35"/>
      <c r="K42" s="35"/>
      <c r="L42" s="35"/>
      <c r="M42" s="35"/>
      <c r="N42" s="35"/>
    </row>
    <row r="43" spans="1:14" hidden="1" x14ac:dyDescent="0.3">
      <c r="A43" s="39" t="s">
        <v>38</v>
      </c>
      <c r="B43" s="40">
        <v>122</v>
      </c>
      <c r="C43" s="41">
        <v>0</v>
      </c>
      <c r="D43" s="41">
        <v>1.1121239744758432E-2</v>
      </c>
      <c r="E43" s="41">
        <v>0</v>
      </c>
      <c r="F43" s="41">
        <v>0</v>
      </c>
      <c r="G43" s="42">
        <v>1.1121239744758432E-2</v>
      </c>
      <c r="J43" s="35"/>
      <c r="K43" s="35"/>
      <c r="L43" s="35"/>
      <c r="M43" s="35"/>
      <c r="N43" s="35"/>
    </row>
    <row r="44" spans="1:14" hidden="1" x14ac:dyDescent="0.3">
      <c r="A44" s="39" t="s">
        <v>39</v>
      </c>
      <c r="B44" s="40">
        <v>136</v>
      </c>
      <c r="C44" s="41">
        <v>0</v>
      </c>
      <c r="D44" s="41">
        <v>1.2397447584320875E-2</v>
      </c>
      <c r="E44" s="41">
        <v>0</v>
      </c>
      <c r="F44" s="41">
        <v>0</v>
      </c>
      <c r="G44" s="42">
        <v>1.2397447584320875E-2</v>
      </c>
      <c r="J44" s="35"/>
      <c r="K44" s="35"/>
      <c r="L44" s="35"/>
      <c r="M44" s="35"/>
      <c r="N44" s="35"/>
    </row>
    <row r="45" spans="1:14" hidden="1" x14ac:dyDescent="0.3">
      <c r="A45" s="39" t="s">
        <v>40</v>
      </c>
      <c r="B45" s="40">
        <v>130</v>
      </c>
      <c r="C45" s="41">
        <v>0</v>
      </c>
      <c r="D45" s="41">
        <v>1.1850501367365542E-2</v>
      </c>
      <c r="E45" s="41">
        <v>0</v>
      </c>
      <c r="F45" s="41">
        <v>0</v>
      </c>
      <c r="G45" s="42">
        <v>1.1850501367365542E-2</v>
      </c>
      <c r="J45" s="35"/>
      <c r="K45" s="35"/>
      <c r="L45" s="35"/>
      <c r="M45" s="35"/>
      <c r="N45" s="35"/>
    </row>
    <row r="46" spans="1:14" x14ac:dyDescent="0.3">
      <c r="A46" s="43" t="s">
        <v>145</v>
      </c>
      <c r="B46" s="40">
        <v>1243</v>
      </c>
      <c r="C46" s="41">
        <v>0</v>
      </c>
      <c r="D46" s="41">
        <v>0</v>
      </c>
      <c r="E46" s="41">
        <v>8.8969917958067454E-2</v>
      </c>
      <c r="F46" s="41">
        <v>2.4339106654512305E-2</v>
      </c>
      <c r="G46" s="42">
        <v>0.11330902461257976</v>
      </c>
      <c r="J46" s="35"/>
      <c r="K46" s="35"/>
      <c r="L46" s="35"/>
      <c r="M46" s="35"/>
      <c r="N46" s="35"/>
    </row>
    <row r="47" spans="1:14" hidden="1" x14ac:dyDescent="0.3">
      <c r="A47" s="39" t="s">
        <v>41</v>
      </c>
      <c r="B47" s="40">
        <v>8</v>
      </c>
      <c r="C47" s="41">
        <v>0</v>
      </c>
      <c r="D47" s="41">
        <v>0</v>
      </c>
      <c r="E47" s="41">
        <v>0</v>
      </c>
      <c r="F47" s="41">
        <v>7.2926162260711033E-4</v>
      </c>
      <c r="G47" s="42">
        <v>7.2926162260711033E-4</v>
      </c>
      <c r="J47" s="35"/>
      <c r="K47" s="35"/>
      <c r="L47" s="35"/>
      <c r="M47" s="35"/>
      <c r="N47" s="35"/>
    </row>
    <row r="48" spans="1:14" hidden="1" x14ac:dyDescent="0.3">
      <c r="A48" s="39" t="s">
        <v>42</v>
      </c>
      <c r="B48" s="40">
        <v>103</v>
      </c>
      <c r="C48" s="41">
        <v>0</v>
      </c>
      <c r="D48" s="41">
        <v>0</v>
      </c>
      <c r="E48" s="41">
        <v>0</v>
      </c>
      <c r="F48" s="41">
        <v>9.3892433910665457E-3</v>
      </c>
      <c r="G48" s="42">
        <v>9.3892433910665457E-3</v>
      </c>
      <c r="J48" s="35"/>
      <c r="K48" s="35"/>
      <c r="L48" s="35"/>
      <c r="M48" s="35"/>
      <c r="N48" s="35"/>
    </row>
    <row r="49" spans="1:14" hidden="1" x14ac:dyDescent="0.3">
      <c r="A49" s="39" t="s">
        <v>43</v>
      </c>
      <c r="B49" s="40">
        <v>156</v>
      </c>
      <c r="C49" s="41">
        <v>0</v>
      </c>
      <c r="D49" s="41">
        <v>0</v>
      </c>
      <c r="E49" s="41">
        <v>0</v>
      </c>
      <c r="F49" s="41">
        <v>1.4220601640838651E-2</v>
      </c>
      <c r="G49" s="42">
        <v>1.4220601640838651E-2</v>
      </c>
      <c r="J49" s="35"/>
      <c r="K49" s="35"/>
      <c r="L49" s="35"/>
      <c r="M49" s="35"/>
      <c r="N49" s="35"/>
    </row>
    <row r="50" spans="1:14" hidden="1" x14ac:dyDescent="0.3">
      <c r="A50" s="39" t="s">
        <v>44</v>
      </c>
      <c r="B50" s="40">
        <v>124</v>
      </c>
      <c r="C50" s="41">
        <v>0</v>
      </c>
      <c r="D50" s="41">
        <v>0</v>
      </c>
      <c r="E50" s="41">
        <v>1.130355515041021E-2</v>
      </c>
      <c r="F50" s="41">
        <v>0</v>
      </c>
      <c r="G50" s="42">
        <v>1.130355515041021E-2</v>
      </c>
      <c r="J50" s="35"/>
      <c r="K50" s="35"/>
      <c r="L50" s="35"/>
      <c r="M50" s="35"/>
      <c r="N50" s="35"/>
    </row>
    <row r="51" spans="1:14" hidden="1" x14ac:dyDescent="0.3">
      <c r="A51" s="39" t="s">
        <v>45</v>
      </c>
      <c r="B51" s="40">
        <v>12</v>
      </c>
      <c r="C51" s="41">
        <v>0</v>
      </c>
      <c r="D51" s="41">
        <v>0</v>
      </c>
      <c r="E51" s="41">
        <v>1.0938924339106654E-3</v>
      </c>
      <c r="F51" s="41">
        <v>0</v>
      </c>
      <c r="G51" s="42">
        <v>1.0938924339106654E-3</v>
      </c>
      <c r="J51" s="35"/>
      <c r="K51" s="35"/>
      <c r="L51" s="35"/>
      <c r="M51" s="35"/>
      <c r="N51" s="35"/>
    </row>
    <row r="52" spans="1:14" hidden="1" x14ac:dyDescent="0.3">
      <c r="A52" s="39" t="s">
        <v>46</v>
      </c>
      <c r="B52" s="40">
        <v>100</v>
      </c>
      <c r="C52" s="41">
        <v>0</v>
      </c>
      <c r="D52" s="41">
        <v>0</v>
      </c>
      <c r="E52" s="41">
        <v>9.1157702825888781E-3</v>
      </c>
      <c r="F52" s="41">
        <v>0</v>
      </c>
      <c r="G52" s="42">
        <v>9.1157702825888781E-3</v>
      </c>
      <c r="J52" s="35"/>
      <c r="K52" s="35"/>
      <c r="L52" s="35"/>
      <c r="M52" s="35"/>
      <c r="N52" s="35"/>
    </row>
    <row r="53" spans="1:14" hidden="1" x14ac:dyDescent="0.3">
      <c r="A53" s="39" t="s">
        <v>47</v>
      </c>
      <c r="B53" s="40">
        <v>133</v>
      </c>
      <c r="C53" s="41">
        <v>0</v>
      </c>
      <c r="D53" s="41">
        <v>0</v>
      </c>
      <c r="E53" s="41">
        <v>1.2123974475843209E-2</v>
      </c>
      <c r="F53" s="41">
        <v>0</v>
      </c>
      <c r="G53" s="42">
        <v>1.2123974475843209E-2</v>
      </c>
      <c r="J53" s="35"/>
      <c r="K53" s="35"/>
      <c r="L53" s="35"/>
      <c r="M53" s="35"/>
      <c r="N53" s="35"/>
    </row>
    <row r="54" spans="1:14" hidden="1" x14ac:dyDescent="0.3">
      <c r="A54" s="39" t="s">
        <v>48</v>
      </c>
      <c r="B54" s="40">
        <v>101</v>
      </c>
      <c r="C54" s="41">
        <v>0</v>
      </c>
      <c r="D54" s="41">
        <v>0</v>
      </c>
      <c r="E54" s="41">
        <v>9.2069279854147673E-3</v>
      </c>
      <c r="F54" s="41">
        <v>0</v>
      </c>
      <c r="G54" s="42">
        <v>9.2069279854147673E-3</v>
      </c>
      <c r="J54" s="35"/>
      <c r="K54" s="35"/>
      <c r="L54" s="35"/>
      <c r="M54" s="35"/>
      <c r="N54" s="35"/>
    </row>
    <row r="55" spans="1:14" hidden="1" x14ac:dyDescent="0.3">
      <c r="A55" s="39" t="s">
        <v>49</v>
      </c>
      <c r="B55" s="40">
        <v>116</v>
      </c>
      <c r="C55" s="41">
        <v>0</v>
      </c>
      <c r="D55" s="41">
        <v>0</v>
      </c>
      <c r="E55" s="41">
        <v>1.05742935278031E-2</v>
      </c>
      <c r="F55" s="41">
        <v>0</v>
      </c>
      <c r="G55" s="42">
        <v>1.05742935278031E-2</v>
      </c>
      <c r="J55" s="35"/>
      <c r="K55" s="35"/>
      <c r="L55" s="35"/>
      <c r="M55" s="35"/>
      <c r="N55" s="35"/>
    </row>
    <row r="56" spans="1:14" hidden="1" x14ac:dyDescent="0.3">
      <c r="A56" s="39" t="s">
        <v>50</v>
      </c>
      <c r="B56" s="40">
        <v>76</v>
      </c>
      <c r="C56" s="41">
        <v>0</v>
      </c>
      <c r="D56" s="41">
        <v>0</v>
      </c>
      <c r="E56" s="41">
        <v>6.9279854147675478E-3</v>
      </c>
      <c r="F56" s="41">
        <v>0</v>
      </c>
      <c r="G56" s="42">
        <v>6.9279854147675478E-3</v>
      </c>
      <c r="J56" s="35"/>
      <c r="K56" s="35"/>
      <c r="L56" s="35"/>
      <c r="M56" s="35"/>
      <c r="N56" s="35"/>
    </row>
    <row r="57" spans="1:14" hidden="1" x14ac:dyDescent="0.3">
      <c r="A57" s="39" t="s">
        <v>51</v>
      </c>
      <c r="B57" s="40">
        <v>92</v>
      </c>
      <c r="C57" s="41">
        <v>0</v>
      </c>
      <c r="D57" s="41">
        <v>0</v>
      </c>
      <c r="E57" s="41">
        <v>8.386508659981768E-3</v>
      </c>
      <c r="F57" s="41">
        <v>0</v>
      </c>
      <c r="G57" s="42">
        <v>8.386508659981768E-3</v>
      </c>
      <c r="J57" s="35"/>
      <c r="K57" s="35"/>
      <c r="L57" s="35"/>
      <c r="M57" s="35"/>
      <c r="N57" s="35"/>
    </row>
    <row r="58" spans="1:14" hidden="1" x14ac:dyDescent="0.3">
      <c r="A58" s="39" t="s">
        <v>52</v>
      </c>
      <c r="B58" s="40">
        <v>108</v>
      </c>
      <c r="C58" s="41">
        <v>0</v>
      </c>
      <c r="D58" s="41">
        <v>0</v>
      </c>
      <c r="E58" s="41">
        <v>9.8450319051959882E-3</v>
      </c>
      <c r="F58" s="41">
        <v>0</v>
      </c>
      <c r="G58" s="42">
        <v>9.8450319051959882E-3</v>
      </c>
      <c r="J58" s="35"/>
      <c r="K58" s="35"/>
      <c r="L58" s="35"/>
      <c r="M58" s="35"/>
      <c r="N58" s="35"/>
    </row>
    <row r="59" spans="1:14" hidden="1" x14ac:dyDescent="0.3">
      <c r="A59" s="39" t="s">
        <v>53</v>
      </c>
      <c r="B59" s="40">
        <v>85</v>
      </c>
      <c r="C59" s="41">
        <v>0</v>
      </c>
      <c r="D59" s="41">
        <v>0</v>
      </c>
      <c r="E59" s="41">
        <v>7.7484047402005471E-3</v>
      </c>
      <c r="F59" s="41">
        <v>0</v>
      </c>
      <c r="G59" s="42">
        <v>7.7484047402005471E-3</v>
      </c>
      <c r="J59" s="35"/>
      <c r="K59" s="35"/>
      <c r="L59" s="35"/>
      <c r="M59" s="35"/>
      <c r="N59" s="35"/>
    </row>
    <row r="60" spans="1:14" hidden="1" x14ac:dyDescent="0.3">
      <c r="A60" s="39" t="s">
        <v>54</v>
      </c>
      <c r="B60" s="40">
        <v>29</v>
      </c>
      <c r="C60" s="41">
        <v>0</v>
      </c>
      <c r="D60" s="41">
        <v>0</v>
      </c>
      <c r="E60" s="41">
        <v>2.643573381950775E-3</v>
      </c>
      <c r="F60" s="41">
        <v>0</v>
      </c>
      <c r="G60" s="42">
        <v>2.643573381950775E-3</v>
      </c>
      <c r="J60" s="35"/>
      <c r="K60" s="35"/>
      <c r="L60" s="35"/>
      <c r="M60" s="35"/>
      <c r="N60" s="35"/>
    </row>
    <row r="61" spans="1:14" x14ac:dyDescent="0.3">
      <c r="A61" s="43" t="s">
        <v>144</v>
      </c>
      <c r="B61" s="40">
        <v>1119</v>
      </c>
      <c r="C61" s="41">
        <v>1.8596171376481313E-2</v>
      </c>
      <c r="D61" s="41">
        <v>8.1130355515041025E-2</v>
      </c>
      <c r="E61" s="41">
        <v>3.6463081130355516E-4</v>
      </c>
      <c r="F61" s="41">
        <v>1.9143117593436645E-3</v>
      </c>
      <c r="G61" s="42">
        <v>0.10200546946216955</v>
      </c>
      <c r="J61" s="35"/>
      <c r="K61" s="35"/>
      <c r="L61" s="35"/>
      <c r="M61" s="35"/>
      <c r="N61" s="35"/>
    </row>
    <row r="62" spans="1:14" hidden="1" x14ac:dyDescent="0.3">
      <c r="A62" s="39" t="s">
        <v>55</v>
      </c>
      <c r="B62" s="40">
        <v>6</v>
      </c>
      <c r="C62" s="41">
        <v>0</v>
      </c>
      <c r="D62" s="41">
        <v>0</v>
      </c>
      <c r="E62" s="41">
        <v>0</v>
      </c>
      <c r="F62" s="41">
        <v>5.4694621695533269E-4</v>
      </c>
      <c r="G62" s="42">
        <v>5.4694621695533269E-4</v>
      </c>
      <c r="J62" s="35"/>
      <c r="K62" s="35"/>
      <c r="L62" s="35"/>
      <c r="M62" s="35"/>
      <c r="N62" s="35"/>
    </row>
    <row r="63" spans="1:14" hidden="1" x14ac:dyDescent="0.3">
      <c r="A63" s="39" t="s">
        <v>56</v>
      </c>
      <c r="B63" s="40">
        <v>15</v>
      </c>
      <c r="C63" s="41">
        <v>0</v>
      </c>
      <c r="D63" s="41">
        <v>0</v>
      </c>
      <c r="E63" s="41">
        <v>0</v>
      </c>
      <c r="F63" s="41">
        <v>1.3673655423883319E-3</v>
      </c>
      <c r="G63" s="42">
        <v>1.3673655423883319E-3</v>
      </c>
      <c r="J63" s="35"/>
      <c r="K63" s="35"/>
      <c r="L63" s="35"/>
      <c r="M63" s="35"/>
      <c r="N63" s="35"/>
    </row>
    <row r="64" spans="1:14" hidden="1" x14ac:dyDescent="0.3">
      <c r="A64" s="39" t="s">
        <v>57</v>
      </c>
      <c r="B64" s="40">
        <v>4</v>
      </c>
      <c r="C64" s="41">
        <v>0</v>
      </c>
      <c r="D64" s="41">
        <v>0</v>
      </c>
      <c r="E64" s="41">
        <v>3.6463081130355516E-4</v>
      </c>
      <c r="F64" s="41">
        <v>0</v>
      </c>
      <c r="G64" s="42">
        <v>3.6463081130355516E-4</v>
      </c>
      <c r="J64" s="35"/>
      <c r="K64" s="35"/>
      <c r="L64" s="35"/>
      <c r="M64" s="35"/>
      <c r="N64" s="35"/>
    </row>
    <row r="65" spans="1:14" hidden="1" x14ac:dyDescent="0.3">
      <c r="A65" s="39" t="s">
        <v>58</v>
      </c>
      <c r="B65" s="40">
        <v>131</v>
      </c>
      <c r="C65" s="41">
        <v>0</v>
      </c>
      <c r="D65" s="41">
        <v>1.1941659070191431E-2</v>
      </c>
      <c r="E65" s="41">
        <v>0</v>
      </c>
      <c r="F65" s="41">
        <v>0</v>
      </c>
      <c r="G65" s="42">
        <v>1.1941659070191431E-2</v>
      </c>
      <c r="J65" s="35"/>
      <c r="K65" s="35"/>
      <c r="L65" s="35"/>
      <c r="M65" s="35"/>
      <c r="N65" s="35"/>
    </row>
    <row r="66" spans="1:14" hidden="1" x14ac:dyDescent="0.3">
      <c r="A66" s="39" t="s">
        <v>59</v>
      </c>
      <c r="B66" s="40">
        <v>117</v>
      </c>
      <c r="C66" s="41">
        <v>0</v>
      </c>
      <c r="D66" s="41">
        <v>1.0665451230628988E-2</v>
      </c>
      <c r="E66" s="41">
        <v>0</v>
      </c>
      <c r="F66" s="41">
        <v>0</v>
      </c>
      <c r="G66" s="42">
        <v>1.0665451230628988E-2</v>
      </c>
      <c r="J66" s="35"/>
      <c r="K66" s="35"/>
      <c r="L66" s="35"/>
      <c r="M66" s="35"/>
      <c r="N66" s="35"/>
    </row>
    <row r="67" spans="1:14" hidden="1" x14ac:dyDescent="0.3">
      <c r="A67" s="39" t="s">
        <v>60</v>
      </c>
      <c r="B67" s="40">
        <v>155</v>
      </c>
      <c r="C67" s="41">
        <v>0</v>
      </c>
      <c r="D67" s="41">
        <v>1.4129443938012761E-2</v>
      </c>
      <c r="E67" s="41">
        <v>0</v>
      </c>
      <c r="F67" s="41">
        <v>0</v>
      </c>
      <c r="G67" s="42">
        <v>1.4129443938012761E-2</v>
      </c>
      <c r="J67" s="35"/>
      <c r="K67" s="35"/>
      <c r="L67" s="35"/>
      <c r="M67" s="35"/>
      <c r="N67" s="35"/>
    </row>
    <row r="68" spans="1:14" hidden="1" x14ac:dyDescent="0.3">
      <c r="A68" s="39" t="s">
        <v>61</v>
      </c>
      <c r="B68" s="40">
        <v>100</v>
      </c>
      <c r="C68" s="41">
        <v>0</v>
      </c>
      <c r="D68" s="41">
        <v>9.1157702825888781E-3</v>
      </c>
      <c r="E68" s="41">
        <v>0</v>
      </c>
      <c r="F68" s="41">
        <v>0</v>
      </c>
      <c r="G68" s="42">
        <v>9.1157702825888781E-3</v>
      </c>
      <c r="J68" s="35"/>
      <c r="K68" s="35"/>
      <c r="L68" s="35"/>
      <c r="M68" s="35"/>
      <c r="N68" s="35"/>
    </row>
    <row r="69" spans="1:14" hidden="1" x14ac:dyDescent="0.3">
      <c r="A69" s="39" t="s">
        <v>62</v>
      </c>
      <c r="B69" s="40">
        <v>116</v>
      </c>
      <c r="C69" s="41">
        <v>0</v>
      </c>
      <c r="D69" s="41">
        <v>1.05742935278031E-2</v>
      </c>
      <c r="E69" s="41">
        <v>0</v>
      </c>
      <c r="F69" s="41">
        <v>0</v>
      </c>
      <c r="G69" s="42">
        <v>1.05742935278031E-2</v>
      </c>
      <c r="J69" s="35"/>
      <c r="K69" s="35"/>
      <c r="L69" s="35"/>
      <c r="M69" s="35"/>
      <c r="N69" s="35"/>
    </row>
    <row r="70" spans="1:14" hidden="1" x14ac:dyDescent="0.3">
      <c r="A70" s="39" t="s">
        <v>63</v>
      </c>
      <c r="B70" s="40">
        <v>130</v>
      </c>
      <c r="C70" s="41">
        <v>0</v>
      </c>
      <c r="D70" s="41">
        <v>1.1850501367365542E-2</v>
      </c>
      <c r="E70" s="41">
        <v>0</v>
      </c>
      <c r="F70" s="41">
        <v>0</v>
      </c>
      <c r="G70" s="42">
        <v>1.1850501367365542E-2</v>
      </c>
      <c r="J70" s="35"/>
      <c r="K70" s="35"/>
      <c r="L70" s="35"/>
      <c r="M70" s="35"/>
      <c r="N70" s="35"/>
    </row>
    <row r="71" spans="1:14" hidden="1" x14ac:dyDescent="0.3">
      <c r="A71" s="39" t="s">
        <v>64</v>
      </c>
      <c r="B71" s="40">
        <v>141</v>
      </c>
      <c r="C71" s="41">
        <v>0</v>
      </c>
      <c r="D71" s="41">
        <v>1.285323609845032E-2</v>
      </c>
      <c r="E71" s="41">
        <v>0</v>
      </c>
      <c r="F71" s="41">
        <v>0</v>
      </c>
      <c r="G71" s="42">
        <v>1.285323609845032E-2</v>
      </c>
      <c r="J71" s="35"/>
      <c r="K71" s="35"/>
      <c r="L71" s="35"/>
      <c r="M71" s="35"/>
      <c r="N71" s="35"/>
    </row>
    <row r="72" spans="1:14" hidden="1" x14ac:dyDescent="0.3">
      <c r="A72" s="39" t="s">
        <v>65</v>
      </c>
      <c r="B72" s="40">
        <v>99</v>
      </c>
      <c r="C72" s="41">
        <v>9.0246125797629907E-3</v>
      </c>
      <c r="D72" s="41">
        <v>0</v>
      </c>
      <c r="E72" s="41">
        <v>0</v>
      </c>
      <c r="F72" s="41">
        <v>0</v>
      </c>
      <c r="G72" s="42">
        <v>9.0246125797629907E-3</v>
      </c>
      <c r="J72" s="35"/>
      <c r="K72" s="35"/>
      <c r="L72" s="35"/>
      <c r="M72" s="35"/>
      <c r="N72" s="35"/>
    </row>
    <row r="73" spans="1:14" hidden="1" x14ac:dyDescent="0.3">
      <c r="A73" s="39" t="s">
        <v>66</v>
      </c>
      <c r="B73" s="40">
        <v>105</v>
      </c>
      <c r="C73" s="41">
        <v>9.5715587967183224E-3</v>
      </c>
      <c r="D73" s="41">
        <v>0</v>
      </c>
      <c r="E73" s="41">
        <v>0</v>
      </c>
      <c r="F73" s="41">
        <v>0</v>
      </c>
      <c r="G73" s="42">
        <v>9.5715587967183224E-3</v>
      </c>
      <c r="J73" s="35"/>
      <c r="K73" s="35"/>
      <c r="L73" s="35"/>
      <c r="M73" s="35"/>
      <c r="N73" s="35"/>
    </row>
    <row r="74" spans="1:14" x14ac:dyDescent="0.3">
      <c r="A74" s="43" t="s">
        <v>146</v>
      </c>
      <c r="B74" s="40">
        <v>2832</v>
      </c>
      <c r="C74" s="41">
        <v>5.3691886964448494E-2</v>
      </c>
      <c r="D74" s="41">
        <v>5.8249772105742934E-2</v>
      </c>
      <c r="E74" s="41">
        <v>9.4074749316317235E-2</v>
      </c>
      <c r="F74" s="41">
        <v>5.2142206016408385E-2</v>
      </c>
      <c r="G74" s="42">
        <v>0.25815861440291704</v>
      </c>
      <c r="J74" s="35"/>
      <c r="K74" s="35"/>
      <c r="L74" s="35"/>
      <c r="M74" s="35"/>
      <c r="N74" s="35"/>
    </row>
    <row r="75" spans="1:14" hidden="1" x14ac:dyDescent="0.3">
      <c r="A75" s="39" t="s">
        <v>94</v>
      </c>
      <c r="B75" s="40">
        <v>102</v>
      </c>
      <c r="C75" s="41">
        <v>0</v>
      </c>
      <c r="D75" s="41">
        <v>0</v>
      </c>
      <c r="E75" s="41">
        <v>0</v>
      </c>
      <c r="F75" s="41">
        <v>9.2980856882406565E-3</v>
      </c>
      <c r="G75" s="42">
        <v>9.2980856882406565E-3</v>
      </c>
      <c r="J75" s="35"/>
      <c r="K75" s="35"/>
      <c r="L75" s="35"/>
      <c r="M75" s="35"/>
      <c r="N75" s="35"/>
    </row>
    <row r="76" spans="1:14" hidden="1" x14ac:dyDescent="0.3">
      <c r="A76" s="39" t="s">
        <v>95</v>
      </c>
      <c r="B76" s="40">
        <v>113</v>
      </c>
      <c r="C76" s="41">
        <v>0</v>
      </c>
      <c r="D76" s="41">
        <v>0</v>
      </c>
      <c r="E76" s="41">
        <v>0</v>
      </c>
      <c r="F76" s="41">
        <v>1.0300820419325432E-2</v>
      </c>
      <c r="G76" s="42">
        <v>1.0300820419325432E-2</v>
      </c>
      <c r="J76" s="35"/>
      <c r="K76" s="35"/>
      <c r="L76" s="35"/>
      <c r="M76" s="35"/>
      <c r="N76" s="35"/>
    </row>
    <row r="77" spans="1:14" hidden="1" x14ac:dyDescent="0.3">
      <c r="A77" s="39" t="s">
        <v>96</v>
      </c>
      <c r="B77" s="40">
        <v>4</v>
      </c>
      <c r="C77" s="41">
        <v>0</v>
      </c>
      <c r="D77" s="41">
        <v>0</v>
      </c>
      <c r="E77" s="41">
        <v>0</v>
      </c>
      <c r="F77" s="41">
        <v>3.6463081130355516E-4</v>
      </c>
      <c r="G77" s="42">
        <v>3.6463081130355516E-4</v>
      </c>
      <c r="J77" s="35"/>
      <c r="K77" s="35"/>
      <c r="L77" s="35"/>
      <c r="M77" s="35"/>
      <c r="N77" s="35"/>
    </row>
    <row r="78" spans="1:14" hidden="1" x14ac:dyDescent="0.3">
      <c r="A78" s="39" t="s">
        <v>80</v>
      </c>
      <c r="B78" s="40">
        <v>113</v>
      </c>
      <c r="C78" s="41">
        <v>0</v>
      </c>
      <c r="D78" s="41">
        <v>0</v>
      </c>
      <c r="E78" s="41">
        <v>0</v>
      </c>
      <c r="F78" s="41">
        <v>1.0300820419325432E-2</v>
      </c>
      <c r="G78" s="42">
        <v>1.0300820419325432E-2</v>
      </c>
      <c r="J78" s="35"/>
      <c r="K78" s="35"/>
      <c r="L78" s="35"/>
      <c r="M78" s="35"/>
      <c r="N78" s="35"/>
    </row>
    <row r="79" spans="1:14" hidden="1" x14ac:dyDescent="0.3">
      <c r="A79" s="39" t="s">
        <v>97</v>
      </c>
      <c r="B79" s="40">
        <v>115</v>
      </c>
      <c r="C79" s="41">
        <v>0</v>
      </c>
      <c r="D79" s="41">
        <v>0</v>
      </c>
      <c r="E79" s="41">
        <v>0</v>
      </c>
      <c r="F79" s="41">
        <v>1.0483135824977211E-2</v>
      </c>
      <c r="G79" s="42">
        <v>1.0483135824977211E-2</v>
      </c>
      <c r="J79" s="35"/>
      <c r="K79" s="35"/>
      <c r="L79" s="35"/>
      <c r="M79" s="35"/>
      <c r="N79" s="35"/>
    </row>
    <row r="80" spans="1:14" hidden="1" x14ac:dyDescent="0.3">
      <c r="A80" s="39" t="s">
        <v>98</v>
      </c>
      <c r="B80" s="40">
        <v>121</v>
      </c>
      <c r="C80" s="41">
        <v>0</v>
      </c>
      <c r="D80" s="41">
        <v>0</v>
      </c>
      <c r="E80" s="41">
        <v>0</v>
      </c>
      <c r="F80" s="41">
        <v>1.1030082041932543E-2</v>
      </c>
      <c r="G80" s="42">
        <v>1.1030082041932543E-2</v>
      </c>
      <c r="J80" s="35"/>
      <c r="K80" s="35"/>
      <c r="L80" s="35"/>
      <c r="M80" s="35"/>
      <c r="N80" s="35"/>
    </row>
    <row r="81" spans="1:14" hidden="1" x14ac:dyDescent="0.3">
      <c r="A81" s="39" t="s">
        <v>99</v>
      </c>
      <c r="B81" s="40">
        <v>4</v>
      </c>
      <c r="C81" s="41">
        <v>0</v>
      </c>
      <c r="D81" s="41">
        <v>0</v>
      </c>
      <c r="E81" s="41">
        <v>0</v>
      </c>
      <c r="F81" s="41">
        <v>3.6463081130355516E-4</v>
      </c>
      <c r="G81" s="42">
        <v>3.6463081130355516E-4</v>
      </c>
      <c r="J81" s="35"/>
      <c r="K81" s="35"/>
      <c r="L81" s="35"/>
      <c r="M81" s="35"/>
      <c r="N81" s="35"/>
    </row>
    <row r="82" spans="1:14" hidden="1" x14ac:dyDescent="0.3">
      <c r="A82" s="39" t="s">
        <v>100</v>
      </c>
      <c r="B82" s="40">
        <v>9</v>
      </c>
      <c r="C82" s="41">
        <v>0</v>
      </c>
      <c r="D82" s="41">
        <v>0</v>
      </c>
      <c r="E82" s="41">
        <v>8.2041932543299909E-4</v>
      </c>
      <c r="F82" s="41">
        <v>0</v>
      </c>
      <c r="G82" s="42">
        <v>8.2041932543299909E-4</v>
      </c>
      <c r="J82" s="35"/>
      <c r="K82" s="35"/>
      <c r="L82" s="35"/>
      <c r="M82" s="35"/>
      <c r="N82" s="35"/>
    </row>
    <row r="83" spans="1:14" hidden="1" x14ac:dyDescent="0.3">
      <c r="A83" s="39" t="s">
        <v>101</v>
      </c>
      <c r="B83" s="40">
        <v>113</v>
      </c>
      <c r="C83" s="41">
        <v>0</v>
      </c>
      <c r="D83" s="41">
        <v>0</v>
      </c>
      <c r="E83" s="41">
        <v>1.0300820419325432E-2</v>
      </c>
      <c r="F83" s="41">
        <v>0</v>
      </c>
      <c r="G83" s="42">
        <v>1.0300820419325432E-2</v>
      </c>
      <c r="J83" s="35"/>
      <c r="K83" s="35"/>
      <c r="L83" s="35"/>
      <c r="M83" s="35"/>
      <c r="N83" s="35"/>
    </row>
    <row r="84" spans="1:14" hidden="1" x14ac:dyDescent="0.3">
      <c r="A84" s="39" t="s">
        <v>102</v>
      </c>
      <c r="B84" s="40">
        <v>128</v>
      </c>
      <c r="C84" s="41">
        <v>0</v>
      </c>
      <c r="D84" s="41">
        <v>0</v>
      </c>
      <c r="E84" s="41">
        <v>1.1668185961713765E-2</v>
      </c>
      <c r="F84" s="41">
        <v>0</v>
      </c>
      <c r="G84" s="42">
        <v>1.1668185961713765E-2</v>
      </c>
      <c r="J84" s="35"/>
      <c r="K84" s="35"/>
      <c r="L84" s="35"/>
      <c r="M84" s="35"/>
      <c r="N84" s="35"/>
    </row>
    <row r="85" spans="1:14" hidden="1" x14ac:dyDescent="0.3">
      <c r="A85" s="39" t="s">
        <v>103</v>
      </c>
      <c r="B85" s="40">
        <v>121</v>
      </c>
      <c r="C85" s="41">
        <v>0</v>
      </c>
      <c r="D85" s="41">
        <v>0</v>
      </c>
      <c r="E85" s="41">
        <v>1.1030082041932543E-2</v>
      </c>
      <c r="F85" s="41">
        <v>0</v>
      </c>
      <c r="G85" s="42">
        <v>1.1030082041932543E-2</v>
      </c>
      <c r="J85" s="35"/>
      <c r="K85" s="35"/>
      <c r="L85" s="35"/>
      <c r="M85" s="35"/>
      <c r="N85" s="35"/>
    </row>
    <row r="86" spans="1:14" hidden="1" x14ac:dyDescent="0.3">
      <c r="A86" s="39" t="s">
        <v>104</v>
      </c>
      <c r="B86" s="40">
        <v>56</v>
      </c>
      <c r="C86" s="41">
        <v>0</v>
      </c>
      <c r="D86" s="41">
        <v>0</v>
      </c>
      <c r="E86" s="41">
        <v>5.1048313582497725E-3</v>
      </c>
      <c r="F86" s="41">
        <v>0</v>
      </c>
      <c r="G86" s="42">
        <v>5.1048313582497725E-3</v>
      </c>
      <c r="J86" s="35"/>
      <c r="K86" s="35"/>
      <c r="L86" s="35"/>
      <c r="M86" s="35"/>
      <c r="N86" s="35"/>
    </row>
    <row r="87" spans="1:14" hidden="1" x14ac:dyDescent="0.3">
      <c r="A87" s="39" t="s">
        <v>105</v>
      </c>
      <c r="B87" s="40">
        <v>117</v>
      </c>
      <c r="C87" s="41">
        <v>0</v>
      </c>
      <c r="D87" s="41">
        <v>0</v>
      </c>
      <c r="E87" s="41">
        <v>1.0665451230628988E-2</v>
      </c>
      <c r="F87" s="41">
        <v>0</v>
      </c>
      <c r="G87" s="42">
        <v>1.0665451230628988E-2</v>
      </c>
      <c r="J87" s="35"/>
      <c r="K87" s="35"/>
      <c r="L87" s="35"/>
      <c r="M87" s="35"/>
      <c r="N87" s="35"/>
    </row>
    <row r="88" spans="1:14" hidden="1" x14ac:dyDescent="0.3">
      <c r="A88" s="39" t="s">
        <v>106</v>
      </c>
      <c r="B88" s="40">
        <v>116</v>
      </c>
      <c r="C88" s="41">
        <v>0</v>
      </c>
      <c r="D88" s="41">
        <v>0</v>
      </c>
      <c r="E88" s="41">
        <v>1.05742935278031E-2</v>
      </c>
      <c r="F88" s="41">
        <v>0</v>
      </c>
      <c r="G88" s="42">
        <v>1.05742935278031E-2</v>
      </c>
      <c r="J88" s="35"/>
      <c r="K88" s="35"/>
      <c r="L88" s="35"/>
      <c r="M88" s="35"/>
      <c r="N88" s="35"/>
    </row>
    <row r="89" spans="1:14" hidden="1" x14ac:dyDescent="0.3">
      <c r="A89" s="39" t="s">
        <v>107</v>
      </c>
      <c r="B89" s="40">
        <v>115</v>
      </c>
      <c r="C89" s="41">
        <v>0</v>
      </c>
      <c r="D89" s="41">
        <v>0</v>
      </c>
      <c r="E89" s="41">
        <v>1.0483135824977211E-2</v>
      </c>
      <c r="F89" s="41">
        <v>0</v>
      </c>
      <c r="G89" s="42">
        <v>1.0483135824977211E-2</v>
      </c>
      <c r="J89" s="35"/>
      <c r="K89" s="35"/>
      <c r="L89" s="35"/>
      <c r="M89" s="35"/>
      <c r="N89" s="35"/>
    </row>
    <row r="90" spans="1:14" hidden="1" x14ac:dyDescent="0.3">
      <c r="A90" s="39" t="s">
        <v>108</v>
      </c>
      <c r="B90" s="40">
        <v>128</v>
      </c>
      <c r="C90" s="41">
        <v>0</v>
      </c>
      <c r="D90" s="41">
        <v>0</v>
      </c>
      <c r="E90" s="41">
        <v>1.1668185961713765E-2</v>
      </c>
      <c r="F90" s="41">
        <v>0</v>
      </c>
      <c r="G90" s="42">
        <v>1.1668185961713765E-2</v>
      </c>
      <c r="J90" s="35"/>
      <c r="K90" s="35"/>
      <c r="L90" s="35"/>
      <c r="M90" s="35"/>
      <c r="N90" s="35"/>
    </row>
    <row r="91" spans="1:14" hidden="1" x14ac:dyDescent="0.3">
      <c r="A91" s="39" t="s">
        <v>109</v>
      </c>
      <c r="B91" s="40">
        <v>129</v>
      </c>
      <c r="C91" s="41">
        <v>0</v>
      </c>
      <c r="D91" s="41">
        <v>0</v>
      </c>
      <c r="E91" s="41">
        <v>1.1759343664539654E-2</v>
      </c>
      <c r="F91" s="41">
        <v>0</v>
      </c>
      <c r="G91" s="42">
        <v>1.1759343664539654E-2</v>
      </c>
      <c r="J91" s="35"/>
      <c r="K91" s="35"/>
      <c r="L91" s="35"/>
      <c r="M91" s="35"/>
      <c r="N91" s="35"/>
    </row>
    <row r="92" spans="1:14" hidden="1" x14ac:dyDescent="0.3">
      <c r="A92" s="39" t="s">
        <v>110</v>
      </c>
      <c r="B92" s="40">
        <v>121</v>
      </c>
      <c r="C92" s="41">
        <v>0</v>
      </c>
      <c r="D92" s="41">
        <v>1.1030082041932543E-2</v>
      </c>
      <c r="E92" s="41">
        <v>0</v>
      </c>
      <c r="F92" s="41">
        <v>0</v>
      </c>
      <c r="G92" s="42">
        <v>1.1030082041932543E-2</v>
      </c>
      <c r="J92" s="35"/>
      <c r="K92" s="35"/>
      <c r="L92" s="35"/>
      <c r="M92" s="35"/>
      <c r="N92" s="35"/>
    </row>
    <row r="93" spans="1:14" hidden="1" x14ac:dyDescent="0.3">
      <c r="A93" s="39" t="s">
        <v>111</v>
      </c>
      <c r="B93" s="40">
        <v>38</v>
      </c>
      <c r="C93" s="41">
        <v>0</v>
      </c>
      <c r="D93" s="41">
        <v>3.4639927073837739E-3</v>
      </c>
      <c r="E93" s="41">
        <v>0</v>
      </c>
      <c r="F93" s="41">
        <v>0</v>
      </c>
      <c r="G93" s="42">
        <v>3.4639927073837739E-3</v>
      </c>
      <c r="J93" s="35"/>
      <c r="K93" s="35"/>
      <c r="L93" s="35"/>
      <c r="M93" s="35"/>
      <c r="N93" s="35"/>
    </row>
    <row r="94" spans="1:14" hidden="1" x14ac:dyDescent="0.3">
      <c r="A94" s="39" t="s">
        <v>112</v>
      </c>
      <c r="B94" s="40">
        <v>38</v>
      </c>
      <c r="C94" s="41">
        <v>0</v>
      </c>
      <c r="D94" s="41">
        <v>3.4639927073837739E-3</v>
      </c>
      <c r="E94" s="41">
        <v>0</v>
      </c>
      <c r="F94" s="41">
        <v>0</v>
      </c>
      <c r="G94" s="42">
        <v>3.4639927073837739E-3</v>
      </c>
      <c r="J94" s="35"/>
      <c r="K94" s="35"/>
      <c r="L94" s="35"/>
      <c r="M94" s="35"/>
      <c r="N94" s="35"/>
    </row>
    <row r="95" spans="1:14" hidden="1" x14ac:dyDescent="0.3">
      <c r="A95" s="39" t="s">
        <v>113</v>
      </c>
      <c r="B95" s="40">
        <v>111</v>
      </c>
      <c r="C95" s="41">
        <v>0</v>
      </c>
      <c r="D95" s="41">
        <v>1.0118505013673656E-2</v>
      </c>
      <c r="E95" s="41">
        <v>0</v>
      </c>
      <c r="F95" s="41">
        <v>0</v>
      </c>
      <c r="G95" s="42">
        <v>1.0118505013673656E-2</v>
      </c>
      <c r="J95" s="35"/>
      <c r="K95" s="35"/>
      <c r="L95" s="35"/>
      <c r="M95" s="35"/>
      <c r="N95" s="35"/>
    </row>
    <row r="96" spans="1:14" hidden="1" x14ac:dyDescent="0.3">
      <c r="A96" s="39" t="s">
        <v>114</v>
      </c>
      <c r="B96" s="40">
        <v>92</v>
      </c>
      <c r="C96" s="41">
        <v>0</v>
      </c>
      <c r="D96" s="41">
        <v>8.386508659981768E-3</v>
      </c>
      <c r="E96" s="41">
        <v>0</v>
      </c>
      <c r="F96" s="41">
        <v>0</v>
      </c>
      <c r="G96" s="42">
        <v>8.386508659981768E-3</v>
      </c>
      <c r="J96" s="35"/>
      <c r="K96" s="35"/>
      <c r="L96" s="35"/>
      <c r="M96" s="35"/>
      <c r="N96" s="35"/>
    </row>
    <row r="97" spans="1:14" hidden="1" x14ac:dyDescent="0.3">
      <c r="A97" s="39" t="s">
        <v>115</v>
      </c>
      <c r="B97" s="40">
        <v>132</v>
      </c>
      <c r="C97" s="41">
        <v>0</v>
      </c>
      <c r="D97" s="41">
        <v>1.203281677301732E-2</v>
      </c>
      <c r="E97" s="41">
        <v>0</v>
      </c>
      <c r="F97" s="41">
        <v>0</v>
      </c>
      <c r="G97" s="42">
        <v>1.203281677301732E-2</v>
      </c>
      <c r="J97" s="35"/>
      <c r="K97" s="35"/>
      <c r="L97" s="35"/>
      <c r="M97" s="35"/>
      <c r="N97" s="35"/>
    </row>
    <row r="98" spans="1:14" hidden="1" x14ac:dyDescent="0.3">
      <c r="A98" s="39" t="s">
        <v>116</v>
      </c>
      <c r="B98" s="40">
        <v>107</v>
      </c>
      <c r="C98" s="41">
        <v>0</v>
      </c>
      <c r="D98" s="41">
        <v>9.7538742023701008E-3</v>
      </c>
      <c r="E98" s="41">
        <v>0</v>
      </c>
      <c r="F98" s="41">
        <v>0</v>
      </c>
      <c r="G98" s="42">
        <v>9.7538742023701008E-3</v>
      </c>
      <c r="J98" s="35"/>
      <c r="K98" s="35"/>
      <c r="L98" s="35"/>
      <c r="M98" s="35"/>
      <c r="N98" s="35"/>
    </row>
    <row r="99" spans="1:14" hidden="1" x14ac:dyDescent="0.3">
      <c r="A99" s="39" t="s">
        <v>117</v>
      </c>
      <c r="B99" s="40">
        <v>3</v>
      </c>
      <c r="C99" s="41">
        <v>2.7347310847766635E-4</v>
      </c>
      <c r="D99" s="41">
        <v>0</v>
      </c>
      <c r="E99" s="41">
        <v>0</v>
      </c>
      <c r="F99" s="41">
        <v>0</v>
      </c>
      <c r="G99" s="42">
        <v>2.7347310847766635E-4</v>
      </c>
      <c r="J99" s="35"/>
      <c r="K99" s="35"/>
      <c r="L99" s="35"/>
      <c r="M99" s="35"/>
      <c r="N99" s="35"/>
    </row>
    <row r="100" spans="1:14" hidden="1" x14ac:dyDescent="0.3">
      <c r="A100" s="39" t="s">
        <v>118</v>
      </c>
      <c r="B100" s="40">
        <v>8</v>
      </c>
      <c r="C100" s="41">
        <v>7.2926162260711033E-4</v>
      </c>
      <c r="D100" s="41">
        <v>0</v>
      </c>
      <c r="E100" s="41">
        <v>0</v>
      </c>
      <c r="F100" s="41">
        <v>0</v>
      </c>
      <c r="G100" s="42">
        <v>7.2926162260711033E-4</v>
      </c>
      <c r="J100" s="35"/>
      <c r="K100" s="35"/>
      <c r="L100" s="35"/>
      <c r="M100" s="35"/>
      <c r="N100" s="35"/>
    </row>
    <row r="101" spans="1:14" hidden="1" x14ac:dyDescent="0.3">
      <c r="A101" s="39" t="s">
        <v>119</v>
      </c>
      <c r="B101" s="40">
        <v>11</v>
      </c>
      <c r="C101" s="41">
        <v>1.0027347310847766E-3</v>
      </c>
      <c r="D101" s="41">
        <v>0</v>
      </c>
      <c r="E101" s="41">
        <v>0</v>
      </c>
      <c r="F101" s="41">
        <v>0</v>
      </c>
      <c r="G101" s="42">
        <v>1.0027347310847766E-3</v>
      </c>
      <c r="J101" s="35"/>
      <c r="K101" s="35"/>
      <c r="L101" s="35"/>
      <c r="M101" s="35"/>
      <c r="N101" s="35"/>
    </row>
    <row r="102" spans="1:14" hidden="1" x14ac:dyDescent="0.3">
      <c r="A102" s="39" t="s">
        <v>120</v>
      </c>
      <c r="B102" s="40">
        <v>140</v>
      </c>
      <c r="C102" s="41">
        <v>1.276207839562443E-2</v>
      </c>
      <c r="D102" s="41">
        <v>0</v>
      </c>
      <c r="E102" s="41">
        <v>0</v>
      </c>
      <c r="F102" s="41">
        <v>0</v>
      </c>
      <c r="G102" s="42">
        <v>1.276207839562443E-2</v>
      </c>
      <c r="J102" s="35"/>
      <c r="K102" s="35"/>
      <c r="L102" s="35"/>
      <c r="M102" s="35"/>
      <c r="N102" s="35"/>
    </row>
    <row r="103" spans="1:14" hidden="1" x14ac:dyDescent="0.3">
      <c r="A103" s="39" t="s">
        <v>121</v>
      </c>
      <c r="B103" s="40">
        <v>149</v>
      </c>
      <c r="C103" s="41">
        <v>1.358249772105743E-2</v>
      </c>
      <c r="D103" s="41">
        <v>0</v>
      </c>
      <c r="E103" s="41">
        <v>0</v>
      </c>
      <c r="F103" s="41">
        <v>0</v>
      </c>
      <c r="G103" s="42">
        <v>1.358249772105743E-2</v>
      </c>
      <c r="J103" s="35"/>
      <c r="K103" s="35"/>
      <c r="L103" s="35"/>
      <c r="M103" s="35"/>
      <c r="N103" s="35"/>
    </row>
    <row r="104" spans="1:14" hidden="1" x14ac:dyDescent="0.3">
      <c r="A104" s="39" t="s">
        <v>122</v>
      </c>
      <c r="B104" s="40">
        <v>144</v>
      </c>
      <c r="C104" s="41">
        <v>1.3126709206927985E-2</v>
      </c>
      <c r="D104" s="41">
        <v>0</v>
      </c>
      <c r="E104" s="41">
        <v>0</v>
      </c>
      <c r="F104" s="41">
        <v>0</v>
      </c>
      <c r="G104" s="42">
        <v>1.3126709206927985E-2</v>
      </c>
      <c r="J104" s="35"/>
      <c r="K104" s="35"/>
      <c r="L104" s="35"/>
      <c r="M104" s="35"/>
      <c r="N104" s="35"/>
    </row>
    <row r="105" spans="1:14" hidden="1" x14ac:dyDescent="0.3">
      <c r="A105" s="39" t="s">
        <v>123</v>
      </c>
      <c r="B105" s="40">
        <v>134</v>
      </c>
      <c r="C105" s="41">
        <v>1.2215132178669097E-2</v>
      </c>
      <c r="D105" s="41">
        <v>0</v>
      </c>
      <c r="E105" s="41">
        <v>0</v>
      </c>
      <c r="F105" s="41">
        <v>0</v>
      </c>
      <c r="G105" s="42">
        <v>1.2215132178669097E-2</v>
      </c>
      <c r="J105" s="35"/>
      <c r="K105" s="35"/>
      <c r="L105" s="35"/>
      <c r="M105" s="35"/>
      <c r="N105" s="35"/>
    </row>
    <row r="106" spans="1:14" x14ac:dyDescent="0.3">
      <c r="A106" s="43" t="s">
        <v>140</v>
      </c>
      <c r="B106" s="40">
        <v>703</v>
      </c>
      <c r="C106" s="41">
        <v>3.5551504102096627E-2</v>
      </c>
      <c r="D106" s="41">
        <v>8.2041932543299913E-3</v>
      </c>
      <c r="E106" s="41">
        <v>0</v>
      </c>
      <c r="F106" s="41">
        <v>2.0328167730173201E-2</v>
      </c>
      <c r="G106" s="42">
        <v>6.4083865086599814E-2</v>
      </c>
      <c r="J106" s="35"/>
      <c r="K106" s="35"/>
      <c r="L106" s="35"/>
      <c r="M106" s="35"/>
      <c r="N106" s="35"/>
    </row>
    <row r="107" spans="1:14" hidden="1" x14ac:dyDescent="0.3">
      <c r="A107" s="25" t="s">
        <v>67</v>
      </c>
      <c r="B107" s="14">
        <v>82</v>
      </c>
      <c r="C107" s="15">
        <v>0</v>
      </c>
      <c r="D107" s="15">
        <v>0</v>
      </c>
      <c r="E107" s="15">
        <v>0</v>
      </c>
      <c r="F107" s="15">
        <v>7.4749316317228804E-3</v>
      </c>
      <c r="G107" s="18">
        <v>7.4749316317228804E-3</v>
      </c>
      <c r="J107" s="35"/>
      <c r="K107" s="35"/>
      <c r="L107" s="35"/>
      <c r="M107" s="35"/>
      <c r="N107" s="35"/>
    </row>
    <row r="108" spans="1:14" hidden="1" x14ac:dyDescent="0.3">
      <c r="A108" s="23" t="s">
        <v>68</v>
      </c>
      <c r="B108" s="12">
        <v>72</v>
      </c>
      <c r="C108" s="13">
        <v>0</v>
      </c>
      <c r="D108" s="13">
        <v>0</v>
      </c>
      <c r="E108" s="13">
        <v>0</v>
      </c>
      <c r="F108" s="13">
        <v>6.5633546034639927E-3</v>
      </c>
      <c r="G108" s="19">
        <v>6.5633546034639927E-3</v>
      </c>
      <c r="J108" s="35"/>
      <c r="K108" s="35"/>
      <c r="L108" s="35"/>
      <c r="M108" s="35"/>
      <c r="N108" s="35"/>
    </row>
    <row r="109" spans="1:14" hidden="1" x14ac:dyDescent="0.3">
      <c r="A109" s="23" t="s">
        <v>69</v>
      </c>
      <c r="B109" s="12">
        <v>69</v>
      </c>
      <c r="C109" s="13">
        <v>0</v>
      </c>
      <c r="D109" s="13">
        <v>0</v>
      </c>
      <c r="E109" s="13">
        <v>0</v>
      </c>
      <c r="F109" s="13">
        <v>6.289881494986326E-3</v>
      </c>
      <c r="G109" s="19">
        <v>6.289881494986326E-3</v>
      </c>
      <c r="J109" s="35"/>
      <c r="K109" s="35"/>
      <c r="L109" s="35"/>
      <c r="M109" s="35"/>
      <c r="N109" s="35"/>
    </row>
    <row r="110" spans="1:14" hidden="1" x14ac:dyDescent="0.3">
      <c r="A110" s="23" t="s">
        <v>70</v>
      </c>
      <c r="B110" s="12">
        <v>90</v>
      </c>
      <c r="C110" s="13">
        <v>0</v>
      </c>
      <c r="D110" s="13">
        <v>8.2041932543299913E-3</v>
      </c>
      <c r="E110" s="13">
        <v>0</v>
      </c>
      <c r="F110" s="13">
        <v>0</v>
      </c>
      <c r="G110" s="19">
        <v>8.2041932543299913E-3</v>
      </c>
      <c r="J110" s="35"/>
      <c r="K110" s="35"/>
      <c r="L110" s="35"/>
      <c r="M110" s="35"/>
      <c r="N110" s="35"/>
    </row>
    <row r="111" spans="1:14" hidden="1" x14ac:dyDescent="0.3">
      <c r="A111" s="23" t="s">
        <v>71</v>
      </c>
      <c r="B111" s="12">
        <v>86</v>
      </c>
      <c r="C111" s="13">
        <v>7.8395624430264363E-3</v>
      </c>
      <c r="D111" s="13">
        <v>0</v>
      </c>
      <c r="E111" s="13">
        <v>0</v>
      </c>
      <c r="F111" s="13">
        <v>0</v>
      </c>
      <c r="G111" s="19">
        <v>7.8395624430264363E-3</v>
      </c>
      <c r="J111" s="35"/>
      <c r="K111" s="35"/>
      <c r="L111" s="35"/>
      <c r="M111" s="35"/>
      <c r="N111" s="35"/>
    </row>
    <row r="112" spans="1:14" hidden="1" x14ac:dyDescent="0.3">
      <c r="A112" s="23" t="s">
        <v>72</v>
      </c>
      <c r="B112" s="12">
        <v>77</v>
      </c>
      <c r="C112" s="13">
        <v>7.019143117593437E-3</v>
      </c>
      <c r="D112" s="13">
        <v>0</v>
      </c>
      <c r="E112" s="13">
        <v>0</v>
      </c>
      <c r="F112" s="13">
        <v>0</v>
      </c>
      <c r="G112" s="19">
        <v>7.019143117593437E-3</v>
      </c>
      <c r="J112" s="35"/>
      <c r="K112" s="35"/>
      <c r="L112" s="35"/>
      <c r="M112" s="35"/>
      <c r="N112" s="35"/>
    </row>
    <row r="113" spans="1:14" hidden="1" x14ac:dyDescent="0.3">
      <c r="A113" s="23" t="s">
        <v>73</v>
      </c>
      <c r="B113" s="12">
        <v>63</v>
      </c>
      <c r="C113" s="13">
        <v>5.7429352780309934E-3</v>
      </c>
      <c r="D113" s="13">
        <v>0</v>
      </c>
      <c r="E113" s="13">
        <v>0</v>
      </c>
      <c r="F113" s="13">
        <v>0</v>
      </c>
      <c r="G113" s="19">
        <v>5.7429352780309934E-3</v>
      </c>
      <c r="J113" s="35"/>
      <c r="K113" s="35"/>
      <c r="L113" s="35"/>
      <c r="M113" s="35"/>
      <c r="N113" s="35"/>
    </row>
    <row r="114" spans="1:14" hidden="1" x14ac:dyDescent="0.3">
      <c r="A114" s="23" t="s">
        <v>74</v>
      </c>
      <c r="B114" s="12">
        <v>34</v>
      </c>
      <c r="C114" s="13">
        <v>3.0993618960802188E-3</v>
      </c>
      <c r="D114" s="13">
        <v>0</v>
      </c>
      <c r="E114" s="13">
        <v>0</v>
      </c>
      <c r="F114" s="13">
        <v>0</v>
      </c>
      <c r="G114" s="19">
        <v>3.0993618960802188E-3</v>
      </c>
      <c r="J114" s="35"/>
      <c r="K114" s="35"/>
      <c r="L114" s="35"/>
      <c r="M114" s="35"/>
      <c r="N114" s="35"/>
    </row>
    <row r="115" spans="1:14" hidden="1" x14ac:dyDescent="0.3">
      <c r="A115" s="23" t="s">
        <v>75</v>
      </c>
      <c r="B115" s="12">
        <v>53</v>
      </c>
      <c r="C115" s="13">
        <v>4.8313582497721058E-3</v>
      </c>
      <c r="D115" s="13">
        <v>0</v>
      </c>
      <c r="E115" s="13">
        <v>0</v>
      </c>
      <c r="F115" s="13">
        <v>0</v>
      </c>
      <c r="G115" s="19">
        <v>4.8313582497721058E-3</v>
      </c>
      <c r="J115" s="35"/>
      <c r="K115" s="35"/>
      <c r="L115" s="35"/>
      <c r="M115" s="35"/>
      <c r="N115" s="35"/>
    </row>
    <row r="116" spans="1:14" hidden="1" x14ac:dyDescent="0.3">
      <c r="A116" s="23" t="s">
        <v>76</v>
      </c>
      <c r="B116" s="12">
        <v>7</v>
      </c>
      <c r="C116" s="13">
        <v>6.3810391978122156E-4</v>
      </c>
      <c r="D116" s="13">
        <v>0</v>
      </c>
      <c r="E116" s="13">
        <v>0</v>
      </c>
      <c r="F116" s="13">
        <v>0</v>
      </c>
      <c r="G116" s="19">
        <v>6.3810391978122156E-4</v>
      </c>
      <c r="J116" s="35"/>
      <c r="K116" s="35"/>
      <c r="L116" s="35"/>
      <c r="M116" s="35"/>
      <c r="N116" s="35"/>
    </row>
    <row r="117" spans="1:14" hidden="1" x14ac:dyDescent="0.3">
      <c r="A117" s="24" t="s">
        <v>77</v>
      </c>
      <c r="B117" s="16">
        <v>70</v>
      </c>
      <c r="C117" s="17">
        <v>6.3810391978122152E-3</v>
      </c>
      <c r="D117" s="17">
        <v>0</v>
      </c>
      <c r="E117" s="17">
        <v>0</v>
      </c>
      <c r="F117" s="17">
        <v>0</v>
      </c>
      <c r="G117" s="20">
        <v>6.3810391978122152E-3</v>
      </c>
      <c r="J117" s="35"/>
      <c r="K117" s="35"/>
      <c r="L117" s="35"/>
      <c r="M117" s="35"/>
      <c r="N117" s="35"/>
    </row>
    <row r="118" spans="1:14" ht="15" thickBot="1" x14ac:dyDescent="0.35">
      <c r="A118" s="45" t="s">
        <v>131</v>
      </c>
      <c r="B118" s="46">
        <f>11083-113</f>
        <v>10970</v>
      </c>
      <c r="C118" s="47">
        <v>0.10783956244302643</v>
      </c>
      <c r="D118" s="47">
        <v>0.32306289881494987</v>
      </c>
      <c r="E118" s="47">
        <v>0.3480401093892434</v>
      </c>
      <c r="F118" s="47">
        <v>0.2210574293527803</v>
      </c>
      <c r="G118" s="47">
        <v>1</v>
      </c>
      <c r="J118" s="35"/>
      <c r="K118" s="35"/>
      <c r="L118" s="35"/>
      <c r="M118" s="35"/>
      <c r="N118" s="35"/>
    </row>
    <row r="119" spans="1:14" ht="15" thickTop="1" x14ac:dyDescent="0.3"/>
  </sheetData>
  <pageMargins left="0.42" right="0.3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CC7A-95F0-46DE-8B93-A0FF146039DE}">
  <dimension ref="A1:N118"/>
  <sheetViews>
    <sheetView topLeftCell="A106" workbookViewId="0">
      <selection activeCell="K69" sqref="K69"/>
    </sheetView>
  </sheetViews>
  <sheetFormatPr defaultColWidth="13.77734375" defaultRowHeight="14.4" x14ac:dyDescent="0.3"/>
  <cols>
    <col min="1" max="1" width="11.109375" style="5" customWidth="1"/>
    <col min="2" max="16384" width="13.77734375" style="5"/>
  </cols>
  <sheetData>
    <row r="1" spans="1:14" x14ac:dyDescent="0.3">
      <c r="A1" s="86" t="s">
        <v>0</v>
      </c>
      <c r="B1" s="86" t="s">
        <v>136</v>
      </c>
      <c r="C1" s="87" t="s">
        <v>124</v>
      </c>
      <c r="D1" s="87"/>
      <c r="E1" s="87"/>
      <c r="F1" s="87"/>
      <c r="G1" s="87"/>
      <c r="H1" s="87" t="s">
        <v>125</v>
      </c>
      <c r="I1" s="87"/>
      <c r="J1" s="87"/>
      <c r="K1" s="87"/>
      <c r="L1" s="87"/>
      <c r="M1" s="86" t="s">
        <v>131</v>
      </c>
    </row>
    <row r="2" spans="1:14" s="11" customFormat="1" ht="28.8" x14ac:dyDescent="0.3">
      <c r="A2" s="86"/>
      <c r="B2" s="86"/>
      <c r="C2" s="22" t="s">
        <v>147</v>
      </c>
      <c r="D2" s="22" t="s">
        <v>137</v>
      </c>
      <c r="E2" s="22" t="s">
        <v>138</v>
      </c>
      <c r="F2" s="22" t="s">
        <v>139</v>
      </c>
      <c r="G2" s="21" t="s">
        <v>149</v>
      </c>
      <c r="H2" s="22" t="s">
        <v>147</v>
      </c>
      <c r="I2" s="22" t="s">
        <v>137</v>
      </c>
      <c r="J2" s="22" t="s">
        <v>138</v>
      </c>
      <c r="K2" s="22" t="s">
        <v>139</v>
      </c>
      <c r="L2" s="21" t="s">
        <v>148</v>
      </c>
      <c r="M2" s="86"/>
    </row>
    <row r="3" spans="1:14" x14ac:dyDescent="0.3">
      <c r="A3" s="48" t="s">
        <v>141</v>
      </c>
      <c r="B3" s="49">
        <v>2109</v>
      </c>
      <c r="C3" s="50">
        <v>0</v>
      </c>
      <c r="D3" s="50">
        <v>0</v>
      </c>
      <c r="E3" s="50">
        <v>0</v>
      </c>
      <c r="F3" s="50">
        <v>0</v>
      </c>
      <c r="G3" s="51">
        <v>0</v>
      </c>
      <c r="H3" s="50">
        <v>7.8851412944393795E-2</v>
      </c>
      <c r="I3" s="50">
        <v>0</v>
      </c>
      <c r="J3" s="50">
        <v>6.7730173199635368E-2</v>
      </c>
      <c r="K3" s="50">
        <v>4.567000911577028E-2</v>
      </c>
      <c r="L3" s="51">
        <v>0.19225159525979946</v>
      </c>
      <c r="M3" s="51">
        <v>0.19225159525979946</v>
      </c>
      <c r="N3" s="35"/>
    </row>
    <row r="4" spans="1:14" x14ac:dyDescent="0.3">
      <c r="A4" s="25" t="s">
        <v>78</v>
      </c>
      <c r="B4" s="33">
        <v>6</v>
      </c>
      <c r="C4" s="15">
        <v>0</v>
      </c>
      <c r="D4" s="15">
        <v>0</v>
      </c>
      <c r="E4" s="15">
        <v>0</v>
      </c>
      <c r="F4" s="15">
        <v>0</v>
      </c>
      <c r="G4" s="18">
        <v>0</v>
      </c>
      <c r="H4" s="15">
        <v>0</v>
      </c>
      <c r="I4" s="15">
        <v>0</v>
      </c>
      <c r="J4" s="15">
        <v>0</v>
      </c>
      <c r="K4" s="15">
        <v>5.4694621695533269E-4</v>
      </c>
      <c r="L4" s="18">
        <v>5.4694621695533269E-4</v>
      </c>
      <c r="M4" s="18">
        <v>5.4694621695533269E-4</v>
      </c>
      <c r="N4" s="35"/>
    </row>
    <row r="5" spans="1:14" x14ac:dyDescent="0.3">
      <c r="A5" s="23" t="s">
        <v>79</v>
      </c>
      <c r="B5" s="34">
        <v>168</v>
      </c>
      <c r="C5" s="13">
        <v>0</v>
      </c>
      <c r="D5" s="13">
        <v>0</v>
      </c>
      <c r="E5" s="13">
        <v>0</v>
      </c>
      <c r="F5" s="13">
        <v>0</v>
      </c>
      <c r="G5" s="19">
        <v>0</v>
      </c>
      <c r="H5" s="13">
        <v>0</v>
      </c>
      <c r="I5" s="13">
        <v>0</v>
      </c>
      <c r="J5" s="13">
        <v>0</v>
      </c>
      <c r="K5" s="13">
        <v>1.5314494074749316E-2</v>
      </c>
      <c r="L5" s="19">
        <v>1.5314494074749316E-2</v>
      </c>
      <c r="M5" s="19">
        <v>1.5314494074749316E-2</v>
      </c>
      <c r="N5" s="35"/>
    </row>
    <row r="6" spans="1:14" x14ac:dyDescent="0.3">
      <c r="A6" s="23" t="s">
        <v>81</v>
      </c>
      <c r="B6" s="34">
        <v>157</v>
      </c>
      <c r="C6" s="13">
        <v>0</v>
      </c>
      <c r="D6" s="13">
        <v>0</v>
      </c>
      <c r="E6" s="13">
        <v>0</v>
      </c>
      <c r="F6" s="13">
        <v>0</v>
      </c>
      <c r="G6" s="19">
        <v>0</v>
      </c>
      <c r="H6" s="13">
        <v>0</v>
      </c>
      <c r="I6" s="13">
        <v>0</v>
      </c>
      <c r="J6" s="13">
        <v>0</v>
      </c>
      <c r="K6" s="13">
        <v>1.431175934366454E-2</v>
      </c>
      <c r="L6" s="19">
        <v>1.431175934366454E-2</v>
      </c>
      <c r="M6" s="19">
        <v>1.431175934366454E-2</v>
      </c>
      <c r="N6" s="35"/>
    </row>
    <row r="7" spans="1:14" x14ac:dyDescent="0.3">
      <c r="A7" s="23" t="s">
        <v>82</v>
      </c>
      <c r="B7" s="34">
        <v>170</v>
      </c>
      <c r="C7" s="13">
        <v>0</v>
      </c>
      <c r="D7" s="13">
        <v>0</v>
      </c>
      <c r="E7" s="13">
        <v>0</v>
      </c>
      <c r="F7" s="13">
        <v>0</v>
      </c>
      <c r="G7" s="19">
        <v>0</v>
      </c>
      <c r="H7" s="13">
        <v>0</v>
      </c>
      <c r="I7" s="13">
        <v>0</v>
      </c>
      <c r="J7" s="13">
        <v>0</v>
      </c>
      <c r="K7" s="13">
        <v>1.5496809480401094E-2</v>
      </c>
      <c r="L7" s="19">
        <v>1.5496809480401094E-2</v>
      </c>
      <c r="M7" s="19">
        <v>1.5496809480401094E-2</v>
      </c>
      <c r="N7" s="35"/>
    </row>
    <row r="8" spans="1:14" x14ac:dyDescent="0.3">
      <c r="A8" s="23" t="s">
        <v>83</v>
      </c>
      <c r="B8" s="12">
        <v>169</v>
      </c>
      <c r="C8" s="13">
        <v>0</v>
      </c>
      <c r="D8" s="13">
        <v>0</v>
      </c>
      <c r="E8" s="13">
        <v>0</v>
      </c>
      <c r="F8" s="13">
        <v>0</v>
      </c>
      <c r="G8" s="19">
        <v>0</v>
      </c>
      <c r="H8" s="13">
        <v>1.5405651777575205E-2</v>
      </c>
      <c r="I8" s="13">
        <v>0</v>
      </c>
      <c r="J8" s="13">
        <v>0</v>
      </c>
      <c r="K8" s="13">
        <v>0</v>
      </c>
      <c r="L8" s="19">
        <v>1.5405651777575205E-2</v>
      </c>
      <c r="M8" s="19">
        <v>1.5405651777575205E-2</v>
      </c>
      <c r="N8" s="35"/>
    </row>
    <row r="9" spans="1:14" x14ac:dyDescent="0.3">
      <c r="A9" s="23" t="s">
        <v>84</v>
      </c>
      <c r="B9" s="12">
        <v>171</v>
      </c>
      <c r="C9" s="13">
        <v>0</v>
      </c>
      <c r="D9" s="13">
        <v>0</v>
      </c>
      <c r="E9" s="13">
        <v>0</v>
      </c>
      <c r="F9" s="13">
        <v>0</v>
      </c>
      <c r="G9" s="19">
        <v>0</v>
      </c>
      <c r="H9" s="13">
        <v>1.5587967183226983E-2</v>
      </c>
      <c r="I9" s="13">
        <v>0</v>
      </c>
      <c r="J9" s="13">
        <v>0</v>
      </c>
      <c r="K9" s="13">
        <v>0</v>
      </c>
      <c r="L9" s="19">
        <v>1.5587967183226983E-2</v>
      </c>
      <c r="M9" s="19">
        <v>1.5587967183226983E-2</v>
      </c>
      <c r="N9" s="35"/>
    </row>
    <row r="10" spans="1:14" x14ac:dyDescent="0.3">
      <c r="A10" s="23" t="s">
        <v>85</v>
      </c>
      <c r="B10" s="12">
        <v>67</v>
      </c>
      <c r="C10" s="13">
        <v>0</v>
      </c>
      <c r="D10" s="13">
        <v>0</v>
      </c>
      <c r="E10" s="13">
        <v>0</v>
      </c>
      <c r="F10" s="13">
        <v>0</v>
      </c>
      <c r="G10" s="19">
        <v>0</v>
      </c>
      <c r="H10" s="13">
        <v>6.1075660893345485E-3</v>
      </c>
      <c r="I10" s="13">
        <v>0</v>
      </c>
      <c r="J10" s="13">
        <v>0</v>
      </c>
      <c r="K10" s="13">
        <v>0</v>
      </c>
      <c r="L10" s="19">
        <v>6.1075660893345485E-3</v>
      </c>
      <c r="M10" s="19">
        <v>6.1075660893345485E-3</v>
      </c>
      <c r="N10" s="35"/>
    </row>
    <row r="11" spans="1:14" x14ac:dyDescent="0.3">
      <c r="A11" s="23" t="s">
        <v>86</v>
      </c>
      <c r="B11" s="12">
        <v>154</v>
      </c>
      <c r="C11" s="13">
        <v>0</v>
      </c>
      <c r="D11" s="13">
        <v>0</v>
      </c>
      <c r="E11" s="13">
        <v>0</v>
      </c>
      <c r="F11" s="13">
        <v>0</v>
      </c>
      <c r="G11" s="19">
        <v>0</v>
      </c>
      <c r="H11" s="13">
        <v>1.4038286235186874E-2</v>
      </c>
      <c r="I11" s="13">
        <v>0</v>
      </c>
      <c r="J11" s="13">
        <v>0</v>
      </c>
      <c r="K11" s="13">
        <v>0</v>
      </c>
      <c r="L11" s="19">
        <v>1.4038286235186874E-2</v>
      </c>
      <c r="M11" s="19">
        <v>1.4038286235186874E-2</v>
      </c>
      <c r="N11" s="35"/>
    </row>
    <row r="12" spans="1:14" x14ac:dyDescent="0.3">
      <c r="A12" s="23" t="s">
        <v>87</v>
      </c>
      <c r="B12" s="12">
        <v>139</v>
      </c>
      <c r="C12" s="13">
        <v>0</v>
      </c>
      <c r="D12" s="13">
        <v>0</v>
      </c>
      <c r="E12" s="13">
        <v>0</v>
      </c>
      <c r="F12" s="13">
        <v>0</v>
      </c>
      <c r="G12" s="19">
        <v>0</v>
      </c>
      <c r="H12" s="13">
        <v>1.2670920692798541E-2</v>
      </c>
      <c r="I12" s="13">
        <v>0</v>
      </c>
      <c r="J12" s="13">
        <v>0</v>
      </c>
      <c r="K12" s="13">
        <v>0</v>
      </c>
      <c r="L12" s="19">
        <v>1.2670920692798541E-2</v>
      </c>
      <c r="M12" s="19">
        <v>1.2670920692798541E-2</v>
      </c>
      <c r="N12" s="35"/>
    </row>
    <row r="13" spans="1:14" x14ac:dyDescent="0.3">
      <c r="A13" s="23" t="s">
        <v>88</v>
      </c>
      <c r="B13" s="12">
        <v>165</v>
      </c>
      <c r="C13" s="13">
        <v>0</v>
      </c>
      <c r="D13" s="13">
        <v>0</v>
      </c>
      <c r="E13" s="13">
        <v>0</v>
      </c>
      <c r="F13" s="13">
        <v>0</v>
      </c>
      <c r="G13" s="19">
        <v>0</v>
      </c>
      <c r="H13" s="13">
        <v>1.504102096627165E-2</v>
      </c>
      <c r="I13" s="13">
        <v>0</v>
      </c>
      <c r="J13" s="13">
        <v>0</v>
      </c>
      <c r="K13" s="13">
        <v>0</v>
      </c>
      <c r="L13" s="19">
        <v>1.504102096627165E-2</v>
      </c>
      <c r="M13" s="19">
        <v>1.504102096627165E-2</v>
      </c>
      <c r="N13" s="35"/>
    </row>
    <row r="14" spans="1:14" x14ac:dyDescent="0.3">
      <c r="A14" s="23" t="s">
        <v>89</v>
      </c>
      <c r="B14" s="12">
        <v>158</v>
      </c>
      <c r="C14" s="13">
        <v>0</v>
      </c>
      <c r="D14" s="13">
        <v>0</v>
      </c>
      <c r="E14" s="13">
        <v>0</v>
      </c>
      <c r="F14" s="13">
        <v>0</v>
      </c>
      <c r="G14" s="19">
        <v>0</v>
      </c>
      <c r="H14" s="13">
        <v>0</v>
      </c>
      <c r="I14" s="13">
        <v>0</v>
      </c>
      <c r="J14" s="13">
        <v>1.4402917046490429E-2</v>
      </c>
      <c r="K14" s="13">
        <v>0</v>
      </c>
      <c r="L14" s="19">
        <v>1.4402917046490429E-2</v>
      </c>
      <c r="M14" s="19">
        <v>1.4402917046490429E-2</v>
      </c>
      <c r="N14" s="35"/>
    </row>
    <row r="15" spans="1:14" x14ac:dyDescent="0.3">
      <c r="A15" s="23" t="s">
        <v>90</v>
      </c>
      <c r="B15" s="12">
        <v>143</v>
      </c>
      <c r="C15" s="13">
        <v>0</v>
      </c>
      <c r="D15" s="13">
        <v>0</v>
      </c>
      <c r="E15" s="13">
        <v>0</v>
      </c>
      <c r="F15" s="13">
        <v>0</v>
      </c>
      <c r="G15" s="19">
        <v>0</v>
      </c>
      <c r="H15" s="13">
        <v>0</v>
      </c>
      <c r="I15" s="13">
        <v>0</v>
      </c>
      <c r="J15" s="13">
        <v>1.3035551504102096E-2</v>
      </c>
      <c r="K15" s="13">
        <v>0</v>
      </c>
      <c r="L15" s="19">
        <v>1.3035551504102096E-2</v>
      </c>
      <c r="M15" s="19">
        <v>1.3035551504102096E-2</v>
      </c>
      <c r="N15" s="35"/>
    </row>
    <row r="16" spans="1:14" x14ac:dyDescent="0.3">
      <c r="A16" s="23" t="s">
        <v>91</v>
      </c>
      <c r="B16" s="12">
        <v>167</v>
      </c>
      <c r="C16" s="13">
        <v>0</v>
      </c>
      <c r="D16" s="13">
        <v>0</v>
      </c>
      <c r="E16" s="13">
        <v>0</v>
      </c>
      <c r="F16" s="13">
        <v>0</v>
      </c>
      <c r="G16" s="19">
        <v>0</v>
      </c>
      <c r="H16" s="13">
        <v>0</v>
      </c>
      <c r="I16" s="13">
        <v>0</v>
      </c>
      <c r="J16" s="13">
        <v>1.5223336371923428E-2</v>
      </c>
      <c r="K16" s="13">
        <v>0</v>
      </c>
      <c r="L16" s="19">
        <v>1.5223336371923428E-2</v>
      </c>
      <c r="M16" s="19">
        <v>1.5223336371923428E-2</v>
      </c>
      <c r="N16" s="35"/>
    </row>
    <row r="17" spans="1:14" x14ac:dyDescent="0.3">
      <c r="A17" s="23" t="s">
        <v>92</v>
      </c>
      <c r="B17" s="12">
        <v>130</v>
      </c>
      <c r="C17" s="13">
        <v>0</v>
      </c>
      <c r="D17" s="13">
        <v>0</v>
      </c>
      <c r="E17" s="13">
        <v>0</v>
      </c>
      <c r="F17" s="13">
        <v>0</v>
      </c>
      <c r="G17" s="19">
        <v>0</v>
      </c>
      <c r="H17" s="13">
        <v>0</v>
      </c>
      <c r="I17" s="13">
        <v>0</v>
      </c>
      <c r="J17" s="13">
        <v>1.1850501367365542E-2</v>
      </c>
      <c r="K17" s="13">
        <v>0</v>
      </c>
      <c r="L17" s="19">
        <v>1.1850501367365542E-2</v>
      </c>
      <c r="M17" s="19">
        <v>1.1850501367365542E-2</v>
      </c>
      <c r="N17" s="35"/>
    </row>
    <row r="18" spans="1:14" x14ac:dyDescent="0.3">
      <c r="A18" s="24" t="s">
        <v>93</v>
      </c>
      <c r="B18" s="16">
        <v>145</v>
      </c>
      <c r="C18" s="17">
        <v>0</v>
      </c>
      <c r="D18" s="17">
        <v>0</v>
      </c>
      <c r="E18" s="17">
        <v>0</v>
      </c>
      <c r="F18" s="17">
        <v>0</v>
      </c>
      <c r="G18" s="20">
        <v>0</v>
      </c>
      <c r="H18" s="17">
        <v>0</v>
      </c>
      <c r="I18" s="17">
        <v>0</v>
      </c>
      <c r="J18" s="17">
        <v>1.3217866909753875E-2</v>
      </c>
      <c r="K18" s="17">
        <v>0</v>
      </c>
      <c r="L18" s="20">
        <v>1.3217866909753875E-2</v>
      </c>
      <c r="M18" s="20">
        <v>1.3217866909753875E-2</v>
      </c>
      <c r="N18" s="35"/>
    </row>
    <row r="19" spans="1:14" x14ac:dyDescent="0.3">
      <c r="A19" s="26" t="s">
        <v>142</v>
      </c>
      <c r="B19" s="27">
        <v>1811</v>
      </c>
      <c r="C19" s="28">
        <v>3.7465815861440294E-2</v>
      </c>
      <c r="D19" s="28">
        <v>0</v>
      </c>
      <c r="E19" s="28">
        <v>7.019143117593437E-3</v>
      </c>
      <c r="F19" s="28">
        <v>4.3299908842297175E-2</v>
      </c>
      <c r="G19" s="29">
        <v>8.7784867821330909E-2</v>
      </c>
      <c r="H19" s="28">
        <v>3.4001823154056518E-2</v>
      </c>
      <c r="I19" s="28">
        <v>0</v>
      </c>
      <c r="J19" s="28">
        <v>9.9361896080218774E-3</v>
      </c>
      <c r="K19" s="28">
        <v>3.3363719234275294E-2</v>
      </c>
      <c r="L19" s="29">
        <v>7.7301731996353693E-2</v>
      </c>
      <c r="M19" s="29">
        <v>0.16508659981768459</v>
      </c>
      <c r="N19" s="35"/>
    </row>
    <row r="20" spans="1:14" x14ac:dyDescent="0.3">
      <c r="A20" s="25" t="s">
        <v>16</v>
      </c>
      <c r="B20" s="14">
        <v>111</v>
      </c>
      <c r="C20" s="15">
        <v>0</v>
      </c>
      <c r="D20" s="15">
        <v>0</v>
      </c>
      <c r="E20" s="15">
        <v>0</v>
      </c>
      <c r="F20" s="15">
        <v>1.0118505013673656E-2</v>
      </c>
      <c r="G20" s="18">
        <v>1.0118505013673656E-2</v>
      </c>
      <c r="H20" s="15">
        <v>0</v>
      </c>
      <c r="I20" s="15">
        <v>0</v>
      </c>
      <c r="J20" s="15">
        <v>0</v>
      </c>
      <c r="K20" s="15">
        <v>0</v>
      </c>
      <c r="L20" s="18">
        <v>0</v>
      </c>
      <c r="M20" s="18">
        <v>1.0118505013673656E-2</v>
      </c>
      <c r="N20" s="35"/>
    </row>
    <row r="21" spans="1:14" x14ac:dyDescent="0.3">
      <c r="A21" s="23" t="s">
        <v>17</v>
      </c>
      <c r="B21" s="12">
        <v>97</v>
      </c>
      <c r="C21" s="13">
        <v>0</v>
      </c>
      <c r="D21" s="13">
        <v>0</v>
      </c>
      <c r="E21" s="13">
        <v>0</v>
      </c>
      <c r="F21" s="13">
        <v>8.8422971741112123E-3</v>
      </c>
      <c r="G21" s="19">
        <v>8.8422971741112123E-3</v>
      </c>
      <c r="H21" s="13">
        <v>0</v>
      </c>
      <c r="I21" s="13">
        <v>0</v>
      </c>
      <c r="J21" s="13">
        <v>0</v>
      </c>
      <c r="K21" s="13">
        <v>0</v>
      </c>
      <c r="L21" s="19">
        <v>0</v>
      </c>
      <c r="M21" s="19">
        <v>8.8422971741112123E-3</v>
      </c>
      <c r="N21" s="35"/>
    </row>
    <row r="22" spans="1:14" x14ac:dyDescent="0.3">
      <c r="A22" s="23" t="s">
        <v>18</v>
      </c>
      <c r="B22" s="12">
        <v>151</v>
      </c>
      <c r="C22" s="13">
        <v>0</v>
      </c>
      <c r="D22" s="13">
        <v>0</v>
      </c>
      <c r="E22" s="13">
        <v>0</v>
      </c>
      <c r="F22" s="13">
        <v>1.3764813126709206E-2</v>
      </c>
      <c r="G22" s="19">
        <v>1.3764813126709206E-2</v>
      </c>
      <c r="H22" s="13">
        <v>0</v>
      </c>
      <c r="I22" s="13">
        <v>0</v>
      </c>
      <c r="J22" s="13">
        <v>0</v>
      </c>
      <c r="K22" s="13">
        <v>0</v>
      </c>
      <c r="L22" s="19">
        <v>0</v>
      </c>
      <c r="M22" s="19">
        <v>1.3764813126709206E-2</v>
      </c>
      <c r="N22" s="35"/>
    </row>
    <row r="23" spans="1:14" x14ac:dyDescent="0.3">
      <c r="A23" s="23" t="s">
        <v>19</v>
      </c>
      <c r="B23" s="12">
        <v>116</v>
      </c>
      <c r="C23" s="13">
        <v>0</v>
      </c>
      <c r="D23" s="13">
        <v>0</v>
      </c>
      <c r="E23" s="13">
        <v>0</v>
      </c>
      <c r="F23" s="13">
        <v>1.05742935278031E-2</v>
      </c>
      <c r="G23" s="19">
        <v>1.05742935278031E-2</v>
      </c>
      <c r="H23" s="13">
        <v>0</v>
      </c>
      <c r="I23" s="13">
        <v>0</v>
      </c>
      <c r="J23" s="13">
        <v>0</v>
      </c>
      <c r="K23" s="13">
        <v>0</v>
      </c>
      <c r="L23" s="19">
        <v>0</v>
      </c>
      <c r="M23" s="19">
        <v>1.05742935278031E-2</v>
      </c>
      <c r="N23" s="35"/>
    </row>
    <row r="24" spans="1:14" x14ac:dyDescent="0.3">
      <c r="A24" s="23" t="s">
        <v>20</v>
      </c>
      <c r="B24" s="12">
        <v>195</v>
      </c>
      <c r="C24" s="13">
        <v>0</v>
      </c>
      <c r="D24" s="13">
        <v>0</v>
      </c>
      <c r="E24" s="13">
        <v>0</v>
      </c>
      <c r="F24" s="13">
        <v>0</v>
      </c>
      <c r="G24" s="19">
        <v>0</v>
      </c>
      <c r="H24" s="13">
        <v>0</v>
      </c>
      <c r="I24" s="13">
        <v>0</v>
      </c>
      <c r="J24" s="13">
        <v>0</v>
      </c>
      <c r="K24" s="13">
        <v>1.7775752051048314E-2</v>
      </c>
      <c r="L24" s="19">
        <v>1.7775752051048314E-2</v>
      </c>
      <c r="M24" s="19">
        <v>1.7775752051048314E-2</v>
      </c>
      <c r="N24" s="35"/>
    </row>
    <row r="25" spans="1:14" x14ac:dyDescent="0.3">
      <c r="A25" s="23" t="s">
        <v>21</v>
      </c>
      <c r="B25" s="12">
        <v>171</v>
      </c>
      <c r="C25" s="13">
        <v>0</v>
      </c>
      <c r="D25" s="13">
        <v>0</v>
      </c>
      <c r="E25" s="13">
        <v>0</v>
      </c>
      <c r="F25" s="13">
        <v>0</v>
      </c>
      <c r="G25" s="19">
        <v>0</v>
      </c>
      <c r="H25" s="13">
        <v>0</v>
      </c>
      <c r="I25" s="13">
        <v>0</v>
      </c>
      <c r="J25" s="13">
        <v>0</v>
      </c>
      <c r="K25" s="13">
        <v>1.5587967183226983E-2</v>
      </c>
      <c r="L25" s="19">
        <v>1.5587967183226983E-2</v>
      </c>
      <c r="M25" s="19">
        <v>1.5587967183226983E-2</v>
      </c>
      <c r="N25" s="35"/>
    </row>
    <row r="26" spans="1:14" x14ac:dyDescent="0.3">
      <c r="A26" s="23" t="s">
        <v>22</v>
      </c>
      <c r="B26" s="12">
        <v>78</v>
      </c>
      <c r="C26" s="13">
        <v>0</v>
      </c>
      <c r="D26" s="13">
        <v>0</v>
      </c>
      <c r="E26" s="13">
        <v>0</v>
      </c>
      <c r="F26" s="13">
        <v>0</v>
      </c>
      <c r="G26" s="19">
        <v>0</v>
      </c>
      <c r="H26" s="13">
        <v>7.1103008204193253E-3</v>
      </c>
      <c r="I26" s="13">
        <v>0</v>
      </c>
      <c r="J26" s="13">
        <v>0</v>
      </c>
      <c r="K26" s="13">
        <v>0</v>
      </c>
      <c r="L26" s="19">
        <v>7.1103008204193253E-3</v>
      </c>
      <c r="M26" s="19">
        <v>7.1103008204193253E-3</v>
      </c>
      <c r="N26" s="35"/>
    </row>
    <row r="27" spans="1:14" x14ac:dyDescent="0.3">
      <c r="A27" s="23" t="s">
        <v>23</v>
      </c>
      <c r="B27" s="12">
        <v>153</v>
      </c>
      <c r="C27" s="13">
        <v>0</v>
      </c>
      <c r="D27" s="13">
        <v>0</v>
      </c>
      <c r="E27" s="13">
        <v>0</v>
      </c>
      <c r="F27" s="13">
        <v>0</v>
      </c>
      <c r="G27" s="19">
        <v>0</v>
      </c>
      <c r="H27" s="13">
        <v>1.3947128532360985E-2</v>
      </c>
      <c r="I27" s="13">
        <v>0</v>
      </c>
      <c r="J27" s="13">
        <v>0</v>
      </c>
      <c r="K27" s="13">
        <v>0</v>
      </c>
      <c r="L27" s="19">
        <v>1.3947128532360985E-2</v>
      </c>
      <c r="M27" s="19">
        <v>1.3947128532360985E-2</v>
      </c>
      <c r="N27" s="35"/>
    </row>
    <row r="28" spans="1:14" x14ac:dyDescent="0.3">
      <c r="A28" s="23" t="s">
        <v>24</v>
      </c>
      <c r="B28" s="12">
        <v>85</v>
      </c>
      <c r="C28" s="13">
        <v>7.7484047402005471E-3</v>
      </c>
      <c r="D28" s="13">
        <v>0</v>
      </c>
      <c r="E28" s="13">
        <v>0</v>
      </c>
      <c r="F28" s="13">
        <v>0</v>
      </c>
      <c r="G28" s="19">
        <v>7.7484047402005471E-3</v>
      </c>
      <c r="H28" s="13">
        <v>0</v>
      </c>
      <c r="I28" s="13">
        <v>0</v>
      </c>
      <c r="J28" s="13">
        <v>0</v>
      </c>
      <c r="K28" s="13">
        <v>0</v>
      </c>
      <c r="L28" s="19">
        <v>0</v>
      </c>
      <c r="M28" s="19">
        <v>7.7484047402005471E-3</v>
      </c>
      <c r="N28" s="35"/>
    </row>
    <row r="29" spans="1:14" x14ac:dyDescent="0.3">
      <c r="A29" s="23" t="s">
        <v>25</v>
      </c>
      <c r="B29" s="12">
        <v>172</v>
      </c>
      <c r="C29" s="13">
        <v>1.5679124886052873E-2</v>
      </c>
      <c r="D29" s="13">
        <v>0</v>
      </c>
      <c r="E29" s="13">
        <v>0</v>
      </c>
      <c r="F29" s="13">
        <v>0</v>
      </c>
      <c r="G29" s="19">
        <v>1.5679124886052873E-2</v>
      </c>
      <c r="H29" s="13">
        <v>0</v>
      </c>
      <c r="I29" s="13">
        <v>0</v>
      </c>
      <c r="J29" s="13">
        <v>0</v>
      </c>
      <c r="K29" s="13">
        <v>0</v>
      </c>
      <c r="L29" s="19">
        <v>0</v>
      </c>
      <c r="M29" s="19">
        <v>1.5679124886052873E-2</v>
      </c>
      <c r="N29" s="35"/>
    </row>
    <row r="30" spans="1:14" x14ac:dyDescent="0.3">
      <c r="A30" s="23" t="s">
        <v>26</v>
      </c>
      <c r="B30" s="12">
        <v>154</v>
      </c>
      <c r="C30" s="13">
        <v>1.4038286235186874E-2</v>
      </c>
      <c r="D30" s="13">
        <v>0</v>
      </c>
      <c r="E30" s="13">
        <v>0</v>
      </c>
      <c r="F30" s="13">
        <v>0</v>
      </c>
      <c r="G30" s="19">
        <v>1.4038286235186874E-2</v>
      </c>
      <c r="H30" s="13">
        <v>0</v>
      </c>
      <c r="I30" s="13">
        <v>0</v>
      </c>
      <c r="J30" s="13">
        <v>0</v>
      </c>
      <c r="K30" s="13">
        <v>0</v>
      </c>
      <c r="L30" s="19">
        <v>0</v>
      </c>
      <c r="M30" s="19">
        <v>1.4038286235186874E-2</v>
      </c>
      <c r="N30" s="35"/>
    </row>
    <row r="31" spans="1:14" x14ac:dyDescent="0.3">
      <c r="A31" s="23" t="s">
        <v>27</v>
      </c>
      <c r="B31" s="12">
        <v>142</v>
      </c>
      <c r="C31" s="13">
        <v>0</v>
      </c>
      <c r="D31" s="13">
        <v>0</v>
      </c>
      <c r="E31" s="13">
        <v>0</v>
      </c>
      <c r="F31" s="13">
        <v>0</v>
      </c>
      <c r="G31" s="19">
        <v>0</v>
      </c>
      <c r="H31" s="13">
        <v>1.2944393801276207E-2</v>
      </c>
      <c r="I31" s="13">
        <v>0</v>
      </c>
      <c r="J31" s="13">
        <v>0</v>
      </c>
      <c r="K31" s="13">
        <v>0</v>
      </c>
      <c r="L31" s="19">
        <v>1.2944393801276207E-2</v>
      </c>
      <c r="M31" s="19">
        <v>1.2944393801276207E-2</v>
      </c>
      <c r="N31" s="35"/>
    </row>
    <row r="32" spans="1:14" x14ac:dyDescent="0.3">
      <c r="A32" s="23" t="s">
        <v>28</v>
      </c>
      <c r="B32" s="12">
        <v>24</v>
      </c>
      <c r="C32" s="13">
        <v>0</v>
      </c>
      <c r="D32" s="13">
        <v>0</v>
      </c>
      <c r="E32" s="13">
        <v>2.1877848678213308E-3</v>
      </c>
      <c r="F32" s="13">
        <v>0</v>
      </c>
      <c r="G32" s="19">
        <v>2.1877848678213308E-3</v>
      </c>
      <c r="H32" s="13">
        <v>0</v>
      </c>
      <c r="I32" s="13">
        <v>0</v>
      </c>
      <c r="J32" s="13">
        <v>0</v>
      </c>
      <c r="K32" s="13">
        <v>0</v>
      </c>
      <c r="L32" s="19">
        <v>0</v>
      </c>
      <c r="M32" s="19">
        <v>2.1877848678213308E-3</v>
      </c>
      <c r="N32" s="35"/>
    </row>
    <row r="33" spans="1:14" x14ac:dyDescent="0.3">
      <c r="A33" s="23" t="s">
        <v>29</v>
      </c>
      <c r="B33" s="12">
        <v>39</v>
      </c>
      <c r="C33" s="13">
        <v>0</v>
      </c>
      <c r="D33" s="13">
        <v>0</v>
      </c>
      <c r="E33" s="13">
        <v>3.5551504102096627E-3</v>
      </c>
      <c r="F33" s="13">
        <v>0</v>
      </c>
      <c r="G33" s="19">
        <v>3.5551504102096627E-3</v>
      </c>
      <c r="H33" s="13">
        <v>0</v>
      </c>
      <c r="I33" s="13">
        <v>0</v>
      </c>
      <c r="J33" s="13">
        <v>0</v>
      </c>
      <c r="K33" s="13">
        <v>0</v>
      </c>
      <c r="L33" s="19">
        <v>0</v>
      </c>
      <c r="M33" s="19">
        <v>3.5551504102096627E-3</v>
      </c>
      <c r="N33" s="35"/>
    </row>
    <row r="34" spans="1:14" x14ac:dyDescent="0.3">
      <c r="A34" s="23" t="s">
        <v>30</v>
      </c>
      <c r="B34" s="12">
        <v>109</v>
      </c>
      <c r="C34" s="13">
        <v>0</v>
      </c>
      <c r="D34" s="13">
        <v>0</v>
      </c>
      <c r="E34" s="13">
        <v>0</v>
      </c>
      <c r="F34" s="13">
        <v>0</v>
      </c>
      <c r="G34" s="19">
        <v>0</v>
      </c>
      <c r="H34" s="13">
        <v>0</v>
      </c>
      <c r="I34" s="13">
        <v>0</v>
      </c>
      <c r="J34" s="13">
        <v>9.9361896080218774E-3</v>
      </c>
      <c r="K34" s="13">
        <v>0</v>
      </c>
      <c r="L34" s="19">
        <v>9.9361896080218774E-3</v>
      </c>
      <c r="M34" s="19">
        <v>9.9361896080218774E-3</v>
      </c>
      <c r="N34" s="35"/>
    </row>
    <row r="35" spans="1:14" x14ac:dyDescent="0.3">
      <c r="A35" s="24" t="s">
        <v>31</v>
      </c>
      <c r="B35" s="16">
        <v>14</v>
      </c>
      <c r="C35" s="17">
        <v>0</v>
      </c>
      <c r="D35" s="17">
        <v>0</v>
      </c>
      <c r="E35" s="17">
        <v>1.2762078395624431E-3</v>
      </c>
      <c r="F35" s="17">
        <v>0</v>
      </c>
      <c r="G35" s="20">
        <v>1.2762078395624431E-3</v>
      </c>
      <c r="H35" s="17">
        <v>0</v>
      </c>
      <c r="I35" s="17">
        <v>0</v>
      </c>
      <c r="J35" s="17">
        <v>0</v>
      </c>
      <c r="K35" s="17">
        <v>0</v>
      </c>
      <c r="L35" s="20">
        <v>0</v>
      </c>
      <c r="M35" s="20">
        <v>1.2762078395624431E-3</v>
      </c>
      <c r="N35" s="35"/>
    </row>
    <row r="36" spans="1:14" x14ac:dyDescent="0.3">
      <c r="A36" s="26" t="s">
        <v>143</v>
      </c>
      <c r="B36" s="27">
        <v>1153</v>
      </c>
      <c r="C36" s="28">
        <v>1.431175934366454E-2</v>
      </c>
      <c r="D36" s="28">
        <v>0</v>
      </c>
      <c r="E36" s="28">
        <v>9.0793072014585238E-2</v>
      </c>
      <c r="F36" s="28">
        <v>0</v>
      </c>
      <c r="G36" s="29">
        <v>0.10510483135824977</v>
      </c>
      <c r="H36" s="28">
        <v>0</v>
      </c>
      <c r="I36" s="28">
        <v>0</v>
      </c>
      <c r="J36" s="28">
        <v>0</v>
      </c>
      <c r="K36" s="28">
        <v>0</v>
      </c>
      <c r="L36" s="29">
        <v>0</v>
      </c>
      <c r="M36" s="29">
        <v>0.10510483135824977</v>
      </c>
      <c r="N36" s="35"/>
    </row>
    <row r="37" spans="1:14" x14ac:dyDescent="0.3">
      <c r="A37" s="25" t="s">
        <v>32</v>
      </c>
      <c r="B37" s="14">
        <v>157</v>
      </c>
      <c r="C37" s="15">
        <v>1.431175934366454E-2</v>
      </c>
      <c r="D37" s="15">
        <v>0</v>
      </c>
      <c r="E37" s="15">
        <v>0</v>
      </c>
      <c r="F37" s="15">
        <v>0</v>
      </c>
      <c r="G37" s="18">
        <v>1.431175934366454E-2</v>
      </c>
      <c r="H37" s="15">
        <v>0</v>
      </c>
      <c r="I37" s="15">
        <v>0</v>
      </c>
      <c r="J37" s="15">
        <v>0</v>
      </c>
      <c r="K37" s="15">
        <v>0</v>
      </c>
      <c r="L37" s="18">
        <v>0</v>
      </c>
      <c r="M37" s="18">
        <v>1.431175934366454E-2</v>
      </c>
      <c r="N37" s="35"/>
    </row>
    <row r="38" spans="1:14" x14ac:dyDescent="0.3">
      <c r="A38" s="23" t="s">
        <v>33</v>
      </c>
      <c r="B38" s="12">
        <v>108</v>
      </c>
      <c r="C38" s="13">
        <v>0</v>
      </c>
      <c r="D38" s="13">
        <v>0</v>
      </c>
      <c r="E38" s="13">
        <v>9.8450319051959882E-3</v>
      </c>
      <c r="F38" s="13">
        <v>0</v>
      </c>
      <c r="G38" s="19">
        <v>9.8450319051959882E-3</v>
      </c>
      <c r="H38" s="13">
        <v>0</v>
      </c>
      <c r="I38" s="13">
        <v>0</v>
      </c>
      <c r="J38" s="13">
        <v>0</v>
      </c>
      <c r="K38" s="13">
        <v>0</v>
      </c>
      <c r="L38" s="19">
        <v>0</v>
      </c>
      <c r="M38" s="19">
        <v>9.8450319051959882E-3</v>
      </c>
      <c r="N38" s="35"/>
    </row>
    <row r="39" spans="1:14" x14ac:dyDescent="0.3">
      <c r="A39" s="23" t="s">
        <v>34</v>
      </c>
      <c r="B39" s="12">
        <v>130</v>
      </c>
      <c r="C39" s="13">
        <v>0</v>
      </c>
      <c r="D39" s="13">
        <v>0</v>
      </c>
      <c r="E39" s="13">
        <v>1.1850501367365542E-2</v>
      </c>
      <c r="F39" s="13">
        <v>0</v>
      </c>
      <c r="G39" s="19">
        <v>1.1850501367365542E-2</v>
      </c>
      <c r="H39" s="13">
        <v>0</v>
      </c>
      <c r="I39" s="13">
        <v>0</v>
      </c>
      <c r="J39" s="13">
        <v>0</v>
      </c>
      <c r="K39" s="13">
        <v>0</v>
      </c>
      <c r="L39" s="19">
        <v>0</v>
      </c>
      <c r="M39" s="19">
        <v>1.1850501367365542E-2</v>
      </c>
      <c r="N39" s="35"/>
    </row>
    <row r="40" spans="1:14" x14ac:dyDescent="0.3">
      <c r="A40" s="23" t="s">
        <v>35</v>
      </c>
      <c r="B40" s="12">
        <v>115</v>
      </c>
      <c r="C40" s="13">
        <v>0</v>
      </c>
      <c r="D40" s="13">
        <v>0</v>
      </c>
      <c r="E40" s="13">
        <v>1.0483135824977211E-2</v>
      </c>
      <c r="F40" s="13">
        <v>0</v>
      </c>
      <c r="G40" s="19">
        <v>1.0483135824977211E-2</v>
      </c>
      <c r="H40" s="13">
        <v>0</v>
      </c>
      <c r="I40" s="13">
        <v>0</v>
      </c>
      <c r="J40" s="13">
        <v>0</v>
      </c>
      <c r="K40" s="13">
        <v>0</v>
      </c>
      <c r="L40" s="19">
        <v>0</v>
      </c>
      <c r="M40" s="19">
        <v>1.0483135824977211E-2</v>
      </c>
      <c r="N40" s="35"/>
    </row>
    <row r="41" spans="1:14" x14ac:dyDescent="0.3">
      <c r="A41" s="23" t="s">
        <v>36</v>
      </c>
      <c r="B41" s="12">
        <v>127</v>
      </c>
      <c r="C41" s="13">
        <v>0</v>
      </c>
      <c r="D41" s="13">
        <v>0</v>
      </c>
      <c r="E41" s="13">
        <v>1.1577028258887876E-2</v>
      </c>
      <c r="F41" s="13">
        <v>0</v>
      </c>
      <c r="G41" s="19">
        <v>1.1577028258887876E-2</v>
      </c>
      <c r="H41" s="13">
        <v>0</v>
      </c>
      <c r="I41" s="13">
        <v>0</v>
      </c>
      <c r="J41" s="13">
        <v>0</v>
      </c>
      <c r="K41" s="13">
        <v>0</v>
      </c>
      <c r="L41" s="19">
        <v>0</v>
      </c>
      <c r="M41" s="19">
        <v>1.1577028258887876E-2</v>
      </c>
      <c r="N41" s="35"/>
    </row>
    <row r="42" spans="1:14" x14ac:dyDescent="0.3">
      <c r="A42" s="23" t="s">
        <v>37</v>
      </c>
      <c r="B42" s="12">
        <v>128</v>
      </c>
      <c r="C42" s="13">
        <v>0</v>
      </c>
      <c r="D42" s="13">
        <v>0</v>
      </c>
      <c r="E42" s="13">
        <v>1.1668185961713765E-2</v>
      </c>
      <c r="F42" s="13">
        <v>0</v>
      </c>
      <c r="G42" s="19">
        <v>1.1668185961713765E-2</v>
      </c>
      <c r="H42" s="13">
        <v>0</v>
      </c>
      <c r="I42" s="13">
        <v>0</v>
      </c>
      <c r="J42" s="13">
        <v>0</v>
      </c>
      <c r="K42" s="13">
        <v>0</v>
      </c>
      <c r="L42" s="19">
        <v>0</v>
      </c>
      <c r="M42" s="19">
        <v>1.1668185961713765E-2</v>
      </c>
      <c r="N42" s="35"/>
    </row>
    <row r="43" spans="1:14" x14ac:dyDescent="0.3">
      <c r="A43" s="23" t="s">
        <v>38</v>
      </c>
      <c r="B43" s="12">
        <v>122</v>
      </c>
      <c r="C43" s="13">
        <v>0</v>
      </c>
      <c r="D43" s="13">
        <v>0</v>
      </c>
      <c r="E43" s="13">
        <v>1.1121239744758432E-2</v>
      </c>
      <c r="F43" s="13">
        <v>0</v>
      </c>
      <c r="G43" s="19">
        <v>1.1121239744758432E-2</v>
      </c>
      <c r="H43" s="13">
        <v>0</v>
      </c>
      <c r="I43" s="13">
        <v>0</v>
      </c>
      <c r="J43" s="13">
        <v>0</v>
      </c>
      <c r="K43" s="13">
        <v>0</v>
      </c>
      <c r="L43" s="19">
        <v>0</v>
      </c>
      <c r="M43" s="19">
        <v>1.1121239744758432E-2</v>
      </c>
      <c r="N43" s="35"/>
    </row>
    <row r="44" spans="1:14" x14ac:dyDescent="0.3">
      <c r="A44" s="23" t="s">
        <v>39</v>
      </c>
      <c r="B44" s="12">
        <v>136</v>
      </c>
      <c r="C44" s="13">
        <v>0</v>
      </c>
      <c r="D44" s="13">
        <v>0</v>
      </c>
      <c r="E44" s="13">
        <v>1.2397447584320875E-2</v>
      </c>
      <c r="F44" s="13">
        <v>0</v>
      </c>
      <c r="G44" s="19">
        <v>1.2397447584320875E-2</v>
      </c>
      <c r="H44" s="13">
        <v>0</v>
      </c>
      <c r="I44" s="13">
        <v>0</v>
      </c>
      <c r="J44" s="13">
        <v>0</v>
      </c>
      <c r="K44" s="13">
        <v>0</v>
      </c>
      <c r="L44" s="19">
        <v>0</v>
      </c>
      <c r="M44" s="19">
        <v>1.2397447584320875E-2</v>
      </c>
      <c r="N44" s="35"/>
    </row>
    <row r="45" spans="1:14" x14ac:dyDescent="0.3">
      <c r="A45" s="24" t="s">
        <v>40</v>
      </c>
      <c r="B45" s="16">
        <v>130</v>
      </c>
      <c r="C45" s="17">
        <v>0</v>
      </c>
      <c r="D45" s="17">
        <v>0</v>
      </c>
      <c r="E45" s="17">
        <v>1.1850501367365542E-2</v>
      </c>
      <c r="F45" s="17">
        <v>0</v>
      </c>
      <c r="G45" s="20">
        <v>1.1850501367365542E-2</v>
      </c>
      <c r="H45" s="17">
        <v>0</v>
      </c>
      <c r="I45" s="17">
        <v>0</v>
      </c>
      <c r="J45" s="17">
        <v>0</v>
      </c>
      <c r="K45" s="17">
        <v>0</v>
      </c>
      <c r="L45" s="20">
        <v>0</v>
      </c>
      <c r="M45" s="20">
        <v>1.1850501367365542E-2</v>
      </c>
      <c r="N45" s="35"/>
    </row>
    <row r="46" spans="1:14" x14ac:dyDescent="0.3">
      <c r="A46" s="26" t="s">
        <v>145</v>
      </c>
      <c r="B46" s="27">
        <v>1243</v>
      </c>
      <c r="C46" s="28">
        <v>8.7876025524156798E-2</v>
      </c>
      <c r="D46" s="28">
        <v>0</v>
      </c>
      <c r="E46" s="28">
        <v>0</v>
      </c>
      <c r="F46" s="28">
        <v>2.4339106654512305E-2</v>
      </c>
      <c r="G46" s="29">
        <v>0.1122151321786691</v>
      </c>
      <c r="H46" s="28">
        <v>1.0938924339106654E-3</v>
      </c>
      <c r="I46" s="28">
        <v>0</v>
      </c>
      <c r="J46" s="28">
        <v>0</v>
      </c>
      <c r="K46" s="28">
        <v>0</v>
      </c>
      <c r="L46" s="29">
        <v>1.0938924339106654E-3</v>
      </c>
      <c r="M46" s="29">
        <v>0.11330902461257976</v>
      </c>
      <c r="N46" s="35"/>
    </row>
    <row r="47" spans="1:14" x14ac:dyDescent="0.3">
      <c r="A47" s="25" t="s">
        <v>41</v>
      </c>
      <c r="B47" s="14">
        <v>8</v>
      </c>
      <c r="C47" s="15">
        <v>0</v>
      </c>
      <c r="D47" s="15">
        <v>0</v>
      </c>
      <c r="E47" s="15">
        <v>0</v>
      </c>
      <c r="F47" s="15">
        <v>7.2926162260711033E-4</v>
      </c>
      <c r="G47" s="18">
        <v>7.2926162260711033E-4</v>
      </c>
      <c r="H47" s="15">
        <v>0</v>
      </c>
      <c r="I47" s="15">
        <v>0</v>
      </c>
      <c r="J47" s="15">
        <v>0</v>
      </c>
      <c r="K47" s="15">
        <v>0</v>
      </c>
      <c r="L47" s="18">
        <v>0</v>
      </c>
      <c r="M47" s="18">
        <v>7.2926162260711033E-4</v>
      </c>
      <c r="N47" s="35"/>
    </row>
    <row r="48" spans="1:14" x14ac:dyDescent="0.3">
      <c r="A48" s="23" t="s">
        <v>42</v>
      </c>
      <c r="B48" s="12">
        <v>103</v>
      </c>
      <c r="C48" s="13">
        <v>0</v>
      </c>
      <c r="D48" s="13">
        <v>0</v>
      </c>
      <c r="E48" s="13">
        <v>0</v>
      </c>
      <c r="F48" s="13">
        <v>9.3892433910665457E-3</v>
      </c>
      <c r="G48" s="19">
        <v>9.3892433910665457E-3</v>
      </c>
      <c r="H48" s="13">
        <v>0</v>
      </c>
      <c r="I48" s="13">
        <v>0</v>
      </c>
      <c r="J48" s="13">
        <v>0</v>
      </c>
      <c r="K48" s="13">
        <v>0</v>
      </c>
      <c r="L48" s="19">
        <v>0</v>
      </c>
      <c r="M48" s="19">
        <v>9.3892433910665457E-3</v>
      </c>
      <c r="N48" s="35"/>
    </row>
    <row r="49" spans="1:14" x14ac:dyDescent="0.3">
      <c r="A49" s="23" t="s">
        <v>43</v>
      </c>
      <c r="B49" s="12">
        <v>156</v>
      </c>
      <c r="C49" s="13">
        <v>0</v>
      </c>
      <c r="D49" s="13">
        <v>0</v>
      </c>
      <c r="E49" s="13">
        <v>0</v>
      </c>
      <c r="F49" s="13">
        <v>1.4220601640838651E-2</v>
      </c>
      <c r="G49" s="19">
        <v>1.4220601640838651E-2</v>
      </c>
      <c r="H49" s="13">
        <v>0</v>
      </c>
      <c r="I49" s="13">
        <v>0</v>
      </c>
      <c r="J49" s="13">
        <v>0</v>
      </c>
      <c r="K49" s="13">
        <v>0</v>
      </c>
      <c r="L49" s="19">
        <v>0</v>
      </c>
      <c r="M49" s="19">
        <v>1.4220601640838651E-2</v>
      </c>
      <c r="N49" s="35"/>
    </row>
    <row r="50" spans="1:14" x14ac:dyDescent="0.3">
      <c r="A50" s="23" t="s">
        <v>44</v>
      </c>
      <c r="B50" s="12">
        <v>124</v>
      </c>
      <c r="C50" s="13">
        <v>1.130355515041021E-2</v>
      </c>
      <c r="D50" s="13">
        <v>0</v>
      </c>
      <c r="E50" s="13">
        <v>0</v>
      </c>
      <c r="F50" s="13">
        <v>0</v>
      </c>
      <c r="G50" s="19">
        <v>1.130355515041021E-2</v>
      </c>
      <c r="H50" s="13">
        <v>0</v>
      </c>
      <c r="I50" s="13">
        <v>0</v>
      </c>
      <c r="J50" s="13">
        <v>0</v>
      </c>
      <c r="K50" s="13">
        <v>0</v>
      </c>
      <c r="L50" s="19">
        <v>0</v>
      </c>
      <c r="M50" s="19">
        <v>1.130355515041021E-2</v>
      </c>
      <c r="N50" s="35"/>
    </row>
    <row r="51" spans="1:14" x14ac:dyDescent="0.3">
      <c r="A51" s="23" t="s">
        <v>45</v>
      </c>
      <c r="B51" s="12">
        <v>12</v>
      </c>
      <c r="C51" s="13">
        <v>0</v>
      </c>
      <c r="D51" s="13">
        <v>0</v>
      </c>
      <c r="E51" s="13">
        <v>0</v>
      </c>
      <c r="F51" s="13">
        <v>0</v>
      </c>
      <c r="G51" s="19">
        <v>0</v>
      </c>
      <c r="H51" s="13">
        <v>1.0938924339106654E-3</v>
      </c>
      <c r="I51" s="13">
        <v>0</v>
      </c>
      <c r="J51" s="13">
        <v>0</v>
      </c>
      <c r="K51" s="13">
        <v>0</v>
      </c>
      <c r="L51" s="19">
        <v>1.0938924339106654E-3</v>
      </c>
      <c r="M51" s="19">
        <v>1.0938924339106654E-3</v>
      </c>
      <c r="N51" s="35"/>
    </row>
    <row r="52" spans="1:14" x14ac:dyDescent="0.3">
      <c r="A52" s="23" t="s">
        <v>46</v>
      </c>
      <c r="B52" s="12">
        <v>100</v>
      </c>
      <c r="C52" s="13">
        <v>9.1157702825888781E-3</v>
      </c>
      <c r="D52" s="13">
        <v>0</v>
      </c>
      <c r="E52" s="13">
        <v>0</v>
      </c>
      <c r="F52" s="13">
        <v>0</v>
      </c>
      <c r="G52" s="19">
        <v>9.1157702825888781E-3</v>
      </c>
      <c r="H52" s="13">
        <v>0</v>
      </c>
      <c r="I52" s="13">
        <v>0</v>
      </c>
      <c r="J52" s="13">
        <v>0</v>
      </c>
      <c r="K52" s="13">
        <v>0</v>
      </c>
      <c r="L52" s="19">
        <v>0</v>
      </c>
      <c r="M52" s="19">
        <v>9.1157702825888781E-3</v>
      </c>
      <c r="N52" s="35"/>
    </row>
    <row r="53" spans="1:14" x14ac:dyDescent="0.3">
      <c r="A53" s="23" t="s">
        <v>47</v>
      </c>
      <c r="B53" s="12">
        <v>133</v>
      </c>
      <c r="C53" s="13">
        <v>1.2123974475843209E-2</v>
      </c>
      <c r="D53" s="13">
        <v>0</v>
      </c>
      <c r="E53" s="13">
        <v>0</v>
      </c>
      <c r="F53" s="13">
        <v>0</v>
      </c>
      <c r="G53" s="19">
        <v>1.2123974475843209E-2</v>
      </c>
      <c r="H53" s="13">
        <v>0</v>
      </c>
      <c r="I53" s="13">
        <v>0</v>
      </c>
      <c r="J53" s="13">
        <v>0</v>
      </c>
      <c r="K53" s="13">
        <v>0</v>
      </c>
      <c r="L53" s="19">
        <v>0</v>
      </c>
      <c r="M53" s="19">
        <v>1.2123974475843209E-2</v>
      </c>
      <c r="N53" s="35"/>
    </row>
    <row r="54" spans="1:14" x14ac:dyDescent="0.3">
      <c r="A54" s="23" t="s">
        <v>48</v>
      </c>
      <c r="B54" s="12">
        <v>101</v>
      </c>
      <c r="C54" s="13">
        <v>9.2069279854147673E-3</v>
      </c>
      <c r="D54" s="13">
        <v>0</v>
      </c>
      <c r="E54" s="13">
        <v>0</v>
      </c>
      <c r="F54" s="13">
        <v>0</v>
      </c>
      <c r="G54" s="19">
        <v>9.2069279854147673E-3</v>
      </c>
      <c r="H54" s="13">
        <v>0</v>
      </c>
      <c r="I54" s="13">
        <v>0</v>
      </c>
      <c r="J54" s="13">
        <v>0</v>
      </c>
      <c r="K54" s="13">
        <v>0</v>
      </c>
      <c r="L54" s="19">
        <v>0</v>
      </c>
      <c r="M54" s="19">
        <v>9.2069279854147673E-3</v>
      </c>
      <c r="N54" s="35"/>
    </row>
    <row r="55" spans="1:14" x14ac:dyDescent="0.3">
      <c r="A55" s="23" t="s">
        <v>49</v>
      </c>
      <c r="B55" s="12">
        <v>116</v>
      </c>
      <c r="C55" s="13">
        <v>1.05742935278031E-2</v>
      </c>
      <c r="D55" s="13">
        <v>0</v>
      </c>
      <c r="E55" s="13">
        <v>0</v>
      </c>
      <c r="F55" s="13">
        <v>0</v>
      </c>
      <c r="G55" s="19">
        <v>1.05742935278031E-2</v>
      </c>
      <c r="H55" s="13">
        <v>0</v>
      </c>
      <c r="I55" s="13">
        <v>0</v>
      </c>
      <c r="J55" s="13">
        <v>0</v>
      </c>
      <c r="K55" s="13">
        <v>0</v>
      </c>
      <c r="L55" s="19">
        <v>0</v>
      </c>
      <c r="M55" s="19">
        <v>1.05742935278031E-2</v>
      </c>
      <c r="N55" s="35"/>
    </row>
    <row r="56" spans="1:14" x14ac:dyDescent="0.3">
      <c r="A56" s="23" t="s">
        <v>50</v>
      </c>
      <c r="B56" s="12">
        <v>76</v>
      </c>
      <c r="C56" s="13">
        <v>6.9279854147675478E-3</v>
      </c>
      <c r="D56" s="13">
        <v>0</v>
      </c>
      <c r="E56" s="13">
        <v>0</v>
      </c>
      <c r="F56" s="13">
        <v>0</v>
      </c>
      <c r="G56" s="19">
        <v>6.9279854147675478E-3</v>
      </c>
      <c r="H56" s="13">
        <v>0</v>
      </c>
      <c r="I56" s="13">
        <v>0</v>
      </c>
      <c r="J56" s="13">
        <v>0</v>
      </c>
      <c r="K56" s="13">
        <v>0</v>
      </c>
      <c r="L56" s="19">
        <v>0</v>
      </c>
      <c r="M56" s="19">
        <v>6.9279854147675478E-3</v>
      </c>
      <c r="N56" s="35"/>
    </row>
    <row r="57" spans="1:14" x14ac:dyDescent="0.3">
      <c r="A57" s="23" t="s">
        <v>51</v>
      </c>
      <c r="B57" s="12">
        <v>92</v>
      </c>
      <c r="C57" s="13">
        <v>8.386508659981768E-3</v>
      </c>
      <c r="D57" s="13">
        <v>0</v>
      </c>
      <c r="E57" s="13">
        <v>0</v>
      </c>
      <c r="F57" s="13">
        <v>0</v>
      </c>
      <c r="G57" s="19">
        <v>8.386508659981768E-3</v>
      </c>
      <c r="H57" s="13">
        <v>0</v>
      </c>
      <c r="I57" s="13">
        <v>0</v>
      </c>
      <c r="J57" s="13">
        <v>0</v>
      </c>
      <c r="K57" s="13">
        <v>0</v>
      </c>
      <c r="L57" s="19">
        <v>0</v>
      </c>
      <c r="M57" s="19">
        <v>8.386508659981768E-3</v>
      </c>
      <c r="N57" s="35"/>
    </row>
    <row r="58" spans="1:14" x14ac:dyDescent="0.3">
      <c r="A58" s="23" t="s">
        <v>52</v>
      </c>
      <c r="B58" s="12">
        <v>108</v>
      </c>
      <c r="C58" s="13">
        <v>9.8450319051959882E-3</v>
      </c>
      <c r="D58" s="13">
        <v>0</v>
      </c>
      <c r="E58" s="13">
        <v>0</v>
      </c>
      <c r="F58" s="13">
        <v>0</v>
      </c>
      <c r="G58" s="19">
        <v>9.8450319051959882E-3</v>
      </c>
      <c r="H58" s="13">
        <v>0</v>
      </c>
      <c r="I58" s="13">
        <v>0</v>
      </c>
      <c r="J58" s="13">
        <v>0</v>
      </c>
      <c r="K58" s="13">
        <v>0</v>
      </c>
      <c r="L58" s="19">
        <v>0</v>
      </c>
      <c r="M58" s="19">
        <v>9.8450319051959882E-3</v>
      </c>
      <c r="N58" s="35"/>
    </row>
    <row r="59" spans="1:14" x14ac:dyDescent="0.3">
      <c r="A59" s="23" t="s">
        <v>53</v>
      </c>
      <c r="B59" s="12">
        <v>85</v>
      </c>
      <c r="C59" s="13">
        <v>7.7484047402005471E-3</v>
      </c>
      <c r="D59" s="13">
        <v>0</v>
      </c>
      <c r="E59" s="13">
        <v>0</v>
      </c>
      <c r="F59" s="13">
        <v>0</v>
      </c>
      <c r="G59" s="19">
        <v>7.7484047402005471E-3</v>
      </c>
      <c r="H59" s="13">
        <v>0</v>
      </c>
      <c r="I59" s="13">
        <v>0</v>
      </c>
      <c r="J59" s="13">
        <v>0</v>
      </c>
      <c r="K59" s="13">
        <v>0</v>
      </c>
      <c r="L59" s="19">
        <v>0</v>
      </c>
      <c r="M59" s="19">
        <v>7.7484047402005471E-3</v>
      </c>
      <c r="N59" s="35"/>
    </row>
    <row r="60" spans="1:14" x14ac:dyDescent="0.3">
      <c r="A60" s="24" t="s">
        <v>54</v>
      </c>
      <c r="B60" s="16">
        <v>29</v>
      </c>
      <c r="C60" s="17">
        <v>2.643573381950775E-3</v>
      </c>
      <c r="D60" s="17">
        <v>0</v>
      </c>
      <c r="E60" s="17">
        <v>0</v>
      </c>
      <c r="F60" s="17">
        <v>0</v>
      </c>
      <c r="G60" s="20">
        <v>2.643573381950775E-3</v>
      </c>
      <c r="H60" s="17">
        <v>0</v>
      </c>
      <c r="I60" s="17">
        <v>0</v>
      </c>
      <c r="J60" s="17">
        <v>0</v>
      </c>
      <c r="K60" s="17">
        <v>0</v>
      </c>
      <c r="L60" s="20">
        <v>0</v>
      </c>
      <c r="M60" s="20">
        <v>2.643573381950775E-3</v>
      </c>
      <c r="N60" s="35"/>
    </row>
    <row r="61" spans="1:14" x14ac:dyDescent="0.3">
      <c r="A61" s="26" t="s">
        <v>144</v>
      </c>
      <c r="B61" s="27">
        <v>1119</v>
      </c>
      <c r="C61" s="28">
        <v>3.6463081130355516E-4</v>
      </c>
      <c r="D61" s="28">
        <v>1.8596171376481313E-2</v>
      </c>
      <c r="E61" s="28">
        <v>8.1130355515041025E-2</v>
      </c>
      <c r="F61" s="28">
        <v>1.3673655423883319E-3</v>
      </c>
      <c r="G61" s="29">
        <v>0.10145852324521422</v>
      </c>
      <c r="H61" s="28">
        <v>0</v>
      </c>
      <c r="I61" s="28">
        <v>0</v>
      </c>
      <c r="J61" s="28">
        <v>0</v>
      </c>
      <c r="K61" s="28">
        <v>5.4694621695533269E-4</v>
      </c>
      <c r="L61" s="29">
        <v>5.4694621695533269E-4</v>
      </c>
      <c r="M61" s="29">
        <v>0.10200546946216955</v>
      </c>
      <c r="N61" s="35"/>
    </row>
    <row r="62" spans="1:14" x14ac:dyDescent="0.3">
      <c r="A62" s="25" t="s">
        <v>55</v>
      </c>
      <c r="B62" s="14">
        <v>6</v>
      </c>
      <c r="C62" s="15">
        <v>0</v>
      </c>
      <c r="D62" s="15">
        <v>0</v>
      </c>
      <c r="E62" s="15">
        <v>0</v>
      </c>
      <c r="F62" s="15">
        <v>0</v>
      </c>
      <c r="G62" s="18">
        <v>0</v>
      </c>
      <c r="H62" s="15">
        <v>0</v>
      </c>
      <c r="I62" s="15">
        <v>0</v>
      </c>
      <c r="J62" s="15">
        <v>0</v>
      </c>
      <c r="K62" s="15">
        <v>5.4694621695533269E-4</v>
      </c>
      <c r="L62" s="18">
        <v>5.4694621695533269E-4</v>
      </c>
      <c r="M62" s="18">
        <v>5.4694621695533269E-4</v>
      </c>
      <c r="N62" s="35"/>
    </row>
    <row r="63" spans="1:14" x14ac:dyDescent="0.3">
      <c r="A63" s="23" t="s">
        <v>56</v>
      </c>
      <c r="B63" s="12">
        <v>15</v>
      </c>
      <c r="C63" s="13">
        <v>0</v>
      </c>
      <c r="D63" s="13">
        <v>0</v>
      </c>
      <c r="E63" s="13">
        <v>0</v>
      </c>
      <c r="F63" s="13">
        <v>1.3673655423883319E-3</v>
      </c>
      <c r="G63" s="19">
        <v>1.3673655423883319E-3</v>
      </c>
      <c r="H63" s="13">
        <v>0</v>
      </c>
      <c r="I63" s="13">
        <v>0</v>
      </c>
      <c r="J63" s="13">
        <v>0</v>
      </c>
      <c r="K63" s="13">
        <v>0</v>
      </c>
      <c r="L63" s="19">
        <v>0</v>
      </c>
      <c r="M63" s="19">
        <v>1.3673655423883319E-3</v>
      </c>
      <c r="N63" s="35"/>
    </row>
    <row r="64" spans="1:14" x14ac:dyDescent="0.3">
      <c r="A64" s="23" t="s">
        <v>57</v>
      </c>
      <c r="B64" s="12">
        <v>4</v>
      </c>
      <c r="C64" s="13">
        <v>3.6463081130355516E-4</v>
      </c>
      <c r="D64" s="13">
        <v>0</v>
      </c>
      <c r="E64" s="13">
        <v>0</v>
      </c>
      <c r="F64" s="13">
        <v>0</v>
      </c>
      <c r="G64" s="19">
        <v>3.6463081130355516E-4</v>
      </c>
      <c r="H64" s="13">
        <v>0</v>
      </c>
      <c r="I64" s="13">
        <v>0</v>
      </c>
      <c r="J64" s="13">
        <v>0</v>
      </c>
      <c r="K64" s="13">
        <v>0</v>
      </c>
      <c r="L64" s="19">
        <v>0</v>
      </c>
      <c r="M64" s="19">
        <v>3.6463081130355516E-4</v>
      </c>
      <c r="N64" s="35"/>
    </row>
    <row r="65" spans="1:14" x14ac:dyDescent="0.3">
      <c r="A65" s="23" t="s">
        <v>58</v>
      </c>
      <c r="B65" s="12">
        <v>131</v>
      </c>
      <c r="C65" s="13">
        <v>0</v>
      </c>
      <c r="D65" s="13">
        <v>0</v>
      </c>
      <c r="E65" s="13">
        <v>1.1941659070191431E-2</v>
      </c>
      <c r="F65" s="13">
        <v>0</v>
      </c>
      <c r="G65" s="19">
        <v>1.1941659070191431E-2</v>
      </c>
      <c r="H65" s="13">
        <v>0</v>
      </c>
      <c r="I65" s="13">
        <v>0</v>
      </c>
      <c r="J65" s="13">
        <v>0</v>
      </c>
      <c r="K65" s="13">
        <v>0</v>
      </c>
      <c r="L65" s="19">
        <v>0</v>
      </c>
      <c r="M65" s="19">
        <v>1.1941659070191431E-2</v>
      </c>
      <c r="N65" s="35"/>
    </row>
    <row r="66" spans="1:14" x14ac:dyDescent="0.3">
      <c r="A66" s="23" t="s">
        <v>59</v>
      </c>
      <c r="B66" s="12">
        <v>117</v>
      </c>
      <c r="C66" s="13">
        <v>0</v>
      </c>
      <c r="D66" s="13">
        <v>0</v>
      </c>
      <c r="E66" s="13">
        <v>1.0665451230628988E-2</v>
      </c>
      <c r="F66" s="13">
        <v>0</v>
      </c>
      <c r="G66" s="19">
        <v>1.0665451230628988E-2</v>
      </c>
      <c r="H66" s="13">
        <v>0</v>
      </c>
      <c r="I66" s="13">
        <v>0</v>
      </c>
      <c r="J66" s="13">
        <v>0</v>
      </c>
      <c r="K66" s="13">
        <v>0</v>
      </c>
      <c r="L66" s="19">
        <v>0</v>
      </c>
      <c r="M66" s="19">
        <v>1.0665451230628988E-2</v>
      </c>
      <c r="N66" s="35"/>
    </row>
    <row r="67" spans="1:14" x14ac:dyDescent="0.3">
      <c r="A67" s="23" t="s">
        <v>60</v>
      </c>
      <c r="B67" s="12">
        <v>155</v>
      </c>
      <c r="C67" s="13">
        <v>0</v>
      </c>
      <c r="D67" s="13">
        <v>0</v>
      </c>
      <c r="E67" s="13">
        <v>1.4129443938012761E-2</v>
      </c>
      <c r="F67" s="13">
        <v>0</v>
      </c>
      <c r="G67" s="19">
        <v>1.4129443938012761E-2</v>
      </c>
      <c r="H67" s="13">
        <v>0</v>
      </c>
      <c r="I67" s="13">
        <v>0</v>
      </c>
      <c r="J67" s="13">
        <v>0</v>
      </c>
      <c r="K67" s="13">
        <v>0</v>
      </c>
      <c r="L67" s="19">
        <v>0</v>
      </c>
      <c r="M67" s="19">
        <v>1.4129443938012761E-2</v>
      </c>
      <c r="N67" s="35"/>
    </row>
    <row r="68" spans="1:14" x14ac:dyDescent="0.3">
      <c r="A68" s="23" t="s">
        <v>61</v>
      </c>
      <c r="B68" s="12">
        <v>100</v>
      </c>
      <c r="C68" s="13">
        <v>0</v>
      </c>
      <c r="D68" s="13">
        <v>0</v>
      </c>
      <c r="E68" s="13">
        <v>9.1157702825888781E-3</v>
      </c>
      <c r="F68" s="13">
        <v>0</v>
      </c>
      <c r="G68" s="19">
        <v>9.1157702825888781E-3</v>
      </c>
      <c r="H68" s="13">
        <v>0</v>
      </c>
      <c r="I68" s="13">
        <v>0</v>
      </c>
      <c r="J68" s="13">
        <v>0</v>
      </c>
      <c r="K68" s="13">
        <v>0</v>
      </c>
      <c r="L68" s="19">
        <v>0</v>
      </c>
      <c r="M68" s="19">
        <v>9.1157702825888781E-3</v>
      </c>
      <c r="N68" s="35"/>
    </row>
    <row r="69" spans="1:14" x14ac:dyDescent="0.3">
      <c r="A69" s="23" t="s">
        <v>62</v>
      </c>
      <c r="B69" s="12">
        <v>116</v>
      </c>
      <c r="C69" s="13">
        <v>0</v>
      </c>
      <c r="D69" s="13">
        <v>0</v>
      </c>
      <c r="E69" s="13">
        <v>1.05742935278031E-2</v>
      </c>
      <c r="F69" s="13">
        <v>0</v>
      </c>
      <c r="G69" s="19">
        <v>1.05742935278031E-2</v>
      </c>
      <c r="H69" s="13">
        <v>0</v>
      </c>
      <c r="I69" s="13">
        <v>0</v>
      </c>
      <c r="J69" s="13">
        <v>0</v>
      </c>
      <c r="K69" s="13">
        <v>0</v>
      </c>
      <c r="L69" s="19">
        <v>0</v>
      </c>
      <c r="M69" s="19">
        <v>1.05742935278031E-2</v>
      </c>
      <c r="N69" s="35"/>
    </row>
    <row r="70" spans="1:14" x14ac:dyDescent="0.3">
      <c r="A70" s="23" t="s">
        <v>63</v>
      </c>
      <c r="B70" s="12">
        <v>130</v>
      </c>
      <c r="C70" s="13">
        <v>0</v>
      </c>
      <c r="D70" s="13">
        <v>0</v>
      </c>
      <c r="E70" s="13">
        <v>1.1850501367365542E-2</v>
      </c>
      <c r="F70" s="13">
        <v>0</v>
      </c>
      <c r="G70" s="19">
        <v>1.1850501367365542E-2</v>
      </c>
      <c r="H70" s="13">
        <v>0</v>
      </c>
      <c r="I70" s="13">
        <v>0</v>
      </c>
      <c r="J70" s="13">
        <v>0</v>
      </c>
      <c r="K70" s="13">
        <v>0</v>
      </c>
      <c r="L70" s="19">
        <v>0</v>
      </c>
      <c r="M70" s="19">
        <v>1.1850501367365542E-2</v>
      </c>
      <c r="N70" s="35"/>
    </row>
    <row r="71" spans="1:14" x14ac:dyDescent="0.3">
      <c r="A71" s="23" t="s">
        <v>64</v>
      </c>
      <c r="B71" s="12">
        <v>141</v>
      </c>
      <c r="C71" s="13">
        <v>0</v>
      </c>
      <c r="D71" s="13">
        <v>0</v>
      </c>
      <c r="E71" s="13">
        <v>1.285323609845032E-2</v>
      </c>
      <c r="F71" s="13">
        <v>0</v>
      </c>
      <c r="G71" s="19">
        <v>1.285323609845032E-2</v>
      </c>
      <c r="H71" s="13">
        <v>0</v>
      </c>
      <c r="I71" s="13">
        <v>0</v>
      </c>
      <c r="J71" s="13">
        <v>0</v>
      </c>
      <c r="K71" s="13">
        <v>0</v>
      </c>
      <c r="L71" s="19">
        <v>0</v>
      </c>
      <c r="M71" s="19">
        <v>1.285323609845032E-2</v>
      </c>
      <c r="N71" s="35"/>
    </row>
    <row r="72" spans="1:14" x14ac:dyDescent="0.3">
      <c r="A72" s="23" t="s">
        <v>65</v>
      </c>
      <c r="B72" s="12">
        <v>99</v>
      </c>
      <c r="C72" s="13">
        <v>0</v>
      </c>
      <c r="D72" s="13">
        <v>9.0246125797629907E-3</v>
      </c>
      <c r="E72" s="13">
        <v>0</v>
      </c>
      <c r="F72" s="13">
        <v>0</v>
      </c>
      <c r="G72" s="19">
        <v>9.0246125797629907E-3</v>
      </c>
      <c r="H72" s="13">
        <v>0</v>
      </c>
      <c r="I72" s="13">
        <v>0</v>
      </c>
      <c r="J72" s="13">
        <v>0</v>
      </c>
      <c r="K72" s="13">
        <v>0</v>
      </c>
      <c r="L72" s="19">
        <v>0</v>
      </c>
      <c r="M72" s="19">
        <v>9.0246125797629907E-3</v>
      </c>
      <c r="N72" s="35"/>
    </row>
    <row r="73" spans="1:14" x14ac:dyDescent="0.3">
      <c r="A73" s="24" t="s">
        <v>66</v>
      </c>
      <c r="B73" s="16">
        <v>105</v>
      </c>
      <c r="C73" s="17">
        <v>0</v>
      </c>
      <c r="D73" s="17">
        <v>9.5715587967183224E-3</v>
      </c>
      <c r="E73" s="17">
        <v>0</v>
      </c>
      <c r="F73" s="17">
        <v>0</v>
      </c>
      <c r="G73" s="20">
        <v>9.5715587967183224E-3</v>
      </c>
      <c r="H73" s="17">
        <v>0</v>
      </c>
      <c r="I73" s="17">
        <v>0</v>
      </c>
      <c r="J73" s="17">
        <v>0</v>
      </c>
      <c r="K73" s="17">
        <v>0</v>
      </c>
      <c r="L73" s="20">
        <v>0</v>
      </c>
      <c r="M73" s="20">
        <v>9.5715587967183224E-3</v>
      </c>
      <c r="N73" s="35"/>
    </row>
    <row r="74" spans="1:14" x14ac:dyDescent="0.3">
      <c r="A74" s="26" t="s">
        <v>146</v>
      </c>
      <c r="B74" s="27">
        <v>2832</v>
      </c>
      <c r="C74" s="28">
        <v>9.3254329990884233E-2</v>
      </c>
      <c r="D74" s="28">
        <v>0</v>
      </c>
      <c r="E74" s="28">
        <v>1.7958067456700092E-2</v>
      </c>
      <c r="F74" s="28">
        <v>3.2543299908842298E-2</v>
      </c>
      <c r="G74" s="29">
        <v>0.14375569735642663</v>
      </c>
      <c r="H74" s="28">
        <v>8.2041932543299909E-4</v>
      </c>
      <c r="I74" s="28">
        <v>5.3691886964448494E-2</v>
      </c>
      <c r="J74" s="28">
        <v>4.0291704649042845E-2</v>
      </c>
      <c r="K74" s="28">
        <v>1.9598906107566091E-2</v>
      </c>
      <c r="L74" s="29">
        <v>0.11440291704649043</v>
      </c>
      <c r="M74" s="29">
        <v>0.25815861440291704</v>
      </c>
      <c r="N74" s="35"/>
    </row>
    <row r="75" spans="1:14" x14ac:dyDescent="0.3">
      <c r="A75" s="25" t="s">
        <v>94</v>
      </c>
      <c r="B75" s="33">
        <v>102</v>
      </c>
      <c r="C75" s="15">
        <v>0</v>
      </c>
      <c r="D75" s="15">
        <v>0</v>
      </c>
      <c r="E75" s="15">
        <v>0</v>
      </c>
      <c r="F75" s="15">
        <v>0</v>
      </c>
      <c r="G75" s="18">
        <v>0</v>
      </c>
      <c r="H75" s="15">
        <v>0</v>
      </c>
      <c r="I75" s="15">
        <v>0</v>
      </c>
      <c r="J75" s="15">
        <v>0</v>
      </c>
      <c r="K75" s="15">
        <v>9.2980856882406565E-3</v>
      </c>
      <c r="L75" s="18">
        <v>9.2980856882406565E-3</v>
      </c>
      <c r="M75" s="18">
        <v>9.2980856882406565E-3</v>
      </c>
      <c r="N75" s="35"/>
    </row>
    <row r="76" spans="1:14" x14ac:dyDescent="0.3">
      <c r="A76" s="23" t="s">
        <v>95</v>
      </c>
      <c r="B76" s="34">
        <v>113</v>
      </c>
      <c r="C76" s="13">
        <v>0</v>
      </c>
      <c r="D76" s="13">
        <v>0</v>
      </c>
      <c r="E76" s="13">
        <v>0</v>
      </c>
      <c r="F76" s="13">
        <v>0</v>
      </c>
      <c r="G76" s="19">
        <v>0</v>
      </c>
      <c r="H76" s="13">
        <v>0</v>
      </c>
      <c r="I76" s="13">
        <v>0</v>
      </c>
      <c r="J76" s="13">
        <v>0</v>
      </c>
      <c r="K76" s="13">
        <v>1.0300820419325432E-2</v>
      </c>
      <c r="L76" s="19">
        <v>1.0300820419325432E-2</v>
      </c>
      <c r="M76" s="19">
        <v>1.0300820419325432E-2</v>
      </c>
      <c r="N76" s="35"/>
    </row>
    <row r="77" spans="1:14" x14ac:dyDescent="0.3">
      <c r="A77" s="23" t="s">
        <v>96</v>
      </c>
      <c r="B77" s="34">
        <v>4</v>
      </c>
      <c r="C77" s="13">
        <v>0</v>
      </c>
      <c r="D77" s="13">
        <v>0</v>
      </c>
      <c r="E77" s="13">
        <v>0</v>
      </c>
      <c r="F77" s="13">
        <v>3.6463081130355516E-4</v>
      </c>
      <c r="G77" s="19">
        <v>3.6463081130355516E-4</v>
      </c>
      <c r="H77" s="13">
        <v>0</v>
      </c>
      <c r="I77" s="13">
        <v>0</v>
      </c>
      <c r="J77" s="13">
        <v>0</v>
      </c>
      <c r="K77" s="13">
        <v>0</v>
      </c>
      <c r="L77" s="19">
        <v>0</v>
      </c>
      <c r="M77" s="19">
        <v>3.6463081130355516E-4</v>
      </c>
      <c r="N77" s="35"/>
    </row>
    <row r="78" spans="1:14" x14ac:dyDescent="0.3">
      <c r="A78" s="23" t="s">
        <v>80</v>
      </c>
      <c r="B78" s="34">
        <v>113</v>
      </c>
      <c r="C78" s="13">
        <v>0</v>
      </c>
      <c r="D78" s="13">
        <v>0</v>
      </c>
      <c r="E78" s="13">
        <v>0</v>
      </c>
      <c r="F78" s="13">
        <v>1.0300820419325432E-2</v>
      </c>
      <c r="G78" s="19">
        <v>1.0300820419325432E-2</v>
      </c>
      <c r="H78" s="13">
        <v>0</v>
      </c>
      <c r="I78" s="13">
        <v>0</v>
      </c>
      <c r="J78" s="13">
        <v>0</v>
      </c>
      <c r="K78" s="13">
        <v>0</v>
      </c>
      <c r="L78" s="19">
        <v>0</v>
      </c>
      <c r="M78" s="19">
        <v>1.0300820419325432E-2</v>
      </c>
      <c r="N78" s="35"/>
    </row>
    <row r="79" spans="1:14" x14ac:dyDescent="0.3">
      <c r="A79" s="23" t="s">
        <v>97</v>
      </c>
      <c r="B79" s="34">
        <v>115</v>
      </c>
      <c r="C79" s="13">
        <v>0</v>
      </c>
      <c r="D79" s="13">
        <v>0</v>
      </c>
      <c r="E79" s="13">
        <v>0</v>
      </c>
      <c r="F79" s="13">
        <v>1.0483135824977211E-2</v>
      </c>
      <c r="G79" s="19">
        <v>1.0483135824977211E-2</v>
      </c>
      <c r="H79" s="13">
        <v>0</v>
      </c>
      <c r="I79" s="13">
        <v>0</v>
      </c>
      <c r="J79" s="13">
        <v>0</v>
      </c>
      <c r="K79" s="13">
        <v>0</v>
      </c>
      <c r="L79" s="19">
        <v>0</v>
      </c>
      <c r="M79" s="19">
        <v>1.0483135824977211E-2</v>
      </c>
      <c r="N79" s="35"/>
    </row>
    <row r="80" spans="1:14" x14ac:dyDescent="0.3">
      <c r="A80" s="23" t="s">
        <v>98</v>
      </c>
      <c r="B80" s="34">
        <v>121</v>
      </c>
      <c r="C80" s="13">
        <v>0</v>
      </c>
      <c r="D80" s="13">
        <v>0</v>
      </c>
      <c r="E80" s="13">
        <v>0</v>
      </c>
      <c r="F80" s="13">
        <v>1.1030082041932543E-2</v>
      </c>
      <c r="G80" s="19">
        <v>1.1030082041932543E-2</v>
      </c>
      <c r="H80" s="13">
        <v>0</v>
      </c>
      <c r="I80" s="13">
        <v>0</v>
      </c>
      <c r="J80" s="13">
        <v>0</v>
      </c>
      <c r="K80" s="13">
        <v>0</v>
      </c>
      <c r="L80" s="19">
        <v>0</v>
      </c>
      <c r="M80" s="19">
        <v>1.1030082041932543E-2</v>
      </c>
      <c r="N80" s="35"/>
    </row>
    <row r="81" spans="1:14" x14ac:dyDescent="0.3">
      <c r="A81" s="23" t="s">
        <v>99</v>
      </c>
      <c r="B81" s="12">
        <v>4</v>
      </c>
      <c r="C81" s="13">
        <v>0</v>
      </c>
      <c r="D81" s="13">
        <v>0</v>
      </c>
      <c r="E81" s="13">
        <v>0</v>
      </c>
      <c r="F81" s="13">
        <v>3.6463081130355516E-4</v>
      </c>
      <c r="G81" s="19">
        <v>3.6463081130355516E-4</v>
      </c>
      <c r="H81" s="13">
        <v>0</v>
      </c>
      <c r="I81" s="13">
        <v>0</v>
      </c>
      <c r="J81" s="13">
        <v>0</v>
      </c>
      <c r="K81" s="13">
        <v>0</v>
      </c>
      <c r="L81" s="19">
        <v>0</v>
      </c>
      <c r="M81" s="19">
        <v>3.6463081130355516E-4</v>
      </c>
      <c r="N81" s="35"/>
    </row>
    <row r="82" spans="1:14" x14ac:dyDescent="0.3">
      <c r="A82" s="23" t="s">
        <v>100</v>
      </c>
      <c r="B82" s="12">
        <v>9</v>
      </c>
      <c r="C82" s="13">
        <v>0</v>
      </c>
      <c r="D82" s="13">
        <v>0</v>
      </c>
      <c r="E82" s="13">
        <v>0</v>
      </c>
      <c r="F82" s="13">
        <v>0</v>
      </c>
      <c r="G82" s="19">
        <v>0</v>
      </c>
      <c r="H82" s="13">
        <v>8.2041932543299909E-4</v>
      </c>
      <c r="I82" s="13">
        <v>0</v>
      </c>
      <c r="J82" s="13">
        <v>0</v>
      </c>
      <c r="K82" s="13">
        <v>0</v>
      </c>
      <c r="L82" s="19">
        <v>8.2041932543299909E-4</v>
      </c>
      <c r="M82" s="19">
        <v>8.2041932543299909E-4</v>
      </c>
      <c r="N82" s="35"/>
    </row>
    <row r="83" spans="1:14" x14ac:dyDescent="0.3">
      <c r="A83" s="23" t="s">
        <v>101</v>
      </c>
      <c r="B83" s="12">
        <v>113</v>
      </c>
      <c r="C83" s="13">
        <v>1.0300820419325432E-2</v>
      </c>
      <c r="D83" s="13">
        <v>0</v>
      </c>
      <c r="E83" s="13">
        <v>0</v>
      </c>
      <c r="F83" s="13">
        <v>0</v>
      </c>
      <c r="G83" s="19">
        <v>1.0300820419325432E-2</v>
      </c>
      <c r="H83" s="13">
        <v>0</v>
      </c>
      <c r="I83" s="13">
        <v>0</v>
      </c>
      <c r="J83" s="13">
        <v>0</v>
      </c>
      <c r="K83" s="13">
        <v>0</v>
      </c>
      <c r="L83" s="19">
        <v>0</v>
      </c>
      <c r="M83" s="19">
        <v>1.0300820419325432E-2</v>
      </c>
      <c r="N83" s="35"/>
    </row>
    <row r="84" spans="1:14" x14ac:dyDescent="0.3">
      <c r="A84" s="23" t="s">
        <v>102</v>
      </c>
      <c r="B84" s="12">
        <v>128</v>
      </c>
      <c r="C84" s="13">
        <v>1.1668185961713765E-2</v>
      </c>
      <c r="D84" s="13">
        <v>0</v>
      </c>
      <c r="E84" s="13">
        <v>0</v>
      </c>
      <c r="F84" s="13">
        <v>0</v>
      </c>
      <c r="G84" s="19">
        <v>1.1668185961713765E-2</v>
      </c>
      <c r="H84" s="13">
        <v>0</v>
      </c>
      <c r="I84" s="13">
        <v>0</v>
      </c>
      <c r="J84" s="13">
        <v>0</v>
      </c>
      <c r="K84" s="13">
        <v>0</v>
      </c>
      <c r="L84" s="19">
        <v>0</v>
      </c>
      <c r="M84" s="19">
        <v>1.1668185961713765E-2</v>
      </c>
      <c r="N84" s="35"/>
    </row>
    <row r="85" spans="1:14" x14ac:dyDescent="0.3">
      <c r="A85" s="23" t="s">
        <v>103</v>
      </c>
      <c r="B85" s="12">
        <v>121</v>
      </c>
      <c r="C85" s="13">
        <v>1.1030082041932543E-2</v>
      </c>
      <c r="D85" s="13">
        <v>0</v>
      </c>
      <c r="E85" s="13">
        <v>0</v>
      </c>
      <c r="F85" s="13">
        <v>0</v>
      </c>
      <c r="G85" s="19">
        <v>1.1030082041932543E-2</v>
      </c>
      <c r="H85" s="13">
        <v>0</v>
      </c>
      <c r="I85" s="13">
        <v>0</v>
      </c>
      <c r="J85" s="13">
        <v>0</v>
      </c>
      <c r="K85" s="13">
        <v>0</v>
      </c>
      <c r="L85" s="19">
        <v>0</v>
      </c>
      <c r="M85" s="19">
        <v>1.1030082041932543E-2</v>
      </c>
      <c r="N85" s="35"/>
    </row>
    <row r="86" spans="1:14" x14ac:dyDescent="0.3">
      <c r="A86" s="23" t="s">
        <v>104</v>
      </c>
      <c r="B86" s="12">
        <v>56</v>
      </c>
      <c r="C86" s="13">
        <v>5.1048313582497725E-3</v>
      </c>
      <c r="D86" s="13">
        <v>0</v>
      </c>
      <c r="E86" s="13">
        <v>0</v>
      </c>
      <c r="F86" s="13">
        <v>0</v>
      </c>
      <c r="G86" s="19">
        <v>5.1048313582497725E-3</v>
      </c>
      <c r="H86" s="13">
        <v>0</v>
      </c>
      <c r="I86" s="13">
        <v>0</v>
      </c>
      <c r="J86" s="13">
        <v>0</v>
      </c>
      <c r="K86" s="13">
        <v>0</v>
      </c>
      <c r="L86" s="19">
        <v>0</v>
      </c>
      <c r="M86" s="19">
        <v>5.1048313582497725E-3</v>
      </c>
      <c r="N86" s="35"/>
    </row>
    <row r="87" spans="1:14" x14ac:dyDescent="0.3">
      <c r="A87" s="23" t="s">
        <v>105</v>
      </c>
      <c r="B87" s="12">
        <v>117</v>
      </c>
      <c r="C87" s="13">
        <v>1.0665451230628988E-2</v>
      </c>
      <c r="D87" s="13">
        <v>0</v>
      </c>
      <c r="E87" s="13">
        <v>0</v>
      </c>
      <c r="F87" s="13">
        <v>0</v>
      </c>
      <c r="G87" s="19">
        <v>1.0665451230628988E-2</v>
      </c>
      <c r="H87" s="13">
        <v>0</v>
      </c>
      <c r="I87" s="13">
        <v>0</v>
      </c>
      <c r="J87" s="13">
        <v>0</v>
      </c>
      <c r="K87" s="13">
        <v>0</v>
      </c>
      <c r="L87" s="19">
        <v>0</v>
      </c>
      <c r="M87" s="19">
        <v>1.0665451230628988E-2</v>
      </c>
      <c r="N87" s="35"/>
    </row>
    <row r="88" spans="1:14" x14ac:dyDescent="0.3">
      <c r="A88" s="23" t="s">
        <v>106</v>
      </c>
      <c r="B88" s="12">
        <v>116</v>
      </c>
      <c r="C88" s="13">
        <v>1.05742935278031E-2</v>
      </c>
      <c r="D88" s="13">
        <v>0</v>
      </c>
      <c r="E88" s="13">
        <v>0</v>
      </c>
      <c r="F88" s="13">
        <v>0</v>
      </c>
      <c r="G88" s="19">
        <v>1.05742935278031E-2</v>
      </c>
      <c r="H88" s="13">
        <v>0</v>
      </c>
      <c r="I88" s="13">
        <v>0</v>
      </c>
      <c r="J88" s="13">
        <v>0</v>
      </c>
      <c r="K88" s="13">
        <v>0</v>
      </c>
      <c r="L88" s="19">
        <v>0</v>
      </c>
      <c r="M88" s="19">
        <v>1.05742935278031E-2</v>
      </c>
      <c r="N88" s="35"/>
    </row>
    <row r="89" spans="1:14" x14ac:dyDescent="0.3">
      <c r="A89" s="23" t="s">
        <v>107</v>
      </c>
      <c r="B89" s="12">
        <v>115</v>
      </c>
      <c r="C89" s="13">
        <v>1.0483135824977211E-2</v>
      </c>
      <c r="D89" s="13">
        <v>0</v>
      </c>
      <c r="E89" s="13">
        <v>0</v>
      </c>
      <c r="F89" s="13">
        <v>0</v>
      </c>
      <c r="G89" s="19">
        <v>1.0483135824977211E-2</v>
      </c>
      <c r="H89" s="13">
        <v>0</v>
      </c>
      <c r="I89" s="13">
        <v>0</v>
      </c>
      <c r="J89" s="13">
        <v>0</v>
      </c>
      <c r="K89" s="13">
        <v>0</v>
      </c>
      <c r="L89" s="19">
        <v>0</v>
      </c>
      <c r="M89" s="19">
        <v>1.0483135824977211E-2</v>
      </c>
      <c r="N89" s="35"/>
    </row>
    <row r="90" spans="1:14" x14ac:dyDescent="0.3">
      <c r="A90" s="23" t="s">
        <v>108</v>
      </c>
      <c r="B90" s="12">
        <v>128</v>
      </c>
      <c r="C90" s="13">
        <v>1.1668185961713765E-2</v>
      </c>
      <c r="D90" s="13">
        <v>0</v>
      </c>
      <c r="E90" s="13">
        <v>0</v>
      </c>
      <c r="F90" s="13">
        <v>0</v>
      </c>
      <c r="G90" s="19">
        <v>1.1668185961713765E-2</v>
      </c>
      <c r="H90" s="13">
        <v>0</v>
      </c>
      <c r="I90" s="13">
        <v>0</v>
      </c>
      <c r="J90" s="13">
        <v>0</v>
      </c>
      <c r="K90" s="13">
        <v>0</v>
      </c>
      <c r="L90" s="19">
        <v>0</v>
      </c>
      <c r="M90" s="19">
        <v>1.1668185961713765E-2</v>
      </c>
      <c r="N90" s="35"/>
    </row>
    <row r="91" spans="1:14" x14ac:dyDescent="0.3">
      <c r="A91" s="23" t="s">
        <v>109</v>
      </c>
      <c r="B91" s="12">
        <v>129</v>
      </c>
      <c r="C91" s="13">
        <v>1.1759343664539654E-2</v>
      </c>
      <c r="D91" s="13">
        <v>0</v>
      </c>
      <c r="E91" s="13">
        <v>0</v>
      </c>
      <c r="F91" s="13">
        <v>0</v>
      </c>
      <c r="G91" s="19">
        <v>1.1759343664539654E-2</v>
      </c>
      <c r="H91" s="13">
        <v>0</v>
      </c>
      <c r="I91" s="13">
        <v>0</v>
      </c>
      <c r="J91" s="13">
        <v>0</v>
      </c>
      <c r="K91" s="13">
        <v>0</v>
      </c>
      <c r="L91" s="19">
        <v>0</v>
      </c>
      <c r="M91" s="19">
        <v>1.1759343664539654E-2</v>
      </c>
      <c r="N91" s="35"/>
    </row>
    <row r="92" spans="1:14" x14ac:dyDescent="0.3">
      <c r="A92" s="23" t="s">
        <v>110</v>
      </c>
      <c r="B92" s="12">
        <v>121</v>
      </c>
      <c r="C92" s="13">
        <v>0</v>
      </c>
      <c r="D92" s="13">
        <v>0</v>
      </c>
      <c r="E92" s="13">
        <v>1.1030082041932543E-2</v>
      </c>
      <c r="F92" s="13">
        <v>0</v>
      </c>
      <c r="G92" s="19">
        <v>1.1030082041932543E-2</v>
      </c>
      <c r="H92" s="13">
        <v>0</v>
      </c>
      <c r="I92" s="13">
        <v>0</v>
      </c>
      <c r="J92" s="13">
        <v>0</v>
      </c>
      <c r="K92" s="13">
        <v>0</v>
      </c>
      <c r="L92" s="19">
        <v>0</v>
      </c>
      <c r="M92" s="19">
        <v>1.1030082041932543E-2</v>
      </c>
      <c r="N92" s="35"/>
    </row>
    <row r="93" spans="1:14" x14ac:dyDescent="0.3">
      <c r="A93" s="23" t="s">
        <v>111</v>
      </c>
      <c r="B93" s="12">
        <v>38</v>
      </c>
      <c r="C93" s="13">
        <v>0</v>
      </c>
      <c r="D93" s="13">
        <v>0</v>
      </c>
      <c r="E93" s="13">
        <v>3.4639927073837739E-3</v>
      </c>
      <c r="F93" s="13">
        <v>0</v>
      </c>
      <c r="G93" s="19">
        <v>3.4639927073837739E-3</v>
      </c>
      <c r="H93" s="13">
        <v>0</v>
      </c>
      <c r="I93" s="13">
        <v>0</v>
      </c>
      <c r="J93" s="13">
        <v>0</v>
      </c>
      <c r="K93" s="13">
        <v>0</v>
      </c>
      <c r="L93" s="19">
        <v>0</v>
      </c>
      <c r="M93" s="19">
        <v>3.4639927073837739E-3</v>
      </c>
      <c r="N93" s="35"/>
    </row>
    <row r="94" spans="1:14" x14ac:dyDescent="0.3">
      <c r="A94" s="23" t="s">
        <v>112</v>
      </c>
      <c r="B94" s="12">
        <v>38</v>
      </c>
      <c r="C94" s="13">
        <v>0</v>
      </c>
      <c r="D94" s="13">
        <v>0</v>
      </c>
      <c r="E94" s="13">
        <v>3.4639927073837739E-3</v>
      </c>
      <c r="F94" s="13">
        <v>0</v>
      </c>
      <c r="G94" s="19">
        <v>3.4639927073837739E-3</v>
      </c>
      <c r="H94" s="13">
        <v>0</v>
      </c>
      <c r="I94" s="13">
        <v>0</v>
      </c>
      <c r="J94" s="13">
        <v>0</v>
      </c>
      <c r="K94" s="13">
        <v>0</v>
      </c>
      <c r="L94" s="19">
        <v>0</v>
      </c>
      <c r="M94" s="19">
        <v>3.4639927073837739E-3</v>
      </c>
      <c r="N94" s="35"/>
    </row>
    <row r="95" spans="1:14" x14ac:dyDescent="0.3">
      <c r="A95" s="23" t="s">
        <v>113</v>
      </c>
      <c r="B95" s="12">
        <v>111</v>
      </c>
      <c r="C95" s="13">
        <v>0</v>
      </c>
      <c r="D95" s="13">
        <v>0</v>
      </c>
      <c r="E95" s="13">
        <v>0</v>
      </c>
      <c r="F95" s="13">
        <v>0</v>
      </c>
      <c r="G95" s="19">
        <v>0</v>
      </c>
      <c r="H95" s="13">
        <v>0</v>
      </c>
      <c r="I95" s="13">
        <v>0</v>
      </c>
      <c r="J95" s="13">
        <v>1.0118505013673656E-2</v>
      </c>
      <c r="K95" s="13">
        <v>0</v>
      </c>
      <c r="L95" s="19">
        <v>1.0118505013673656E-2</v>
      </c>
      <c r="M95" s="19">
        <v>1.0118505013673656E-2</v>
      </c>
      <c r="N95" s="35"/>
    </row>
    <row r="96" spans="1:14" x14ac:dyDescent="0.3">
      <c r="A96" s="23" t="s">
        <v>114</v>
      </c>
      <c r="B96" s="12">
        <v>92</v>
      </c>
      <c r="C96" s="13">
        <v>0</v>
      </c>
      <c r="D96" s="13">
        <v>0</v>
      </c>
      <c r="E96" s="13">
        <v>0</v>
      </c>
      <c r="F96" s="13">
        <v>0</v>
      </c>
      <c r="G96" s="19">
        <v>0</v>
      </c>
      <c r="H96" s="13">
        <v>0</v>
      </c>
      <c r="I96" s="13">
        <v>0</v>
      </c>
      <c r="J96" s="13">
        <v>8.386508659981768E-3</v>
      </c>
      <c r="K96" s="13">
        <v>0</v>
      </c>
      <c r="L96" s="19">
        <v>8.386508659981768E-3</v>
      </c>
      <c r="M96" s="19">
        <v>8.386508659981768E-3</v>
      </c>
      <c r="N96" s="35"/>
    </row>
    <row r="97" spans="1:14" x14ac:dyDescent="0.3">
      <c r="A97" s="23" t="s">
        <v>115</v>
      </c>
      <c r="B97" s="12">
        <v>132</v>
      </c>
      <c r="C97" s="13">
        <v>0</v>
      </c>
      <c r="D97" s="13">
        <v>0</v>
      </c>
      <c r="E97" s="13">
        <v>0</v>
      </c>
      <c r="F97" s="13">
        <v>0</v>
      </c>
      <c r="G97" s="19">
        <v>0</v>
      </c>
      <c r="H97" s="13">
        <v>0</v>
      </c>
      <c r="I97" s="13">
        <v>0</v>
      </c>
      <c r="J97" s="13">
        <v>1.203281677301732E-2</v>
      </c>
      <c r="K97" s="13">
        <v>0</v>
      </c>
      <c r="L97" s="19">
        <v>1.203281677301732E-2</v>
      </c>
      <c r="M97" s="19">
        <v>1.203281677301732E-2</v>
      </c>
      <c r="N97" s="35"/>
    </row>
    <row r="98" spans="1:14" x14ac:dyDescent="0.3">
      <c r="A98" s="23" t="s">
        <v>116</v>
      </c>
      <c r="B98" s="12">
        <v>107</v>
      </c>
      <c r="C98" s="13">
        <v>0</v>
      </c>
      <c r="D98" s="13">
        <v>0</v>
      </c>
      <c r="E98" s="13">
        <v>0</v>
      </c>
      <c r="F98" s="13">
        <v>0</v>
      </c>
      <c r="G98" s="19">
        <v>0</v>
      </c>
      <c r="H98" s="13">
        <v>0</v>
      </c>
      <c r="I98" s="13">
        <v>0</v>
      </c>
      <c r="J98" s="13">
        <v>9.7538742023701008E-3</v>
      </c>
      <c r="K98" s="13">
        <v>0</v>
      </c>
      <c r="L98" s="19">
        <v>9.7538742023701008E-3</v>
      </c>
      <c r="M98" s="19">
        <v>9.7538742023701008E-3</v>
      </c>
      <c r="N98" s="35"/>
    </row>
    <row r="99" spans="1:14" x14ac:dyDescent="0.3">
      <c r="A99" s="23" t="s">
        <v>117</v>
      </c>
      <c r="B99" s="12">
        <v>3</v>
      </c>
      <c r="C99" s="13">
        <v>0</v>
      </c>
      <c r="D99" s="13">
        <v>0</v>
      </c>
      <c r="E99" s="13">
        <v>0</v>
      </c>
      <c r="F99" s="13">
        <v>0</v>
      </c>
      <c r="G99" s="19">
        <v>0</v>
      </c>
      <c r="H99" s="13">
        <v>0</v>
      </c>
      <c r="I99" s="13">
        <v>2.7347310847766635E-4</v>
      </c>
      <c r="J99" s="13">
        <v>0</v>
      </c>
      <c r="K99" s="13">
        <v>0</v>
      </c>
      <c r="L99" s="19">
        <v>2.7347310847766635E-4</v>
      </c>
      <c r="M99" s="19">
        <v>2.7347310847766635E-4</v>
      </c>
      <c r="N99" s="35"/>
    </row>
    <row r="100" spans="1:14" x14ac:dyDescent="0.3">
      <c r="A100" s="23" t="s">
        <v>118</v>
      </c>
      <c r="B100" s="12">
        <v>8</v>
      </c>
      <c r="C100" s="13">
        <v>0</v>
      </c>
      <c r="D100" s="13">
        <v>0</v>
      </c>
      <c r="E100" s="13">
        <v>0</v>
      </c>
      <c r="F100" s="13">
        <v>0</v>
      </c>
      <c r="G100" s="19">
        <v>0</v>
      </c>
      <c r="H100" s="13">
        <v>0</v>
      </c>
      <c r="I100" s="13">
        <v>7.2926162260711033E-4</v>
      </c>
      <c r="J100" s="13">
        <v>0</v>
      </c>
      <c r="K100" s="13">
        <v>0</v>
      </c>
      <c r="L100" s="19">
        <v>7.2926162260711033E-4</v>
      </c>
      <c r="M100" s="19">
        <v>7.2926162260711033E-4</v>
      </c>
      <c r="N100" s="35"/>
    </row>
    <row r="101" spans="1:14" x14ac:dyDescent="0.3">
      <c r="A101" s="23" t="s">
        <v>119</v>
      </c>
      <c r="B101" s="12">
        <v>11</v>
      </c>
      <c r="C101" s="13">
        <v>0</v>
      </c>
      <c r="D101" s="13">
        <v>0</v>
      </c>
      <c r="E101" s="13">
        <v>0</v>
      </c>
      <c r="F101" s="13">
        <v>0</v>
      </c>
      <c r="G101" s="19">
        <v>0</v>
      </c>
      <c r="H101" s="13">
        <v>0</v>
      </c>
      <c r="I101" s="13">
        <v>1.0027347310847766E-3</v>
      </c>
      <c r="J101" s="13">
        <v>0</v>
      </c>
      <c r="K101" s="13">
        <v>0</v>
      </c>
      <c r="L101" s="19">
        <v>1.0027347310847766E-3</v>
      </c>
      <c r="M101" s="19">
        <v>1.0027347310847766E-3</v>
      </c>
      <c r="N101" s="35"/>
    </row>
    <row r="102" spans="1:14" x14ac:dyDescent="0.3">
      <c r="A102" s="23" t="s">
        <v>120</v>
      </c>
      <c r="B102" s="12">
        <v>140</v>
      </c>
      <c r="C102" s="13">
        <v>0</v>
      </c>
      <c r="D102" s="13">
        <v>0</v>
      </c>
      <c r="E102" s="13">
        <v>0</v>
      </c>
      <c r="F102" s="13">
        <v>0</v>
      </c>
      <c r="G102" s="19">
        <v>0</v>
      </c>
      <c r="H102" s="13">
        <v>0</v>
      </c>
      <c r="I102" s="13">
        <v>1.276207839562443E-2</v>
      </c>
      <c r="J102" s="13">
        <v>0</v>
      </c>
      <c r="K102" s="13">
        <v>0</v>
      </c>
      <c r="L102" s="19">
        <v>1.276207839562443E-2</v>
      </c>
      <c r="M102" s="19">
        <v>1.276207839562443E-2</v>
      </c>
      <c r="N102" s="35"/>
    </row>
    <row r="103" spans="1:14" x14ac:dyDescent="0.3">
      <c r="A103" s="23" t="s">
        <v>121</v>
      </c>
      <c r="B103" s="12">
        <v>149</v>
      </c>
      <c r="C103" s="13">
        <v>0</v>
      </c>
      <c r="D103" s="13">
        <v>0</v>
      </c>
      <c r="E103" s="13">
        <v>0</v>
      </c>
      <c r="F103" s="13">
        <v>0</v>
      </c>
      <c r="G103" s="19">
        <v>0</v>
      </c>
      <c r="H103" s="13">
        <v>0</v>
      </c>
      <c r="I103" s="13">
        <v>1.358249772105743E-2</v>
      </c>
      <c r="J103" s="13">
        <v>0</v>
      </c>
      <c r="K103" s="13">
        <v>0</v>
      </c>
      <c r="L103" s="19">
        <v>1.358249772105743E-2</v>
      </c>
      <c r="M103" s="19">
        <v>1.358249772105743E-2</v>
      </c>
      <c r="N103" s="35"/>
    </row>
    <row r="104" spans="1:14" x14ac:dyDescent="0.3">
      <c r="A104" s="23" t="s">
        <v>122</v>
      </c>
      <c r="B104" s="12">
        <v>144</v>
      </c>
      <c r="C104" s="13">
        <v>0</v>
      </c>
      <c r="D104" s="13">
        <v>0</v>
      </c>
      <c r="E104" s="13">
        <v>0</v>
      </c>
      <c r="F104" s="13">
        <v>0</v>
      </c>
      <c r="G104" s="19">
        <v>0</v>
      </c>
      <c r="H104" s="13">
        <v>0</v>
      </c>
      <c r="I104" s="13">
        <v>1.3126709206927985E-2</v>
      </c>
      <c r="J104" s="13">
        <v>0</v>
      </c>
      <c r="K104" s="13">
        <v>0</v>
      </c>
      <c r="L104" s="19">
        <v>1.3126709206927985E-2</v>
      </c>
      <c r="M104" s="19">
        <v>1.3126709206927985E-2</v>
      </c>
      <c r="N104" s="35"/>
    </row>
    <row r="105" spans="1:14" x14ac:dyDescent="0.3">
      <c r="A105" s="24" t="s">
        <v>123</v>
      </c>
      <c r="B105" s="16">
        <v>134</v>
      </c>
      <c r="C105" s="17">
        <v>0</v>
      </c>
      <c r="D105" s="17">
        <v>0</v>
      </c>
      <c r="E105" s="17">
        <v>0</v>
      </c>
      <c r="F105" s="17">
        <v>0</v>
      </c>
      <c r="G105" s="20">
        <v>0</v>
      </c>
      <c r="H105" s="17">
        <v>0</v>
      </c>
      <c r="I105" s="17">
        <v>1.2215132178669097E-2</v>
      </c>
      <c r="J105" s="17">
        <v>0</v>
      </c>
      <c r="K105" s="17">
        <v>0</v>
      </c>
      <c r="L105" s="20">
        <v>1.2215132178669097E-2</v>
      </c>
      <c r="M105" s="20">
        <v>1.2215132178669097E-2</v>
      </c>
      <c r="N105" s="35"/>
    </row>
    <row r="106" spans="1:14" x14ac:dyDescent="0.3">
      <c r="A106" s="26" t="s">
        <v>140</v>
      </c>
      <c r="B106" s="27">
        <v>703</v>
      </c>
      <c r="C106" s="28">
        <v>0</v>
      </c>
      <c r="D106" s="28">
        <v>1.1212397447584321E-2</v>
      </c>
      <c r="E106" s="28">
        <v>0</v>
      </c>
      <c r="F106" s="28">
        <v>0</v>
      </c>
      <c r="G106" s="29">
        <v>1.1212397447584321E-2</v>
      </c>
      <c r="H106" s="28">
        <v>0</v>
      </c>
      <c r="I106" s="28">
        <v>2.4339106654512305E-2</v>
      </c>
      <c r="J106" s="28">
        <v>8.2041932543299913E-3</v>
      </c>
      <c r="K106" s="28">
        <v>2.0328167730173201E-2</v>
      </c>
      <c r="L106" s="29">
        <v>5.2871467639015499E-2</v>
      </c>
      <c r="M106" s="29">
        <v>6.4083865086599814E-2</v>
      </c>
      <c r="N106" s="35"/>
    </row>
    <row r="107" spans="1:14" x14ac:dyDescent="0.3">
      <c r="A107" s="25" t="s">
        <v>67</v>
      </c>
      <c r="B107" s="14">
        <v>82</v>
      </c>
      <c r="C107" s="15">
        <v>0</v>
      </c>
      <c r="D107" s="15">
        <v>0</v>
      </c>
      <c r="E107" s="15">
        <v>0</v>
      </c>
      <c r="F107" s="15">
        <v>0</v>
      </c>
      <c r="G107" s="18">
        <v>0</v>
      </c>
      <c r="H107" s="15">
        <v>0</v>
      </c>
      <c r="I107" s="15">
        <v>0</v>
      </c>
      <c r="J107" s="15">
        <v>0</v>
      </c>
      <c r="K107" s="15">
        <v>7.4749316317228804E-3</v>
      </c>
      <c r="L107" s="18">
        <v>7.4749316317228804E-3</v>
      </c>
      <c r="M107" s="18">
        <v>7.4749316317228804E-3</v>
      </c>
      <c r="N107" s="35"/>
    </row>
    <row r="108" spans="1:14" x14ac:dyDescent="0.3">
      <c r="A108" s="23" t="s">
        <v>68</v>
      </c>
      <c r="B108" s="12">
        <v>72</v>
      </c>
      <c r="C108" s="13">
        <v>0</v>
      </c>
      <c r="D108" s="13">
        <v>0</v>
      </c>
      <c r="E108" s="13">
        <v>0</v>
      </c>
      <c r="F108" s="13">
        <v>0</v>
      </c>
      <c r="G108" s="19">
        <v>0</v>
      </c>
      <c r="H108" s="13">
        <v>0</v>
      </c>
      <c r="I108" s="13">
        <v>0</v>
      </c>
      <c r="J108" s="13">
        <v>0</v>
      </c>
      <c r="K108" s="13">
        <v>6.5633546034639927E-3</v>
      </c>
      <c r="L108" s="19">
        <v>6.5633546034639927E-3</v>
      </c>
      <c r="M108" s="19">
        <v>6.5633546034639927E-3</v>
      </c>
      <c r="N108" s="35"/>
    </row>
    <row r="109" spans="1:14" x14ac:dyDescent="0.3">
      <c r="A109" s="23" t="s">
        <v>69</v>
      </c>
      <c r="B109" s="12">
        <v>69</v>
      </c>
      <c r="C109" s="13">
        <v>0</v>
      </c>
      <c r="D109" s="13">
        <v>0</v>
      </c>
      <c r="E109" s="13">
        <v>0</v>
      </c>
      <c r="F109" s="13">
        <v>0</v>
      </c>
      <c r="G109" s="19">
        <v>0</v>
      </c>
      <c r="H109" s="13">
        <v>0</v>
      </c>
      <c r="I109" s="13">
        <v>0</v>
      </c>
      <c r="J109" s="13">
        <v>0</v>
      </c>
      <c r="K109" s="13">
        <v>6.289881494986326E-3</v>
      </c>
      <c r="L109" s="19">
        <v>6.289881494986326E-3</v>
      </c>
      <c r="M109" s="19">
        <v>6.289881494986326E-3</v>
      </c>
      <c r="N109" s="35"/>
    </row>
    <row r="110" spans="1:14" x14ac:dyDescent="0.3">
      <c r="A110" s="23" t="s">
        <v>70</v>
      </c>
      <c r="B110" s="12">
        <v>90</v>
      </c>
      <c r="C110" s="13">
        <v>0</v>
      </c>
      <c r="D110" s="13">
        <v>0</v>
      </c>
      <c r="E110" s="13">
        <v>0</v>
      </c>
      <c r="F110" s="13">
        <v>0</v>
      </c>
      <c r="G110" s="19">
        <v>0</v>
      </c>
      <c r="H110" s="13">
        <v>0</v>
      </c>
      <c r="I110" s="13">
        <v>0</v>
      </c>
      <c r="J110" s="13">
        <v>8.2041932543299913E-3</v>
      </c>
      <c r="K110" s="13">
        <v>0</v>
      </c>
      <c r="L110" s="19">
        <v>8.2041932543299913E-3</v>
      </c>
      <c r="M110" s="19">
        <v>8.2041932543299913E-3</v>
      </c>
      <c r="N110" s="35"/>
    </row>
    <row r="111" spans="1:14" x14ac:dyDescent="0.3">
      <c r="A111" s="23" t="s">
        <v>71</v>
      </c>
      <c r="B111" s="12">
        <v>86</v>
      </c>
      <c r="C111" s="13">
        <v>0</v>
      </c>
      <c r="D111" s="13">
        <v>0</v>
      </c>
      <c r="E111" s="13">
        <v>0</v>
      </c>
      <c r="F111" s="13">
        <v>0</v>
      </c>
      <c r="G111" s="19">
        <v>0</v>
      </c>
      <c r="H111" s="13">
        <v>0</v>
      </c>
      <c r="I111" s="13">
        <v>7.8395624430264363E-3</v>
      </c>
      <c r="J111" s="13">
        <v>0</v>
      </c>
      <c r="K111" s="13">
        <v>0</v>
      </c>
      <c r="L111" s="19">
        <v>7.8395624430264363E-3</v>
      </c>
      <c r="M111" s="19">
        <v>7.8395624430264363E-3</v>
      </c>
      <c r="N111" s="35"/>
    </row>
    <row r="112" spans="1:14" x14ac:dyDescent="0.3">
      <c r="A112" s="23" t="s">
        <v>72</v>
      </c>
      <c r="B112" s="12">
        <v>77</v>
      </c>
      <c r="C112" s="13">
        <v>0</v>
      </c>
      <c r="D112" s="13">
        <v>0</v>
      </c>
      <c r="E112" s="13">
        <v>0</v>
      </c>
      <c r="F112" s="13">
        <v>0</v>
      </c>
      <c r="G112" s="19">
        <v>0</v>
      </c>
      <c r="H112" s="13">
        <v>0</v>
      </c>
      <c r="I112" s="13">
        <v>7.019143117593437E-3</v>
      </c>
      <c r="J112" s="13">
        <v>0</v>
      </c>
      <c r="K112" s="13">
        <v>0</v>
      </c>
      <c r="L112" s="19">
        <v>7.019143117593437E-3</v>
      </c>
      <c r="M112" s="19">
        <v>7.019143117593437E-3</v>
      </c>
      <c r="N112" s="35"/>
    </row>
    <row r="113" spans="1:14" x14ac:dyDescent="0.3">
      <c r="A113" s="23" t="s">
        <v>73</v>
      </c>
      <c r="B113" s="12">
        <v>63</v>
      </c>
      <c r="C113" s="13">
        <v>0</v>
      </c>
      <c r="D113" s="13">
        <v>0</v>
      </c>
      <c r="E113" s="13">
        <v>0</v>
      </c>
      <c r="F113" s="13">
        <v>0</v>
      </c>
      <c r="G113" s="19">
        <v>0</v>
      </c>
      <c r="H113" s="13">
        <v>0</v>
      </c>
      <c r="I113" s="13">
        <v>5.7429352780309934E-3</v>
      </c>
      <c r="J113" s="13">
        <v>0</v>
      </c>
      <c r="K113" s="13">
        <v>0</v>
      </c>
      <c r="L113" s="19">
        <v>5.7429352780309934E-3</v>
      </c>
      <c r="M113" s="19">
        <v>5.7429352780309934E-3</v>
      </c>
      <c r="N113" s="35"/>
    </row>
    <row r="114" spans="1:14" x14ac:dyDescent="0.3">
      <c r="A114" s="23" t="s">
        <v>74</v>
      </c>
      <c r="B114" s="12">
        <v>34</v>
      </c>
      <c r="C114" s="13">
        <v>0</v>
      </c>
      <c r="D114" s="13">
        <v>0</v>
      </c>
      <c r="E114" s="13">
        <v>0</v>
      </c>
      <c r="F114" s="13">
        <v>0</v>
      </c>
      <c r="G114" s="19">
        <v>0</v>
      </c>
      <c r="H114" s="13">
        <v>0</v>
      </c>
      <c r="I114" s="13">
        <v>3.0993618960802188E-3</v>
      </c>
      <c r="J114" s="13">
        <v>0</v>
      </c>
      <c r="K114" s="13">
        <v>0</v>
      </c>
      <c r="L114" s="19">
        <v>3.0993618960802188E-3</v>
      </c>
      <c r="M114" s="19">
        <v>3.0993618960802188E-3</v>
      </c>
      <c r="N114" s="35"/>
    </row>
    <row r="115" spans="1:14" x14ac:dyDescent="0.3">
      <c r="A115" s="23" t="s">
        <v>75</v>
      </c>
      <c r="B115" s="12">
        <v>53</v>
      </c>
      <c r="C115" s="13">
        <v>0</v>
      </c>
      <c r="D115" s="13">
        <v>4.8313582497721058E-3</v>
      </c>
      <c r="E115" s="13">
        <v>0</v>
      </c>
      <c r="F115" s="13">
        <v>0</v>
      </c>
      <c r="G115" s="19">
        <v>4.8313582497721058E-3</v>
      </c>
      <c r="H115" s="13">
        <v>0</v>
      </c>
      <c r="I115" s="13">
        <v>0</v>
      </c>
      <c r="J115" s="13">
        <v>0</v>
      </c>
      <c r="K115" s="13">
        <v>0</v>
      </c>
      <c r="L115" s="19">
        <v>0</v>
      </c>
      <c r="M115" s="19">
        <v>4.8313582497721058E-3</v>
      </c>
      <c r="N115" s="35"/>
    </row>
    <row r="116" spans="1:14" x14ac:dyDescent="0.3">
      <c r="A116" s="23" t="s">
        <v>76</v>
      </c>
      <c r="B116" s="12">
        <v>7</v>
      </c>
      <c r="C116" s="13">
        <v>0</v>
      </c>
      <c r="D116" s="13">
        <v>0</v>
      </c>
      <c r="E116" s="13">
        <v>0</v>
      </c>
      <c r="F116" s="13">
        <v>0</v>
      </c>
      <c r="G116" s="19">
        <v>0</v>
      </c>
      <c r="H116" s="13">
        <v>0</v>
      </c>
      <c r="I116" s="13">
        <v>6.3810391978122156E-4</v>
      </c>
      <c r="J116" s="13">
        <v>0</v>
      </c>
      <c r="K116" s="13">
        <v>0</v>
      </c>
      <c r="L116" s="19">
        <v>6.3810391978122156E-4</v>
      </c>
      <c r="M116" s="19">
        <v>6.3810391978122156E-4</v>
      </c>
      <c r="N116" s="35"/>
    </row>
    <row r="117" spans="1:14" x14ac:dyDescent="0.3">
      <c r="A117" s="24" t="s">
        <v>77</v>
      </c>
      <c r="B117" s="16">
        <v>70</v>
      </c>
      <c r="C117" s="17">
        <v>0</v>
      </c>
      <c r="D117" s="17">
        <v>6.3810391978122152E-3</v>
      </c>
      <c r="E117" s="17">
        <v>0</v>
      </c>
      <c r="F117" s="17">
        <v>0</v>
      </c>
      <c r="G117" s="20">
        <v>6.3810391978122152E-3</v>
      </c>
      <c r="H117" s="17">
        <v>0</v>
      </c>
      <c r="I117" s="17">
        <v>0</v>
      </c>
      <c r="J117" s="17">
        <v>0</v>
      </c>
      <c r="K117" s="17">
        <v>0</v>
      </c>
      <c r="L117" s="20">
        <v>0</v>
      </c>
      <c r="M117" s="20">
        <v>6.3810391978122152E-3</v>
      </c>
      <c r="N117" s="35"/>
    </row>
    <row r="118" spans="1:14" ht="15" thickBot="1" x14ac:dyDescent="0.35">
      <c r="A118" s="30" t="s">
        <v>131</v>
      </c>
      <c r="B118" s="31">
        <f>11083-113</f>
        <v>10970</v>
      </c>
      <c r="C118" s="32">
        <v>0.2332725615314494</v>
      </c>
      <c r="D118" s="32">
        <v>2.9808568824065632E-2</v>
      </c>
      <c r="E118" s="32">
        <v>0.19690063810391978</v>
      </c>
      <c r="F118" s="32">
        <v>0.10154968094804011</v>
      </c>
      <c r="G118" s="32">
        <v>0.5615314494074749</v>
      </c>
      <c r="H118" s="32">
        <v>0.11476754785779399</v>
      </c>
      <c r="I118" s="32">
        <v>7.8030993618960806E-2</v>
      </c>
      <c r="J118" s="32">
        <v>0.12616226071103009</v>
      </c>
      <c r="K118" s="32">
        <v>0.1195077484047402</v>
      </c>
      <c r="L118" s="32">
        <v>0.43846855059252504</v>
      </c>
      <c r="M118" s="32">
        <v>1</v>
      </c>
      <c r="N118" s="35"/>
    </row>
  </sheetData>
  <mergeCells count="5">
    <mergeCell ref="A1:A2"/>
    <mergeCell ref="B1:B2"/>
    <mergeCell ref="C1:G1"/>
    <mergeCell ref="H1:L1"/>
    <mergeCell ref="M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1256-DAED-400A-BD65-26ABBBFCB801}">
  <sheetPr>
    <pageSetUpPr fitToPage="1"/>
  </sheetPr>
  <dimension ref="A1:N118"/>
  <sheetViews>
    <sheetView workbookViewId="0">
      <selection activeCell="I125" sqref="I125"/>
    </sheetView>
  </sheetViews>
  <sheetFormatPr defaultColWidth="13.77734375" defaultRowHeight="14.4" x14ac:dyDescent="0.3"/>
  <cols>
    <col min="1" max="1" width="11.109375" style="5" customWidth="1"/>
    <col min="2" max="16384" width="13.77734375" style="5"/>
  </cols>
  <sheetData>
    <row r="1" spans="1:14" x14ac:dyDescent="0.3">
      <c r="A1" s="86" t="s">
        <v>0</v>
      </c>
      <c r="B1" s="88" t="s">
        <v>136</v>
      </c>
      <c r="C1" s="89" t="s">
        <v>124</v>
      </c>
      <c r="D1" s="90"/>
      <c r="E1" s="90"/>
      <c r="F1" s="90"/>
      <c r="G1" s="91"/>
      <c r="H1" s="92" t="s">
        <v>125</v>
      </c>
      <c r="I1" s="93"/>
      <c r="J1" s="93"/>
      <c r="K1" s="93"/>
      <c r="L1" s="94"/>
      <c r="M1" s="95" t="s">
        <v>131</v>
      </c>
    </row>
    <row r="2" spans="1:14" s="11" customFormat="1" ht="28.8" x14ac:dyDescent="0.3">
      <c r="A2" s="86"/>
      <c r="B2" s="88"/>
      <c r="C2" s="62" t="s">
        <v>147</v>
      </c>
      <c r="D2" s="52" t="s">
        <v>137</v>
      </c>
      <c r="E2" s="52" t="s">
        <v>138</v>
      </c>
      <c r="F2" s="52" t="s">
        <v>139</v>
      </c>
      <c r="G2" s="63" t="s">
        <v>149</v>
      </c>
      <c r="H2" s="76" t="s">
        <v>147</v>
      </c>
      <c r="I2" s="53" t="s">
        <v>137</v>
      </c>
      <c r="J2" s="53" t="s">
        <v>138</v>
      </c>
      <c r="K2" s="53" t="s">
        <v>139</v>
      </c>
      <c r="L2" s="77" t="s">
        <v>148</v>
      </c>
      <c r="M2" s="95"/>
    </row>
    <row r="3" spans="1:14" x14ac:dyDescent="0.3">
      <c r="A3" s="44" t="s">
        <v>141</v>
      </c>
      <c r="B3" s="56">
        <v>2109</v>
      </c>
      <c r="C3" s="64">
        <v>0</v>
      </c>
      <c r="D3" s="37">
        <v>0</v>
      </c>
      <c r="E3" s="37">
        <v>0</v>
      </c>
      <c r="F3" s="37">
        <v>0</v>
      </c>
      <c r="G3" s="65">
        <v>0</v>
      </c>
      <c r="H3" s="64">
        <v>7.8851412944393795E-2</v>
      </c>
      <c r="I3" s="37">
        <v>0</v>
      </c>
      <c r="J3" s="37">
        <v>6.7730173199635368E-2</v>
      </c>
      <c r="K3" s="37">
        <v>4.567000911577028E-2</v>
      </c>
      <c r="L3" s="65">
        <v>0.19225159525979946</v>
      </c>
      <c r="M3" s="80">
        <v>0.19225159525979946</v>
      </c>
      <c r="N3" s="35"/>
    </row>
    <row r="4" spans="1:14" hidden="1" x14ac:dyDescent="0.3">
      <c r="A4" s="39" t="s">
        <v>78</v>
      </c>
      <c r="B4" s="57">
        <v>6</v>
      </c>
      <c r="C4" s="66">
        <v>0</v>
      </c>
      <c r="D4" s="41">
        <v>0</v>
      </c>
      <c r="E4" s="41">
        <v>0</v>
      </c>
      <c r="F4" s="41">
        <v>0</v>
      </c>
      <c r="G4" s="67">
        <v>0</v>
      </c>
      <c r="H4" s="66">
        <v>0</v>
      </c>
      <c r="I4" s="41">
        <v>0</v>
      </c>
      <c r="J4" s="41">
        <v>0</v>
      </c>
      <c r="K4" s="41">
        <v>5.4694621695533269E-4</v>
      </c>
      <c r="L4" s="67">
        <v>5.4694621695533269E-4</v>
      </c>
      <c r="M4" s="81">
        <v>5.4694621695533269E-4</v>
      </c>
      <c r="N4" s="35"/>
    </row>
    <row r="5" spans="1:14" hidden="1" x14ac:dyDescent="0.3">
      <c r="A5" s="39" t="s">
        <v>79</v>
      </c>
      <c r="B5" s="57">
        <v>168</v>
      </c>
      <c r="C5" s="66">
        <v>0</v>
      </c>
      <c r="D5" s="41">
        <v>0</v>
      </c>
      <c r="E5" s="41">
        <v>0</v>
      </c>
      <c r="F5" s="41">
        <v>0</v>
      </c>
      <c r="G5" s="67">
        <v>0</v>
      </c>
      <c r="H5" s="66">
        <v>0</v>
      </c>
      <c r="I5" s="41">
        <v>0</v>
      </c>
      <c r="J5" s="41">
        <v>0</v>
      </c>
      <c r="K5" s="41">
        <v>1.5314494074749316E-2</v>
      </c>
      <c r="L5" s="67">
        <v>1.5314494074749316E-2</v>
      </c>
      <c r="M5" s="81">
        <v>1.5314494074749316E-2</v>
      </c>
      <c r="N5" s="35"/>
    </row>
    <row r="6" spans="1:14" hidden="1" x14ac:dyDescent="0.3">
      <c r="A6" s="39" t="s">
        <v>81</v>
      </c>
      <c r="B6" s="57">
        <v>157</v>
      </c>
      <c r="C6" s="66">
        <v>0</v>
      </c>
      <c r="D6" s="41">
        <v>0</v>
      </c>
      <c r="E6" s="41">
        <v>0</v>
      </c>
      <c r="F6" s="41">
        <v>0</v>
      </c>
      <c r="G6" s="67">
        <v>0</v>
      </c>
      <c r="H6" s="66">
        <v>0</v>
      </c>
      <c r="I6" s="41">
        <v>0</v>
      </c>
      <c r="J6" s="41">
        <v>0</v>
      </c>
      <c r="K6" s="41">
        <v>1.431175934366454E-2</v>
      </c>
      <c r="L6" s="67">
        <v>1.431175934366454E-2</v>
      </c>
      <c r="M6" s="81">
        <v>1.431175934366454E-2</v>
      </c>
      <c r="N6" s="35"/>
    </row>
    <row r="7" spans="1:14" hidden="1" x14ac:dyDescent="0.3">
      <c r="A7" s="39" t="s">
        <v>82</v>
      </c>
      <c r="B7" s="57">
        <v>170</v>
      </c>
      <c r="C7" s="66">
        <v>0</v>
      </c>
      <c r="D7" s="41">
        <v>0</v>
      </c>
      <c r="E7" s="41">
        <v>0</v>
      </c>
      <c r="F7" s="41">
        <v>0</v>
      </c>
      <c r="G7" s="67">
        <v>0</v>
      </c>
      <c r="H7" s="66">
        <v>0</v>
      </c>
      <c r="I7" s="41">
        <v>0</v>
      </c>
      <c r="J7" s="41">
        <v>0</v>
      </c>
      <c r="K7" s="41">
        <v>1.5496809480401094E-2</v>
      </c>
      <c r="L7" s="67">
        <v>1.5496809480401094E-2</v>
      </c>
      <c r="M7" s="81">
        <v>1.5496809480401094E-2</v>
      </c>
      <c r="N7" s="35"/>
    </row>
    <row r="8" spans="1:14" hidden="1" x14ac:dyDescent="0.3">
      <c r="A8" s="39" t="s">
        <v>83</v>
      </c>
      <c r="B8" s="57">
        <v>169</v>
      </c>
      <c r="C8" s="66">
        <v>0</v>
      </c>
      <c r="D8" s="41">
        <v>0</v>
      </c>
      <c r="E8" s="41">
        <v>0</v>
      </c>
      <c r="F8" s="41">
        <v>0</v>
      </c>
      <c r="G8" s="67">
        <v>0</v>
      </c>
      <c r="H8" s="66">
        <v>1.5405651777575205E-2</v>
      </c>
      <c r="I8" s="41">
        <v>0</v>
      </c>
      <c r="J8" s="41">
        <v>0</v>
      </c>
      <c r="K8" s="41">
        <v>0</v>
      </c>
      <c r="L8" s="67">
        <v>1.5405651777575205E-2</v>
      </c>
      <c r="M8" s="81">
        <v>1.5405651777575205E-2</v>
      </c>
      <c r="N8" s="35"/>
    </row>
    <row r="9" spans="1:14" hidden="1" x14ac:dyDescent="0.3">
      <c r="A9" s="39" t="s">
        <v>84</v>
      </c>
      <c r="B9" s="57">
        <v>171</v>
      </c>
      <c r="C9" s="66">
        <v>0</v>
      </c>
      <c r="D9" s="41">
        <v>0</v>
      </c>
      <c r="E9" s="41">
        <v>0</v>
      </c>
      <c r="F9" s="41">
        <v>0</v>
      </c>
      <c r="G9" s="67">
        <v>0</v>
      </c>
      <c r="H9" s="66">
        <v>1.5587967183226983E-2</v>
      </c>
      <c r="I9" s="41">
        <v>0</v>
      </c>
      <c r="J9" s="41">
        <v>0</v>
      </c>
      <c r="K9" s="41">
        <v>0</v>
      </c>
      <c r="L9" s="67">
        <v>1.5587967183226983E-2</v>
      </c>
      <c r="M9" s="81">
        <v>1.5587967183226983E-2</v>
      </c>
      <c r="N9" s="35"/>
    </row>
    <row r="10" spans="1:14" hidden="1" x14ac:dyDescent="0.3">
      <c r="A10" s="39" t="s">
        <v>85</v>
      </c>
      <c r="B10" s="57">
        <v>67</v>
      </c>
      <c r="C10" s="66">
        <v>0</v>
      </c>
      <c r="D10" s="41">
        <v>0</v>
      </c>
      <c r="E10" s="41">
        <v>0</v>
      </c>
      <c r="F10" s="41">
        <v>0</v>
      </c>
      <c r="G10" s="67">
        <v>0</v>
      </c>
      <c r="H10" s="66">
        <v>6.1075660893345485E-3</v>
      </c>
      <c r="I10" s="41">
        <v>0</v>
      </c>
      <c r="J10" s="41">
        <v>0</v>
      </c>
      <c r="K10" s="41">
        <v>0</v>
      </c>
      <c r="L10" s="67">
        <v>6.1075660893345485E-3</v>
      </c>
      <c r="M10" s="81">
        <v>6.1075660893345485E-3</v>
      </c>
      <c r="N10" s="35"/>
    </row>
    <row r="11" spans="1:14" hidden="1" x14ac:dyDescent="0.3">
      <c r="A11" s="39" t="s">
        <v>86</v>
      </c>
      <c r="B11" s="57">
        <v>154</v>
      </c>
      <c r="C11" s="66">
        <v>0</v>
      </c>
      <c r="D11" s="41">
        <v>0</v>
      </c>
      <c r="E11" s="41">
        <v>0</v>
      </c>
      <c r="F11" s="41">
        <v>0</v>
      </c>
      <c r="G11" s="67">
        <v>0</v>
      </c>
      <c r="H11" s="66">
        <v>1.4038286235186874E-2</v>
      </c>
      <c r="I11" s="41">
        <v>0</v>
      </c>
      <c r="J11" s="41">
        <v>0</v>
      </c>
      <c r="K11" s="41">
        <v>0</v>
      </c>
      <c r="L11" s="67">
        <v>1.4038286235186874E-2</v>
      </c>
      <c r="M11" s="81">
        <v>1.4038286235186874E-2</v>
      </c>
      <c r="N11" s="35"/>
    </row>
    <row r="12" spans="1:14" hidden="1" x14ac:dyDescent="0.3">
      <c r="A12" s="39" t="s">
        <v>87</v>
      </c>
      <c r="B12" s="57">
        <v>139</v>
      </c>
      <c r="C12" s="66">
        <v>0</v>
      </c>
      <c r="D12" s="41">
        <v>0</v>
      </c>
      <c r="E12" s="41">
        <v>0</v>
      </c>
      <c r="F12" s="41">
        <v>0</v>
      </c>
      <c r="G12" s="67">
        <v>0</v>
      </c>
      <c r="H12" s="66">
        <v>1.2670920692798541E-2</v>
      </c>
      <c r="I12" s="41">
        <v>0</v>
      </c>
      <c r="J12" s="41">
        <v>0</v>
      </c>
      <c r="K12" s="41">
        <v>0</v>
      </c>
      <c r="L12" s="67">
        <v>1.2670920692798541E-2</v>
      </c>
      <c r="M12" s="81">
        <v>1.2670920692798541E-2</v>
      </c>
      <c r="N12" s="35"/>
    </row>
    <row r="13" spans="1:14" hidden="1" x14ac:dyDescent="0.3">
      <c r="A13" s="39" t="s">
        <v>88</v>
      </c>
      <c r="B13" s="57">
        <v>165</v>
      </c>
      <c r="C13" s="66">
        <v>0</v>
      </c>
      <c r="D13" s="41">
        <v>0</v>
      </c>
      <c r="E13" s="41">
        <v>0</v>
      </c>
      <c r="F13" s="41">
        <v>0</v>
      </c>
      <c r="G13" s="67">
        <v>0</v>
      </c>
      <c r="H13" s="66">
        <v>1.504102096627165E-2</v>
      </c>
      <c r="I13" s="41">
        <v>0</v>
      </c>
      <c r="J13" s="41">
        <v>0</v>
      </c>
      <c r="K13" s="41">
        <v>0</v>
      </c>
      <c r="L13" s="67">
        <v>1.504102096627165E-2</v>
      </c>
      <c r="M13" s="81">
        <v>1.504102096627165E-2</v>
      </c>
      <c r="N13" s="35"/>
    </row>
    <row r="14" spans="1:14" hidden="1" x14ac:dyDescent="0.3">
      <c r="A14" s="39" t="s">
        <v>89</v>
      </c>
      <c r="B14" s="57">
        <v>158</v>
      </c>
      <c r="C14" s="66">
        <v>0</v>
      </c>
      <c r="D14" s="41">
        <v>0</v>
      </c>
      <c r="E14" s="41">
        <v>0</v>
      </c>
      <c r="F14" s="41">
        <v>0</v>
      </c>
      <c r="G14" s="67">
        <v>0</v>
      </c>
      <c r="H14" s="66">
        <v>0</v>
      </c>
      <c r="I14" s="41">
        <v>0</v>
      </c>
      <c r="J14" s="41">
        <v>1.4402917046490429E-2</v>
      </c>
      <c r="K14" s="41">
        <v>0</v>
      </c>
      <c r="L14" s="67">
        <v>1.4402917046490429E-2</v>
      </c>
      <c r="M14" s="81">
        <v>1.4402917046490429E-2</v>
      </c>
      <c r="N14" s="35"/>
    </row>
    <row r="15" spans="1:14" hidden="1" x14ac:dyDescent="0.3">
      <c r="A15" s="39" t="s">
        <v>90</v>
      </c>
      <c r="B15" s="57">
        <v>143</v>
      </c>
      <c r="C15" s="66">
        <v>0</v>
      </c>
      <c r="D15" s="41">
        <v>0</v>
      </c>
      <c r="E15" s="41">
        <v>0</v>
      </c>
      <c r="F15" s="41">
        <v>0</v>
      </c>
      <c r="G15" s="67">
        <v>0</v>
      </c>
      <c r="H15" s="66">
        <v>0</v>
      </c>
      <c r="I15" s="41">
        <v>0</v>
      </c>
      <c r="J15" s="41">
        <v>1.3035551504102096E-2</v>
      </c>
      <c r="K15" s="41">
        <v>0</v>
      </c>
      <c r="L15" s="67">
        <v>1.3035551504102096E-2</v>
      </c>
      <c r="M15" s="81">
        <v>1.3035551504102096E-2</v>
      </c>
      <c r="N15" s="35"/>
    </row>
    <row r="16" spans="1:14" hidden="1" x14ac:dyDescent="0.3">
      <c r="A16" s="39" t="s">
        <v>91</v>
      </c>
      <c r="B16" s="57">
        <v>167</v>
      </c>
      <c r="C16" s="66">
        <v>0</v>
      </c>
      <c r="D16" s="41">
        <v>0</v>
      </c>
      <c r="E16" s="41">
        <v>0</v>
      </c>
      <c r="F16" s="41">
        <v>0</v>
      </c>
      <c r="G16" s="67">
        <v>0</v>
      </c>
      <c r="H16" s="66">
        <v>0</v>
      </c>
      <c r="I16" s="41">
        <v>0</v>
      </c>
      <c r="J16" s="41">
        <v>1.5223336371923428E-2</v>
      </c>
      <c r="K16" s="41">
        <v>0</v>
      </c>
      <c r="L16" s="67">
        <v>1.5223336371923428E-2</v>
      </c>
      <c r="M16" s="81">
        <v>1.5223336371923428E-2</v>
      </c>
      <c r="N16" s="35"/>
    </row>
    <row r="17" spans="1:14" hidden="1" x14ac:dyDescent="0.3">
      <c r="A17" s="39" t="s">
        <v>92</v>
      </c>
      <c r="B17" s="57">
        <v>130</v>
      </c>
      <c r="C17" s="66">
        <v>0</v>
      </c>
      <c r="D17" s="41">
        <v>0</v>
      </c>
      <c r="E17" s="41">
        <v>0</v>
      </c>
      <c r="F17" s="41">
        <v>0</v>
      </c>
      <c r="G17" s="67">
        <v>0</v>
      </c>
      <c r="H17" s="66">
        <v>0</v>
      </c>
      <c r="I17" s="41">
        <v>0</v>
      </c>
      <c r="J17" s="41">
        <v>1.1850501367365542E-2</v>
      </c>
      <c r="K17" s="41">
        <v>0</v>
      </c>
      <c r="L17" s="67">
        <v>1.1850501367365542E-2</v>
      </c>
      <c r="M17" s="81">
        <v>1.1850501367365542E-2</v>
      </c>
      <c r="N17" s="35"/>
    </row>
    <row r="18" spans="1:14" hidden="1" x14ac:dyDescent="0.3">
      <c r="A18" s="39" t="s">
        <v>93</v>
      </c>
      <c r="B18" s="57">
        <v>145</v>
      </c>
      <c r="C18" s="66">
        <v>0</v>
      </c>
      <c r="D18" s="41">
        <v>0</v>
      </c>
      <c r="E18" s="41">
        <v>0</v>
      </c>
      <c r="F18" s="41">
        <v>0</v>
      </c>
      <c r="G18" s="67">
        <v>0</v>
      </c>
      <c r="H18" s="66">
        <v>0</v>
      </c>
      <c r="I18" s="41">
        <v>0</v>
      </c>
      <c r="J18" s="41">
        <v>1.3217866909753875E-2</v>
      </c>
      <c r="K18" s="41">
        <v>0</v>
      </c>
      <c r="L18" s="67">
        <v>1.3217866909753875E-2</v>
      </c>
      <c r="M18" s="81">
        <v>1.3217866909753875E-2</v>
      </c>
      <c r="N18" s="35"/>
    </row>
    <row r="19" spans="1:14" x14ac:dyDescent="0.3">
      <c r="A19" s="43" t="s">
        <v>142</v>
      </c>
      <c r="B19" s="57">
        <v>1811</v>
      </c>
      <c r="C19" s="66">
        <v>3.7465815861440294E-2</v>
      </c>
      <c r="D19" s="41">
        <v>0</v>
      </c>
      <c r="E19" s="41">
        <v>7.019143117593437E-3</v>
      </c>
      <c r="F19" s="41">
        <v>4.3299908842297175E-2</v>
      </c>
      <c r="G19" s="67">
        <v>8.7784867821330909E-2</v>
      </c>
      <c r="H19" s="66">
        <v>3.4001823154056518E-2</v>
      </c>
      <c r="I19" s="41">
        <v>0</v>
      </c>
      <c r="J19" s="41">
        <v>9.9361896080218774E-3</v>
      </c>
      <c r="K19" s="41">
        <v>3.3363719234275294E-2</v>
      </c>
      <c r="L19" s="67">
        <v>7.7301731996353693E-2</v>
      </c>
      <c r="M19" s="81">
        <v>0.16508659981768459</v>
      </c>
      <c r="N19" s="35"/>
    </row>
    <row r="20" spans="1:14" hidden="1" x14ac:dyDescent="0.3">
      <c r="A20" s="39" t="s">
        <v>16</v>
      </c>
      <c r="B20" s="57">
        <v>111</v>
      </c>
      <c r="C20" s="66">
        <v>0</v>
      </c>
      <c r="D20" s="41">
        <v>0</v>
      </c>
      <c r="E20" s="41">
        <v>0</v>
      </c>
      <c r="F20" s="41">
        <v>1.0118505013673656E-2</v>
      </c>
      <c r="G20" s="67">
        <v>1.0118505013673656E-2</v>
      </c>
      <c r="H20" s="66">
        <v>0</v>
      </c>
      <c r="I20" s="41">
        <v>0</v>
      </c>
      <c r="J20" s="41">
        <v>0</v>
      </c>
      <c r="K20" s="41">
        <v>0</v>
      </c>
      <c r="L20" s="67">
        <v>0</v>
      </c>
      <c r="M20" s="81">
        <v>1.0118505013673656E-2</v>
      </c>
      <c r="N20" s="35"/>
    </row>
    <row r="21" spans="1:14" hidden="1" x14ac:dyDescent="0.3">
      <c r="A21" s="39" t="s">
        <v>17</v>
      </c>
      <c r="B21" s="57">
        <v>97</v>
      </c>
      <c r="C21" s="66">
        <v>0</v>
      </c>
      <c r="D21" s="41">
        <v>0</v>
      </c>
      <c r="E21" s="41">
        <v>0</v>
      </c>
      <c r="F21" s="41">
        <v>8.8422971741112123E-3</v>
      </c>
      <c r="G21" s="67">
        <v>8.8422971741112123E-3</v>
      </c>
      <c r="H21" s="66">
        <v>0</v>
      </c>
      <c r="I21" s="41">
        <v>0</v>
      </c>
      <c r="J21" s="41">
        <v>0</v>
      </c>
      <c r="K21" s="41">
        <v>0</v>
      </c>
      <c r="L21" s="67">
        <v>0</v>
      </c>
      <c r="M21" s="81">
        <v>8.8422971741112123E-3</v>
      </c>
      <c r="N21" s="35"/>
    </row>
    <row r="22" spans="1:14" hidden="1" x14ac:dyDescent="0.3">
      <c r="A22" s="39" t="s">
        <v>18</v>
      </c>
      <c r="B22" s="57">
        <v>151</v>
      </c>
      <c r="C22" s="66">
        <v>0</v>
      </c>
      <c r="D22" s="41">
        <v>0</v>
      </c>
      <c r="E22" s="41">
        <v>0</v>
      </c>
      <c r="F22" s="41">
        <v>1.3764813126709206E-2</v>
      </c>
      <c r="G22" s="67">
        <v>1.3764813126709206E-2</v>
      </c>
      <c r="H22" s="66">
        <v>0</v>
      </c>
      <c r="I22" s="41">
        <v>0</v>
      </c>
      <c r="J22" s="41">
        <v>0</v>
      </c>
      <c r="K22" s="41">
        <v>0</v>
      </c>
      <c r="L22" s="67">
        <v>0</v>
      </c>
      <c r="M22" s="81">
        <v>1.3764813126709206E-2</v>
      </c>
      <c r="N22" s="35"/>
    </row>
    <row r="23" spans="1:14" hidden="1" x14ac:dyDescent="0.3">
      <c r="A23" s="39" t="s">
        <v>19</v>
      </c>
      <c r="B23" s="57">
        <v>116</v>
      </c>
      <c r="C23" s="66">
        <v>0</v>
      </c>
      <c r="D23" s="41">
        <v>0</v>
      </c>
      <c r="E23" s="41">
        <v>0</v>
      </c>
      <c r="F23" s="41">
        <v>1.05742935278031E-2</v>
      </c>
      <c r="G23" s="67">
        <v>1.05742935278031E-2</v>
      </c>
      <c r="H23" s="66">
        <v>0</v>
      </c>
      <c r="I23" s="41">
        <v>0</v>
      </c>
      <c r="J23" s="41">
        <v>0</v>
      </c>
      <c r="K23" s="41">
        <v>0</v>
      </c>
      <c r="L23" s="67">
        <v>0</v>
      </c>
      <c r="M23" s="81">
        <v>1.05742935278031E-2</v>
      </c>
      <c r="N23" s="35"/>
    </row>
    <row r="24" spans="1:14" hidden="1" x14ac:dyDescent="0.3">
      <c r="A24" s="39" t="s">
        <v>20</v>
      </c>
      <c r="B24" s="57">
        <v>195</v>
      </c>
      <c r="C24" s="66">
        <v>0</v>
      </c>
      <c r="D24" s="41">
        <v>0</v>
      </c>
      <c r="E24" s="41">
        <v>0</v>
      </c>
      <c r="F24" s="41">
        <v>0</v>
      </c>
      <c r="G24" s="67">
        <v>0</v>
      </c>
      <c r="H24" s="66">
        <v>0</v>
      </c>
      <c r="I24" s="41">
        <v>0</v>
      </c>
      <c r="J24" s="41">
        <v>0</v>
      </c>
      <c r="K24" s="41">
        <v>1.7775752051048314E-2</v>
      </c>
      <c r="L24" s="67">
        <v>1.7775752051048314E-2</v>
      </c>
      <c r="M24" s="81">
        <v>1.7775752051048314E-2</v>
      </c>
      <c r="N24" s="35"/>
    </row>
    <row r="25" spans="1:14" hidden="1" x14ac:dyDescent="0.3">
      <c r="A25" s="39" t="s">
        <v>21</v>
      </c>
      <c r="B25" s="57">
        <v>171</v>
      </c>
      <c r="C25" s="66">
        <v>0</v>
      </c>
      <c r="D25" s="41">
        <v>0</v>
      </c>
      <c r="E25" s="41">
        <v>0</v>
      </c>
      <c r="F25" s="41">
        <v>0</v>
      </c>
      <c r="G25" s="67">
        <v>0</v>
      </c>
      <c r="H25" s="66">
        <v>0</v>
      </c>
      <c r="I25" s="41">
        <v>0</v>
      </c>
      <c r="J25" s="41">
        <v>0</v>
      </c>
      <c r="K25" s="41">
        <v>1.5587967183226983E-2</v>
      </c>
      <c r="L25" s="67">
        <v>1.5587967183226983E-2</v>
      </c>
      <c r="M25" s="81">
        <v>1.5587967183226983E-2</v>
      </c>
      <c r="N25" s="35"/>
    </row>
    <row r="26" spans="1:14" hidden="1" x14ac:dyDescent="0.3">
      <c r="A26" s="39" t="s">
        <v>22</v>
      </c>
      <c r="B26" s="57">
        <v>78</v>
      </c>
      <c r="C26" s="66">
        <v>0</v>
      </c>
      <c r="D26" s="41">
        <v>0</v>
      </c>
      <c r="E26" s="41">
        <v>0</v>
      </c>
      <c r="F26" s="41">
        <v>0</v>
      </c>
      <c r="G26" s="67">
        <v>0</v>
      </c>
      <c r="H26" s="66">
        <v>7.1103008204193253E-3</v>
      </c>
      <c r="I26" s="41">
        <v>0</v>
      </c>
      <c r="J26" s="41">
        <v>0</v>
      </c>
      <c r="K26" s="41">
        <v>0</v>
      </c>
      <c r="L26" s="67">
        <v>7.1103008204193253E-3</v>
      </c>
      <c r="M26" s="81">
        <v>7.1103008204193253E-3</v>
      </c>
      <c r="N26" s="35"/>
    </row>
    <row r="27" spans="1:14" hidden="1" x14ac:dyDescent="0.3">
      <c r="A27" s="39" t="s">
        <v>23</v>
      </c>
      <c r="B27" s="57">
        <v>153</v>
      </c>
      <c r="C27" s="66">
        <v>0</v>
      </c>
      <c r="D27" s="41">
        <v>0</v>
      </c>
      <c r="E27" s="41">
        <v>0</v>
      </c>
      <c r="F27" s="41">
        <v>0</v>
      </c>
      <c r="G27" s="67">
        <v>0</v>
      </c>
      <c r="H27" s="66">
        <v>1.3947128532360985E-2</v>
      </c>
      <c r="I27" s="41">
        <v>0</v>
      </c>
      <c r="J27" s="41">
        <v>0</v>
      </c>
      <c r="K27" s="41">
        <v>0</v>
      </c>
      <c r="L27" s="67">
        <v>1.3947128532360985E-2</v>
      </c>
      <c r="M27" s="81">
        <v>1.3947128532360985E-2</v>
      </c>
      <c r="N27" s="35"/>
    </row>
    <row r="28" spans="1:14" hidden="1" x14ac:dyDescent="0.3">
      <c r="A28" s="39" t="s">
        <v>24</v>
      </c>
      <c r="B28" s="57">
        <v>85</v>
      </c>
      <c r="C28" s="66">
        <v>7.7484047402005471E-3</v>
      </c>
      <c r="D28" s="41">
        <v>0</v>
      </c>
      <c r="E28" s="41">
        <v>0</v>
      </c>
      <c r="F28" s="41">
        <v>0</v>
      </c>
      <c r="G28" s="67">
        <v>7.7484047402005471E-3</v>
      </c>
      <c r="H28" s="66">
        <v>0</v>
      </c>
      <c r="I28" s="41">
        <v>0</v>
      </c>
      <c r="J28" s="41">
        <v>0</v>
      </c>
      <c r="K28" s="41">
        <v>0</v>
      </c>
      <c r="L28" s="67">
        <v>0</v>
      </c>
      <c r="M28" s="81">
        <v>7.7484047402005471E-3</v>
      </c>
      <c r="N28" s="35"/>
    </row>
    <row r="29" spans="1:14" hidden="1" x14ac:dyDescent="0.3">
      <c r="A29" s="39" t="s">
        <v>25</v>
      </c>
      <c r="B29" s="57">
        <v>172</v>
      </c>
      <c r="C29" s="66">
        <v>1.5679124886052873E-2</v>
      </c>
      <c r="D29" s="41">
        <v>0</v>
      </c>
      <c r="E29" s="41">
        <v>0</v>
      </c>
      <c r="F29" s="41">
        <v>0</v>
      </c>
      <c r="G29" s="67">
        <v>1.5679124886052873E-2</v>
      </c>
      <c r="H29" s="66">
        <v>0</v>
      </c>
      <c r="I29" s="41">
        <v>0</v>
      </c>
      <c r="J29" s="41">
        <v>0</v>
      </c>
      <c r="K29" s="41">
        <v>0</v>
      </c>
      <c r="L29" s="67">
        <v>0</v>
      </c>
      <c r="M29" s="81">
        <v>1.5679124886052873E-2</v>
      </c>
      <c r="N29" s="35"/>
    </row>
    <row r="30" spans="1:14" hidden="1" x14ac:dyDescent="0.3">
      <c r="A30" s="39" t="s">
        <v>26</v>
      </c>
      <c r="B30" s="57">
        <v>154</v>
      </c>
      <c r="C30" s="66">
        <v>1.4038286235186874E-2</v>
      </c>
      <c r="D30" s="41">
        <v>0</v>
      </c>
      <c r="E30" s="41">
        <v>0</v>
      </c>
      <c r="F30" s="41">
        <v>0</v>
      </c>
      <c r="G30" s="67">
        <v>1.4038286235186874E-2</v>
      </c>
      <c r="H30" s="66">
        <v>0</v>
      </c>
      <c r="I30" s="41">
        <v>0</v>
      </c>
      <c r="J30" s="41">
        <v>0</v>
      </c>
      <c r="K30" s="41">
        <v>0</v>
      </c>
      <c r="L30" s="67">
        <v>0</v>
      </c>
      <c r="M30" s="81">
        <v>1.4038286235186874E-2</v>
      </c>
      <c r="N30" s="35"/>
    </row>
    <row r="31" spans="1:14" hidden="1" x14ac:dyDescent="0.3">
      <c r="A31" s="39" t="s">
        <v>27</v>
      </c>
      <c r="B31" s="57">
        <v>142</v>
      </c>
      <c r="C31" s="66">
        <v>0</v>
      </c>
      <c r="D31" s="41">
        <v>0</v>
      </c>
      <c r="E31" s="41">
        <v>0</v>
      </c>
      <c r="F31" s="41">
        <v>0</v>
      </c>
      <c r="G31" s="67">
        <v>0</v>
      </c>
      <c r="H31" s="66">
        <v>1.2944393801276207E-2</v>
      </c>
      <c r="I31" s="41">
        <v>0</v>
      </c>
      <c r="J31" s="41">
        <v>0</v>
      </c>
      <c r="K31" s="41">
        <v>0</v>
      </c>
      <c r="L31" s="67">
        <v>1.2944393801276207E-2</v>
      </c>
      <c r="M31" s="81">
        <v>1.2944393801276207E-2</v>
      </c>
      <c r="N31" s="35"/>
    </row>
    <row r="32" spans="1:14" hidden="1" x14ac:dyDescent="0.3">
      <c r="A32" s="39" t="s">
        <v>28</v>
      </c>
      <c r="B32" s="57">
        <v>24</v>
      </c>
      <c r="C32" s="66">
        <v>0</v>
      </c>
      <c r="D32" s="41">
        <v>0</v>
      </c>
      <c r="E32" s="41">
        <v>2.1877848678213308E-3</v>
      </c>
      <c r="F32" s="41">
        <v>0</v>
      </c>
      <c r="G32" s="67">
        <v>2.1877848678213308E-3</v>
      </c>
      <c r="H32" s="66">
        <v>0</v>
      </c>
      <c r="I32" s="41">
        <v>0</v>
      </c>
      <c r="J32" s="41">
        <v>0</v>
      </c>
      <c r="K32" s="41">
        <v>0</v>
      </c>
      <c r="L32" s="67">
        <v>0</v>
      </c>
      <c r="M32" s="81">
        <v>2.1877848678213308E-3</v>
      </c>
      <c r="N32" s="35"/>
    </row>
    <row r="33" spans="1:14" hidden="1" x14ac:dyDescent="0.3">
      <c r="A33" s="39" t="s">
        <v>29</v>
      </c>
      <c r="B33" s="57">
        <v>39</v>
      </c>
      <c r="C33" s="66">
        <v>0</v>
      </c>
      <c r="D33" s="41">
        <v>0</v>
      </c>
      <c r="E33" s="41">
        <v>3.5551504102096627E-3</v>
      </c>
      <c r="F33" s="41">
        <v>0</v>
      </c>
      <c r="G33" s="67">
        <v>3.5551504102096627E-3</v>
      </c>
      <c r="H33" s="66">
        <v>0</v>
      </c>
      <c r="I33" s="41">
        <v>0</v>
      </c>
      <c r="J33" s="41">
        <v>0</v>
      </c>
      <c r="K33" s="41">
        <v>0</v>
      </c>
      <c r="L33" s="67">
        <v>0</v>
      </c>
      <c r="M33" s="81">
        <v>3.5551504102096627E-3</v>
      </c>
      <c r="N33" s="35"/>
    </row>
    <row r="34" spans="1:14" hidden="1" x14ac:dyDescent="0.3">
      <c r="A34" s="39" t="s">
        <v>30</v>
      </c>
      <c r="B34" s="57">
        <v>109</v>
      </c>
      <c r="C34" s="66">
        <v>0</v>
      </c>
      <c r="D34" s="41">
        <v>0</v>
      </c>
      <c r="E34" s="41">
        <v>0</v>
      </c>
      <c r="F34" s="41">
        <v>0</v>
      </c>
      <c r="G34" s="67">
        <v>0</v>
      </c>
      <c r="H34" s="66">
        <v>0</v>
      </c>
      <c r="I34" s="41">
        <v>0</v>
      </c>
      <c r="J34" s="41">
        <v>9.9361896080218774E-3</v>
      </c>
      <c r="K34" s="41">
        <v>0</v>
      </c>
      <c r="L34" s="67">
        <v>9.9361896080218774E-3</v>
      </c>
      <c r="M34" s="81">
        <v>9.9361896080218774E-3</v>
      </c>
      <c r="N34" s="35"/>
    </row>
    <row r="35" spans="1:14" hidden="1" x14ac:dyDescent="0.3">
      <c r="A35" s="39" t="s">
        <v>31</v>
      </c>
      <c r="B35" s="57">
        <v>14</v>
      </c>
      <c r="C35" s="66">
        <v>0</v>
      </c>
      <c r="D35" s="41">
        <v>0</v>
      </c>
      <c r="E35" s="41">
        <v>1.2762078395624431E-3</v>
      </c>
      <c r="F35" s="41">
        <v>0</v>
      </c>
      <c r="G35" s="67">
        <v>1.2762078395624431E-3</v>
      </c>
      <c r="H35" s="66">
        <v>0</v>
      </c>
      <c r="I35" s="41">
        <v>0</v>
      </c>
      <c r="J35" s="41">
        <v>0</v>
      </c>
      <c r="K35" s="41">
        <v>0</v>
      </c>
      <c r="L35" s="67">
        <v>0</v>
      </c>
      <c r="M35" s="81">
        <v>1.2762078395624431E-3</v>
      </c>
      <c r="N35" s="35"/>
    </row>
    <row r="36" spans="1:14" x14ac:dyDescent="0.3">
      <c r="A36" s="43" t="s">
        <v>143</v>
      </c>
      <c r="B36" s="57">
        <v>1153</v>
      </c>
      <c r="C36" s="66">
        <v>1.431175934366454E-2</v>
      </c>
      <c r="D36" s="41">
        <v>0</v>
      </c>
      <c r="E36" s="41">
        <v>9.0793072014585238E-2</v>
      </c>
      <c r="F36" s="41">
        <v>0</v>
      </c>
      <c r="G36" s="67">
        <v>0.10510483135824977</v>
      </c>
      <c r="H36" s="66">
        <v>0</v>
      </c>
      <c r="I36" s="41">
        <v>0</v>
      </c>
      <c r="J36" s="41">
        <v>0</v>
      </c>
      <c r="K36" s="41">
        <v>0</v>
      </c>
      <c r="L36" s="67">
        <v>0</v>
      </c>
      <c r="M36" s="81">
        <v>0.10510483135824977</v>
      </c>
      <c r="N36" s="35"/>
    </row>
    <row r="37" spans="1:14" hidden="1" x14ac:dyDescent="0.3">
      <c r="A37" s="39" t="s">
        <v>32</v>
      </c>
      <c r="B37" s="57">
        <v>157</v>
      </c>
      <c r="C37" s="66">
        <v>1.431175934366454E-2</v>
      </c>
      <c r="D37" s="41">
        <v>0</v>
      </c>
      <c r="E37" s="41">
        <v>0</v>
      </c>
      <c r="F37" s="41">
        <v>0</v>
      </c>
      <c r="G37" s="67">
        <v>1.431175934366454E-2</v>
      </c>
      <c r="H37" s="66">
        <v>0</v>
      </c>
      <c r="I37" s="41">
        <v>0</v>
      </c>
      <c r="J37" s="41">
        <v>0</v>
      </c>
      <c r="K37" s="41">
        <v>0</v>
      </c>
      <c r="L37" s="67">
        <v>0</v>
      </c>
      <c r="M37" s="81">
        <v>1.431175934366454E-2</v>
      </c>
      <c r="N37" s="35"/>
    </row>
    <row r="38" spans="1:14" hidden="1" x14ac:dyDescent="0.3">
      <c r="A38" s="39" t="s">
        <v>33</v>
      </c>
      <c r="B38" s="57">
        <v>108</v>
      </c>
      <c r="C38" s="66">
        <v>0</v>
      </c>
      <c r="D38" s="41">
        <v>0</v>
      </c>
      <c r="E38" s="41">
        <v>9.8450319051959882E-3</v>
      </c>
      <c r="F38" s="41">
        <v>0</v>
      </c>
      <c r="G38" s="67">
        <v>9.8450319051959882E-3</v>
      </c>
      <c r="H38" s="66">
        <v>0</v>
      </c>
      <c r="I38" s="41">
        <v>0</v>
      </c>
      <c r="J38" s="41">
        <v>0</v>
      </c>
      <c r="K38" s="41">
        <v>0</v>
      </c>
      <c r="L38" s="67">
        <v>0</v>
      </c>
      <c r="M38" s="81">
        <v>9.8450319051959882E-3</v>
      </c>
      <c r="N38" s="35"/>
    </row>
    <row r="39" spans="1:14" hidden="1" x14ac:dyDescent="0.3">
      <c r="A39" s="39" t="s">
        <v>34</v>
      </c>
      <c r="B39" s="57">
        <v>130</v>
      </c>
      <c r="C39" s="66">
        <v>0</v>
      </c>
      <c r="D39" s="41">
        <v>0</v>
      </c>
      <c r="E39" s="41">
        <v>1.1850501367365542E-2</v>
      </c>
      <c r="F39" s="41">
        <v>0</v>
      </c>
      <c r="G39" s="67">
        <v>1.1850501367365542E-2</v>
      </c>
      <c r="H39" s="66">
        <v>0</v>
      </c>
      <c r="I39" s="41">
        <v>0</v>
      </c>
      <c r="J39" s="41">
        <v>0</v>
      </c>
      <c r="K39" s="41">
        <v>0</v>
      </c>
      <c r="L39" s="67">
        <v>0</v>
      </c>
      <c r="M39" s="81">
        <v>1.1850501367365542E-2</v>
      </c>
      <c r="N39" s="35"/>
    </row>
    <row r="40" spans="1:14" hidden="1" x14ac:dyDescent="0.3">
      <c r="A40" s="39" t="s">
        <v>35</v>
      </c>
      <c r="B40" s="57">
        <v>115</v>
      </c>
      <c r="C40" s="66">
        <v>0</v>
      </c>
      <c r="D40" s="41">
        <v>0</v>
      </c>
      <c r="E40" s="41">
        <v>1.0483135824977211E-2</v>
      </c>
      <c r="F40" s="41">
        <v>0</v>
      </c>
      <c r="G40" s="67">
        <v>1.0483135824977211E-2</v>
      </c>
      <c r="H40" s="66">
        <v>0</v>
      </c>
      <c r="I40" s="41">
        <v>0</v>
      </c>
      <c r="J40" s="41">
        <v>0</v>
      </c>
      <c r="K40" s="41">
        <v>0</v>
      </c>
      <c r="L40" s="67">
        <v>0</v>
      </c>
      <c r="M40" s="81">
        <v>1.0483135824977211E-2</v>
      </c>
      <c r="N40" s="35"/>
    </row>
    <row r="41" spans="1:14" hidden="1" x14ac:dyDescent="0.3">
      <c r="A41" s="39" t="s">
        <v>36</v>
      </c>
      <c r="B41" s="57">
        <v>127</v>
      </c>
      <c r="C41" s="66">
        <v>0</v>
      </c>
      <c r="D41" s="41">
        <v>0</v>
      </c>
      <c r="E41" s="41">
        <v>1.1577028258887876E-2</v>
      </c>
      <c r="F41" s="41">
        <v>0</v>
      </c>
      <c r="G41" s="67">
        <v>1.1577028258887876E-2</v>
      </c>
      <c r="H41" s="66">
        <v>0</v>
      </c>
      <c r="I41" s="41">
        <v>0</v>
      </c>
      <c r="J41" s="41">
        <v>0</v>
      </c>
      <c r="K41" s="41">
        <v>0</v>
      </c>
      <c r="L41" s="67">
        <v>0</v>
      </c>
      <c r="M41" s="81">
        <v>1.1577028258887876E-2</v>
      </c>
      <c r="N41" s="35"/>
    </row>
    <row r="42" spans="1:14" hidden="1" x14ac:dyDescent="0.3">
      <c r="A42" s="39" t="s">
        <v>37</v>
      </c>
      <c r="B42" s="57">
        <v>128</v>
      </c>
      <c r="C42" s="66">
        <v>0</v>
      </c>
      <c r="D42" s="41">
        <v>0</v>
      </c>
      <c r="E42" s="41">
        <v>1.1668185961713765E-2</v>
      </c>
      <c r="F42" s="41">
        <v>0</v>
      </c>
      <c r="G42" s="67">
        <v>1.1668185961713765E-2</v>
      </c>
      <c r="H42" s="66">
        <v>0</v>
      </c>
      <c r="I42" s="41">
        <v>0</v>
      </c>
      <c r="J42" s="41">
        <v>0</v>
      </c>
      <c r="K42" s="41">
        <v>0</v>
      </c>
      <c r="L42" s="67">
        <v>0</v>
      </c>
      <c r="M42" s="81">
        <v>1.1668185961713765E-2</v>
      </c>
      <c r="N42" s="35"/>
    </row>
    <row r="43" spans="1:14" hidden="1" x14ac:dyDescent="0.3">
      <c r="A43" s="39" t="s">
        <v>38</v>
      </c>
      <c r="B43" s="57">
        <v>122</v>
      </c>
      <c r="C43" s="66">
        <v>0</v>
      </c>
      <c r="D43" s="41">
        <v>0</v>
      </c>
      <c r="E43" s="41">
        <v>1.1121239744758432E-2</v>
      </c>
      <c r="F43" s="41">
        <v>0</v>
      </c>
      <c r="G43" s="67">
        <v>1.1121239744758432E-2</v>
      </c>
      <c r="H43" s="66">
        <v>0</v>
      </c>
      <c r="I43" s="41">
        <v>0</v>
      </c>
      <c r="J43" s="41">
        <v>0</v>
      </c>
      <c r="K43" s="41">
        <v>0</v>
      </c>
      <c r="L43" s="67">
        <v>0</v>
      </c>
      <c r="M43" s="81">
        <v>1.1121239744758432E-2</v>
      </c>
      <c r="N43" s="35"/>
    </row>
    <row r="44" spans="1:14" hidden="1" x14ac:dyDescent="0.3">
      <c r="A44" s="39" t="s">
        <v>39</v>
      </c>
      <c r="B44" s="57">
        <v>136</v>
      </c>
      <c r="C44" s="66">
        <v>0</v>
      </c>
      <c r="D44" s="41">
        <v>0</v>
      </c>
      <c r="E44" s="41">
        <v>1.2397447584320875E-2</v>
      </c>
      <c r="F44" s="41">
        <v>0</v>
      </c>
      <c r="G44" s="67">
        <v>1.2397447584320875E-2</v>
      </c>
      <c r="H44" s="66">
        <v>0</v>
      </c>
      <c r="I44" s="41">
        <v>0</v>
      </c>
      <c r="J44" s="41">
        <v>0</v>
      </c>
      <c r="K44" s="41">
        <v>0</v>
      </c>
      <c r="L44" s="67">
        <v>0</v>
      </c>
      <c r="M44" s="81">
        <v>1.2397447584320875E-2</v>
      </c>
      <c r="N44" s="35"/>
    </row>
    <row r="45" spans="1:14" hidden="1" x14ac:dyDescent="0.3">
      <c r="A45" s="39" t="s">
        <v>40</v>
      </c>
      <c r="B45" s="57">
        <v>130</v>
      </c>
      <c r="C45" s="66">
        <v>0</v>
      </c>
      <c r="D45" s="41">
        <v>0</v>
      </c>
      <c r="E45" s="41">
        <v>1.1850501367365542E-2</v>
      </c>
      <c r="F45" s="41">
        <v>0</v>
      </c>
      <c r="G45" s="67">
        <v>1.1850501367365542E-2</v>
      </c>
      <c r="H45" s="66">
        <v>0</v>
      </c>
      <c r="I45" s="41">
        <v>0</v>
      </c>
      <c r="J45" s="41">
        <v>0</v>
      </c>
      <c r="K45" s="41">
        <v>0</v>
      </c>
      <c r="L45" s="67">
        <v>0</v>
      </c>
      <c r="M45" s="81">
        <v>1.1850501367365542E-2</v>
      </c>
      <c r="N45" s="35"/>
    </row>
    <row r="46" spans="1:14" x14ac:dyDescent="0.3">
      <c r="A46" s="43" t="s">
        <v>145</v>
      </c>
      <c r="B46" s="57">
        <v>1243</v>
      </c>
      <c r="C46" s="66">
        <v>8.7876025524156798E-2</v>
      </c>
      <c r="D46" s="41">
        <v>0</v>
      </c>
      <c r="E46" s="41">
        <v>0</v>
      </c>
      <c r="F46" s="41">
        <v>2.4339106654512305E-2</v>
      </c>
      <c r="G46" s="67">
        <v>0.1122151321786691</v>
      </c>
      <c r="H46" s="66">
        <v>1.0938924339106654E-3</v>
      </c>
      <c r="I46" s="41">
        <v>0</v>
      </c>
      <c r="J46" s="41">
        <v>0</v>
      </c>
      <c r="K46" s="41">
        <v>0</v>
      </c>
      <c r="L46" s="67">
        <v>1.0938924339106654E-3</v>
      </c>
      <c r="M46" s="81">
        <v>0.11330902461257976</v>
      </c>
      <c r="N46" s="35"/>
    </row>
    <row r="47" spans="1:14" hidden="1" x14ac:dyDescent="0.3">
      <c r="A47" s="39" t="s">
        <v>41</v>
      </c>
      <c r="B47" s="57">
        <v>8</v>
      </c>
      <c r="C47" s="66">
        <v>0</v>
      </c>
      <c r="D47" s="41">
        <v>0</v>
      </c>
      <c r="E47" s="41">
        <v>0</v>
      </c>
      <c r="F47" s="41">
        <v>7.2926162260711033E-4</v>
      </c>
      <c r="G47" s="67">
        <v>7.2926162260711033E-4</v>
      </c>
      <c r="H47" s="66">
        <v>0</v>
      </c>
      <c r="I47" s="41">
        <v>0</v>
      </c>
      <c r="J47" s="41">
        <v>0</v>
      </c>
      <c r="K47" s="41">
        <v>0</v>
      </c>
      <c r="L47" s="67">
        <v>0</v>
      </c>
      <c r="M47" s="81">
        <v>7.2926162260711033E-4</v>
      </c>
      <c r="N47" s="35"/>
    </row>
    <row r="48" spans="1:14" hidden="1" x14ac:dyDescent="0.3">
      <c r="A48" s="39" t="s">
        <v>42</v>
      </c>
      <c r="B48" s="57">
        <v>103</v>
      </c>
      <c r="C48" s="66">
        <v>0</v>
      </c>
      <c r="D48" s="41">
        <v>0</v>
      </c>
      <c r="E48" s="41">
        <v>0</v>
      </c>
      <c r="F48" s="41">
        <v>9.3892433910665457E-3</v>
      </c>
      <c r="G48" s="67">
        <v>9.3892433910665457E-3</v>
      </c>
      <c r="H48" s="66">
        <v>0</v>
      </c>
      <c r="I48" s="41">
        <v>0</v>
      </c>
      <c r="J48" s="41">
        <v>0</v>
      </c>
      <c r="K48" s="41">
        <v>0</v>
      </c>
      <c r="L48" s="67">
        <v>0</v>
      </c>
      <c r="M48" s="81">
        <v>9.3892433910665457E-3</v>
      </c>
      <c r="N48" s="35"/>
    </row>
    <row r="49" spans="1:14" hidden="1" x14ac:dyDescent="0.3">
      <c r="A49" s="39" t="s">
        <v>43</v>
      </c>
      <c r="B49" s="57">
        <v>156</v>
      </c>
      <c r="C49" s="66">
        <v>0</v>
      </c>
      <c r="D49" s="41">
        <v>0</v>
      </c>
      <c r="E49" s="41">
        <v>0</v>
      </c>
      <c r="F49" s="41">
        <v>1.4220601640838651E-2</v>
      </c>
      <c r="G49" s="67">
        <v>1.4220601640838651E-2</v>
      </c>
      <c r="H49" s="66">
        <v>0</v>
      </c>
      <c r="I49" s="41">
        <v>0</v>
      </c>
      <c r="J49" s="41">
        <v>0</v>
      </c>
      <c r="K49" s="41">
        <v>0</v>
      </c>
      <c r="L49" s="67">
        <v>0</v>
      </c>
      <c r="M49" s="81">
        <v>1.4220601640838651E-2</v>
      </c>
      <c r="N49" s="35"/>
    </row>
    <row r="50" spans="1:14" hidden="1" x14ac:dyDescent="0.3">
      <c r="A50" s="39" t="s">
        <v>44</v>
      </c>
      <c r="B50" s="57">
        <v>124</v>
      </c>
      <c r="C50" s="66">
        <v>1.130355515041021E-2</v>
      </c>
      <c r="D50" s="41">
        <v>0</v>
      </c>
      <c r="E50" s="41">
        <v>0</v>
      </c>
      <c r="F50" s="41">
        <v>0</v>
      </c>
      <c r="G50" s="67">
        <v>1.130355515041021E-2</v>
      </c>
      <c r="H50" s="66">
        <v>0</v>
      </c>
      <c r="I50" s="41">
        <v>0</v>
      </c>
      <c r="J50" s="41">
        <v>0</v>
      </c>
      <c r="K50" s="41">
        <v>0</v>
      </c>
      <c r="L50" s="67">
        <v>0</v>
      </c>
      <c r="M50" s="81">
        <v>1.130355515041021E-2</v>
      </c>
      <c r="N50" s="35"/>
    </row>
    <row r="51" spans="1:14" hidden="1" x14ac:dyDescent="0.3">
      <c r="A51" s="39" t="s">
        <v>45</v>
      </c>
      <c r="B51" s="57">
        <v>12</v>
      </c>
      <c r="C51" s="66">
        <v>0</v>
      </c>
      <c r="D51" s="41">
        <v>0</v>
      </c>
      <c r="E51" s="41">
        <v>0</v>
      </c>
      <c r="F51" s="41">
        <v>0</v>
      </c>
      <c r="G51" s="67">
        <v>0</v>
      </c>
      <c r="H51" s="66">
        <v>1.0938924339106654E-3</v>
      </c>
      <c r="I51" s="41">
        <v>0</v>
      </c>
      <c r="J51" s="41">
        <v>0</v>
      </c>
      <c r="K51" s="41">
        <v>0</v>
      </c>
      <c r="L51" s="67">
        <v>1.0938924339106654E-3</v>
      </c>
      <c r="M51" s="81">
        <v>1.0938924339106654E-3</v>
      </c>
      <c r="N51" s="35"/>
    </row>
    <row r="52" spans="1:14" hidden="1" x14ac:dyDescent="0.3">
      <c r="A52" s="39" t="s">
        <v>46</v>
      </c>
      <c r="B52" s="57">
        <v>100</v>
      </c>
      <c r="C52" s="66">
        <v>9.1157702825888781E-3</v>
      </c>
      <c r="D52" s="41">
        <v>0</v>
      </c>
      <c r="E52" s="41">
        <v>0</v>
      </c>
      <c r="F52" s="41">
        <v>0</v>
      </c>
      <c r="G52" s="67">
        <v>9.1157702825888781E-3</v>
      </c>
      <c r="H52" s="66">
        <v>0</v>
      </c>
      <c r="I52" s="41">
        <v>0</v>
      </c>
      <c r="J52" s="41">
        <v>0</v>
      </c>
      <c r="K52" s="41">
        <v>0</v>
      </c>
      <c r="L52" s="67">
        <v>0</v>
      </c>
      <c r="M52" s="81">
        <v>9.1157702825888781E-3</v>
      </c>
      <c r="N52" s="35"/>
    </row>
    <row r="53" spans="1:14" hidden="1" x14ac:dyDescent="0.3">
      <c r="A53" s="39" t="s">
        <v>47</v>
      </c>
      <c r="B53" s="57">
        <v>133</v>
      </c>
      <c r="C53" s="66">
        <v>1.2123974475843209E-2</v>
      </c>
      <c r="D53" s="41">
        <v>0</v>
      </c>
      <c r="E53" s="41">
        <v>0</v>
      </c>
      <c r="F53" s="41">
        <v>0</v>
      </c>
      <c r="G53" s="67">
        <v>1.2123974475843209E-2</v>
      </c>
      <c r="H53" s="66">
        <v>0</v>
      </c>
      <c r="I53" s="41">
        <v>0</v>
      </c>
      <c r="J53" s="41">
        <v>0</v>
      </c>
      <c r="K53" s="41">
        <v>0</v>
      </c>
      <c r="L53" s="67">
        <v>0</v>
      </c>
      <c r="M53" s="81">
        <v>1.2123974475843209E-2</v>
      </c>
      <c r="N53" s="35"/>
    </row>
    <row r="54" spans="1:14" hidden="1" x14ac:dyDescent="0.3">
      <c r="A54" s="39" t="s">
        <v>48</v>
      </c>
      <c r="B54" s="57">
        <v>101</v>
      </c>
      <c r="C54" s="66">
        <v>9.2069279854147673E-3</v>
      </c>
      <c r="D54" s="41">
        <v>0</v>
      </c>
      <c r="E54" s="41">
        <v>0</v>
      </c>
      <c r="F54" s="41">
        <v>0</v>
      </c>
      <c r="G54" s="67">
        <v>9.2069279854147673E-3</v>
      </c>
      <c r="H54" s="66">
        <v>0</v>
      </c>
      <c r="I54" s="41">
        <v>0</v>
      </c>
      <c r="J54" s="41">
        <v>0</v>
      </c>
      <c r="K54" s="41">
        <v>0</v>
      </c>
      <c r="L54" s="67">
        <v>0</v>
      </c>
      <c r="M54" s="81">
        <v>9.2069279854147673E-3</v>
      </c>
      <c r="N54" s="35"/>
    </row>
    <row r="55" spans="1:14" hidden="1" x14ac:dyDescent="0.3">
      <c r="A55" s="39" t="s">
        <v>49</v>
      </c>
      <c r="B55" s="57">
        <v>116</v>
      </c>
      <c r="C55" s="66">
        <v>1.05742935278031E-2</v>
      </c>
      <c r="D55" s="41">
        <v>0</v>
      </c>
      <c r="E55" s="41">
        <v>0</v>
      </c>
      <c r="F55" s="41">
        <v>0</v>
      </c>
      <c r="G55" s="67">
        <v>1.05742935278031E-2</v>
      </c>
      <c r="H55" s="66">
        <v>0</v>
      </c>
      <c r="I55" s="41">
        <v>0</v>
      </c>
      <c r="J55" s="41">
        <v>0</v>
      </c>
      <c r="K55" s="41">
        <v>0</v>
      </c>
      <c r="L55" s="67">
        <v>0</v>
      </c>
      <c r="M55" s="81">
        <v>1.05742935278031E-2</v>
      </c>
      <c r="N55" s="35"/>
    </row>
    <row r="56" spans="1:14" hidden="1" x14ac:dyDescent="0.3">
      <c r="A56" s="39" t="s">
        <v>50</v>
      </c>
      <c r="B56" s="57">
        <v>76</v>
      </c>
      <c r="C56" s="66">
        <v>6.9279854147675478E-3</v>
      </c>
      <c r="D56" s="41">
        <v>0</v>
      </c>
      <c r="E56" s="41">
        <v>0</v>
      </c>
      <c r="F56" s="41">
        <v>0</v>
      </c>
      <c r="G56" s="67">
        <v>6.9279854147675478E-3</v>
      </c>
      <c r="H56" s="66">
        <v>0</v>
      </c>
      <c r="I56" s="41">
        <v>0</v>
      </c>
      <c r="J56" s="41">
        <v>0</v>
      </c>
      <c r="K56" s="41">
        <v>0</v>
      </c>
      <c r="L56" s="67">
        <v>0</v>
      </c>
      <c r="M56" s="81">
        <v>6.9279854147675478E-3</v>
      </c>
      <c r="N56" s="35"/>
    </row>
    <row r="57" spans="1:14" hidden="1" x14ac:dyDescent="0.3">
      <c r="A57" s="39" t="s">
        <v>51</v>
      </c>
      <c r="B57" s="57">
        <v>92</v>
      </c>
      <c r="C57" s="66">
        <v>8.386508659981768E-3</v>
      </c>
      <c r="D57" s="41">
        <v>0</v>
      </c>
      <c r="E57" s="41">
        <v>0</v>
      </c>
      <c r="F57" s="41">
        <v>0</v>
      </c>
      <c r="G57" s="67">
        <v>8.386508659981768E-3</v>
      </c>
      <c r="H57" s="66">
        <v>0</v>
      </c>
      <c r="I57" s="41">
        <v>0</v>
      </c>
      <c r="J57" s="41">
        <v>0</v>
      </c>
      <c r="K57" s="41">
        <v>0</v>
      </c>
      <c r="L57" s="67">
        <v>0</v>
      </c>
      <c r="M57" s="81">
        <v>8.386508659981768E-3</v>
      </c>
      <c r="N57" s="35"/>
    </row>
    <row r="58" spans="1:14" hidden="1" x14ac:dyDescent="0.3">
      <c r="A58" s="39" t="s">
        <v>52</v>
      </c>
      <c r="B58" s="57">
        <v>108</v>
      </c>
      <c r="C58" s="66">
        <v>9.8450319051959882E-3</v>
      </c>
      <c r="D58" s="41">
        <v>0</v>
      </c>
      <c r="E58" s="41">
        <v>0</v>
      </c>
      <c r="F58" s="41">
        <v>0</v>
      </c>
      <c r="G58" s="67">
        <v>9.8450319051959882E-3</v>
      </c>
      <c r="H58" s="66">
        <v>0</v>
      </c>
      <c r="I58" s="41">
        <v>0</v>
      </c>
      <c r="J58" s="41">
        <v>0</v>
      </c>
      <c r="K58" s="41">
        <v>0</v>
      </c>
      <c r="L58" s="67">
        <v>0</v>
      </c>
      <c r="M58" s="81">
        <v>9.8450319051959882E-3</v>
      </c>
      <c r="N58" s="35"/>
    </row>
    <row r="59" spans="1:14" hidden="1" x14ac:dyDescent="0.3">
      <c r="A59" s="39" t="s">
        <v>53</v>
      </c>
      <c r="B59" s="57">
        <v>85</v>
      </c>
      <c r="C59" s="66">
        <v>7.7484047402005471E-3</v>
      </c>
      <c r="D59" s="41">
        <v>0</v>
      </c>
      <c r="E59" s="41">
        <v>0</v>
      </c>
      <c r="F59" s="41">
        <v>0</v>
      </c>
      <c r="G59" s="67">
        <v>7.7484047402005471E-3</v>
      </c>
      <c r="H59" s="66">
        <v>0</v>
      </c>
      <c r="I59" s="41">
        <v>0</v>
      </c>
      <c r="J59" s="41">
        <v>0</v>
      </c>
      <c r="K59" s="41">
        <v>0</v>
      </c>
      <c r="L59" s="67">
        <v>0</v>
      </c>
      <c r="M59" s="81">
        <v>7.7484047402005471E-3</v>
      </c>
      <c r="N59" s="35"/>
    </row>
    <row r="60" spans="1:14" hidden="1" x14ac:dyDescent="0.3">
      <c r="A60" s="39" t="s">
        <v>54</v>
      </c>
      <c r="B60" s="57">
        <v>29</v>
      </c>
      <c r="C60" s="66">
        <v>2.643573381950775E-3</v>
      </c>
      <c r="D60" s="41">
        <v>0</v>
      </c>
      <c r="E60" s="41">
        <v>0</v>
      </c>
      <c r="F60" s="41">
        <v>0</v>
      </c>
      <c r="G60" s="67">
        <v>2.643573381950775E-3</v>
      </c>
      <c r="H60" s="66">
        <v>0</v>
      </c>
      <c r="I60" s="41">
        <v>0</v>
      </c>
      <c r="J60" s="41">
        <v>0</v>
      </c>
      <c r="K60" s="41">
        <v>0</v>
      </c>
      <c r="L60" s="67">
        <v>0</v>
      </c>
      <c r="M60" s="81">
        <v>2.643573381950775E-3</v>
      </c>
      <c r="N60" s="35"/>
    </row>
    <row r="61" spans="1:14" x14ac:dyDescent="0.3">
      <c r="A61" s="43" t="s">
        <v>144</v>
      </c>
      <c r="B61" s="57">
        <v>1119</v>
      </c>
      <c r="C61" s="66">
        <v>3.6463081130355516E-4</v>
      </c>
      <c r="D61" s="41">
        <v>1.8596171376481313E-2</v>
      </c>
      <c r="E61" s="41">
        <v>8.1130355515041025E-2</v>
      </c>
      <c r="F61" s="41">
        <v>1.3673655423883319E-3</v>
      </c>
      <c r="G61" s="67">
        <v>0.10145852324521422</v>
      </c>
      <c r="H61" s="66">
        <v>0</v>
      </c>
      <c r="I61" s="41">
        <v>0</v>
      </c>
      <c r="J61" s="41">
        <v>0</v>
      </c>
      <c r="K61" s="41">
        <v>5.4694621695533269E-4</v>
      </c>
      <c r="L61" s="67">
        <v>5.4694621695533269E-4</v>
      </c>
      <c r="M61" s="81">
        <v>0.10200546946216955</v>
      </c>
      <c r="N61" s="35"/>
    </row>
    <row r="62" spans="1:14" hidden="1" x14ac:dyDescent="0.3">
      <c r="A62" s="39" t="s">
        <v>55</v>
      </c>
      <c r="B62" s="57">
        <v>6</v>
      </c>
      <c r="C62" s="66">
        <v>0</v>
      </c>
      <c r="D62" s="41">
        <v>0</v>
      </c>
      <c r="E62" s="41">
        <v>0</v>
      </c>
      <c r="F62" s="41">
        <v>0</v>
      </c>
      <c r="G62" s="67">
        <v>0</v>
      </c>
      <c r="H62" s="66">
        <v>0</v>
      </c>
      <c r="I62" s="41">
        <v>0</v>
      </c>
      <c r="J62" s="41">
        <v>0</v>
      </c>
      <c r="K62" s="41">
        <v>5.4694621695533269E-4</v>
      </c>
      <c r="L62" s="67">
        <v>5.4694621695533269E-4</v>
      </c>
      <c r="M62" s="81">
        <v>5.4694621695533269E-4</v>
      </c>
      <c r="N62" s="35"/>
    </row>
    <row r="63" spans="1:14" hidden="1" x14ac:dyDescent="0.3">
      <c r="A63" s="39" t="s">
        <v>56</v>
      </c>
      <c r="B63" s="57">
        <v>15</v>
      </c>
      <c r="C63" s="66">
        <v>0</v>
      </c>
      <c r="D63" s="41">
        <v>0</v>
      </c>
      <c r="E63" s="41">
        <v>0</v>
      </c>
      <c r="F63" s="41">
        <v>1.3673655423883319E-3</v>
      </c>
      <c r="G63" s="67">
        <v>1.3673655423883319E-3</v>
      </c>
      <c r="H63" s="66">
        <v>0</v>
      </c>
      <c r="I63" s="41">
        <v>0</v>
      </c>
      <c r="J63" s="41">
        <v>0</v>
      </c>
      <c r="K63" s="41">
        <v>0</v>
      </c>
      <c r="L63" s="67">
        <v>0</v>
      </c>
      <c r="M63" s="81">
        <v>1.3673655423883319E-3</v>
      </c>
      <c r="N63" s="35"/>
    </row>
    <row r="64" spans="1:14" hidden="1" x14ac:dyDescent="0.3">
      <c r="A64" s="39" t="s">
        <v>57</v>
      </c>
      <c r="B64" s="57">
        <v>4</v>
      </c>
      <c r="C64" s="66">
        <v>3.6463081130355516E-4</v>
      </c>
      <c r="D64" s="41">
        <v>0</v>
      </c>
      <c r="E64" s="41">
        <v>0</v>
      </c>
      <c r="F64" s="41">
        <v>0</v>
      </c>
      <c r="G64" s="67">
        <v>3.6463081130355516E-4</v>
      </c>
      <c r="H64" s="66">
        <v>0</v>
      </c>
      <c r="I64" s="41">
        <v>0</v>
      </c>
      <c r="J64" s="41">
        <v>0</v>
      </c>
      <c r="K64" s="41">
        <v>0</v>
      </c>
      <c r="L64" s="67">
        <v>0</v>
      </c>
      <c r="M64" s="81">
        <v>3.6463081130355516E-4</v>
      </c>
      <c r="N64" s="35"/>
    </row>
    <row r="65" spans="1:14" hidden="1" x14ac:dyDescent="0.3">
      <c r="A65" s="39" t="s">
        <v>58</v>
      </c>
      <c r="B65" s="57">
        <v>131</v>
      </c>
      <c r="C65" s="66">
        <v>0</v>
      </c>
      <c r="D65" s="41">
        <v>0</v>
      </c>
      <c r="E65" s="41">
        <v>1.1941659070191431E-2</v>
      </c>
      <c r="F65" s="41">
        <v>0</v>
      </c>
      <c r="G65" s="67">
        <v>1.1941659070191431E-2</v>
      </c>
      <c r="H65" s="66">
        <v>0</v>
      </c>
      <c r="I65" s="41">
        <v>0</v>
      </c>
      <c r="J65" s="41">
        <v>0</v>
      </c>
      <c r="K65" s="41">
        <v>0</v>
      </c>
      <c r="L65" s="67">
        <v>0</v>
      </c>
      <c r="M65" s="81">
        <v>1.1941659070191431E-2</v>
      </c>
      <c r="N65" s="35"/>
    </row>
    <row r="66" spans="1:14" hidden="1" x14ac:dyDescent="0.3">
      <c r="A66" s="39" t="s">
        <v>59</v>
      </c>
      <c r="B66" s="57">
        <v>117</v>
      </c>
      <c r="C66" s="66">
        <v>0</v>
      </c>
      <c r="D66" s="41">
        <v>0</v>
      </c>
      <c r="E66" s="41">
        <v>1.0665451230628988E-2</v>
      </c>
      <c r="F66" s="41">
        <v>0</v>
      </c>
      <c r="G66" s="67">
        <v>1.0665451230628988E-2</v>
      </c>
      <c r="H66" s="66">
        <v>0</v>
      </c>
      <c r="I66" s="41">
        <v>0</v>
      </c>
      <c r="J66" s="41">
        <v>0</v>
      </c>
      <c r="K66" s="41">
        <v>0</v>
      </c>
      <c r="L66" s="67">
        <v>0</v>
      </c>
      <c r="M66" s="81">
        <v>1.0665451230628988E-2</v>
      </c>
      <c r="N66" s="35"/>
    </row>
    <row r="67" spans="1:14" hidden="1" x14ac:dyDescent="0.3">
      <c r="A67" s="39" t="s">
        <v>60</v>
      </c>
      <c r="B67" s="57">
        <v>155</v>
      </c>
      <c r="C67" s="66">
        <v>0</v>
      </c>
      <c r="D67" s="41">
        <v>0</v>
      </c>
      <c r="E67" s="41">
        <v>1.4129443938012761E-2</v>
      </c>
      <c r="F67" s="41">
        <v>0</v>
      </c>
      <c r="G67" s="67">
        <v>1.4129443938012761E-2</v>
      </c>
      <c r="H67" s="66">
        <v>0</v>
      </c>
      <c r="I67" s="41">
        <v>0</v>
      </c>
      <c r="J67" s="41">
        <v>0</v>
      </c>
      <c r="K67" s="41">
        <v>0</v>
      </c>
      <c r="L67" s="67">
        <v>0</v>
      </c>
      <c r="M67" s="81">
        <v>1.4129443938012761E-2</v>
      </c>
      <c r="N67" s="35"/>
    </row>
    <row r="68" spans="1:14" hidden="1" x14ac:dyDescent="0.3">
      <c r="A68" s="39" t="s">
        <v>61</v>
      </c>
      <c r="B68" s="57">
        <v>100</v>
      </c>
      <c r="C68" s="66">
        <v>0</v>
      </c>
      <c r="D68" s="41">
        <v>0</v>
      </c>
      <c r="E68" s="41">
        <v>9.1157702825888781E-3</v>
      </c>
      <c r="F68" s="41">
        <v>0</v>
      </c>
      <c r="G68" s="67">
        <v>9.1157702825888781E-3</v>
      </c>
      <c r="H68" s="66">
        <v>0</v>
      </c>
      <c r="I68" s="41">
        <v>0</v>
      </c>
      <c r="J68" s="41">
        <v>0</v>
      </c>
      <c r="K68" s="41">
        <v>0</v>
      </c>
      <c r="L68" s="67">
        <v>0</v>
      </c>
      <c r="M68" s="81">
        <v>9.1157702825888781E-3</v>
      </c>
      <c r="N68" s="35"/>
    </row>
    <row r="69" spans="1:14" hidden="1" x14ac:dyDescent="0.3">
      <c r="A69" s="39" t="s">
        <v>62</v>
      </c>
      <c r="B69" s="57">
        <v>116</v>
      </c>
      <c r="C69" s="66">
        <v>0</v>
      </c>
      <c r="D69" s="41">
        <v>0</v>
      </c>
      <c r="E69" s="41">
        <v>1.05742935278031E-2</v>
      </c>
      <c r="F69" s="41">
        <v>0</v>
      </c>
      <c r="G69" s="67">
        <v>1.05742935278031E-2</v>
      </c>
      <c r="H69" s="66">
        <v>0</v>
      </c>
      <c r="I69" s="41">
        <v>0</v>
      </c>
      <c r="J69" s="41">
        <v>0</v>
      </c>
      <c r="K69" s="41">
        <v>0</v>
      </c>
      <c r="L69" s="67">
        <v>0</v>
      </c>
      <c r="M69" s="81">
        <v>1.05742935278031E-2</v>
      </c>
      <c r="N69" s="35"/>
    </row>
    <row r="70" spans="1:14" hidden="1" x14ac:dyDescent="0.3">
      <c r="A70" s="39" t="s">
        <v>63</v>
      </c>
      <c r="B70" s="57">
        <v>130</v>
      </c>
      <c r="C70" s="66">
        <v>0</v>
      </c>
      <c r="D70" s="41">
        <v>0</v>
      </c>
      <c r="E70" s="41">
        <v>1.1850501367365542E-2</v>
      </c>
      <c r="F70" s="41">
        <v>0</v>
      </c>
      <c r="G70" s="67">
        <v>1.1850501367365542E-2</v>
      </c>
      <c r="H70" s="66">
        <v>0</v>
      </c>
      <c r="I70" s="41">
        <v>0</v>
      </c>
      <c r="J70" s="41">
        <v>0</v>
      </c>
      <c r="K70" s="41">
        <v>0</v>
      </c>
      <c r="L70" s="67">
        <v>0</v>
      </c>
      <c r="M70" s="81">
        <v>1.1850501367365542E-2</v>
      </c>
      <c r="N70" s="35"/>
    </row>
    <row r="71" spans="1:14" hidden="1" x14ac:dyDescent="0.3">
      <c r="A71" s="39" t="s">
        <v>64</v>
      </c>
      <c r="B71" s="57">
        <v>141</v>
      </c>
      <c r="C71" s="66">
        <v>0</v>
      </c>
      <c r="D71" s="41">
        <v>0</v>
      </c>
      <c r="E71" s="41">
        <v>1.285323609845032E-2</v>
      </c>
      <c r="F71" s="41">
        <v>0</v>
      </c>
      <c r="G71" s="67">
        <v>1.285323609845032E-2</v>
      </c>
      <c r="H71" s="66">
        <v>0</v>
      </c>
      <c r="I71" s="41">
        <v>0</v>
      </c>
      <c r="J71" s="41">
        <v>0</v>
      </c>
      <c r="K71" s="41">
        <v>0</v>
      </c>
      <c r="L71" s="67">
        <v>0</v>
      </c>
      <c r="M71" s="81">
        <v>1.285323609845032E-2</v>
      </c>
      <c r="N71" s="35"/>
    </row>
    <row r="72" spans="1:14" hidden="1" x14ac:dyDescent="0.3">
      <c r="A72" s="39" t="s">
        <v>65</v>
      </c>
      <c r="B72" s="57">
        <v>99</v>
      </c>
      <c r="C72" s="66">
        <v>0</v>
      </c>
      <c r="D72" s="41">
        <v>9.0246125797629907E-3</v>
      </c>
      <c r="E72" s="41">
        <v>0</v>
      </c>
      <c r="F72" s="41">
        <v>0</v>
      </c>
      <c r="G72" s="67">
        <v>9.0246125797629907E-3</v>
      </c>
      <c r="H72" s="66">
        <v>0</v>
      </c>
      <c r="I72" s="41">
        <v>0</v>
      </c>
      <c r="J72" s="41">
        <v>0</v>
      </c>
      <c r="K72" s="41">
        <v>0</v>
      </c>
      <c r="L72" s="67">
        <v>0</v>
      </c>
      <c r="M72" s="81">
        <v>9.0246125797629907E-3</v>
      </c>
      <c r="N72" s="35"/>
    </row>
    <row r="73" spans="1:14" hidden="1" x14ac:dyDescent="0.3">
      <c r="A73" s="39" t="s">
        <v>66</v>
      </c>
      <c r="B73" s="57">
        <v>105</v>
      </c>
      <c r="C73" s="66">
        <v>0</v>
      </c>
      <c r="D73" s="41">
        <v>9.5715587967183224E-3</v>
      </c>
      <c r="E73" s="41">
        <v>0</v>
      </c>
      <c r="F73" s="41">
        <v>0</v>
      </c>
      <c r="G73" s="67">
        <v>9.5715587967183224E-3</v>
      </c>
      <c r="H73" s="66">
        <v>0</v>
      </c>
      <c r="I73" s="41">
        <v>0</v>
      </c>
      <c r="J73" s="41">
        <v>0</v>
      </c>
      <c r="K73" s="41">
        <v>0</v>
      </c>
      <c r="L73" s="67">
        <v>0</v>
      </c>
      <c r="M73" s="81">
        <v>9.5715587967183224E-3</v>
      </c>
      <c r="N73" s="35"/>
    </row>
    <row r="74" spans="1:14" x14ac:dyDescent="0.3">
      <c r="A74" s="43" t="s">
        <v>146</v>
      </c>
      <c r="B74" s="57">
        <v>2832</v>
      </c>
      <c r="C74" s="66">
        <v>9.3254329990884233E-2</v>
      </c>
      <c r="D74" s="41">
        <v>0</v>
      </c>
      <c r="E74" s="41">
        <v>1.7958067456700092E-2</v>
      </c>
      <c r="F74" s="41">
        <v>3.2543299908842298E-2</v>
      </c>
      <c r="G74" s="67">
        <v>0.14375569735642663</v>
      </c>
      <c r="H74" s="66">
        <v>8.2041932543299909E-4</v>
      </c>
      <c r="I74" s="41">
        <v>5.3691886964448494E-2</v>
      </c>
      <c r="J74" s="41">
        <v>4.0291704649042845E-2</v>
      </c>
      <c r="K74" s="41">
        <v>1.9598906107566091E-2</v>
      </c>
      <c r="L74" s="67">
        <v>0.11440291704649043</v>
      </c>
      <c r="M74" s="81">
        <v>0.25815861440291704</v>
      </c>
      <c r="N74" s="35"/>
    </row>
    <row r="75" spans="1:14" hidden="1" x14ac:dyDescent="0.3">
      <c r="A75" s="39" t="s">
        <v>94</v>
      </c>
      <c r="B75" s="57">
        <v>102</v>
      </c>
      <c r="C75" s="66">
        <v>0</v>
      </c>
      <c r="D75" s="41">
        <v>0</v>
      </c>
      <c r="E75" s="41">
        <v>0</v>
      </c>
      <c r="F75" s="41">
        <v>0</v>
      </c>
      <c r="G75" s="67">
        <v>0</v>
      </c>
      <c r="H75" s="66">
        <v>0</v>
      </c>
      <c r="I75" s="41">
        <v>0</v>
      </c>
      <c r="J75" s="41">
        <v>0</v>
      </c>
      <c r="K75" s="41">
        <v>9.2980856882406565E-3</v>
      </c>
      <c r="L75" s="67">
        <v>9.2980856882406565E-3</v>
      </c>
      <c r="M75" s="81">
        <v>9.2980856882406565E-3</v>
      </c>
      <c r="N75" s="35"/>
    </row>
    <row r="76" spans="1:14" hidden="1" x14ac:dyDescent="0.3">
      <c r="A76" s="39" t="s">
        <v>95</v>
      </c>
      <c r="B76" s="57">
        <v>113</v>
      </c>
      <c r="C76" s="66">
        <v>0</v>
      </c>
      <c r="D76" s="41">
        <v>0</v>
      </c>
      <c r="E76" s="41">
        <v>0</v>
      </c>
      <c r="F76" s="41">
        <v>0</v>
      </c>
      <c r="G76" s="67">
        <v>0</v>
      </c>
      <c r="H76" s="66">
        <v>0</v>
      </c>
      <c r="I76" s="41">
        <v>0</v>
      </c>
      <c r="J76" s="41">
        <v>0</v>
      </c>
      <c r="K76" s="41">
        <v>1.0300820419325432E-2</v>
      </c>
      <c r="L76" s="67">
        <v>1.0300820419325432E-2</v>
      </c>
      <c r="M76" s="81">
        <v>1.0300820419325432E-2</v>
      </c>
      <c r="N76" s="35"/>
    </row>
    <row r="77" spans="1:14" hidden="1" x14ac:dyDescent="0.3">
      <c r="A77" s="39" t="s">
        <v>96</v>
      </c>
      <c r="B77" s="57">
        <v>4</v>
      </c>
      <c r="C77" s="66">
        <v>0</v>
      </c>
      <c r="D77" s="41">
        <v>0</v>
      </c>
      <c r="E77" s="41">
        <v>0</v>
      </c>
      <c r="F77" s="41">
        <v>3.6463081130355516E-4</v>
      </c>
      <c r="G77" s="67">
        <v>3.6463081130355516E-4</v>
      </c>
      <c r="H77" s="66">
        <v>0</v>
      </c>
      <c r="I77" s="41">
        <v>0</v>
      </c>
      <c r="J77" s="41">
        <v>0</v>
      </c>
      <c r="K77" s="41">
        <v>0</v>
      </c>
      <c r="L77" s="67">
        <v>0</v>
      </c>
      <c r="M77" s="81">
        <v>3.6463081130355516E-4</v>
      </c>
      <c r="N77" s="35"/>
    </row>
    <row r="78" spans="1:14" hidden="1" x14ac:dyDescent="0.3">
      <c r="A78" s="39" t="s">
        <v>80</v>
      </c>
      <c r="B78" s="57">
        <v>113</v>
      </c>
      <c r="C78" s="66">
        <v>0</v>
      </c>
      <c r="D78" s="41">
        <v>0</v>
      </c>
      <c r="E78" s="41">
        <v>0</v>
      </c>
      <c r="F78" s="41">
        <v>1.0300820419325432E-2</v>
      </c>
      <c r="G78" s="67">
        <v>1.0300820419325432E-2</v>
      </c>
      <c r="H78" s="66">
        <v>0</v>
      </c>
      <c r="I78" s="41">
        <v>0</v>
      </c>
      <c r="J78" s="41">
        <v>0</v>
      </c>
      <c r="K78" s="41">
        <v>0</v>
      </c>
      <c r="L78" s="67">
        <v>0</v>
      </c>
      <c r="M78" s="81">
        <v>1.0300820419325432E-2</v>
      </c>
      <c r="N78" s="35"/>
    </row>
    <row r="79" spans="1:14" hidden="1" x14ac:dyDescent="0.3">
      <c r="A79" s="39" t="s">
        <v>97</v>
      </c>
      <c r="B79" s="57">
        <v>115</v>
      </c>
      <c r="C79" s="66">
        <v>0</v>
      </c>
      <c r="D79" s="41">
        <v>0</v>
      </c>
      <c r="E79" s="41">
        <v>0</v>
      </c>
      <c r="F79" s="41">
        <v>1.0483135824977211E-2</v>
      </c>
      <c r="G79" s="67">
        <v>1.0483135824977211E-2</v>
      </c>
      <c r="H79" s="66">
        <v>0</v>
      </c>
      <c r="I79" s="41">
        <v>0</v>
      </c>
      <c r="J79" s="41">
        <v>0</v>
      </c>
      <c r="K79" s="41">
        <v>0</v>
      </c>
      <c r="L79" s="67">
        <v>0</v>
      </c>
      <c r="M79" s="81">
        <v>1.0483135824977211E-2</v>
      </c>
      <c r="N79" s="35"/>
    </row>
    <row r="80" spans="1:14" hidden="1" x14ac:dyDescent="0.3">
      <c r="A80" s="39" t="s">
        <v>98</v>
      </c>
      <c r="B80" s="57">
        <v>121</v>
      </c>
      <c r="C80" s="66">
        <v>0</v>
      </c>
      <c r="D80" s="41">
        <v>0</v>
      </c>
      <c r="E80" s="41">
        <v>0</v>
      </c>
      <c r="F80" s="41">
        <v>1.1030082041932543E-2</v>
      </c>
      <c r="G80" s="67">
        <v>1.1030082041932543E-2</v>
      </c>
      <c r="H80" s="66">
        <v>0</v>
      </c>
      <c r="I80" s="41">
        <v>0</v>
      </c>
      <c r="J80" s="41">
        <v>0</v>
      </c>
      <c r="K80" s="41">
        <v>0</v>
      </c>
      <c r="L80" s="67">
        <v>0</v>
      </c>
      <c r="M80" s="81">
        <v>1.1030082041932543E-2</v>
      </c>
      <c r="N80" s="35"/>
    </row>
    <row r="81" spans="1:14" hidden="1" x14ac:dyDescent="0.3">
      <c r="A81" s="39" t="s">
        <v>99</v>
      </c>
      <c r="B81" s="57">
        <v>4</v>
      </c>
      <c r="C81" s="66">
        <v>0</v>
      </c>
      <c r="D81" s="41">
        <v>0</v>
      </c>
      <c r="E81" s="41">
        <v>0</v>
      </c>
      <c r="F81" s="41">
        <v>3.6463081130355516E-4</v>
      </c>
      <c r="G81" s="67">
        <v>3.6463081130355516E-4</v>
      </c>
      <c r="H81" s="66">
        <v>0</v>
      </c>
      <c r="I81" s="41">
        <v>0</v>
      </c>
      <c r="J81" s="41">
        <v>0</v>
      </c>
      <c r="K81" s="41">
        <v>0</v>
      </c>
      <c r="L81" s="67">
        <v>0</v>
      </c>
      <c r="M81" s="81">
        <v>3.6463081130355516E-4</v>
      </c>
      <c r="N81" s="35"/>
    </row>
    <row r="82" spans="1:14" hidden="1" x14ac:dyDescent="0.3">
      <c r="A82" s="39" t="s">
        <v>100</v>
      </c>
      <c r="B82" s="57">
        <v>9</v>
      </c>
      <c r="C82" s="66">
        <v>0</v>
      </c>
      <c r="D82" s="41">
        <v>0</v>
      </c>
      <c r="E82" s="41">
        <v>0</v>
      </c>
      <c r="F82" s="41">
        <v>0</v>
      </c>
      <c r="G82" s="67">
        <v>0</v>
      </c>
      <c r="H82" s="66">
        <v>8.2041932543299909E-4</v>
      </c>
      <c r="I82" s="41">
        <v>0</v>
      </c>
      <c r="J82" s="41">
        <v>0</v>
      </c>
      <c r="K82" s="41">
        <v>0</v>
      </c>
      <c r="L82" s="67">
        <v>8.2041932543299909E-4</v>
      </c>
      <c r="M82" s="81">
        <v>8.2041932543299909E-4</v>
      </c>
      <c r="N82" s="35"/>
    </row>
    <row r="83" spans="1:14" hidden="1" x14ac:dyDescent="0.3">
      <c r="A83" s="39" t="s">
        <v>101</v>
      </c>
      <c r="B83" s="57">
        <v>113</v>
      </c>
      <c r="C83" s="66">
        <v>1.0300820419325432E-2</v>
      </c>
      <c r="D83" s="41">
        <v>0</v>
      </c>
      <c r="E83" s="41">
        <v>0</v>
      </c>
      <c r="F83" s="41">
        <v>0</v>
      </c>
      <c r="G83" s="67">
        <v>1.0300820419325432E-2</v>
      </c>
      <c r="H83" s="66">
        <v>0</v>
      </c>
      <c r="I83" s="41">
        <v>0</v>
      </c>
      <c r="J83" s="41">
        <v>0</v>
      </c>
      <c r="K83" s="41">
        <v>0</v>
      </c>
      <c r="L83" s="67">
        <v>0</v>
      </c>
      <c r="M83" s="81">
        <v>1.0300820419325432E-2</v>
      </c>
      <c r="N83" s="35"/>
    </row>
    <row r="84" spans="1:14" hidden="1" x14ac:dyDescent="0.3">
      <c r="A84" s="39" t="s">
        <v>102</v>
      </c>
      <c r="B84" s="57">
        <v>128</v>
      </c>
      <c r="C84" s="66">
        <v>1.1668185961713765E-2</v>
      </c>
      <c r="D84" s="41">
        <v>0</v>
      </c>
      <c r="E84" s="41">
        <v>0</v>
      </c>
      <c r="F84" s="41">
        <v>0</v>
      </c>
      <c r="G84" s="67">
        <v>1.1668185961713765E-2</v>
      </c>
      <c r="H84" s="66">
        <v>0</v>
      </c>
      <c r="I84" s="41">
        <v>0</v>
      </c>
      <c r="J84" s="41">
        <v>0</v>
      </c>
      <c r="K84" s="41">
        <v>0</v>
      </c>
      <c r="L84" s="67">
        <v>0</v>
      </c>
      <c r="M84" s="81">
        <v>1.1668185961713765E-2</v>
      </c>
      <c r="N84" s="35"/>
    </row>
    <row r="85" spans="1:14" hidden="1" x14ac:dyDescent="0.3">
      <c r="A85" s="39" t="s">
        <v>103</v>
      </c>
      <c r="B85" s="57">
        <v>121</v>
      </c>
      <c r="C85" s="66">
        <v>1.1030082041932543E-2</v>
      </c>
      <c r="D85" s="41">
        <v>0</v>
      </c>
      <c r="E85" s="41">
        <v>0</v>
      </c>
      <c r="F85" s="41">
        <v>0</v>
      </c>
      <c r="G85" s="67">
        <v>1.1030082041932543E-2</v>
      </c>
      <c r="H85" s="66">
        <v>0</v>
      </c>
      <c r="I85" s="41">
        <v>0</v>
      </c>
      <c r="J85" s="41">
        <v>0</v>
      </c>
      <c r="K85" s="41">
        <v>0</v>
      </c>
      <c r="L85" s="67">
        <v>0</v>
      </c>
      <c r="M85" s="81">
        <v>1.1030082041932543E-2</v>
      </c>
      <c r="N85" s="35"/>
    </row>
    <row r="86" spans="1:14" hidden="1" x14ac:dyDescent="0.3">
      <c r="A86" s="39" t="s">
        <v>104</v>
      </c>
      <c r="B86" s="57">
        <v>56</v>
      </c>
      <c r="C86" s="66">
        <v>5.1048313582497725E-3</v>
      </c>
      <c r="D86" s="41">
        <v>0</v>
      </c>
      <c r="E86" s="41">
        <v>0</v>
      </c>
      <c r="F86" s="41">
        <v>0</v>
      </c>
      <c r="G86" s="67">
        <v>5.1048313582497725E-3</v>
      </c>
      <c r="H86" s="66">
        <v>0</v>
      </c>
      <c r="I86" s="41">
        <v>0</v>
      </c>
      <c r="J86" s="41">
        <v>0</v>
      </c>
      <c r="K86" s="41">
        <v>0</v>
      </c>
      <c r="L86" s="67">
        <v>0</v>
      </c>
      <c r="M86" s="81">
        <v>5.1048313582497725E-3</v>
      </c>
      <c r="N86" s="35"/>
    </row>
    <row r="87" spans="1:14" hidden="1" x14ac:dyDescent="0.3">
      <c r="A87" s="39" t="s">
        <v>105</v>
      </c>
      <c r="B87" s="57">
        <v>117</v>
      </c>
      <c r="C87" s="66">
        <v>1.0665451230628988E-2</v>
      </c>
      <c r="D87" s="41">
        <v>0</v>
      </c>
      <c r="E87" s="41">
        <v>0</v>
      </c>
      <c r="F87" s="41">
        <v>0</v>
      </c>
      <c r="G87" s="67">
        <v>1.0665451230628988E-2</v>
      </c>
      <c r="H87" s="66">
        <v>0</v>
      </c>
      <c r="I87" s="41">
        <v>0</v>
      </c>
      <c r="J87" s="41">
        <v>0</v>
      </c>
      <c r="K87" s="41">
        <v>0</v>
      </c>
      <c r="L87" s="67">
        <v>0</v>
      </c>
      <c r="M87" s="81">
        <v>1.0665451230628988E-2</v>
      </c>
      <c r="N87" s="35"/>
    </row>
    <row r="88" spans="1:14" hidden="1" x14ac:dyDescent="0.3">
      <c r="A88" s="39" t="s">
        <v>106</v>
      </c>
      <c r="B88" s="57">
        <v>116</v>
      </c>
      <c r="C88" s="66">
        <v>1.05742935278031E-2</v>
      </c>
      <c r="D88" s="41">
        <v>0</v>
      </c>
      <c r="E88" s="41">
        <v>0</v>
      </c>
      <c r="F88" s="41">
        <v>0</v>
      </c>
      <c r="G88" s="67">
        <v>1.05742935278031E-2</v>
      </c>
      <c r="H88" s="66">
        <v>0</v>
      </c>
      <c r="I88" s="41">
        <v>0</v>
      </c>
      <c r="J88" s="41">
        <v>0</v>
      </c>
      <c r="K88" s="41">
        <v>0</v>
      </c>
      <c r="L88" s="67">
        <v>0</v>
      </c>
      <c r="M88" s="81">
        <v>1.05742935278031E-2</v>
      </c>
      <c r="N88" s="35"/>
    </row>
    <row r="89" spans="1:14" hidden="1" x14ac:dyDescent="0.3">
      <c r="A89" s="39" t="s">
        <v>107</v>
      </c>
      <c r="B89" s="57">
        <v>115</v>
      </c>
      <c r="C89" s="66">
        <v>1.0483135824977211E-2</v>
      </c>
      <c r="D89" s="41">
        <v>0</v>
      </c>
      <c r="E89" s="41">
        <v>0</v>
      </c>
      <c r="F89" s="41">
        <v>0</v>
      </c>
      <c r="G89" s="67">
        <v>1.0483135824977211E-2</v>
      </c>
      <c r="H89" s="66">
        <v>0</v>
      </c>
      <c r="I89" s="41">
        <v>0</v>
      </c>
      <c r="J89" s="41">
        <v>0</v>
      </c>
      <c r="K89" s="41">
        <v>0</v>
      </c>
      <c r="L89" s="67">
        <v>0</v>
      </c>
      <c r="M89" s="81">
        <v>1.0483135824977211E-2</v>
      </c>
      <c r="N89" s="35"/>
    </row>
    <row r="90" spans="1:14" hidden="1" x14ac:dyDescent="0.3">
      <c r="A90" s="39" t="s">
        <v>108</v>
      </c>
      <c r="B90" s="57">
        <v>128</v>
      </c>
      <c r="C90" s="66">
        <v>1.1668185961713765E-2</v>
      </c>
      <c r="D90" s="41">
        <v>0</v>
      </c>
      <c r="E90" s="41">
        <v>0</v>
      </c>
      <c r="F90" s="41">
        <v>0</v>
      </c>
      <c r="G90" s="67">
        <v>1.1668185961713765E-2</v>
      </c>
      <c r="H90" s="66">
        <v>0</v>
      </c>
      <c r="I90" s="41">
        <v>0</v>
      </c>
      <c r="J90" s="41">
        <v>0</v>
      </c>
      <c r="K90" s="41">
        <v>0</v>
      </c>
      <c r="L90" s="67">
        <v>0</v>
      </c>
      <c r="M90" s="81">
        <v>1.1668185961713765E-2</v>
      </c>
      <c r="N90" s="35"/>
    </row>
    <row r="91" spans="1:14" hidden="1" x14ac:dyDescent="0.3">
      <c r="A91" s="39" t="s">
        <v>109</v>
      </c>
      <c r="B91" s="57">
        <v>129</v>
      </c>
      <c r="C91" s="66">
        <v>1.1759343664539654E-2</v>
      </c>
      <c r="D91" s="41">
        <v>0</v>
      </c>
      <c r="E91" s="41">
        <v>0</v>
      </c>
      <c r="F91" s="41">
        <v>0</v>
      </c>
      <c r="G91" s="67">
        <v>1.1759343664539654E-2</v>
      </c>
      <c r="H91" s="66">
        <v>0</v>
      </c>
      <c r="I91" s="41">
        <v>0</v>
      </c>
      <c r="J91" s="41">
        <v>0</v>
      </c>
      <c r="K91" s="41">
        <v>0</v>
      </c>
      <c r="L91" s="67">
        <v>0</v>
      </c>
      <c r="M91" s="81">
        <v>1.1759343664539654E-2</v>
      </c>
      <c r="N91" s="35"/>
    </row>
    <row r="92" spans="1:14" hidden="1" x14ac:dyDescent="0.3">
      <c r="A92" s="39" t="s">
        <v>110</v>
      </c>
      <c r="B92" s="57">
        <v>121</v>
      </c>
      <c r="C92" s="66">
        <v>0</v>
      </c>
      <c r="D92" s="41">
        <v>0</v>
      </c>
      <c r="E92" s="41">
        <v>1.1030082041932543E-2</v>
      </c>
      <c r="F92" s="41">
        <v>0</v>
      </c>
      <c r="G92" s="67">
        <v>1.1030082041932543E-2</v>
      </c>
      <c r="H92" s="66">
        <v>0</v>
      </c>
      <c r="I92" s="41">
        <v>0</v>
      </c>
      <c r="J92" s="41">
        <v>0</v>
      </c>
      <c r="K92" s="41">
        <v>0</v>
      </c>
      <c r="L92" s="67">
        <v>0</v>
      </c>
      <c r="M92" s="81">
        <v>1.1030082041932543E-2</v>
      </c>
      <c r="N92" s="35"/>
    </row>
    <row r="93" spans="1:14" hidden="1" x14ac:dyDescent="0.3">
      <c r="A93" s="39" t="s">
        <v>111</v>
      </c>
      <c r="B93" s="57">
        <v>38</v>
      </c>
      <c r="C93" s="66">
        <v>0</v>
      </c>
      <c r="D93" s="41">
        <v>0</v>
      </c>
      <c r="E93" s="41">
        <v>3.4639927073837739E-3</v>
      </c>
      <c r="F93" s="41">
        <v>0</v>
      </c>
      <c r="G93" s="67">
        <v>3.4639927073837739E-3</v>
      </c>
      <c r="H93" s="66">
        <v>0</v>
      </c>
      <c r="I93" s="41">
        <v>0</v>
      </c>
      <c r="J93" s="41">
        <v>0</v>
      </c>
      <c r="K93" s="41">
        <v>0</v>
      </c>
      <c r="L93" s="67">
        <v>0</v>
      </c>
      <c r="M93" s="81">
        <v>3.4639927073837739E-3</v>
      </c>
      <c r="N93" s="35"/>
    </row>
    <row r="94" spans="1:14" hidden="1" x14ac:dyDescent="0.3">
      <c r="A94" s="39" t="s">
        <v>112</v>
      </c>
      <c r="B94" s="57">
        <v>38</v>
      </c>
      <c r="C94" s="66">
        <v>0</v>
      </c>
      <c r="D94" s="41">
        <v>0</v>
      </c>
      <c r="E94" s="41">
        <v>3.4639927073837739E-3</v>
      </c>
      <c r="F94" s="41">
        <v>0</v>
      </c>
      <c r="G94" s="67">
        <v>3.4639927073837739E-3</v>
      </c>
      <c r="H94" s="66">
        <v>0</v>
      </c>
      <c r="I94" s="41">
        <v>0</v>
      </c>
      <c r="J94" s="41">
        <v>0</v>
      </c>
      <c r="K94" s="41">
        <v>0</v>
      </c>
      <c r="L94" s="67">
        <v>0</v>
      </c>
      <c r="M94" s="81">
        <v>3.4639927073837739E-3</v>
      </c>
      <c r="N94" s="35"/>
    </row>
    <row r="95" spans="1:14" hidden="1" x14ac:dyDescent="0.3">
      <c r="A95" s="39" t="s">
        <v>113</v>
      </c>
      <c r="B95" s="57">
        <v>111</v>
      </c>
      <c r="C95" s="66">
        <v>0</v>
      </c>
      <c r="D95" s="41">
        <v>0</v>
      </c>
      <c r="E95" s="41">
        <v>0</v>
      </c>
      <c r="F95" s="41">
        <v>0</v>
      </c>
      <c r="G95" s="67">
        <v>0</v>
      </c>
      <c r="H95" s="66">
        <v>0</v>
      </c>
      <c r="I95" s="41">
        <v>0</v>
      </c>
      <c r="J95" s="41">
        <v>1.0118505013673656E-2</v>
      </c>
      <c r="K95" s="41">
        <v>0</v>
      </c>
      <c r="L95" s="67">
        <v>1.0118505013673656E-2</v>
      </c>
      <c r="M95" s="81">
        <v>1.0118505013673656E-2</v>
      </c>
      <c r="N95" s="35"/>
    </row>
    <row r="96" spans="1:14" hidden="1" x14ac:dyDescent="0.3">
      <c r="A96" s="39" t="s">
        <v>114</v>
      </c>
      <c r="B96" s="57">
        <v>92</v>
      </c>
      <c r="C96" s="66">
        <v>0</v>
      </c>
      <c r="D96" s="41">
        <v>0</v>
      </c>
      <c r="E96" s="41">
        <v>0</v>
      </c>
      <c r="F96" s="41">
        <v>0</v>
      </c>
      <c r="G96" s="67">
        <v>0</v>
      </c>
      <c r="H96" s="66">
        <v>0</v>
      </c>
      <c r="I96" s="41">
        <v>0</v>
      </c>
      <c r="J96" s="41">
        <v>8.386508659981768E-3</v>
      </c>
      <c r="K96" s="41">
        <v>0</v>
      </c>
      <c r="L96" s="67">
        <v>8.386508659981768E-3</v>
      </c>
      <c r="M96" s="81">
        <v>8.386508659981768E-3</v>
      </c>
      <c r="N96" s="35"/>
    </row>
    <row r="97" spans="1:14" hidden="1" x14ac:dyDescent="0.3">
      <c r="A97" s="39" t="s">
        <v>115</v>
      </c>
      <c r="B97" s="57">
        <v>132</v>
      </c>
      <c r="C97" s="66">
        <v>0</v>
      </c>
      <c r="D97" s="41">
        <v>0</v>
      </c>
      <c r="E97" s="41">
        <v>0</v>
      </c>
      <c r="F97" s="41">
        <v>0</v>
      </c>
      <c r="G97" s="67">
        <v>0</v>
      </c>
      <c r="H97" s="66">
        <v>0</v>
      </c>
      <c r="I97" s="41">
        <v>0</v>
      </c>
      <c r="J97" s="41">
        <v>1.203281677301732E-2</v>
      </c>
      <c r="K97" s="41">
        <v>0</v>
      </c>
      <c r="L97" s="67">
        <v>1.203281677301732E-2</v>
      </c>
      <c r="M97" s="81">
        <v>1.203281677301732E-2</v>
      </c>
      <c r="N97" s="35"/>
    </row>
    <row r="98" spans="1:14" hidden="1" x14ac:dyDescent="0.3">
      <c r="A98" s="39" t="s">
        <v>116</v>
      </c>
      <c r="B98" s="57">
        <v>107</v>
      </c>
      <c r="C98" s="66">
        <v>0</v>
      </c>
      <c r="D98" s="41">
        <v>0</v>
      </c>
      <c r="E98" s="41">
        <v>0</v>
      </c>
      <c r="F98" s="41">
        <v>0</v>
      </c>
      <c r="G98" s="67">
        <v>0</v>
      </c>
      <c r="H98" s="66">
        <v>0</v>
      </c>
      <c r="I98" s="41">
        <v>0</v>
      </c>
      <c r="J98" s="41">
        <v>9.7538742023701008E-3</v>
      </c>
      <c r="K98" s="41">
        <v>0</v>
      </c>
      <c r="L98" s="67">
        <v>9.7538742023701008E-3</v>
      </c>
      <c r="M98" s="81">
        <v>9.7538742023701008E-3</v>
      </c>
      <c r="N98" s="35"/>
    </row>
    <row r="99" spans="1:14" hidden="1" x14ac:dyDescent="0.3">
      <c r="A99" s="39" t="s">
        <v>117</v>
      </c>
      <c r="B99" s="57">
        <v>3</v>
      </c>
      <c r="C99" s="66">
        <v>0</v>
      </c>
      <c r="D99" s="41">
        <v>0</v>
      </c>
      <c r="E99" s="41">
        <v>0</v>
      </c>
      <c r="F99" s="41">
        <v>0</v>
      </c>
      <c r="G99" s="67">
        <v>0</v>
      </c>
      <c r="H99" s="66">
        <v>0</v>
      </c>
      <c r="I99" s="41">
        <v>2.7347310847766635E-4</v>
      </c>
      <c r="J99" s="41">
        <v>0</v>
      </c>
      <c r="K99" s="41">
        <v>0</v>
      </c>
      <c r="L99" s="67">
        <v>2.7347310847766635E-4</v>
      </c>
      <c r="M99" s="81">
        <v>2.7347310847766635E-4</v>
      </c>
      <c r="N99" s="35"/>
    </row>
    <row r="100" spans="1:14" hidden="1" x14ac:dyDescent="0.3">
      <c r="A100" s="39" t="s">
        <v>118</v>
      </c>
      <c r="B100" s="57">
        <v>8</v>
      </c>
      <c r="C100" s="66">
        <v>0</v>
      </c>
      <c r="D100" s="41">
        <v>0</v>
      </c>
      <c r="E100" s="41">
        <v>0</v>
      </c>
      <c r="F100" s="41">
        <v>0</v>
      </c>
      <c r="G100" s="67">
        <v>0</v>
      </c>
      <c r="H100" s="66">
        <v>0</v>
      </c>
      <c r="I100" s="41">
        <v>7.2926162260711033E-4</v>
      </c>
      <c r="J100" s="41">
        <v>0</v>
      </c>
      <c r="K100" s="41">
        <v>0</v>
      </c>
      <c r="L100" s="67">
        <v>7.2926162260711033E-4</v>
      </c>
      <c r="M100" s="81">
        <v>7.2926162260711033E-4</v>
      </c>
      <c r="N100" s="35"/>
    </row>
    <row r="101" spans="1:14" hidden="1" x14ac:dyDescent="0.3">
      <c r="A101" s="39" t="s">
        <v>119</v>
      </c>
      <c r="B101" s="57">
        <v>11</v>
      </c>
      <c r="C101" s="66">
        <v>0</v>
      </c>
      <c r="D101" s="41">
        <v>0</v>
      </c>
      <c r="E101" s="41">
        <v>0</v>
      </c>
      <c r="F101" s="41">
        <v>0</v>
      </c>
      <c r="G101" s="67">
        <v>0</v>
      </c>
      <c r="H101" s="66">
        <v>0</v>
      </c>
      <c r="I101" s="41">
        <v>1.0027347310847766E-3</v>
      </c>
      <c r="J101" s="41">
        <v>0</v>
      </c>
      <c r="K101" s="41">
        <v>0</v>
      </c>
      <c r="L101" s="67">
        <v>1.0027347310847766E-3</v>
      </c>
      <c r="M101" s="81">
        <v>1.0027347310847766E-3</v>
      </c>
      <c r="N101" s="35"/>
    </row>
    <row r="102" spans="1:14" hidden="1" x14ac:dyDescent="0.3">
      <c r="A102" s="39" t="s">
        <v>120</v>
      </c>
      <c r="B102" s="57">
        <v>140</v>
      </c>
      <c r="C102" s="66">
        <v>0</v>
      </c>
      <c r="D102" s="41">
        <v>0</v>
      </c>
      <c r="E102" s="41">
        <v>0</v>
      </c>
      <c r="F102" s="41">
        <v>0</v>
      </c>
      <c r="G102" s="67">
        <v>0</v>
      </c>
      <c r="H102" s="66">
        <v>0</v>
      </c>
      <c r="I102" s="41">
        <v>1.276207839562443E-2</v>
      </c>
      <c r="J102" s="41">
        <v>0</v>
      </c>
      <c r="K102" s="41">
        <v>0</v>
      </c>
      <c r="L102" s="67">
        <v>1.276207839562443E-2</v>
      </c>
      <c r="M102" s="81">
        <v>1.276207839562443E-2</v>
      </c>
      <c r="N102" s="35"/>
    </row>
    <row r="103" spans="1:14" hidden="1" x14ac:dyDescent="0.3">
      <c r="A103" s="39" t="s">
        <v>121</v>
      </c>
      <c r="B103" s="57">
        <v>149</v>
      </c>
      <c r="C103" s="66">
        <v>0</v>
      </c>
      <c r="D103" s="41">
        <v>0</v>
      </c>
      <c r="E103" s="41">
        <v>0</v>
      </c>
      <c r="F103" s="41">
        <v>0</v>
      </c>
      <c r="G103" s="67">
        <v>0</v>
      </c>
      <c r="H103" s="66">
        <v>0</v>
      </c>
      <c r="I103" s="41">
        <v>1.358249772105743E-2</v>
      </c>
      <c r="J103" s="41">
        <v>0</v>
      </c>
      <c r="K103" s="41">
        <v>0</v>
      </c>
      <c r="L103" s="67">
        <v>1.358249772105743E-2</v>
      </c>
      <c r="M103" s="81">
        <v>1.358249772105743E-2</v>
      </c>
      <c r="N103" s="35"/>
    </row>
    <row r="104" spans="1:14" hidden="1" x14ac:dyDescent="0.3">
      <c r="A104" s="39" t="s">
        <v>122</v>
      </c>
      <c r="B104" s="57">
        <v>144</v>
      </c>
      <c r="C104" s="66">
        <v>0</v>
      </c>
      <c r="D104" s="41">
        <v>0</v>
      </c>
      <c r="E104" s="41">
        <v>0</v>
      </c>
      <c r="F104" s="41">
        <v>0</v>
      </c>
      <c r="G104" s="67">
        <v>0</v>
      </c>
      <c r="H104" s="66">
        <v>0</v>
      </c>
      <c r="I104" s="41">
        <v>1.3126709206927985E-2</v>
      </c>
      <c r="J104" s="41">
        <v>0</v>
      </c>
      <c r="K104" s="41">
        <v>0</v>
      </c>
      <c r="L104" s="67">
        <v>1.3126709206927985E-2</v>
      </c>
      <c r="M104" s="81">
        <v>1.3126709206927985E-2</v>
      </c>
      <c r="N104" s="35"/>
    </row>
    <row r="105" spans="1:14" hidden="1" x14ac:dyDescent="0.3">
      <c r="A105" s="39" t="s">
        <v>123</v>
      </c>
      <c r="B105" s="57">
        <v>134</v>
      </c>
      <c r="C105" s="66">
        <v>0</v>
      </c>
      <c r="D105" s="41">
        <v>0</v>
      </c>
      <c r="E105" s="41">
        <v>0</v>
      </c>
      <c r="F105" s="41">
        <v>0</v>
      </c>
      <c r="G105" s="67">
        <v>0</v>
      </c>
      <c r="H105" s="66">
        <v>0</v>
      </c>
      <c r="I105" s="41">
        <v>1.2215132178669097E-2</v>
      </c>
      <c r="J105" s="41">
        <v>0</v>
      </c>
      <c r="K105" s="41">
        <v>0</v>
      </c>
      <c r="L105" s="67">
        <v>1.2215132178669097E-2</v>
      </c>
      <c r="M105" s="81">
        <v>1.2215132178669097E-2</v>
      </c>
      <c r="N105" s="35"/>
    </row>
    <row r="106" spans="1:14" x14ac:dyDescent="0.3">
      <c r="A106" s="43" t="s">
        <v>140</v>
      </c>
      <c r="B106" s="57">
        <v>703</v>
      </c>
      <c r="C106" s="66">
        <v>0</v>
      </c>
      <c r="D106" s="41">
        <v>1.1212397447584321E-2</v>
      </c>
      <c r="E106" s="41">
        <v>0</v>
      </c>
      <c r="F106" s="41">
        <v>0</v>
      </c>
      <c r="G106" s="67">
        <v>1.1212397447584321E-2</v>
      </c>
      <c r="H106" s="66">
        <v>0</v>
      </c>
      <c r="I106" s="41">
        <v>2.4339106654512305E-2</v>
      </c>
      <c r="J106" s="41">
        <v>8.2041932543299913E-3</v>
      </c>
      <c r="K106" s="41">
        <v>2.0328167730173201E-2</v>
      </c>
      <c r="L106" s="67">
        <v>5.2871467639015499E-2</v>
      </c>
      <c r="M106" s="81">
        <v>6.4083865086599814E-2</v>
      </c>
      <c r="N106" s="35"/>
    </row>
    <row r="107" spans="1:14" hidden="1" x14ac:dyDescent="0.3">
      <c r="A107" s="25" t="s">
        <v>67</v>
      </c>
      <c r="B107" s="58">
        <v>82</v>
      </c>
      <c r="C107" s="68">
        <v>0</v>
      </c>
      <c r="D107" s="15">
        <v>0</v>
      </c>
      <c r="E107" s="15">
        <v>0</v>
      </c>
      <c r="F107" s="15">
        <v>0</v>
      </c>
      <c r="G107" s="69">
        <v>0</v>
      </c>
      <c r="H107" s="68">
        <v>0</v>
      </c>
      <c r="I107" s="15">
        <v>0</v>
      </c>
      <c r="J107" s="15">
        <v>0</v>
      </c>
      <c r="K107" s="15">
        <v>7.4749316317228804E-3</v>
      </c>
      <c r="L107" s="69">
        <v>7.4749316317228804E-3</v>
      </c>
      <c r="M107" s="82">
        <v>7.4749316317228804E-3</v>
      </c>
      <c r="N107" s="35"/>
    </row>
    <row r="108" spans="1:14" hidden="1" x14ac:dyDescent="0.3">
      <c r="A108" s="23" t="s">
        <v>68</v>
      </c>
      <c r="B108" s="59">
        <v>72</v>
      </c>
      <c r="C108" s="70">
        <v>0</v>
      </c>
      <c r="D108" s="13">
        <v>0</v>
      </c>
      <c r="E108" s="13">
        <v>0</v>
      </c>
      <c r="F108" s="13">
        <v>0</v>
      </c>
      <c r="G108" s="71">
        <v>0</v>
      </c>
      <c r="H108" s="70">
        <v>0</v>
      </c>
      <c r="I108" s="13">
        <v>0</v>
      </c>
      <c r="J108" s="13">
        <v>0</v>
      </c>
      <c r="K108" s="13">
        <v>6.5633546034639927E-3</v>
      </c>
      <c r="L108" s="71">
        <v>6.5633546034639927E-3</v>
      </c>
      <c r="M108" s="83">
        <v>6.5633546034639927E-3</v>
      </c>
      <c r="N108" s="35"/>
    </row>
    <row r="109" spans="1:14" hidden="1" x14ac:dyDescent="0.3">
      <c r="A109" s="23" t="s">
        <v>69</v>
      </c>
      <c r="B109" s="59">
        <v>69</v>
      </c>
      <c r="C109" s="70">
        <v>0</v>
      </c>
      <c r="D109" s="13">
        <v>0</v>
      </c>
      <c r="E109" s="13">
        <v>0</v>
      </c>
      <c r="F109" s="13">
        <v>0</v>
      </c>
      <c r="G109" s="71">
        <v>0</v>
      </c>
      <c r="H109" s="70">
        <v>0</v>
      </c>
      <c r="I109" s="13">
        <v>0</v>
      </c>
      <c r="J109" s="13">
        <v>0</v>
      </c>
      <c r="K109" s="13">
        <v>6.289881494986326E-3</v>
      </c>
      <c r="L109" s="71">
        <v>6.289881494986326E-3</v>
      </c>
      <c r="M109" s="83">
        <v>6.289881494986326E-3</v>
      </c>
      <c r="N109" s="35"/>
    </row>
    <row r="110" spans="1:14" hidden="1" x14ac:dyDescent="0.3">
      <c r="A110" s="23" t="s">
        <v>70</v>
      </c>
      <c r="B110" s="59">
        <v>90</v>
      </c>
      <c r="C110" s="70">
        <v>0</v>
      </c>
      <c r="D110" s="13">
        <v>0</v>
      </c>
      <c r="E110" s="13">
        <v>0</v>
      </c>
      <c r="F110" s="13">
        <v>0</v>
      </c>
      <c r="G110" s="71">
        <v>0</v>
      </c>
      <c r="H110" s="70">
        <v>0</v>
      </c>
      <c r="I110" s="13">
        <v>0</v>
      </c>
      <c r="J110" s="13">
        <v>8.2041932543299913E-3</v>
      </c>
      <c r="K110" s="13">
        <v>0</v>
      </c>
      <c r="L110" s="71">
        <v>8.2041932543299913E-3</v>
      </c>
      <c r="M110" s="83">
        <v>8.2041932543299913E-3</v>
      </c>
      <c r="N110" s="35"/>
    </row>
    <row r="111" spans="1:14" hidden="1" x14ac:dyDescent="0.3">
      <c r="A111" s="23" t="s">
        <v>71</v>
      </c>
      <c r="B111" s="59">
        <v>86</v>
      </c>
      <c r="C111" s="70">
        <v>0</v>
      </c>
      <c r="D111" s="13">
        <v>0</v>
      </c>
      <c r="E111" s="13">
        <v>0</v>
      </c>
      <c r="F111" s="13">
        <v>0</v>
      </c>
      <c r="G111" s="71">
        <v>0</v>
      </c>
      <c r="H111" s="70">
        <v>0</v>
      </c>
      <c r="I111" s="13">
        <v>7.8395624430264363E-3</v>
      </c>
      <c r="J111" s="13">
        <v>0</v>
      </c>
      <c r="K111" s="13">
        <v>0</v>
      </c>
      <c r="L111" s="71">
        <v>7.8395624430264363E-3</v>
      </c>
      <c r="M111" s="83">
        <v>7.8395624430264363E-3</v>
      </c>
      <c r="N111" s="35"/>
    </row>
    <row r="112" spans="1:14" hidden="1" x14ac:dyDescent="0.3">
      <c r="A112" s="23" t="s">
        <v>72</v>
      </c>
      <c r="B112" s="59">
        <v>77</v>
      </c>
      <c r="C112" s="70">
        <v>0</v>
      </c>
      <c r="D112" s="13">
        <v>0</v>
      </c>
      <c r="E112" s="13">
        <v>0</v>
      </c>
      <c r="F112" s="13">
        <v>0</v>
      </c>
      <c r="G112" s="71">
        <v>0</v>
      </c>
      <c r="H112" s="70">
        <v>0</v>
      </c>
      <c r="I112" s="13">
        <v>7.019143117593437E-3</v>
      </c>
      <c r="J112" s="13">
        <v>0</v>
      </c>
      <c r="K112" s="13">
        <v>0</v>
      </c>
      <c r="L112" s="71">
        <v>7.019143117593437E-3</v>
      </c>
      <c r="M112" s="83">
        <v>7.019143117593437E-3</v>
      </c>
      <c r="N112" s="35"/>
    </row>
    <row r="113" spans="1:14" hidden="1" x14ac:dyDescent="0.3">
      <c r="A113" s="23" t="s">
        <v>73</v>
      </c>
      <c r="B113" s="59">
        <v>63</v>
      </c>
      <c r="C113" s="70">
        <v>0</v>
      </c>
      <c r="D113" s="13">
        <v>0</v>
      </c>
      <c r="E113" s="13">
        <v>0</v>
      </c>
      <c r="F113" s="13">
        <v>0</v>
      </c>
      <c r="G113" s="71">
        <v>0</v>
      </c>
      <c r="H113" s="70">
        <v>0</v>
      </c>
      <c r="I113" s="13">
        <v>5.7429352780309934E-3</v>
      </c>
      <c r="J113" s="13">
        <v>0</v>
      </c>
      <c r="K113" s="13">
        <v>0</v>
      </c>
      <c r="L113" s="71">
        <v>5.7429352780309934E-3</v>
      </c>
      <c r="M113" s="83">
        <v>5.7429352780309934E-3</v>
      </c>
      <c r="N113" s="35"/>
    </row>
    <row r="114" spans="1:14" hidden="1" x14ac:dyDescent="0.3">
      <c r="A114" s="23" t="s">
        <v>74</v>
      </c>
      <c r="B114" s="59">
        <v>34</v>
      </c>
      <c r="C114" s="70">
        <v>0</v>
      </c>
      <c r="D114" s="13">
        <v>0</v>
      </c>
      <c r="E114" s="13">
        <v>0</v>
      </c>
      <c r="F114" s="13">
        <v>0</v>
      </c>
      <c r="G114" s="71">
        <v>0</v>
      </c>
      <c r="H114" s="70">
        <v>0</v>
      </c>
      <c r="I114" s="13">
        <v>3.0993618960802188E-3</v>
      </c>
      <c r="J114" s="13">
        <v>0</v>
      </c>
      <c r="K114" s="13">
        <v>0</v>
      </c>
      <c r="L114" s="71">
        <v>3.0993618960802188E-3</v>
      </c>
      <c r="M114" s="83">
        <v>3.0993618960802188E-3</v>
      </c>
      <c r="N114" s="35"/>
    </row>
    <row r="115" spans="1:14" hidden="1" x14ac:dyDescent="0.3">
      <c r="A115" s="23" t="s">
        <v>75</v>
      </c>
      <c r="B115" s="59">
        <v>53</v>
      </c>
      <c r="C115" s="70">
        <v>0</v>
      </c>
      <c r="D115" s="13">
        <v>4.8313582497721058E-3</v>
      </c>
      <c r="E115" s="13">
        <v>0</v>
      </c>
      <c r="F115" s="13">
        <v>0</v>
      </c>
      <c r="G115" s="71">
        <v>4.8313582497721058E-3</v>
      </c>
      <c r="H115" s="70">
        <v>0</v>
      </c>
      <c r="I115" s="13">
        <v>0</v>
      </c>
      <c r="J115" s="13">
        <v>0</v>
      </c>
      <c r="K115" s="13">
        <v>0</v>
      </c>
      <c r="L115" s="71">
        <v>0</v>
      </c>
      <c r="M115" s="83">
        <v>4.8313582497721058E-3</v>
      </c>
      <c r="N115" s="35"/>
    </row>
    <row r="116" spans="1:14" hidden="1" x14ac:dyDescent="0.3">
      <c r="A116" s="23" t="s">
        <v>76</v>
      </c>
      <c r="B116" s="59">
        <v>7</v>
      </c>
      <c r="C116" s="70">
        <v>0</v>
      </c>
      <c r="D116" s="13">
        <v>0</v>
      </c>
      <c r="E116" s="13">
        <v>0</v>
      </c>
      <c r="F116" s="13">
        <v>0</v>
      </c>
      <c r="G116" s="71">
        <v>0</v>
      </c>
      <c r="H116" s="70">
        <v>0</v>
      </c>
      <c r="I116" s="13">
        <v>6.3810391978122156E-4</v>
      </c>
      <c r="J116" s="13">
        <v>0</v>
      </c>
      <c r="K116" s="13">
        <v>0</v>
      </c>
      <c r="L116" s="71">
        <v>6.3810391978122156E-4</v>
      </c>
      <c r="M116" s="83">
        <v>6.3810391978122156E-4</v>
      </c>
      <c r="N116" s="35"/>
    </row>
    <row r="117" spans="1:14" hidden="1" x14ac:dyDescent="0.3">
      <c r="A117" s="24" t="s">
        <v>77</v>
      </c>
      <c r="B117" s="60">
        <v>70</v>
      </c>
      <c r="C117" s="72">
        <v>0</v>
      </c>
      <c r="D117" s="17">
        <v>6.3810391978122152E-3</v>
      </c>
      <c r="E117" s="17">
        <v>0</v>
      </c>
      <c r="F117" s="17">
        <v>0</v>
      </c>
      <c r="G117" s="73">
        <v>6.3810391978122152E-3</v>
      </c>
      <c r="H117" s="72">
        <v>0</v>
      </c>
      <c r="I117" s="17">
        <v>0</v>
      </c>
      <c r="J117" s="17">
        <v>0</v>
      </c>
      <c r="K117" s="17">
        <v>0</v>
      </c>
      <c r="L117" s="73">
        <v>0</v>
      </c>
      <c r="M117" s="84">
        <v>6.3810391978122152E-3</v>
      </c>
      <c r="N117" s="35"/>
    </row>
    <row r="118" spans="1:14" ht="15" thickBot="1" x14ac:dyDescent="0.35">
      <c r="A118" s="30" t="s">
        <v>131</v>
      </c>
      <c r="B118" s="61">
        <f>11083-113</f>
        <v>10970</v>
      </c>
      <c r="C118" s="74">
        <v>0.2332725615314494</v>
      </c>
      <c r="D118" s="55">
        <v>2.9808568824065632E-2</v>
      </c>
      <c r="E118" s="55">
        <v>0.19690063810391978</v>
      </c>
      <c r="F118" s="55">
        <v>0.10154968094804011</v>
      </c>
      <c r="G118" s="75">
        <v>0.5615314494074749</v>
      </c>
      <c r="H118" s="78">
        <v>0.11476754785779399</v>
      </c>
      <c r="I118" s="54">
        <v>7.8030993618960806E-2</v>
      </c>
      <c r="J118" s="54">
        <v>0.12616226071103009</v>
      </c>
      <c r="K118" s="54">
        <v>0.1195077484047402</v>
      </c>
      <c r="L118" s="79">
        <v>0.43846855059252504</v>
      </c>
      <c r="M118" s="85">
        <v>1</v>
      </c>
      <c r="N118" s="35"/>
    </row>
  </sheetData>
  <mergeCells count="5">
    <mergeCell ref="A1:A2"/>
    <mergeCell ref="B1:B2"/>
    <mergeCell ref="C1:G1"/>
    <mergeCell ref="H1:L1"/>
    <mergeCell ref="M1:M2"/>
  </mergeCells>
  <pageMargins left="0.5" right="0.27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data_with_class</vt:lpstr>
      <vt:lpstr>Data</vt:lpstr>
      <vt:lpstr>Sheet4</vt:lpstr>
      <vt:lpstr>Pivot</vt:lpstr>
      <vt:lpstr>Detail</vt:lpstr>
      <vt:lpstr>Total</vt:lpstr>
      <vt:lpstr>R-N</vt:lpstr>
      <vt:lpstr>Detail_R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KohZ Nuklaeo</dc:creator>
  <cp:lastModifiedBy>KohZ Nuklaeo</cp:lastModifiedBy>
  <cp:lastPrinted>2026-03-20T07:11:00Z</cp:lastPrinted>
  <dcterms:created xsi:type="dcterms:W3CDTF">2026-03-20T03:11:55Z</dcterms:created>
  <dcterms:modified xsi:type="dcterms:W3CDTF">2026-04-20T06:17:13Z</dcterms:modified>
</cp:coreProperties>
</file>