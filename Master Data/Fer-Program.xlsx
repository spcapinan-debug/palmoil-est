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Cultivate\"/>
    </mc:Choice>
  </mc:AlternateContent>
  <xr:revisionPtr revIDLastSave="0" documentId="13_ncr:1_{34A1ED0C-5146-44D3-9EED-5CAF336F094F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Fertilizer" sheetId="5" r:id="rId1"/>
    <sheet name="Terrain" sheetId="9" r:id="rId2"/>
    <sheet name="Work system" sheetId="19" r:id="rId3"/>
    <sheet name="Caltivate" sheetId="17" r:id="rId4"/>
    <sheet name="Raw Data" sheetId="1" r:id="rId5"/>
    <sheet name="Pivot" sheetId="31" r:id="rId6"/>
    <sheet name="Pt-Planted Year" sheetId="28" r:id="rId7"/>
    <sheet name="Pt-Area" sheetId="29" r:id="rId8"/>
  </sheets>
  <definedNames>
    <definedName name="_xlnm._FilterDatabase" localSheetId="3" hidden="1">Caltivate!$A$1:$O$760</definedName>
    <definedName name="_xlnm._FilterDatabase" localSheetId="4" hidden="1">'Raw Data'!$A$1:$M$1</definedName>
    <definedName name="_xlnm._FilterDatabase" localSheetId="1" hidden="1">Terrain!$A$1:$H$110</definedName>
  </definedNames>
  <calcPr calcId="191029"/>
  <pivotCaches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K11" i="28" l="1"/>
  <c r="AK13" i="28"/>
  <c r="AK14" i="28"/>
  <c r="AK15" i="28"/>
  <c r="AK16" i="28"/>
  <c r="AK17" i="28"/>
  <c r="AK18" i="28"/>
  <c r="AK19" i="28"/>
  <c r="AK21" i="28"/>
  <c r="AK22" i="28"/>
  <c r="AK23" i="28"/>
  <c r="AK24" i="28"/>
  <c r="AK25" i="28"/>
  <c r="AK26" i="28"/>
  <c r="AK27" i="28"/>
  <c r="AK28" i="28"/>
  <c r="AK29" i="28"/>
  <c r="AK30" i="28"/>
  <c r="AK31" i="28"/>
  <c r="AK32" i="28"/>
  <c r="AK33" i="28"/>
  <c r="AK35" i="28"/>
  <c r="AK36" i="28"/>
  <c r="AK37" i="28"/>
  <c r="AK39" i="28"/>
  <c r="AK40" i="28"/>
  <c r="AK41" i="28"/>
  <c r="AK43" i="28"/>
  <c r="AK44" i="28"/>
  <c r="AK45" i="28"/>
  <c r="AK46" i="28"/>
  <c r="AK47" i="28"/>
  <c r="AK49" i="28"/>
  <c r="AK50" i="28"/>
  <c r="AK51" i="28"/>
  <c r="AK52" i="28"/>
  <c r="AK54" i="28"/>
  <c r="AK55" i="28"/>
  <c r="AK56" i="28"/>
  <c r="AK57" i="28"/>
  <c r="AK58" i="28"/>
  <c r="AK60" i="28"/>
  <c r="AK61" i="28"/>
  <c r="AK65" i="28"/>
  <c r="AK67" i="28"/>
  <c r="AK68" i="28"/>
  <c r="AK69" i="28"/>
  <c r="AK70" i="28"/>
  <c r="AK71" i="28"/>
  <c r="AK72" i="28"/>
  <c r="AK73" i="28"/>
  <c r="AK74" i="28"/>
  <c r="AK75" i="28"/>
  <c r="AK76" i="28"/>
  <c r="AK78" i="28"/>
  <c r="AK79" i="28"/>
  <c r="AK80" i="28"/>
  <c r="AK81" i="28"/>
  <c r="AK82" i="28"/>
  <c r="AK83" i="28"/>
  <c r="AK84" i="28"/>
  <c r="AK85" i="28"/>
  <c r="AK86" i="28"/>
  <c r="AK88" i="28"/>
  <c r="AK89" i="28"/>
  <c r="AK90" i="28"/>
  <c r="AK91" i="28"/>
  <c r="AK92" i="28"/>
  <c r="AK93" i="28"/>
  <c r="AK94" i="28"/>
  <c r="AK95" i="28"/>
  <c r="AK96" i="28"/>
  <c r="AK98" i="28"/>
  <c r="AK99" i="28"/>
  <c r="AK100" i="28"/>
  <c r="AK101" i="28"/>
  <c r="AK102" i="28"/>
  <c r="AK103" i="28"/>
  <c r="AK104" i="28"/>
  <c r="AK105" i="28"/>
  <c r="AK106" i="28"/>
  <c r="AK107" i="28"/>
  <c r="AK108" i="28"/>
  <c r="AK109" i="28"/>
  <c r="AK110" i="28"/>
  <c r="AK111" i="28"/>
  <c r="AK113" i="28"/>
  <c r="AK114" i="28"/>
  <c r="AK115" i="28"/>
  <c r="AK116" i="28"/>
  <c r="AK117" i="28"/>
  <c r="AK119" i="28"/>
  <c r="AK120" i="28"/>
  <c r="AK121" i="28"/>
  <c r="AK123" i="28"/>
  <c r="AK124" i="28"/>
  <c r="AK125" i="28"/>
  <c r="AK126" i="28"/>
  <c r="AK127" i="28"/>
  <c r="AK128" i="28"/>
  <c r="AK129" i="28"/>
  <c r="AK10" i="28"/>
  <c r="AL9" i="29"/>
  <c r="AL69" i="29"/>
  <c r="AL70" i="29"/>
  <c r="AL71" i="29"/>
  <c r="AL72" i="29"/>
  <c r="AL73" i="29"/>
  <c r="AL74" i="29"/>
  <c r="AL75" i="29"/>
  <c r="AL76" i="29"/>
  <c r="AL77" i="29"/>
  <c r="AL78" i="29"/>
  <c r="AL79" i="29"/>
  <c r="AL80" i="29"/>
  <c r="AL81" i="29"/>
  <c r="AL82" i="29"/>
  <c r="AL83" i="29"/>
  <c r="AL84" i="29"/>
  <c r="AL85" i="29"/>
  <c r="AL86" i="29"/>
  <c r="AL87" i="29"/>
  <c r="AL88" i="29"/>
  <c r="AL89" i="29"/>
  <c r="AL90" i="29"/>
  <c r="AL91" i="29"/>
  <c r="AL92" i="29"/>
  <c r="AL93" i="29"/>
  <c r="AL94" i="29"/>
  <c r="AL95" i="29"/>
  <c r="AL96" i="29"/>
  <c r="AL97" i="29"/>
  <c r="AL98" i="29"/>
  <c r="AL99" i="29"/>
  <c r="AL100" i="29"/>
  <c r="AL101" i="29"/>
  <c r="AL102" i="29"/>
  <c r="AL103" i="29"/>
  <c r="AL104" i="29"/>
  <c r="AL105" i="29"/>
  <c r="AL106" i="29"/>
  <c r="AL107" i="29"/>
  <c r="AL108" i="29"/>
  <c r="AL109" i="29"/>
  <c r="AL110" i="29"/>
  <c r="AL111" i="29"/>
  <c r="AL112" i="29"/>
  <c r="AL38" i="29"/>
  <c r="AL39" i="29"/>
  <c r="AL40" i="29"/>
  <c r="AL41" i="29"/>
  <c r="AL42" i="29"/>
  <c r="AL43" i="29"/>
  <c r="AL44" i="29"/>
  <c r="AL45" i="29"/>
  <c r="AL46" i="29"/>
  <c r="AL47" i="29"/>
  <c r="AL48" i="29"/>
  <c r="AL49" i="29"/>
  <c r="AL50" i="29"/>
  <c r="AL51" i="29"/>
  <c r="AL52" i="29"/>
  <c r="AL53" i="29"/>
  <c r="AL54" i="29"/>
  <c r="AL55" i="29"/>
  <c r="AL56" i="29"/>
  <c r="AL57" i="29"/>
  <c r="AL58" i="29"/>
  <c r="AL59" i="29"/>
  <c r="AL60" i="29"/>
  <c r="AL61" i="29"/>
  <c r="AL62" i="29"/>
  <c r="AL63" i="29"/>
  <c r="AL64" i="29"/>
  <c r="AL65" i="29"/>
  <c r="AL66" i="29"/>
  <c r="AL20" i="29"/>
  <c r="AL21" i="29"/>
  <c r="AL22" i="29"/>
  <c r="AL23" i="29"/>
  <c r="AL24" i="29"/>
  <c r="AL25" i="29"/>
  <c r="AL26" i="29"/>
  <c r="AL27" i="29"/>
  <c r="AL28" i="29"/>
  <c r="AL29" i="29"/>
  <c r="AL30" i="29"/>
  <c r="AL31" i="29"/>
  <c r="AL32" i="29"/>
  <c r="AL33" i="29"/>
  <c r="AL34" i="29"/>
  <c r="AL35" i="29"/>
  <c r="AL36" i="29"/>
  <c r="AL37" i="29"/>
  <c r="AL10" i="29"/>
  <c r="AL11" i="29"/>
  <c r="AL12" i="29"/>
  <c r="AL13" i="29"/>
  <c r="AL14" i="29"/>
  <c r="AL15" i="29"/>
  <c r="AL16" i="29"/>
  <c r="AL17" i="29"/>
  <c r="AL18" i="29"/>
  <c r="AL19" i="29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2" i="1"/>
  <c r="D110" i="9"/>
  <c r="D109" i="9"/>
  <c r="D108" i="9"/>
  <c r="D107" i="9"/>
  <c r="D106" i="9"/>
  <c r="D105" i="9"/>
  <c r="D104" i="9"/>
  <c r="G104" i="9" s="1"/>
  <c r="D103" i="9"/>
  <c r="G103" i="9" s="1"/>
  <c r="D102" i="9"/>
  <c r="D101" i="9"/>
  <c r="G101" i="9" s="1"/>
  <c r="D100" i="9"/>
  <c r="G100" i="9" s="1"/>
  <c r="D99" i="9"/>
  <c r="G99" i="9" s="1"/>
  <c r="D98" i="9"/>
  <c r="G98" i="9" s="1"/>
  <c r="D97" i="9"/>
  <c r="G97" i="9" s="1"/>
  <c r="D96" i="9"/>
  <c r="G96" i="9" s="1"/>
  <c r="D95" i="9"/>
  <c r="G95" i="9" s="1"/>
  <c r="D94" i="9"/>
  <c r="D93" i="9"/>
  <c r="D92" i="9"/>
  <c r="D91" i="9"/>
  <c r="G91" i="9" s="1"/>
  <c r="D90" i="9"/>
  <c r="G90" i="9" s="1"/>
  <c r="D89" i="9"/>
  <c r="D88" i="9"/>
  <c r="D87" i="9"/>
  <c r="D86" i="9"/>
  <c r="G86" i="9" s="1"/>
  <c r="D85" i="9"/>
  <c r="G85" i="9" s="1"/>
  <c r="D84" i="9"/>
  <c r="G84" i="9" s="1"/>
  <c r="D83" i="9"/>
  <c r="D82" i="9"/>
  <c r="G82" i="9" s="1"/>
  <c r="D81" i="9"/>
  <c r="G81" i="9" s="1"/>
  <c r="D80" i="9"/>
  <c r="G80" i="9" s="1"/>
  <c r="D79" i="9"/>
  <c r="G79" i="9" s="1"/>
  <c r="D78" i="9"/>
  <c r="D77" i="9"/>
  <c r="D76" i="9"/>
  <c r="D75" i="9"/>
  <c r="D74" i="9"/>
  <c r="G74" i="9" s="1"/>
  <c r="D73" i="9"/>
  <c r="D72" i="9"/>
  <c r="D71" i="9"/>
  <c r="G71" i="9" s="1"/>
  <c r="D70" i="9"/>
  <c r="D69" i="9"/>
  <c r="G69" i="9" s="1"/>
  <c r="D68" i="9"/>
  <c r="D67" i="9"/>
  <c r="D66" i="9"/>
  <c r="D65" i="9"/>
  <c r="G65" i="9" s="1"/>
  <c r="D64" i="9"/>
  <c r="G63" i="9"/>
  <c r="D56" i="9"/>
  <c r="G56" i="9" s="1"/>
  <c r="D55" i="9"/>
  <c r="G55" i="9" s="1"/>
  <c r="D54" i="9"/>
  <c r="G54" i="9" s="1"/>
  <c r="G53" i="9"/>
  <c r="D52" i="9"/>
  <c r="G52" i="9" s="1"/>
  <c r="D51" i="9"/>
  <c r="G51" i="9" s="1"/>
  <c r="D50" i="9"/>
  <c r="G50" i="9" s="1"/>
  <c r="D49" i="9"/>
  <c r="G49" i="9" s="1"/>
  <c r="D48" i="9"/>
  <c r="G48" i="9" s="1"/>
  <c r="D47" i="9"/>
  <c r="G47" i="9" s="1"/>
  <c r="D46" i="9"/>
  <c r="G46" i="9" s="1"/>
  <c r="D45" i="9"/>
  <c r="D44" i="9"/>
  <c r="D43" i="9"/>
  <c r="D42" i="9"/>
  <c r="D41" i="9"/>
  <c r="D40" i="9"/>
  <c r="D39" i="9"/>
  <c r="D38" i="9"/>
  <c r="G38" i="9" s="1"/>
  <c r="D37" i="9"/>
  <c r="D36" i="9"/>
  <c r="D35" i="9"/>
  <c r="D34" i="9"/>
  <c r="D33" i="9"/>
  <c r="D32" i="9"/>
  <c r="D31" i="9"/>
  <c r="G31" i="9" s="1"/>
  <c r="D30" i="9"/>
  <c r="D29" i="9"/>
  <c r="D28" i="9"/>
  <c r="G28" i="9" s="1"/>
  <c r="D27" i="9"/>
  <c r="D26" i="9"/>
  <c r="D25" i="9"/>
  <c r="D24" i="9"/>
  <c r="D23" i="9"/>
  <c r="G23" i="9" s="1"/>
  <c r="D22" i="9"/>
  <c r="D21" i="9"/>
  <c r="D20" i="9"/>
  <c r="G20" i="9" s="1"/>
  <c r="D19" i="9"/>
  <c r="G19" i="9" s="1"/>
  <c r="D18" i="9"/>
  <c r="G18" i="9" s="1"/>
  <c r="D17" i="9"/>
  <c r="G17" i="9" s="1"/>
  <c r="D16" i="9"/>
  <c r="G16" i="9" s="1"/>
  <c r="D15" i="9"/>
  <c r="G15" i="9" s="1"/>
  <c r="D14" i="9"/>
  <c r="D13" i="9"/>
  <c r="D12" i="9"/>
  <c r="D11" i="9"/>
  <c r="D10" i="9"/>
  <c r="D9" i="9"/>
  <c r="D8" i="9"/>
  <c r="D7" i="9"/>
  <c r="D6" i="9"/>
  <c r="G5" i="9"/>
  <c r="G108" i="9"/>
  <c r="G107" i="9"/>
  <c r="G106" i="9"/>
  <c r="G105" i="9"/>
  <c r="G72" i="9"/>
  <c r="G70" i="9"/>
  <c r="G66" i="9"/>
  <c r="G41" i="9"/>
  <c r="G40" i="9"/>
  <c r="G39" i="9"/>
  <c r="G37" i="9"/>
  <c r="G35" i="9"/>
  <c r="G34" i="9"/>
  <c r="G33" i="9"/>
  <c r="G32" i="9"/>
  <c r="G13" i="9"/>
  <c r="G7" i="9"/>
  <c r="G61" i="9"/>
  <c r="G8" i="9"/>
  <c r="G9" i="9"/>
  <c r="G12" i="9"/>
  <c r="G14" i="9"/>
  <c r="G43" i="9"/>
  <c r="G44" i="9"/>
  <c r="G45" i="9"/>
  <c r="G77" i="9"/>
  <c r="G78" i="9"/>
  <c r="G102" i="9"/>
  <c r="D2" i="9"/>
  <c r="G10" i="9"/>
  <c r="G11" i="9"/>
  <c r="G24" i="9"/>
  <c r="G25" i="9"/>
  <c r="G26" i="9"/>
  <c r="G27" i="9"/>
  <c r="G29" i="9"/>
  <c r="G30" i="9"/>
  <c r="G57" i="9"/>
  <c r="G58" i="9"/>
  <c r="G59" i="9"/>
  <c r="G60" i="9"/>
  <c r="G62" i="9"/>
  <c r="G67" i="9"/>
  <c r="G83" i="9"/>
  <c r="G89" i="9"/>
  <c r="G42" i="9"/>
  <c r="G73" i="9"/>
  <c r="G92" i="9"/>
  <c r="G93" i="9"/>
  <c r="G94" i="9"/>
  <c r="G87" i="9"/>
  <c r="G88" i="9"/>
  <c r="G109" i="9"/>
  <c r="G110" i="9"/>
  <c r="G75" i="9"/>
  <c r="G76" i="9"/>
  <c r="G21" i="9"/>
  <c r="G22" i="9"/>
  <c r="G36" i="9"/>
  <c r="AI20" i="28"/>
  <c r="AI12" i="28"/>
  <c r="AC66" i="28"/>
  <c r="X66" i="28"/>
  <c r="T66" i="28"/>
  <c r="Q66" i="28"/>
  <c r="L66" i="28"/>
  <c r="G66" i="28"/>
  <c r="D66" i="28"/>
  <c r="AI66" i="28" s="1"/>
  <c r="AI63" i="28"/>
  <c r="AD20" i="28"/>
  <c r="Y20" i="28"/>
  <c r="T20" i="28"/>
  <c r="R20" i="28"/>
  <c r="M20" i="28"/>
  <c r="H20" i="28"/>
  <c r="E20" i="28"/>
  <c r="AI105" i="28"/>
  <c r="C760" i="1"/>
  <c r="C761" i="1"/>
  <c r="C762" i="1"/>
  <c r="C763" i="1"/>
  <c r="L760" i="1"/>
  <c r="L761" i="1"/>
  <c r="L762" i="1"/>
  <c r="L763" i="1"/>
  <c r="E18" i="1" l="1"/>
  <c r="G3" i="9"/>
  <c r="E19" i="1"/>
  <c r="G4" i="9"/>
  <c r="G68" i="9"/>
  <c r="G6" i="9"/>
  <c r="G64" i="9"/>
  <c r="AI8" i="28"/>
  <c r="AI131" i="28" s="1"/>
  <c r="L759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O3" i="17" l="1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2" i="17"/>
  <c r="G2" i="9"/>
  <c r="O261" i="1"/>
  <c r="N261" i="1"/>
  <c r="E261" i="1"/>
  <c r="O561" i="1"/>
  <c r="E561" i="1"/>
  <c r="N561" i="1"/>
  <c r="O148" i="1"/>
  <c r="N148" i="1"/>
  <c r="E148" i="1"/>
  <c r="E632" i="1"/>
  <c r="O632" i="1"/>
  <c r="N632" i="1"/>
  <c r="O44" i="1"/>
  <c r="E44" i="1"/>
  <c r="N44" i="1"/>
  <c r="O450" i="1"/>
  <c r="N450" i="1"/>
  <c r="E450" i="1"/>
  <c r="O609" i="1"/>
  <c r="N609" i="1"/>
  <c r="E609" i="1"/>
  <c r="E402" i="1"/>
  <c r="N402" i="1"/>
  <c r="O402" i="1"/>
  <c r="E659" i="1"/>
  <c r="N659" i="1"/>
  <c r="O659" i="1"/>
  <c r="N18" i="1"/>
  <c r="O18" i="1"/>
  <c r="O66" i="1"/>
  <c r="E66" i="1"/>
  <c r="N66" i="1"/>
  <c r="E530" i="1"/>
  <c r="N530" i="1"/>
  <c r="O530" i="1"/>
  <c r="O578" i="1"/>
  <c r="E578" i="1"/>
  <c r="N578" i="1"/>
  <c r="N481" i="1"/>
  <c r="E481" i="1"/>
  <c r="O481" i="1"/>
  <c r="O433" i="1"/>
  <c r="N433" i="1"/>
  <c r="E433" i="1"/>
  <c r="O305" i="1"/>
  <c r="E305" i="1"/>
  <c r="N305" i="1"/>
  <c r="O147" i="1"/>
  <c r="N147" i="1"/>
  <c r="E147" i="1"/>
  <c r="O528" i="1"/>
  <c r="N528" i="1"/>
  <c r="E528" i="1"/>
  <c r="O687" i="1"/>
  <c r="N687" i="1"/>
  <c r="E687" i="1"/>
  <c r="E731" i="1"/>
  <c r="N731" i="1"/>
  <c r="O731" i="1"/>
  <c r="O267" i="1"/>
  <c r="N267" i="1"/>
  <c r="E267" i="1"/>
  <c r="O152" i="1"/>
  <c r="E152" i="1"/>
  <c r="N152" i="1"/>
  <c r="O324" i="1"/>
  <c r="E324" i="1"/>
  <c r="N324" i="1"/>
  <c r="O281" i="1"/>
  <c r="N281" i="1"/>
  <c r="E281" i="1"/>
  <c r="O194" i="1"/>
  <c r="N194" i="1"/>
  <c r="E194" i="1"/>
  <c r="O706" i="1"/>
  <c r="E706" i="1"/>
  <c r="N706" i="1"/>
  <c r="O203" i="1"/>
  <c r="N203" i="1"/>
  <c r="E203" i="1"/>
  <c r="O146" i="1"/>
  <c r="N146" i="1"/>
  <c r="E146" i="1"/>
  <c r="O274" i="1"/>
  <c r="E274" i="1"/>
  <c r="N274" i="1"/>
  <c r="E322" i="1"/>
  <c r="N322" i="1"/>
  <c r="O322" i="1"/>
  <c r="N658" i="1"/>
  <c r="O658" i="1"/>
  <c r="E658" i="1"/>
  <c r="E737" i="1"/>
  <c r="N737" i="1"/>
  <c r="O737" i="1"/>
  <c r="E689" i="1"/>
  <c r="N689" i="1"/>
  <c r="O689" i="1"/>
  <c r="N193" i="1"/>
  <c r="E193" i="1"/>
  <c r="O193" i="1"/>
  <c r="O483" i="1"/>
  <c r="N483" i="1"/>
  <c r="E483" i="1"/>
  <c r="E352" i="1"/>
  <c r="N352" i="1"/>
  <c r="O352" i="1"/>
  <c r="N660" i="1"/>
  <c r="E660" i="1"/>
  <c r="O660" i="1"/>
  <c r="O43" i="1"/>
  <c r="E43" i="1"/>
  <c r="N43" i="1"/>
  <c r="E456" i="1"/>
  <c r="N456" i="1"/>
  <c r="O456" i="1"/>
  <c r="O667" i="1"/>
  <c r="E667" i="1"/>
  <c r="N667" i="1"/>
  <c r="N34" i="1"/>
  <c r="E34" i="1"/>
  <c r="O34" i="1"/>
  <c r="O114" i="1"/>
  <c r="N114" i="1"/>
  <c r="E114" i="1"/>
  <c r="N162" i="1"/>
  <c r="E162" i="1"/>
  <c r="O162" i="1"/>
  <c r="N242" i="1"/>
  <c r="O242" i="1"/>
  <c r="E242" i="1"/>
  <c r="N290" i="1"/>
  <c r="E290" i="1"/>
  <c r="O290" i="1"/>
  <c r="O370" i="1"/>
  <c r="N370" i="1"/>
  <c r="E370" i="1"/>
  <c r="E418" i="1"/>
  <c r="N418" i="1"/>
  <c r="O418" i="1"/>
  <c r="N498" i="1"/>
  <c r="O498" i="1"/>
  <c r="E498" i="1"/>
  <c r="N546" i="1"/>
  <c r="E546" i="1"/>
  <c r="O546" i="1"/>
  <c r="N626" i="1"/>
  <c r="O626" i="1"/>
  <c r="E626" i="1"/>
  <c r="N674" i="1"/>
  <c r="E674" i="1"/>
  <c r="O674" i="1"/>
  <c r="O754" i="1"/>
  <c r="E754" i="1"/>
  <c r="N754" i="1"/>
  <c r="E721" i="1"/>
  <c r="N721" i="1"/>
  <c r="O721" i="1"/>
  <c r="O641" i="1"/>
  <c r="N641" i="1"/>
  <c r="E641" i="1"/>
  <c r="N593" i="1"/>
  <c r="E593" i="1"/>
  <c r="O593" i="1"/>
  <c r="E513" i="1"/>
  <c r="O513" i="1"/>
  <c r="N513" i="1"/>
  <c r="E465" i="1"/>
  <c r="N465" i="1"/>
  <c r="O465" i="1"/>
  <c r="O99" i="1"/>
  <c r="N99" i="1"/>
  <c r="E99" i="1"/>
  <c r="O275" i="1"/>
  <c r="N275" i="1"/>
  <c r="E275" i="1"/>
  <c r="O611" i="1"/>
  <c r="N611" i="1"/>
  <c r="E611" i="1"/>
  <c r="N736" i="1"/>
  <c r="O736" i="1"/>
  <c r="E736" i="1"/>
  <c r="O400" i="1"/>
  <c r="E400" i="1"/>
  <c r="N400" i="1"/>
  <c r="N224" i="1"/>
  <c r="O224" i="1"/>
  <c r="E224" i="1"/>
  <c r="N276" i="1"/>
  <c r="O276" i="1"/>
  <c r="E276" i="1"/>
  <c r="O452" i="1"/>
  <c r="N452" i="1"/>
  <c r="E452" i="1"/>
  <c r="N735" i="1"/>
  <c r="O735" i="1"/>
  <c r="E735" i="1"/>
  <c r="O559" i="1"/>
  <c r="E559" i="1"/>
  <c r="N559" i="1"/>
  <c r="E201" i="1"/>
  <c r="O201" i="1"/>
  <c r="N201" i="1"/>
  <c r="E457" i="1"/>
  <c r="O457" i="1"/>
  <c r="N457" i="1"/>
  <c r="O535" i="1"/>
  <c r="N535" i="1"/>
  <c r="E535" i="1"/>
  <c r="O232" i="1"/>
  <c r="E232" i="1"/>
  <c r="N232" i="1"/>
  <c r="E202" i="1"/>
  <c r="O202" i="1"/>
  <c r="N202" i="1"/>
  <c r="N477" i="1"/>
  <c r="O477" i="1"/>
  <c r="E477" i="1"/>
  <c r="N377" i="1"/>
  <c r="E377" i="1"/>
  <c r="O377" i="1"/>
  <c r="N663" i="1"/>
  <c r="E663" i="1"/>
  <c r="O663" i="1"/>
  <c r="O227" i="1"/>
  <c r="N227" i="1"/>
  <c r="E227" i="1"/>
  <c r="O739" i="1"/>
  <c r="E739" i="1"/>
  <c r="N739" i="1"/>
  <c r="E272" i="1"/>
  <c r="O272" i="1"/>
  <c r="N272" i="1"/>
  <c r="O404" i="1"/>
  <c r="N404" i="1"/>
  <c r="E404" i="1"/>
  <c r="O607" i="1"/>
  <c r="N607" i="1"/>
  <c r="E607" i="1"/>
  <c r="N378" i="1"/>
  <c r="O378" i="1"/>
  <c r="E378" i="1"/>
  <c r="E286" i="1"/>
  <c r="O286" i="1"/>
  <c r="N286" i="1"/>
  <c r="O398" i="1"/>
  <c r="N398" i="1"/>
  <c r="E398" i="1"/>
  <c r="O45" i="1"/>
  <c r="N45" i="1"/>
  <c r="E45" i="1"/>
  <c r="O210" i="1"/>
  <c r="N210" i="1"/>
  <c r="E210" i="1"/>
  <c r="O338" i="1"/>
  <c r="N338" i="1"/>
  <c r="E338" i="1"/>
  <c r="O466" i="1"/>
  <c r="N466" i="1"/>
  <c r="E466" i="1"/>
  <c r="O594" i="1"/>
  <c r="E594" i="1"/>
  <c r="N594" i="1"/>
  <c r="O722" i="1"/>
  <c r="N722" i="1"/>
  <c r="E722" i="1"/>
  <c r="O673" i="1"/>
  <c r="E673" i="1"/>
  <c r="N673" i="1"/>
  <c r="O545" i="1"/>
  <c r="N545" i="1"/>
  <c r="E545" i="1"/>
  <c r="O369" i="1"/>
  <c r="E369" i="1"/>
  <c r="N369" i="1"/>
  <c r="O273" i="1"/>
  <c r="E273" i="1"/>
  <c r="N273" i="1"/>
  <c r="O82" i="1"/>
  <c r="N82" i="1"/>
  <c r="E82" i="1"/>
  <c r="E2" i="1"/>
  <c r="O2" i="1"/>
  <c r="N2" i="1"/>
  <c r="E50" i="1"/>
  <c r="N50" i="1"/>
  <c r="O50" i="1"/>
  <c r="N98" i="1"/>
  <c r="E98" i="1"/>
  <c r="O98" i="1"/>
  <c r="E130" i="1"/>
  <c r="O130" i="1"/>
  <c r="N130" i="1"/>
  <c r="E178" i="1"/>
  <c r="N178" i="1"/>
  <c r="O178" i="1"/>
  <c r="O226" i="1"/>
  <c r="N226" i="1"/>
  <c r="E226" i="1"/>
  <c r="O258" i="1"/>
  <c r="N258" i="1"/>
  <c r="E258" i="1"/>
  <c r="N306" i="1"/>
  <c r="E306" i="1"/>
  <c r="O306" i="1"/>
  <c r="O354" i="1"/>
  <c r="N354" i="1"/>
  <c r="E354" i="1"/>
  <c r="E386" i="1"/>
  <c r="O386" i="1"/>
  <c r="N386" i="1"/>
  <c r="E434" i="1"/>
  <c r="N434" i="1"/>
  <c r="O434" i="1"/>
  <c r="O482" i="1"/>
  <c r="N482" i="1"/>
  <c r="E482" i="1"/>
  <c r="E514" i="1"/>
  <c r="O514" i="1"/>
  <c r="N514" i="1"/>
  <c r="N562" i="1"/>
  <c r="E562" i="1"/>
  <c r="O562" i="1"/>
  <c r="N610" i="1"/>
  <c r="E610" i="1"/>
  <c r="O610" i="1"/>
  <c r="E642" i="1"/>
  <c r="O642" i="1"/>
  <c r="N642" i="1"/>
  <c r="N690" i="1"/>
  <c r="E690" i="1"/>
  <c r="O690" i="1"/>
  <c r="O738" i="1"/>
  <c r="N738" i="1"/>
  <c r="E738" i="1"/>
  <c r="N753" i="1"/>
  <c r="O753" i="1"/>
  <c r="E753" i="1"/>
  <c r="E705" i="1"/>
  <c r="N705" i="1"/>
  <c r="O705" i="1"/>
  <c r="O657" i="1"/>
  <c r="N657" i="1"/>
  <c r="E657" i="1"/>
  <c r="N625" i="1"/>
  <c r="O625" i="1"/>
  <c r="E625" i="1"/>
  <c r="E577" i="1"/>
  <c r="N577" i="1"/>
  <c r="O577" i="1"/>
  <c r="O529" i="1"/>
  <c r="N529" i="1"/>
  <c r="E529" i="1"/>
  <c r="N497" i="1"/>
  <c r="O497" i="1"/>
  <c r="E497" i="1"/>
  <c r="N449" i="1"/>
  <c r="E449" i="1"/>
  <c r="O449" i="1"/>
  <c r="E401" i="1"/>
  <c r="N401" i="1"/>
  <c r="O401" i="1"/>
  <c r="O353" i="1"/>
  <c r="E353" i="1"/>
  <c r="N353" i="1"/>
  <c r="O321" i="1"/>
  <c r="E321" i="1"/>
  <c r="N321" i="1"/>
  <c r="N19" i="1"/>
  <c r="O19" i="1"/>
  <c r="N355" i="1"/>
  <c r="E355" i="1"/>
  <c r="O355" i="1"/>
  <c r="O403" i="1"/>
  <c r="N403" i="1"/>
  <c r="E403" i="1"/>
  <c r="N531" i="1"/>
  <c r="E531" i="1"/>
  <c r="O531" i="1"/>
  <c r="N656" i="1"/>
  <c r="E656" i="1"/>
  <c r="O656" i="1"/>
  <c r="O608" i="1"/>
  <c r="E608" i="1"/>
  <c r="N608" i="1"/>
  <c r="O480" i="1"/>
  <c r="N480" i="1"/>
  <c r="E480" i="1"/>
  <c r="E20" i="1"/>
  <c r="N20" i="1"/>
  <c r="O20" i="1"/>
  <c r="O68" i="1"/>
  <c r="E68" i="1"/>
  <c r="N68" i="1"/>
  <c r="E196" i="1"/>
  <c r="N196" i="1"/>
  <c r="O196" i="1"/>
  <c r="E532" i="1"/>
  <c r="O532" i="1"/>
  <c r="N532" i="1"/>
  <c r="O580" i="1"/>
  <c r="E580" i="1"/>
  <c r="N580" i="1"/>
  <c r="E708" i="1"/>
  <c r="N708" i="1"/>
  <c r="O708" i="1"/>
  <c r="N479" i="1"/>
  <c r="E479" i="1"/>
  <c r="O479" i="1"/>
  <c r="O431" i="1"/>
  <c r="N431" i="1"/>
  <c r="E431" i="1"/>
  <c r="O103" i="1"/>
  <c r="E103" i="1"/>
  <c r="N103" i="1"/>
  <c r="O574" i="1"/>
  <c r="E574" i="1"/>
  <c r="N574" i="1"/>
  <c r="O653" i="1"/>
  <c r="E653" i="1"/>
  <c r="N653" i="1"/>
  <c r="O652" i="1"/>
  <c r="N652" i="1"/>
  <c r="E652" i="1"/>
  <c r="N96" i="1"/>
  <c r="E96" i="1"/>
  <c r="O96" i="1"/>
  <c r="O48" i="1"/>
  <c r="N48" i="1"/>
  <c r="E48" i="1"/>
  <c r="E104" i="1"/>
  <c r="N104" i="1"/>
  <c r="O104" i="1"/>
  <c r="O553" i="1"/>
  <c r="E553" i="1"/>
  <c r="N553" i="1"/>
  <c r="E213" i="1"/>
  <c r="N213" i="1"/>
  <c r="O213" i="1"/>
  <c r="N282" i="1"/>
  <c r="E282" i="1"/>
  <c r="O282" i="1"/>
  <c r="E46" i="1"/>
  <c r="N46" i="1"/>
  <c r="O46" i="1"/>
  <c r="O200" i="1"/>
  <c r="E200" i="1"/>
  <c r="N200" i="1"/>
  <c r="O225" i="1"/>
  <c r="N225" i="1"/>
  <c r="E225" i="1"/>
  <c r="O177" i="1"/>
  <c r="N177" i="1"/>
  <c r="E177" i="1"/>
  <c r="N67" i="1"/>
  <c r="O67" i="1"/>
  <c r="E67" i="1"/>
  <c r="O115" i="1"/>
  <c r="E115" i="1"/>
  <c r="N115" i="1"/>
  <c r="O195" i="1"/>
  <c r="E195" i="1"/>
  <c r="N195" i="1"/>
  <c r="O243" i="1"/>
  <c r="N243" i="1"/>
  <c r="E243" i="1"/>
  <c r="N323" i="1"/>
  <c r="O323" i="1"/>
  <c r="E323" i="1"/>
  <c r="O371" i="1"/>
  <c r="E371" i="1"/>
  <c r="N371" i="1"/>
  <c r="O451" i="1"/>
  <c r="E451" i="1"/>
  <c r="N451" i="1"/>
  <c r="O499" i="1"/>
  <c r="E499" i="1"/>
  <c r="N499" i="1"/>
  <c r="O579" i="1"/>
  <c r="N579" i="1"/>
  <c r="E579" i="1"/>
  <c r="O627" i="1"/>
  <c r="N627" i="1"/>
  <c r="E627" i="1"/>
  <c r="O707" i="1"/>
  <c r="N707" i="1"/>
  <c r="E707" i="1"/>
  <c r="N755" i="1"/>
  <c r="E755" i="1"/>
  <c r="O755" i="1"/>
  <c r="O688" i="1"/>
  <c r="N688" i="1"/>
  <c r="E688" i="1"/>
  <c r="N640" i="1"/>
  <c r="O640" i="1"/>
  <c r="E640" i="1"/>
  <c r="O560" i="1"/>
  <c r="N560" i="1"/>
  <c r="E560" i="1"/>
  <c r="O512" i="1"/>
  <c r="N512" i="1"/>
  <c r="E512" i="1"/>
  <c r="N432" i="1"/>
  <c r="O432" i="1"/>
  <c r="E432" i="1"/>
  <c r="O384" i="1"/>
  <c r="N384" i="1"/>
  <c r="E384" i="1"/>
  <c r="O304" i="1"/>
  <c r="E304" i="1"/>
  <c r="N304" i="1"/>
  <c r="O256" i="1"/>
  <c r="E256" i="1"/>
  <c r="N256" i="1"/>
  <c r="O176" i="1"/>
  <c r="E176" i="1"/>
  <c r="N176" i="1"/>
  <c r="N36" i="1"/>
  <c r="O36" i="1"/>
  <c r="E36" i="1"/>
  <c r="N116" i="1"/>
  <c r="O116" i="1"/>
  <c r="E116" i="1"/>
  <c r="E164" i="1"/>
  <c r="O164" i="1"/>
  <c r="N164" i="1"/>
  <c r="E244" i="1"/>
  <c r="O244" i="1"/>
  <c r="N244" i="1"/>
  <c r="O292" i="1"/>
  <c r="E292" i="1"/>
  <c r="N292" i="1"/>
  <c r="O372" i="1"/>
  <c r="E372" i="1"/>
  <c r="N372" i="1"/>
  <c r="E420" i="1"/>
  <c r="N420" i="1"/>
  <c r="O420" i="1"/>
  <c r="N500" i="1"/>
  <c r="O500" i="1"/>
  <c r="E500" i="1"/>
  <c r="E548" i="1"/>
  <c r="O548" i="1"/>
  <c r="N548" i="1"/>
  <c r="O628" i="1"/>
  <c r="E628" i="1"/>
  <c r="N628" i="1"/>
  <c r="O676" i="1"/>
  <c r="E676" i="1"/>
  <c r="N676" i="1"/>
  <c r="E756" i="1"/>
  <c r="O756" i="1"/>
  <c r="N756" i="1"/>
  <c r="O719" i="1"/>
  <c r="N719" i="1"/>
  <c r="E719" i="1"/>
  <c r="O639" i="1"/>
  <c r="E639" i="1"/>
  <c r="N639" i="1"/>
  <c r="O591" i="1"/>
  <c r="N591" i="1"/>
  <c r="E591" i="1"/>
  <c r="O511" i="1"/>
  <c r="N511" i="1"/>
  <c r="E511" i="1"/>
  <c r="E463" i="1"/>
  <c r="N463" i="1"/>
  <c r="O463" i="1"/>
  <c r="O5" i="1"/>
  <c r="N5" i="1"/>
  <c r="E5" i="1"/>
  <c r="O62" i="1"/>
  <c r="E62" i="1"/>
  <c r="N62" i="1"/>
  <c r="E160" i="1"/>
  <c r="O160" i="1"/>
  <c r="N160" i="1"/>
  <c r="O220" i="1"/>
  <c r="N220" i="1"/>
  <c r="E220" i="1"/>
  <c r="O318" i="1"/>
  <c r="E318" i="1"/>
  <c r="N318" i="1"/>
  <c r="E397" i="1"/>
  <c r="N397" i="1"/>
  <c r="O397" i="1"/>
  <c r="N536" i="1"/>
  <c r="O536" i="1"/>
  <c r="E536" i="1"/>
  <c r="O615" i="1"/>
  <c r="E615" i="1"/>
  <c r="N615" i="1"/>
  <c r="N732" i="1"/>
  <c r="O732" i="1"/>
  <c r="E732" i="1"/>
  <c r="O712" i="1"/>
  <c r="E712" i="1"/>
  <c r="N712" i="1"/>
  <c r="N573" i="1"/>
  <c r="O573" i="1"/>
  <c r="E573" i="1"/>
  <c r="O494" i="1"/>
  <c r="E494" i="1"/>
  <c r="N494" i="1"/>
  <c r="E360" i="1"/>
  <c r="O360" i="1"/>
  <c r="N360" i="1"/>
  <c r="E268" i="1"/>
  <c r="N268" i="1"/>
  <c r="O268" i="1"/>
  <c r="O128" i="1"/>
  <c r="N128" i="1"/>
  <c r="E128" i="1"/>
  <c r="E80" i="1"/>
  <c r="O80" i="1"/>
  <c r="N80" i="1"/>
  <c r="N6" i="1"/>
  <c r="O6" i="1"/>
  <c r="E6" i="1"/>
  <c r="N63" i="1"/>
  <c r="O63" i="1"/>
  <c r="E63" i="1"/>
  <c r="N161" i="1"/>
  <c r="O161" i="1"/>
  <c r="E161" i="1"/>
  <c r="O221" i="1"/>
  <c r="E221" i="1"/>
  <c r="N221" i="1"/>
  <c r="O341" i="1"/>
  <c r="E341" i="1"/>
  <c r="N341" i="1"/>
  <c r="N439" i="1"/>
  <c r="O439" i="1"/>
  <c r="E439" i="1"/>
  <c r="O556" i="1"/>
  <c r="N556" i="1"/>
  <c r="E556" i="1"/>
  <c r="E733" i="1"/>
  <c r="O733" i="1"/>
  <c r="N733" i="1"/>
  <c r="O711" i="1"/>
  <c r="N711" i="1"/>
  <c r="E711" i="1"/>
  <c r="E222" i="1"/>
  <c r="O222" i="1"/>
  <c r="N222" i="1"/>
  <c r="E440" i="1"/>
  <c r="O440" i="1"/>
  <c r="N440" i="1"/>
  <c r="O519" i="1"/>
  <c r="E519" i="1"/>
  <c r="N519" i="1"/>
  <c r="O77" i="1"/>
  <c r="E77" i="1"/>
  <c r="N77" i="1"/>
  <c r="O759" i="1"/>
  <c r="N759" i="1"/>
  <c r="E759" i="1"/>
  <c r="O417" i="1"/>
  <c r="N417" i="1"/>
  <c r="E417" i="1"/>
  <c r="O385" i="1"/>
  <c r="E385" i="1"/>
  <c r="N385" i="1"/>
  <c r="O337" i="1"/>
  <c r="E337" i="1"/>
  <c r="N337" i="1"/>
  <c r="E257" i="1"/>
  <c r="O257" i="1"/>
  <c r="N257" i="1"/>
  <c r="N35" i="1"/>
  <c r="O35" i="1"/>
  <c r="E35" i="1"/>
  <c r="E163" i="1"/>
  <c r="O163" i="1"/>
  <c r="N163" i="1"/>
  <c r="O291" i="1"/>
  <c r="E291" i="1"/>
  <c r="N291" i="1"/>
  <c r="N419" i="1"/>
  <c r="O419" i="1"/>
  <c r="E419" i="1"/>
  <c r="O547" i="1"/>
  <c r="E547" i="1"/>
  <c r="N547" i="1"/>
  <c r="O675" i="1"/>
  <c r="E675" i="1"/>
  <c r="N675" i="1"/>
  <c r="O720" i="1"/>
  <c r="N720" i="1"/>
  <c r="E720" i="1"/>
  <c r="O592" i="1"/>
  <c r="E592" i="1"/>
  <c r="N592" i="1"/>
  <c r="O464" i="1"/>
  <c r="N464" i="1"/>
  <c r="E464" i="1"/>
  <c r="E336" i="1"/>
  <c r="O336" i="1"/>
  <c r="N336" i="1"/>
  <c r="O208" i="1"/>
  <c r="N208" i="1"/>
  <c r="E208" i="1"/>
  <c r="O84" i="1"/>
  <c r="E84" i="1"/>
  <c r="N84" i="1"/>
  <c r="O212" i="1"/>
  <c r="E212" i="1"/>
  <c r="N212" i="1"/>
  <c r="E340" i="1"/>
  <c r="O340" i="1"/>
  <c r="N340" i="1"/>
  <c r="O468" i="1"/>
  <c r="E468" i="1"/>
  <c r="N468" i="1"/>
  <c r="N596" i="1"/>
  <c r="O596" i="1"/>
  <c r="E596" i="1"/>
  <c r="N724" i="1"/>
  <c r="O724" i="1"/>
  <c r="E724" i="1"/>
  <c r="E671" i="1"/>
  <c r="O671" i="1"/>
  <c r="N671" i="1"/>
  <c r="O543" i="1"/>
  <c r="E543" i="1"/>
  <c r="N543" i="1"/>
  <c r="E415" i="1"/>
  <c r="O415" i="1"/>
  <c r="N415" i="1"/>
  <c r="O122" i="1"/>
  <c r="E122" i="1"/>
  <c r="N122" i="1"/>
  <c r="O280" i="1"/>
  <c r="E280" i="1"/>
  <c r="N280" i="1"/>
  <c r="O476" i="1"/>
  <c r="E476" i="1"/>
  <c r="N476" i="1"/>
  <c r="O694" i="1"/>
  <c r="E694" i="1"/>
  <c r="N694" i="1"/>
  <c r="O633" i="1"/>
  <c r="E633" i="1"/>
  <c r="N633" i="1"/>
  <c r="N437" i="1"/>
  <c r="O437" i="1"/>
  <c r="E437" i="1"/>
  <c r="O214" i="1"/>
  <c r="N214" i="1"/>
  <c r="E214" i="1"/>
  <c r="O32" i="1"/>
  <c r="N32" i="1"/>
  <c r="E32" i="1"/>
  <c r="E123" i="1"/>
  <c r="O123" i="1"/>
  <c r="N123" i="1"/>
  <c r="N300" i="1"/>
  <c r="O300" i="1"/>
  <c r="E300" i="1"/>
  <c r="O518" i="1"/>
  <c r="E518" i="1"/>
  <c r="N518" i="1"/>
  <c r="O165" i="1"/>
  <c r="E165" i="1"/>
  <c r="N165" i="1"/>
  <c r="O715" i="1"/>
  <c r="E715" i="1"/>
  <c r="N715" i="1"/>
  <c r="O70" i="1"/>
  <c r="E70" i="1"/>
  <c r="N70" i="1"/>
  <c r="O235" i="1"/>
  <c r="N235" i="1"/>
  <c r="E235" i="1"/>
  <c r="O303" i="1"/>
  <c r="E303" i="1"/>
  <c r="N303" i="1"/>
  <c r="O105" i="1"/>
  <c r="N105" i="1"/>
  <c r="E105" i="1"/>
  <c r="O485" i="1"/>
  <c r="E485" i="1"/>
  <c r="N485" i="1"/>
  <c r="E289" i="1"/>
  <c r="N289" i="1"/>
  <c r="O289" i="1"/>
  <c r="O241" i="1"/>
  <c r="N241" i="1"/>
  <c r="E241" i="1"/>
  <c r="O209" i="1"/>
  <c r="E209" i="1"/>
  <c r="N209" i="1"/>
  <c r="N3" i="1"/>
  <c r="E3" i="1"/>
  <c r="O3" i="1"/>
  <c r="O51" i="1"/>
  <c r="E51" i="1"/>
  <c r="N51" i="1"/>
  <c r="O83" i="1"/>
  <c r="E83" i="1"/>
  <c r="N83" i="1"/>
  <c r="E131" i="1"/>
  <c r="N131" i="1"/>
  <c r="O131" i="1"/>
  <c r="O179" i="1"/>
  <c r="N179" i="1"/>
  <c r="E179" i="1"/>
  <c r="O211" i="1"/>
  <c r="E211" i="1"/>
  <c r="N211" i="1"/>
  <c r="O259" i="1"/>
  <c r="E259" i="1"/>
  <c r="N259" i="1"/>
  <c r="E307" i="1"/>
  <c r="N307" i="1"/>
  <c r="O307" i="1"/>
  <c r="O339" i="1"/>
  <c r="N339" i="1"/>
  <c r="E339" i="1"/>
  <c r="N387" i="1"/>
  <c r="E387" i="1"/>
  <c r="O387" i="1"/>
  <c r="E435" i="1"/>
  <c r="N435" i="1"/>
  <c r="O435" i="1"/>
  <c r="O467" i="1"/>
  <c r="E467" i="1"/>
  <c r="N467" i="1"/>
  <c r="E515" i="1"/>
  <c r="N515" i="1"/>
  <c r="O515" i="1"/>
  <c r="N563" i="1"/>
  <c r="E563" i="1"/>
  <c r="O563" i="1"/>
  <c r="O595" i="1"/>
  <c r="N595" i="1"/>
  <c r="E595" i="1"/>
  <c r="N643" i="1"/>
  <c r="E643" i="1"/>
  <c r="O643" i="1"/>
  <c r="O691" i="1"/>
  <c r="N691" i="1"/>
  <c r="E691" i="1"/>
  <c r="O723" i="1"/>
  <c r="N723" i="1"/>
  <c r="E723" i="1"/>
  <c r="E752" i="1"/>
  <c r="N752" i="1"/>
  <c r="O752" i="1"/>
  <c r="E704" i="1"/>
  <c r="N704" i="1"/>
  <c r="O704" i="1"/>
  <c r="O672" i="1"/>
  <c r="N672" i="1"/>
  <c r="E672" i="1"/>
  <c r="E624" i="1"/>
  <c r="N624" i="1"/>
  <c r="O624" i="1"/>
  <c r="N576" i="1"/>
  <c r="E576" i="1"/>
  <c r="O576" i="1"/>
  <c r="O544" i="1"/>
  <c r="E544" i="1"/>
  <c r="N544" i="1"/>
  <c r="N496" i="1"/>
  <c r="E496" i="1"/>
  <c r="O496" i="1"/>
  <c r="O448" i="1"/>
  <c r="E448" i="1"/>
  <c r="N448" i="1"/>
  <c r="O416" i="1"/>
  <c r="E416" i="1"/>
  <c r="N416" i="1"/>
  <c r="N368" i="1"/>
  <c r="E368" i="1"/>
  <c r="O368" i="1"/>
  <c r="O320" i="1"/>
  <c r="E320" i="1"/>
  <c r="N320" i="1"/>
  <c r="O288" i="1"/>
  <c r="N288" i="1"/>
  <c r="E288" i="1"/>
  <c r="E240" i="1"/>
  <c r="N240" i="1"/>
  <c r="O240" i="1"/>
  <c r="E192" i="1"/>
  <c r="N192" i="1"/>
  <c r="O192" i="1"/>
  <c r="O4" i="1"/>
  <c r="N4" i="1"/>
  <c r="E4" i="1"/>
  <c r="O52" i="1"/>
  <c r="N52" i="1"/>
  <c r="E52" i="1"/>
  <c r="N100" i="1"/>
  <c r="E100" i="1"/>
  <c r="O100" i="1"/>
  <c r="O132" i="1"/>
  <c r="N132" i="1"/>
  <c r="E132" i="1"/>
  <c r="O180" i="1"/>
  <c r="E180" i="1"/>
  <c r="N180" i="1"/>
  <c r="N228" i="1"/>
  <c r="E228" i="1"/>
  <c r="O228" i="1"/>
  <c r="O260" i="1"/>
  <c r="E260" i="1"/>
  <c r="N260" i="1"/>
  <c r="E308" i="1"/>
  <c r="N308" i="1"/>
  <c r="O308" i="1"/>
  <c r="N356" i="1"/>
  <c r="E356" i="1"/>
  <c r="O356" i="1"/>
  <c r="O388" i="1"/>
  <c r="E388" i="1"/>
  <c r="N388" i="1"/>
  <c r="N436" i="1"/>
  <c r="O436" i="1"/>
  <c r="E436" i="1"/>
  <c r="E484" i="1"/>
  <c r="N484" i="1"/>
  <c r="O484" i="1"/>
  <c r="O516" i="1"/>
  <c r="E516" i="1"/>
  <c r="N516" i="1"/>
  <c r="O564" i="1"/>
  <c r="N564" i="1"/>
  <c r="E564" i="1"/>
  <c r="E612" i="1"/>
  <c r="O612" i="1"/>
  <c r="N612" i="1"/>
  <c r="O644" i="1"/>
  <c r="E644" i="1"/>
  <c r="N644" i="1"/>
  <c r="E692" i="1"/>
  <c r="N692" i="1"/>
  <c r="O692" i="1"/>
  <c r="N740" i="1"/>
  <c r="E740" i="1"/>
  <c r="O740" i="1"/>
  <c r="O751" i="1"/>
  <c r="E751" i="1"/>
  <c r="N751" i="1"/>
  <c r="N703" i="1"/>
  <c r="E703" i="1"/>
  <c r="O703" i="1"/>
  <c r="O655" i="1"/>
  <c r="N655" i="1"/>
  <c r="E655" i="1"/>
  <c r="O623" i="1"/>
  <c r="N623" i="1"/>
  <c r="E623" i="1"/>
  <c r="N575" i="1"/>
  <c r="E575" i="1"/>
  <c r="O575" i="1"/>
  <c r="N527" i="1"/>
  <c r="O527" i="1"/>
  <c r="E527" i="1"/>
  <c r="O495" i="1"/>
  <c r="N495" i="1"/>
  <c r="E495" i="1"/>
  <c r="E447" i="1"/>
  <c r="N447" i="1"/>
  <c r="O447" i="1"/>
  <c r="O399" i="1"/>
  <c r="N399" i="1"/>
  <c r="E399" i="1"/>
  <c r="O24" i="1"/>
  <c r="N24" i="1"/>
  <c r="E24" i="1"/>
  <c r="O81" i="1"/>
  <c r="N81" i="1"/>
  <c r="E81" i="1"/>
  <c r="N141" i="1"/>
  <c r="O141" i="1"/>
  <c r="E141" i="1"/>
  <c r="O182" i="1"/>
  <c r="E182" i="1"/>
  <c r="N182" i="1"/>
  <c r="N239" i="1"/>
  <c r="E239" i="1"/>
  <c r="O239" i="1"/>
  <c r="N299" i="1"/>
  <c r="E299" i="1"/>
  <c r="O299" i="1"/>
  <c r="O359" i="1"/>
  <c r="N359" i="1"/>
  <c r="E359" i="1"/>
  <c r="N438" i="1"/>
  <c r="E438" i="1"/>
  <c r="O438" i="1"/>
  <c r="O517" i="1"/>
  <c r="N517" i="1"/>
  <c r="E517" i="1"/>
  <c r="O555" i="1"/>
  <c r="N555" i="1"/>
  <c r="E555" i="1"/>
  <c r="O634" i="1"/>
  <c r="E634" i="1"/>
  <c r="N634" i="1"/>
  <c r="E713" i="1"/>
  <c r="N713" i="1"/>
  <c r="O713" i="1"/>
  <c r="O750" i="1"/>
  <c r="E750" i="1"/>
  <c r="N750" i="1"/>
  <c r="E693" i="1"/>
  <c r="N693" i="1"/>
  <c r="O693" i="1"/>
  <c r="O614" i="1"/>
  <c r="N614" i="1"/>
  <c r="E614" i="1"/>
  <c r="O554" i="1"/>
  <c r="N554" i="1"/>
  <c r="E554" i="1"/>
  <c r="N475" i="1"/>
  <c r="E475" i="1"/>
  <c r="O475" i="1"/>
  <c r="O396" i="1"/>
  <c r="N396" i="1"/>
  <c r="E396" i="1"/>
  <c r="O342" i="1"/>
  <c r="N342" i="1"/>
  <c r="E342" i="1"/>
  <c r="E250" i="1"/>
  <c r="N250" i="1"/>
  <c r="O250" i="1"/>
  <c r="N144" i="1"/>
  <c r="E144" i="1"/>
  <c r="O144" i="1"/>
  <c r="O112" i="1"/>
  <c r="E112" i="1"/>
  <c r="N112" i="1"/>
  <c r="N64" i="1"/>
  <c r="E64" i="1"/>
  <c r="O64" i="1"/>
  <c r="O16" i="1"/>
  <c r="N16" i="1"/>
  <c r="E16" i="1"/>
  <c r="O25" i="1"/>
  <c r="N25" i="1"/>
  <c r="E25" i="1"/>
  <c r="N85" i="1"/>
  <c r="E85" i="1"/>
  <c r="O85" i="1"/>
  <c r="E142" i="1"/>
  <c r="O142" i="1"/>
  <c r="N142" i="1"/>
  <c r="O183" i="1"/>
  <c r="N183" i="1"/>
  <c r="E183" i="1"/>
  <c r="N262" i="1"/>
  <c r="E262" i="1"/>
  <c r="O262" i="1"/>
  <c r="N319" i="1"/>
  <c r="E319" i="1"/>
  <c r="O319" i="1"/>
  <c r="O379" i="1"/>
  <c r="N379" i="1"/>
  <c r="E379" i="1"/>
  <c r="E458" i="1"/>
  <c r="O458" i="1"/>
  <c r="N458" i="1"/>
  <c r="O537" i="1"/>
  <c r="N537" i="1"/>
  <c r="E537" i="1"/>
  <c r="E616" i="1"/>
  <c r="N616" i="1"/>
  <c r="O616" i="1"/>
  <c r="N695" i="1"/>
  <c r="E695" i="1"/>
  <c r="O695" i="1"/>
  <c r="N749" i="1"/>
  <c r="O749" i="1"/>
  <c r="E749" i="1"/>
  <c r="N572" i="1"/>
  <c r="E572" i="1"/>
  <c r="O572" i="1"/>
  <c r="N493" i="1"/>
  <c r="O493" i="1"/>
  <c r="E493" i="1"/>
  <c r="O414" i="1"/>
  <c r="E414" i="1"/>
  <c r="N414" i="1"/>
  <c r="O26" i="1"/>
  <c r="N26" i="1"/>
  <c r="E26" i="1"/>
  <c r="O636" i="1"/>
  <c r="E636" i="1"/>
  <c r="N636" i="1"/>
  <c r="O22" i="1"/>
  <c r="E22" i="1"/>
  <c r="N22" i="1"/>
  <c r="O662" i="1"/>
  <c r="E662" i="1"/>
  <c r="N662" i="1"/>
  <c r="N121" i="1"/>
  <c r="E121" i="1"/>
  <c r="O121" i="1"/>
  <c r="E741" i="1"/>
  <c r="O741" i="1"/>
  <c r="N741" i="1"/>
  <c r="N166" i="1"/>
  <c r="E166" i="1"/>
  <c r="O166" i="1"/>
  <c r="N167" i="1"/>
  <c r="O167" i="1"/>
  <c r="E167" i="1"/>
  <c r="O380" i="1"/>
  <c r="N380" i="1"/>
  <c r="E380" i="1"/>
  <c r="N459" i="1"/>
  <c r="O459" i="1"/>
  <c r="E459" i="1"/>
  <c r="E598" i="1"/>
  <c r="O598" i="1"/>
  <c r="N598" i="1"/>
  <c r="E677" i="1"/>
  <c r="O677" i="1"/>
  <c r="N677" i="1"/>
  <c r="O729" i="1"/>
  <c r="N729" i="1"/>
  <c r="E729" i="1"/>
  <c r="O650" i="1"/>
  <c r="N650" i="1"/>
  <c r="E650" i="1"/>
  <c r="E571" i="1"/>
  <c r="O571" i="1"/>
  <c r="N571" i="1"/>
  <c r="O492" i="1"/>
  <c r="N492" i="1"/>
  <c r="E492" i="1"/>
  <c r="O413" i="1"/>
  <c r="E413" i="1"/>
  <c r="N413" i="1"/>
  <c r="O358" i="1"/>
  <c r="E358" i="1"/>
  <c r="N358" i="1"/>
  <c r="N346" i="1"/>
  <c r="E346" i="1"/>
  <c r="O346" i="1"/>
  <c r="O490" i="1"/>
  <c r="E490" i="1"/>
  <c r="N490" i="1"/>
  <c r="E587" i="1"/>
  <c r="O587" i="1"/>
  <c r="N587" i="1"/>
  <c r="N684" i="1"/>
  <c r="E684" i="1"/>
  <c r="O684" i="1"/>
  <c r="O742" i="1"/>
  <c r="E742" i="1"/>
  <c r="N742" i="1"/>
  <c r="N237" i="1"/>
  <c r="E237" i="1"/>
  <c r="O237" i="1"/>
  <c r="E255" i="1"/>
  <c r="N255" i="1"/>
  <c r="O255" i="1"/>
  <c r="O9" i="1"/>
  <c r="N9" i="1"/>
  <c r="E9" i="1"/>
  <c r="N106" i="1"/>
  <c r="O106" i="1"/>
  <c r="E106" i="1"/>
  <c r="O566" i="1"/>
  <c r="N566" i="1"/>
  <c r="E566" i="1"/>
  <c r="E522" i="1"/>
  <c r="O522" i="1"/>
  <c r="N522" i="1"/>
  <c r="O311" i="1"/>
  <c r="N311" i="1"/>
  <c r="E311" i="1"/>
  <c r="E373" i="1"/>
  <c r="O373" i="1"/>
  <c r="N373" i="1"/>
  <c r="N726" i="1"/>
  <c r="O726" i="1"/>
  <c r="E726" i="1"/>
  <c r="O327" i="1"/>
  <c r="N327" i="1"/>
  <c r="E327" i="1"/>
  <c r="O412" i="1"/>
  <c r="N412" i="1"/>
  <c r="E412" i="1"/>
  <c r="O151" i="1"/>
  <c r="N151" i="1"/>
  <c r="E151" i="1"/>
  <c r="E701" i="1"/>
  <c r="O701" i="1"/>
  <c r="N701" i="1"/>
  <c r="E683" i="1"/>
  <c r="N683" i="1"/>
  <c r="O683" i="1"/>
  <c r="N135" i="1"/>
  <c r="O135" i="1"/>
  <c r="E135" i="1"/>
  <c r="E635" i="1"/>
  <c r="O635" i="1"/>
  <c r="N635" i="1"/>
  <c r="O670" i="1"/>
  <c r="N670" i="1"/>
  <c r="E670" i="1"/>
  <c r="O474" i="1"/>
  <c r="N474" i="1"/>
  <c r="E474" i="1"/>
  <c r="N249" i="1"/>
  <c r="O249" i="1"/>
  <c r="E249" i="1"/>
  <c r="E124" i="1"/>
  <c r="O124" i="1"/>
  <c r="N124" i="1"/>
  <c r="O301" i="1"/>
  <c r="E301" i="1"/>
  <c r="N301" i="1"/>
  <c r="O538" i="1"/>
  <c r="N538" i="1"/>
  <c r="E538" i="1"/>
  <c r="N734" i="1"/>
  <c r="O734" i="1"/>
  <c r="E734" i="1"/>
  <c r="O248" i="1"/>
  <c r="N248" i="1"/>
  <c r="E248" i="1"/>
  <c r="N158" i="1"/>
  <c r="O158" i="1"/>
  <c r="E158" i="1"/>
  <c r="O94" i="1"/>
  <c r="N94" i="1"/>
  <c r="E94" i="1"/>
  <c r="O30" i="1"/>
  <c r="N30" i="1"/>
  <c r="E30" i="1"/>
  <c r="O38" i="1"/>
  <c r="E38" i="1"/>
  <c r="N38" i="1"/>
  <c r="O312" i="1"/>
  <c r="N312" i="1"/>
  <c r="E312" i="1"/>
  <c r="O65" i="1"/>
  <c r="N65" i="1"/>
  <c r="E65" i="1"/>
  <c r="O119" i="1"/>
  <c r="E119" i="1"/>
  <c r="N119" i="1"/>
  <c r="O506" i="1"/>
  <c r="N506" i="1"/>
  <c r="E506" i="1"/>
  <c r="O71" i="1"/>
  <c r="E71" i="1"/>
  <c r="N71" i="1"/>
  <c r="O501" i="1"/>
  <c r="E501" i="1"/>
  <c r="N501" i="1"/>
  <c r="E597" i="1"/>
  <c r="N597" i="1"/>
  <c r="O597" i="1"/>
  <c r="N654" i="1"/>
  <c r="O654" i="1"/>
  <c r="E654" i="1"/>
  <c r="O714" i="1"/>
  <c r="E714" i="1"/>
  <c r="N714" i="1"/>
  <c r="E730" i="1"/>
  <c r="N730" i="1"/>
  <c r="O730" i="1"/>
  <c r="N651" i="1"/>
  <c r="E651" i="1"/>
  <c r="O651" i="1"/>
  <c r="O613" i="1"/>
  <c r="E613" i="1"/>
  <c r="N613" i="1"/>
  <c r="N534" i="1"/>
  <c r="E534" i="1"/>
  <c r="O534" i="1"/>
  <c r="N455" i="1"/>
  <c r="O455" i="1"/>
  <c r="E455" i="1"/>
  <c r="O395" i="1"/>
  <c r="N395" i="1"/>
  <c r="E395" i="1"/>
  <c r="N285" i="1"/>
  <c r="E285" i="1"/>
  <c r="O285" i="1"/>
  <c r="E231" i="1"/>
  <c r="O231" i="1"/>
  <c r="N231" i="1"/>
  <c r="O7" i="1"/>
  <c r="E7" i="1"/>
  <c r="N7" i="1"/>
  <c r="N86" i="1"/>
  <c r="O86" i="1"/>
  <c r="E86" i="1"/>
  <c r="O143" i="1"/>
  <c r="N143" i="1"/>
  <c r="E143" i="1"/>
  <c r="O184" i="1"/>
  <c r="N184" i="1"/>
  <c r="E184" i="1"/>
  <c r="E263" i="1"/>
  <c r="N263" i="1"/>
  <c r="O263" i="1"/>
  <c r="O361" i="1"/>
  <c r="N361" i="1"/>
  <c r="E361" i="1"/>
  <c r="O421" i="1"/>
  <c r="N421" i="1"/>
  <c r="E421" i="1"/>
  <c r="O478" i="1"/>
  <c r="E478" i="1"/>
  <c r="N478" i="1"/>
  <c r="E557" i="1"/>
  <c r="N557" i="1"/>
  <c r="O557" i="1"/>
  <c r="O617" i="1"/>
  <c r="N617" i="1"/>
  <c r="E617" i="1"/>
  <c r="O696" i="1"/>
  <c r="N696" i="1"/>
  <c r="E696" i="1"/>
  <c r="N748" i="1"/>
  <c r="O748" i="1"/>
  <c r="E748" i="1"/>
  <c r="O710" i="1"/>
  <c r="N710" i="1"/>
  <c r="E710" i="1"/>
  <c r="O631" i="1"/>
  <c r="E631" i="1"/>
  <c r="N631" i="1"/>
  <c r="O552" i="1"/>
  <c r="N552" i="1"/>
  <c r="E552" i="1"/>
  <c r="E454" i="1"/>
  <c r="N454" i="1"/>
  <c r="O454" i="1"/>
  <c r="E376" i="1"/>
  <c r="N376" i="1"/>
  <c r="O376" i="1"/>
  <c r="O284" i="1"/>
  <c r="N284" i="1"/>
  <c r="E284" i="1"/>
  <c r="N230" i="1"/>
  <c r="O230" i="1"/>
  <c r="E230" i="1"/>
  <c r="O126" i="1"/>
  <c r="N126" i="1"/>
  <c r="E126" i="1"/>
  <c r="E55" i="1"/>
  <c r="N55" i="1"/>
  <c r="O55" i="1"/>
  <c r="O127" i="1"/>
  <c r="N127" i="1"/>
  <c r="E127" i="1"/>
  <c r="E271" i="1"/>
  <c r="N271" i="1"/>
  <c r="O271" i="1"/>
  <c r="E393" i="1"/>
  <c r="N393" i="1"/>
  <c r="O393" i="1"/>
  <c r="N540" i="1"/>
  <c r="E540" i="1"/>
  <c r="O540" i="1"/>
  <c r="O620" i="1"/>
  <c r="E620" i="1"/>
  <c r="N620" i="1"/>
  <c r="O11" i="1"/>
  <c r="E11" i="1"/>
  <c r="N11" i="1"/>
  <c r="N357" i="1"/>
  <c r="E357" i="1"/>
  <c r="O357" i="1"/>
  <c r="E408" i="1"/>
  <c r="N408" i="1"/>
  <c r="O408" i="1"/>
  <c r="N510" i="1"/>
  <c r="E510" i="1"/>
  <c r="O510" i="1"/>
  <c r="E297" i="1"/>
  <c r="N297" i="1"/>
  <c r="O297" i="1"/>
  <c r="E422" i="1"/>
  <c r="N422" i="1"/>
  <c r="O422" i="1"/>
  <c r="E491" i="1"/>
  <c r="O491" i="1"/>
  <c r="N491" i="1"/>
  <c r="O28" i="1"/>
  <c r="N28" i="1"/>
  <c r="E28" i="1"/>
  <c r="E238" i="1"/>
  <c r="N238" i="1"/>
  <c r="O238" i="1"/>
  <c r="O629" i="1"/>
  <c r="N629" i="1"/>
  <c r="E629" i="1"/>
  <c r="N129" i="1"/>
  <c r="E129" i="1"/>
  <c r="O129" i="1"/>
  <c r="O664" i="1"/>
  <c r="N664" i="1"/>
  <c r="E664" i="1"/>
  <c r="O504" i="1"/>
  <c r="E504" i="1"/>
  <c r="N504" i="1"/>
  <c r="N172" i="1"/>
  <c r="E172" i="1"/>
  <c r="O172" i="1"/>
  <c r="O215" i="1"/>
  <c r="N215" i="1"/>
  <c r="E215" i="1"/>
  <c r="E89" i="1"/>
  <c r="N89" i="1"/>
  <c r="O89" i="1"/>
  <c r="N428" i="1"/>
  <c r="E428" i="1"/>
  <c r="O428" i="1"/>
  <c r="N350" i="1"/>
  <c r="O350" i="1"/>
  <c r="E350" i="1"/>
  <c r="N91" i="1"/>
  <c r="E91" i="1"/>
  <c r="O91" i="1"/>
  <c r="O205" i="1"/>
  <c r="N205" i="1"/>
  <c r="E205" i="1"/>
  <c r="O133" i="1"/>
  <c r="E133" i="1"/>
  <c r="N133" i="1"/>
  <c r="E744" i="1"/>
  <c r="O744" i="1"/>
  <c r="N744" i="1"/>
  <c r="O74" i="1"/>
  <c r="E74" i="1"/>
  <c r="N74" i="1"/>
  <c r="O97" i="1"/>
  <c r="N97" i="1"/>
  <c r="E97" i="1"/>
  <c r="O15" i="1"/>
  <c r="E15" i="1"/>
  <c r="N15" i="1"/>
  <c r="O406" i="1"/>
  <c r="E406" i="1"/>
  <c r="N406" i="1"/>
  <c r="N600" i="1"/>
  <c r="O600" i="1"/>
  <c r="E600" i="1"/>
  <c r="O619" i="1"/>
  <c r="E619" i="1"/>
  <c r="N619" i="1"/>
  <c r="N138" i="1"/>
  <c r="O138" i="1"/>
  <c r="E138" i="1"/>
  <c r="N187" i="1"/>
  <c r="O187" i="1"/>
  <c r="E187" i="1"/>
  <c r="N79" i="1"/>
  <c r="O79" i="1"/>
  <c r="E79" i="1"/>
  <c r="O725" i="1"/>
  <c r="N725" i="1"/>
  <c r="E725" i="1"/>
  <c r="O309" i="1"/>
  <c r="E309" i="1"/>
  <c r="N309" i="1"/>
  <c r="O570" i="1"/>
  <c r="N570" i="1"/>
  <c r="E570" i="1"/>
  <c r="E426" i="1"/>
  <c r="O426" i="1"/>
  <c r="N426" i="1"/>
  <c r="N157" i="1"/>
  <c r="O157" i="1"/>
  <c r="E157" i="1"/>
  <c r="O49" i="1"/>
  <c r="N49" i="1"/>
  <c r="E49" i="1"/>
  <c r="N101" i="1"/>
  <c r="O101" i="1"/>
  <c r="E101" i="1"/>
  <c r="N169" i="1"/>
  <c r="E169" i="1"/>
  <c r="O169" i="1"/>
  <c r="O374" i="1"/>
  <c r="N374" i="1"/>
  <c r="E374" i="1"/>
  <c r="E425" i="1"/>
  <c r="N425" i="1"/>
  <c r="O425" i="1"/>
  <c r="E375" i="1"/>
  <c r="O375" i="1"/>
  <c r="N375" i="1"/>
  <c r="O31" i="1"/>
  <c r="E31" i="1"/>
  <c r="N31" i="1"/>
  <c r="E325" i="1"/>
  <c r="O325" i="1"/>
  <c r="N325" i="1"/>
  <c r="N444" i="1"/>
  <c r="O444" i="1"/>
  <c r="E444" i="1"/>
  <c r="O588" i="1"/>
  <c r="E588" i="1"/>
  <c r="N588" i="1"/>
  <c r="E685" i="1"/>
  <c r="N685" i="1"/>
  <c r="O685" i="1"/>
  <c r="O472" i="1"/>
  <c r="N472" i="1"/>
  <c r="E472" i="1"/>
  <c r="E10" i="1"/>
  <c r="O10" i="1"/>
  <c r="N10" i="1"/>
  <c r="N392" i="1"/>
  <c r="O392" i="1"/>
  <c r="E392" i="1"/>
  <c r="O154" i="1"/>
  <c r="N154" i="1"/>
  <c r="E154" i="1"/>
  <c r="O198" i="1"/>
  <c r="N198" i="1"/>
  <c r="E198" i="1"/>
  <c r="O630" i="1"/>
  <c r="E630" i="1"/>
  <c r="N630" i="1"/>
  <c r="O73" i="1"/>
  <c r="E73" i="1"/>
  <c r="N73" i="1"/>
  <c r="O181" i="1"/>
  <c r="E181" i="1"/>
  <c r="N181" i="1"/>
  <c r="O743" i="1"/>
  <c r="E743" i="1"/>
  <c r="N743" i="1"/>
  <c r="O253" i="1"/>
  <c r="E253" i="1"/>
  <c r="N253" i="1"/>
  <c r="E351" i="1"/>
  <c r="O351" i="1"/>
  <c r="N351" i="1"/>
  <c r="O134" i="1"/>
  <c r="E134" i="1"/>
  <c r="N134" i="1"/>
  <c r="O293" i="1"/>
  <c r="E293" i="1"/>
  <c r="N293" i="1"/>
  <c r="O313" i="1"/>
  <c r="E313" i="1"/>
  <c r="N313" i="1"/>
  <c r="E521" i="1"/>
  <c r="O521" i="1"/>
  <c r="N521" i="1"/>
  <c r="O13" i="1"/>
  <c r="E13" i="1"/>
  <c r="N13" i="1"/>
  <c r="N33" i="1"/>
  <c r="O33" i="1"/>
  <c r="E33" i="1"/>
  <c r="O487" i="1"/>
  <c r="E487" i="1"/>
  <c r="N487" i="1"/>
  <c r="O88" i="1"/>
  <c r="E88" i="1"/>
  <c r="N88" i="1"/>
  <c r="E328" i="1"/>
  <c r="O328" i="1"/>
  <c r="N328" i="1"/>
  <c r="O582" i="1"/>
  <c r="E582" i="1"/>
  <c r="N582" i="1"/>
  <c r="O60" i="1"/>
  <c r="N60" i="1"/>
  <c r="E60" i="1"/>
  <c r="E190" i="1"/>
  <c r="O190" i="1"/>
  <c r="N190" i="1"/>
  <c r="N716" i="1"/>
  <c r="O716" i="1"/>
  <c r="E716" i="1"/>
  <c r="E264" i="1"/>
  <c r="O264" i="1"/>
  <c r="N264" i="1"/>
  <c r="N136" i="1"/>
  <c r="O136" i="1"/>
  <c r="E136" i="1"/>
  <c r="O661" i="1"/>
  <c r="E661" i="1"/>
  <c r="N661" i="1"/>
  <c r="O365" i="1"/>
  <c r="E365" i="1"/>
  <c r="N365" i="1"/>
  <c r="O669" i="1"/>
  <c r="N669" i="1"/>
  <c r="E669" i="1"/>
  <c r="E590" i="1"/>
  <c r="N590" i="1"/>
  <c r="O590" i="1"/>
  <c r="E533" i="1"/>
  <c r="O533" i="1"/>
  <c r="N533" i="1"/>
  <c r="O473" i="1"/>
  <c r="E473" i="1"/>
  <c r="N473" i="1"/>
  <c r="E394" i="1"/>
  <c r="N394" i="1"/>
  <c r="O394" i="1"/>
  <c r="O302" i="1"/>
  <c r="E302" i="1"/>
  <c r="N302" i="1"/>
  <c r="O266" i="1"/>
  <c r="N266" i="1"/>
  <c r="E266" i="1"/>
  <c r="N174" i="1"/>
  <c r="E174" i="1"/>
  <c r="O174" i="1"/>
  <c r="E110" i="1"/>
  <c r="O110" i="1"/>
  <c r="N110" i="1"/>
  <c r="O78" i="1"/>
  <c r="E78" i="1"/>
  <c r="N78" i="1"/>
  <c r="N14" i="1"/>
  <c r="E14" i="1"/>
  <c r="O14" i="1"/>
  <c r="N54" i="1"/>
  <c r="E54" i="1"/>
  <c r="O54" i="1"/>
  <c r="O8" i="1"/>
  <c r="N8" i="1"/>
  <c r="E8" i="1"/>
  <c r="E102" i="1"/>
  <c r="N102" i="1"/>
  <c r="O102" i="1"/>
  <c r="N199" i="1"/>
  <c r="O199" i="1"/>
  <c r="E199" i="1"/>
  <c r="O296" i="1"/>
  <c r="N296" i="1"/>
  <c r="E296" i="1"/>
  <c r="O443" i="1"/>
  <c r="E443" i="1"/>
  <c r="N443" i="1"/>
  <c r="N565" i="1"/>
  <c r="E565" i="1"/>
  <c r="O565" i="1"/>
  <c r="O637" i="1"/>
  <c r="E637" i="1"/>
  <c r="N637" i="1"/>
  <c r="O709" i="1"/>
  <c r="N709" i="1"/>
  <c r="E709" i="1"/>
  <c r="O717" i="1"/>
  <c r="E717" i="1"/>
  <c r="N717" i="1"/>
  <c r="O645" i="1"/>
  <c r="N645" i="1"/>
  <c r="E645" i="1"/>
  <c r="E523" i="1"/>
  <c r="N523" i="1"/>
  <c r="O523" i="1"/>
  <c r="O333" i="1"/>
  <c r="N333" i="1"/>
  <c r="E333" i="1"/>
  <c r="O265" i="1"/>
  <c r="E265" i="1"/>
  <c r="N265" i="1"/>
  <c r="E139" i="1"/>
  <c r="N139" i="1"/>
  <c r="O139" i="1"/>
  <c r="O29" i="1"/>
  <c r="E29" i="1"/>
  <c r="N29" i="1"/>
  <c r="O47" i="1"/>
  <c r="N47" i="1"/>
  <c r="E47" i="1"/>
  <c r="E118" i="1"/>
  <c r="N118" i="1"/>
  <c r="O118" i="1"/>
  <c r="N186" i="1"/>
  <c r="E186" i="1"/>
  <c r="O186" i="1"/>
  <c r="O254" i="1"/>
  <c r="N254" i="1"/>
  <c r="E254" i="1"/>
  <c r="O391" i="1"/>
  <c r="N391" i="1"/>
  <c r="E391" i="1"/>
  <c r="E442" i="1"/>
  <c r="N442" i="1"/>
  <c r="O442" i="1"/>
  <c r="O153" i="1"/>
  <c r="N153" i="1"/>
  <c r="E153" i="1"/>
  <c r="O409" i="1"/>
  <c r="E409" i="1"/>
  <c r="N409" i="1"/>
  <c r="E56" i="1"/>
  <c r="N56" i="1"/>
  <c r="O56" i="1"/>
  <c r="O175" i="1"/>
  <c r="E175" i="1"/>
  <c r="N175" i="1"/>
  <c r="N347" i="1"/>
  <c r="O347" i="1"/>
  <c r="E347" i="1"/>
  <c r="N469" i="1"/>
  <c r="O469" i="1"/>
  <c r="E469" i="1"/>
  <c r="O541" i="1"/>
  <c r="E541" i="1"/>
  <c r="N541" i="1"/>
  <c r="N638" i="1"/>
  <c r="E638" i="1"/>
  <c r="O638" i="1"/>
  <c r="O666" i="1"/>
  <c r="E666" i="1"/>
  <c r="N666" i="1"/>
  <c r="E569" i="1"/>
  <c r="O569" i="1"/>
  <c r="N569" i="1"/>
  <c r="E332" i="1"/>
  <c r="N332" i="1"/>
  <c r="O332" i="1"/>
  <c r="E156" i="1"/>
  <c r="N156" i="1"/>
  <c r="O156" i="1"/>
  <c r="O120" i="1"/>
  <c r="E120" i="1"/>
  <c r="N120" i="1"/>
  <c r="O12" i="1"/>
  <c r="E12" i="1"/>
  <c r="N12" i="1"/>
  <c r="N170" i="1"/>
  <c r="E170" i="1"/>
  <c r="O170" i="1"/>
  <c r="N204" i="1"/>
  <c r="O204" i="1"/>
  <c r="E204" i="1"/>
  <c r="E460" i="1"/>
  <c r="N460" i="1"/>
  <c r="O460" i="1"/>
  <c r="E57" i="1"/>
  <c r="N57" i="1"/>
  <c r="O57" i="1"/>
  <c r="N107" i="1"/>
  <c r="O107" i="1"/>
  <c r="E107" i="1"/>
  <c r="E229" i="1"/>
  <c r="N229" i="1"/>
  <c r="O229" i="1"/>
  <c r="E326" i="1"/>
  <c r="N326" i="1"/>
  <c r="O326" i="1"/>
  <c r="N470" i="1"/>
  <c r="E470" i="1"/>
  <c r="O470" i="1"/>
  <c r="N665" i="1"/>
  <c r="E665" i="1"/>
  <c r="O665" i="1"/>
  <c r="N446" i="1"/>
  <c r="E446" i="1"/>
  <c r="O446" i="1"/>
  <c r="O310" i="1"/>
  <c r="N310" i="1"/>
  <c r="E310" i="1"/>
  <c r="E155" i="1"/>
  <c r="N155" i="1"/>
  <c r="O155" i="1"/>
  <c r="O427" i="1"/>
  <c r="N427" i="1"/>
  <c r="E427" i="1"/>
  <c r="E509" i="1"/>
  <c r="N509" i="1"/>
  <c r="O509" i="1"/>
  <c r="N218" i="1"/>
  <c r="E218" i="1"/>
  <c r="O218" i="1"/>
  <c r="E87" i="1"/>
  <c r="N87" i="1"/>
  <c r="O87" i="1"/>
  <c r="O316" i="1"/>
  <c r="E316" i="1"/>
  <c r="N316" i="1"/>
  <c r="O728" i="1"/>
  <c r="N728" i="1"/>
  <c r="E728" i="1"/>
  <c r="N558" i="1"/>
  <c r="O558" i="1"/>
  <c r="E558" i="1"/>
  <c r="O343" i="1"/>
  <c r="N343" i="1"/>
  <c r="E343" i="1"/>
  <c r="E381" i="1"/>
  <c r="N381" i="1"/>
  <c r="O381" i="1"/>
  <c r="O236" i="1"/>
  <c r="N236" i="1"/>
  <c r="E236" i="1"/>
  <c r="E747" i="1"/>
  <c r="N747" i="1"/>
  <c r="O747" i="1"/>
  <c r="O23" i="1"/>
  <c r="E23" i="1"/>
  <c r="N23" i="1"/>
  <c r="N429" i="1"/>
  <c r="E429" i="1"/>
  <c r="O429" i="1"/>
  <c r="O585" i="1"/>
  <c r="E585" i="1"/>
  <c r="N585" i="1"/>
  <c r="O489" i="1"/>
  <c r="E489" i="1"/>
  <c r="N489" i="1"/>
  <c r="N113" i="1"/>
  <c r="O113" i="1"/>
  <c r="E113" i="1"/>
  <c r="E700" i="1"/>
  <c r="N700" i="1"/>
  <c r="O700" i="1"/>
  <c r="E524" i="1"/>
  <c r="O524" i="1"/>
  <c r="N524" i="1"/>
  <c r="O345" i="1"/>
  <c r="E345" i="1"/>
  <c r="N345" i="1"/>
  <c r="N462" i="1"/>
  <c r="E462" i="1"/>
  <c r="O462" i="1"/>
  <c r="O330" i="1"/>
  <c r="E330" i="1"/>
  <c r="N330" i="1"/>
  <c r="O567" i="1"/>
  <c r="N567" i="1"/>
  <c r="E567" i="1"/>
  <c r="N269" i="1"/>
  <c r="O269" i="1"/>
  <c r="E269" i="1"/>
  <c r="E621" i="1"/>
  <c r="O621" i="1"/>
  <c r="N621" i="1"/>
  <c r="E507" i="1"/>
  <c r="O507" i="1"/>
  <c r="N507" i="1"/>
  <c r="E679" i="1"/>
  <c r="O679" i="1"/>
  <c r="N679" i="1"/>
  <c r="O647" i="1"/>
  <c r="E647" i="1"/>
  <c r="N647" i="1"/>
  <c r="O407" i="1"/>
  <c r="E407" i="1"/>
  <c r="N407" i="1"/>
  <c r="O424" i="1"/>
  <c r="E424" i="1"/>
  <c r="N424" i="1"/>
  <c r="O137" i="1"/>
  <c r="N137" i="1"/>
  <c r="E137" i="1"/>
  <c r="O461" i="1"/>
  <c r="E461" i="1"/>
  <c r="N461" i="1"/>
  <c r="O58" i="1"/>
  <c r="E58" i="1"/>
  <c r="N58" i="1"/>
  <c r="O109" i="1"/>
  <c r="N109" i="1"/>
  <c r="E109" i="1"/>
  <c r="O682" i="1"/>
  <c r="E682" i="1"/>
  <c r="N682" i="1"/>
  <c r="O145" i="1"/>
  <c r="E145" i="1"/>
  <c r="N145" i="1"/>
  <c r="O525" i="1"/>
  <c r="N525" i="1"/>
  <c r="E525" i="1"/>
  <c r="O502" i="1"/>
  <c r="N502" i="1"/>
  <c r="E502" i="1"/>
  <c r="O270" i="1"/>
  <c r="E270" i="1"/>
  <c r="N270" i="1"/>
  <c r="O364" i="1"/>
  <c r="E364" i="1"/>
  <c r="N364" i="1"/>
  <c r="O246" i="1"/>
  <c r="N246" i="1"/>
  <c r="E246" i="1"/>
  <c r="O317" i="1"/>
  <c r="E317" i="1"/>
  <c r="N317" i="1"/>
  <c r="O605" i="1"/>
  <c r="N605" i="1"/>
  <c r="E605" i="1"/>
  <c r="O508" i="1"/>
  <c r="N508" i="1"/>
  <c r="E508" i="1"/>
  <c r="O216" i="1"/>
  <c r="N216" i="1"/>
  <c r="E216" i="1"/>
  <c r="O40" i="1"/>
  <c r="E40" i="1"/>
  <c r="N40" i="1"/>
  <c r="O390" i="1"/>
  <c r="N390" i="1"/>
  <c r="E390" i="1"/>
  <c r="O61" i="1"/>
  <c r="N61" i="1"/>
  <c r="E61" i="1"/>
  <c r="O539" i="1"/>
  <c r="E539" i="1"/>
  <c r="N539" i="1"/>
  <c r="O423" i="1"/>
  <c r="E423" i="1"/>
  <c r="N423" i="1"/>
  <c r="O686" i="1"/>
  <c r="N686" i="1"/>
  <c r="E686" i="1"/>
  <c r="O604" i="1"/>
  <c r="N604" i="1"/>
  <c r="E604" i="1"/>
  <c r="O95" i="1"/>
  <c r="N95" i="1"/>
  <c r="E95" i="1"/>
  <c r="O335" i="1"/>
  <c r="E335" i="1"/>
  <c r="N335" i="1"/>
  <c r="O93" i="1"/>
  <c r="N93" i="1"/>
  <c r="E93" i="1"/>
  <c r="O17" i="1"/>
  <c r="N17" i="1"/>
  <c r="E17" i="1"/>
  <c r="O618" i="1"/>
  <c r="N618" i="1"/>
  <c r="E618" i="1"/>
  <c r="O287" i="1"/>
  <c r="N287" i="1"/>
  <c r="E287" i="1"/>
  <c r="O171" i="1"/>
  <c r="E171" i="1"/>
  <c r="N171" i="1"/>
  <c r="O646" i="1"/>
  <c r="N646" i="1"/>
  <c r="E646" i="1"/>
  <c r="O252" i="1"/>
  <c r="N252" i="1"/>
  <c r="E252" i="1"/>
  <c r="O363" i="1"/>
  <c r="N363" i="1"/>
  <c r="E363" i="1"/>
  <c r="O329" i="1"/>
  <c r="E329" i="1"/>
  <c r="N329" i="1"/>
  <c r="O168" i="1"/>
  <c r="E168" i="1"/>
  <c r="N168" i="1"/>
  <c r="O746" i="1"/>
  <c r="N746" i="1"/>
  <c r="E746" i="1"/>
  <c r="O383" i="1"/>
  <c r="E383" i="1"/>
  <c r="N383" i="1"/>
  <c r="O551" i="1"/>
  <c r="N551" i="1"/>
  <c r="E551" i="1"/>
  <c r="O681" i="1"/>
  <c r="N681" i="1"/>
  <c r="E681" i="1"/>
  <c r="O53" i="1"/>
  <c r="E53" i="1"/>
  <c r="N53" i="1"/>
  <c r="O526" i="1"/>
  <c r="E526" i="1"/>
  <c r="N526" i="1"/>
  <c r="O140" i="1"/>
  <c r="N140" i="1"/>
  <c r="E140" i="1"/>
  <c r="O668" i="1"/>
  <c r="E668" i="1"/>
  <c r="N668" i="1"/>
  <c r="O117" i="1"/>
  <c r="N117" i="1"/>
  <c r="E117" i="1"/>
  <c r="O295" i="1"/>
  <c r="E295" i="1"/>
  <c r="N295" i="1"/>
  <c r="O159" i="1"/>
  <c r="N159" i="1"/>
  <c r="E159" i="1"/>
  <c r="O125" i="1"/>
  <c r="N125" i="1"/>
  <c r="E125" i="1"/>
  <c r="O314" i="1"/>
  <c r="N314" i="1"/>
  <c r="E314" i="1"/>
  <c r="O251" i="1"/>
  <c r="E251" i="1"/>
  <c r="N251" i="1"/>
  <c r="O520" i="1"/>
  <c r="E520" i="1"/>
  <c r="N520" i="1"/>
  <c r="O680" i="1"/>
  <c r="N680" i="1"/>
  <c r="E680" i="1"/>
  <c r="O150" i="1"/>
  <c r="E150" i="1"/>
  <c r="N150" i="1"/>
  <c r="O698" i="1"/>
  <c r="N698" i="1"/>
  <c r="E698" i="1"/>
  <c r="O367" i="1"/>
  <c r="N367" i="1"/>
  <c r="E367" i="1"/>
  <c r="O702" i="1"/>
  <c r="E702" i="1"/>
  <c r="N702" i="1"/>
  <c r="O298" i="1"/>
  <c r="N298" i="1"/>
  <c r="E298" i="1"/>
  <c r="N348" i="1"/>
  <c r="O348" i="1"/>
  <c r="E348" i="1"/>
  <c r="E445" i="1"/>
  <c r="N445" i="1"/>
  <c r="O445" i="1"/>
  <c r="N542" i="1"/>
  <c r="E542" i="1"/>
  <c r="O542" i="1"/>
  <c r="N589" i="1"/>
  <c r="O589" i="1"/>
  <c r="E589" i="1"/>
  <c r="O568" i="1"/>
  <c r="N568" i="1"/>
  <c r="E568" i="1"/>
  <c r="O471" i="1"/>
  <c r="N471" i="1"/>
  <c r="E471" i="1"/>
  <c r="N331" i="1"/>
  <c r="E331" i="1"/>
  <c r="O331" i="1"/>
  <c r="O219" i="1"/>
  <c r="E219" i="1"/>
  <c r="N219" i="1"/>
  <c r="O173" i="1"/>
  <c r="N173" i="1"/>
  <c r="E173" i="1"/>
  <c r="E27" i="1"/>
  <c r="N27" i="1"/>
  <c r="O27" i="1"/>
  <c r="E188" i="1"/>
  <c r="N188" i="1"/>
  <c r="O188" i="1"/>
  <c r="O410" i="1"/>
  <c r="E410" i="1"/>
  <c r="N410" i="1"/>
  <c r="N581" i="1"/>
  <c r="E581" i="1"/>
  <c r="O581" i="1"/>
  <c r="N678" i="1"/>
  <c r="E678" i="1"/>
  <c r="O678" i="1"/>
  <c r="O758" i="1"/>
  <c r="E758" i="1"/>
  <c r="N758" i="1"/>
  <c r="E108" i="1"/>
  <c r="N108" i="1"/>
  <c r="O108" i="1"/>
  <c r="N277" i="1"/>
  <c r="E277" i="1"/>
  <c r="O277" i="1"/>
  <c r="O41" i="1"/>
  <c r="E41" i="1"/>
  <c r="N41" i="1"/>
  <c r="E206" i="1"/>
  <c r="N206" i="1"/>
  <c r="O206" i="1"/>
  <c r="N453" i="1"/>
  <c r="E453" i="1"/>
  <c r="O453" i="1"/>
  <c r="O602" i="1"/>
  <c r="N602" i="1"/>
  <c r="E602" i="1"/>
  <c r="E505" i="1"/>
  <c r="N505" i="1"/>
  <c r="O505" i="1"/>
  <c r="O247" i="1"/>
  <c r="E247" i="1"/>
  <c r="N247" i="1"/>
  <c r="O189" i="1"/>
  <c r="N189" i="1"/>
  <c r="E189" i="1"/>
  <c r="N75" i="1"/>
  <c r="E75" i="1"/>
  <c r="O75" i="1"/>
  <c r="E191" i="1"/>
  <c r="N191" i="1"/>
  <c r="O191" i="1"/>
  <c r="O441" i="1"/>
  <c r="N441" i="1"/>
  <c r="E441" i="1"/>
  <c r="N549" i="1"/>
  <c r="E549" i="1"/>
  <c r="O549" i="1"/>
  <c r="N278" i="1"/>
  <c r="E278" i="1"/>
  <c r="O278" i="1"/>
  <c r="O648" i="1"/>
  <c r="E648" i="1"/>
  <c r="N648" i="1"/>
  <c r="E69" i="1"/>
  <c r="N69" i="1"/>
  <c r="O69" i="1"/>
  <c r="E488" i="1"/>
  <c r="N488" i="1"/>
  <c r="O488" i="1"/>
  <c r="O699" i="1"/>
  <c r="E699" i="1"/>
  <c r="N699" i="1"/>
  <c r="E405" i="1"/>
  <c r="N405" i="1"/>
  <c r="O405" i="1"/>
  <c r="N42" i="1"/>
  <c r="E42" i="1"/>
  <c r="O42" i="1"/>
  <c r="O207" i="1"/>
  <c r="E207" i="1"/>
  <c r="N207" i="1"/>
  <c r="N603" i="1"/>
  <c r="E603" i="1"/>
  <c r="O603" i="1"/>
  <c r="N622" i="1"/>
  <c r="E622" i="1"/>
  <c r="O622" i="1"/>
  <c r="O411" i="1"/>
  <c r="E411" i="1"/>
  <c r="N411" i="1"/>
  <c r="E217" i="1"/>
  <c r="N217" i="1"/>
  <c r="O217" i="1"/>
  <c r="N149" i="1"/>
  <c r="E149" i="1"/>
  <c r="O149" i="1"/>
  <c r="O233" i="1"/>
  <c r="N233" i="1"/>
  <c r="E233" i="1"/>
  <c r="N486" i="1"/>
  <c r="E486" i="1"/>
  <c r="O486" i="1"/>
  <c r="N550" i="1"/>
  <c r="E550" i="1"/>
  <c r="O550" i="1"/>
  <c r="O362" i="1"/>
  <c r="E362" i="1"/>
  <c r="N362" i="1"/>
  <c r="E382" i="1"/>
  <c r="N382" i="1"/>
  <c r="O382" i="1"/>
  <c r="O72" i="1"/>
  <c r="N72" i="1"/>
  <c r="E72" i="1"/>
  <c r="O90" i="1"/>
  <c r="E90" i="1"/>
  <c r="N90" i="1"/>
  <c r="N245" i="1"/>
  <c r="E245" i="1"/>
  <c r="O245" i="1"/>
  <c r="N727" i="1"/>
  <c r="E727" i="1"/>
  <c r="O727" i="1"/>
  <c r="O349" i="1"/>
  <c r="N349" i="1"/>
  <c r="E349" i="1"/>
  <c r="E344" i="1"/>
  <c r="N344" i="1"/>
  <c r="O344" i="1"/>
  <c r="O185" i="1"/>
  <c r="E185" i="1"/>
  <c r="N185" i="1"/>
  <c r="N111" i="1"/>
  <c r="E111" i="1"/>
  <c r="O111" i="1"/>
  <c r="E334" i="1"/>
  <c r="O334" i="1"/>
  <c r="N334" i="1"/>
  <c r="N697" i="1"/>
  <c r="E697" i="1"/>
  <c r="O697" i="1"/>
  <c r="E649" i="1"/>
  <c r="O649" i="1"/>
  <c r="N649" i="1"/>
  <c r="E503" i="1"/>
  <c r="O503" i="1"/>
  <c r="N503" i="1"/>
  <c r="N21" i="1"/>
  <c r="E21" i="1"/>
  <c r="O21" i="1"/>
  <c r="E234" i="1"/>
  <c r="N234" i="1"/>
  <c r="O234" i="1"/>
  <c r="E76" i="1"/>
  <c r="O76" i="1"/>
  <c r="N76" i="1"/>
  <c r="E366" i="1"/>
  <c r="N366" i="1"/>
  <c r="O366" i="1"/>
  <c r="N757" i="1"/>
  <c r="O757" i="1"/>
  <c r="E757" i="1"/>
  <c r="E586" i="1"/>
  <c r="O586" i="1"/>
  <c r="N586" i="1"/>
  <c r="E279" i="1"/>
  <c r="N279" i="1"/>
  <c r="O279" i="1"/>
  <c r="N606" i="1"/>
  <c r="E606" i="1"/>
  <c r="O606" i="1"/>
  <c r="N92" i="1"/>
  <c r="O92" i="1"/>
  <c r="E92" i="1"/>
  <c r="N430" i="1"/>
  <c r="E430" i="1"/>
  <c r="O430" i="1"/>
  <c r="O584" i="1"/>
  <c r="E584" i="1"/>
  <c r="N584" i="1"/>
  <c r="E283" i="1"/>
  <c r="O283" i="1"/>
  <c r="N283" i="1"/>
  <c r="N389" i="1"/>
  <c r="E389" i="1"/>
  <c r="O389" i="1"/>
  <c r="N718" i="1"/>
  <c r="E718" i="1"/>
  <c r="O718" i="1"/>
  <c r="O583" i="1"/>
  <c r="E583" i="1"/>
  <c r="N583" i="1"/>
  <c r="N37" i="1"/>
  <c r="E37" i="1"/>
  <c r="O37" i="1"/>
  <c r="N294" i="1"/>
  <c r="E294" i="1"/>
  <c r="O294" i="1"/>
  <c r="O223" i="1"/>
  <c r="N223" i="1"/>
  <c r="E223" i="1"/>
  <c r="N39" i="1"/>
  <c r="E39" i="1"/>
  <c r="O39" i="1"/>
  <c r="N745" i="1"/>
  <c r="E745" i="1"/>
  <c r="O745" i="1"/>
  <c r="O59" i="1"/>
  <c r="N59" i="1"/>
  <c r="E59" i="1"/>
  <c r="N599" i="1"/>
  <c r="E599" i="1"/>
  <c r="O599" i="1"/>
  <c r="E315" i="1"/>
  <c r="N315" i="1"/>
  <c r="O315" i="1"/>
  <c r="O197" i="1"/>
  <c r="N197" i="1"/>
  <c r="E197" i="1"/>
  <c r="N601" i="1"/>
  <c r="E601" i="1"/>
  <c r="O601" i="1"/>
  <c r="N760" i="1"/>
  <c r="H760" i="1"/>
  <c r="O760" i="1"/>
  <c r="F760" i="1"/>
  <c r="E760" i="1"/>
  <c r="N762" i="1"/>
  <c r="O762" i="1"/>
  <c r="H762" i="1"/>
  <c r="F762" i="1"/>
  <c r="E762" i="1"/>
  <c r="H761" i="1"/>
  <c r="N761" i="1"/>
  <c r="E761" i="1"/>
  <c r="F761" i="1"/>
  <c r="O761" i="1"/>
  <c r="E763" i="1"/>
  <c r="H763" i="1"/>
  <c r="N763" i="1"/>
  <c r="F763" i="1"/>
  <c r="O763" i="1"/>
</calcChain>
</file>

<file path=xl/sharedStrings.xml><?xml version="1.0" encoding="utf-8"?>
<sst xmlns="http://schemas.openxmlformats.org/spreadsheetml/2006/main" count="10857" uniqueCount="1354">
  <si>
    <t>material</t>
  </si>
  <si>
    <t>wo_number</t>
  </si>
  <si>
    <t>terrain</t>
  </si>
  <si>
    <t>BAG(25/50)</t>
  </si>
  <si>
    <t>Month</t>
  </si>
  <si>
    <t>04-0030</t>
  </si>
  <si>
    <t>A01-56</t>
  </si>
  <si>
    <t>04-0169</t>
  </si>
  <si>
    <t>172|0</t>
  </si>
  <si>
    <t>190|0</t>
  </si>
  <si>
    <t>04-0008</t>
  </si>
  <si>
    <t>208|0</t>
  </si>
  <si>
    <t>04-0001</t>
  </si>
  <si>
    <t>226|0</t>
  </si>
  <si>
    <t>04-0003</t>
  </si>
  <si>
    <t>244|0</t>
  </si>
  <si>
    <t>208|1</t>
  </si>
  <si>
    <t>226|1</t>
  </si>
  <si>
    <t>A01-63-R</t>
  </si>
  <si>
    <t>162|0</t>
  </si>
  <si>
    <t>A02-56</t>
  </si>
  <si>
    <t>180|0</t>
  </si>
  <si>
    <t>198|0</t>
  </si>
  <si>
    <t>216|0</t>
  </si>
  <si>
    <t>234|0</t>
  </si>
  <si>
    <t>198|1</t>
  </si>
  <si>
    <t>216|1</t>
  </si>
  <si>
    <t>156|0</t>
  </si>
  <si>
    <t>A03-56-R</t>
  </si>
  <si>
    <t>174|0</t>
  </si>
  <si>
    <t>192|0</t>
  </si>
  <si>
    <t>210|0</t>
  </si>
  <si>
    <t>228|0</t>
  </si>
  <si>
    <t>192|1</t>
  </si>
  <si>
    <t>210|1</t>
  </si>
  <si>
    <t>A03-63-R</t>
  </si>
  <si>
    <t>71|0</t>
  </si>
  <si>
    <t>A04-50</t>
  </si>
  <si>
    <t>93|0</t>
  </si>
  <si>
    <t>115|0</t>
  </si>
  <si>
    <t>148|0</t>
  </si>
  <si>
    <t>137|0</t>
  </si>
  <si>
    <t>115|1</t>
  </si>
  <si>
    <t>148|1</t>
  </si>
  <si>
    <t>67|0</t>
  </si>
  <si>
    <t>A05-50</t>
  </si>
  <si>
    <t>89|0</t>
  </si>
  <si>
    <t>111|0</t>
  </si>
  <si>
    <t>144|0</t>
  </si>
  <si>
    <t>133|0</t>
  </si>
  <si>
    <t>111|1</t>
  </si>
  <si>
    <t>144|1</t>
  </si>
  <si>
    <t>158|0</t>
  </si>
  <si>
    <t>A06-60</t>
  </si>
  <si>
    <t>176|0</t>
  </si>
  <si>
    <t>194|0</t>
  </si>
  <si>
    <t>212|0</t>
  </si>
  <si>
    <t>230|0</t>
  </si>
  <si>
    <t>194|1</t>
  </si>
  <si>
    <t>212|1</t>
  </si>
  <si>
    <t>252|0</t>
  </si>
  <si>
    <t>A07-63</t>
  </si>
  <si>
    <t>266|0</t>
  </si>
  <si>
    <t>280|0</t>
  </si>
  <si>
    <t>294|0</t>
  </si>
  <si>
    <t>308|0</t>
  </si>
  <si>
    <t>280|1</t>
  </si>
  <si>
    <t>294|1</t>
  </si>
  <si>
    <t>247|0</t>
  </si>
  <si>
    <t>A07-63-R</t>
  </si>
  <si>
    <t>261|0</t>
  </si>
  <si>
    <t>275|0</t>
  </si>
  <si>
    <t>289|0</t>
  </si>
  <si>
    <t>303|0</t>
  </si>
  <si>
    <t>275|1</t>
  </si>
  <si>
    <t>289|1</t>
  </si>
  <si>
    <t>157|0</t>
  </si>
  <si>
    <t>A08-57-R</t>
  </si>
  <si>
    <t>175|0</t>
  </si>
  <si>
    <t>193|0</t>
  </si>
  <si>
    <t>211|0</t>
  </si>
  <si>
    <t>229|0</t>
  </si>
  <si>
    <t>193|1</t>
  </si>
  <si>
    <t>211|1</t>
  </si>
  <si>
    <t>169|0</t>
  </si>
  <si>
    <t>A09-57-R</t>
  </si>
  <si>
    <t>187|0</t>
  </si>
  <si>
    <t>205|0</t>
  </si>
  <si>
    <t>223|0</t>
  </si>
  <si>
    <t>241|0</t>
  </si>
  <si>
    <t>205|1</t>
  </si>
  <si>
    <t>223|1</t>
  </si>
  <si>
    <t>72|0</t>
  </si>
  <si>
    <t>A10-49-R</t>
  </si>
  <si>
    <t>94|0</t>
  </si>
  <si>
    <t>116|0</t>
  </si>
  <si>
    <t>149|0</t>
  </si>
  <si>
    <t>138|0</t>
  </si>
  <si>
    <t>116|1</t>
  </si>
  <si>
    <t>149|1</t>
  </si>
  <si>
    <t>69|0</t>
  </si>
  <si>
    <t>A11-49-R</t>
  </si>
  <si>
    <t>91|0</t>
  </si>
  <si>
    <t>113|0</t>
  </si>
  <si>
    <t>146|0</t>
  </si>
  <si>
    <t>135|0</t>
  </si>
  <si>
    <t>113|1</t>
  </si>
  <si>
    <t>146|1</t>
  </si>
  <si>
    <t>74|0</t>
  </si>
  <si>
    <t>A12-49-R</t>
  </si>
  <si>
    <t>96|0</t>
  </si>
  <si>
    <t>118|0</t>
  </si>
  <si>
    <t>151|0</t>
  </si>
  <si>
    <t>140|0</t>
  </si>
  <si>
    <t>118|1</t>
  </si>
  <si>
    <t>151|1</t>
  </si>
  <si>
    <t>75|0</t>
  </si>
  <si>
    <t>A13-49-R</t>
  </si>
  <si>
    <t>97|0</t>
  </si>
  <si>
    <t>119|0</t>
  </si>
  <si>
    <t>152|0</t>
  </si>
  <si>
    <t>141|0</t>
  </si>
  <si>
    <t>119|1</t>
  </si>
  <si>
    <t>152|1</t>
  </si>
  <si>
    <t>549|0</t>
  </si>
  <si>
    <t>B01-65</t>
  </si>
  <si>
    <t>557|0</t>
  </si>
  <si>
    <t>565|0</t>
  </si>
  <si>
    <t>573|0</t>
  </si>
  <si>
    <t>581|0</t>
  </si>
  <si>
    <t>565|1</t>
  </si>
  <si>
    <t>573|1</t>
  </si>
  <si>
    <t>554|0</t>
  </si>
  <si>
    <t>B02-64</t>
  </si>
  <si>
    <t>562|0</t>
  </si>
  <si>
    <t>570|0</t>
  </si>
  <si>
    <t>578|0</t>
  </si>
  <si>
    <t>586|0</t>
  </si>
  <si>
    <t>570|1</t>
  </si>
  <si>
    <t>578|1</t>
  </si>
  <si>
    <t>476|0</t>
  </si>
  <si>
    <t>B03-57</t>
  </si>
  <si>
    <t>492|0</t>
  </si>
  <si>
    <t>508|0</t>
  </si>
  <si>
    <t>524|0</t>
  </si>
  <si>
    <t>540|0</t>
  </si>
  <si>
    <t>508|1</t>
  </si>
  <si>
    <t>524|1</t>
  </si>
  <si>
    <t>483|0</t>
  </si>
  <si>
    <t>B04-60</t>
  </si>
  <si>
    <t>499|0</t>
  </si>
  <si>
    <t>515|0</t>
  </si>
  <si>
    <t>531|0</t>
  </si>
  <si>
    <t>547|0</t>
  </si>
  <si>
    <t>515|1</t>
  </si>
  <si>
    <t>531|1</t>
  </si>
  <si>
    <t>550|0</t>
  </si>
  <si>
    <t>B05-64</t>
  </si>
  <si>
    <t>558|0</t>
  </si>
  <si>
    <t>566|0</t>
  </si>
  <si>
    <t>574|0</t>
  </si>
  <si>
    <t>582|0</t>
  </si>
  <si>
    <t>566|1</t>
  </si>
  <si>
    <t>574|1</t>
  </si>
  <si>
    <t>553|0</t>
  </si>
  <si>
    <t>B06-64</t>
  </si>
  <si>
    <t>561|0</t>
  </si>
  <si>
    <t>569|0</t>
  </si>
  <si>
    <t>577|0</t>
  </si>
  <si>
    <t>585|0</t>
  </si>
  <si>
    <t>569|1</t>
  </si>
  <si>
    <t>577|1</t>
  </si>
  <si>
    <t>429|0</t>
  </si>
  <si>
    <t>B07-50</t>
  </si>
  <si>
    <t>438|0</t>
  </si>
  <si>
    <t>447|0</t>
  </si>
  <si>
    <t>456|0</t>
  </si>
  <si>
    <t>465|0</t>
  </si>
  <si>
    <t>447|1</t>
  </si>
  <si>
    <t>456|1</t>
  </si>
  <si>
    <t>480|0</t>
  </si>
  <si>
    <t>B08-60</t>
  </si>
  <si>
    <t>496|0</t>
  </si>
  <si>
    <t>512|0</t>
  </si>
  <si>
    <t>528|0</t>
  </si>
  <si>
    <t>544|0</t>
  </si>
  <si>
    <t>512|1</t>
  </si>
  <si>
    <t>528|1</t>
  </si>
  <si>
    <t>469|0</t>
  </si>
  <si>
    <t>B09-60</t>
  </si>
  <si>
    <t>485|0</t>
  </si>
  <si>
    <t>501|0</t>
  </si>
  <si>
    <t>517|0</t>
  </si>
  <si>
    <t>533|0</t>
  </si>
  <si>
    <t>501|1</t>
  </si>
  <si>
    <t>517|1</t>
  </si>
  <si>
    <t>426|0</t>
  </si>
  <si>
    <t>B10-50</t>
  </si>
  <si>
    <t>435|0</t>
  </si>
  <si>
    <t>444|0</t>
  </si>
  <si>
    <t>453|0</t>
  </si>
  <si>
    <t>462|0</t>
  </si>
  <si>
    <t>444|1</t>
  </si>
  <si>
    <t>453|1</t>
  </si>
  <si>
    <t>555|0</t>
  </si>
  <si>
    <t>B11-65</t>
  </si>
  <si>
    <t>563|0</t>
  </si>
  <si>
    <t>571|0</t>
  </si>
  <si>
    <t>579|0</t>
  </si>
  <si>
    <t>587|0</t>
  </si>
  <si>
    <t>571|1</t>
  </si>
  <si>
    <t>579|1</t>
  </si>
  <si>
    <t>477|0</t>
  </si>
  <si>
    <t>B12-57</t>
  </si>
  <si>
    <t>493|0</t>
  </si>
  <si>
    <t>509|0</t>
  </si>
  <si>
    <t>525|0</t>
  </si>
  <si>
    <t>541|0</t>
  </si>
  <si>
    <t>509|1</t>
  </si>
  <si>
    <t>525|1</t>
  </si>
  <si>
    <t>425|0</t>
  </si>
  <si>
    <t>B13-49</t>
  </si>
  <si>
    <t>434|0</t>
  </si>
  <si>
    <t>443|0</t>
  </si>
  <si>
    <t>452|0</t>
  </si>
  <si>
    <t>461|0</t>
  </si>
  <si>
    <t>443|1</t>
  </si>
  <si>
    <t>452|1</t>
  </si>
  <si>
    <t>430|0</t>
  </si>
  <si>
    <t>B14-30</t>
  </si>
  <si>
    <t>439|0</t>
  </si>
  <si>
    <t>448|0</t>
  </si>
  <si>
    <t>457|0</t>
  </si>
  <si>
    <t>466|0</t>
  </si>
  <si>
    <t>448|1</t>
  </si>
  <si>
    <t>457|1</t>
  </si>
  <si>
    <t>471|0</t>
  </si>
  <si>
    <t>B14-57</t>
  </si>
  <si>
    <t>487|0</t>
  </si>
  <si>
    <t>503|0</t>
  </si>
  <si>
    <t>519|0</t>
  </si>
  <si>
    <t>535|0</t>
  </si>
  <si>
    <t>503|1</t>
  </si>
  <si>
    <t>519|1</t>
  </si>
  <si>
    <t>171|0</t>
  </si>
  <si>
    <t>C01-60-R</t>
  </si>
  <si>
    <t>189|0</t>
  </si>
  <si>
    <t>207|0</t>
  </si>
  <si>
    <t>225|0</t>
  </si>
  <si>
    <t>243|0</t>
  </si>
  <si>
    <t>207|1</t>
  </si>
  <si>
    <t>225|1</t>
  </si>
  <si>
    <t>168|0</t>
  </si>
  <si>
    <t>C02-60-R</t>
  </si>
  <si>
    <t>186|0</t>
  </si>
  <si>
    <t>204|0</t>
  </si>
  <si>
    <t>222|0</t>
  </si>
  <si>
    <t>240|0</t>
  </si>
  <si>
    <t>204|1</t>
  </si>
  <si>
    <t>222|1</t>
  </si>
  <si>
    <t>166|0</t>
  </si>
  <si>
    <t>C03-59-R</t>
  </si>
  <si>
    <t>184|0</t>
  </si>
  <si>
    <t>202|0</t>
  </si>
  <si>
    <t>220|0</t>
  </si>
  <si>
    <t>238|0</t>
  </si>
  <si>
    <t>202|1</t>
  </si>
  <si>
    <t>220|1</t>
  </si>
  <si>
    <t>161|0</t>
  </si>
  <si>
    <t>C04-59-R</t>
  </si>
  <si>
    <t>179|0</t>
  </si>
  <si>
    <t>197|0</t>
  </si>
  <si>
    <t>215|0</t>
  </si>
  <si>
    <t>233|0</t>
  </si>
  <si>
    <t>197|1</t>
  </si>
  <si>
    <t>215|1</t>
  </si>
  <si>
    <t>77|0</t>
  </si>
  <si>
    <t>C05-22-R</t>
  </si>
  <si>
    <t>99|0</t>
  </si>
  <si>
    <t>121|0</t>
  </si>
  <si>
    <t>154|0</t>
  </si>
  <si>
    <t>143|0</t>
  </si>
  <si>
    <t>121|1</t>
  </si>
  <si>
    <t>154|1</t>
  </si>
  <si>
    <t>70|0</t>
  </si>
  <si>
    <t>C05-50-R</t>
  </si>
  <si>
    <t>92|0</t>
  </si>
  <si>
    <t>114|0</t>
  </si>
  <si>
    <t>147|0</t>
  </si>
  <si>
    <t>136|0</t>
  </si>
  <si>
    <t>114|1</t>
  </si>
  <si>
    <t>147|1</t>
  </si>
  <si>
    <t>165|0</t>
  </si>
  <si>
    <t>C05-60-R</t>
  </si>
  <si>
    <t>183|0</t>
  </si>
  <si>
    <t>201|0</t>
  </si>
  <si>
    <t>219|0</t>
  </si>
  <si>
    <t>237|0</t>
  </si>
  <si>
    <t>201|1</t>
  </si>
  <si>
    <t>219|1</t>
  </si>
  <si>
    <t>155|0</t>
  </si>
  <si>
    <t>C06-57</t>
  </si>
  <si>
    <t>173|0</t>
  </si>
  <si>
    <t>191|0</t>
  </si>
  <si>
    <t>209|0</t>
  </si>
  <si>
    <t>227|0</t>
  </si>
  <si>
    <t>191|1</t>
  </si>
  <si>
    <t>209|1</t>
  </si>
  <si>
    <t>160|0</t>
  </si>
  <si>
    <t>C06-57-R</t>
  </si>
  <si>
    <t>178|0</t>
  </si>
  <si>
    <t>196|0</t>
  </si>
  <si>
    <t>214|0</t>
  </si>
  <si>
    <t>232|0</t>
  </si>
  <si>
    <t>196|1</t>
  </si>
  <si>
    <t>214|1</t>
  </si>
  <si>
    <t>73|0</t>
  </si>
  <si>
    <t>C07-50-R</t>
  </si>
  <si>
    <t>95|0</t>
  </si>
  <si>
    <t>117|0</t>
  </si>
  <si>
    <t>150|0</t>
  </si>
  <si>
    <t>139|0</t>
  </si>
  <si>
    <t>117|1</t>
  </si>
  <si>
    <t>150|1</t>
  </si>
  <si>
    <t>167|0</t>
  </si>
  <si>
    <t>C08-59-R</t>
  </si>
  <si>
    <t>185|0</t>
  </si>
  <si>
    <t>203|0</t>
  </si>
  <si>
    <t>221|0</t>
  </si>
  <si>
    <t>239|0</t>
  </si>
  <si>
    <t>203|1</t>
  </si>
  <si>
    <t>221|1</t>
  </si>
  <si>
    <t>159|0</t>
  </si>
  <si>
    <t>C09-59-R</t>
  </si>
  <si>
    <t>177|0</t>
  </si>
  <si>
    <t>195|0</t>
  </si>
  <si>
    <t>213|0</t>
  </si>
  <si>
    <t>231|0</t>
  </si>
  <si>
    <t>195|1</t>
  </si>
  <si>
    <t>213|1</t>
  </si>
  <si>
    <t>164|0</t>
  </si>
  <si>
    <t>C10-56-R</t>
  </si>
  <si>
    <t>182|0</t>
  </si>
  <si>
    <t>200|0</t>
  </si>
  <si>
    <t>218|0</t>
  </si>
  <si>
    <t>236|0</t>
  </si>
  <si>
    <t>200|1</t>
  </si>
  <si>
    <t>218|1</t>
  </si>
  <si>
    <t>170|0</t>
  </si>
  <si>
    <t>C11-59-R</t>
  </si>
  <si>
    <t>188|0</t>
  </si>
  <si>
    <t>206|0</t>
  </si>
  <si>
    <t>224|0</t>
  </si>
  <si>
    <t>242|0</t>
  </si>
  <si>
    <t>206|1</t>
  </si>
  <si>
    <t>224|1</t>
  </si>
  <si>
    <t>254|0</t>
  </si>
  <si>
    <t>D01-65-R</t>
  </si>
  <si>
    <t>268|0</t>
  </si>
  <si>
    <t>282|0</t>
  </si>
  <si>
    <t>296|0</t>
  </si>
  <si>
    <t>310|0</t>
  </si>
  <si>
    <t>282|1</t>
  </si>
  <si>
    <t>296|1</t>
  </si>
  <si>
    <t>248|0</t>
  </si>
  <si>
    <t>D02-64-R</t>
  </si>
  <si>
    <t>262|0</t>
  </si>
  <si>
    <t>276|0</t>
  </si>
  <si>
    <t>290|0</t>
  </si>
  <si>
    <t>304|0</t>
  </si>
  <si>
    <t>276|1</t>
  </si>
  <si>
    <t>290|1</t>
  </si>
  <si>
    <t>251|0</t>
  </si>
  <si>
    <t>D03-65-R</t>
  </si>
  <si>
    <t>265|0</t>
  </si>
  <si>
    <t>279|0</t>
  </si>
  <si>
    <t>293|0</t>
  </si>
  <si>
    <t>307|0</t>
  </si>
  <si>
    <t>279|1</t>
  </si>
  <si>
    <t>293|1</t>
  </si>
  <si>
    <t>253|0</t>
  </si>
  <si>
    <t>D04-65-R</t>
  </si>
  <si>
    <t>267|0</t>
  </si>
  <si>
    <t>281|0</t>
  </si>
  <si>
    <t>295|0</t>
  </si>
  <si>
    <t>309|0</t>
  </si>
  <si>
    <t>281|1</t>
  </si>
  <si>
    <t>295|1</t>
  </si>
  <si>
    <t>249|0</t>
  </si>
  <si>
    <t>D05-65-R</t>
  </si>
  <si>
    <t>263|0</t>
  </si>
  <si>
    <t>277|0</t>
  </si>
  <si>
    <t>291|0</t>
  </si>
  <si>
    <t>305|0</t>
  </si>
  <si>
    <t>277|1</t>
  </si>
  <si>
    <t>291|1</t>
  </si>
  <si>
    <t>350|0</t>
  </si>
  <si>
    <t>D06-67-R</t>
  </si>
  <si>
    <t>353|0</t>
  </si>
  <si>
    <t>356|0</t>
  </si>
  <si>
    <t>359|0</t>
  </si>
  <si>
    <t>362|0</t>
  </si>
  <si>
    <t>365|0</t>
  </si>
  <si>
    <t>368|0</t>
  </si>
  <si>
    <t>371|0</t>
  </si>
  <si>
    <t>163|0</t>
  </si>
  <si>
    <t>D07-56-R</t>
  </si>
  <si>
    <t>181|0</t>
  </si>
  <si>
    <t>199|0</t>
  </si>
  <si>
    <t>217|0</t>
  </si>
  <si>
    <t>235|0</t>
  </si>
  <si>
    <t>199|1</t>
  </si>
  <si>
    <t>217|1</t>
  </si>
  <si>
    <t>255|0</t>
  </si>
  <si>
    <t>D08-63-R</t>
  </si>
  <si>
    <t>269|0</t>
  </si>
  <si>
    <t>283|0</t>
  </si>
  <si>
    <t>297|0</t>
  </si>
  <si>
    <t>311|0</t>
  </si>
  <si>
    <t>283|1</t>
  </si>
  <si>
    <t>297|1</t>
  </si>
  <si>
    <t>318|0</t>
  </si>
  <si>
    <t>D09-66-R</t>
  </si>
  <si>
    <t>323|0</t>
  </si>
  <si>
    <t>328|0</t>
  </si>
  <si>
    <t>333|0</t>
  </si>
  <si>
    <t>338|0</t>
  </si>
  <si>
    <t>328|1</t>
  </si>
  <si>
    <t>333|1</t>
  </si>
  <si>
    <t>343|0</t>
  </si>
  <si>
    <t>348|0</t>
  </si>
  <si>
    <t>351|0</t>
  </si>
  <si>
    <t>P01-67-R</t>
  </si>
  <si>
    <t>354|0</t>
  </si>
  <si>
    <t>357|0</t>
  </si>
  <si>
    <t>360|0</t>
  </si>
  <si>
    <t>363|0</t>
  </si>
  <si>
    <t>366|0</t>
  </si>
  <si>
    <t>369|0</t>
  </si>
  <si>
    <t>372|0</t>
  </si>
  <si>
    <t>352|0</t>
  </si>
  <si>
    <t>P02-67-R</t>
  </si>
  <si>
    <t>355|0</t>
  </si>
  <si>
    <t>358|0</t>
  </si>
  <si>
    <t>361|0</t>
  </si>
  <si>
    <t>364|0</t>
  </si>
  <si>
    <t>367|0</t>
  </si>
  <si>
    <t>370|0</t>
  </si>
  <si>
    <t>373|0</t>
  </si>
  <si>
    <t>315|0</t>
  </si>
  <si>
    <t>P03-66-R</t>
  </si>
  <si>
    <t>320|0</t>
  </si>
  <si>
    <t>325|0</t>
  </si>
  <si>
    <t>330|0</t>
  </si>
  <si>
    <t>335|0</t>
  </si>
  <si>
    <t>325|1</t>
  </si>
  <si>
    <t>330|1</t>
  </si>
  <si>
    <t>340|0</t>
  </si>
  <si>
    <t>345|0</t>
  </si>
  <si>
    <t>319|0</t>
  </si>
  <si>
    <t>P04-66-R</t>
  </si>
  <si>
    <t>324|0</t>
  </si>
  <si>
    <t>329|0</t>
  </si>
  <si>
    <t>334|0</t>
  </si>
  <si>
    <t>339|0</t>
  </si>
  <si>
    <t>329|1</t>
  </si>
  <si>
    <t>334|1</t>
  </si>
  <si>
    <t>344|0</t>
  </si>
  <si>
    <t>349|0</t>
  </si>
  <si>
    <t>317|0</t>
  </si>
  <si>
    <t>P05-66-R</t>
  </si>
  <si>
    <t>322|0</t>
  </si>
  <si>
    <t>327|0</t>
  </si>
  <si>
    <t>332|0</t>
  </si>
  <si>
    <t>337|0</t>
  </si>
  <si>
    <t>327|1</t>
  </si>
  <si>
    <t>332|1</t>
  </si>
  <si>
    <t>342|0</t>
  </si>
  <si>
    <t>347|0</t>
  </si>
  <si>
    <t>256|0</t>
  </si>
  <si>
    <t>P06-64-R</t>
  </si>
  <si>
    <t>270|0</t>
  </si>
  <si>
    <t>284|0</t>
  </si>
  <si>
    <t>298|0</t>
  </si>
  <si>
    <t>312|0</t>
  </si>
  <si>
    <t>284|1</t>
  </si>
  <si>
    <t>298|1</t>
  </si>
  <si>
    <t>76|0</t>
  </si>
  <si>
    <t>P07-51</t>
  </si>
  <si>
    <t>98|0</t>
  </si>
  <si>
    <t>120|0</t>
  </si>
  <si>
    <t>153|0</t>
  </si>
  <si>
    <t>142|0</t>
  </si>
  <si>
    <t>120|1</t>
  </si>
  <si>
    <t>153|1</t>
  </si>
  <si>
    <t>68|0</t>
  </si>
  <si>
    <t>P07-51-R</t>
  </si>
  <si>
    <t>90|0</t>
  </si>
  <si>
    <t>112|0</t>
  </si>
  <si>
    <t>145|0</t>
  </si>
  <si>
    <t>134|0</t>
  </si>
  <si>
    <t>112|1</t>
  </si>
  <si>
    <t>145|1</t>
  </si>
  <si>
    <t>246|0</t>
  </si>
  <si>
    <t>P07-64-R</t>
  </si>
  <si>
    <t>260|0</t>
  </si>
  <si>
    <t>274|0</t>
  </si>
  <si>
    <t>288|0</t>
  </si>
  <si>
    <t>302|0</t>
  </si>
  <si>
    <t>274|1</t>
  </si>
  <si>
    <t>288|1</t>
  </si>
  <si>
    <t>250|0</t>
  </si>
  <si>
    <t>P08-64-R</t>
  </si>
  <si>
    <t>264|0</t>
  </si>
  <si>
    <t>278|0</t>
  </si>
  <si>
    <t>292|0</t>
  </si>
  <si>
    <t>306|0</t>
  </si>
  <si>
    <t>278|1</t>
  </si>
  <si>
    <t>292|1</t>
  </si>
  <si>
    <t>258|0</t>
  </si>
  <si>
    <t>P09-64-R</t>
  </si>
  <si>
    <t>272|0</t>
  </si>
  <si>
    <t>286|0</t>
  </si>
  <si>
    <t>300|0</t>
  </si>
  <si>
    <t>314|0</t>
  </si>
  <si>
    <t>286|1</t>
  </si>
  <si>
    <t>300|1</t>
  </si>
  <si>
    <t>376|0</t>
  </si>
  <si>
    <t>PU1-68</t>
  </si>
  <si>
    <t>383|0</t>
  </si>
  <si>
    <t>390|0</t>
  </si>
  <si>
    <t>397|0</t>
  </si>
  <si>
    <t>404|0</t>
  </si>
  <si>
    <t>390|1</t>
  </si>
  <si>
    <t>397|1</t>
  </si>
  <si>
    <t>411|0</t>
  </si>
  <si>
    <t>418|0</t>
  </si>
  <si>
    <t>316|0</t>
  </si>
  <si>
    <t>PU2-66</t>
  </si>
  <si>
    <t>321|0</t>
  </si>
  <si>
    <t>326|0</t>
  </si>
  <si>
    <t>331|0</t>
  </si>
  <si>
    <t>336|0</t>
  </si>
  <si>
    <t>326|1</t>
  </si>
  <si>
    <t>331|1</t>
  </si>
  <si>
    <t>341|0</t>
  </si>
  <si>
    <t>346|0</t>
  </si>
  <si>
    <t>374|0</t>
  </si>
  <si>
    <t>PU3-68</t>
  </si>
  <si>
    <t>381|0</t>
  </si>
  <si>
    <t>388|0</t>
  </si>
  <si>
    <t>395|0</t>
  </si>
  <si>
    <t>402|0</t>
  </si>
  <si>
    <t>388|1</t>
  </si>
  <si>
    <t>395|1</t>
  </si>
  <si>
    <t>409|0</t>
  </si>
  <si>
    <t>416|0</t>
  </si>
  <si>
    <t>375|0</t>
  </si>
  <si>
    <t>PU4-68</t>
  </si>
  <si>
    <t>382|0</t>
  </si>
  <si>
    <t>389|0</t>
  </si>
  <si>
    <t>396|0</t>
  </si>
  <si>
    <t>403|0</t>
  </si>
  <si>
    <t>389|1</t>
  </si>
  <si>
    <t>396|1</t>
  </si>
  <si>
    <t>410|0</t>
  </si>
  <si>
    <t>417|0</t>
  </si>
  <si>
    <t>380|0</t>
  </si>
  <si>
    <t>PU5-68</t>
  </si>
  <si>
    <t>387|0</t>
  </si>
  <si>
    <t>394|0</t>
  </si>
  <si>
    <t>401|0</t>
  </si>
  <si>
    <t>408|0</t>
  </si>
  <si>
    <t>394|1</t>
  </si>
  <si>
    <t>401|1</t>
  </si>
  <si>
    <t>415|0</t>
  </si>
  <si>
    <t>422|0</t>
  </si>
  <si>
    <t>378|0</t>
  </si>
  <si>
    <t>PU5-68-R</t>
  </si>
  <si>
    <t>385|0</t>
  </si>
  <si>
    <t>392|0</t>
  </si>
  <si>
    <t>399|0</t>
  </si>
  <si>
    <t>406|0</t>
  </si>
  <si>
    <t>392|1</t>
  </si>
  <si>
    <t>399|1</t>
  </si>
  <si>
    <t>413|0</t>
  </si>
  <si>
    <t>420|0</t>
  </si>
  <si>
    <t>379|0</t>
  </si>
  <si>
    <t>PU6-68</t>
  </si>
  <si>
    <t>386|0</t>
  </si>
  <si>
    <t>393|0</t>
  </si>
  <si>
    <t>400|0</t>
  </si>
  <si>
    <t>407|0</t>
  </si>
  <si>
    <t>393|1</t>
  </si>
  <si>
    <t>400|1</t>
  </si>
  <si>
    <t>414|0</t>
  </si>
  <si>
    <t>421|0</t>
  </si>
  <si>
    <t>377|0</t>
  </si>
  <si>
    <t>PU6-68-R</t>
  </si>
  <si>
    <t>384|0</t>
  </si>
  <si>
    <t>391|0</t>
  </si>
  <si>
    <t>398|0</t>
  </si>
  <si>
    <t>405|0</t>
  </si>
  <si>
    <t>391|1</t>
  </si>
  <si>
    <t>398|1</t>
  </si>
  <si>
    <t>412|0</t>
  </si>
  <si>
    <t>419|0</t>
  </si>
  <si>
    <t>657|0</t>
  </si>
  <si>
    <t>T01-68</t>
  </si>
  <si>
    <t>659|0</t>
  </si>
  <si>
    <t>661|0</t>
  </si>
  <si>
    <t>663|0</t>
  </si>
  <si>
    <t>665|0</t>
  </si>
  <si>
    <t>661|1</t>
  </si>
  <si>
    <t>663|1</t>
  </si>
  <si>
    <t>667|0</t>
  </si>
  <si>
    <t>669|0</t>
  </si>
  <si>
    <t>656|0</t>
  </si>
  <si>
    <t>T02-68</t>
  </si>
  <si>
    <t>658|0</t>
  </si>
  <si>
    <t>660|0</t>
  </si>
  <si>
    <t>662|0</t>
  </si>
  <si>
    <t>664|0</t>
  </si>
  <si>
    <t>660|1</t>
  </si>
  <si>
    <t>662|1</t>
  </si>
  <si>
    <t>666|0</t>
  </si>
  <si>
    <t>668|0</t>
  </si>
  <si>
    <t>588|0</t>
  </si>
  <si>
    <t>T03-66</t>
  </si>
  <si>
    <t>592|0</t>
  </si>
  <si>
    <t>596|0</t>
  </si>
  <si>
    <t>600|0</t>
  </si>
  <si>
    <t>604|0</t>
  </si>
  <si>
    <t>596|1</t>
  </si>
  <si>
    <t>600|1</t>
  </si>
  <si>
    <t>608|0</t>
  </si>
  <si>
    <t>612|0</t>
  </si>
  <si>
    <t>591|0</t>
  </si>
  <si>
    <t>T04-66</t>
  </si>
  <si>
    <t>595|0</t>
  </si>
  <si>
    <t>599|0</t>
  </si>
  <si>
    <t>603|0</t>
  </si>
  <si>
    <t>607|0</t>
  </si>
  <si>
    <t>599|1</t>
  </si>
  <si>
    <t>603|1</t>
  </si>
  <si>
    <t>611|0</t>
  </si>
  <si>
    <t>615|0</t>
  </si>
  <si>
    <t>548|0</t>
  </si>
  <si>
    <t>T05-63-R</t>
  </si>
  <si>
    <t>556|0</t>
  </si>
  <si>
    <t>564|0</t>
  </si>
  <si>
    <t>572|0</t>
  </si>
  <si>
    <t>580|0</t>
  </si>
  <si>
    <t>564|1</t>
  </si>
  <si>
    <t>572|1</t>
  </si>
  <si>
    <t>589|0</t>
  </si>
  <si>
    <t>T06-66</t>
  </si>
  <si>
    <t>593|0</t>
  </si>
  <si>
    <t>597|0</t>
  </si>
  <si>
    <t>601|0</t>
  </si>
  <si>
    <t>605|0</t>
  </si>
  <si>
    <t>597|1</t>
  </si>
  <si>
    <t>601|1</t>
  </si>
  <si>
    <t>609|0</t>
  </si>
  <si>
    <t>613|0</t>
  </si>
  <si>
    <t>590|0</t>
  </si>
  <si>
    <t>T07-66</t>
  </si>
  <si>
    <t>594|0</t>
  </si>
  <si>
    <t>598|0</t>
  </si>
  <si>
    <t>602|0</t>
  </si>
  <si>
    <t>606|0</t>
  </si>
  <si>
    <t>598|1</t>
  </si>
  <si>
    <t>602|1</t>
  </si>
  <si>
    <t>610|0</t>
  </si>
  <si>
    <t>614|0</t>
  </si>
  <si>
    <t>470|0</t>
  </si>
  <si>
    <t>T08-56</t>
  </si>
  <si>
    <t>486|0</t>
  </si>
  <si>
    <t>502|0</t>
  </si>
  <si>
    <t>518|0</t>
  </si>
  <si>
    <t>534|0</t>
  </si>
  <si>
    <t>502|1</t>
  </si>
  <si>
    <t>518|1</t>
  </si>
  <si>
    <t>468|0</t>
  </si>
  <si>
    <t>T08-56-R</t>
  </si>
  <si>
    <t>484|0</t>
  </si>
  <si>
    <t>500|0</t>
  </si>
  <si>
    <t>516|0</t>
  </si>
  <si>
    <t>532|0</t>
  </si>
  <si>
    <t>500|1</t>
  </si>
  <si>
    <t>516|1</t>
  </si>
  <si>
    <t>475|0</t>
  </si>
  <si>
    <t>T09-58-R</t>
  </si>
  <si>
    <t>491|0</t>
  </si>
  <si>
    <t>507|0</t>
  </si>
  <si>
    <t>523|0</t>
  </si>
  <si>
    <t>539|0</t>
  </si>
  <si>
    <t>507|1</t>
  </si>
  <si>
    <t>523|1</t>
  </si>
  <si>
    <t>424|0</t>
  </si>
  <si>
    <t>T10-50-R</t>
  </si>
  <si>
    <t>433|0</t>
  </si>
  <si>
    <t>442|0</t>
  </si>
  <si>
    <t>451|0</t>
  </si>
  <si>
    <t>460|0</t>
  </si>
  <si>
    <t>442|1</t>
  </si>
  <si>
    <t>451|1</t>
  </si>
  <si>
    <t>618|0</t>
  </si>
  <si>
    <t>T10-67</t>
  </si>
  <si>
    <t>623|0</t>
  </si>
  <si>
    <t>628|0</t>
  </si>
  <si>
    <t>633|0</t>
  </si>
  <si>
    <t>638|0</t>
  </si>
  <si>
    <t>643|0</t>
  </si>
  <si>
    <t>648|0</t>
  </si>
  <si>
    <t>653|0</t>
  </si>
  <si>
    <t>474|0</t>
  </si>
  <si>
    <t>T11-58-R</t>
  </si>
  <si>
    <t>490|0</t>
  </si>
  <si>
    <t>506|0</t>
  </si>
  <si>
    <t>522|0</t>
  </si>
  <si>
    <t>538|0</t>
  </si>
  <si>
    <t>506|1</t>
  </si>
  <si>
    <t>522|1</t>
  </si>
  <si>
    <t>431|0</t>
  </si>
  <si>
    <t>T12-50-R</t>
  </si>
  <si>
    <t>440|0</t>
  </si>
  <si>
    <t>449|0</t>
  </si>
  <si>
    <t>458|0</t>
  </si>
  <si>
    <t>467|0</t>
  </si>
  <si>
    <t>449|1</t>
  </si>
  <si>
    <t>458|1</t>
  </si>
  <si>
    <t>479|0</t>
  </si>
  <si>
    <t>T13-58-R</t>
  </si>
  <si>
    <t>495|0</t>
  </si>
  <si>
    <t>511|0</t>
  </si>
  <si>
    <t>527|0</t>
  </si>
  <si>
    <t>543|0</t>
  </si>
  <si>
    <t>511|1</t>
  </si>
  <si>
    <t>527|1</t>
  </si>
  <si>
    <t>427|0</t>
  </si>
  <si>
    <t>T16-49-R</t>
  </si>
  <si>
    <t>436|0</t>
  </si>
  <si>
    <t>445|0</t>
  </si>
  <si>
    <t>454|0</t>
  </si>
  <si>
    <t>463|0</t>
  </si>
  <si>
    <t>445|1</t>
  </si>
  <si>
    <t>454|1</t>
  </si>
  <si>
    <t>482|0</t>
  </si>
  <si>
    <t>T17-58-R</t>
  </si>
  <si>
    <t>498|0</t>
  </si>
  <si>
    <t>514|0</t>
  </si>
  <si>
    <t>530|0</t>
  </si>
  <si>
    <t>546|0</t>
  </si>
  <si>
    <t>514|1</t>
  </si>
  <si>
    <t>530|1</t>
  </si>
  <si>
    <t>473|0</t>
  </si>
  <si>
    <t>T18-58-R</t>
  </si>
  <si>
    <t>489|0</t>
  </si>
  <si>
    <t>505|0</t>
  </si>
  <si>
    <t>521|0</t>
  </si>
  <si>
    <t>537|0</t>
  </si>
  <si>
    <t>505|1</t>
  </si>
  <si>
    <t>521|1</t>
  </si>
  <si>
    <t>619|0</t>
  </si>
  <si>
    <t>T18-67</t>
  </si>
  <si>
    <t>624|0</t>
  </si>
  <si>
    <t>629|0</t>
  </si>
  <si>
    <t>634|0</t>
  </si>
  <si>
    <t>639|0</t>
  </si>
  <si>
    <t>644|0</t>
  </si>
  <si>
    <t>649|0</t>
  </si>
  <si>
    <t>654|0</t>
  </si>
  <si>
    <t>472|0</t>
  </si>
  <si>
    <t>T19-56-R</t>
  </si>
  <si>
    <t>488|0</t>
  </si>
  <si>
    <t>504|0</t>
  </si>
  <si>
    <t>520|0</t>
  </si>
  <si>
    <t>536|0</t>
  </si>
  <si>
    <t>504|1</t>
  </si>
  <si>
    <t>520|1</t>
  </si>
  <si>
    <t>428|0</t>
  </si>
  <si>
    <t>T20-49-R</t>
  </si>
  <si>
    <t>437|0</t>
  </si>
  <si>
    <t>446|0</t>
  </si>
  <si>
    <t>455|0</t>
  </si>
  <si>
    <t>464|0</t>
  </si>
  <si>
    <t>446|1</t>
  </si>
  <si>
    <t>455|1</t>
  </si>
  <si>
    <t>478|0</t>
  </si>
  <si>
    <t>T21-56-R</t>
  </si>
  <si>
    <t>494|0</t>
  </si>
  <si>
    <t>510|0</t>
  </si>
  <si>
    <t>526|0</t>
  </si>
  <si>
    <t>542|0</t>
  </si>
  <si>
    <t>510|1</t>
  </si>
  <si>
    <t>526|1</t>
  </si>
  <si>
    <t>616|0</t>
  </si>
  <si>
    <t>T21-67</t>
  </si>
  <si>
    <t>621|0</t>
  </si>
  <si>
    <t>626|0</t>
  </si>
  <si>
    <t>631|0</t>
  </si>
  <si>
    <t>636|0</t>
  </si>
  <si>
    <t>641|0</t>
  </si>
  <si>
    <t>646|0</t>
  </si>
  <si>
    <t>651|0</t>
  </si>
  <si>
    <t>551|0</t>
  </si>
  <si>
    <t>T22-63-R</t>
  </si>
  <si>
    <t>559|0</t>
  </si>
  <si>
    <t>567|0</t>
  </si>
  <si>
    <t>575|0</t>
  </si>
  <si>
    <t>583|0</t>
  </si>
  <si>
    <t>567|1</t>
  </si>
  <si>
    <t>575|1</t>
  </si>
  <si>
    <t>552|0</t>
  </si>
  <si>
    <t>T23-63-R</t>
  </si>
  <si>
    <t>560|0</t>
  </si>
  <si>
    <t>568|0</t>
  </si>
  <si>
    <t>576|0</t>
  </si>
  <si>
    <t>584|0</t>
  </si>
  <si>
    <t>568|1</t>
  </si>
  <si>
    <t>576|1</t>
  </si>
  <si>
    <t>423|0</t>
  </si>
  <si>
    <t>T28-52-R</t>
  </si>
  <si>
    <t>432|0</t>
  </si>
  <si>
    <t>441|0</t>
  </si>
  <si>
    <t>450|0</t>
  </si>
  <si>
    <t>459|0</t>
  </si>
  <si>
    <t>441|1</t>
  </si>
  <si>
    <t>450|1</t>
  </si>
  <si>
    <t>481|0</t>
  </si>
  <si>
    <t>T28-56-R</t>
  </si>
  <si>
    <t>497|0</t>
  </si>
  <si>
    <t>513|0</t>
  </si>
  <si>
    <t>529|0</t>
  </si>
  <si>
    <t>545|0</t>
  </si>
  <si>
    <t>513|1</t>
  </si>
  <si>
    <t>529|1</t>
  </si>
  <si>
    <t>620|0</t>
  </si>
  <si>
    <t>T29-67</t>
  </si>
  <si>
    <t>625|0</t>
  </si>
  <si>
    <t>630|0</t>
  </si>
  <si>
    <t>635|0</t>
  </si>
  <si>
    <t>640|0</t>
  </si>
  <si>
    <t>645|0</t>
  </si>
  <si>
    <t>650|0</t>
  </si>
  <si>
    <t>655|0</t>
  </si>
  <si>
    <t>617|0</t>
  </si>
  <si>
    <t>T30-67</t>
  </si>
  <si>
    <t>622|0</t>
  </si>
  <si>
    <t>627|0</t>
  </si>
  <si>
    <t>632|0</t>
  </si>
  <si>
    <t>637|0</t>
  </si>
  <si>
    <t>642|0</t>
  </si>
  <si>
    <t>647|0</t>
  </si>
  <si>
    <t>652|0</t>
  </si>
  <si>
    <t>Grand Total</t>
  </si>
  <si>
    <t>Sum of BAG(25/50)</t>
  </si>
  <si>
    <t># of Trees</t>
  </si>
  <si>
    <t>Date Planted</t>
  </si>
  <si>
    <t>309</t>
  </si>
  <si>
    <t>4308</t>
  </si>
  <si>
    <t>3861</t>
  </si>
  <si>
    <t>2531</t>
  </si>
  <si>
    <t>184</t>
  </si>
  <si>
    <t>2792</t>
  </si>
  <si>
    <t>300</t>
  </si>
  <si>
    <t>4202</t>
  </si>
  <si>
    <t>3106</t>
  </si>
  <si>
    <t>2853</t>
  </si>
  <si>
    <t>2803</t>
  </si>
  <si>
    <t>2819</t>
  </si>
  <si>
    <t>2865</t>
  </si>
  <si>
    <t>2999</t>
  </si>
  <si>
    <t>2167</t>
  </si>
  <si>
    <t>2320</t>
  </si>
  <si>
    <t>2550</t>
  </si>
  <si>
    <t>2854</t>
  </si>
  <si>
    <t>3111</t>
  </si>
  <si>
    <t>2886</t>
  </si>
  <si>
    <t>152</t>
  </si>
  <si>
    <t>401</t>
  </si>
  <si>
    <t>2579</t>
  </si>
  <si>
    <t>3402</t>
  </si>
  <si>
    <t>2192</t>
  </si>
  <si>
    <t>1892</t>
  </si>
  <si>
    <t>1970</t>
  </si>
  <si>
    <t>1686</t>
  </si>
  <si>
    <t>1380</t>
  </si>
  <si>
    <t>751</t>
  </si>
  <si>
    <t>1168</t>
  </si>
  <si>
    <t>2868</t>
  </si>
  <si>
    <t>3480</t>
  </si>
  <si>
    <t>4231</t>
  </si>
  <si>
    <t>3851</t>
  </si>
  <si>
    <t>3140</t>
  </si>
  <si>
    <t>3671</t>
  </si>
  <si>
    <t>4022</t>
  </si>
  <si>
    <t>3476</t>
  </si>
  <si>
    <t>4127</t>
  </si>
  <si>
    <t>4245</t>
  </si>
  <si>
    <t>3193</t>
  </si>
  <si>
    <t>4265</t>
  </si>
  <si>
    <t>4192</t>
  </si>
  <si>
    <t>126</t>
  </si>
  <si>
    <t>1663</t>
  </si>
  <si>
    <t>2950</t>
  </si>
  <si>
    <t>2449</t>
  </si>
  <si>
    <t>2014</t>
  </si>
  <si>
    <t>3037</t>
  </si>
  <si>
    <t>2898</t>
  </si>
  <si>
    <t>2364</t>
  </si>
  <si>
    <t>213</t>
  </si>
  <si>
    <t>2816</t>
  </si>
  <si>
    <t>2934</t>
  </si>
  <si>
    <t>2872</t>
  </si>
  <si>
    <t>61</t>
  </si>
  <si>
    <t>2903</t>
  </si>
  <si>
    <t>3030</t>
  </si>
  <si>
    <t>2864</t>
  </si>
  <si>
    <t>112</t>
  </si>
  <si>
    <t>2825</t>
  </si>
  <si>
    <t>2843</t>
  </si>
  <si>
    <t>171</t>
  </si>
  <si>
    <t>3199</t>
  </si>
  <si>
    <t>2833</t>
  </si>
  <si>
    <t>3015</t>
  </si>
  <si>
    <t>241</t>
  </si>
  <si>
    <t>842</t>
  </si>
  <si>
    <t>844</t>
  </si>
  <si>
    <t>92</t>
  </si>
  <si>
    <t>1403</t>
  </si>
  <si>
    <t>3070</t>
  </si>
  <si>
    <t>3270</t>
  </si>
  <si>
    <t>date</t>
  </si>
  <si>
    <t>กิโลกรัม</t>
  </si>
  <si>
    <t>696|1</t>
  </si>
  <si>
    <t>697|1</t>
  </si>
  <si>
    <t>694|1</t>
  </si>
  <si>
    <t>695|1</t>
  </si>
  <si>
    <t>698|0</t>
  </si>
  <si>
    <t>699|0</t>
  </si>
  <si>
    <t>696|0</t>
  </si>
  <si>
    <t>697|0</t>
  </si>
  <si>
    <t>694|0</t>
  </si>
  <si>
    <t>695|0</t>
  </si>
  <si>
    <t>688|0</t>
  </si>
  <si>
    <t>689|0</t>
  </si>
  <si>
    <t>684|0</t>
  </si>
  <si>
    <t>685|0</t>
  </si>
  <si>
    <t>รหัส</t>
  </si>
  <si>
    <t>ชื่อแปลง</t>
  </si>
  <si>
    <t>ปีพ.ศ.ปลูก</t>
  </si>
  <si>
    <t>บล็อก</t>
  </si>
  <si>
    <t>ตะกุก</t>
  </si>
  <si>
    <t>ปาล์มใหญ่</t>
  </si>
  <si>
    <t>29,30</t>
  </si>
  <si>
    <t>บางกัน</t>
  </si>
  <si>
    <t>ยวนสาว</t>
  </si>
  <si>
    <t>1,3,4</t>
  </si>
  <si>
    <t>R-ปลายราง</t>
  </si>
  <si>
    <t>1,2,</t>
  </si>
  <si>
    <t>หมอนไม้</t>
  </si>
  <si>
    <t>6-9</t>
  </si>
  <si>
    <t>R-พันไร่</t>
  </si>
  <si>
    <t>49-52</t>
  </si>
  <si>
    <t>5,7</t>
  </si>
  <si>
    <t>ปลายราง</t>
  </si>
  <si>
    <t>กะเปา</t>
  </si>
  <si>
    <t>4,5</t>
  </si>
  <si>
    <t>R-กะเปา</t>
  </si>
  <si>
    <t>10,11,12,13</t>
  </si>
  <si>
    <t>R-ตะกุก</t>
  </si>
  <si>
    <t>10,12,16,20,28</t>
  </si>
  <si>
    <t>7,10,13</t>
  </si>
  <si>
    <t>55-58</t>
  </si>
  <si>
    <t>3,8,9</t>
  </si>
  <si>
    <t>1,2</t>
  </si>
  <si>
    <t>6,10</t>
  </si>
  <si>
    <t>พันไร่</t>
  </si>
  <si>
    <t>R-หมอนไม้</t>
  </si>
  <si>
    <t>8,9,11,13,17,18,19,21,28</t>
  </si>
  <si>
    <t>3,12,14</t>
  </si>
  <si>
    <t>ปี 55 บ.7</t>
  </si>
  <si>
    <t>59-60</t>
  </si>
  <si>
    <t>1,2,3,4,5,8,9,11</t>
  </si>
  <si>
    <t>4,8,9</t>
  </si>
  <si>
    <t>R-รีเพลนท์หมอนไม้ 63 - 65</t>
  </si>
  <si>
    <t>63-65</t>
  </si>
  <si>
    <t>1,2,3,4,5,8</t>
  </si>
  <si>
    <t>R-กะเปา-63 - 65</t>
  </si>
  <si>
    <t>1,3,7</t>
  </si>
  <si>
    <t>กะเปา-63 - 65</t>
  </si>
  <si>
    <t>1,7</t>
  </si>
  <si>
    <t>R-ปลายราง-63 - 65</t>
  </si>
  <si>
    <t>6,7,8,9</t>
  </si>
  <si>
    <t>บางกัน-63 - 64</t>
  </si>
  <si>
    <t>63-64</t>
  </si>
  <si>
    <t>2,5,6</t>
  </si>
  <si>
    <t>รีเพลนท์ ยวนสาว ปี 63-65</t>
  </si>
  <si>
    <t>1,3</t>
  </si>
  <si>
    <t>R-ตะกุก-63 - 65</t>
  </si>
  <si>
    <t>5,22,23</t>
  </si>
  <si>
    <t xml:space="preserve"> รีเพลนท์บางกัน 63-65</t>
  </si>
  <si>
    <t>1,2,5,6,11</t>
  </si>
  <si>
    <t>R-รีเพลนท์ปลายราง ปี 66</t>
  </si>
  <si>
    <t>3,4,5</t>
  </si>
  <si>
    <t>R-รีเพลนท์หมอนไม้ ปี 66</t>
  </si>
  <si>
    <t>รีเพลนท์ ตะกุก ปี 66</t>
  </si>
  <si>
    <t>3,4,6,7</t>
  </si>
  <si>
    <t>รีเพลนท์ ยวนสาว ปี 66</t>
  </si>
  <si>
    <t>2(ปลูกแซม)</t>
  </si>
  <si>
    <t>R-รีเพลนท์ปลายราง 67</t>
  </si>
  <si>
    <t>R-รีเพลนท์หมอนไม้ 67</t>
  </si>
  <si>
    <t>รีเพลนท์ตะกุก 67</t>
  </si>
  <si>
    <t>29,30(ปลูกแซม)</t>
  </si>
  <si>
    <t>ตะกุก 67</t>
  </si>
  <si>
    <t>10,18,21(ปลูกเพิ่ม)</t>
  </si>
  <si>
    <t>แปลงเพาะ 67 SB170867</t>
  </si>
  <si>
    <t>R-รีเพลนท์ตะกุก 68</t>
  </si>
  <si>
    <t>R-รีเพลนท์ยวนสาว 68</t>
  </si>
  <si>
    <t>5,6</t>
  </si>
  <si>
    <t>รีเพลนท์ยวนสาว 68</t>
  </si>
  <si>
    <t>1,3,4 ( ปลูกแซม )</t>
  </si>
  <si>
    <t>รกส.บ้านพักรับรอง(คีรีรัฐนิคม)</t>
  </si>
  <si>
    <t>งานบ.ดิน - รกส.บ้านพักรับรอง(คีรีรัฐนิคม)</t>
  </si>
  <si>
    <t>ทักษิณปาล์ม กม.8</t>
  </si>
  <si>
    <t>งานบ.ขี้เลน/บ.ขี้เถ้าจากโรงงานกม8-ในแปลง</t>
  </si>
  <si>
    <t>Rate</t>
  </si>
  <si>
    <t>Lower</t>
  </si>
  <si>
    <t>Upper</t>
  </si>
  <si>
    <t>Stock (KG)</t>
  </si>
  <si>
    <t>Stock (BAG)</t>
  </si>
  <si>
    <t>base_unit</t>
  </si>
  <si>
    <t>dosage_rate</t>
  </si>
  <si>
    <t>Tree Count</t>
  </si>
  <si>
    <t>AP Code</t>
  </si>
  <si>
    <t>sku_unit</t>
  </si>
  <si>
    <t>base_qty</t>
  </si>
  <si>
    <t>Stock Required (Base Qty)</t>
  </si>
  <si>
    <t>Stock Required (Original SKU Qty)</t>
  </si>
  <si>
    <t>Stock Required (Round SKU Qty)</t>
  </si>
  <si>
    <t>2687</t>
  </si>
  <si>
    <t>713|0</t>
  </si>
  <si>
    <t>395</t>
  </si>
  <si>
    <t>1950</t>
  </si>
  <si>
    <t>347</t>
  </si>
  <si>
    <t>BAG 25 Kg</t>
  </si>
  <si>
    <t>534</t>
  </si>
  <si>
    <t>381</t>
  </si>
  <si>
    <t>3835</t>
  </si>
  <si>
    <t>2119</t>
  </si>
  <si>
    <t>346</t>
  </si>
  <si>
    <t>980</t>
  </si>
  <si>
    <t>4864</t>
  </si>
  <si>
    <t>315</t>
  </si>
  <si>
    <t>4608</t>
  </si>
  <si>
    <t>3259</t>
  </si>
  <si>
    <t>354</t>
  </si>
  <si>
    <t>2388</t>
  </si>
  <si>
    <t>382</t>
  </si>
  <si>
    <t>2785</t>
  </si>
  <si>
    <t>317</t>
  </si>
  <si>
    <t>2421</t>
  </si>
  <si>
    <t>3764</t>
  </si>
  <si>
    <t>2893</t>
  </si>
  <si>
    <t>396</t>
  </si>
  <si>
    <t>352</t>
  </si>
  <si>
    <t>355</t>
  </si>
  <si>
    <t>322</t>
  </si>
  <si>
    <t>14</t>
  </si>
  <si>
    <t>2707</t>
  </si>
  <si>
    <t>353</t>
  </si>
  <si>
    <t>2132</t>
  </si>
  <si>
    <t>3333</t>
  </si>
  <si>
    <t>2525</t>
  </si>
  <si>
    <t>278</t>
  </si>
  <si>
    <t>310</t>
  </si>
  <si>
    <t>720</t>
  </si>
  <si>
    <t>392</t>
  </si>
  <si>
    <t>2495</t>
  </si>
  <si>
    <t>348</t>
  </si>
  <si>
    <t>2888</t>
  </si>
  <si>
    <t>1905</t>
  </si>
  <si>
    <t>2291</t>
  </si>
  <si>
    <t>375</t>
  </si>
  <si>
    <t>3931</t>
  </si>
  <si>
    <t>349</t>
  </si>
  <si>
    <t>2365</t>
  </si>
  <si>
    <t>363</t>
  </si>
  <si>
    <t>374</t>
  </si>
  <si>
    <t>362</t>
  </si>
  <si>
    <t>383</t>
  </si>
  <si>
    <t>393</t>
  </si>
  <si>
    <t>312</t>
  </si>
  <si>
    <t>390</t>
  </si>
  <si>
    <t>368</t>
  </si>
  <si>
    <t>394</t>
  </si>
  <si>
    <t>389</t>
  </si>
  <si>
    <t>145</t>
  </si>
  <si>
    <t>1547</t>
  </si>
  <si>
    <t>3171</t>
  </si>
  <si>
    <t>388</t>
  </si>
  <si>
    <t>364</t>
  </si>
  <si>
    <t>385</t>
  </si>
  <si>
    <t>351</t>
  </si>
  <si>
    <t>350</t>
  </si>
  <si>
    <t>320</t>
  </si>
  <si>
    <t>379</t>
  </si>
  <si>
    <t>376</t>
  </si>
  <si>
    <t>BAG 50 Kg</t>
  </si>
  <si>
    <t>ช่วงปี</t>
  </si>
  <si>
    <t>No</t>
  </si>
  <si>
    <t>พ.ค.</t>
  </si>
  <si>
    <t>ก.ย.</t>
  </si>
  <si>
    <t>พ.ย.</t>
  </si>
  <si>
    <t>ก.ค.</t>
  </si>
  <si>
    <t>เม.ย.</t>
  </si>
  <si>
    <t>ส.ค.</t>
  </si>
  <si>
    <t>ต.ค.</t>
  </si>
  <si>
    <t>มี.ค.</t>
  </si>
  <si>
    <t>ก.พ.</t>
  </si>
  <si>
    <t>พื้นที่</t>
  </si>
  <si>
    <t>แปลง</t>
  </si>
  <si>
    <t>รหัสบล๊อก</t>
  </si>
  <si>
    <t>รหัสบล๊อกใหม่</t>
  </si>
  <si>
    <t>จน.ไร่</t>
  </si>
  <si>
    <t>จน.ต้น</t>
  </si>
  <si>
    <t>ปีปลูก</t>
  </si>
  <si>
    <t>Banggun</t>
  </si>
  <si>
    <t>30-B14</t>
  </si>
  <si>
    <t>49-B13</t>
  </si>
  <si>
    <t>2549 - 2552</t>
  </si>
  <si>
    <t>R-49-T20</t>
  </si>
  <si>
    <t>50-B7</t>
  </si>
  <si>
    <t>50-B10</t>
  </si>
  <si>
    <t>57-B3</t>
  </si>
  <si>
    <t>57-B12</t>
  </si>
  <si>
    <t>2555 - 2558</t>
  </si>
  <si>
    <t>57-B14</t>
  </si>
  <si>
    <t>60-B4</t>
  </si>
  <si>
    <t>60-B8</t>
  </si>
  <si>
    <t>60-B9</t>
  </si>
  <si>
    <t>64-B2</t>
  </si>
  <si>
    <t>2563 - 2564</t>
  </si>
  <si>
    <t>64-B5</t>
  </si>
  <si>
    <t>64-B6</t>
  </si>
  <si>
    <t>65-B1</t>
  </si>
  <si>
    <t>2563 - 2565</t>
  </si>
  <si>
    <t>65-B11</t>
  </si>
  <si>
    <t>Takuk</t>
  </si>
  <si>
    <t>37-T29</t>
  </si>
  <si>
    <t>37-T30</t>
  </si>
  <si>
    <t>R-50-T10</t>
  </si>
  <si>
    <t>R-50-T12</t>
  </si>
  <si>
    <t>R-52-T28</t>
  </si>
  <si>
    <t>56-T8</t>
  </si>
  <si>
    <t>R-56-T8</t>
  </si>
  <si>
    <t>R-56-T19</t>
  </si>
  <si>
    <t>R-56-T21</t>
  </si>
  <si>
    <t>R-56-T28</t>
  </si>
  <si>
    <t>R-58-T9</t>
  </si>
  <si>
    <t>R-58-T11</t>
  </si>
  <si>
    <t>R-58-T13</t>
  </si>
  <si>
    <t>R-58-T17</t>
  </si>
  <si>
    <t>R-58-T18</t>
  </si>
  <si>
    <t>R-63-T5</t>
  </si>
  <si>
    <t>R-63-T22</t>
  </si>
  <si>
    <t>R-63-T23</t>
  </si>
  <si>
    <t>66-T3</t>
  </si>
  <si>
    <t>66-T4</t>
  </si>
  <si>
    <t>66-T6</t>
  </si>
  <si>
    <t>66-T7</t>
  </si>
  <si>
    <t>67-T10</t>
  </si>
  <si>
    <t>67-T18</t>
  </si>
  <si>
    <t>67-T21</t>
  </si>
  <si>
    <t>67-T29</t>
  </si>
  <si>
    <t>67-T30</t>
  </si>
  <si>
    <t>68-T1</t>
  </si>
  <si>
    <t>68-T2</t>
  </si>
  <si>
    <t>Kapao</t>
  </si>
  <si>
    <t>R-49-A10</t>
  </si>
  <si>
    <t>R-49-A11</t>
  </si>
  <si>
    <t>R-49-A12</t>
  </si>
  <si>
    <t>R-49-A13</t>
  </si>
  <si>
    <t>50-A4</t>
  </si>
  <si>
    <t>50-A5</t>
  </si>
  <si>
    <t>56-A1</t>
  </si>
  <si>
    <t>56-A2</t>
  </si>
  <si>
    <t>R-56-A3</t>
  </si>
  <si>
    <t>R-57-A8</t>
  </si>
  <si>
    <t>R-57-A9</t>
  </si>
  <si>
    <t>60-A6</t>
  </si>
  <si>
    <t>R-63-A1</t>
  </si>
  <si>
    <t>R-63-A3</t>
  </si>
  <si>
    <t>63-A7</t>
  </si>
  <si>
    <t>R-63-A7</t>
  </si>
  <si>
    <t>Monmai</t>
  </si>
  <si>
    <t>R-56-D7</t>
  </si>
  <si>
    <t>R-63-D8</t>
  </si>
  <si>
    <t>R-64-D2</t>
  </si>
  <si>
    <t>R-65-D1</t>
  </si>
  <si>
    <t>R-65-D3</t>
  </si>
  <si>
    <t>R-65-D4</t>
  </si>
  <si>
    <t>R-65-D5</t>
  </si>
  <si>
    <t>R-66-D9</t>
  </si>
  <si>
    <t>R-67-D6</t>
  </si>
  <si>
    <t>Panrai</t>
  </si>
  <si>
    <t>R-22-C5</t>
  </si>
  <si>
    <t>R-50-C5</t>
  </si>
  <si>
    <t>R-50-C7</t>
  </si>
  <si>
    <t>R-56-C10</t>
  </si>
  <si>
    <t>57-C6</t>
  </si>
  <si>
    <t>R-57-C6</t>
  </si>
  <si>
    <t>R-59-C3</t>
  </si>
  <si>
    <t>R-59-C4</t>
  </si>
  <si>
    <t>R-59-C8</t>
  </si>
  <si>
    <t>R-59-C9</t>
  </si>
  <si>
    <t>R-59-C11</t>
  </si>
  <si>
    <t>R-60-C1</t>
  </si>
  <si>
    <t>R-60-C2</t>
  </si>
  <si>
    <t>R-60-C5</t>
  </si>
  <si>
    <t>Plairang</t>
  </si>
  <si>
    <t>51-P7</t>
  </si>
  <si>
    <t>R-51-P7</t>
  </si>
  <si>
    <t>R-55-P7</t>
  </si>
  <si>
    <t>R-64-P6</t>
  </si>
  <si>
    <t>R-64-P7</t>
  </si>
  <si>
    <t>R-64-P8</t>
  </si>
  <si>
    <t>R-64-P9</t>
  </si>
  <si>
    <t>R-66-P3</t>
  </si>
  <si>
    <t>R-66-P4</t>
  </si>
  <si>
    <t>R-66-P5</t>
  </si>
  <si>
    <t>R-67-P1</t>
  </si>
  <si>
    <t>R-67-P2</t>
  </si>
  <si>
    <t>Yuansao</t>
  </si>
  <si>
    <t>30-PU1</t>
  </si>
  <si>
    <t>30-PU3</t>
  </si>
  <si>
    <t>30-PU4</t>
  </si>
  <si>
    <t>66-PU2</t>
  </si>
  <si>
    <t>68-PU1</t>
  </si>
  <si>
    <t>68-PU3</t>
  </si>
  <si>
    <t>68-PU4</t>
  </si>
  <si>
    <t>68-PU5</t>
  </si>
  <si>
    <t>R-68-PU5</t>
  </si>
  <si>
    <t>68-PU6</t>
  </si>
  <si>
    <t>R-68-PU6</t>
  </si>
  <si>
    <t>Planted year</t>
  </si>
  <si>
    <t>R-49-T16</t>
  </si>
  <si>
    <t>n_material</t>
  </si>
  <si>
    <t>46-0-0</t>
  </si>
  <si>
    <t>Borax</t>
  </si>
  <si>
    <t>0-0-60</t>
  </si>
  <si>
    <t>0-3-0</t>
  </si>
  <si>
    <t>Dolomite</t>
  </si>
  <si>
    <t>area</t>
  </si>
  <si>
    <t>0-3-0 (1)</t>
  </si>
  <si>
    <t>0-0-60 (1)</t>
  </si>
  <si>
    <t>46-0-0 (1)</t>
  </si>
  <si>
    <t>0-0-60 (2)</t>
  </si>
  <si>
    <t>46-0-0 (2)</t>
  </si>
  <si>
    <t>0-0-60 (3)</t>
  </si>
  <si>
    <t>46-0-0 (3)</t>
  </si>
  <si>
    <t>Mouth</t>
  </si>
  <si>
    <t>Fertilizer</t>
  </si>
  <si>
    <t>terrain format</t>
  </si>
  <si>
    <t>2559 - 2560</t>
  </si>
  <si>
    <t>49-T20-R</t>
  </si>
  <si>
    <t>65-D05-R</t>
  </si>
  <si>
    <t>56-A01</t>
  </si>
  <si>
    <t>56-A02</t>
  </si>
  <si>
    <t>50-A04</t>
  </si>
  <si>
    <t>50-A05</t>
  </si>
  <si>
    <t>60-A06</t>
  </si>
  <si>
    <t>63-A07</t>
  </si>
  <si>
    <t>65-B01</t>
  </si>
  <si>
    <t>64-B02</t>
  </si>
  <si>
    <t>57-B03</t>
  </si>
  <si>
    <t>60-B04</t>
  </si>
  <si>
    <t>64-B05</t>
  </si>
  <si>
    <t>64-B06</t>
  </si>
  <si>
    <t>50-B07</t>
  </si>
  <si>
    <t>63-A01-R</t>
  </si>
  <si>
    <t>56-A03-R</t>
  </si>
  <si>
    <t>63-A03-R</t>
  </si>
  <si>
    <t>63-A07-R</t>
  </si>
  <si>
    <t>57-A08-R</t>
  </si>
  <si>
    <t>57-A09-R</t>
  </si>
  <si>
    <t>49-A10-R</t>
  </si>
  <si>
    <t>49-A11-R</t>
  </si>
  <si>
    <t>49-A12-R</t>
  </si>
  <si>
    <t>49-A13-R</t>
  </si>
  <si>
    <t>60-B08</t>
  </si>
  <si>
    <t>60-B09</t>
  </si>
  <si>
    <t>60-C01-R</t>
  </si>
  <si>
    <t>60-C02-R</t>
  </si>
  <si>
    <t>59-C03-R</t>
  </si>
  <si>
    <t>59-C04-R</t>
  </si>
  <si>
    <t>22-C05-R</t>
  </si>
  <si>
    <t>50-C05-R</t>
  </si>
  <si>
    <t>60-C05-R</t>
  </si>
  <si>
    <t>57-C06</t>
  </si>
  <si>
    <t>57-C06-R</t>
  </si>
  <si>
    <t>50-C07-R</t>
  </si>
  <si>
    <t>59-C08-R</t>
  </si>
  <si>
    <t>59-C09-R</t>
  </si>
  <si>
    <t>56-C10-R</t>
  </si>
  <si>
    <t>59-C11-R</t>
  </si>
  <si>
    <t>65-D01-R</t>
  </si>
  <si>
    <t>64-D02-R</t>
  </si>
  <si>
    <t>65-D03-R</t>
  </si>
  <si>
    <t>65-D04-R</t>
  </si>
  <si>
    <t>67-D06-R</t>
  </si>
  <si>
    <t>56-D07-R</t>
  </si>
  <si>
    <t>63-D08-R</t>
  </si>
  <si>
    <t>66-D09-R</t>
  </si>
  <si>
    <t>67-P01-R</t>
  </si>
  <si>
    <t>67-P02-R</t>
  </si>
  <si>
    <t>66-P03-R</t>
  </si>
  <si>
    <t>66-P04-R</t>
  </si>
  <si>
    <t>66-P05-R</t>
  </si>
  <si>
    <t>64-P06-R</t>
  </si>
  <si>
    <t>51-P07</t>
  </si>
  <si>
    <t>51-P07-R</t>
  </si>
  <si>
    <t>64-P07-R</t>
  </si>
  <si>
    <t>64-P08-R</t>
  </si>
  <si>
    <t>64-P09-R</t>
  </si>
  <si>
    <t>68-PU5-R</t>
  </si>
  <si>
    <t>68-PU6-R</t>
  </si>
  <si>
    <t>68-T01</t>
  </si>
  <si>
    <t>68-T02</t>
  </si>
  <si>
    <t>66-T03</t>
  </si>
  <si>
    <t>66-T04</t>
  </si>
  <si>
    <t>63-T05-R</t>
  </si>
  <si>
    <t>66-T06</t>
  </si>
  <si>
    <t>66-T07</t>
  </si>
  <si>
    <t>56-T08</t>
  </si>
  <si>
    <t>56-T08-R</t>
  </si>
  <si>
    <t>58-T09-R</t>
  </si>
  <si>
    <t>50-T10-R</t>
  </si>
  <si>
    <t>58-T11-R</t>
  </si>
  <si>
    <t>50-T12-R</t>
  </si>
  <si>
    <t>58-T13-R</t>
  </si>
  <si>
    <t>49-T16-R</t>
  </si>
  <si>
    <t>58-T17-R</t>
  </si>
  <si>
    <t>58-T18-R</t>
  </si>
  <si>
    <t>56-T19-R</t>
  </si>
  <si>
    <t>56-T21-R</t>
  </si>
  <si>
    <t>63-T22-R</t>
  </si>
  <si>
    <t>63-T23-R</t>
  </si>
  <si>
    <t>52-T28-R</t>
  </si>
  <si>
    <t>56-T28-R</t>
  </si>
  <si>
    <t>Row Labels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</si>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</sst>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mm/yyyy"/>
    <numFmt numFmtId="165" formatCode="0_ ;\-0\ "/>
    <numFmt numFmtId="166" formatCode="_-* #,##0.00_-;\-* #,##0.00_-;_-* \-??_-;_-@_-"/>
    <numFmt numFmtId="167" formatCode="_-* #,##0_-;\-* #,##0_-;_-* \-??_-;_-@_-"/>
    <numFmt numFmtId="168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TH SarabunPSK"/>
      <family val="2"/>
    </font>
    <font>
      <sz val="14"/>
      <name val="Cordia New"/>
      <family val="2"/>
    </font>
    <font>
      <b/>
      <sz val="14"/>
      <name val="TH SarabunPSK"/>
      <family val="2"/>
    </font>
    <font>
      <sz val="14"/>
      <name val="TH SarabunPSK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5" fillId="0" borderId="0"/>
    <xf numFmtId="166" fontId="5" fillId="0" borderId="0" applyFill="0" applyBorder="0" applyAlignment="0" applyProtection="0"/>
  </cellStyleXfs>
  <cellXfs count="18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center" vertical="top"/>
    </xf>
    <xf numFmtId="0" fontId="0" fillId="0" borderId="0" xfId="0" applyNumberFormat="1"/>
    <xf numFmtId="0" fontId="2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horizontal="left" indent="1"/>
    </xf>
    <xf numFmtId="0" fontId="0" fillId="0" borderId="0" xfId="0" applyFill="1"/>
    <xf numFmtId="0" fontId="2" fillId="0" borderId="1" xfId="0" applyFont="1" applyFill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4" fillId="0" borderId="0" xfId="0" applyFont="1" applyAlignment="1">
      <alignment horizontal="center"/>
    </xf>
    <xf numFmtId="0" fontId="4" fillId="0" borderId="0" xfId="0" applyFont="1"/>
    <xf numFmtId="0" fontId="7" fillId="0" borderId="2" xfId="2" applyFont="1" applyBorder="1" applyAlignment="1">
      <alignment horizontal="center" vertical="center"/>
    </xf>
    <xf numFmtId="3" fontId="7" fillId="0" borderId="2" xfId="2" applyNumberFormat="1" applyFont="1" applyBorder="1" applyAlignment="1">
      <alignment horizontal="center" vertical="center"/>
    </xf>
    <xf numFmtId="167" fontId="7" fillId="0" borderId="2" xfId="3" applyNumberFormat="1" applyFont="1" applyFill="1" applyBorder="1" applyAlignment="1">
      <alignment horizontal="right" vertical="center"/>
    </xf>
    <xf numFmtId="168" fontId="7" fillId="0" borderId="2" xfId="1" applyNumberFormat="1" applyFont="1" applyFill="1" applyBorder="1" applyAlignment="1">
      <alignment horizontal="right" vertical="center"/>
    </xf>
    <xf numFmtId="165" fontId="4" fillId="0" borderId="2" xfId="1" applyNumberFormat="1" applyFont="1" applyBorder="1"/>
    <xf numFmtId="0" fontId="7" fillId="0" borderId="2" xfId="2" applyFont="1" applyBorder="1" applyAlignment="1">
      <alignment horizontal="center" vertical="top"/>
    </xf>
    <xf numFmtId="168" fontId="7" fillId="0" borderId="2" xfId="1" applyNumberFormat="1" applyFont="1" applyBorder="1" applyAlignment="1">
      <alignment horizontal="right" vertical="center"/>
    </xf>
    <xf numFmtId="0" fontId="7" fillId="0" borderId="2" xfId="2" applyFont="1" applyBorder="1" applyAlignment="1">
      <alignment horizontal="center"/>
    </xf>
    <xf numFmtId="3" fontId="4" fillId="0" borderId="2" xfId="3" applyNumberFormat="1" applyFont="1" applyFill="1" applyBorder="1" applyAlignment="1" applyProtection="1">
      <alignment horizontal="right"/>
    </xf>
    <xf numFmtId="168" fontId="7" fillId="0" borderId="2" xfId="1" applyNumberFormat="1" applyFont="1" applyFill="1" applyBorder="1" applyAlignment="1" applyProtection="1">
      <alignment horizontal="right"/>
    </xf>
    <xf numFmtId="3" fontId="7" fillId="0" borderId="2" xfId="3" applyNumberFormat="1" applyFont="1" applyFill="1" applyBorder="1" applyAlignment="1" applyProtection="1">
      <alignment horizontal="center"/>
    </xf>
    <xf numFmtId="168" fontId="7" fillId="0" borderId="2" xfId="1" applyNumberFormat="1" applyFont="1" applyBorder="1" applyAlignment="1">
      <alignment horizontal="right"/>
    </xf>
    <xf numFmtId="3" fontId="7" fillId="0" borderId="2" xfId="2" applyNumberFormat="1" applyFont="1" applyBorder="1" applyAlignment="1">
      <alignment horizontal="center"/>
    </xf>
    <xf numFmtId="3" fontId="7" fillId="0" borderId="2" xfId="3" applyNumberFormat="1" applyFont="1" applyFill="1" applyBorder="1" applyAlignment="1" applyProtection="1">
      <alignment horizontal="right"/>
    </xf>
    <xf numFmtId="168" fontId="7" fillId="3" borderId="2" xfId="1" applyNumberFormat="1" applyFont="1" applyFill="1" applyBorder="1" applyAlignment="1" applyProtection="1">
      <alignment horizontal="right"/>
    </xf>
    <xf numFmtId="0" fontId="7" fillId="4" borderId="2" xfId="2" applyFont="1" applyFill="1" applyBorder="1" applyAlignment="1">
      <alignment horizontal="center"/>
    </xf>
    <xf numFmtId="168" fontId="7" fillId="4" borderId="2" xfId="1" applyNumberFormat="1" applyFont="1" applyFill="1" applyBorder="1" applyAlignment="1" applyProtection="1">
      <alignment horizontal="right"/>
    </xf>
    <xf numFmtId="1" fontId="7" fillId="0" borderId="2" xfId="3" applyNumberFormat="1" applyFont="1" applyFill="1" applyBorder="1" applyAlignment="1" applyProtection="1">
      <alignment horizontal="center"/>
    </xf>
    <xf numFmtId="0" fontId="4" fillId="0" borderId="2" xfId="2" applyFont="1" applyBorder="1" applyAlignment="1">
      <alignment horizontal="center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165" fontId="4" fillId="0" borderId="0" xfId="1" applyNumberFormat="1" applyFont="1"/>
    <xf numFmtId="0" fontId="1" fillId="0" borderId="0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/>
    <xf numFmtId="0" fontId="12" fillId="0" borderId="0" xfId="0" applyFont="1" applyAlignment="1">
      <alignment horizontal="left"/>
    </xf>
    <xf numFmtId="0" fontId="10" fillId="0" borderId="0" xfId="0" applyFont="1" applyBorder="1"/>
    <xf numFmtId="0" fontId="9" fillId="0" borderId="0" xfId="0" applyFont="1" applyBorder="1"/>
    <xf numFmtId="0" fontId="10" fillId="0" borderId="12" xfId="0" applyFont="1" applyBorder="1" applyAlignment="1">
      <alignment horizontal="left"/>
    </xf>
    <xf numFmtId="0" fontId="10" fillId="0" borderId="12" xfId="0" applyFont="1" applyBorder="1"/>
    <xf numFmtId="0" fontId="9" fillId="0" borderId="0" xfId="0" applyNumberFormat="1" applyFont="1" applyBorder="1"/>
    <xf numFmtId="0" fontId="9" fillId="0" borderId="2" xfId="0" applyFont="1" applyBorder="1" applyAlignment="1">
      <alignment horizontal="left" indent="1"/>
    </xf>
    <xf numFmtId="0" fontId="9" fillId="0" borderId="22" xfId="0" applyNumberFormat="1" applyFont="1" applyBorder="1"/>
    <xf numFmtId="0" fontId="9" fillId="0" borderId="23" xfId="0" applyNumberFormat="1" applyFont="1" applyBorder="1"/>
    <xf numFmtId="0" fontId="9" fillId="0" borderId="24" xfId="0" applyNumberFormat="1" applyFont="1" applyBorder="1"/>
    <xf numFmtId="0" fontId="9" fillId="0" borderId="33" xfId="0" applyFont="1" applyBorder="1" applyAlignment="1">
      <alignment horizontal="left" indent="1"/>
    </xf>
    <xf numFmtId="0" fontId="9" fillId="0" borderId="34" xfId="0" applyNumberFormat="1" applyFont="1" applyBorder="1"/>
    <xf numFmtId="0" fontId="9" fillId="0" borderId="35" xfId="0" applyNumberFormat="1" applyFont="1" applyBorder="1"/>
    <xf numFmtId="0" fontId="9" fillId="0" borderId="36" xfId="0" applyNumberFormat="1" applyFont="1" applyBorder="1"/>
    <xf numFmtId="0" fontId="9" fillId="0" borderId="25" xfId="0" applyNumberFormat="1" applyFont="1" applyBorder="1"/>
    <xf numFmtId="0" fontId="9" fillId="0" borderId="26" xfId="0" applyNumberFormat="1" applyFont="1" applyBorder="1"/>
    <xf numFmtId="0" fontId="9" fillId="0" borderId="27" xfId="0" applyNumberFormat="1" applyFont="1" applyBorder="1"/>
    <xf numFmtId="0" fontId="9" fillId="0" borderId="30" xfId="0" applyNumberFormat="1" applyFont="1" applyBorder="1"/>
    <xf numFmtId="0" fontId="9" fillId="0" borderId="31" xfId="0" applyNumberFormat="1" applyFont="1" applyBorder="1"/>
    <xf numFmtId="0" fontId="9" fillId="0" borderId="32" xfId="0" applyNumberFormat="1" applyFont="1" applyBorder="1"/>
    <xf numFmtId="0" fontId="9" fillId="0" borderId="5" xfId="0" applyFont="1" applyBorder="1" applyAlignment="1">
      <alignment horizontal="left" indent="1"/>
    </xf>
    <xf numFmtId="0" fontId="9" fillId="0" borderId="0" xfId="0" applyNumberFormat="1" applyFont="1"/>
    <xf numFmtId="0" fontId="9" fillId="0" borderId="0" xfId="0" applyFont="1" applyAlignment="1">
      <alignment horizontal="left" indent="2"/>
    </xf>
    <xf numFmtId="0" fontId="11" fillId="6" borderId="17" xfId="0" applyNumberFormat="1" applyFont="1" applyFill="1" applyBorder="1"/>
    <xf numFmtId="0" fontId="10" fillId="0" borderId="0" xfId="0" applyFont="1" applyBorder="1" applyAlignment="1">
      <alignment horizontal="left"/>
    </xf>
    <xf numFmtId="0" fontId="9" fillId="0" borderId="2" xfId="0" applyNumberFormat="1" applyFont="1" applyBorder="1" applyAlignment="1">
      <alignment horizontal="left" indent="2"/>
    </xf>
    <xf numFmtId="0" fontId="9" fillId="0" borderId="33" xfId="0" applyNumberFormat="1" applyFont="1" applyBorder="1" applyAlignment="1">
      <alignment horizontal="left" indent="2"/>
    </xf>
    <xf numFmtId="0" fontId="9" fillId="0" borderId="37" xfId="0" applyNumberFormat="1" applyFont="1" applyBorder="1"/>
    <xf numFmtId="0" fontId="9" fillId="0" borderId="38" xfId="0" applyNumberFormat="1" applyFont="1" applyBorder="1"/>
    <xf numFmtId="0" fontId="9" fillId="0" borderId="39" xfId="0" applyNumberFormat="1" applyFont="1" applyBorder="1"/>
    <xf numFmtId="0" fontId="9" fillId="0" borderId="24" xfId="0" applyNumberFormat="1" applyFont="1" applyFill="1" applyBorder="1"/>
    <xf numFmtId="0" fontId="9" fillId="0" borderId="22" xfId="0" applyNumberFormat="1" applyFont="1" applyFill="1" applyBorder="1"/>
    <xf numFmtId="0" fontId="9" fillId="0" borderId="34" xfId="0" applyNumberFormat="1" applyFont="1" applyFill="1" applyBorder="1"/>
    <xf numFmtId="0" fontId="9" fillId="0" borderId="36" xfId="0" applyNumberFormat="1" applyFont="1" applyFill="1" applyBorder="1"/>
    <xf numFmtId="0" fontId="11" fillId="0" borderId="8" xfId="0" applyNumberFormat="1" applyFont="1" applyBorder="1"/>
    <xf numFmtId="0" fontId="11" fillId="0" borderId="2" xfId="0" applyNumberFormat="1" applyFont="1" applyBorder="1"/>
    <xf numFmtId="0" fontId="11" fillId="0" borderId="5" xfId="0" applyNumberFormat="1" applyFont="1" applyBorder="1"/>
    <xf numFmtId="0" fontId="11" fillId="0" borderId="1" xfId="0" applyNumberFormat="1" applyFont="1" applyBorder="1" applyAlignment="1">
      <alignment horizontal="left"/>
    </xf>
    <xf numFmtId="0" fontId="11" fillId="0" borderId="16" xfId="0" applyNumberFormat="1" applyFont="1" applyBorder="1"/>
    <xf numFmtId="0" fontId="11" fillId="0" borderId="17" xfId="0" applyNumberFormat="1" applyFont="1" applyBorder="1"/>
    <xf numFmtId="0" fontId="11" fillId="0" borderId="18" xfId="0" applyNumberFormat="1" applyFont="1" applyBorder="1"/>
    <xf numFmtId="0" fontId="11" fillId="0" borderId="16" xfId="0" applyNumberFormat="1" applyFont="1" applyFill="1" applyBorder="1"/>
    <xf numFmtId="0" fontId="11" fillId="0" borderId="18" xfId="0" applyNumberFormat="1" applyFont="1" applyFill="1" applyBorder="1"/>
    <xf numFmtId="0" fontId="11" fillId="0" borderId="1" xfId="0" applyNumberFormat="1" applyFont="1" applyBorder="1"/>
    <xf numFmtId="0" fontId="9" fillId="0" borderId="5" xfId="0" applyNumberFormat="1" applyFont="1" applyBorder="1" applyAlignment="1">
      <alignment horizontal="left" indent="2"/>
    </xf>
    <xf numFmtId="0" fontId="9" fillId="0" borderId="30" xfId="0" applyNumberFormat="1" applyFont="1" applyFill="1" applyBorder="1"/>
    <xf numFmtId="0" fontId="9" fillId="0" borderId="32" xfId="0" applyNumberFormat="1" applyFont="1" applyFill="1" applyBorder="1"/>
    <xf numFmtId="0" fontId="9" fillId="0" borderId="3" xfId="0" applyNumberFormat="1" applyFont="1" applyBorder="1" applyAlignment="1">
      <alignment horizontal="left" indent="2"/>
    </xf>
    <xf numFmtId="0" fontId="9" fillId="0" borderId="25" xfId="0" applyNumberFormat="1" applyFont="1" applyFill="1" applyBorder="1"/>
    <xf numFmtId="0" fontId="9" fillId="0" borderId="27" xfId="0" applyNumberFormat="1" applyFont="1" applyFill="1" applyBorder="1"/>
    <xf numFmtId="0" fontId="9" fillId="0" borderId="10" xfId="0" applyNumberFormat="1" applyFont="1" applyBorder="1" applyAlignment="1">
      <alignment horizontal="left" indent="2"/>
    </xf>
    <xf numFmtId="0" fontId="9" fillId="0" borderId="14" xfId="0" applyNumberFormat="1" applyFont="1" applyBorder="1"/>
    <xf numFmtId="0" fontId="9" fillId="0" borderId="15" xfId="0" applyNumberFormat="1" applyFont="1" applyBorder="1"/>
    <xf numFmtId="0" fontId="9" fillId="0" borderId="14" xfId="0" applyNumberFormat="1" applyFont="1" applyFill="1" applyBorder="1"/>
    <xf numFmtId="0" fontId="9" fillId="0" borderId="15" xfId="0" applyNumberFormat="1" applyFont="1" applyFill="1" applyBorder="1"/>
    <xf numFmtId="0" fontId="11" fillId="6" borderId="1" xfId="0" applyNumberFormat="1" applyFont="1" applyFill="1" applyBorder="1" applyAlignment="1">
      <alignment horizontal="left" indent="1"/>
    </xf>
    <xf numFmtId="0" fontId="11" fillId="6" borderId="16" xfId="0" applyNumberFormat="1" applyFont="1" applyFill="1" applyBorder="1"/>
    <xf numFmtId="0" fontId="11" fillId="6" borderId="18" xfId="0" applyNumberFormat="1" applyFont="1" applyFill="1" applyBorder="1"/>
    <xf numFmtId="0" fontId="11" fillId="6" borderId="1" xfId="0" applyNumberFormat="1" applyFont="1" applyFill="1" applyBorder="1"/>
    <xf numFmtId="0" fontId="9" fillId="0" borderId="6" xfId="0" applyNumberFormat="1" applyFont="1" applyBorder="1" applyAlignment="1">
      <alignment horizontal="left" indent="2"/>
    </xf>
    <xf numFmtId="0" fontId="9" fillId="0" borderId="19" xfId="0" applyNumberFormat="1" applyFont="1" applyBorder="1"/>
    <xf numFmtId="0" fontId="9" fillId="0" borderId="20" xfId="0" applyNumberFormat="1" applyFont="1" applyBorder="1"/>
    <xf numFmtId="0" fontId="9" fillId="0" borderId="21" xfId="0" applyNumberFormat="1" applyFont="1" applyBorder="1"/>
    <xf numFmtId="0" fontId="9" fillId="0" borderId="19" xfId="0" applyNumberFormat="1" applyFont="1" applyFill="1" applyBorder="1"/>
    <xf numFmtId="0" fontId="9" fillId="0" borderId="21" xfId="0" applyNumberFormat="1" applyFont="1" applyFill="1" applyBorder="1"/>
    <xf numFmtId="0" fontId="9" fillId="0" borderId="2" xfId="0" applyFont="1" applyBorder="1" applyAlignment="1">
      <alignment horizontal="left" indent="2"/>
    </xf>
    <xf numFmtId="0" fontId="9" fillId="0" borderId="33" xfId="0" applyFont="1" applyBorder="1" applyAlignment="1">
      <alignment horizontal="left" indent="2"/>
    </xf>
    <xf numFmtId="0" fontId="11" fillId="0" borderId="33" xfId="0" applyNumberFormat="1" applyFont="1" applyBorder="1"/>
    <xf numFmtId="0" fontId="11" fillId="0" borderId="7" xfId="0" applyNumberFormat="1" applyFont="1" applyBorder="1"/>
    <xf numFmtId="0" fontId="9" fillId="0" borderId="5" xfId="0" applyFont="1" applyBorder="1" applyAlignment="1">
      <alignment horizontal="left" indent="2"/>
    </xf>
    <xf numFmtId="0" fontId="11" fillId="6" borderId="1" xfId="0" applyFont="1" applyFill="1" applyBorder="1" applyAlignment="1">
      <alignment horizontal="left" indent="1"/>
    </xf>
    <xf numFmtId="0" fontId="9" fillId="0" borderId="3" xfId="0" applyFont="1" applyBorder="1" applyAlignment="1">
      <alignment horizontal="left" indent="2"/>
    </xf>
    <xf numFmtId="0" fontId="11" fillId="0" borderId="3" xfId="0" applyNumberFormat="1" applyFont="1" applyBorder="1"/>
    <xf numFmtId="0" fontId="11" fillId="0" borderId="9" xfId="0" applyFont="1" applyBorder="1" applyAlignment="1">
      <alignment horizontal="left"/>
    </xf>
    <xf numFmtId="0" fontId="11" fillId="0" borderId="9" xfId="0" applyNumberFormat="1" applyFont="1" applyBorder="1"/>
    <xf numFmtId="0" fontId="9" fillId="0" borderId="0" xfId="0" applyFont="1" applyBorder="1" applyAlignment="1">
      <alignment horizontal="left" indent="1"/>
    </xf>
    <xf numFmtId="0" fontId="11" fillId="6" borderId="1" xfId="0" applyFont="1" applyFill="1" applyBorder="1" applyAlignment="1">
      <alignment horizontal="left"/>
    </xf>
    <xf numFmtId="0" fontId="11" fillId="6" borderId="8" xfId="0" applyFont="1" applyFill="1" applyBorder="1" applyAlignment="1">
      <alignment horizontal="left"/>
    </xf>
    <xf numFmtId="0" fontId="11" fillId="6" borderId="37" xfId="0" applyNumberFormat="1" applyFont="1" applyFill="1" applyBorder="1"/>
    <xf numFmtId="0" fontId="11" fillId="6" borderId="38" xfId="0" applyNumberFormat="1" applyFont="1" applyFill="1" applyBorder="1"/>
    <xf numFmtId="0" fontId="11" fillId="6" borderId="39" xfId="0" applyNumberFormat="1" applyFont="1" applyFill="1" applyBorder="1"/>
    <xf numFmtId="0" fontId="11" fillId="6" borderId="8" xfId="0" applyNumberFormat="1" applyFont="1" applyFill="1" applyBorder="1"/>
    <xf numFmtId="0" fontId="11" fillId="0" borderId="0" xfId="0" applyNumberFormat="1" applyFont="1" applyBorder="1"/>
    <xf numFmtId="0" fontId="2" fillId="0" borderId="0" xfId="0" applyNumberFormat="1" applyFont="1"/>
    <xf numFmtId="0" fontId="11" fillId="0" borderId="4" xfId="0" applyFont="1" applyBorder="1" applyAlignment="1">
      <alignment horizontal="left"/>
    </xf>
    <xf numFmtId="0" fontId="11" fillId="0" borderId="28" xfId="0" applyNumberFormat="1" applyFont="1" applyBorder="1"/>
    <xf numFmtId="0" fontId="11" fillId="0" borderId="29" xfId="0" applyNumberFormat="1" applyFont="1" applyBorder="1"/>
    <xf numFmtId="0" fontId="11" fillId="0" borderId="4" xfId="0" applyNumberFormat="1" applyFont="1" applyBorder="1"/>
    <xf numFmtId="0" fontId="9" fillId="0" borderId="0" xfId="0" applyFont="1" applyBorder="1" applyAlignment="1">
      <alignment horizontal="left" indent="2"/>
    </xf>
    <xf numFmtId="0" fontId="11" fillId="0" borderId="6" xfId="0" applyNumberFormat="1" applyFont="1" applyBorder="1"/>
    <xf numFmtId="0" fontId="11" fillId="0" borderId="7" xfId="0" applyFont="1" applyBorder="1" applyAlignment="1">
      <alignment horizontal="left"/>
    </xf>
    <xf numFmtId="0" fontId="11" fillId="0" borderId="11" xfId="0" applyNumberFormat="1" applyFont="1" applyBorder="1"/>
    <xf numFmtId="0" fontId="11" fillId="0" borderId="12" xfId="0" applyNumberFormat="1" applyFont="1" applyBorder="1"/>
    <xf numFmtId="0" fontId="11" fillId="0" borderId="13" xfId="0" applyNumberFormat="1" applyFont="1" applyBorder="1"/>
    <xf numFmtId="0" fontId="11" fillId="0" borderId="10" xfId="0" applyNumberFormat="1" applyFont="1" applyBorder="1"/>
    <xf numFmtId="0" fontId="0" fillId="0" borderId="0" xfId="0" applyBorder="1"/>
    <xf numFmtId="0" fontId="11" fillId="5" borderId="7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/>
    </xf>
    <xf numFmtId="0" fontId="11" fillId="5" borderId="6" xfId="0" applyFont="1" applyFill="1" applyBorder="1" applyAlignment="1">
      <alignment horizontal="left"/>
    </xf>
    <xf numFmtId="0" fontId="11" fillId="5" borderId="19" xfId="0" applyFont="1" applyFill="1" applyBorder="1"/>
    <xf numFmtId="0" fontId="11" fillId="5" borderId="20" xfId="0" applyFont="1" applyFill="1" applyBorder="1"/>
    <xf numFmtId="0" fontId="11" fillId="5" borderId="21" xfId="0" applyFont="1" applyFill="1" applyBorder="1"/>
    <xf numFmtId="0" fontId="11" fillId="5" borderId="16" xfId="0" applyFont="1" applyFill="1" applyBorder="1"/>
    <xf numFmtId="0" fontId="11" fillId="5" borderId="18" xfId="0" applyFont="1" applyFill="1" applyBorder="1"/>
    <xf numFmtId="0" fontId="11" fillId="0" borderId="0" xfId="0" applyFont="1" applyAlignment="1">
      <alignment horizontal="left"/>
    </xf>
    <xf numFmtId="0" fontId="6" fillId="0" borderId="3" xfId="2" applyFont="1" applyBorder="1" applyAlignment="1">
      <alignment horizontal="center" vertical="center"/>
    </xf>
    <xf numFmtId="3" fontId="6" fillId="0" borderId="3" xfId="2" applyNumberFormat="1" applyFont="1" applyBorder="1" applyAlignment="1">
      <alignment horizontal="center" vertical="center"/>
    </xf>
    <xf numFmtId="165" fontId="6" fillId="0" borderId="3" xfId="1" applyNumberFormat="1" applyFont="1" applyBorder="1" applyAlignment="1">
      <alignment horizontal="center"/>
    </xf>
    <xf numFmtId="168" fontId="7" fillId="0" borderId="2" xfId="1" applyNumberFormat="1" applyFont="1" applyFill="1" applyBorder="1" applyAlignment="1" applyProtection="1">
      <alignment horizontal="right" vertical="center"/>
    </xf>
    <xf numFmtId="0" fontId="4" fillId="0" borderId="22" xfId="0" applyFont="1" applyBorder="1"/>
    <xf numFmtId="0" fontId="4" fillId="11" borderId="24" xfId="0" applyFont="1" applyFill="1" applyBorder="1" applyAlignment="1">
      <alignment horizontal="center"/>
    </xf>
    <xf numFmtId="0" fontId="4" fillId="12" borderId="24" xfId="0" applyFont="1" applyFill="1" applyBorder="1" applyAlignment="1">
      <alignment horizontal="center"/>
    </xf>
    <xf numFmtId="0" fontId="4" fillId="13" borderId="24" xfId="0" applyFont="1" applyFill="1" applyBorder="1" applyAlignment="1">
      <alignment horizontal="center"/>
    </xf>
    <xf numFmtId="0" fontId="4" fillId="6" borderId="24" xfId="0" applyFont="1" applyFill="1" applyBorder="1" applyAlignment="1">
      <alignment horizontal="center"/>
    </xf>
    <xf numFmtId="0" fontId="4" fillId="7" borderId="24" xfId="0" applyFont="1" applyFill="1" applyBorder="1" applyAlignment="1">
      <alignment horizontal="center"/>
    </xf>
    <xf numFmtId="0" fontId="4" fillId="8" borderId="24" xfId="0" applyFont="1" applyFill="1" applyBorder="1" applyAlignment="1">
      <alignment horizontal="center"/>
    </xf>
    <xf numFmtId="0" fontId="4" fillId="9" borderId="24" xfId="0" applyFont="1" applyFill="1" applyBorder="1" applyAlignment="1">
      <alignment horizontal="center"/>
    </xf>
    <xf numFmtId="0" fontId="4" fillId="10" borderId="24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" xfId="0" applyFont="1" applyBorder="1"/>
    <xf numFmtId="0" fontId="4" fillId="11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10" fillId="0" borderId="0" xfId="0" applyFont="1"/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3" fontId="4" fillId="0" borderId="24" xfId="3" applyNumberFormat="1" applyFont="1" applyFill="1" applyBorder="1" applyAlignment="1" applyProtection="1">
      <alignment horizontal="right"/>
    </xf>
    <xf numFmtId="0" fontId="0" fillId="0" borderId="0" xfId="0" pivotButton="1"/>
    <xf numFmtId="0" fontId="0" fillId="0" borderId="0" xfId="0" applyAlignment="1">
      <alignment horizontal="left" indent="2"/>
    </xf>
    <xf numFmtId="0" fontId="11" fillId="5" borderId="11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11" fillId="5" borderId="13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16" xfId="0" applyFont="1" applyFill="1" applyBorder="1" applyAlignment="1">
      <alignment horizontal="center"/>
    </xf>
    <xf numFmtId="0" fontId="11" fillId="5" borderId="17" xfId="0" applyFont="1" applyFill="1" applyBorder="1" applyAlignment="1">
      <alignment horizontal="center"/>
    </xf>
    <xf numFmtId="0" fontId="11" fillId="5" borderId="18" xfId="0" applyFont="1" applyFill="1" applyBorder="1" applyAlignment="1">
      <alignment horizontal="center"/>
    </xf>
  </cellXfs>
  <cellStyles count="4">
    <cellStyle name="Comma" xfId="1" builtinId="3"/>
    <cellStyle name="Comma 2" xfId="3" xr:uid="{EEB5D083-DD28-4F16-A23E-E270D2CAC731}"/>
    <cellStyle name="Normal" xfId="0" builtinId="0"/>
    <cellStyle name="Normal 2" xfId="2" xr:uid="{9C985DF0-F943-48B7-BD6B-9E97DD1AAB78}"/>
  </cellStyles>
  <dxfs count="5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hZ Nuklaeo" refreshedDate="46049.554606944446" createdVersion="7" refreshedVersion="7" minRefreshableVersion="3" recordCount="763" xr:uid="{02E9C937-18A2-41F7-82B6-9D9B0921AA21}">
  <cacheSource type="worksheet">
    <worksheetSource ref="A1:O1048576" sheet="Raw Data"/>
  </cacheSource>
  <cacheFields count="16">
    <cacheField name="Month" numFmtId="14">
      <sharedItems containsNonDate="0" containsDate="1" containsString="0" containsBlank="1" minDate="2026-02-01T00:00:00" maxDate="2026-11-02T00:00:00" count="10">
        <d v="2026-02-01T00:00:00"/>
        <d v="2026-03-01T00:00:00"/>
        <d v="2026-04-01T00:00:00"/>
        <d v="2026-05-01T00:00:00"/>
        <d v="2026-07-01T00:00:00"/>
        <d v="2026-08-01T00:00:00"/>
        <d v="2026-09-01T00:00:00"/>
        <d v="2026-10-01T00:00:00"/>
        <d v="2026-11-01T00:00:00"/>
        <m/>
      </sharedItems>
      <fieldGroup par="15" base="0">
        <rangePr groupBy="days" startDate="2026-02-01T00:00:00" endDate="2026-11-02T00:00:00"/>
        <groupItems count="368">
          <s v="(blank)"/>
          <s v="1-ม.ค."/>
          <s v="2-ม.ค."/>
          <s v="3-ม.ค."/>
          <s v="4-ม.ค."/>
          <s v="5-ม.ค."/>
          <s v="6-ม.ค."/>
          <s v="7-ม.ค."/>
          <s v="8-ม.ค."/>
          <s v="9-ม.ค."/>
          <s v="10-ม.ค."/>
          <s v="11-ม.ค."/>
          <s v="12-ม.ค."/>
          <s v="13-ม.ค."/>
          <s v="14-ม.ค."/>
          <s v="15-ม.ค."/>
          <s v="16-ม.ค."/>
          <s v="17-ม.ค."/>
          <s v="18-ม.ค."/>
          <s v="19-ม.ค."/>
          <s v="20-ม.ค."/>
          <s v="21-ม.ค."/>
          <s v="22-ม.ค."/>
          <s v="23-ม.ค."/>
          <s v="24-ม.ค."/>
          <s v="25-ม.ค."/>
          <s v="26-ม.ค."/>
          <s v="27-ม.ค."/>
          <s v="28-ม.ค."/>
          <s v="29-ม.ค."/>
          <s v="30-ม.ค."/>
          <s v="31-ม.ค."/>
          <s v="1-ก.พ."/>
          <s v="2-ก.พ."/>
          <s v="3-ก.พ."/>
          <s v="4-ก.พ."/>
          <s v="5-ก.พ."/>
          <s v="6-ก.พ."/>
          <s v="7-ก.พ."/>
          <s v="8-ก.พ."/>
          <s v="9-ก.พ."/>
          <s v="10-ก.พ."/>
          <s v="11-ก.พ."/>
          <s v="12-ก.พ."/>
          <s v="13-ก.พ."/>
          <s v="14-ก.พ."/>
          <s v="15-ก.พ."/>
          <s v="16-ก.พ."/>
          <s v="17-ก.พ."/>
          <s v="18-ก.พ."/>
          <s v="19-ก.พ."/>
          <s v="20-ก.พ."/>
          <s v="21-ก.พ."/>
          <s v="22-ก.พ."/>
          <s v="23-ก.พ."/>
          <s v="24-ก.พ."/>
          <s v="25-ก.พ."/>
          <s v="26-ก.พ."/>
          <s v="27-ก.พ."/>
          <s v="28-ก.พ."/>
          <s v="29-ก.พ."/>
          <s v="1-มี.ค."/>
          <s v="2-มี.ค."/>
          <s v="3-มี.ค."/>
          <s v="4-มี.ค."/>
          <s v="5-มี.ค."/>
          <s v="6-มี.ค."/>
          <s v="7-มี.ค."/>
          <s v="8-มี.ค."/>
          <s v="9-มี.ค."/>
          <s v="10-มี.ค."/>
          <s v="11-มี.ค."/>
          <s v="12-มี.ค."/>
          <s v="13-มี.ค."/>
          <s v="14-มี.ค."/>
          <s v="15-มี.ค."/>
          <s v="16-มี.ค."/>
          <s v="17-มี.ค."/>
          <s v="18-มี.ค."/>
          <s v="19-มี.ค."/>
          <s v="20-มี.ค."/>
          <s v="21-มี.ค."/>
          <s v="22-มี.ค."/>
          <s v="23-มี.ค."/>
          <s v="24-มี.ค."/>
          <s v="25-มี.ค."/>
          <s v="26-มี.ค."/>
          <s v="27-มี.ค."/>
          <s v="28-มี.ค."/>
          <s v="29-มี.ค."/>
          <s v="30-มี.ค."/>
          <s v="31-มี.ค."/>
          <s v="1-เม.ย."/>
          <s v="2-เม.ย."/>
          <s v="3-เม.ย."/>
          <s v="4-เม.ย."/>
          <s v="5-เม.ย."/>
          <s v="6-เม.ย."/>
          <s v="7-เม.ย."/>
          <s v="8-เม.ย."/>
          <s v="9-เม.ย."/>
          <s v="10-เม.ย."/>
          <s v="11-เม.ย."/>
          <s v="12-เม.ย."/>
          <s v="13-เม.ย."/>
          <s v="14-เม.ย."/>
          <s v="15-เม.ย."/>
          <s v="16-เม.ย."/>
          <s v="17-เม.ย."/>
          <s v="18-เม.ย."/>
          <s v="19-เม.ย."/>
          <s v="20-เม.ย."/>
          <s v="21-เม.ย."/>
          <s v="22-เม.ย."/>
          <s v="23-เม.ย."/>
          <s v="24-เม.ย."/>
          <s v="25-เม.ย."/>
          <s v="26-เม.ย."/>
          <s v="27-เม.ย."/>
          <s v="28-เม.ย."/>
          <s v="29-เม.ย."/>
          <s v="30-เม.ย."/>
          <s v="1-พ.ค."/>
          <s v="2-พ.ค."/>
          <s v="3-พ.ค."/>
          <s v="4-พ.ค."/>
          <s v="5-พ.ค."/>
          <s v="6-พ.ค."/>
          <s v="7-พ.ค."/>
          <s v="8-พ.ค."/>
          <s v="9-พ.ค."/>
          <s v="10-พ.ค."/>
          <s v="11-พ.ค."/>
          <s v="12-พ.ค."/>
          <s v="13-พ.ค."/>
          <s v="14-พ.ค."/>
          <s v="15-พ.ค."/>
          <s v="16-พ.ค."/>
          <s v="17-พ.ค."/>
          <s v="18-พ.ค."/>
          <s v="19-พ.ค."/>
          <s v="20-พ.ค."/>
          <s v="21-พ.ค."/>
          <s v="22-พ.ค."/>
          <s v="23-พ.ค."/>
          <s v="24-พ.ค."/>
          <s v="25-พ.ค."/>
          <s v="26-พ.ค."/>
          <s v="27-พ.ค."/>
          <s v="28-พ.ค."/>
          <s v="29-พ.ค."/>
          <s v="30-พ.ค."/>
          <s v="31-พ.ค."/>
          <s v="1-มิ.ย."/>
          <s v="2-มิ.ย."/>
          <s v="3-มิ.ย."/>
          <s v="4-มิ.ย."/>
          <s v="5-มิ.ย."/>
          <s v="6-มิ.ย."/>
          <s v="7-มิ.ย."/>
          <s v="8-มิ.ย."/>
          <s v="9-มิ.ย."/>
          <s v="10-มิ.ย."/>
          <s v="11-มิ.ย."/>
          <s v="12-มิ.ย."/>
          <s v="13-มิ.ย."/>
          <s v="14-มิ.ย."/>
          <s v="15-มิ.ย."/>
          <s v="16-มิ.ย."/>
          <s v="17-มิ.ย."/>
          <s v="18-มิ.ย."/>
          <s v="19-มิ.ย."/>
          <s v="20-มิ.ย."/>
          <s v="21-มิ.ย."/>
          <s v="22-มิ.ย."/>
          <s v="23-มิ.ย."/>
          <s v="24-มิ.ย."/>
          <s v="25-มิ.ย."/>
          <s v="26-มิ.ย."/>
          <s v="27-มิ.ย."/>
          <s v="28-มิ.ย."/>
          <s v="29-มิ.ย."/>
          <s v="30-มิ.ย."/>
          <s v="1-ก.ค."/>
          <s v="2-ก.ค."/>
          <s v="3-ก.ค."/>
          <s v="4-ก.ค."/>
          <s v="5-ก.ค."/>
          <s v="6-ก.ค."/>
          <s v="7-ก.ค."/>
          <s v="8-ก.ค."/>
          <s v="9-ก.ค."/>
          <s v="10-ก.ค."/>
          <s v="11-ก.ค."/>
          <s v="12-ก.ค."/>
          <s v="13-ก.ค."/>
          <s v="14-ก.ค."/>
          <s v="15-ก.ค."/>
          <s v="16-ก.ค."/>
          <s v="17-ก.ค."/>
          <s v="18-ก.ค."/>
          <s v="19-ก.ค."/>
          <s v="20-ก.ค."/>
          <s v="21-ก.ค."/>
          <s v="22-ก.ค."/>
          <s v="23-ก.ค."/>
          <s v="24-ก.ค."/>
          <s v="25-ก.ค."/>
          <s v="26-ก.ค."/>
          <s v="27-ก.ค."/>
          <s v="28-ก.ค."/>
          <s v="29-ก.ค."/>
          <s v="30-ก.ค."/>
          <s v="31-ก.ค."/>
          <s v="1-ส.ค."/>
          <s v="2-ส.ค."/>
          <s v="3-ส.ค."/>
          <s v="4-ส.ค."/>
          <s v="5-ส.ค."/>
          <s v="6-ส.ค."/>
          <s v="7-ส.ค."/>
          <s v="8-ส.ค."/>
          <s v="9-ส.ค."/>
          <s v="10-ส.ค."/>
          <s v="11-ส.ค."/>
          <s v="12-ส.ค."/>
          <s v="13-ส.ค."/>
          <s v="14-ส.ค."/>
          <s v="15-ส.ค."/>
          <s v="16-ส.ค."/>
          <s v="17-ส.ค."/>
          <s v="18-ส.ค."/>
          <s v="19-ส.ค."/>
          <s v="20-ส.ค."/>
          <s v="21-ส.ค."/>
          <s v="22-ส.ค."/>
          <s v="23-ส.ค."/>
          <s v="24-ส.ค."/>
          <s v="25-ส.ค."/>
          <s v="26-ส.ค."/>
          <s v="27-ส.ค."/>
          <s v="28-ส.ค."/>
          <s v="29-ส.ค."/>
          <s v="30-ส.ค."/>
          <s v="31-ส.ค."/>
          <s v="1-ก.ย."/>
          <s v="2-ก.ย."/>
          <s v="3-ก.ย."/>
          <s v="4-ก.ย."/>
          <s v="5-ก.ย."/>
          <s v="6-ก.ย."/>
          <s v="7-ก.ย."/>
          <s v="8-ก.ย."/>
          <s v="9-ก.ย."/>
          <s v="10-ก.ย."/>
          <s v="11-ก.ย."/>
          <s v="12-ก.ย."/>
          <s v="13-ก.ย."/>
          <s v="14-ก.ย."/>
          <s v="15-ก.ย."/>
          <s v="16-ก.ย."/>
          <s v="17-ก.ย."/>
          <s v="18-ก.ย."/>
          <s v="19-ก.ย."/>
          <s v="20-ก.ย."/>
          <s v="21-ก.ย."/>
          <s v="22-ก.ย."/>
          <s v="23-ก.ย."/>
          <s v="24-ก.ย."/>
          <s v="25-ก.ย."/>
          <s v="26-ก.ย."/>
          <s v="27-ก.ย."/>
          <s v="28-ก.ย."/>
          <s v="29-ก.ย."/>
          <s v="30-ก.ย."/>
          <s v="1-ต.ค."/>
          <s v="2-ต.ค."/>
          <s v="3-ต.ค."/>
          <s v="4-ต.ค."/>
          <s v="5-ต.ค."/>
          <s v="6-ต.ค."/>
          <s v="7-ต.ค."/>
          <s v="8-ต.ค."/>
          <s v="9-ต.ค."/>
          <s v="10-ต.ค."/>
          <s v="11-ต.ค."/>
          <s v="12-ต.ค."/>
          <s v="13-ต.ค."/>
          <s v="14-ต.ค."/>
          <s v="15-ต.ค."/>
          <s v="16-ต.ค."/>
          <s v="17-ต.ค."/>
          <s v="18-ต.ค."/>
          <s v="19-ต.ค."/>
          <s v="20-ต.ค."/>
          <s v="21-ต.ค."/>
          <s v="22-ต.ค."/>
          <s v="23-ต.ค."/>
          <s v="24-ต.ค."/>
          <s v="25-ต.ค."/>
          <s v="26-ต.ค."/>
          <s v="27-ต.ค."/>
          <s v="28-ต.ค."/>
          <s v="29-ต.ค."/>
          <s v="30-ต.ค."/>
          <s v="31-ต.ค."/>
          <s v="1-พ.ย."/>
          <s v="2-พ.ย."/>
          <s v="3-พ.ย."/>
          <s v="4-พ.ย."/>
          <s v="5-พ.ย."/>
          <s v="6-พ.ย."/>
          <s v="7-พ.ย."/>
          <s v="8-พ.ย."/>
          <s v="9-พ.ย."/>
          <s v="10-พ.ย."/>
          <s v="11-พ.ย."/>
          <s v="12-พ.ย."/>
          <s v="13-พ.ย."/>
          <s v="14-พ.ย."/>
          <s v="15-พ.ย."/>
          <s v="16-พ.ย."/>
          <s v="17-พ.ย."/>
          <s v="18-พ.ย."/>
          <s v="19-พ.ย."/>
          <s v="20-พ.ย."/>
          <s v="21-พ.ย."/>
          <s v="22-พ.ย."/>
          <s v="23-พ.ย."/>
          <s v="24-พ.ย."/>
          <s v="25-พ.ย."/>
          <s v="26-พ.ย."/>
          <s v="27-พ.ย."/>
          <s v="28-พ.ย."/>
          <s v="29-พ.ย."/>
          <s v="30-พ.ย."/>
          <s v="1-ธ.ค."/>
          <s v="2-ธ.ค."/>
          <s v="3-ธ.ค."/>
          <s v="4-ธ.ค."/>
          <s v="5-ธ.ค."/>
          <s v="6-ธ.ค."/>
          <s v="7-ธ.ค."/>
          <s v="8-ธ.ค."/>
          <s v="9-ธ.ค."/>
          <s v="10-ธ.ค."/>
          <s v="11-ธ.ค."/>
          <s v="12-ธ.ค."/>
          <s v="13-ธ.ค."/>
          <s v="14-ธ.ค."/>
          <s v="15-ธ.ค."/>
          <s v="16-ธ.ค."/>
          <s v="17-ธ.ค."/>
          <s v="18-ธ.ค."/>
          <s v="19-ธ.ค."/>
          <s v="20-ธ.ค."/>
          <s v="21-ธ.ค."/>
          <s v="22-ธ.ค."/>
          <s v="23-ธ.ค."/>
          <s v="24-ธ.ค."/>
          <s v="25-ธ.ค."/>
          <s v="26-ธ.ค."/>
          <s v="27-ธ.ค."/>
          <s v="28-ธ.ค."/>
          <s v="29-ธ.ค."/>
          <s v="30-ธ.ค."/>
          <s v="31-ธ.ค."/>
          <s v="&gt;2/11/2026"/>
        </groupItems>
      </fieldGroup>
    </cacheField>
    <cacheField name="material" numFmtId="0">
      <sharedItems containsBlank="1"/>
    </cacheField>
    <cacheField name="n_material" numFmtId="0">
      <sharedItems containsBlank="1" containsMixedTypes="1" containsNumber="1" containsInteger="1" minValue="0" maxValue="0" count="11">
        <s v="Dolomite"/>
        <s v="0-3-0 (1)"/>
        <s v="0-0-60 (1)"/>
        <s v="46-0-0 (1)"/>
        <s v="Borax"/>
        <s v="0-0-60 (2)"/>
        <s v="46-0-0 (2)"/>
        <s v="0-0-60 (3)"/>
        <s v="46-0-0 (3)"/>
        <n v="0"/>
        <m/>
      </sharedItems>
    </cacheField>
    <cacheField name="wo_number" numFmtId="0">
      <sharedItems containsBlank="1"/>
    </cacheField>
    <cacheField name="area" numFmtId="0">
      <sharedItems containsBlank="1" containsMixedTypes="1" containsNumber="1" containsInteger="1" minValue="0" maxValue="0" count="5">
        <s v="Lower"/>
        <s v="Upper"/>
        <s v=""/>
        <n v="0"/>
        <m/>
      </sharedItems>
    </cacheField>
    <cacheField name="terrain" numFmtId="0">
      <sharedItems containsBlank="1" containsMixedTypes="1" containsNumber="1" containsInteger="1" minValue="0" maxValue="0" count="104">
        <s v="56-A01"/>
        <s v="63-A01-R"/>
        <s v="56-A02"/>
        <s v="56-A03-R"/>
        <s v="63-A03-R"/>
        <s v="50-A04"/>
        <s v="50-A05"/>
        <s v="60-A06"/>
        <s v="63-A07"/>
        <s v="63-A07-R"/>
        <s v="57-A08-R"/>
        <s v="57-A09-R"/>
        <s v="49-A10-R"/>
        <s v="49-A11-R"/>
        <s v="49-A12-R"/>
        <s v="49-A13-R"/>
        <s v="65-B01"/>
        <s v="64-B02"/>
        <s v="57-B03"/>
        <s v="60-B04"/>
        <s v="64-B05"/>
        <s v="64-B06"/>
        <s v="50-B07"/>
        <s v="60-B08"/>
        <s v="60-B09"/>
        <s v="50-B10"/>
        <s v="65-B11"/>
        <s v="57-B12"/>
        <s v="49-B13"/>
        <s v="30-B14"/>
        <s v="57-B14"/>
        <s v="60-C01-R"/>
        <s v="60-C02-R"/>
        <s v="59-C03-R"/>
        <s v="59-C04-R"/>
        <s v="22-C05-R"/>
        <s v="50-C05-R"/>
        <s v="60-C05-R"/>
        <s v="57-C06"/>
        <s v="57-C06-R"/>
        <s v="50-C07-R"/>
        <s v="59-C08-R"/>
        <s v="59-C09-R"/>
        <s v="56-C10-R"/>
        <s v="59-C11-R"/>
        <s v="65-D01-R"/>
        <s v="64-D02-R"/>
        <s v="65-D03-R"/>
        <s v="65-D04-R"/>
        <s v="65-D05-R"/>
        <s v="67-D06-R"/>
        <s v="56-D07-R"/>
        <s v="63-D08-R"/>
        <s v="66-D09-R"/>
        <s v="67-P01-R"/>
        <s v="67-P02-R"/>
        <s v="66-P03-R"/>
        <s v="66-P04-R"/>
        <s v="66-P05-R"/>
        <s v="64-P06-R"/>
        <s v="51-P07"/>
        <s v="51-P07-R"/>
        <s v="64-P07-R"/>
        <s v="64-P08-R"/>
        <s v="64-P09-R"/>
        <s v="68-PU1"/>
        <s v="66-PU2"/>
        <s v="68-PU3"/>
        <s v="68-PU4"/>
        <s v="68-PU5"/>
        <s v="68-PU5-R"/>
        <s v="68-PU6"/>
        <s v="68-PU6-R"/>
        <s v="68-T01"/>
        <s v="68-T02"/>
        <s v="66-T03"/>
        <s v="66-T04"/>
        <s v="63-T05-R"/>
        <s v="66-T06"/>
        <s v="66-T07"/>
        <s v="56-T08"/>
        <s v="56-T08-R"/>
        <s v="58-T09-R"/>
        <s v="50-T10-R"/>
        <s v="67-T10"/>
        <s v="58-T11-R"/>
        <s v="50-T12-R"/>
        <s v="58-T13-R"/>
        <s v="49-T16-R"/>
        <s v="58-T17-R"/>
        <s v="58-T18-R"/>
        <s v="67-T18"/>
        <s v="56-T19-R"/>
        <s v="49-T20-R"/>
        <s v="56-T21-R"/>
        <s v="67-T21"/>
        <s v="63-T22-R"/>
        <s v="63-T23-R"/>
        <s v="52-T28-R"/>
        <s v="56-T28-R"/>
        <s v="67-T29"/>
        <s v="67-T30"/>
        <n v="0"/>
        <m/>
      </sharedItems>
    </cacheField>
    <cacheField name="# of Trees" numFmtId="0">
      <sharedItems containsBlank="1"/>
    </cacheField>
    <cacheField name="Date Planted" numFmtId="0">
      <sharedItems containsString="0" containsBlank="1" containsNumber="1" containsInteger="1" minValue="2522" maxValue="2568"/>
    </cacheField>
    <cacheField name="Stock (KG)" numFmtId="0">
      <sharedItems containsString="0" containsBlank="1" containsNumber="1" minValue="6.1" maxValue="8616"/>
    </cacheField>
    <cacheField name="Stock (BAG)" numFmtId="0">
      <sharedItems containsString="0" containsBlank="1" containsNumber="1" minValue="0.24399999999999999" maxValue="344.64"/>
    </cacheField>
    <cacheField name="BAG(25/50)" numFmtId="0">
      <sharedItems containsString="0" containsBlank="1" containsNumber="1" containsInteger="1" minValue="0" maxValue="345"/>
    </cacheField>
    <cacheField name="Rate" numFmtId="0">
      <sharedItems containsBlank="1" containsMixedTypes="1" containsNumber="1" minValue="50" maxValue="2000" count="14">
        <n v="2000"/>
        <n v="1500"/>
        <n v="1000"/>
        <n v="500"/>
        <n v="1750"/>
        <n v="750"/>
        <n v="1250"/>
        <n v="250"/>
        <n v="350"/>
        <n v="100"/>
        <n v="99.999999999999986"/>
        <n v="50"/>
        <e v="#DIV/0!"/>
        <m/>
      </sharedItems>
    </cacheField>
    <cacheField name="AP Code" numFmtId="0">
      <sharedItems containsBlank="1"/>
    </cacheField>
    <cacheField name="Planted year" numFmtId="0">
      <sharedItems containsBlank="1" containsMixedTypes="1" containsNumber="1" containsInteger="1" minValue="2566" maxValue="2568" count="11">
        <s v="2555 - 2558"/>
        <s v="2563 - 2565"/>
        <s v="2549 - 2552"/>
        <s v="2559 - 2560"/>
        <s v="2563 - 2564"/>
        <s v="ปาล์มใหญ่"/>
        <n v="2567"/>
        <n v="2566"/>
        <n v="2568"/>
        <s v=""/>
        <m/>
      </sharedItems>
    </cacheField>
    <cacheField name="terrain format" numFmtId="0">
      <sharedItems containsBlank="1"/>
    </cacheField>
    <cacheField name="Months" numFmtId="0" databaseField="0">
      <fieldGroup base="0">
        <rangePr groupBy="months" startDate="2026-02-01T00:00:00" endDate="2026-11-02T00:00:00"/>
        <groupItems count="14">
          <s v="&lt;1/2/2026"/>
          <s v="ม.ค."/>
          <s v="ก.พ."/>
          <s v="มี.ค."/>
          <s v="เม.ย."/>
          <s v="พ.ค."/>
          <s v="มิ.ย."/>
          <s v="ก.ค."/>
          <s v="ส.ค."/>
          <s v="ก.ย."/>
          <s v="ต.ค."/>
          <s v="พ.ย."/>
          <s v="ธ.ค."/>
          <s v="&gt;2/1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3">
  <r>
    <x v="0"/>
    <s v="04-0169"/>
    <x v="0"/>
    <s v="172|0"/>
    <x v="0"/>
    <x v="0"/>
    <s v="1950"/>
    <n v="2556"/>
    <n v="3900"/>
    <n v="156"/>
    <n v="156"/>
    <x v="0"/>
    <s v="347"/>
    <x v="0"/>
    <s v="56-A01 | 1950 | 172|0"/>
  </r>
  <r>
    <x v="0"/>
    <s v="04-0169"/>
    <x v="0"/>
    <s v="684|0"/>
    <x v="0"/>
    <x v="1"/>
    <s v="534"/>
    <n v="2563"/>
    <n v="1068"/>
    <n v="42.72"/>
    <n v="43"/>
    <x v="0"/>
    <s v="381"/>
    <x v="1"/>
    <s v="63-A01-R | 534 | 684|0"/>
  </r>
  <r>
    <x v="0"/>
    <s v="04-0169"/>
    <x v="0"/>
    <s v="162|0"/>
    <x v="0"/>
    <x v="2"/>
    <s v="3835"/>
    <n v="2556"/>
    <n v="7670"/>
    <n v="306.8"/>
    <n v="307"/>
    <x v="0"/>
    <s v="347"/>
    <x v="0"/>
    <s v="56-A02 | 3835 | 162|0"/>
  </r>
  <r>
    <x v="0"/>
    <s v="04-0169"/>
    <x v="0"/>
    <s v="156|0"/>
    <x v="0"/>
    <x v="3"/>
    <s v="2119"/>
    <n v="2556"/>
    <n v="4238"/>
    <n v="169.52"/>
    <n v="170"/>
    <x v="0"/>
    <s v="346"/>
    <x v="0"/>
    <s v="56-A03-R | 2119 | 156|0"/>
  </r>
  <r>
    <x v="0"/>
    <s v="04-0169"/>
    <x v="0"/>
    <s v="685|0"/>
    <x v="0"/>
    <x v="4"/>
    <s v="980"/>
    <n v="2563"/>
    <n v="1960"/>
    <n v="78.400000000000006"/>
    <n v="78"/>
    <x v="0"/>
    <s v="381"/>
    <x v="1"/>
    <s v="63-A03-R | 980 | 685|0"/>
  </r>
  <r>
    <x v="0"/>
    <s v="04-0169"/>
    <x v="0"/>
    <s v="71|0"/>
    <x v="0"/>
    <x v="5"/>
    <s v="4864"/>
    <n v="2550"/>
    <n v="7296"/>
    <n v="291.83999999999997"/>
    <n v="292"/>
    <x v="1"/>
    <s v="315"/>
    <x v="2"/>
    <s v="50-A04 | 4864 | 71|0"/>
  </r>
  <r>
    <x v="0"/>
    <s v="04-0169"/>
    <x v="0"/>
    <s v="67|0"/>
    <x v="0"/>
    <x v="6"/>
    <s v="4608"/>
    <n v="2550"/>
    <n v="6912"/>
    <n v="276.48"/>
    <n v="276"/>
    <x v="1"/>
    <s v="315"/>
    <x v="2"/>
    <s v="50-A05 | 4608 | 67|0"/>
  </r>
  <r>
    <x v="0"/>
    <s v="04-0169"/>
    <x v="0"/>
    <s v="158|0"/>
    <x v="0"/>
    <x v="7"/>
    <s v="3259"/>
    <n v="2560"/>
    <n v="6518"/>
    <n v="260.72000000000003"/>
    <n v="261"/>
    <x v="0"/>
    <s v="354"/>
    <x v="3"/>
    <s v="60-A06 | 3259 | 158|0"/>
  </r>
  <r>
    <x v="0"/>
    <s v="04-0169"/>
    <x v="0"/>
    <s v="252|0"/>
    <x v="0"/>
    <x v="8"/>
    <s v="2388"/>
    <n v="2563"/>
    <n v="4776"/>
    <n v="191.04"/>
    <n v="191"/>
    <x v="0"/>
    <s v="382"/>
    <x v="1"/>
    <s v="63-A07 | 2388 | 252|0"/>
  </r>
  <r>
    <x v="0"/>
    <s v="04-0169"/>
    <x v="0"/>
    <s v="247|0"/>
    <x v="0"/>
    <x v="9"/>
    <s v="309"/>
    <n v="2563"/>
    <n v="618"/>
    <n v="24.72"/>
    <n v="25"/>
    <x v="0"/>
    <s v="381"/>
    <x v="1"/>
    <s v="63-A07-R | 309 | 247|0"/>
  </r>
  <r>
    <x v="0"/>
    <s v="04-0169"/>
    <x v="0"/>
    <s v="157|0"/>
    <x v="0"/>
    <x v="10"/>
    <s v="4308"/>
    <n v="2557"/>
    <n v="8616"/>
    <n v="344.64"/>
    <n v="345"/>
    <x v="0"/>
    <s v="346"/>
    <x v="0"/>
    <s v="57-A08-R | 4308 | 157|0"/>
  </r>
  <r>
    <x v="0"/>
    <s v="04-0169"/>
    <x v="0"/>
    <s v="169|0"/>
    <x v="0"/>
    <x v="11"/>
    <s v="3861"/>
    <n v="2557"/>
    <n v="7722"/>
    <n v="308.88"/>
    <n v="309"/>
    <x v="0"/>
    <s v="346"/>
    <x v="0"/>
    <s v="57-A09-R | 3861 | 169|0"/>
  </r>
  <r>
    <x v="0"/>
    <s v="04-0169"/>
    <x v="0"/>
    <s v="72|0"/>
    <x v="0"/>
    <x v="12"/>
    <s v="2785"/>
    <n v="2549"/>
    <n v="4177.5"/>
    <n v="167.1"/>
    <n v="167"/>
    <x v="1"/>
    <s v="317"/>
    <x v="2"/>
    <s v="49-A10-R | 2785 | 72|0"/>
  </r>
  <r>
    <x v="0"/>
    <s v="04-0169"/>
    <x v="0"/>
    <s v="69|0"/>
    <x v="0"/>
    <x v="13"/>
    <s v="2421"/>
    <n v="2549"/>
    <n v="3631.5"/>
    <n v="145.26"/>
    <n v="145"/>
    <x v="1"/>
    <s v="317"/>
    <x v="2"/>
    <s v="49-A11-R | 2421 | 69|0"/>
  </r>
  <r>
    <x v="0"/>
    <s v="04-0169"/>
    <x v="0"/>
    <s v="74|0"/>
    <x v="0"/>
    <x v="14"/>
    <s v="3764"/>
    <n v="2549"/>
    <n v="5646"/>
    <n v="225.84"/>
    <n v="226"/>
    <x v="1"/>
    <s v="317"/>
    <x v="2"/>
    <s v="49-A12-R | 3764 | 74|0"/>
  </r>
  <r>
    <x v="0"/>
    <s v="04-0169"/>
    <x v="0"/>
    <s v="75|0"/>
    <x v="0"/>
    <x v="15"/>
    <s v="2893"/>
    <n v="2549"/>
    <n v="4339.5"/>
    <n v="173.58"/>
    <n v="174"/>
    <x v="1"/>
    <s v="317"/>
    <x v="2"/>
    <s v="49-A13-R | 2893 | 75|0"/>
  </r>
  <r>
    <x v="0"/>
    <s v="04-0169"/>
    <x v="0"/>
    <s v="549|0"/>
    <x v="1"/>
    <x v="16"/>
    <s v="2868"/>
    <n v="2565"/>
    <n v="5736"/>
    <n v="229.44"/>
    <n v="229"/>
    <x v="0"/>
    <s v="396"/>
    <x v="1"/>
    <s v="65-B01 | 2868 | 549|0"/>
  </r>
  <r>
    <x v="0"/>
    <s v="04-0169"/>
    <x v="0"/>
    <s v="554|0"/>
    <x v="1"/>
    <x v="17"/>
    <s v="3480"/>
    <n v="2564"/>
    <n v="6960"/>
    <n v="278.39999999999998"/>
    <n v="278"/>
    <x v="0"/>
    <s v="396"/>
    <x v="4"/>
    <s v="64-B02 | 3480 | 554|0"/>
  </r>
  <r>
    <x v="0"/>
    <s v="04-0169"/>
    <x v="0"/>
    <s v="476|0"/>
    <x v="1"/>
    <x v="18"/>
    <s v="4231"/>
    <n v="2557"/>
    <n v="8462"/>
    <n v="338.48"/>
    <n v="338"/>
    <x v="0"/>
    <s v="352"/>
    <x v="0"/>
    <s v="57-B03 | 4231 | 476|0"/>
  </r>
  <r>
    <x v="0"/>
    <s v="04-0169"/>
    <x v="0"/>
    <s v="483|0"/>
    <x v="1"/>
    <x v="19"/>
    <s v="3851"/>
    <n v="2560"/>
    <n v="7702"/>
    <n v="308.08"/>
    <n v="308"/>
    <x v="0"/>
    <s v="355"/>
    <x v="3"/>
    <s v="60-B04 | 3851 | 483|0"/>
  </r>
  <r>
    <x v="0"/>
    <s v="04-0169"/>
    <x v="0"/>
    <s v="550|0"/>
    <x v="1"/>
    <x v="20"/>
    <s v="3140"/>
    <n v="2564"/>
    <n v="6280"/>
    <n v="251.2"/>
    <n v="251"/>
    <x v="0"/>
    <s v="396"/>
    <x v="4"/>
    <s v="64-B05 | 3140 | 550|0"/>
  </r>
  <r>
    <x v="0"/>
    <s v="04-0169"/>
    <x v="0"/>
    <s v="553|0"/>
    <x v="1"/>
    <x v="21"/>
    <s v="3671"/>
    <n v="2564"/>
    <n v="7342"/>
    <n v="293.68"/>
    <n v="294"/>
    <x v="0"/>
    <s v="396"/>
    <x v="4"/>
    <s v="64-B06 | 3671 | 553|0"/>
  </r>
  <r>
    <x v="0"/>
    <s v="04-0169"/>
    <x v="0"/>
    <s v="429|0"/>
    <x v="1"/>
    <x v="22"/>
    <s v="4022"/>
    <n v="2550"/>
    <n v="6033"/>
    <n v="241.32"/>
    <n v="241"/>
    <x v="1"/>
    <s v="322"/>
    <x v="2"/>
    <s v="50-B07 | 4022 | 429|0"/>
  </r>
  <r>
    <x v="0"/>
    <s v="04-0169"/>
    <x v="0"/>
    <s v="480|0"/>
    <x v="1"/>
    <x v="23"/>
    <s v="3476"/>
    <n v="2560"/>
    <n v="6952"/>
    <n v="278.08"/>
    <n v="278"/>
    <x v="0"/>
    <s v="355"/>
    <x v="3"/>
    <s v="60-B08 | 3476 | 480|0"/>
  </r>
  <r>
    <x v="0"/>
    <s v="04-0169"/>
    <x v="0"/>
    <s v="469|0"/>
    <x v="1"/>
    <x v="24"/>
    <s v="4127"/>
    <n v="2560"/>
    <n v="8254"/>
    <n v="330.16"/>
    <n v="330"/>
    <x v="0"/>
    <s v="355"/>
    <x v="3"/>
    <s v="60-B09 | 4127 | 469|0"/>
  </r>
  <r>
    <x v="0"/>
    <s v="04-0169"/>
    <x v="0"/>
    <s v="426|0"/>
    <x v="1"/>
    <x v="25"/>
    <s v="4245"/>
    <n v="2550"/>
    <n v="6367.5"/>
    <n v="254.7"/>
    <n v="255"/>
    <x v="1"/>
    <s v="322"/>
    <x v="2"/>
    <s v="50-B10 | 4245 | 426|0"/>
  </r>
  <r>
    <x v="0"/>
    <s v="04-0169"/>
    <x v="0"/>
    <s v="555|0"/>
    <x v="1"/>
    <x v="26"/>
    <s v="3193"/>
    <n v="2565"/>
    <n v="6386"/>
    <n v="255.44"/>
    <n v="255"/>
    <x v="0"/>
    <s v="396"/>
    <x v="1"/>
    <s v="65-B11 | 3193 | 555|0"/>
  </r>
  <r>
    <x v="0"/>
    <s v="04-0169"/>
    <x v="0"/>
    <s v="477|0"/>
    <x v="1"/>
    <x v="27"/>
    <s v="4265"/>
    <n v="2557"/>
    <n v="8530"/>
    <n v="341.2"/>
    <n v="341"/>
    <x v="0"/>
    <s v="352"/>
    <x v="0"/>
    <s v="57-B12 | 4265 | 477|0"/>
  </r>
  <r>
    <x v="0"/>
    <s v="04-0169"/>
    <x v="0"/>
    <s v="425|0"/>
    <x v="1"/>
    <x v="28"/>
    <s v="4192"/>
    <n v="2549"/>
    <n v="6288"/>
    <n v="251.52"/>
    <n v="252"/>
    <x v="1"/>
    <s v="322"/>
    <x v="5"/>
    <s v="49-B13 | 4192 | 425|0"/>
  </r>
  <r>
    <x v="0"/>
    <s v="04-0169"/>
    <x v="0"/>
    <s v="430|0"/>
    <x v="1"/>
    <x v="29"/>
    <s v="126"/>
    <n v="2530"/>
    <n v="189"/>
    <n v="7.56"/>
    <n v="8"/>
    <x v="1"/>
    <s v="14"/>
    <x v="5"/>
    <s v="30-B14 | 126 | 430|0"/>
  </r>
  <r>
    <x v="0"/>
    <s v="04-0169"/>
    <x v="0"/>
    <s v="471|0"/>
    <x v="1"/>
    <x v="30"/>
    <s v="1663"/>
    <n v="2557"/>
    <n v="3326"/>
    <n v="133.04"/>
    <n v="133"/>
    <x v="0"/>
    <s v="352"/>
    <x v="0"/>
    <s v="57-B14 | 1663 | 471|0"/>
  </r>
  <r>
    <x v="0"/>
    <s v="04-0169"/>
    <x v="0"/>
    <s v="171|0"/>
    <x v="0"/>
    <x v="31"/>
    <s v="2707"/>
    <n v="2560"/>
    <n v="5414"/>
    <n v="216.56"/>
    <n v="217"/>
    <x v="0"/>
    <s v="353"/>
    <x v="3"/>
    <s v="60-C01-R | 2707 | 171|0"/>
  </r>
  <r>
    <x v="0"/>
    <s v="04-0169"/>
    <x v="0"/>
    <s v="168|0"/>
    <x v="0"/>
    <x v="32"/>
    <s v="2132"/>
    <n v="2560"/>
    <n v="4264"/>
    <n v="170.56"/>
    <n v="171"/>
    <x v="0"/>
    <s v="353"/>
    <x v="3"/>
    <s v="60-C02-R | 2132 | 168|0"/>
  </r>
  <r>
    <x v="0"/>
    <s v="04-0169"/>
    <x v="0"/>
    <s v="166|0"/>
    <x v="0"/>
    <x v="33"/>
    <s v="3333"/>
    <n v="2559"/>
    <n v="6666"/>
    <n v="266.64"/>
    <n v="267"/>
    <x v="0"/>
    <s v="353"/>
    <x v="3"/>
    <s v="59-C03-R | 3333 | 166|0"/>
  </r>
  <r>
    <x v="0"/>
    <s v="04-0169"/>
    <x v="0"/>
    <s v="161|0"/>
    <x v="0"/>
    <x v="34"/>
    <s v="2525"/>
    <n v="2559"/>
    <n v="5050"/>
    <n v="202"/>
    <n v="202"/>
    <x v="0"/>
    <s v="353"/>
    <x v="3"/>
    <s v="59-C04-R | 2525 | 161|0"/>
  </r>
  <r>
    <x v="0"/>
    <s v="04-0169"/>
    <x v="0"/>
    <s v="77|0"/>
    <x v="0"/>
    <x v="35"/>
    <s v="184"/>
    <n v="2522"/>
    <n v="276"/>
    <n v="11.04"/>
    <n v="11"/>
    <x v="1"/>
    <s v="278"/>
    <x v="5"/>
    <s v="22-C05-R | 184 | 77|0"/>
  </r>
  <r>
    <x v="0"/>
    <s v="04-0169"/>
    <x v="0"/>
    <s v="70|0"/>
    <x v="0"/>
    <x v="36"/>
    <s v="2792"/>
    <n v="2550"/>
    <n v="4188"/>
    <n v="167.52"/>
    <n v="168"/>
    <x v="1"/>
    <s v="310"/>
    <x v="2"/>
    <s v="50-C05-R | 2792 | 70|0"/>
  </r>
  <r>
    <x v="0"/>
    <s v="04-0169"/>
    <x v="0"/>
    <s v="165|0"/>
    <x v="0"/>
    <x v="37"/>
    <s v="720"/>
    <n v="2560"/>
    <n v="1440"/>
    <n v="57.6"/>
    <n v="58"/>
    <x v="0"/>
    <s v="353"/>
    <x v="3"/>
    <s v="60-C05-R | 720 | 165|0"/>
  </r>
  <r>
    <x v="0"/>
    <s v="04-0169"/>
    <x v="0"/>
    <s v="155|0"/>
    <x v="0"/>
    <x v="38"/>
    <s v="300"/>
    <n v="2557"/>
    <n v="600"/>
    <n v="24"/>
    <n v="24"/>
    <x v="0"/>
    <s v="392"/>
    <x v="0"/>
    <s v="57-C06 | 300 | 155|0"/>
  </r>
  <r>
    <x v="0"/>
    <s v="04-0169"/>
    <x v="0"/>
    <s v="160|0"/>
    <x v="0"/>
    <x v="39"/>
    <s v="2495"/>
    <n v="2557"/>
    <n v="4990"/>
    <n v="199.6"/>
    <n v="200"/>
    <x v="0"/>
    <s v="348"/>
    <x v="0"/>
    <s v="57-C06-R | 2495 | 160|0"/>
  </r>
  <r>
    <x v="0"/>
    <s v="04-0169"/>
    <x v="0"/>
    <s v="73|0"/>
    <x v="0"/>
    <x v="40"/>
    <s v="4202"/>
    <n v="2550"/>
    <n v="6303"/>
    <n v="252.12"/>
    <n v="252"/>
    <x v="1"/>
    <s v="310"/>
    <x v="2"/>
    <s v="50-C07-R | 4202 | 73|0"/>
  </r>
  <r>
    <x v="0"/>
    <s v="04-0169"/>
    <x v="0"/>
    <s v="167|0"/>
    <x v="0"/>
    <x v="41"/>
    <s v="2888"/>
    <n v="2559"/>
    <n v="5776"/>
    <n v="231.04"/>
    <n v="231"/>
    <x v="0"/>
    <s v="353"/>
    <x v="3"/>
    <s v="59-C08-R | 2888 | 167|0"/>
  </r>
  <r>
    <x v="0"/>
    <s v="04-0169"/>
    <x v="0"/>
    <s v="159|0"/>
    <x v="0"/>
    <x v="42"/>
    <s v="1905"/>
    <n v="2559"/>
    <n v="3810"/>
    <n v="152.4"/>
    <n v="152"/>
    <x v="0"/>
    <s v="353"/>
    <x v="3"/>
    <s v="59-C09-R | 1905 | 159|0"/>
  </r>
  <r>
    <x v="0"/>
    <s v="04-0169"/>
    <x v="0"/>
    <s v="164|0"/>
    <x v="0"/>
    <x v="43"/>
    <s v="3106"/>
    <n v="2556"/>
    <n v="6212"/>
    <n v="248.48"/>
    <n v="248"/>
    <x v="0"/>
    <s v="348"/>
    <x v="0"/>
    <s v="56-C10-R | 3106 | 164|0"/>
  </r>
  <r>
    <x v="0"/>
    <s v="04-0169"/>
    <x v="0"/>
    <s v="170|0"/>
    <x v="0"/>
    <x v="44"/>
    <s v="2291"/>
    <n v="2559"/>
    <n v="4582"/>
    <n v="183.28"/>
    <n v="183"/>
    <x v="0"/>
    <s v="353"/>
    <x v="3"/>
    <s v="59-C11-R | 2291 | 170|0"/>
  </r>
  <r>
    <x v="0"/>
    <s v="04-0169"/>
    <x v="0"/>
    <s v="254|0"/>
    <x v="0"/>
    <x v="45"/>
    <s v="2531"/>
    <n v="2565"/>
    <n v="5062"/>
    <n v="202.48"/>
    <n v="202"/>
    <x v="0"/>
    <s v="395"/>
    <x v="1"/>
    <s v="65-D01-R | 2531 | 254|0"/>
  </r>
  <r>
    <x v="0"/>
    <s v="04-0169"/>
    <x v="0"/>
    <s v="248|0"/>
    <x v="0"/>
    <x v="46"/>
    <s v="2853"/>
    <n v="2564"/>
    <n v="5706"/>
    <n v="228.24"/>
    <n v="228"/>
    <x v="0"/>
    <s v="395"/>
    <x v="1"/>
    <s v="64-D02-R | 2853 | 248|0"/>
  </r>
  <r>
    <x v="0"/>
    <s v="04-0169"/>
    <x v="0"/>
    <s v="251|0"/>
    <x v="0"/>
    <x v="47"/>
    <s v="2803"/>
    <n v="2565"/>
    <n v="5606"/>
    <n v="224.24"/>
    <n v="224"/>
    <x v="0"/>
    <s v="395"/>
    <x v="1"/>
    <s v="65-D03-R | 2803 | 251|0"/>
  </r>
  <r>
    <x v="0"/>
    <s v="04-0169"/>
    <x v="0"/>
    <s v="253|0"/>
    <x v="0"/>
    <x v="48"/>
    <s v="2819"/>
    <n v="2565"/>
    <n v="5638"/>
    <n v="225.52"/>
    <n v="226"/>
    <x v="0"/>
    <s v="395"/>
    <x v="1"/>
    <s v="65-D04-R | 2819 | 253|0"/>
  </r>
  <r>
    <x v="0"/>
    <s v="04-0169"/>
    <x v="0"/>
    <s v="249|0"/>
    <x v="0"/>
    <x v="49"/>
    <s v="2687"/>
    <n v="2565"/>
    <n v="5374"/>
    <n v="214.96"/>
    <n v="215"/>
    <x v="0"/>
    <s v="395"/>
    <x v="1"/>
    <s v="65-D05-R | 2687 | 249|0"/>
  </r>
  <r>
    <x v="0"/>
    <s v="04-0169"/>
    <x v="0"/>
    <s v="350|0"/>
    <x v="0"/>
    <x v="50"/>
    <s v="2865"/>
    <n v="2567"/>
    <n v="2865"/>
    <n v="114.6"/>
    <n v="115"/>
    <x v="2"/>
    <s v="375"/>
    <x v="6"/>
    <s v="67-D06-R | 2865 | 350|0"/>
  </r>
  <r>
    <x v="0"/>
    <s v="04-0169"/>
    <x v="0"/>
    <s v="163|0"/>
    <x v="0"/>
    <x v="51"/>
    <s v="3931"/>
    <n v="2556"/>
    <n v="7862"/>
    <n v="314.48"/>
    <n v="314"/>
    <x v="0"/>
    <s v="349"/>
    <x v="0"/>
    <s v="56-D07-R | 3931 | 163|0"/>
  </r>
  <r>
    <x v="0"/>
    <s v="04-0169"/>
    <x v="0"/>
    <s v="255|0"/>
    <x v="0"/>
    <x v="52"/>
    <s v="2365"/>
    <n v="2563"/>
    <n v="4730"/>
    <n v="189.2"/>
    <n v="189"/>
    <x v="0"/>
    <s v="395"/>
    <x v="1"/>
    <s v="63-D08-R | 2365 | 255|0"/>
  </r>
  <r>
    <x v="0"/>
    <s v="04-0169"/>
    <x v="0"/>
    <s v="318|0"/>
    <x v="0"/>
    <x v="53"/>
    <s v="2999"/>
    <n v="2566"/>
    <n v="2999"/>
    <n v="119.96"/>
    <n v="120"/>
    <x v="2"/>
    <s v="363"/>
    <x v="7"/>
    <s v="66-D09-R | 2999 | 318|0"/>
  </r>
  <r>
    <x v="0"/>
    <s v="04-0169"/>
    <x v="0"/>
    <s v="351|0"/>
    <x v="0"/>
    <x v="54"/>
    <s v="2167"/>
    <n v="2567"/>
    <n v="2167"/>
    <n v="86.68"/>
    <n v="87"/>
    <x v="2"/>
    <s v="374"/>
    <x v="6"/>
    <s v="67-P01-R | 2167 | 351|0"/>
  </r>
  <r>
    <x v="0"/>
    <s v="04-0169"/>
    <x v="0"/>
    <s v="352|0"/>
    <x v="0"/>
    <x v="55"/>
    <s v="2320"/>
    <n v="2567"/>
    <n v="2320"/>
    <n v="92.8"/>
    <n v="93"/>
    <x v="2"/>
    <s v="374"/>
    <x v="6"/>
    <s v="67-P02-R | 2320 | 352|0"/>
  </r>
  <r>
    <x v="0"/>
    <s v="04-0169"/>
    <x v="0"/>
    <s v="315|0"/>
    <x v="0"/>
    <x v="56"/>
    <s v="2550"/>
    <n v="2566"/>
    <n v="2550"/>
    <n v="102"/>
    <n v="102"/>
    <x v="2"/>
    <s v="362"/>
    <x v="7"/>
    <s v="66-P03-R | 2550 | 315|0"/>
  </r>
  <r>
    <x v="0"/>
    <s v="04-0169"/>
    <x v="0"/>
    <s v="319|0"/>
    <x v="0"/>
    <x v="57"/>
    <s v="2854"/>
    <n v="2566"/>
    <n v="2854"/>
    <n v="114.16"/>
    <n v="114"/>
    <x v="2"/>
    <s v="362"/>
    <x v="7"/>
    <s v="66-P04-R | 2854 | 319|0"/>
  </r>
  <r>
    <x v="0"/>
    <s v="04-0169"/>
    <x v="0"/>
    <s v="317|0"/>
    <x v="0"/>
    <x v="58"/>
    <s v="3111"/>
    <n v="2566"/>
    <n v="3111"/>
    <n v="124.44"/>
    <n v="124"/>
    <x v="2"/>
    <s v="362"/>
    <x v="7"/>
    <s v="66-P05-R | 3111 | 317|0"/>
  </r>
  <r>
    <x v="0"/>
    <s v="04-0169"/>
    <x v="0"/>
    <s v="256|0"/>
    <x v="0"/>
    <x v="59"/>
    <s v="2886"/>
    <n v="2564"/>
    <n v="5772"/>
    <n v="230.88"/>
    <n v="231"/>
    <x v="0"/>
    <s v="383"/>
    <x v="1"/>
    <s v="64-P06-R | 2886 | 256|0"/>
  </r>
  <r>
    <x v="0"/>
    <s v="04-0169"/>
    <x v="0"/>
    <s v="76|0"/>
    <x v="0"/>
    <x v="60"/>
    <s v="152"/>
    <n v="2551"/>
    <n v="228"/>
    <n v="9.1199999999999992"/>
    <n v="9"/>
    <x v="1"/>
    <s v="393"/>
    <x v="2"/>
    <s v="51-P07 | 152 | 76|0"/>
  </r>
  <r>
    <x v="0"/>
    <s v="04-0169"/>
    <x v="0"/>
    <s v="68|0"/>
    <x v="0"/>
    <x v="61"/>
    <s v="401"/>
    <n v="2551"/>
    <n v="601.5"/>
    <n v="24.06"/>
    <n v="24"/>
    <x v="1"/>
    <s v="312"/>
    <x v="2"/>
    <s v="51-P07-R | 401 | 68|0"/>
  </r>
  <r>
    <x v="0"/>
    <s v="04-0169"/>
    <x v="0"/>
    <s v="246|0"/>
    <x v="0"/>
    <x v="62"/>
    <s v="2579"/>
    <n v="2564"/>
    <n v="5158"/>
    <n v="206.32"/>
    <n v="206"/>
    <x v="0"/>
    <s v="383"/>
    <x v="1"/>
    <s v="64-P07-R | 2579 | 246|0"/>
  </r>
  <r>
    <x v="0"/>
    <s v="04-0169"/>
    <x v="0"/>
    <s v="250|0"/>
    <x v="0"/>
    <x v="63"/>
    <s v="3402"/>
    <n v="2564"/>
    <n v="6804"/>
    <n v="272.16000000000003"/>
    <n v="272"/>
    <x v="0"/>
    <s v="383"/>
    <x v="1"/>
    <s v="64-P08-R | 3402 | 250|0"/>
  </r>
  <r>
    <x v="0"/>
    <s v="04-0169"/>
    <x v="0"/>
    <s v="258|0"/>
    <x v="0"/>
    <x v="64"/>
    <s v="2192"/>
    <n v="2564"/>
    <n v="4384"/>
    <n v="175.36"/>
    <n v="175"/>
    <x v="0"/>
    <s v="383"/>
    <x v="1"/>
    <s v="64-P09-R | 2192 | 258|0"/>
  </r>
  <r>
    <x v="0"/>
    <s v="04-0169"/>
    <x v="0"/>
    <s v="376|0"/>
    <x v="0"/>
    <x v="65"/>
    <s v="1892"/>
    <n v="2568"/>
    <n v="946"/>
    <n v="37.840000000000003"/>
    <n v="38"/>
    <x v="3"/>
    <s v="390"/>
    <x v="8"/>
    <s v="68-PU1 | 1892 | 376|0"/>
  </r>
  <r>
    <x v="0"/>
    <s v="04-0169"/>
    <x v="0"/>
    <s v="316|0"/>
    <x v="0"/>
    <x v="66"/>
    <s v="1970"/>
    <n v="2566"/>
    <n v="1970"/>
    <n v="78.8"/>
    <n v="79"/>
    <x v="2"/>
    <s v="368"/>
    <x v="7"/>
    <s v="66-PU2 | 1970 | 316|0"/>
  </r>
  <r>
    <x v="0"/>
    <s v="04-0169"/>
    <x v="0"/>
    <s v="374|0"/>
    <x v="0"/>
    <x v="67"/>
    <s v="1686"/>
    <n v="2568"/>
    <n v="843"/>
    <n v="33.72"/>
    <n v="34"/>
    <x v="3"/>
    <s v="390"/>
    <x v="8"/>
    <s v="68-PU3 | 1686 | 374|0"/>
  </r>
  <r>
    <x v="0"/>
    <s v="04-0169"/>
    <x v="0"/>
    <s v="375|0"/>
    <x v="0"/>
    <x v="68"/>
    <s v="1380"/>
    <n v="2568"/>
    <n v="690"/>
    <n v="27.6"/>
    <n v="28"/>
    <x v="3"/>
    <s v="390"/>
    <x v="8"/>
    <s v="68-PU4 | 1380 | 375|0"/>
  </r>
  <r>
    <x v="0"/>
    <s v="04-0169"/>
    <x v="0"/>
    <s v="380|0"/>
    <x v="0"/>
    <x v="69"/>
    <s v="751"/>
    <n v="2568"/>
    <n v="375.5"/>
    <n v="15.02"/>
    <n v="15"/>
    <x v="3"/>
    <s v="394"/>
    <x v="8"/>
    <s v="68-PU5 | 751 | 380|0"/>
  </r>
  <r>
    <x v="0"/>
    <s v="04-0169"/>
    <x v="0"/>
    <s v="378|0"/>
    <x v="0"/>
    <x v="70"/>
    <s v="1168"/>
    <n v="2568"/>
    <n v="584"/>
    <n v="23.36"/>
    <n v="23"/>
    <x v="3"/>
    <s v="389"/>
    <x v="8"/>
    <s v="68-PU5-R | 1168 | 378|0"/>
  </r>
  <r>
    <x v="0"/>
    <s v="04-0169"/>
    <x v="0"/>
    <s v="379|0"/>
    <x v="0"/>
    <x v="71"/>
    <s v="145"/>
    <n v="2568"/>
    <n v="72.5"/>
    <n v="2.9"/>
    <n v="3"/>
    <x v="3"/>
    <s v="394"/>
    <x v="8"/>
    <s v="68-PU6 | 145 | 379|0"/>
  </r>
  <r>
    <x v="0"/>
    <s v="04-0169"/>
    <x v="0"/>
    <s v="377|0"/>
    <x v="0"/>
    <x v="72"/>
    <s v="1547"/>
    <n v="2568"/>
    <n v="773.5"/>
    <n v="30.94"/>
    <n v="31"/>
    <x v="3"/>
    <s v="389"/>
    <x v="8"/>
    <s v="68-PU6-R | 1547 | 377|0"/>
  </r>
  <r>
    <x v="0"/>
    <s v="04-0169"/>
    <x v="0"/>
    <s v="657|0"/>
    <x v="1"/>
    <x v="73"/>
    <s v="3171"/>
    <n v="2568"/>
    <n v="1585.5"/>
    <n v="63.42"/>
    <n v="63"/>
    <x v="3"/>
    <s v="388"/>
    <x v="8"/>
    <s v="68-T01 | 3171 | 657|0"/>
  </r>
  <r>
    <x v="0"/>
    <s v="04-0169"/>
    <x v="0"/>
    <s v="656|0"/>
    <x v="1"/>
    <x v="74"/>
    <s v="2950"/>
    <n v="2568"/>
    <n v="1475"/>
    <n v="59"/>
    <n v="59"/>
    <x v="3"/>
    <s v="388"/>
    <x v="8"/>
    <s v="68-T02 | 2950 | 656|0"/>
  </r>
  <r>
    <x v="0"/>
    <s v="04-0169"/>
    <x v="0"/>
    <s v="588|0"/>
    <x v="1"/>
    <x v="75"/>
    <s v="2449"/>
    <n v="2566"/>
    <n v="2449"/>
    <n v="97.96"/>
    <n v="98"/>
    <x v="2"/>
    <s v="364"/>
    <x v="7"/>
    <s v="66-T03 | 2449 | 588|0"/>
  </r>
  <r>
    <x v="0"/>
    <s v="04-0169"/>
    <x v="0"/>
    <s v="591|0"/>
    <x v="1"/>
    <x v="76"/>
    <s v="2014"/>
    <n v="2566"/>
    <n v="2014"/>
    <n v="80.56"/>
    <n v="81"/>
    <x v="2"/>
    <s v="364"/>
    <x v="7"/>
    <s v="66-T04 | 2014 | 591|0"/>
  </r>
  <r>
    <x v="0"/>
    <s v="04-0169"/>
    <x v="0"/>
    <s v="548|0"/>
    <x v="1"/>
    <x v="77"/>
    <s v="3037"/>
    <n v="2563"/>
    <n v="6074"/>
    <n v="242.96"/>
    <n v="243"/>
    <x v="0"/>
    <s v="385"/>
    <x v="1"/>
    <s v="63-T05-R | 3037 | 548|0"/>
  </r>
  <r>
    <x v="0"/>
    <s v="04-0169"/>
    <x v="0"/>
    <s v="589|0"/>
    <x v="1"/>
    <x v="78"/>
    <s v="2898"/>
    <n v="2566"/>
    <n v="2898"/>
    <n v="115.92"/>
    <n v="116"/>
    <x v="2"/>
    <s v="364"/>
    <x v="7"/>
    <s v="66-T06 | 2898 | 589|0"/>
  </r>
  <r>
    <x v="0"/>
    <s v="04-0169"/>
    <x v="0"/>
    <s v="590|0"/>
    <x v="1"/>
    <x v="79"/>
    <s v="2364"/>
    <n v="2566"/>
    <n v="2364"/>
    <n v="94.56"/>
    <n v="95"/>
    <x v="2"/>
    <s v="364"/>
    <x v="7"/>
    <s v="66-T07 | 2364 | 590|0"/>
  </r>
  <r>
    <x v="0"/>
    <s v="04-0169"/>
    <x v="0"/>
    <s v="470|0"/>
    <x v="1"/>
    <x v="80"/>
    <s v="213"/>
    <n v="2556"/>
    <n v="426"/>
    <n v="17.04"/>
    <n v="17"/>
    <x v="0"/>
    <s v="351"/>
    <x v="0"/>
    <s v="56-T08 | 213 | 470|0"/>
  </r>
  <r>
    <x v="0"/>
    <s v="04-0169"/>
    <x v="0"/>
    <s v="468|0"/>
    <x v="1"/>
    <x v="81"/>
    <s v="2816"/>
    <n v="2556"/>
    <n v="5632"/>
    <n v="225.28"/>
    <n v="225"/>
    <x v="0"/>
    <s v="350"/>
    <x v="0"/>
    <s v="56-T08-R | 2816 | 468|0"/>
  </r>
  <r>
    <x v="0"/>
    <s v="04-0169"/>
    <x v="0"/>
    <s v="475|0"/>
    <x v="1"/>
    <x v="82"/>
    <s v="2934"/>
    <n v="2558"/>
    <n v="5868"/>
    <n v="234.72"/>
    <n v="235"/>
    <x v="0"/>
    <s v="350"/>
    <x v="0"/>
    <s v="58-T09-R | 2934 | 475|0"/>
  </r>
  <r>
    <x v="0"/>
    <s v="04-0169"/>
    <x v="0"/>
    <s v="424|0"/>
    <x v="1"/>
    <x v="83"/>
    <s v="2872"/>
    <n v="2550"/>
    <n v="4308"/>
    <n v="172.32"/>
    <n v="172"/>
    <x v="1"/>
    <s v="320"/>
    <x v="2"/>
    <s v="50-T10-R | 2872 | 424|0"/>
  </r>
  <r>
    <x v="0"/>
    <s v="04-0169"/>
    <x v="0"/>
    <s v="618|0"/>
    <x v="1"/>
    <x v="84"/>
    <s v="61"/>
    <n v="2567"/>
    <n v="61"/>
    <n v="2.44"/>
    <n v="2"/>
    <x v="2"/>
    <s v="379"/>
    <x v="6"/>
    <s v="67-T10 | 61 | 618|0"/>
  </r>
  <r>
    <x v="0"/>
    <s v="04-0169"/>
    <x v="0"/>
    <s v="474|0"/>
    <x v="1"/>
    <x v="85"/>
    <s v="2903"/>
    <n v="2558"/>
    <n v="5806"/>
    <n v="232.24"/>
    <n v="232"/>
    <x v="0"/>
    <s v="350"/>
    <x v="0"/>
    <s v="58-T11-R | 2903 | 474|0"/>
  </r>
  <r>
    <x v="0"/>
    <s v="04-0169"/>
    <x v="0"/>
    <s v="431|0"/>
    <x v="1"/>
    <x v="86"/>
    <s v="3030"/>
    <n v="2550"/>
    <n v="4545"/>
    <n v="181.8"/>
    <n v="182"/>
    <x v="1"/>
    <s v="320"/>
    <x v="2"/>
    <s v="50-T12-R | 3030 | 431|0"/>
  </r>
  <r>
    <x v="0"/>
    <s v="04-0169"/>
    <x v="0"/>
    <s v="479|0"/>
    <x v="1"/>
    <x v="87"/>
    <s v="2864"/>
    <n v="2558"/>
    <n v="5728"/>
    <n v="229.12"/>
    <n v="229"/>
    <x v="0"/>
    <s v="350"/>
    <x v="0"/>
    <s v="58-T13-R | 2864 | 479|0"/>
  </r>
  <r>
    <x v="0"/>
    <s v="04-0169"/>
    <x v="0"/>
    <s v="427|0"/>
    <x v="1"/>
    <x v="88"/>
    <s v="112"/>
    <n v="2549"/>
    <n v="168"/>
    <n v="6.72"/>
    <n v="7"/>
    <x v="1"/>
    <s v="320"/>
    <x v="2"/>
    <s v="49-T16-R | 112 | 427|0"/>
  </r>
  <r>
    <x v="0"/>
    <s v="04-0169"/>
    <x v="0"/>
    <s v="482|0"/>
    <x v="1"/>
    <x v="89"/>
    <s v="2825"/>
    <n v="2558"/>
    <n v="5650"/>
    <n v="226"/>
    <n v="226"/>
    <x v="0"/>
    <s v="350"/>
    <x v="0"/>
    <s v="58-T17-R | 2825 | 482|0"/>
  </r>
  <r>
    <x v="0"/>
    <s v="04-0169"/>
    <x v="0"/>
    <s v="473|0"/>
    <x v="1"/>
    <x v="90"/>
    <s v="2843"/>
    <n v="2558"/>
    <n v="5686"/>
    <n v="227.44"/>
    <n v="227"/>
    <x v="0"/>
    <s v="350"/>
    <x v="0"/>
    <s v="58-T18-R | 2843 | 473|0"/>
  </r>
  <r>
    <x v="0"/>
    <s v="04-0169"/>
    <x v="0"/>
    <s v="619|0"/>
    <x v="1"/>
    <x v="91"/>
    <s v="171"/>
    <n v="2567"/>
    <n v="171"/>
    <n v="6.84"/>
    <n v="7"/>
    <x v="2"/>
    <s v="379"/>
    <x v="6"/>
    <s v="67-T18 | 171 | 619|0"/>
  </r>
  <r>
    <x v="0"/>
    <s v="04-0169"/>
    <x v="0"/>
    <s v="472|0"/>
    <x v="1"/>
    <x v="92"/>
    <s v="3199"/>
    <n v="2556"/>
    <n v="6398"/>
    <n v="255.92"/>
    <n v="256"/>
    <x v="0"/>
    <s v="350"/>
    <x v="0"/>
    <s v="56-T19-R | 3199 | 472|0"/>
  </r>
  <r>
    <x v="0"/>
    <s v="04-0169"/>
    <x v="0"/>
    <s v="428|0"/>
    <x v="1"/>
    <x v="93"/>
    <s v="2833"/>
    <n v="2549"/>
    <n v="4249.5"/>
    <n v="169.98"/>
    <n v="170"/>
    <x v="1"/>
    <s v="320"/>
    <x v="2"/>
    <s v="49-T20-R | 2833 | 428|0"/>
  </r>
  <r>
    <x v="0"/>
    <s v="04-0169"/>
    <x v="0"/>
    <s v="478|0"/>
    <x v="1"/>
    <x v="94"/>
    <s v="3015"/>
    <n v="2556"/>
    <n v="6030"/>
    <n v="241.2"/>
    <n v="241"/>
    <x v="0"/>
    <s v="350"/>
    <x v="0"/>
    <s v="56-T21-R | 3015 | 478|0"/>
  </r>
  <r>
    <x v="0"/>
    <s v="04-0169"/>
    <x v="0"/>
    <s v="616|0"/>
    <x v="1"/>
    <x v="95"/>
    <s v="241"/>
    <n v="2567"/>
    <n v="241"/>
    <n v="9.64"/>
    <n v="10"/>
    <x v="2"/>
    <s v="379"/>
    <x v="6"/>
    <s v="67-T21 | 241 | 616|0"/>
  </r>
  <r>
    <x v="0"/>
    <s v="04-0169"/>
    <x v="0"/>
    <s v="551|0"/>
    <x v="1"/>
    <x v="96"/>
    <s v="842"/>
    <n v="2563"/>
    <n v="1684"/>
    <n v="67.36"/>
    <n v="67"/>
    <x v="0"/>
    <s v="385"/>
    <x v="1"/>
    <s v="63-T22-R | 842 | 551|0"/>
  </r>
  <r>
    <x v="0"/>
    <s v="04-0169"/>
    <x v="0"/>
    <s v="552|0"/>
    <x v="1"/>
    <x v="97"/>
    <s v="844"/>
    <n v="2563"/>
    <n v="1688"/>
    <n v="67.52"/>
    <n v="68"/>
    <x v="0"/>
    <s v="385"/>
    <x v="1"/>
    <s v="63-T23-R | 844 | 552|0"/>
  </r>
  <r>
    <x v="0"/>
    <s v="04-0169"/>
    <x v="0"/>
    <s v="423|0"/>
    <x v="1"/>
    <x v="98"/>
    <s v="92"/>
    <n v="2552"/>
    <n v="138"/>
    <n v="5.52"/>
    <n v="6"/>
    <x v="1"/>
    <s v="320"/>
    <x v="2"/>
    <s v="52-T28-R | 92 | 423|0"/>
  </r>
  <r>
    <x v="0"/>
    <s v="04-0169"/>
    <x v="0"/>
    <s v="481|0"/>
    <x v="1"/>
    <x v="99"/>
    <s v="1403"/>
    <n v="2556"/>
    <n v="2806"/>
    <n v="112.24"/>
    <n v="112"/>
    <x v="0"/>
    <s v="350"/>
    <x v="0"/>
    <s v="56-T28-R | 1403 | 481|0"/>
  </r>
  <r>
    <x v="0"/>
    <s v="04-0169"/>
    <x v="0"/>
    <s v="620|0"/>
    <x v="1"/>
    <x v="100"/>
    <s v="3070"/>
    <n v="2567"/>
    <n v="3070"/>
    <n v="122.8"/>
    <n v="123"/>
    <x v="2"/>
    <s v="376"/>
    <x v="6"/>
    <s v="67-T29 | 3070 | 620|0"/>
  </r>
  <r>
    <x v="0"/>
    <s v="04-0169"/>
    <x v="0"/>
    <s v="617|0"/>
    <x v="1"/>
    <x v="101"/>
    <s v="3270"/>
    <n v="2567"/>
    <n v="3270"/>
    <n v="130.80000000000001"/>
    <n v="131"/>
    <x v="2"/>
    <s v="376"/>
    <x v="6"/>
    <s v="67-T30 | 3270 | 617|0"/>
  </r>
  <r>
    <x v="1"/>
    <s v="04-0030"/>
    <x v="1"/>
    <s v="190|0"/>
    <x v="0"/>
    <x v="0"/>
    <s v="1950"/>
    <n v="2556"/>
    <n v="3900"/>
    <n v="78"/>
    <n v="78"/>
    <x v="0"/>
    <s v="347"/>
    <x v="0"/>
    <s v="56-A01 | 1950 | 190|0"/>
  </r>
  <r>
    <x v="1"/>
    <s v="04-0030"/>
    <x v="1"/>
    <s v="688|0"/>
    <x v="0"/>
    <x v="1"/>
    <s v="534"/>
    <n v="2563"/>
    <n v="1068"/>
    <n v="21.36"/>
    <n v="21"/>
    <x v="0"/>
    <s v="381"/>
    <x v="1"/>
    <s v="63-A01-R | 534 | 688|0"/>
  </r>
  <r>
    <x v="1"/>
    <s v="04-0030"/>
    <x v="1"/>
    <s v="180|0"/>
    <x v="0"/>
    <x v="2"/>
    <s v="3835"/>
    <n v="2556"/>
    <n v="7670"/>
    <n v="153.4"/>
    <n v="153"/>
    <x v="0"/>
    <s v="347"/>
    <x v="0"/>
    <s v="56-A02 | 3835 | 180|0"/>
  </r>
  <r>
    <x v="1"/>
    <s v="04-0030"/>
    <x v="1"/>
    <s v="174|0"/>
    <x v="0"/>
    <x v="3"/>
    <s v="2119"/>
    <n v="2556"/>
    <n v="4238"/>
    <n v="84.76"/>
    <n v="85"/>
    <x v="0"/>
    <s v="346"/>
    <x v="0"/>
    <s v="56-A03-R | 2119 | 174|0"/>
  </r>
  <r>
    <x v="1"/>
    <s v="04-0030"/>
    <x v="1"/>
    <s v="689|0"/>
    <x v="0"/>
    <x v="4"/>
    <s v="980"/>
    <n v="2563"/>
    <n v="1960"/>
    <n v="39.200000000000003"/>
    <n v="39"/>
    <x v="0"/>
    <s v="381"/>
    <x v="1"/>
    <s v="63-A03-R | 980 | 689|0"/>
  </r>
  <r>
    <x v="1"/>
    <s v="04-0030"/>
    <x v="1"/>
    <s v="93|0"/>
    <x v="0"/>
    <x v="5"/>
    <s v="4864"/>
    <n v="2550"/>
    <n v="7296"/>
    <n v="145.91999999999999"/>
    <n v="146"/>
    <x v="1"/>
    <s v="315"/>
    <x v="2"/>
    <s v="50-A04 | 4864 | 93|0"/>
  </r>
  <r>
    <x v="1"/>
    <s v="04-0030"/>
    <x v="1"/>
    <s v="89|0"/>
    <x v="0"/>
    <x v="6"/>
    <s v="4608"/>
    <n v="2550"/>
    <n v="6912"/>
    <n v="138.24"/>
    <n v="138"/>
    <x v="1"/>
    <s v="315"/>
    <x v="2"/>
    <s v="50-A05 | 4608 | 89|0"/>
  </r>
  <r>
    <x v="1"/>
    <s v="04-0030"/>
    <x v="1"/>
    <s v="176|0"/>
    <x v="0"/>
    <x v="7"/>
    <s v="3259"/>
    <n v="2560"/>
    <n v="6518"/>
    <n v="130.36000000000001"/>
    <n v="130"/>
    <x v="0"/>
    <s v="354"/>
    <x v="3"/>
    <s v="60-A06 | 3259 | 176|0"/>
  </r>
  <r>
    <x v="1"/>
    <s v="04-0030"/>
    <x v="1"/>
    <s v="266|0"/>
    <x v="0"/>
    <x v="8"/>
    <s v="2388"/>
    <n v="2563"/>
    <n v="4776"/>
    <n v="95.52"/>
    <n v="96"/>
    <x v="0"/>
    <s v="382"/>
    <x v="1"/>
    <s v="63-A07 | 2388 | 266|0"/>
  </r>
  <r>
    <x v="1"/>
    <s v="04-0030"/>
    <x v="1"/>
    <s v="261|0"/>
    <x v="0"/>
    <x v="9"/>
    <s v="309"/>
    <n v="2563"/>
    <n v="618"/>
    <n v="12.36"/>
    <n v="12"/>
    <x v="0"/>
    <s v="381"/>
    <x v="1"/>
    <s v="63-A07-R | 309 | 261|0"/>
  </r>
  <r>
    <x v="1"/>
    <s v="04-0030"/>
    <x v="1"/>
    <s v="175|0"/>
    <x v="0"/>
    <x v="10"/>
    <s v="4308"/>
    <n v="2557"/>
    <n v="8616"/>
    <n v="172.32"/>
    <n v="172"/>
    <x v="0"/>
    <s v="346"/>
    <x v="0"/>
    <s v="57-A08-R | 4308 | 175|0"/>
  </r>
  <r>
    <x v="1"/>
    <s v="04-0030"/>
    <x v="1"/>
    <s v="187|0"/>
    <x v="0"/>
    <x v="11"/>
    <s v="3861"/>
    <n v="2557"/>
    <n v="7722"/>
    <n v="154.44"/>
    <n v="154"/>
    <x v="0"/>
    <s v="346"/>
    <x v="0"/>
    <s v="57-A09-R | 3861 | 187|0"/>
  </r>
  <r>
    <x v="1"/>
    <s v="04-0030"/>
    <x v="1"/>
    <s v="94|0"/>
    <x v="0"/>
    <x v="12"/>
    <s v="2785"/>
    <n v="2549"/>
    <n v="4177.5"/>
    <n v="83.55"/>
    <n v="84"/>
    <x v="1"/>
    <s v="317"/>
    <x v="2"/>
    <s v="49-A10-R | 2785 | 94|0"/>
  </r>
  <r>
    <x v="1"/>
    <s v="04-0030"/>
    <x v="1"/>
    <s v="91|0"/>
    <x v="0"/>
    <x v="13"/>
    <s v="2421"/>
    <n v="2549"/>
    <n v="3631.5"/>
    <n v="72.63"/>
    <n v="73"/>
    <x v="1"/>
    <s v="317"/>
    <x v="2"/>
    <s v="49-A11-R | 2421 | 91|0"/>
  </r>
  <r>
    <x v="1"/>
    <s v="04-0030"/>
    <x v="1"/>
    <s v="96|0"/>
    <x v="0"/>
    <x v="14"/>
    <s v="3764"/>
    <n v="2549"/>
    <n v="5646"/>
    <n v="112.92"/>
    <n v="113"/>
    <x v="1"/>
    <s v="317"/>
    <x v="2"/>
    <s v="49-A12-R | 3764 | 96|0"/>
  </r>
  <r>
    <x v="1"/>
    <s v="04-0030"/>
    <x v="1"/>
    <s v="97|0"/>
    <x v="0"/>
    <x v="15"/>
    <s v="2893"/>
    <n v="2549"/>
    <n v="4339.5"/>
    <n v="86.79"/>
    <n v="87"/>
    <x v="1"/>
    <s v="317"/>
    <x v="2"/>
    <s v="49-A13-R | 2893 | 97|0"/>
  </r>
  <r>
    <x v="1"/>
    <s v="04-0030"/>
    <x v="1"/>
    <s v="557|0"/>
    <x v="1"/>
    <x v="16"/>
    <s v="2868"/>
    <n v="2565"/>
    <n v="5736"/>
    <n v="114.72"/>
    <n v="115"/>
    <x v="0"/>
    <s v="396"/>
    <x v="1"/>
    <s v="65-B01 | 2868 | 557|0"/>
  </r>
  <r>
    <x v="1"/>
    <s v="04-0030"/>
    <x v="1"/>
    <s v="562|0"/>
    <x v="1"/>
    <x v="17"/>
    <s v="3480"/>
    <n v="2564"/>
    <n v="6960"/>
    <n v="139.19999999999999"/>
    <n v="139"/>
    <x v="0"/>
    <s v="396"/>
    <x v="4"/>
    <s v="64-B02 | 3480 | 562|0"/>
  </r>
  <r>
    <x v="1"/>
    <s v="04-0030"/>
    <x v="1"/>
    <s v="492|0"/>
    <x v="1"/>
    <x v="18"/>
    <s v="4231"/>
    <n v="2557"/>
    <n v="8462"/>
    <n v="169.24"/>
    <n v="169"/>
    <x v="0"/>
    <s v="352"/>
    <x v="0"/>
    <s v="57-B03 | 4231 | 492|0"/>
  </r>
  <r>
    <x v="1"/>
    <s v="04-0030"/>
    <x v="1"/>
    <s v="499|0"/>
    <x v="1"/>
    <x v="19"/>
    <s v="3851"/>
    <n v="2560"/>
    <n v="7702"/>
    <n v="154.04"/>
    <n v="154"/>
    <x v="0"/>
    <s v="355"/>
    <x v="3"/>
    <s v="60-B04 | 3851 | 499|0"/>
  </r>
  <r>
    <x v="1"/>
    <s v="04-0030"/>
    <x v="1"/>
    <s v="558|0"/>
    <x v="1"/>
    <x v="20"/>
    <s v="3140"/>
    <n v="2564"/>
    <n v="6280"/>
    <n v="125.6"/>
    <n v="126"/>
    <x v="0"/>
    <s v="396"/>
    <x v="4"/>
    <s v="64-B05 | 3140 | 558|0"/>
  </r>
  <r>
    <x v="1"/>
    <s v="04-0030"/>
    <x v="1"/>
    <s v="561|0"/>
    <x v="1"/>
    <x v="21"/>
    <s v="3671"/>
    <n v="2564"/>
    <n v="7342"/>
    <n v="146.84"/>
    <n v="147"/>
    <x v="0"/>
    <s v="396"/>
    <x v="4"/>
    <s v="64-B06 | 3671 | 561|0"/>
  </r>
  <r>
    <x v="1"/>
    <s v="04-0030"/>
    <x v="1"/>
    <s v="438|0"/>
    <x v="1"/>
    <x v="22"/>
    <s v="4022"/>
    <n v="2550"/>
    <n v="6033"/>
    <n v="120.66"/>
    <n v="121"/>
    <x v="1"/>
    <s v="322"/>
    <x v="2"/>
    <s v="50-B07 | 4022 | 438|0"/>
  </r>
  <r>
    <x v="1"/>
    <s v="04-0030"/>
    <x v="1"/>
    <s v="496|0"/>
    <x v="1"/>
    <x v="23"/>
    <s v="3476"/>
    <n v="2560"/>
    <n v="6952"/>
    <n v="139.04"/>
    <n v="139"/>
    <x v="0"/>
    <s v="355"/>
    <x v="3"/>
    <s v="60-B08 | 3476 | 496|0"/>
  </r>
  <r>
    <x v="1"/>
    <s v="04-0030"/>
    <x v="1"/>
    <s v="485|0"/>
    <x v="1"/>
    <x v="24"/>
    <s v="4127"/>
    <n v="2560"/>
    <n v="8254"/>
    <n v="165.08"/>
    <n v="165"/>
    <x v="0"/>
    <s v="355"/>
    <x v="3"/>
    <s v="60-B09 | 4127 | 485|0"/>
  </r>
  <r>
    <x v="1"/>
    <s v="04-0030"/>
    <x v="1"/>
    <s v="435|0"/>
    <x v="1"/>
    <x v="25"/>
    <s v="4245"/>
    <n v="2550"/>
    <n v="6367.5"/>
    <n v="127.35"/>
    <n v="127"/>
    <x v="1"/>
    <s v="322"/>
    <x v="2"/>
    <s v="50-B10 | 4245 | 435|0"/>
  </r>
  <r>
    <x v="1"/>
    <s v="04-0030"/>
    <x v="1"/>
    <s v="563|0"/>
    <x v="1"/>
    <x v="26"/>
    <s v="3193"/>
    <n v="2565"/>
    <n v="6386"/>
    <n v="127.72"/>
    <n v="128"/>
    <x v="0"/>
    <s v="396"/>
    <x v="1"/>
    <s v="65-B11 | 3193 | 563|0"/>
  </r>
  <r>
    <x v="1"/>
    <s v="04-0030"/>
    <x v="1"/>
    <s v="493|0"/>
    <x v="1"/>
    <x v="27"/>
    <s v="4265"/>
    <n v="2557"/>
    <n v="8530"/>
    <n v="170.6"/>
    <n v="171"/>
    <x v="0"/>
    <s v="352"/>
    <x v="0"/>
    <s v="57-B12 | 4265 | 493|0"/>
  </r>
  <r>
    <x v="1"/>
    <s v="04-0030"/>
    <x v="1"/>
    <s v="434|0"/>
    <x v="1"/>
    <x v="28"/>
    <s v="4192"/>
    <n v="2549"/>
    <n v="6288"/>
    <n v="125.76"/>
    <n v="126"/>
    <x v="1"/>
    <s v="322"/>
    <x v="5"/>
    <s v="49-B13 | 4192 | 434|0"/>
  </r>
  <r>
    <x v="1"/>
    <s v="04-0030"/>
    <x v="1"/>
    <s v="439|0"/>
    <x v="1"/>
    <x v="29"/>
    <s v="126"/>
    <n v="2530"/>
    <n v="189"/>
    <n v="3.78"/>
    <n v="4"/>
    <x v="1"/>
    <s v="14"/>
    <x v="5"/>
    <s v="30-B14 | 126 | 439|0"/>
  </r>
  <r>
    <x v="1"/>
    <s v="04-0030"/>
    <x v="1"/>
    <s v="487|0"/>
    <x v="1"/>
    <x v="30"/>
    <s v="1663"/>
    <n v="2557"/>
    <n v="3326"/>
    <n v="66.52"/>
    <n v="67"/>
    <x v="0"/>
    <s v="352"/>
    <x v="0"/>
    <s v="57-B14 | 1663 | 487|0"/>
  </r>
  <r>
    <x v="1"/>
    <s v="04-0030"/>
    <x v="1"/>
    <s v="189|0"/>
    <x v="0"/>
    <x v="31"/>
    <s v="2707"/>
    <n v="2560"/>
    <n v="5414"/>
    <n v="108.28"/>
    <n v="108"/>
    <x v="0"/>
    <s v="353"/>
    <x v="3"/>
    <s v="60-C01-R | 2707 | 189|0"/>
  </r>
  <r>
    <x v="1"/>
    <s v="04-0030"/>
    <x v="1"/>
    <s v="186|0"/>
    <x v="0"/>
    <x v="32"/>
    <s v="2132"/>
    <n v="2560"/>
    <n v="4264"/>
    <n v="85.28"/>
    <n v="85"/>
    <x v="0"/>
    <s v="353"/>
    <x v="3"/>
    <s v="60-C02-R | 2132 | 186|0"/>
  </r>
  <r>
    <x v="1"/>
    <s v="04-0030"/>
    <x v="1"/>
    <s v="184|0"/>
    <x v="0"/>
    <x v="33"/>
    <s v="3333"/>
    <n v="2559"/>
    <n v="6666"/>
    <n v="133.32"/>
    <n v="133"/>
    <x v="0"/>
    <s v="353"/>
    <x v="3"/>
    <s v="59-C03-R | 3333 | 184|0"/>
  </r>
  <r>
    <x v="1"/>
    <s v="04-0030"/>
    <x v="1"/>
    <s v="179|0"/>
    <x v="0"/>
    <x v="34"/>
    <s v="2525"/>
    <n v="2559"/>
    <n v="5050"/>
    <n v="101"/>
    <n v="101"/>
    <x v="0"/>
    <s v="353"/>
    <x v="3"/>
    <s v="59-C04-R | 2525 | 179|0"/>
  </r>
  <r>
    <x v="1"/>
    <s v="04-0030"/>
    <x v="1"/>
    <s v="99|0"/>
    <x v="0"/>
    <x v="35"/>
    <s v="184"/>
    <n v="2522"/>
    <n v="276"/>
    <n v="5.52"/>
    <n v="6"/>
    <x v="1"/>
    <s v="278"/>
    <x v="5"/>
    <s v="22-C05-R | 184 | 99|0"/>
  </r>
  <r>
    <x v="1"/>
    <s v="04-0030"/>
    <x v="1"/>
    <s v="92|0"/>
    <x v="0"/>
    <x v="36"/>
    <s v="2792"/>
    <n v="2550"/>
    <n v="4188"/>
    <n v="83.76"/>
    <n v="84"/>
    <x v="1"/>
    <s v="310"/>
    <x v="2"/>
    <s v="50-C05-R | 2792 | 92|0"/>
  </r>
  <r>
    <x v="1"/>
    <s v="04-0030"/>
    <x v="1"/>
    <s v="183|0"/>
    <x v="0"/>
    <x v="37"/>
    <s v="720"/>
    <n v="2560"/>
    <n v="1440"/>
    <n v="28.8"/>
    <n v="29"/>
    <x v="0"/>
    <s v="353"/>
    <x v="3"/>
    <s v="60-C05-R | 720 | 183|0"/>
  </r>
  <r>
    <x v="1"/>
    <s v="04-0030"/>
    <x v="1"/>
    <s v="173|0"/>
    <x v="0"/>
    <x v="38"/>
    <s v="300"/>
    <n v="2557"/>
    <n v="600"/>
    <n v="12"/>
    <n v="12"/>
    <x v="0"/>
    <s v="392"/>
    <x v="0"/>
    <s v="57-C06 | 300 | 173|0"/>
  </r>
  <r>
    <x v="1"/>
    <s v="04-0030"/>
    <x v="1"/>
    <s v="178|0"/>
    <x v="0"/>
    <x v="39"/>
    <s v="2495"/>
    <n v="2557"/>
    <n v="4990"/>
    <n v="99.8"/>
    <n v="100"/>
    <x v="0"/>
    <s v="348"/>
    <x v="0"/>
    <s v="57-C06-R | 2495 | 178|0"/>
  </r>
  <r>
    <x v="1"/>
    <s v="04-0030"/>
    <x v="1"/>
    <s v="95|0"/>
    <x v="0"/>
    <x v="40"/>
    <s v="4202"/>
    <n v="2550"/>
    <n v="6303"/>
    <n v="126.06"/>
    <n v="126"/>
    <x v="1"/>
    <s v="310"/>
    <x v="2"/>
    <s v="50-C07-R | 4202 | 95|0"/>
  </r>
  <r>
    <x v="1"/>
    <s v="04-0030"/>
    <x v="1"/>
    <s v="185|0"/>
    <x v="0"/>
    <x v="41"/>
    <s v="2888"/>
    <n v="2559"/>
    <n v="5776"/>
    <n v="115.52"/>
    <n v="116"/>
    <x v="0"/>
    <s v="353"/>
    <x v="3"/>
    <s v="59-C08-R | 2888 | 185|0"/>
  </r>
  <r>
    <x v="1"/>
    <s v="04-0030"/>
    <x v="1"/>
    <s v="177|0"/>
    <x v="0"/>
    <x v="42"/>
    <s v="1905"/>
    <n v="2559"/>
    <n v="3810"/>
    <n v="76.2"/>
    <n v="76"/>
    <x v="0"/>
    <s v="353"/>
    <x v="3"/>
    <s v="59-C09-R | 1905 | 177|0"/>
  </r>
  <r>
    <x v="1"/>
    <s v="04-0030"/>
    <x v="1"/>
    <s v="182|0"/>
    <x v="0"/>
    <x v="43"/>
    <s v="3106"/>
    <n v="2556"/>
    <n v="6212"/>
    <n v="124.24"/>
    <n v="124"/>
    <x v="0"/>
    <s v="348"/>
    <x v="0"/>
    <s v="56-C10-R | 3106 | 182|0"/>
  </r>
  <r>
    <x v="1"/>
    <s v="04-0030"/>
    <x v="1"/>
    <s v="188|0"/>
    <x v="0"/>
    <x v="44"/>
    <s v="2291"/>
    <n v="2559"/>
    <n v="4582"/>
    <n v="91.64"/>
    <n v="92"/>
    <x v="0"/>
    <s v="353"/>
    <x v="3"/>
    <s v="59-C11-R | 2291 | 188|0"/>
  </r>
  <r>
    <x v="1"/>
    <s v="04-0030"/>
    <x v="1"/>
    <s v="268|0"/>
    <x v="0"/>
    <x v="45"/>
    <s v="2531"/>
    <n v="2565"/>
    <n v="5062"/>
    <n v="101.24"/>
    <n v="101"/>
    <x v="0"/>
    <s v="395"/>
    <x v="1"/>
    <s v="65-D01-R | 2531 | 268|0"/>
  </r>
  <r>
    <x v="1"/>
    <s v="04-0030"/>
    <x v="1"/>
    <s v="262|0"/>
    <x v="0"/>
    <x v="46"/>
    <s v="2853"/>
    <n v="2564"/>
    <n v="5706"/>
    <n v="114.12"/>
    <n v="114"/>
    <x v="0"/>
    <s v="395"/>
    <x v="1"/>
    <s v="64-D02-R | 2853 | 262|0"/>
  </r>
  <r>
    <x v="1"/>
    <s v="04-0030"/>
    <x v="1"/>
    <s v="265|0"/>
    <x v="0"/>
    <x v="47"/>
    <s v="2803"/>
    <n v="2565"/>
    <n v="5606"/>
    <n v="112.12"/>
    <n v="112"/>
    <x v="0"/>
    <s v="395"/>
    <x v="1"/>
    <s v="65-D03-R | 2803 | 265|0"/>
  </r>
  <r>
    <x v="1"/>
    <s v="04-0030"/>
    <x v="1"/>
    <s v="267|0"/>
    <x v="0"/>
    <x v="48"/>
    <s v="2819"/>
    <n v="2565"/>
    <n v="5638"/>
    <n v="112.76"/>
    <n v="113"/>
    <x v="0"/>
    <s v="395"/>
    <x v="1"/>
    <s v="65-D04-R | 2819 | 267|0"/>
  </r>
  <r>
    <x v="1"/>
    <s v="04-0030"/>
    <x v="1"/>
    <s v="263|0"/>
    <x v="0"/>
    <x v="49"/>
    <s v="2687"/>
    <n v="2565"/>
    <n v="5374"/>
    <n v="107.48"/>
    <n v="107"/>
    <x v="0"/>
    <s v="395"/>
    <x v="1"/>
    <s v="65-D05-R | 2687 | 263|0"/>
  </r>
  <r>
    <x v="1"/>
    <s v="04-0030"/>
    <x v="1"/>
    <s v="181|0"/>
    <x v="0"/>
    <x v="51"/>
    <s v="3931"/>
    <n v="2556"/>
    <n v="7862"/>
    <n v="157.24"/>
    <n v="157"/>
    <x v="0"/>
    <s v="349"/>
    <x v="0"/>
    <s v="56-D07-R | 3931 | 181|0"/>
  </r>
  <r>
    <x v="1"/>
    <s v="04-0030"/>
    <x v="1"/>
    <s v="269|0"/>
    <x v="0"/>
    <x v="52"/>
    <s v="2365"/>
    <n v="2563"/>
    <n v="4730"/>
    <n v="94.6"/>
    <n v="95"/>
    <x v="0"/>
    <s v="395"/>
    <x v="1"/>
    <s v="63-D08-R | 2365 | 269|0"/>
  </r>
  <r>
    <x v="1"/>
    <s v="04-0030"/>
    <x v="1"/>
    <s v="323|0"/>
    <x v="0"/>
    <x v="53"/>
    <s v="2999"/>
    <n v="2566"/>
    <n v="1499.5"/>
    <n v="29.99"/>
    <n v="30"/>
    <x v="3"/>
    <s v="363"/>
    <x v="7"/>
    <s v="66-D09-R | 2999 | 323|0"/>
  </r>
  <r>
    <x v="1"/>
    <s v="04-0030"/>
    <x v="1"/>
    <s v="320|0"/>
    <x v="0"/>
    <x v="56"/>
    <s v="2550"/>
    <n v="2566"/>
    <n v="1275"/>
    <n v="25.5"/>
    <n v="26"/>
    <x v="3"/>
    <s v="362"/>
    <x v="7"/>
    <s v="66-P03-R | 2550 | 320|0"/>
  </r>
  <r>
    <x v="1"/>
    <s v="04-0030"/>
    <x v="1"/>
    <s v="324|0"/>
    <x v="0"/>
    <x v="57"/>
    <s v="2854"/>
    <n v="2566"/>
    <n v="1427"/>
    <n v="28.54"/>
    <n v="29"/>
    <x v="3"/>
    <s v="362"/>
    <x v="7"/>
    <s v="66-P04-R | 2854 | 324|0"/>
  </r>
  <r>
    <x v="1"/>
    <s v="04-0030"/>
    <x v="1"/>
    <s v="322|0"/>
    <x v="0"/>
    <x v="58"/>
    <s v="3111"/>
    <n v="2566"/>
    <n v="1555.5"/>
    <n v="31.11"/>
    <n v="31"/>
    <x v="3"/>
    <s v="362"/>
    <x v="7"/>
    <s v="66-P05-R | 3111 | 322|0"/>
  </r>
  <r>
    <x v="1"/>
    <s v="04-0030"/>
    <x v="1"/>
    <s v="270|0"/>
    <x v="0"/>
    <x v="59"/>
    <s v="2886"/>
    <n v="2564"/>
    <n v="5772"/>
    <n v="115.44"/>
    <n v="115"/>
    <x v="0"/>
    <s v="383"/>
    <x v="1"/>
    <s v="64-P06-R | 2886 | 270|0"/>
  </r>
  <r>
    <x v="1"/>
    <s v="04-0030"/>
    <x v="1"/>
    <s v="98|0"/>
    <x v="0"/>
    <x v="60"/>
    <s v="152"/>
    <n v="2551"/>
    <n v="228"/>
    <n v="4.5599999999999996"/>
    <n v="5"/>
    <x v="1"/>
    <s v="393"/>
    <x v="2"/>
    <s v="51-P07 | 152 | 98|0"/>
  </r>
  <r>
    <x v="1"/>
    <s v="04-0030"/>
    <x v="1"/>
    <s v="90|0"/>
    <x v="0"/>
    <x v="61"/>
    <s v="401"/>
    <n v="2551"/>
    <n v="601.5"/>
    <n v="12.03"/>
    <n v="12"/>
    <x v="1"/>
    <s v="312"/>
    <x v="2"/>
    <s v="51-P07-R | 401 | 90|0"/>
  </r>
  <r>
    <x v="1"/>
    <s v="04-0030"/>
    <x v="1"/>
    <s v="260|0"/>
    <x v="0"/>
    <x v="62"/>
    <s v="2579"/>
    <n v="2564"/>
    <n v="5158"/>
    <n v="103.16"/>
    <n v="103"/>
    <x v="0"/>
    <s v="383"/>
    <x v="1"/>
    <s v="64-P07-R | 2579 | 260|0"/>
  </r>
  <r>
    <x v="1"/>
    <s v="04-0030"/>
    <x v="1"/>
    <s v="264|0"/>
    <x v="0"/>
    <x v="63"/>
    <s v="3402"/>
    <n v="2564"/>
    <n v="6804"/>
    <n v="136.08000000000001"/>
    <n v="136"/>
    <x v="0"/>
    <s v="383"/>
    <x v="1"/>
    <s v="64-P08-R | 3402 | 264|0"/>
  </r>
  <r>
    <x v="1"/>
    <s v="04-0030"/>
    <x v="1"/>
    <s v="272|0"/>
    <x v="0"/>
    <x v="64"/>
    <s v="2192"/>
    <n v="2564"/>
    <n v="4384"/>
    <n v="87.68"/>
    <n v="88"/>
    <x v="0"/>
    <s v="383"/>
    <x v="1"/>
    <s v="64-P09-R | 2192 | 272|0"/>
  </r>
  <r>
    <x v="1"/>
    <s v="04-0030"/>
    <x v="1"/>
    <s v="383|0"/>
    <x v="0"/>
    <x v="65"/>
    <s v="1892"/>
    <n v="2568"/>
    <n v="946"/>
    <n v="18.920000000000002"/>
    <n v="19"/>
    <x v="3"/>
    <s v="390"/>
    <x v="8"/>
    <s v="68-PU1 | 1892 | 383|0"/>
  </r>
  <r>
    <x v="1"/>
    <s v="04-0030"/>
    <x v="1"/>
    <s v="321|0"/>
    <x v="0"/>
    <x v="66"/>
    <s v="1970"/>
    <n v="2566"/>
    <n v="985"/>
    <n v="19.7"/>
    <n v="20"/>
    <x v="3"/>
    <s v="368"/>
    <x v="7"/>
    <s v="66-PU2 | 1970 | 321|0"/>
  </r>
  <r>
    <x v="1"/>
    <s v="04-0030"/>
    <x v="1"/>
    <s v="381|0"/>
    <x v="0"/>
    <x v="67"/>
    <s v="1686"/>
    <n v="2568"/>
    <n v="843"/>
    <n v="16.86"/>
    <n v="17"/>
    <x v="3"/>
    <s v="390"/>
    <x v="8"/>
    <s v="68-PU3 | 1686 | 381|0"/>
  </r>
  <r>
    <x v="1"/>
    <s v="04-0030"/>
    <x v="1"/>
    <s v="382|0"/>
    <x v="0"/>
    <x v="68"/>
    <s v="1380"/>
    <n v="2568"/>
    <n v="690"/>
    <n v="13.8"/>
    <n v="14"/>
    <x v="3"/>
    <s v="390"/>
    <x v="8"/>
    <s v="68-PU4 | 1380 | 382|0"/>
  </r>
  <r>
    <x v="1"/>
    <s v="04-0030"/>
    <x v="1"/>
    <s v="387|0"/>
    <x v="0"/>
    <x v="69"/>
    <s v="751"/>
    <n v="2568"/>
    <n v="375.5"/>
    <n v="7.51"/>
    <n v="8"/>
    <x v="3"/>
    <s v="394"/>
    <x v="8"/>
    <s v="68-PU5 | 751 | 387|0"/>
  </r>
  <r>
    <x v="1"/>
    <s v="04-0030"/>
    <x v="1"/>
    <s v="385|0"/>
    <x v="0"/>
    <x v="70"/>
    <s v="1168"/>
    <n v="2568"/>
    <n v="584"/>
    <n v="11.68"/>
    <n v="12"/>
    <x v="3"/>
    <s v="389"/>
    <x v="8"/>
    <s v="68-PU5-R | 1168 | 385|0"/>
  </r>
  <r>
    <x v="1"/>
    <s v="04-0030"/>
    <x v="1"/>
    <s v="386|0"/>
    <x v="0"/>
    <x v="71"/>
    <s v="145"/>
    <n v="2568"/>
    <n v="72.5"/>
    <n v="1.45"/>
    <n v="1"/>
    <x v="3"/>
    <s v="394"/>
    <x v="8"/>
    <s v="68-PU6 | 145 | 386|0"/>
  </r>
  <r>
    <x v="1"/>
    <s v="04-0030"/>
    <x v="1"/>
    <s v="384|0"/>
    <x v="0"/>
    <x v="72"/>
    <s v="1547"/>
    <n v="2568"/>
    <n v="773.5"/>
    <n v="15.47"/>
    <n v="15"/>
    <x v="3"/>
    <s v="389"/>
    <x v="8"/>
    <s v="68-PU6-R | 1547 | 384|0"/>
  </r>
  <r>
    <x v="1"/>
    <s v="04-0030"/>
    <x v="1"/>
    <s v="659|0"/>
    <x v="1"/>
    <x v="73"/>
    <s v="3171"/>
    <n v="2568"/>
    <n v="1585.5"/>
    <n v="31.71"/>
    <n v="32"/>
    <x v="3"/>
    <s v="388"/>
    <x v="8"/>
    <s v="68-T01 | 3171 | 659|0"/>
  </r>
  <r>
    <x v="1"/>
    <s v="04-0030"/>
    <x v="1"/>
    <s v="658|0"/>
    <x v="1"/>
    <x v="74"/>
    <s v="2950"/>
    <n v="2568"/>
    <n v="1475"/>
    <n v="29.5"/>
    <n v="30"/>
    <x v="3"/>
    <s v="388"/>
    <x v="8"/>
    <s v="68-T02 | 2950 | 658|0"/>
  </r>
  <r>
    <x v="1"/>
    <s v="04-0030"/>
    <x v="1"/>
    <s v="592|0"/>
    <x v="1"/>
    <x v="75"/>
    <s v="2449"/>
    <n v="2566"/>
    <n v="1224.5"/>
    <n v="24.49"/>
    <n v="24"/>
    <x v="3"/>
    <s v="364"/>
    <x v="7"/>
    <s v="66-T03 | 2449 | 592|0"/>
  </r>
  <r>
    <x v="1"/>
    <s v="04-0030"/>
    <x v="1"/>
    <s v="595|0"/>
    <x v="1"/>
    <x v="76"/>
    <s v="2014"/>
    <n v="2566"/>
    <n v="1007"/>
    <n v="20.14"/>
    <n v="20"/>
    <x v="3"/>
    <s v="364"/>
    <x v="7"/>
    <s v="66-T04 | 2014 | 595|0"/>
  </r>
  <r>
    <x v="1"/>
    <s v="04-0030"/>
    <x v="1"/>
    <s v="556|0"/>
    <x v="1"/>
    <x v="77"/>
    <s v="3037"/>
    <n v="2563"/>
    <n v="6074"/>
    <n v="121.48"/>
    <n v="121"/>
    <x v="0"/>
    <s v="385"/>
    <x v="1"/>
    <s v="63-T05-R | 3037 | 556|0"/>
  </r>
  <r>
    <x v="1"/>
    <s v="04-0030"/>
    <x v="1"/>
    <s v="593|0"/>
    <x v="1"/>
    <x v="78"/>
    <s v="2898"/>
    <n v="2566"/>
    <n v="1449"/>
    <n v="28.98"/>
    <n v="29"/>
    <x v="3"/>
    <s v="364"/>
    <x v="7"/>
    <s v="66-T06 | 2898 | 593|0"/>
  </r>
  <r>
    <x v="1"/>
    <s v="04-0030"/>
    <x v="1"/>
    <s v="594|0"/>
    <x v="1"/>
    <x v="79"/>
    <s v="2364"/>
    <n v="2566"/>
    <n v="1182"/>
    <n v="23.64"/>
    <n v="24"/>
    <x v="3"/>
    <s v="364"/>
    <x v="7"/>
    <s v="66-T07 | 2364 | 594|0"/>
  </r>
  <r>
    <x v="1"/>
    <s v="04-0030"/>
    <x v="1"/>
    <s v="486|0"/>
    <x v="1"/>
    <x v="80"/>
    <s v="213"/>
    <n v="2556"/>
    <n v="426"/>
    <n v="8.52"/>
    <n v="9"/>
    <x v="0"/>
    <s v="351"/>
    <x v="0"/>
    <s v="56-T08 | 213 | 486|0"/>
  </r>
  <r>
    <x v="1"/>
    <s v="04-0030"/>
    <x v="1"/>
    <s v="484|0"/>
    <x v="1"/>
    <x v="81"/>
    <s v="2816"/>
    <n v="2556"/>
    <n v="5632"/>
    <n v="112.64"/>
    <n v="113"/>
    <x v="0"/>
    <s v="350"/>
    <x v="0"/>
    <s v="56-T08-R | 2816 | 484|0"/>
  </r>
  <r>
    <x v="1"/>
    <s v="04-0030"/>
    <x v="1"/>
    <s v="491|0"/>
    <x v="1"/>
    <x v="82"/>
    <s v="2934"/>
    <n v="2558"/>
    <n v="5868"/>
    <n v="117.36"/>
    <n v="117"/>
    <x v="0"/>
    <s v="350"/>
    <x v="0"/>
    <s v="58-T09-R | 2934 | 491|0"/>
  </r>
  <r>
    <x v="1"/>
    <s v="04-0030"/>
    <x v="1"/>
    <s v="433|0"/>
    <x v="1"/>
    <x v="83"/>
    <s v="2872"/>
    <n v="2550"/>
    <n v="4308"/>
    <n v="86.16"/>
    <n v="86"/>
    <x v="1"/>
    <s v="320"/>
    <x v="2"/>
    <s v="50-T10-R | 2872 | 433|0"/>
  </r>
  <r>
    <x v="1"/>
    <s v="04-0030"/>
    <x v="1"/>
    <s v="490|0"/>
    <x v="1"/>
    <x v="85"/>
    <s v="2903"/>
    <n v="2558"/>
    <n v="5806"/>
    <n v="116.12"/>
    <n v="116"/>
    <x v="0"/>
    <s v="350"/>
    <x v="0"/>
    <s v="58-T11-R | 2903 | 490|0"/>
  </r>
  <r>
    <x v="1"/>
    <s v="04-0030"/>
    <x v="1"/>
    <s v="440|0"/>
    <x v="1"/>
    <x v="86"/>
    <s v="3030"/>
    <n v="2550"/>
    <n v="4545"/>
    <n v="90.9"/>
    <n v="91"/>
    <x v="1"/>
    <s v="320"/>
    <x v="2"/>
    <s v="50-T12-R | 3030 | 440|0"/>
  </r>
  <r>
    <x v="1"/>
    <s v="04-0030"/>
    <x v="1"/>
    <s v="495|0"/>
    <x v="1"/>
    <x v="87"/>
    <s v="2864"/>
    <n v="2558"/>
    <n v="5728"/>
    <n v="114.56"/>
    <n v="115"/>
    <x v="0"/>
    <s v="350"/>
    <x v="0"/>
    <s v="58-T13-R | 2864 | 495|0"/>
  </r>
  <r>
    <x v="1"/>
    <s v="04-0030"/>
    <x v="1"/>
    <s v="436|0"/>
    <x v="1"/>
    <x v="88"/>
    <s v="112"/>
    <n v="2549"/>
    <n v="168"/>
    <n v="3.36"/>
    <n v="3"/>
    <x v="1"/>
    <s v="320"/>
    <x v="2"/>
    <s v="49-T16-R | 112 | 436|0"/>
  </r>
  <r>
    <x v="1"/>
    <s v="04-0030"/>
    <x v="1"/>
    <s v="498|0"/>
    <x v="1"/>
    <x v="89"/>
    <s v="2825"/>
    <n v="2558"/>
    <n v="5650"/>
    <n v="113"/>
    <n v="113"/>
    <x v="0"/>
    <s v="350"/>
    <x v="0"/>
    <s v="58-T17-R | 2825 | 498|0"/>
  </r>
  <r>
    <x v="1"/>
    <s v="04-0030"/>
    <x v="1"/>
    <s v="489|0"/>
    <x v="1"/>
    <x v="90"/>
    <s v="2843"/>
    <n v="2558"/>
    <n v="5686"/>
    <n v="113.72"/>
    <n v="114"/>
    <x v="0"/>
    <s v="350"/>
    <x v="0"/>
    <s v="58-T18-R | 2843 | 489|0"/>
  </r>
  <r>
    <x v="1"/>
    <s v="04-0030"/>
    <x v="1"/>
    <s v="488|0"/>
    <x v="1"/>
    <x v="92"/>
    <s v="3199"/>
    <n v="2556"/>
    <n v="6398"/>
    <n v="127.96"/>
    <n v="128"/>
    <x v="0"/>
    <s v="350"/>
    <x v="0"/>
    <s v="56-T19-R | 3199 | 488|0"/>
  </r>
  <r>
    <x v="1"/>
    <s v="04-0030"/>
    <x v="1"/>
    <s v="437|0"/>
    <x v="1"/>
    <x v="93"/>
    <s v="2833"/>
    <n v="2549"/>
    <n v="4249.5"/>
    <n v="84.99"/>
    <n v="85"/>
    <x v="1"/>
    <s v="320"/>
    <x v="2"/>
    <s v="49-T20-R | 2833 | 437|0"/>
  </r>
  <r>
    <x v="1"/>
    <s v="04-0030"/>
    <x v="1"/>
    <s v="494|0"/>
    <x v="1"/>
    <x v="94"/>
    <s v="3015"/>
    <n v="2556"/>
    <n v="6030"/>
    <n v="120.6"/>
    <n v="121"/>
    <x v="0"/>
    <s v="350"/>
    <x v="0"/>
    <s v="56-T21-R | 3015 | 494|0"/>
  </r>
  <r>
    <x v="1"/>
    <s v="04-0030"/>
    <x v="1"/>
    <s v="559|0"/>
    <x v="1"/>
    <x v="96"/>
    <s v="842"/>
    <n v="2563"/>
    <n v="1684"/>
    <n v="33.68"/>
    <n v="34"/>
    <x v="0"/>
    <s v="385"/>
    <x v="1"/>
    <s v="63-T22-R | 842 | 559|0"/>
  </r>
  <r>
    <x v="1"/>
    <s v="04-0030"/>
    <x v="1"/>
    <s v="560|0"/>
    <x v="1"/>
    <x v="97"/>
    <s v="844"/>
    <n v="2563"/>
    <n v="1688"/>
    <n v="33.76"/>
    <n v="34"/>
    <x v="0"/>
    <s v="385"/>
    <x v="1"/>
    <s v="63-T23-R | 844 | 560|0"/>
  </r>
  <r>
    <x v="1"/>
    <s v="04-0030"/>
    <x v="1"/>
    <s v="432|0"/>
    <x v="1"/>
    <x v="98"/>
    <s v="92"/>
    <n v="2552"/>
    <n v="138"/>
    <n v="2.76"/>
    <n v="3"/>
    <x v="1"/>
    <s v="320"/>
    <x v="2"/>
    <s v="52-T28-R | 92 | 432|0"/>
  </r>
  <r>
    <x v="1"/>
    <s v="04-0030"/>
    <x v="1"/>
    <s v="497|0"/>
    <x v="1"/>
    <x v="99"/>
    <s v="1403"/>
    <n v="2556"/>
    <n v="2806"/>
    <n v="56.12"/>
    <n v="56"/>
    <x v="0"/>
    <s v="350"/>
    <x v="0"/>
    <s v="56-T28-R | 1403 | 497|0"/>
  </r>
  <r>
    <x v="2"/>
    <s v="04-0008"/>
    <x v="2"/>
    <s v="208|0"/>
    <x v="0"/>
    <x v="0"/>
    <s v="1950"/>
    <n v="2556"/>
    <n v="3412.5"/>
    <n v="68.25"/>
    <n v="68"/>
    <x v="4"/>
    <s v="347"/>
    <x v="0"/>
    <s v="56-A01 | 1950 | 208|0"/>
  </r>
  <r>
    <x v="2"/>
    <s v="04-0008"/>
    <x v="2"/>
    <s v="694|0"/>
    <x v="0"/>
    <x v="1"/>
    <s v="534"/>
    <n v="2563"/>
    <n v="934.5"/>
    <n v="18.690000000000001"/>
    <n v="19"/>
    <x v="4"/>
    <s v="381"/>
    <x v="1"/>
    <s v="63-A01-R | 534 | 694|0"/>
  </r>
  <r>
    <x v="2"/>
    <s v="04-0008"/>
    <x v="2"/>
    <s v="198|0"/>
    <x v="0"/>
    <x v="2"/>
    <s v="3835"/>
    <n v="2556"/>
    <n v="6711.25"/>
    <n v="134.22499999999999"/>
    <n v="134"/>
    <x v="4"/>
    <s v="347"/>
    <x v="0"/>
    <s v="56-A02 | 3835 | 198|0"/>
  </r>
  <r>
    <x v="2"/>
    <s v="04-0008"/>
    <x v="2"/>
    <s v="192|0"/>
    <x v="0"/>
    <x v="3"/>
    <s v="2119"/>
    <n v="2556"/>
    <n v="3708.25"/>
    <n v="74.165000000000006"/>
    <n v="74"/>
    <x v="4"/>
    <s v="346"/>
    <x v="0"/>
    <s v="56-A03-R | 2119 | 192|0"/>
  </r>
  <r>
    <x v="2"/>
    <s v="04-0008"/>
    <x v="2"/>
    <s v="695|0"/>
    <x v="0"/>
    <x v="4"/>
    <s v="980"/>
    <n v="2563"/>
    <n v="1715"/>
    <n v="34.299999999999997"/>
    <n v="34"/>
    <x v="4"/>
    <s v="381"/>
    <x v="1"/>
    <s v="63-A03-R | 980 | 695|0"/>
  </r>
  <r>
    <x v="2"/>
    <s v="04-0008"/>
    <x v="2"/>
    <s v="115|0"/>
    <x v="0"/>
    <x v="5"/>
    <s v="4864"/>
    <n v="2550"/>
    <n v="7296"/>
    <n v="145.91999999999999"/>
    <n v="146"/>
    <x v="1"/>
    <s v="315"/>
    <x v="2"/>
    <s v="50-A04 | 4864 | 115|0"/>
  </r>
  <r>
    <x v="2"/>
    <s v="04-0008"/>
    <x v="2"/>
    <s v="111|0"/>
    <x v="0"/>
    <x v="6"/>
    <s v="4608"/>
    <n v="2550"/>
    <n v="6912"/>
    <n v="138.24"/>
    <n v="138"/>
    <x v="1"/>
    <s v="315"/>
    <x v="2"/>
    <s v="50-A05 | 4608 | 111|0"/>
  </r>
  <r>
    <x v="2"/>
    <s v="04-0008"/>
    <x v="2"/>
    <s v="194|0"/>
    <x v="0"/>
    <x v="7"/>
    <s v="3259"/>
    <n v="2560"/>
    <n v="5703.25"/>
    <n v="114.065"/>
    <n v="114"/>
    <x v="4"/>
    <s v="354"/>
    <x v="3"/>
    <s v="60-A06 | 3259 | 194|0"/>
  </r>
  <r>
    <x v="2"/>
    <s v="04-0008"/>
    <x v="2"/>
    <s v="280|0"/>
    <x v="0"/>
    <x v="8"/>
    <s v="2388"/>
    <n v="2563"/>
    <n v="4179"/>
    <n v="83.58"/>
    <n v="84"/>
    <x v="4"/>
    <s v="382"/>
    <x v="1"/>
    <s v="63-A07 | 2388 | 280|0"/>
  </r>
  <r>
    <x v="2"/>
    <s v="04-0008"/>
    <x v="2"/>
    <s v="275|0"/>
    <x v="0"/>
    <x v="9"/>
    <s v="309"/>
    <n v="2563"/>
    <n v="540.75"/>
    <n v="10.815"/>
    <n v="11"/>
    <x v="4"/>
    <s v="381"/>
    <x v="1"/>
    <s v="63-A07-R | 309 | 275|0"/>
  </r>
  <r>
    <x v="2"/>
    <s v="04-0008"/>
    <x v="2"/>
    <s v="193|0"/>
    <x v="0"/>
    <x v="10"/>
    <s v="4308"/>
    <n v="2557"/>
    <n v="7539"/>
    <n v="150.78"/>
    <n v="151"/>
    <x v="4"/>
    <s v="346"/>
    <x v="0"/>
    <s v="57-A08-R | 4308 | 193|0"/>
  </r>
  <r>
    <x v="2"/>
    <s v="04-0008"/>
    <x v="2"/>
    <s v="205|0"/>
    <x v="0"/>
    <x v="11"/>
    <s v="3861"/>
    <n v="2557"/>
    <n v="6756.75"/>
    <n v="135.13499999999999"/>
    <n v="135"/>
    <x v="4"/>
    <s v="346"/>
    <x v="0"/>
    <s v="57-A09-R | 3861 | 205|0"/>
  </r>
  <r>
    <x v="2"/>
    <s v="04-0008"/>
    <x v="2"/>
    <s v="116|0"/>
    <x v="0"/>
    <x v="12"/>
    <s v="2785"/>
    <n v="2549"/>
    <n v="4177.5"/>
    <n v="83.55"/>
    <n v="84"/>
    <x v="1"/>
    <s v="317"/>
    <x v="2"/>
    <s v="49-A10-R | 2785 | 116|0"/>
  </r>
  <r>
    <x v="2"/>
    <s v="04-0008"/>
    <x v="2"/>
    <s v="113|0"/>
    <x v="0"/>
    <x v="13"/>
    <s v="2421"/>
    <n v="2549"/>
    <n v="3631.5"/>
    <n v="72.63"/>
    <n v="73"/>
    <x v="1"/>
    <s v="317"/>
    <x v="2"/>
    <s v="49-A11-R | 2421 | 113|0"/>
  </r>
  <r>
    <x v="2"/>
    <s v="04-0008"/>
    <x v="2"/>
    <s v="118|0"/>
    <x v="0"/>
    <x v="14"/>
    <s v="3764"/>
    <n v="2549"/>
    <n v="5646"/>
    <n v="112.92"/>
    <n v="113"/>
    <x v="1"/>
    <s v="317"/>
    <x v="2"/>
    <s v="49-A12-R | 3764 | 118|0"/>
  </r>
  <r>
    <x v="2"/>
    <s v="04-0008"/>
    <x v="2"/>
    <s v="119|0"/>
    <x v="0"/>
    <x v="15"/>
    <s v="2893"/>
    <n v="2549"/>
    <n v="4339.5"/>
    <n v="86.79"/>
    <n v="87"/>
    <x v="1"/>
    <s v="317"/>
    <x v="2"/>
    <s v="49-A13-R | 2893 | 119|0"/>
  </r>
  <r>
    <x v="2"/>
    <s v="04-0008"/>
    <x v="2"/>
    <s v="565|0"/>
    <x v="1"/>
    <x v="16"/>
    <s v="2868"/>
    <n v="2565"/>
    <n v="5019"/>
    <n v="100.38"/>
    <n v="100"/>
    <x v="4"/>
    <s v="396"/>
    <x v="1"/>
    <s v="65-B01 | 2868 | 565|0"/>
  </r>
  <r>
    <x v="2"/>
    <s v="04-0008"/>
    <x v="2"/>
    <s v="570|0"/>
    <x v="1"/>
    <x v="17"/>
    <s v="3480"/>
    <n v="2564"/>
    <n v="6090"/>
    <n v="121.8"/>
    <n v="122"/>
    <x v="4"/>
    <s v="396"/>
    <x v="4"/>
    <s v="64-B02 | 3480 | 570|0"/>
  </r>
  <r>
    <x v="2"/>
    <s v="04-0008"/>
    <x v="2"/>
    <s v="508|0"/>
    <x v="1"/>
    <x v="18"/>
    <s v="4231"/>
    <n v="2557"/>
    <n v="7404.25"/>
    <n v="148.08500000000001"/>
    <n v="148"/>
    <x v="4"/>
    <s v="352"/>
    <x v="0"/>
    <s v="57-B03 | 4231 | 508|0"/>
  </r>
  <r>
    <x v="2"/>
    <s v="04-0008"/>
    <x v="2"/>
    <s v="515|0"/>
    <x v="1"/>
    <x v="19"/>
    <s v="3851"/>
    <n v="2560"/>
    <n v="6739.25"/>
    <n v="134.785"/>
    <n v="135"/>
    <x v="4"/>
    <s v="355"/>
    <x v="3"/>
    <s v="60-B04 | 3851 | 515|0"/>
  </r>
  <r>
    <x v="2"/>
    <s v="04-0008"/>
    <x v="2"/>
    <s v="566|0"/>
    <x v="1"/>
    <x v="20"/>
    <s v="3140"/>
    <n v="2564"/>
    <n v="5495"/>
    <n v="109.9"/>
    <n v="110"/>
    <x v="4"/>
    <s v="396"/>
    <x v="4"/>
    <s v="64-B05 | 3140 | 566|0"/>
  </r>
  <r>
    <x v="2"/>
    <s v="04-0008"/>
    <x v="2"/>
    <s v="569|0"/>
    <x v="1"/>
    <x v="21"/>
    <s v="3671"/>
    <n v="2564"/>
    <n v="6424.25"/>
    <n v="128.48500000000001"/>
    <n v="128"/>
    <x v="4"/>
    <s v="396"/>
    <x v="4"/>
    <s v="64-B06 | 3671 | 569|0"/>
  </r>
  <r>
    <x v="2"/>
    <s v="04-0008"/>
    <x v="2"/>
    <s v="447|0"/>
    <x v="1"/>
    <x v="22"/>
    <s v="4022"/>
    <n v="2550"/>
    <n v="6033"/>
    <n v="120.66"/>
    <n v="121"/>
    <x v="1"/>
    <s v="322"/>
    <x v="2"/>
    <s v="50-B07 | 4022 | 447|0"/>
  </r>
  <r>
    <x v="2"/>
    <s v="04-0008"/>
    <x v="2"/>
    <s v="512|0"/>
    <x v="1"/>
    <x v="23"/>
    <s v="3476"/>
    <n v="2560"/>
    <n v="6083"/>
    <n v="121.66"/>
    <n v="122"/>
    <x v="4"/>
    <s v="355"/>
    <x v="3"/>
    <s v="60-B08 | 3476 | 512|0"/>
  </r>
  <r>
    <x v="2"/>
    <s v="04-0008"/>
    <x v="2"/>
    <s v="501|0"/>
    <x v="1"/>
    <x v="24"/>
    <s v="4127"/>
    <n v="2560"/>
    <n v="7222.25"/>
    <n v="144.44499999999999"/>
    <n v="144"/>
    <x v="4"/>
    <s v="355"/>
    <x v="3"/>
    <s v="60-B09 | 4127 | 501|0"/>
  </r>
  <r>
    <x v="2"/>
    <s v="04-0008"/>
    <x v="2"/>
    <s v="444|0"/>
    <x v="1"/>
    <x v="25"/>
    <s v="4245"/>
    <n v="2550"/>
    <n v="6367.5"/>
    <n v="127.35"/>
    <n v="127"/>
    <x v="1"/>
    <s v="322"/>
    <x v="2"/>
    <s v="50-B10 | 4245 | 444|0"/>
  </r>
  <r>
    <x v="2"/>
    <s v="04-0008"/>
    <x v="2"/>
    <s v="571|0"/>
    <x v="1"/>
    <x v="26"/>
    <s v="3193"/>
    <n v="2565"/>
    <n v="5587.75"/>
    <n v="111.755"/>
    <n v="112"/>
    <x v="4"/>
    <s v="396"/>
    <x v="1"/>
    <s v="65-B11 | 3193 | 571|0"/>
  </r>
  <r>
    <x v="2"/>
    <s v="04-0008"/>
    <x v="2"/>
    <s v="509|0"/>
    <x v="1"/>
    <x v="27"/>
    <s v="4265"/>
    <n v="2557"/>
    <n v="7463.75"/>
    <n v="149.27500000000001"/>
    <n v="149"/>
    <x v="4"/>
    <s v="352"/>
    <x v="0"/>
    <s v="57-B12 | 4265 | 509|0"/>
  </r>
  <r>
    <x v="2"/>
    <s v="04-0008"/>
    <x v="2"/>
    <s v="443|0"/>
    <x v="1"/>
    <x v="28"/>
    <s v="4192"/>
    <n v="2549"/>
    <n v="6288"/>
    <n v="125.76"/>
    <n v="126"/>
    <x v="1"/>
    <s v="322"/>
    <x v="5"/>
    <s v="49-B13 | 4192 | 443|0"/>
  </r>
  <r>
    <x v="2"/>
    <s v="04-0008"/>
    <x v="2"/>
    <s v="448|0"/>
    <x v="1"/>
    <x v="29"/>
    <s v="126"/>
    <n v="2530"/>
    <n v="189"/>
    <n v="3.78"/>
    <n v="4"/>
    <x v="1"/>
    <s v="14"/>
    <x v="5"/>
    <s v="30-B14 | 126 | 448|0"/>
  </r>
  <r>
    <x v="2"/>
    <s v="04-0008"/>
    <x v="2"/>
    <s v="503|0"/>
    <x v="1"/>
    <x v="30"/>
    <s v="1663"/>
    <n v="2557"/>
    <n v="2910.25"/>
    <n v="58.204999999999998"/>
    <n v="58"/>
    <x v="4"/>
    <s v="352"/>
    <x v="0"/>
    <s v="57-B14 | 1663 | 503|0"/>
  </r>
  <r>
    <x v="2"/>
    <s v="04-0008"/>
    <x v="2"/>
    <s v="207|0"/>
    <x v="0"/>
    <x v="31"/>
    <s v="2707"/>
    <n v="2560"/>
    <n v="4737.25"/>
    <n v="94.745000000000005"/>
    <n v="95"/>
    <x v="4"/>
    <s v="353"/>
    <x v="3"/>
    <s v="60-C01-R | 2707 | 207|0"/>
  </r>
  <r>
    <x v="2"/>
    <s v="04-0008"/>
    <x v="2"/>
    <s v="204|0"/>
    <x v="0"/>
    <x v="32"/>
    <s v="2132"/>
    <n v="2560"/>
    <n v="3731"/>
    <n v="74.62"/>
    <n v="75"/>
    <x v="4"/>
    <s v="353"/>
    <x v="3"/>
    <s v="60-C02-R | 2132 | 204|0"/>
  </r>
  <r>
    <x v="2"/>
    <s v="04-0008"/>
    <x v="2"/>
    <s v="202|0"/>
    <x v="0"/>
    <x v="33"/>
    <s v="3333"/>
    <n v="2559"/>
    <n v="5832.75"/>
    <n v="116.655"/>
    <n v="117"/>
    <x v="4"/>
    <s v="353"/>
    <x v="3"/>
    <s v="59-C03-R | 3333 | 202|0"/>
  </r>
  <r>
    <x v="2"/>
    <s v="04-0008"/>
    <x v="2"/>
    <s v="197|0"/>
    <x v="0"/>
    <x v="34"/>
    <s v="2525"/>
    <n v="2559"/>
    <n v="4418.75"/>
    <n v="88.375"/>
    <n v="88"/>
    <x v="4"/>
    <s v="353"/>
    <x v="3"/>
    <s v="59-C04-R | 2525 | 197|0"/>
  </r>
  <r>
    <x v="2"/>
    <s v="04-0008"/>
    <x v="2"/>
    <s v="121|0"/>
    <x v="0"/>
    <x v="35"/>
    <s v="184"/>
    <n v="2522"/>
    <n v="276"/>
    <n v="5.52"/>
    <n v="6"/>
    <x v="1"/>
    <s v="278"/>
    <x v="5"/>
    <s v="22-C05-R | 184 | 121|0"/>
  </r>
  <r>
    <x v="2"/>
    <s v="04-0008"/>
    <x v="2"/>
    <s v="114|0"/>
    <x v="0"/>
    <x v="36"/>
    <s v="2792"/>
    <n v="2550"/>
    <n v="4188"/>
    <n v="83.76"/>
    <n v="84"/>
    <x v="1"/>
    <s v="310"/>
    <x v="2"/>
    <s v="50-C05-R | 2792 | 114|0"/>
  </r>
  <r>
    <x v="2"/>
    <s v="04-0008"/>
    <x v="2"/>
    <s v="201|0"/>
    <x v="0"/>
    <x v="37"/>
    <s v="720"/>
    <n v="2560"/>
    <n v="1260"/>
    <n v="25.2"/>
    <n v="25"/>
    <x v="4"/>
    <s v="353"/>
    <x v="3"/>
    <s v="60-C05-R | 720 | 201|0"/>
  </r>
  <r>
    <x v="2"/>
    <s v="04-0008"/>
    <x v="2"/>
    <s v="191|0"/>
    <x v="0"/>
    <x v="38"/>
    <s v="300"/>
    <n v="2557"/>
    <n v="525"/>
    <n v="10.5"/>
    <n v="11"/>
    <x v="4"/>
    <s v="392"/>
    <x v="0"/>
    <s v="57-C06 | 300 | 191|0"/>
  </r>
  <r>
    <x v="2"/>
    <s v="04-0008"/>
    <x v="2"/>
    <s v="196|0"/>
    <x v="0"/>
    <x v="39"/>
    <s v="2495"/>
    <n v="2557"/>
    <n v="4366.25"/>
    <n v="87.325000000000003"/>
    <n v="87"/>
    <x v="4"/>
    <s v="348"/>
    <x v="0"/>
    <s v="57-C06-R | 2495 | 196|0"/>
  </r>
  <r>
    <x v="2"/>
    <s v="04-0008"/>
    <x v="2"/>
    <s v="117|0"/>
    <x v="0"/>
    <x v="40"/>
    <s v="4202"/>
    <n v="2550"/>
    <n v="6303"/>
    <n v="126.06"/>
    <n v="126"/>
    <x v="1"/>
    <s v="310"/>
    <x v="2"/>
    <s v="50-C07-R | 4202 | 117|0"/>
  </r>
  <r>
    <x v="2"/>
    <s v="04-0008"/>
    <x v="2"/>
    <s v="203|0"/>
    <x v="0"/>
    <x v="41"/>
    <s v="2888"/>
    <n v="2559"/>
    <n v="5054"/>
    <n v="101.08"/>
    <n v="101"/>
    <x v="4"/>
    <s v="353"/>
    <x v="3"/>
    <s v="59-C08-R | 2888 | 203|0"/>
  </r>
  <r>
    <x v="2"/>
    <s v="04-0008"/>
    <x v="2"/>
    <s v="195|0"/>
    <x v="0"/>
    <x v="42"/>
    <s v="1905"/>
    <n v="2559"/>
    <n v="3333.75"/>
    <n v="66.674999999999997"/>
    <n v="67"/>
    <x v="4"/>
    <s v="353"/>
    <x v="3"/>
    <s v="59-C09-R | 1905 | 195|0"/>
  </r>
  <r>
    <x v="2"/>
    <s v="04-0008"/>
    <x v="2"/>
    <s v="200|0"/>
    <x v="0"/>
    <x v="43"/>
    <s v="3106"/>
    <n v="2556"/>
    <n v="5435.5"/>
    <n v="108.71"/>
    <n v="109"/>
    <x v="4"/>
    <s v="348"/>
    <x v="0"/>
    <s v="56-C10-R | 3106 | 200|0"/>
  </r>
  <r>
    <x v="2"/>
    <s v="04-0008"/>
    <x v="2"/>
    <s v="206|0"/>
    <x v="0"/>
    <x v="44"/>
    <s v="2291"/>
    <n v="2559"/>
    <n v="4009.25"/>
    <n v="80.185000000000002"/>
    <n v="80"/>
    <x v="4"/>
    <s v="353"/>
    <x v="3"/>
    <s v="59-C11-R | 2291 | 206|0"/>
  </r>
  <r>
    <x v="2"/>
    <s v="04-0008"/>
    <x v="2"/>
    <s v="282|0"/>
    <x v="0"/>
    <x v="45"/>
    <s v="2531"/>
    <n v="2565"/>
    <n v="4429.25"/>
    <n v="88.584999999999994"/>
    <n v="89"/>
    <x v="4"/>
    <s v="395"/>
    <x v="1"/>
    <s v="65-D01-R | 2531 | 282|0"/>
  </r>
  <r>
    <x v="2"/>
    <s v="04-0008"/>
    <x v="2"/>
    <s v="276|0"/>
    <x v="0"/>
    <x v="46"/>
    <s v="2853"/>
    <n v="2564"/>
    <n v="4992.75"/>
    <n v="99.855000000000004"/>
    <n v="100"/>
    <x v="4"/>
    <s v="395"/>
    <x v="1"/>
    <s v="64-D02-R | 2853 | 276|0"/>
  </r>
  <r>
    <x v="2"/>
    <s v="04-0008"/>
    <x v="2"/>
    <s v="279|0"/>
    <x v="0"/>
    <x v="47"/>
    <s v="2803"/>
    <n v="2565"/>
    <n v="4905.25"/>
    <n v="98.105000000000004"/>
    <n v="98"/>
    <x v="4"/>
    <s v="395"/>
    <x v="1"/>
    <s v="65-D03-R | 2803 | 279|0"/>
  </r>
  <r>
    <x v="2"/>
    <s v="04-0008"/>
    <x v="2"/>
    <s v="281|0"/>
    <x v="0"/>
    <x v="48"/>
    <s v="2819"/>
    <n v="2565"/>
    <n v="4933.25"/>
    <n v="98.665000000000006"/>
    <n v="99"/>
    <x v="4"/>
    <s v="395"/>
    <x v="1"/>
    <s v="65-D04-R | 2819 | 281|0"/>
  </r>
  <r>
    <x v="2"/>
    <s v="04-0008"/>
    <x v="2"/>
    <s v="277|0"/>
    <x v="0"/>
    <x v="49"/>
    <s v="2687"/>
    <n v="2565"/>
    <n v="4702.25"/>
    <n v="94.045000000000002"/>
    <n v="94"/>
    <x v="4"/>
    <s v="395"/>
    <x v="1"/>
    <s v="65-D05-R | 2687 | 277|0"/>
  </r>
  <r>
    <x v="2"/>
    <s v="04-0008"/>
    <x v="2"/>
    <s v="353|0"/>
    <x v="0"/>
    <x v="50"/>
    <s v="2865"/>
    <n v="2567"/>
    <n v="2148.75"/>
    <n v="42.975000000000001"/>
    <n v="43"/>
    <x v="5"/>
    <s v="375"/>
    <x v="6"/>
    <s v="67-D06-R | 2865 | 353|0"/>
  </r>
  <r>
    <x v="2"/>
    <s v="04-0008"/>
    <x v="2"/>
    <s v="199|0"/>
    <x v="0"/>
    <x v="51"/>
    <s v="3931"/>
    <n v="2556"/>
    <n v="6879.25"/>
    <n v="137.58500000000001"/>
    <n v="138"/>
    <x v="4"/>
    <s v="349"/>
    <x v="0"/>
    <s v="56-D07-R | 3931 | 199|0"/>
  </r>
  <r>
    <x v="2"/>
    <s v="04-0008"/>
    <x v="2"/>
    <s v="283|0"/>
    <x v="0"/>
    <x v="52"/>
    <s v="2365"/>
    <n v="2563"/>
    <n v="4138.75"/>
    <n v="82.775000000000006"/>
    <n v="83"/>
    <x v="4"/>
    <s v="395"/>
    <x v="1"/>
    <s v="63-D08-R | 2365 | 283|0"/>
  </r>
  <r>
    <x v="2"/>
    <s v="04-0008"/>
    <x v="2"/>
    <s v="328|0"/>
    <x v="0"/>
    <x v="53"/>
    <s v="2999"/>
    <n v="2566"/>
    <n v="3748.75"/>
    <n v="74.974999999999994"/>
    <n v="75"/>
    <x v="6"/>
    <s v="363"/>
    <x v="7"/>
    <s v="66-D09-R | 2999 | 328|0"/>
  </r>
  <r>
    <x v="2"/>
    <s v="04-0008"/>
    <x v="2"/>
    <s v="354|0"/>
    <x v="0"/>
    <x v="54"/>
    <s v="2167"/>
    <n v="2567"/>
    <n v="1625.25"/>
    <n v="32.505000000000003"/>
    <n v="33"/>
    <x v="5"/>
    <s v="374"/>
    <x v="6"/>
    <s v="67-P01-R | 2167 | 354|0"/>
  </r>
  <r>
    <x v="2"/>
    <s v="04-0008"/>
    <x v="2"/>
    <s v="355|0"/>
    <x v="0"/>
    <x v="55"/>
    <s v="2320"/>
    <n v="2567"/>
    <n v="1740"/>
    <n v="34.799999999999997"/>
    <n v="35"/>
    <x v="5"/>
    <s v="374"/>
    <x v="6"/>
    <s v="67-P02-R | 2320 | 355|0"/>
  </r>
  <r>
    <x v="2"/>
    <s v="04-0008"/>
    <x v="2"/>
    <s v="325|0"/>
    <x v="0"/>
    <x v="56"/>
    <s v="2550"/>
    <n v="2566"/>
    <n v="3187.5"/>
    <n v="63.75"/>
    <n v="64"/>
    <x v="6"/>
    <s v="362"/>
    <x v="7"/>
    <s v="66-P03-R | 2550 | 325|0"/>
  </r>
  <r>
    <x v="2"/>
    <s v="04-0008"/>
    <x v="2"/>
    <s v="329|0"/>
    <x v="0"/>
    <x v="57"/>
    <s v="2854"/>
    <n v="2566"/>
    <n v="3567.5"/>
    <n v="71.349999999999994"/>
    <n v="71"/>
    <x v="6"/>
    <s v="362"/>
    <x v="7"/>
    <s v="66-P04-R | 2854 | 329|0"/>
  </r>
  <r>
    <x v="2"/>
    <s v="04-0008"/>
    <x v="2"/>
    <s v="327|0"/>
    <x v="0"/>
    <x v="58"/>
    <s v="3111"/>
    <n v="2566"/>
    <n v="3888.75"/>
    <n v="77.775000000000006"/>
    <n v="78"/>
    <x v="6"/>
    <s v="362"/>
    <x v="7"/>
    <s v="66-P05-R | 3111 | 327|0"/>
  </r>
  <r>
    <x v="2"/>
    <s v="04-0008"/>
    <x v="2"/>
    <s v="284|0"/>
    <x v="0"/>
    <x v="59"/>
    <s v="2886"/>
    <n v="2564"/>
    <n v="5050.5"/>
    <n v="101.01"/>
    <n v="101"/>
    <x v="4"/>
    <s v="383"/>
    <x v="1"/>
    <s v="64-P06-R | 2886 | 284|0"/>
  </r>
  <r>
    <x v="2"/>
    <s v="04-0008"/>
    <x v="2"/>
    <s v="120|0"/>
    <x v="0"/>
    <x v="60"/>
    <s v="152"/>
    <n v="2551"/>
    <n v="228"/>
    <n v="4.5599999999999996"/>
    <n v="5"/>
    <x v="1"/>
    <s v="393"/>
    <x v="2"/>
    <s v="51-P07 | 152 | 120|0"/>
  </r>
  <r>
    <x v="2"/>
    <s v="04-0008"/>
    <x v="2"/>
    <s v="112|0"/>
    <x v="0"/>
    <x v="61"/>
    <s v="401"/>
    <n v="2551"/>
    <n v="601.5"/>
    <n v="12.03"/>
    <n v="12"/>
    <x v="1"/>
    <s v="312"/>
    <x v="2"/>
    <s v="51-P07-R | 401 | 112|0"/>
  </r>
  <r>
    <x v="2"/>
    <s v="04-0008"/>
    <x v="2"/>
    <s v="274|0"/>
    <x v="0"/>
    <x v="62"/>
    <s v="2579"/>
    <n v="2564"/>
    <n v="4513.25"/>
    <n v="90.265000000000001"/>
    <n v="90"/>
    <x v="4"/>
    <s v="383"/>
    <x v="1"/>
    <s v="64-P07-R | 2579 | 274|0"/>
  </r>
  <r>
    <x v="2"/>
    <s v="04-0008"/>
    <x v="2"/>
    <s v="278|0"/>
    <x v="0"/>
    <x v="63"/>
    <s v="3402"/>
    <n v="2564"/>
    <n v="5953.5"/>
    <n v="119.07"/>
    <n v="119"/>
    <x v="4"/>
    <s v="383"/>
    <x v="1"/>
    <s v="64-P08-R | 3402 | 278|0"/>
  </r>
  <r>
    <x v="2"/>
    <s v="04-0008"/>
    <x v="2"/>
    <s v="286|0"/>
    <x v="0"/>
    <x v="64"/>
    <s v="2192"/>
    <n v="2564"/>
    <n v="3836"/>
    <n v="76.72"/>
    <n v="77"/>
    <x v="4"/>
    <s v="383"/>
    <x v="1"/>
    <s v="64-P09-R | 2192 | 286|0"/>
  </r>
  <r>
    <x v="2"/>
    <s v="04-0008"/>
    <x v="2"/>
    <s v="390|0"/>
    <x v="0"/>
    <x v="65"/>
    <s v="1892"/>
    <n v="2568"/>
    <n v="473"/>
    <n v="9.4600000000000009"/>
    <n v="9"/>
    <x v="7"/>
    <s v="390"/>
    <x v="8"/>
    <s v="68-PU1 | 1892 | 390|0"/>
  </r>
  <r>
    <x v="2"/>
    <s v="04-0008"/>
    <x v="2"/>
    <s v="326|0"/>
    <x v="0"/>
    <x v="66"/>
    <s v="1970"/>
    <n v="2566"/>
    <n v="2462.5"/>
    <n v="49.25"/>
    <n v="49"/>
    <x v="6"/>
    <s v="368"/>
    <x v="7"/>
    <s v="66-PU2 | 1970 | 326|0"/>
  </r>
  <r>
    <x v="2"/>
    <s v="04-0008"/>
    <x v="2"/>
    <s v="388|0"/>
    <x v="0"/>
    <x v="67"/>
    <s v="1686"/>
    <n v="2568"/>
    <n v="421.5"/>
    <n v="8.43"/>
    <n v="8"/>
    <x v="7"/>
    <s v="390"/>
    <x v="8"/>
    <s v="68-PU3 | 1686 | 388|0"/>
  </r>
  <r>
    <x v="2"/>
    <s v="04-0008"/>
    <x v="2"/>
    <s v="389|0"/>
    <x v="0"/>
    <x v="68"/>
    <s v="1380"/>
    <n v="2568"/>
    <n v="345"/>
    <n v="6.9"/>
    <n v="7"/>
    <x v="7"/>
    <s v="390"/>
    <x v="8"/>
    <s v="68-PU4 | 1380 | 389|0"/>
  </r>
  <r>
    <x v="2"/>
    <s v="04-0008"/>
    <x v="2"/>
    <s v="394|0"/>
    <x v="0"/>
    <x v="69"/>
    <s v="751"/>
    <n v="2568"/>
    <n v="187.75"/>
    <n v="3.7549999999999999"/>
    <n v="4"/>
    <x v="7"/>
    <s v="394"/>
    <x v="8"/>
    <s v="68-PU5 | 751 | 394|0"/>
  </r>
  <r>
    <x v="2"/>
    <s v="04-0008"/>
    <x v="2"/>
    <s v="392|0"/>
    <x v="0"/>
    <x v="70"/>
    <s v="1168"/>
    <n v="2568"/>
    <n v="292"/>
    <n v="5.84"/>
    <n v="6"/>
    <x v="7"/>
    <s v="389"/>
    <x v="8"/>
    <s v="68-PU5-R | 1168 | 392|0"/>
  </r>
  <r>
    <x v="2"/>
    <s v="04-0008"/>
    <x v="2"/>
    <s v="393|0"/>
    <x v="0"/>
    <x v="71"/>
    <s v="145"/>
    <n v="2568"/>
    <n v="36.25"/>
    <n v="0.72499999999999998"/>
    <n v="1"/>
    <x v="7"/>
    <s v="394"/>
    <x v="8"/>
    <s v="68-PU6 | 145 | 393|0"/>
  </r>
  <r>
    <x v="2"/>
    <s v="04-0008"/>
    <x v="2"/>
    <s v="391|0"/>
    <x v="0"/>
    <x v="72"/>
    <s v="1547"/>
    <n v="2568"/>
    <n v="386.75"/>
    <n v="7.7350000000000003"/>
    <n v="8"/>
    <x v="7"/>
    <s v="389"/>
    <x v="8"/>
    <s v="68-PU6-R | 1547 | 391|0"/>
  </r>
  <r>
    <x v="2"/>
    <s v="04-0008"/>
    <x v="2"/>
    <s v="661|0"/>
    <x v="1"/>
    <x v="73"/>
    <s v="3171"/>
    <n v="2568"/>
    <n v="792.75"/>
    <n v="15.855"/>
    <n v="16"/>
    <x v="7"/>
    <s v="388"/>
    <x v="8"/>
    <s v="68-T01 | 3171 | 661|0"/>
  </r>
  <r>
    <x v="2"/>
    <s v="04-0008"/>
    <x v="2"/>
    <s v="660|0"/>
    <x v="1"/>
    <x v="74"/>
    <s v="2950"/>
    <n v="2568"/>
    <n v="737.5"/>
    <n v="14.75"/>
    <n v="15"/>
    <x v="7"/>
    <s v="388"/>
    <x v="8"/>
    <s v="68-T02 | 2950 | 660|0"/>
  </r>
  <r>
    <x v="2"/>
    <s v="04-0008"/>
    <x v="2"/>
    <s v="596|0"/>
    <x v="1"/>
    <x v="75"/>
    <s v="2449"/>
    <n v="2566"/>
    <n v="3061.25"/>
    <n v="61.225000000000001"/>
    <n v="61"/>
    <x v="6"/>
    <s v="364"/>
    <x v="7"/>
    <s v="66-T03 | 2449 | 596|0"/>
  </r>
  <r>
    <x v="2"/>
    <s v="04-0008"/>
    <x v="2"/>
    <s v="599|0"/>
    <x v="1"/>
    <x v="76"/>
    <s v="2014"/>
    <n v="2566"/>
    <n v="2517.5"/>
    <n v="50.35"/>
    <n v="50"/>
    <x v="6"/>
    <s v="364"/>
    <x v="7"/>
    <s v="66-T04 | 2014 | 599|0"/>
  </r>
  <r>
    <x v="2"/>
    <s v="04-0008"/>
    <x v="2"/>
    <s v="564|0"/>
    <x v="1"/>
    <x v="77"/>
    <s v="3037"/>
    <n v="2563"/>
    <n v="5314.75"/>
    <n v="106.295"/>
    <n v="106"/>
    <x v="4"/>
    <s v="385"/>
    <x v="1"/>
    <s v="63-T05-R | 3037 | 564|0"/>
  </r>
  <r>
    <x v="2"/>
    <s v="04-0008"/>
    <x v="2"/>
    <s v="597|0"/>
    <x v="1"/>
    <x v="78"/>
    <s v="2898"/>
    <n v="2566"/>
    <n v="3622.5"/>
    <n v="72.45"/>
    <n v="72"/>
    <x v="6"/>
    <s v="364"/>
    <x v="7"/>
    <s v="66-T06 | 2898 | 597|0"/>
  </r>
  <r>
    <x v="2"/>
    <s v="04-0008"/>
    <x v="2"/>
    <s v="598|0"/>
    <x v="1"/>
    <x v="79"/>
    <s v="2364"/>
    <n v="2566"/>
    <n v="2955"/>
    <n v="59.1"/>
    <n v="59"/>
    <x v="6"/>
    <s v="364"/>
    <x v="7"/>
    <s v="66-T07 | 2364 | 598|0"/>
  </r>
  <r>
    <x v="2"/>
    <s v="04-0008"/>
    <x v="2"/>
    <s v="502|0"/>
    <x v="1"/>
    <x v="80"/>
    <s v="213"/>
    <n v="2556"/>
    <n v="372.75"/>
    <n v="7.4550000000000001"/>
    <n v="7"/>
    <x v="4"/>
    <s v="351"/>
    <x v="0"/>
    <s v="56-T08 | 213 | 502|0"/>
  </r>
  <r>
    <x v="2"/>
    <s v="04-0008"/>
    <x v="2"/>
    <s v="500|0"/>
    <x v="1"/>
    <x v="81"/>
    <s v="2816"/>
    <n v="2556"/>
    <n v="4928"/>
    <n v="98.56"/>
    <n v="99"/>
    <x v="4"/>
    <s v="350"/>
    <x v="0"/>
    <s v="56-T08-R | 2816 | 500|0"/>
  </r>
  <r>
    <x v="2"/>
    <s v="04-0008"/>
    <x v="2"/>
    <s v="507|0"/>
    <x v="1"/>
    <x v="82"/>
    <s v="2934"/>
    <n v="2558"/>
    <n v="5134.5"/>
    <n v="102.69"/>
    <n v="103"/>
    <x v="4"/>
    <s v="350"/>
    <x v="0"/>
    <s v="58-T09-R | 2934 | 507|0"/>
  </r>
  <r>
    <x v="2"/>
    <s v="04-0008"/>
    <x v="2"/>
    <s v="442|0"/>
    <x v="1"/>
    <x v="83"/>
    <s v="2872"/>
    <n v="2550"/>
    <n v="4308"/>
    <n v="86.16"/>
    <n v="86"/>
    <x v="1"/>
    <s v="320"/>
    <x v="2"/>
    <s v="50-T10-R | 2872 | 442|0"/>
  </r>
  <r>
    <x v="2"/>
    <s v="04-0008"/>
    <x v="2"/>
    <s v="623|0"/>
    <x v="1"/>
    <x v="84"/>
    <s v="61"/>
    <n v="2567"/>
    <n v="45.75"/>
    <n v="0.91500000000000004"/>
    <n v="1"/>
    <x v="5"/>
    <s v="379"/>
    <x v="6"/>
    <s v="67-T10 | 61 | 623|0"/>
  </r>
  <r>
    <x v="2"/>
    <s v="04-0008"/>
    <x v="2"/>
    <s v="506|0"/>
    <x v="1"/>
    <x v="85"/>
    <s v="2903"/>
    <n v="2558"/>
    <n v="5080.25"/>
    <n v="101.605"/>
    <n v="102"/>
    <x v="4"/>
    <s v="350"/>
    <x v="0"/>
    <s v="58-T11-R | 2903 | 506|0"/>
  </r>
  <r>
    <x v="2"/>
    <s v="04-0008"/>
    <x v="2"/>
    <s v="449|0"/>
    <x v="1"/>
    <x v="86"/>
    <s v="3030"/>
    <n v="2550"/>
    <n v="4545"/>
    <n v="90.9"/>
    <n v="91"/>
    <x v="1"/>
    <s v="320"/>
    <x v="2"/>
    <s v="50-T12-R | 3030 | 449|0"/>
  </r>
  <r>
    <x v="2"/>
    <s v="04-0008"/>
    <x v="2"/>
    <s v="511|0"/>
    <x v="1"/>
    <x v="87"/>
    <s v="2864"/>
    <n v="2558"/>
    <n v="5012"/>
    <n v="100.24"/>
    <n v="100"/>
    <x v="4"/>
    <s v="350"/>
    <x v="0"/>
    <s v="58-T13-R | 2864 | 511|0"/>
  </r>
  <r>
    <x v="2"/>
    <s v="04-0008"/>
    <x v="2"/>
    <s v="445|0"/>
    <x v="1"/>
    <x v="88"/>
    <s v="112"/>
    <n v="2549"/>
    <n v="168"/>
    <n v="3.36"/>
    <n v="3"/>
    <x v="1"/>
    <s v="320"/>
    <x v="2"/>
    <s v="49-T16-R | 112 | 445|0"/>
  </r>
  <r>
    <x v="2"/>
    <s v="04-0008"/>
    <x v="2"/>
    <s v="514|0"/>
    <x v="1"/>
    <x v="89"/>
    <s v="2825"/>
    <n v="2558"/>
    <n v="4943.75"/>
    <n v="98.875"/>
    <n v="99"/>
    <x v="4"/>
    <s v="350"/>
    <x v="0"/>
    <s v="58-T17-R | 2825 | 514|0"/>
  </r>
  <r>
    <x v="2"/>
    <s v="04-0008"/>
    <x v="2"/>
    <s v="505|0"/>
    <x v="1"/>
    <x v="90"/>
    <s v="2843"/>
    <n v="2558"/>
    <n v="4975.25"/>
    <n v="99.504999999999995"/>
    <n v="100"/>
    <x v="4"/>
    <s v="350"/>
    <x v="0"/>
    <s v="58-T18-R | 2843 | 505|0"/>
  </r>
  <r>
    <x v="2"/>
    <s v="04-0008"/>
    <x v="2"/>
    <s v="624|0"/>
    <x v="1"/>
    <x v="91"/>
    <s v="171"/>
    <n v="2567"/>
    <n v="128.25"/>
    <n v="2.5649999999999999"/>
    <n v="3"/>
    <x v="5"/>
    <s v="379"/>
    <x v="6"/>
    <s v="67-T18 | 171 | 624|0"/>
  </r>
  <r>
    <x v="2"/>
    <s v="04-0008"/>
    <x v="2"/>
    <s v="504|0"/>
    <x v="1"/>
    <x v="92"/>
    <s v="3199"/>
    <n v="2556"/>
    <n v="5598.25"/>
    <n v="111.965"/>
    <n v="112"/>
    <x v="4"/>
    <s v="350"/>
    <x v="0"/>
    <s v="56-T19-R | 3199 | 504|0"/>
  </r>
  <r>
    <x v="2"/>
    <s v="04-0008"/>
    <x v="2"/>
    <s v="446|0"/>
    <x v="1"/>
    <x v="93"/>
    <s v="2833"/>
    <n v="2549"/>
    <n v="4249.5"/>
    <n v="84.99"/>
    <n v="85"/>
    <x v="1"/>
    <s v="320"/>
    <x v="2"/>
    <s v="49-T20-R | 2833 | 446|0"/>
  </r>
  <r>
    <x v="2"/>
    <s v="04-0008"/>
    <x v="2"/>
    <s v="510|0"/>
    <x v="1"/>
    <x v="94"/>
    <s v="3015"/>
    <n v="2556"/>
    <n v="5276.25"/>
    <n v="105.52500000000001"/>
    <n v="106"/>
    <x v="4"/>
    <s v="350"/>
    <x v="0"/>
    <s v="56-T21-R | 3015 | 510|0"/>
  </r>
  <r>
    <x v="2"/>
    <s v="04-0008"/>
    <x v="2"/>
    <s v="621|0"/>
    <x v="1"/>
    <x v="95"/>
    <s v="241"/>
    <n v="2567"/>
    <n v="180.75"/>
    <n v="3.6150000000000002"/>
    <n v="4"/>
    <x v="5"/>
    <s v="379"/>
    <x v="6"/>
    <s v="67-T21 | 241 | 621|0"/>
  </r>
  <r>
    <x v="2"/>
    <s v="04-0008"/>
    <x v="2"/>
    <s v="567|0"/>
    <x v="1"/>
    <x v="96"/>
    <s v="842"/>
    <n v="2563"/>
    <n v="1473.5"/>
    <n v="29.47"/>
    <n v="29"/>
    <x v="4"/>
    <s v="385"/>
    <x v="1"/>
    <s v="63-T22-R | 842 | 567|0"/>
  </r>
  <r>
    <x v="2"/>
    <s v="04-0008"/>
    <x v="2"/>
    <s v="568|0"/>
    <x v="1"/>
    <x v="97"/>
    <s v="844"/>
    <n v="2563"/>
    <n v="1477"/>
    <n v="29.54"/>
    <n v="30"/>
    <x v="4"/>
    <s v="385"/>
    <x v="1"/>
    <s v="63-T23-R | 844 | 568|0"/>
  </r>
  <r>
    <x v="2"/>
    <s v="04-0008"/>
    <x v="2"/>
    <s v="441|0"/>
    <x v="1"/>
    <x v="98"/>
    <s v="92"/>
    <n v="2552"/>
    <n v="138"/>
    <n v="2.76"/>
    <n v="3"/>
    <x v="1"/>
    <s v="320"/>
    <x v="2"/>
    <s v="52-T28-R | 92 | 441|0"/>
  </r>
  <r>
    <x v="2"/>
    <s v="04-0008"/>
    <x v="2"/>
    <s v="513|0"/>
    <x v="1"/>
    <x v="99"/>
    <s v="1403"/>
    <n v="2556"/>
    <n v="2455.25"/>
    <n v="49.104999999999997"/>
    <n v="49"/>
    <x v="4"/>
    <s v="350"/>
    <x v="0"/>
    <s v="56-T28-R | 1403 | 513|0"/>
  </r>
  <r>
    <x v="2"/>
    <s v="04-0008"/>
    <x v="2"/>
    <s v="625|0"/>
    <x v="1"/>
    <x v="100"/>
    <s v="3070"/>
    <n v="2567"/>
    <n v="2302.5"/>
    <n v="46.05"/>
    <n v="46"/>
    <x v="5"/>
    <s v="376"/>
    <x v="6"/>
    <s v="67-T29 | 3070 | 625|0"/>
  </r>
  <r>
    <x v="2"/>
    <s v="04-0008"/>
    <x v="2"/>
    <s v="622|0"/>
    <x v="1"/>
    <x v="101"/>
    <s v="3270"/>
    <n v="2567"/>
    <n v="2452.5"/>
    <n v="49.05"/>
    <n v="49"/>
    <x v="5"/>
    <s v="376"/>
    <x v="6"/>
    <s v="67-T30 | 3270 | 622|0"/>
  </r>
  <r>
    <x v="3"/>
    <s v="04-0001"/>
    <x v="3"/>
    <s v="226|0"/>
    <x v="0"/>
    <x v="0"/>
    <s v="1950"/>
    <n v="2556"/>
    <n v="2437.5"/>
    <n v="48.75"/>
    <n v="49"/>
    <x v="6"/>
    <s v="347"/>
    <x v="0"/>
    <s v="56-A01 | 1950 | 226|0"/>
  </r>
  <r>
    <x v="3"/>
    <s v="04-0001"/>
    <x v="3"/>
    <s v="696|0"/>
    <x v="0"/>
    <x v="1"/>
    <s v="534"/>
    <n v="2563"/>
    <n v="667.5"/>
    <n v="13.35"/>
    <n v="13"/>
    <x v="6"/>
    <s v="381"/>
    <x v="1"/>
    <s v="63-A01-R | 534 | 696|0"/>
  </r>
  <r>
    <x v="3"/>
    <s v="04-0001"/>
    <x v="3"/>
    <s v="216|0"/>
    <x v="0"/>
    <x v="2"/>
    <s v="3835"/>
    <n v="2556"/>
    <n v="4793.75"/>
    <n v="95.875"/>
    <n v="96"/>
    <x v="6"/>
    <s v="347"/>
    <x v="0"/>
    <s v="56-A02 | 3835 | 216|0"/>
  </r>
  <r>
    <x v="3"/>
    <s v="04-0001"/>
    <x v="3"/>
    <s v="210|0"/>
    <x v="0"/>
    <x v="3"/>
    <s v="2119"/>
    <n v="2556"/>
    <n v="2648.75"/>
    <n v="52.975000000000001"/>
    <n v="53"/>
    <x v="6"/>
    <s v="346"/>
    <x v="0"/>
    <s v="56-A03-R | 2119 | 210|0"/>
  </r>
  <r>
    <x v="3"/>
    <s v="04-0001"/>
    <x v="3"/>
    <s v="697|0"/>
    <x v="0"/>
    <x v="4"/>
    <s v="980"/>
    <n v="2563"/>
    <n v="1225"/>
    <n v="24.5"/>
    <n v="25"/>
    <x v="6"/>
    <s v="381"/>
    <x v="1"/>
    <s v="63-A03-R | 980 | 697|0"/>
  </r>
  <r>
    <x v="3"/>
    <s v="04-0001"/>
    <x v="3"/>
    <s v="148|0"/>
    <x v="0"/>
    <x v="5"/>
    <s v="4864"/>
    <n v="2550"/>
    <n v="4864"/>
    <n v="97.28"/>
    <n v="97"/>
    <x v="2"/>
    <s v="315"/>
    <x v="2"/>
    <s v="50-A04 | 4864 | 148|0"/>
  </r>
  <r>
    <x v="3"/>
    <s v="04-0001"/>
    <x v="3"/>
    <s v="144|0"/>
    <x v="0"/>
    <x v="6"/>
    <s v="4608"/>
    <n v="2550"/>
    <n v="4608"/>
    <n v="92.16"/>
    <n v="92"/>
    <x v="2"/>
    <s v="315"/>
    <x v="2"/>
    <s v="50-A05 | 4608 | 144|0"/>
  </r>
  <r>
    <x v="3"/>
    <s v="04-0001"/>
    <x v="3"/>
    <s v="212|0"/>
    <x v="0"/>
    <x v="7"/>
    <s v="3259"/>
    <n v="2560"/>
    <n v="4073.75"/>
    <n v="81.474999999999994"/>
    <n v="81"/>
    <x v="6"/>
    <s v="354"/>
    <x v="3"/>
    <s v="60-A06 | 3259 | 212|0"/>
  </r>
  <r>
    <x v="3"/>
    <s v="04-0001"/>
    <x v="3"/>
    <s v="294|0"/>
    <x v="0"/>
    <x v="8"/>
    <s v="2388"/>
    <n v="2563"/>
    <n v="2985"/>
    <n v="59.7"/>
    <n v="60"/>
    <x v="6"/>
    <s v="382"/>
    <x v="1"/>
    <s v="63-A07 | 2388 | 294|0"/>
  </r>
  <r>
    <x v="3"/>
    <s v="04-0001"/>
    <x v="3"/>
    <s v="289|0"/>
    <x v="0"/>
    <x v="9"/>
    <s v="309"/>
    <n v="2563"/>
    <n v="386.25"/>
    <n v="7.7249999999999996"/>
    <n v="8"/>
    <x v="6"/>
    <s v="381"/>
    <x v="1"/>
    <s v="63-A07-R | 309 | 289|0"/>
  </r>
  <r>
    <x v="3"/>
    <s v="04-0001"/>
    <x v="3"/>
    <s v="211|0"/>
    <x v="0"/>
    <x v="10"/>
    <s v="4308"/>
    <n v="2557"/>
    <n v="5385"/>
    <n v="107.7"/>
    <n v="108"/>
    <x v="6"/>
    <s v="346"/>
    <x v="0"/>
    <s v="57-A08-R | 4308 | 211|0"/>
  </r>
  <r>
    <x v="3"/>
    <s v="04-0001"/>
    <x v="3"/>
    <s v="223|0"/>
    <x v="0"/>
    <x v="11"/>
    <s v="3861"/>
    <n v="2557"/>
    <n v="4826.25"/>
    <n v="96.525000000000006"/>
    <n v="97"/>
    <x v="6"/>
    <s v="346"/>
    <x v="0"/>
    <s v="57-A09-R | 3861 | 223|0"/>
  </r>
  <r>
    <x v="3"/>
    <s v="04-0001"/>
    <x v="3"/>
    <s v="149|0"/>
    <x v="0"/>
    <x v="12"/>
    <s v="2785"/>
    <n v="2549"/>
    <n v="2785"/>
    <n v="55.7"/>
    <n v="56"/>
    <x v="2"/>
    <s v="317"/>
    <x v="2"/>
    <s v="49-A10-R | 2785 | 149|0"/>
  </r>
  <r>
    <x v="3"/>
    <s v="04-0001"/>
    <x v="3"/>
    <s v="146|0"/>
    <x v="0"/>
    <x v="13"/>
    <s v="2421"/>
    <n v="2549"/>
    <n v="2421"/>
    <n v="48.42"/>
    <n v="48"/>
    <x v="2"/>
    <s v="317"/>
    <x v="2"/>
    <s v="49-A11-R | 2421 | 146|0"/>
  </r>
  <r>
    <x v="3"/>
    <s v="04-0001"/>
    <x v="3"/>
    <s v="151|0"/>
    <x v="0"/>
    <x v="14"/>
    <s v="3764"/>
    <n v="2549"/>
    <n v="3764"/>
    <n v="75.28"/>
    <n v="75"/>
    <x v="2"/>
    <s v="317"/>
    <x v="2"/>
    <s v="49-A12-R | 3764 | 151|0"/>
  </r>
  <r>
    <x v="3"/>
    <s v="04-0001"/>
    <x v="3"/>
    <s v="152|0"/>
    <x v="0"/>
    <x v="15"/>
    <s v="2893"/>
    <n v="2549"/>
    <n v="2893"/>
    <n v="57.86"/>
    <n v="58"/>
    <x v="2"/>
    <s v="317"/>
    <x v="2"/>
    <s v="49-A13-R | 2893 | 152|0"/>
  </r>
  <r>
    <x v="3"/>
    <s v="04-0001"/>
    <x v="3"/>
    <s v="573|0"/>
    <x v="1"/>
    <x v="16"/>
    <s v="2868"/>
    <n v="2565"/>
    <n v="3585"/>
    <n v="71.7"/>
    <n v="72"/>
    <x v="6"/>
    <s v="396"/>
    <x v="1"/>
    <s v="65-B01 | 2868 | 573|0"/>
  </r>
  <r>
    <x v="3"/>
    <s v="04-0001"/>
    <x v="3"/>
    <s v="578|0"/>
    <x v="1"/>
    <x v="17"/>
    <s v="3480"/>
    <n v="2564"/>
    <n v="4350"/>
    <n v="87"/>
    <n v="87"/>
    <x v="6"/>
    <s v="396"/>
    <x v="4"/>
    <s v="64-B02 | 3480 | 578|0"/>
  </r>
  <r>
    <x v="3"/>
    <s v="04-0001"/>
    <x v="3"/>
    <s v="524|0"/>
    <x v="1"/>
    <x v="18"/>
    <s v="4231"/>
    <n v="2557"/>
    <n v="5288.75"/>
    <n v="105.77500000000001"/>
    <n v="106"/>
    <x v="6"/>
    <s v="352"/>
    <x v="0"/>
    <s v="57-B03 | 4231 | 524|0"/>
  </r>
  <r>
    <x v="3"/>
    <s v="04-0001"/>
    <x v="3"/>
    <s v="531|0"/>
    <x v="1"/>
    <x v="19"/>
    <s v="3851"/>
    <n v="2560"/>
    <n v="4813.75"/>
    <n v="96.275000000000006"/>
    <n v="96"/>
    <x v="6"/>
    <s v="355"/>
    <x v="3"/>
    <s v="60-B04 | 3851 | 531|0"/>
  </r>
  <r>
    <x v="3"/>
    <s v="04-0001"/>
    <x v="3"/>
    <s v="574|0"/>
    <x v="1"/>
    <x v="20"/>
    <s v="3140"/>
    <n v="2564"/>
    <n v="3925"/>
    <n v="78.5"/>
    <n v="79"/>
    <x v="6"/>
    <s v="396"/>
    <x v="4"/>
    <s v="64-B05 | 3140 | 574|0"/>
  </r>
  <r>
    <x v="3"/>
    <s v="04-0001"/>
    <x v="3"/>
    <s v="577|0"/>
    <x v="1"/>
    <x v="21"/>
    <s v="3671"/>
    <n v="2564"/>
    <n v="4588.75"/>
    <n v="91.775000000000006"/>
    <n v="92"/>
    <x v="6"/>
    <s v="396"/>
    <x v="4"/>
    <s v="64-B06 | 3671 | 577|0"/>
  </r>
  <r>
    <x v="3"/>
    <s v="04-0001"/>
    <x v="3"/>
    <s v="456|0"/>
    <x v="1"/>
    <x v="22"/>
    <s v="4022"/>
    <n v="2550"/>
    <n v="4022"/>
    <n v="80.44"/>
    <n v="80"/>
    <x v="2"/>
    <s v="322"/>
    <x v="2"/>
    <s v="50-B07 | 4022 | 456|0"/>
  </r>
  <r>
    <x v="3"/>
    <s v="04-0001"/>
    <x v="3"/>
    <s v="528|0"/>
    <x v="1"/>
    <x v="23"/>
    <s v="3476"/>
    <n v="2560"/>
    <n v="4345"/>
    <n v="86.9"/>
    <n v="87"/>
    <x v="6"/>
    <s v="355"/>
    <x v="3"/>
    <s v="60-B08 | 3476 | 528|0"/>
  </r>
  <r>
    <x v="3"/>
    <s v="04-0001"/>
    <x v="3"/>
    <s v="517|0"/>
    <x v="1"/>
    <x v="24"/>
    <s v="4127"/>
    <n v="2560"/>
    <n v="5158.75"/>
    <n v="103.175"/>
    <n v="103"/>
    <x v="6"/>
    <s v="355"/>
    <x v="3"/>
    <s v="60-B09 | 4127 | 517|0"/>
  </r>
  <r>
    <x v="3"/>
    <s v="04-0001"/>
    <x v="3"/>
    <s v="453|0"/>
    <x v="1"/>
    <x v="25"/>
    <s v="4245"/>
    <n v="2550"/>
    <n v="4245"/>
    <n v="84.9"/>
    <n v="85"/>
    <x v="2"/>
    <s v="322"/>
    <x v="2"/>
    <s v="50-B10 | 4245 | 453|0"/>
  </r>
  <r>
    <x v="3"/>
    <s v="04-0001"/>
    <x v="3"/>
    <s v="579|0"/>
    <x v="1"/>
    <x v="26"/>
    <s v="3193"/>
    <n v="2565"/>
    <n v="3991.25"/>
    <n v="79.825000000000003"/>
    <n v="80"/>
    <x v="6"/>
    <s v="396"/>
    <x v="1"/>
    <s v="65-B11 | 3193 | 579|0"/>
  </r>
  <r>
    <x v="3"/>
    <s v="04-0001"/>
    <x v="3"/>
    <s v="525|0"/>
    <x v="1"/>
    <x v="27"/>
    <s v="4265"/>
    <n v="2557"/>
    <n v="5331.25"/>
    <n v="106.625"/>
    <n v="107"/>
    <x v="6"/>
    <s v="352"/>
    <x v="0"/>
    <s v="57-B12 | 4265 | 525|0"/>
  </r>
  <r>
    <x v="3"/>
    <s v="04-0001"/>
    <x v="3"/>
    <s v="452|0"/>
    <x v="1"/>
    <x v="28"/>
    <s v="4192"/>
    <n v="2549"/>
    <n v="4192"/>
    <n v="83.84"/>
    <n v="84"/>
    <x v="2"/>
    <s v="322"/>
    <x v="5"/>
    <s v="49-B13 | 4192 | 452|0"/>
  </r>
  <r>
    <x v="3"/>
    <s v="04-0001"/>
    <x v="3"/>
    <s v="457|0"/>
    <x v="1"/>
    <x v="29"/>
    <s v="126"/>
    <n v="2530"/>
    <n v="126"/>
    <n v="2.52"/>
    <n v="3"/>
    <x v="2"/>
    <s v="14"/>
    <x v="5"/>
    <s v="30-B14 | 126 | 457|0"/>
  </r>
  <r>
    <x v="3"/>
    <s v="04-0001"/>
    <x v="3"/>
    <s v="519|0"/>
    <x v="1"/>
    <x v="30"/>
    <s v="1663"/>
    <n v="2557"/>
    <n v="2078.75"/>
    <n v="41.575000000000003"/>
    <n v="42"/>
    <x v="6"/>
    <s v="352"/>
    <x v="0"/>
    <s v="57-B14 | 1663 | 519|0"/>
  </r>
  <r>
    <x v="3"/>
    <s v="04-0001"/>
    <x v="3"/>
    <s v="225|0"/>
    <x v="0"/>
    <x v="31"/>
    <s v="2707"/>
    <n v="2560"/>
    <n v="3383.75"/>
    <n v="67.674999999999997"/>
    <n v="68"/>
    <x v="6"/>
    <s v="353"/>
    <x v="3"/>
    <s v="60-C01-R | 2707 | 225|0"/>
  </r>
  <r>
    <x v="3"/>
    <s v="04-0001"/>
    <x v="3"/>
    <s v="222|0"/>
    <x v="0"/>
    <x v="32"/>
    <s v="2132"/>
    <n v="2560"/>
    <n v="2665"/>
    <n v="53.3"/>
    <n v="53"/>
    <x v="6"/>
    <s v="353"/>
    <x v="3"/>
    <s v="60-C02-R | 2132 | 222|0"/>
  </r>
  <r>
    <x v="3"/>
    <s v="04-0001"/>
    <x v="3"/>
    <s v="220|0"/>
    <x v="0"/>
    <x v="33"/>
    <s v="3333"/>
    <n v="2559"/>
    <n v="4166.25"/>
    <n v="83.325000000000003"/>
    <n v="83"/>
    <x v="6"/>
    <s v="353"/>
    <x v="3"/>
    <s v="59-C03-R | 3333 | 220|0"/>
  </r>
  <r>
    <x v="3"/>
    <s v="04-0001"/>
    <x v="3"/>
    <s v="215|0"/>
    <x v="0"/>
    <x v="34"/>
    <s v="2525"/>
    <n v="2559"/>
    <n v="3156.25"/>
    <n v="63.125"/>
    <n v="63"/>
    <x v="6"/>
    <s v="353"/>
    <x v="3"/>
    <s v="59-C04-R | 2525 | 215|0"/>
  </r>
  <r>
    <x v="3"/>
    <s v="04-0001"/>
    <x v="3"/>
    <s v="154|0"/>
    <x v="0"/>
    <x v="35"/>
    <s v="184"/>
    <n v="2522"/>
    <n v="184"/>
    <n v="3.68"/>
    <n v="4"/>
    <x v="2"/>
    <s v="278"/>
    <x v="5"/>
    <s v="22-C05-R | 184 | 154|0"/>
  </r>
  <r>
    <x v="3"/>
    <s v="04-0001"/>
    <x v="3"/>
    <s v="147|0"/>
    <x v="0"/>
    <x v="36"/>
    <s v="2792"/>
    <n v="2550"/>
    <n v="2792"/>
    <n v="55.84"/>
    <n v="56"/>
    <x v="2"/>
    <s v="310"/>
    <x v="2"/>
    <s v="50-C05-R | 2792 | 147|0"/>
  </r>
  <r>
    <x v="3"/>
    <s v="04-0001"/>
    <x v="3"/>
    <s v="219|0"/>
    <x v="0"/>
    <x v="37"/>
    <s v="720"/>
    <n v="2560"/>
    <n v="900"/>
    <n v="18"/>
    <n v="18"/>
    <x v="6"/>
    <s v="353"/>
    <x v="3"/>
    <s v="60-C05-R | 720 | 219|0"/>
  </r>
  <r>
    <x v="3"/>
    <s v="04-0001"/>
    <x v="3"/>
    <s v="209|0"/>
    <x v="0"/>
    <x v="38"/>
    <s v="300"/>
    <n v="2557"/>
    <n v="375"/>
    <n v="7.5"/>
    <n v="8"/>
    <x v="6"/>
    <s v="392"/>
    <x v="0"/>
    <s v="57-C06 | 300 | 209|0"/>
  </r>
  <r>
    <x v="3"/>
    <s v="04-0001"/>
    <x v="3"/>
    <s v="214|0"/>
    <x v="0"/>
    <x v="39"/>
    <s v="2495"/>
    <n v="2557"/>
    <n v="3118.75"/>
    <n v="62.375"/>
    <n v="62"/>
    <x v="6"/>
    <s v="348"/>
    <x v="0"/>
    <s v="57-C06-R | 2495 | 214|0"/>
  </r>
  <r>
    <x v="3"/>
    <s v="04-0001"/>
    <x v="3"/>
    <s v="150|0"/>
    <x v="0"/>
    <x v="40"/>
    <s v="4202"/>
    <n v="2550"/>
    <n v="4202"/>
    <n v="84.04"/>
    <n v="84"/>
    <x v="2"/>
    <s v="310"/>
    <x v="2"/>
    <s v="50-C07-R | 4202 | 150|0"/>
  </r>
  <r>
    <x v="3"/>
    <s v="04-0001"/>
    <x v="3"/>
    <s v="221|0"/>
    <x v="0"/>
    <x v="41"/>
    <s v="2888"/>
    <n v="2559"/>
    <n v="3610"/>
    <n v="72.2"/>
    <n v="72"/>
    <x v="6"/>
    <s v="353"/>
    <x v="3"/>
    <s v="59-C08-R | 2888 | 221|0"/>
  </r>
  <r>
    <x v="3"/>
    <s v="04-0001"/>
    <x v="3"/>
    <s v="213|0"/>
    <x v="0"/>
    <x v="42"/>
    <s v="1905"/>
    <n v="2559"/>
    <n v="2381.25"/>
    <n v="47.625"/>
    <n v="48"/>
    <x v="6"/>
    <s v="353"/>
    <x v="3"/>
    <s v="59-C09-R | 1905 | 213|0"/>
  </r>
  <r>
    <x v="3"/>
    <s v="04-0001"/>
    <x v="3"/>
    <s v="218|0"/>
    <x v="0"/>
    <x v="43"/>
    <s v="3106"/>
    <n v="2556"/>
    <n v="3882.5"/>
    <n v="77.650000000000006"/>
    <n v="78"/>
    <x v="6"/>
    <s v="348"/>
    <x v="0"/>
    <s v="56-C10-R | 3106 | 218|0"/>
  </r>
  <r>
    <x v="3"/>
    <s v="04-0001"/>
    <x v="3"/>
    <s v="224|0"/>
    <x v="0"/>
    <x v="44"/>
    <s v="2291"/>
    <n v="2559"/>
    <n v="2863.75"/>
    <n v="57.274999999999999"/>
    <n v="57"/>
    <x v="6"/>
    <s v="353"/>
    <x v="3"/>
    <s v="59-C11-R | 2291 | 224|0"/>
  </r>
  <r>
    <x v="3"/>
    <s v="04-0001"/>
    <x v="3"/>
    <s v="296|0"/>
    <x v="0"/>
    <x v="45"/>
    <s v="2531"/>
    <n v="2565"/>
    <n v="3163.75"/>
    <n v="63.274999999999999"/>
    <n v="63"/>
    <x v="6"/>
    <s v="395"/>
    <x v="1"/>
    <s v="65-D01-R | 2531 | 296|0"/>
  </r>
  <r>
    <x v="3"/>
    <s v="04-0001"/>
    <x v="3"/>
    <s v="290|0"/>
    <x v="0"/>
    <x v="46"/>
    <s v="2853"/>
    <n v="2564"/>
    <n v="3566.25"/>
    <n v="71.325000000000003"/>
    <n v="71"/>
    <x v="6"/>
    <s v="395"/>
    <x v="1"/>
    <s v="64-D02-R | 2853 | 290|0"/>
  </r>
  <r>
    <x v="3"/>
    <s v="04-0001"/>
    <x v="3"/>
    <s v="293|0"/>
    <x v="0"/>
    <x v="47"/>
    <s v="2803"/>
    <n v="2565"/>
    <n v="3503.75"/>
    <n v="70.075000000000003"/>
    <n v="70"/>
    <x v="6"/>
    <s v="395"/>
    <x v="1"/>
    <s v="65-D03-R | 2803 | 293|0"/>
  </r>
  <r>
    <x v="3"/>
    <s v="04-0001"/>
    <x v="3"/>
    <s v="295|0"/>
    <x v="0"/>
    <x v="48"/>
    <s v="2819"/>
    <n v="2565"/>
    <n v="3523.75"/>
    <n v="70.474999999999994"/>
    <n v="70"/>
    <x v="6"/>
    <s v="395"/>
    <x v="1"/>
    <s v="65-D04-R | 2819 | 295|0"/>
  </r>
  <r>
    <x v="3"/>
    <s v="04-0001"/>
    <x v="3"/>
    <s v="291|0"/>
    <x v="0"/>
    <x v="49"/>
    <s v="2687"/>
    <n v="2565"/>
    <n v="3358.75"/>
    <n v="67.174999999999997"/>
    <n v="67"/>
    <x v="6"/>
    <s v="395"/>
    <x v="1"/>
    <s v="65-D05-R | 2687 | 291|0"/>
  </r>
  <r>
    <x v="3"/>
    <s v="04-0001"/>
    <x v="3"/>
    <s v="356|0"/>
    <x v="0"/>
    <x v="50"/>
    <s v="2865"/>
    <n v="2567"/>
    <n v="1432.5"/>
    <n v="28.65"/>
    <n v="29"/>
    <x v="3"/>
    <s v="375"/>
    <x v="6"/>
    <s v="67-D06-R | 2865 | 356|0"/>
  </r>
  <r>
    <x v="3"/>
    <s v="04-0001"/>
    <x v="3"/>
    <s v="217|0"/>
    <x v="0"/>
    <x v="51"/>
    <s v="3931"/>
    <n v="2556"/>
    <n v="4913.75"/>
    <n v="98.275000000000006"/>
    <n v="98"/>
    <x v="6"/>
    <s v="349"/>
    <x v="0"/>
    <s v="56-D07-R | 3931 | 217|0"/>
  </r>
  <r>
    <x v="3"/>
    <s v="04-0001"/>
    <x v="3"/>
    <s v="297|0"/>
    <x v="0"/>
    <x v="52"/>
    <s v="2365"/>
    <n v="2563"/>
    <n v="2956.25"/>
    <n v="59.125"/>
    <n v="59"/>
    <x v="6"/>
    <s v="395"/>
    <x v="1"/>
    <s v="63-D08-R | 2365 | 297|0"/>
  </r>
  <r>
    <x v="3"/>
    <s v="04-0001"/>
    <x v="3"/>
    <s v="333|0"/>
    <x v="0"/>
    <x v="53"/>
    <s v="2999"/>
    <n v="2566"/>
    <n v="2249.25"/>
    <n v="44.984999999999999"/>
    <n v="45"/>
    <x v="5"/>
    <s v="363"/>
    <x v="7"/>
    <s v="66-D09-R | 2999 | 333|0"/>
  </r>
  <r>
    <x v="3"/>
    <s v="04-0001"/>
    <x v="3"/>
    <s v="357|0"/>
    <x v="0"/>
    <x v="54"/>
    <s v="2167"/>
    <n v="2567"/>
    <n v="1083.5"/>
    <n v="21.67"/>
    <n v="22"/>
    <x v="3"/>
    <s v="374"/>
    <x v="6"/>
    <s v="67-P01-R | 2167 | 357|0"/>
  </r>
  <r>
    <x v="3"/>
    <s v="04-0001"/>
    <x v="3"/>
    <s v="358|0"/>
    <x v="0"/>
    <x v="55"/>
    <s v="2320"/>
    <n v="2567"/>
    <n v="1160"/>
    <n v="23.2"/>
    <n v="23"/>
    <x v="3"/>
    <s v="374"/>
    <x v="6"/>
    <s v="67-P02-R | 2320 | 358|0"/>
  </r>
  <r>
    <x v="3"/>
    <s v="04-0001"/>
    <x v="3"/>
    <s v="330|0"/>
    <x v="0"/>
    <x v="56"/>
    <s v="2550"/>
    <n v="2566"/>
    <n v="1912.5"/>
    <n v="38.25"/>
    <n v="38"/>
    <x v="5"/>
    <s v="362"/>
    <x v="7"/>
    <s v="66-P03-R | 2550 | 330|0"/>
  </r>
  <r>
    <x v="3"/>
    <s v="04-0001"/>
    <x v="3"/>
    <s v="334|0"/>
    <x v="0"/>
    <x v="57"/>
    <s v="2854"/>
    <n v="2566"/>
    <n v="2140.5"/>
    <n v="42.81"/>
    <n v="43"/>
    <x v="5"/>
    <s v="362"/>
    <x v="7"/>
    <s v="66-P04-R | 2854 | 334|0"/>
  </r>
  <r>
    <x v="3"/>
    <s v="04-0001"/>
    <x v="3"/>
    <s v="332|0"/>
    <x v="0"/>
    <x v="58"/>
    <s v="3111"/>
    <n v="2566"/>
    <n v="2333.25"/>
    <n v="46.664999999999999"/>
    <n v="47"/>
    <x v="5"/>
    <s v="362"/>
    <x v="7"/>
    <s v="66-P05-R | 3111 | 332|0"/>
  </r>
  <r>
    <x v="3"/>
    <s v="04-0001"/>
    <x v="3"/>
    <s v="298|0"/>
    <x v="0"/>
    <x v="59"/>
    <s v="2886"/>
    <n v="2564"/>
    <n v="3607.5"/>
    <n v="72.150000000000006"/>
    <n v="72"/>
    <x v="6"/>
    <s v="383"/>
    <x v="1"/>
    <s v="64-P06-R | 2886 | 298|0"/>
  </r>
  <r>
    <x v="3"/>
    <s v="04-0001"/>
    <x v="3"/>
    <s v="153|0"/>
    <x v="0"/>
    <x v="60"/>
    <s v="152"/>
    <n v="2551"/>
    <n v="152"/>
    <n v="3.04"/>
    <n v="3"/>
    <x v="2"/>
    <s v="393"/>
    <x v="2"/>
    <s v="51-P07 | 152 | 153|0"/>
  </r>
  <r>
    <x v="3"/>
    <s v="04-0001"/>
    <x v="3"/>
    <s v="145|0"/>
    <x v="0"/>
    <x v="61"/>
    <s v="401"/>
    <n v="2551"/>
    <n v="401"/>
    <n v="8.02"/>
    <n v="8"/>
    <x v="2"/>
    <s v="312"/>
    <x v="2"/>
    <s v="51-P07-R | 401 | 145|0"/>
  </r>
  <r>
    <x v="3"/>
    <s v="04-0001"/>
    <x v="3"/>
    <s v="288|0"/>
    <x v="0"/>
    <x v="62"/>
    <s v="2579"/>
    <n v="2564"/>
    <n v="3223.75"/>
    <n v="64.474999999999994"/>
    <n v="64"/>
    <x v="6"/>
    <s v="383"/>
    <x v="1"/>
    <s v="64-P07-R | 2579 | 288|0"/>
  </r>
  <r>
    <x v="3"/>
    <s v="04-0001"/>
    <x v="3"/>
    <s v="292|0"/>
    <x v="0"/>
    <x v="63"/>
    <s v="3402"/>
    <n v="2564"/>
    <n v="4252.5"/>
    <n v="85.05"/>
    <n v="85"/>
    <x v="6"/>
    <s v="383"/>
    <x v="1"/>
    <s v="64-P08-R | 3402 | 292|0"/>
  </r>
  <r>
    <x v="3"/>
    <s v="04-0001"/>
    <x v="3"/>
    <s v="300|0"/>
    <x v="0"/>
    <x v="64"/>
    <s v="2192"/>
    <n v="2564"/>
    <n v="2740"/>
    <n v="54.8"/>
    <n v="55"/>
    <x v="6"/>
    <s v="383"/>
    <x v="1"/>
    <s v="64-P09-R | 2192 | 300|0"/>
  </r>
  <r>
    <x v="3"/>
    <s v="04-0001"/>
    <x v="3"/>
    <s v="397|0"/>
    <x v="0"/>
    <x v="65"/>
    <s v="1892"/>
    <n v="2568"/>
    <n v="662.2"/>
    <n v="13.244"/>
    <n v="13"/>
    <x v="8"/>
    <s v="390"/>
    <x v="8"/>
    <s v="68-PU1 | 1892 | 397|0"/>
  </r>
  <r>
    <x v="3"/>
    <s v="04-0001"/>
    <x v="3"/>
    <s v="331|0"/>
    <x v="0"/>
    <x v="66"/>
    <s v="1970"/>
    <n v="2566"/>
    <n v="1477.5"/>
    <n v="29.55"/>
    <n v="30"/>
    <x v="5"/>
    <s v="368"/>
    <x v="7"/>
    <s v="66-PU2 | 1970 | 331|0"/>
  </r>
  <r>
    <x v="3"/>
    <s v="04-0001"/>
    <x v="3"/>
    <s v="395|0"/>
    <x v="0"/>
    <x v="67"/>
    <s v="1686"/>
    <n v="2568"/>
    <n v="590.1"/>
    <n v="11.802"/>
    <n v="12"/>
    <x v="8"/>
    <s v="390"/>
    <x v="8"/>
    <s v="68-PU3 | 1686 | 395|0"/>
  </r>
  <r>
    <x v="3"/>
    <s v="04-0001"/>
    <x v="3"/>
    <s v="396|0"/>
    <x v="0"/>
    <x v="68"/>
    <s v="1380"/>
    <n v="2568"/>
    <n v="483"/>
    <n v="9.66"/>
    <n v="10"/>
    <x v="8"/>
    <s v="390"/>
    <x v="8"/>
    <s v="68-PU4 | 1380 | 396|0"/>
  </r>
  <r>
    <x v="3"/>
    <s v="04-0001"/>
    <x v="3"/>
    <s v="401|0"/>
    <x v="0"/>
    <x v="69"/>
    <s v="751"/>
    <n v="2568"/>
    <n v="262.85000000000002"/>
    <n v="5.2569999999999997"/>
    <n v="5"/>
    <x v="8"/>
    <s v="394"/>
    <x v="8"/>
    <s v="68-PU5 | 751 | 401|0"/>
  </r>
  <r>
    <x v="3"/>
    <s v="04-0001"/>
    <x v="3"/>
    <s v="399|0"/>
    <x v="0"/>
    <x v="70"/>
    <s v="1168"/>
    <n v="2568"/>
    <n v="408.8"/>
    <n v="8.1760000000000002"/>
    <n v="8"/>
    <x v="8"/>
    <s v="389"/>
    <x v="8"/>
    <s v="68-PU5-R | 1168 | 399|0"/>
  </r>
  <r>
    <x v="3"/>
    <s v="04-0001"/>
    <x v="3"/>
    <s v="400|0"/>
    <x v="0"/>
    <x v="71"/>
    <s v="145"/>
    <n v="2568"/>
    <n v="50.75"/>
    <n v="1.0149999999999999"/>
    <n v="1"/>
    <x v="8"/>
    <s v="394"/>
    <x v="8"/>
    <s v="68-PU6 | 145 | 400|0"/>
  </r>
  <r>
    <x v="3"/>
    <s v="04-0001"/>
    <x v="3"/>
    <s v="398|0"/>
    <x v="0"/>
    <x v="72"/>
    <s v="1547"/>
    <n v="2568"/>
    <n v="541.45000000000005"/>
    <n v="10.829000000000001"/>
    <n v="11"/>
    <x v="8"/>
    <s v="389"/>
    <x v="8"/>
    <s v="68-PU6-R | 1547 | 398|0"/>
  </r>
  <r>
    <x v="3"/>
    <s v="04-0001"/>
    <x v="3"/>
    <s v="663|0"/>
    <x v="1"/>
    <x v="73"/>
    <s v="3171"/>
    <n v="2568"/>
    <n v="1109.8499999999999"/>
    <n v="22.196999999999999"/>
    <n v="22"/>
    <x v="8"/>
    <s v="388"/>
    <x v="8"/>
    <s v="68-T01 | 3171 | 663|0"/>
  </r>
  <r>
    <x v="3"/>
    <s v="04-0001"/>
    <x v="3"/>
    <s v="662|0"/>
    <x v="1"/>
    <x v="74"/>
    <s v="2950"/>
    <n v="2568"/>
    <n v="1032.5"/>
    <n v="20.65"/>
    <n v="21"/>
    <x v="8"/>
    <s v="388"/>
    <x v="8"/>
    <s v="68-T02 | 2950 | 662|0"/>
  </r>
  <r>
    <x v="3"/>
    <s v="04-0001"/>
    <x v="3"/>
    <s v="600|0"/>
    <x v="1"/>
    <x v="75"/>
    <s v="2449"/>
    <n v="2566"/>
    <n v="1836.75"/>
    <n v="36.734999999999999"/>
    <n v="37"/>
    <x v="5"/>
    <s v="364"/>
    <x v="7"/>
    <s v="66-T03 | 2449 | 600|0"/>
  </r>
  <r>
    <x v="3"/>
    <s v="04-0001"/>
    <x v="3"/>
    <s v="603|0"/>
    <x v="1"/>
    <x v="76"/>
    <s v="2014"/>
    <n v="2566"/>
    <n v="1510.5"/>
    <n v="30.21"/>
    <n v="30"/>
    <x v="5"/>
    <s v="364"/>
    <x v="7"/>
    <s v="66-T04 | 2014 | 603|0"/>
  </r>
  <r>
    <x v="3"/>
    <s v="04-0001"/>
    <x v="3"/>
    <s v="572|0"/>
    <x v="1"/>
    <x v="77"/>
    <s v="3037"/>
    <n v="2563"/>
    <n v="3796.25"/>
    <n v="75.924999999999997"/>
    <n v="76"/>
    <x v="6"/>
    <s v="385"/>
    <x v="1"/>
    <s v="63-T05-R | 3037 | 572|0"/>
  </r>
  <r>
    <x v="3"/>
    <s v="04-0001"/>
    <x v="3"/>
    <s v="601|0"/>
    <x v="1"/>
    <x v="78"/>
    <s v="2898"/>
    <n v="2566"/>
    <n v="2173.5"/>
    <n v="43.47"/>
    <n v="43"/>
    <x v="5"/>
    <s v="364"/>
    <x v="7"/>
    <s v="66-T06 | 2898 | 601|0"/>
  </r>
  <r>
    <x v="3"/>
    <s v="04-0001"/>
    <x v="3"/>
    <s v="602|0"/>
    <x v="1"/>
    <x v="79"/>
    <s v="2364"/>
    <n v="2566"/>
    <n v="1773"/>
    <n v="35.46"/>
    <n v="35"/>
    <x v="5"/>
    <s v="364"/>
    <x v="7"/>
    <s v="66-T07 | 2364 | 602|0"/>
  </r>
  <r>
    <x v="3"/>
    <s v="04-0001"/>
    <x v="3"/>
    <s v="518|0"/>
    <x v="1"/>
    <x v="80"/>
    <s v="213"/>
    <n v="2556"/>
    <n v="266.25"/>
    <n v="5.3250000000000002"/>
    <n v="5"/>
    <x v="6"/>
    <s v="351"/>
    <x v="0"/>
    <s v="56-T08 | 213 | 518|0"/>
  </r>
  <r>
    <x v="3"/>
    <s v="04-0001"/>
    <x v="3"/>
    <s v="516|0"/>
    <x v="1"/>
    <x v="81"/>
    <s v="2816"/>
    <n v="2556"/>
    <n v="3520"/>
    <n v="70.400000000000006"/>
    <n v="70"/>
    <x v="6"/>
    <s v="350"/>
    <x v="0"/>
    <s v="56-T08-R | 2816 | 516|0"/>
  </r>
  <r>
    <x v="3"/>
    <s v="04-0001"/>
    <x v="3"/>
    <s v="523|0"/>
    <x v="1"/>
    <x v="82"/>
    <s v="2934"/>
    <n v="2558"/>
    <n v="3667.5"/>
    <n v="73.349999999999994"/>
    <n v="73"/>
    <x v="6"/>
    <s v="350"/>
    <x v="0"/>
    <s v="58-T09-R | 2934 | 523|0"/>
  </r>
  <r>
    <x v="3"/>
    <s v="04-0001"/>
    <x v="3"/>
    <s v="451|0"/>
    <x v="1"/>
    <x v="83"/>
    <s v="2872"/>
    <n v="2550"/>
    <n v="2872"/>
    <n v="57.44"/>
    <n v="57"/>
    <x v="2"/>
    <s v="320"/>
    <x v="2"/>
    <s v="50-T10-R | 2872 | 451|0"/>
  </r>
  <r>
    <x v="3"/>
    <s v="04-0001"/>
    <x v="3"/>
    <s v="628|0"/>
    <x v="1"/>
    <x v="84"/>
    <s v="61"/>
    <n v="2567"/>
    <n v="30.5"/>
    <n v="0.61"/>
    <n v="1"/>
    <x v="3"/>
    <s v="379"/>
    <x v="6"/>
    <s v="67-T10 | 61 | 628|0"/>
  </r>
  <r>
    <x v="3"/>
    <s v="04-0001"/>
    <x v="3"/>
    <s v="522|0"/>
    <x v="1"/>
    <x v="85"/>
    <s v="2903"/>
    <n v="2558"/>
    <n v="3628.75"/>
    <n v="72.575000000000003"/>
    <n v="73"/>
    <x v="6"/>
    <s v="350"/>
    <x v="0"/>
    <s v="58-T11-R | 2903 | 522|0"/>
  </r>
  <r>
    <x v="3"/>
    <s v="04-0001"/>
    <x v="3"/>
    <s v="458|0"/>
    <x v="1"/>
    <x v="86"/>
    <s v="3030"/>
    <n v="2550"/>
    <n v="3030"/>
    <n v="60.6"/>
    <n v="61"/>
    <x v="2"/>
    <s v="320"/>
    <x v="2"/>
    <s v="50-T12-R | 3030 | 458|0"/>
  </r>
  <r>
    <x v="3"/>
    <s v="04-0001"/>
    <x v="3"/>
    <s v="527|0"/>
    <x v="1"/>
    <x v="87"/>
    <s v="2864"/>
    <n v="2558"/>
    <n v="3580"/>
    <n v="71.599999999999994"/>
    <n v="72"/>
    <x v="6"/>
    <s v="350"/>
    <x v="0"/>
    <s v="58-T13-R | 2864 | 527|0"/>
  </r>
  <r>
    <x v="3"/>
    <s v="04-0001"/>
    <x v="3"/>
    <s v="454|0"/>
    <x v="1"/>
    <x v="88"/>
    <s v="112"/>
    <n v="2549"/>
    <n v="112"/>
    <n v="2.2400000000000002"/>
    <n v="2"/>
    <x v="2"/>
    <s v="320"/>
    <x v="2"/>
    <s v="49-T16-R | 112 | 454|0"/>
  </r>
  <r>
    <x v="3"/>
    <s v="04-0001"/>
    <x v="3"/>
    <s v="530|0"/>
    <x v="1"/>
    <x v="89"/>
    <s v="2825"/>
    <n v="2558"/>
    <n v="3531.25"/>
    <n v="70.625"/>
    <n v="71"/>
    <x v="6"/>
    <s v="350"/>
    <x v="0"/>
    <s v="58-T17-R | 2825 | 530|0"/>
  </r>
  <r>
    <x v="3"/>
    <s v="04-0001"/>
    <x v="3"/>
    <s v="521|0"/>
    <x v="1"/>
    <x v="90"/>
    <s v="2843"/>
    <n v="2558"/>
    <n v="3553.75"/>
    <n v="71.075000000000003"/>
    <n v="71"/>
    <x v="6"/>
    <s v="350"/>
    <x v="0"/>
    <s v="58-T18-R | 2843 | 521|0"/>
  </r>
  <r>
    <x v="3"/>
    <s v="04-0001"/>
    <x v="3"/>
    <s v="629|0"/>
    <x v="1"/>
    <x v="91"/>
    <s v="171"/>
    <n v="2567"/>
    <n v="85.5"/>
    <n v="1.71"/>
    <n v="2"/>
    <x v="3"/>
    <s v="379"/>
    <x v="6"/>
    <s v="67-T18 | 171 | 629|0"/>
  </r>
  <r>
    <x v="3"/>
    <s v="04-0001"/>
    <x v="3"/>
    <s v="520|0"/>
    <x v="1"/>
    <x v="92"/>
    <s v="3199"/>
    <n v="2556"/>
    <n v="3998.75"/>
    <n v="79.974999999999994"/>
    <n v="80"/>
    <x v="6"/>
    <s v="350"/>
    <x v="0"/>
    <s v="56-T19-R | 3199 | 520|0"/>
  </r>
  <r>
    <x v="3"/>
    <s v="04-0001"/>
    <x v="3"/>
    <s v="455|0"/>
    <x v="1"/>
    <x v="93"/>
    <s v="2833"/>
    <n v="2549"/>
    <n v="2833"/>
    <n v="56.66"/>
    <n v="57"/>
    <x v="2"/>
    <s v="320"/>
    <x v="2"/>
    <s v="49-T20-R | 2833 | 455|0"/>
  </r>
  <r>
    <x v="3"/>
    <s v="04-0001"/>
    <x v="3"/>
    <s v="526|0"/>
    <x v="1"/>
    <x v="94"/>
    <s v="3015"/>
    <n v="2556"/>
    <n v="3768.75"/>
    <n v="75.375"/>
    <n v="75"/>
    <x v="6"/>
    <s v="350"/>
    <x v="0"/>
    <s v="56-T21-R | 3015 | 526|0"/>
  </r>
  <r>
    <x v="3"/>
    <s v="04-0001"/>
    <x v="3"/>
    <s v="626|0"/>
    <x v="1"/>
    <x v="95"/>
    <s v="241"/>
    <n v="2567"/>
    <n v="120.5"/>
    <n v="2.41"/>
    <n v="2"/>
    <x v="3"/>
    <s v="379"/>
    <x v="6"/>
    <s v="67-T21 | 241 | 626|0"/>
  </r>
  <r>
    <x v="3"/>
    <s v="04-0001"/>
    <x v="3"/>
    <s v="575|0"/>
    <x v="1"/>
    <x v="96"/>
    <s v="842"/>
    <n v="2563"/>
    <n v="1052.5"/>
    <n v="21.05"/>
    <n v="21"/>
    <x v="6"/>
    <s v="385"/>
    <x v="1"/>
    <s v="63-T22-R | 842 | 575|0"/>
  </r>
  <r>
    <x v="3"/>
    <s v="04-0001"/>
    <x v="3"/>
    <s v="576|0"/>
    <x v="1"/>
    <x v="97"/>
    <s v="844"/>
    <n v="2563"/>
    <n v="1055"/>
    <n v="21.1"/>
    <n v="21"/>
    <x v="6"/>
    <s v="385"/>
    <x v="1"/>
    <s v="63-T23-R | 844 | 576|0"/>
  </r>
  <r>
    <x v="3"/>
    <s v="04-0001"/>
    <x v="3"/>
    <s v="450|0"/>
    <x v="1"/>
    <x v="98"/>
    <s v="92"/>
    <n v="2552"/>
    <n v="92"/>
    <n v="1.84"/>
    <n v="2"/>
    <x v="2"/>
    <s v="320"/>
    <x v="2"/>
    <s v="52-T28-R | 92 | 450|0"/>
  </r>
  <r>
    <x v="3"/>
    <s v="04-0001"/>
    <x v="3"/>
    <s v="529|0"/>
    <x v="1"/>
    <x v="99"/>
    <s v="1403"/>
    <n v="2556"/>
    <n v="1753.75"/>
    <n v="35.075000000000003"/>
    <n v="35"/>
    <x v="6"/>
    <s v="350"/>
    <x v="0"/>
    <s v="56-T28-R | 1403 | 529|0"/>
  </r>
  <r>
    <x v="3"/>
    <s v="04-0001"/>
    <x v="3"/>
    <s v="630|0"/>
    <x v="1"/>
    <x v="100"/>
    <s v="3070"/>
    <n v="2567"/>
    <n v="1535"/>
    <n v="30.7"/>
    <n v="31"/>
    <x v="3"/>
    <s v="376"/>
    <x v="6"/>
    <s v="67-T29 | 3070 | 630|0"/>
  </r>
  <r>
    <x v="3"/>
    <s v="04-0001"/>
    <x v="3"/>
    <s v="627|0"/>
    <x v="1"/>
    <x v="101"/>
    <s v="3270"/>
    <n v="2567"/>
    <n v="1635"/>
    <n v="32.700000000000003"/>
    <n v="33"/>
    <x v="3"/>
    <s v="376"/>
    <x v="6"/>
    <s v="67-T30 | 3270 | 627|0"/>
  </r>
  <r>
    <x v="4"/>
    <s v="04-0003"/>
    <x v="4"/>
    <s v="244|0"/>
    <x v="0"/>
    <x v="0"/>
    <s v="1950"/>
    <n v="2556"/>
    <n v="195"/>
    <n v="7.8"/>
    <n v="8"/>
    <x v="9"/>
    <s v="347"/>
    <x v="0"/>
    <s v="56-A01 | 1950 | 244|0"/>
  </r>
  <r>
    <x v="4"/>
    <s v="04-0003"/>
    <x v="4"/>
    <s v="698|0"/>
    <x v="0"/>
    <x v="1"/>
    <s v="534"/>
    <n v="2563"/>
    <n v="53.4"/>
    <n v="2.1360000000000001"/>
    <n v="2"/>
    <x v="9"/>
    <s v="381"/>
    <x v="1"/>
    <s v="63-A01-R | 534 | 698|0"/>
  </r>
  <r>
    <x v="4"/>
    <s v="04-0003"/>
    <x v="4"/>
    <s v="234|0"/>
    <x v="0"/>
    <x v="2"/>
    <s v="3835"/>
    <n v="2556"/>
    <n v="383.5"/>
    <n v="15.34"/>
    <n v="15"/>
    <x v="9"/>
    <s v="347"/>
    <x v="0"/>
    <s v="56-A02 | 3835 | 234|0"/>
  </r>
  <r>
    <x v="4"/>
    <s v="04-0003"/>
    <x v="4"/>
    <s v="228|0"/>
    <x v="0"/>
    <x v="3"/>
    <s v="2119"/>
    <n v="2556"/>
    <n v="211.9"/>
    <n v="8.4760000000000009"/>
    <n v="8"/>
    <x v="9"/>
    <s v="346"/>
    <x v="0"/>
    <s v="56-A03-R | 2119 | 228|0"/>
  </r>
  <r>
    <x v="4"/>
    <s v="04-0003"/>
    <x v="4"/>
    <s v="699|0"/>
    <x v="0"/>
    <x v="4"/>
    <s v="980"/>
    <n v="2563"/>
    <n v="98"/>
    <n v="3.92"/>
    <n v="4"/>
    <x v="9"/>
    <s v="381"/>
    <x v="1"/>
    <s v="63-A03-R | 980 | 699|0"/>
  </r>
  <r>
    <x v="4"/>
    <s v="04-0003"/>
    <x v="4"/>
    <s v="137|0"/>
    <x v="0"/>
    <x v="5"/>
    <s v="4864"/>
    <n v="2550"/>
    <n v="486.4"/>
    <n v="19.456"/>
    <n v="19"/>
    <x v="9"/>
    <s v="315"/>
    <x v="2"/>
    <s v="50-A04 | 4864 | 137|0"/>
  </r>
  <r>
    <x v="4"/>
    <s v="04-0003"/>
    <x v="4"/>
    <s v="133|0"/>
    <x v="0"/>
    <x v="6"/>
    <s v="4608"/>
    <n v="2550"/>
    <n v="460.8"/>
    <n v="18.431999999999999"/>
    <n v="18"/>
    <x v="9"/>
    <s v="315"/>
    <x v="2"/>
    <s v="50-A05 | 4608 | 133|0"/>
  </r>
  <r>
    <x v="4"/>
    <s v="04-0003"/>
    <x v="4"/>
    <s v="230|0"/>
    <x v="0"/>
    <x v="7"/>
    <s v="3259"/>
    <n v="2560"/>
    <n v="325.89999999999998"/>
    <n v="13.036"/>
    <n v="13"/>
    <x v="9"/>
    <s v="354"/>
    <x v="3"/>
    <s v="60-A06 | 3259 | 230|0"/>
  </r>
  <r>
    <x v="4"/>
    <s v="04-0003"/>
    <x v="4"/>
    <s v="308|0"/>
    <x v="0"/>
    <x v="8"/>
    <s v="2388"/>
    <n v="2563"/>
    <n v="238.8"/>
    <n v="9.5519999999999996"/>
    <n v="10"/>
    <x v="9"/>
    <s v="382"/>
    <x v="1"/>
    <s v="63-A07 | 2388 | 308|0"/>
  </r>
  <r>
    <x v="4"/>
    <s v="04-0003"/>
    <x v="4"/>
    <s v="303|0"/>
    <x v="0"/>
    <x v="9"/>
    <s v="309"/>
    <n v="2563"/>
    <n v="30.9"/>
    <n v="1.236"/>
    <n v="1"/>
    <x v="9"/>
    <s v="381"/>
    <x v="1"/>
    <s v="63-A07-R | 309 | 303|0"/>
  </r>
  <r>
    <x v="4"/>
    <s v="04-0003"/>
    <x v="4"/>
    <s v="229|0"/>
    <x v="0"/>
    <x v="10"/>
    <s v="4308"/>
    <n v="2557"/>
    <n v="430.8"/>
    <n v="17.231999999999999"/>
    <n v="17"/>
    <x v="9"/>
    <s v="346"/>
    <x v="0"/>
    <s v="57-A08-R | 4308 | 229|0"/>
  </r>
  <r>
    <x v="4"/>
    <s v="04-0003"/>
    <x v="4"/>
    <s v="241|0"/>
    <x v="0"/>
    <x v="11"/>
    <s v="3861"/>
    <n v="2557"/>
    <n v="386.1"/>
    <n v="15.444000000000001"/>
    <n v="15"/>
    <x v="9"/>
    <s v="346"/>
    <x v="0"/>
    <s v="57-A09-R | 3861 | 241|0"/>
  </r>
  <r>
    <x v="4"/>
    <s v="04-0003"/>
    <x v="4"/>
    <s v="138|0"/>
    <x v="0"/>
    <x v="12"/>
    <s v="2785"/>
    <n v="2549"/>
    <n v="278.5"/>
    <n v="11.14"/>
    <n v="11"/>
    <x v="9"/>
    <s v="317"/>
    <x v="2"/>
    <s v="49-A10-R | 2785 | 138|0"/>
  </r>
  <r>
    <x v="4"/>
    <s v="04-0003"/>
    <x v="4"/>
    <s v="135|0"/>
    <x v="0"/>
    <x v="13"/>
    <s v="2421"/>
    <n v="2549"/>
    <n v="242.1"/>
    <n v="9.6839999999999993"/>
    <n v="10"/>
    <x v="9"/>
    <s v="317"/>
    <x v="2"/>
    <s v="49-A11-R | 2421 | 135|0"/>
  </r>
  <r>
    <x v="4"/>
    <s v="04-0003"/>
    <x v="4"/>
    <s v="140|0"/>
    <x v="0"/>
    <x v="14"/>
    <s v="3764"/>
    <n v="2549"/>
    <n v="376.4"/>
    <n v="15.055999999999999"/>
    <n v="15"/>
    <x v="9"/>
    <s v="317"/>
    <x v="2"/>
    <s v="49-A12-R | 3764 | 140|0"/>
  </r>
  <r>
    <x v="4"/>
    <s v="04-0003"/>
    <x v="4"/>
    <s v="141|0"/>
    <x v="0"/>
    <x v="15"/>
    <s v="2893"/>
    <n v="2549"/>
    <n v="289.3"/>
    <n v="11.571999999999999"/>
    <n v="12"/>
    <x v="9"/>
    <s v="317"/>
    <x v="2"/>
    <s v="49-A13-R | 2893 | 141|0"/>
  </r>
  <r>
    <x v="4"/>
    <s v="04-0003"/>
    <x v="4"/>
    <s v="581|0"/>
    <x v="1"/>
    <x v="16"/>
    <s v="2868"/>
    <n v="2565"/>
    <n v="286.8"/>
    <n v="11.472"/>
    <n v="11"/>
    <x v="9"/>
    <s v="396"/>
    <x v="1"/>
    <s v="65-B01 | 2868 | 581|0"/>
  </r>
  <r>
    <x v="4"/>
    <s v="04-0003"/>
    <x v="4"/>
    <s v="586|0"/>
    <x v="1"/>
    <x v="17"/>
    <s v="3480"/>
    <n v="2564"/>
    <n v="348"/>
    <n v="13.92"/>
    <n v="14"/>
    <x v="9"/>
    <s v="396"/>
    <x v="4"/>
    <s v="64-B02 | 3480 | 586|0"/>
  </r>
  <r>
    <x v="4"/>
    <s v="04-0003"/>
    <x v="4"/>
    <s v="540|0"/>
    <x v="1"/>
    <x v="18"/>
    <s v="4231"/>
    <n v="2557"/>
    <n v="423.1"/>
    <n v="16.923999999999999"/>
    <n v="17"/>
    <x v="9"/>
    <s v="352"/>
    <x v="0"/>
    <s v="57-B03 | 4231 | 540|0"/>
  </r>
  <r>
    <x v="4"/>
    <s v="04-0003"/>
    <x v="4"/>
    <s v="547|0"/>
    <x v="1"/>
    <x v="19"/>
    <s v="3851"/>
    <n v="2560"/>
    <n v="385.1"/>
    <n v="15.404"/>
    <n v="15"/>
    <x v="9"/>
    <s v="355"/>
    <x v="3"/>
    <s v="60-B04 | 3851 | 547|0"/>
  </r>
  <r>
    <x v="4"/>
    <s v="04-0003"/>
    <x v="4"/>
    <s v="582|0"/>
    <x v="1"/>
    <x v="20"/>
    <s v="3140"/>
    <n v="2564"/>
    <n v="314"/>
    <n v="12.56"/>
    <n v="13"/>
    <x v="9"/>
    <s v="396"/>
    <x v="4"/>
    <s v="64-B05 | 3140 | 582|0"/>
  </r>
  <r>
    <x v="4"/>
    <s v="04-0003"/>
    <x v="4"/>
    <s v="585|0"/>
    <x v="1"/>
    <x v="21"/>
    <s v="3671"/>
    <n v="2564"/>
    <n v="367.1"/>
    <n v="14.683999999999999"/>
    <n v="15"/>
    <x v="9"/>
    <s v="396"/>
    <x v="4"/>
    <s v="64-B06 | 3671 | 585|0"/>
  </r>
  <r>
    <x v="4"/>
    <s v="04-0003"/>
    <x v="4"/>
    <s v="465|0"/>
    <x v="1"/>
    <x v="22"/>
    <s v="4022"/>
    <n v="2550"/>
    <n v="402.2"/>
    <n v="16.088000000000001"/>
    <n v="16"/>
    <x v="9"/>
    <s v="322"/>
    <x v="2"/>
    <s v="50-B07 | 4022 | 465|0"/>
  </r>
  <r>
    <x v="4"/>
    <s v="04-0003"/>
    <x v="4"/>
    <s v="544|0"/>
    <x v="1"/>
    <x v="23"/>
    <s v="3476"/>
    <n v="2560"/>
    <n v="347.6"/>
    <n v="13.904"/>
    <n v="14"/>
    <x v="9"/>
    <s v="355"/>
    <x v="3"/>
    <s v="60-B08 | 3476 | 544|0"/>
  </r>
  <r>
    <x v="4"/>
    <s v="04-0003"/>
    <x v="4"/>
    <s v="533|0"/>
    <x v="1"/>
    <x v="24"/>
    <s v="4127"/>
    <n v="2560"/>
    <n v="412.7"/>
    <n v="16.507999999999999"/>
    <n v="17"/>
    <x v="9"/>
    <s v="355"/>
    <x v="3"/>
    <s v="60-B09 | 4127 | 533|0"/>
  </r>
  <r>
    <x v="4"/>
    <s v="04-0003"/>
    <x v="4"/>
    <s v="462|0"/>
    <x v="1"/>
    <x v="25"/>
    <s v="4245"/>
    <n v="2550"/>
    <n v="424.5"/>
    <n v="16.98"/>
    <n v="17"/>
    <x v="9"/>
    <s v="322"/>
    <x v="2"/>
    <s v="50-B10 | 4245 | 462|0"/>
  </r>
  <r>
    <x v="4"/>
    <s v="04-0003"/>
    <x v="4"/>
    <s v="587|0"/>
    <x v="1"/>
    <x v="26"/>
    <s v="3193"/>
    <n v="2565"/>
    <n v="319.3"/>
    <n v="12.772"/>
    <n v="13"/>
    <x v="9"/>
    <s v="396"/>
    <x v="1"/>
    <s v="65-B11 | 3193 | 587|0"/>
  </r>
  <r>
    <x v="4"/>
    <s v="04-0003"/>
    <x v="4"/>
    <s v="541|0"/>
    <x v="1"/>
    <x v="27"/>
    <s v="4265"/>
    <n v="2557"/>
    <n v="426.5"/>
    <n v="17.059999999999999"/>
    <n v="17"/>
    <x v="9"/>
    <s v="352"/>
    <x v="0"/>
    <s v="57-B12 | 4265 | 541|0"/>
  </r>
  <r>
    <x v="4"/>
    <s v="04-0003"/>
    <x v="4"/>
    <s v="461|0"/>
    <x v="1"/>
    <x v="28"/>
    <s v="4192"/>
    <n v="2549"/>
    <n v="419.2"/>
    <n v="16.768000000000001"/>
    <n v="17"/>
    <x v="9"/>
    <s v="322"/>
    <x v="5"/>
    <s v="49-B13 | 4192 | 461|0"/>
  </r>
  <r>
    <x v="4"/>
    <s v="04-0003"/>
    <x v="4"/>
    <s v="466|0"/>
    <x v="1"/>
    <x v="29"/>
    <s v="126"/>
    <n v="2530"/>
    <n v="12.6"/>
    <n v="0.504"/>
    <n v="1"/>
    <x v="9"/>
    <s v="14"/>
    <x v="5"/>
    <s v="30-B14 | 126 | 466|0"/>
  </r>
  <r>
    <x v="4"/>
    <s v="04-0003"/>
    <x v="4"/>
    <s v="535|0"/>
    <x v="1"/>
    <x v="30"/>
    <s v="1663"/>
    <n v="2557"/>
    <n v="166.3"/>
    <n v="6.6520000000000001"/>
    <n v="7"/>
    <x v="9"/>
    <s v="352"/>
    <x v="0"/>
    <s v="57-B14 | 1663 | 535|0"/>
  </r>
  <r>
    <x v="4"/>
    <s v="04-0003"/>
    <x v="4"/>
    <s v="243|0"/>
    <x v="0"/>
    <x v="31"/>
    <s v="2707"/>
    <n v="2560"/>
    <n v="270.7"/>
    <n v="10.827999999999999"/>
    <n v="11"/>
    <x v="9"/>
    <s v="353"/>
    <x v="3"/>
    <s v="60-C01-R | 2707 | 243|0"/>
  </r>
  <r>
    <x v="4"/>
    <s v="04-0003"/>
    <x v="4"/>
    <s v="240|0"/>
    <x v="0"/>
    <x v="32"/>
    <s v="2132"/>
    <n v="2560"/>
    <n v="213.2"/>
    <n v="8.5280000000000005"/>
    <n v="9"/>
    <x v="9"/>
    <s v="353"/>
    <x v="3"/>
    <s v="60-C02-R | 2132 | 240|0"/>
  </r>
  <r>
    <x v="4"/>
    <s v="04-0003"/>
    <x v="4"/>
    <s v="238|0"/>
    <x v="0"/>
    <x v="33"/>
    <s v="3333"/>
    <n v="2559"/>
    <n v="333.3"/>
    <n v="13.332000000000001"/>
    <n v="13"/>
    <x v="9"/>
    <s v="353"/>
    <x v="3"/>
    <s v="59-C03-R | 3333 | 238|0"/>
  </r>
  <r>
    <x v="4"/>
    <s v="04-0003"/>
    <x v="4"/>
    <s v="233|0"/>
    <x v="0"/>
    <x v="34"/>
    <s v="2525"/>
    <n v="2559"/>
    <n v="252.5"/>
    <n v="10.1"/>
    <n v="10"/>
    <x v="9"/>
    <s v="353"/>
    <x v="3"/>
    <s v="59-C04-R | 2525 | 233|0"/>
  </r>
  <r>
    <x v="4"/>
    <s v="04-0003"/>
    <x v="4"/>
    <s v="143|0"/>
    <x v="0"/>
    <x v="35"/>
    <s v="184"/>
    <n v="2522"/>
    <n v="18.399999999999999"/>
    <n v="0.73599999999999999"/>
    <n v="1"/>
    <x v="9"/>
    <s v="278"/>
    <x v="5"/>
    <s v="22-C05-R | 184 | 143|0"/>
  </r>
  <r>
    <x v="4"/>
    <s v="04-0003"/>
    <x v="4"/>
    <s v="136|0"/>
    <x v="0"/>
    <x v="36"/>
    <s v="2792"/>
    <n v="2550"/>
    <n v="279.2"/>
    <n v="11.167999999999999"/>
    <n v="11"/>
    <x v="9"/>
    <s v="310"/>
    <x v="2"/>
    <s v="50-C05-R | 2792 | 136|0"/>
  </r>
  <r>
    <x v="4"/>
    <s v="04-0003"/>
    <x v="4"/>
    <s v="237|0"/>
    <x v="0"/>
    <x v="37"/>
    <s v="720"/>
    <n v="2560"/>
    <n v="72"/>
    <n v="2.88"/>
    <n v="3"/>
    <x v="9"/>
    <s v="353"/>
    <x v="3"/>
    <s v="60-C05-R | 720 | 237|0"/>
  </r>
  <r>
    <x v="4"/>
    <s v="04-0003"/>
    <x v="4"/>
    <s v="227|0"/>
    <x v="0"/>
    <x v="38"/>
    <s v="300"/>
    <n v="2557"/>
    <n v="30"/>
    <n v="1.2"/>
    <n v="1"/>
    <x v="9"/>
    <s v="392"/>
    <x v="0"/>
    <s v="57-C06 | 300 | 227|0"/>
  </r>
  <r>
    <x v="4"/>
    <s v="04-0003"/>
    <x v="4"/>
    <s v="232|0"/>
    <x v="0"/>
    <x v="39"/>
    <s v="2495"/>
    <n v="2557"/>
    <n v="249.5"/>
    <n v="9.98"/>
    <n v="10"/>
    <x v="9"/>
    <s v="348"/>
    <x v="0"/>
    <s v="57-C06-R | 2495 | 232|0"/>
  </r>
  <r>
    <x v="4"/>
    <s v="04-0003"/>
    <x v="4"/>
    <s v="139|0"/>
    <x v="0"/>
    <x v="40"/>
    <s v="4202"/>
    <n v="2550"/>
    <n v="420.2"/>
    <n v="16.808"/>
    <n v="17"/>
    <x v="9"/>
    <s v="310"/>
    <x v="2"/>
    <s v="50-C07-R | 4202 | 139|0"/>
  </r>
  <r>
    <x v="4"/>
    <s v="04-0003"/>
    <x v="4"/>
    <s v="239|0"/>
    <x v="0"/>
    <x v="41"/>
    <s v="2888"/>
    <n v="2559"/>
    <n v="288.8"/>
    <n v="11.552"/>
    <n v="12"/>
    <x v="9"/>
    <s v="353"/>
    <x v="3"/>
    <s v="59-C08-R | 2888 | 239|0"/>
  </r>
  <r>
    <x v="4"/>
    <s v="04-0003"/>
    <x v="4"/>
    <s v="231|0"/>
    <x v="0"/>
    <x v="42"/>
    <s v="1905"/>
    <n v="2559"/>
    <n v="190.5"/>
    <n v="7.62"/>
    <n v="8"/>
    <x v="9"/>
    <s v="353"/>
    <x v="3"/>
    <s v="59-C09-R | 1905 | 231|0"/>
  </r>
  <r>
    <x v="4"/>
    <s v="04-0003"/>
    <x v="4"/>
    <s v="236|0"/>
    <x v="0"/>
    <x v="43"/>
    <s v="3106"/>
    <n v="2556"/>
    <n v="310.60000000000002"/>
    <n v="12.423999999999999"/>
    <n v="12"/>
    <x v="9"/>
    <s v="348"/>
    <x v="0"/>
    <s v="56-C10-R | 3106 | 236|0"/>
  </r>
  <r>
    <x v="4"/>
    <s v="04-0003"/>
    <x v="4"/>
    <s v="242|0"/>
    <x v="0"/>
    <x v="44"/>
    <s v="2291"/>
    <n v="2559"/>
    <n v="229.1"/>
    <n v="9.1639999999999997"/>
    <n v="9"/>
    <x v="9"/>
    <s v="353"/>
    <x v="3"/>
    <s v="59-C11-R | 2291 | 242|0"/>
  </r>
  <r>
    <x v="4"/>
    <s v="04-0003"/>
    <x v="4"/>
    <s v="310|0"/>
    <x v="0"/>
    <x v="45"/>
    <s v="2531"/>
    <n v="2565"/>
    <n v="253.1"/>
    <n v="10.124000000000001"/>
    <n v="10"/>
    <x v="9"/>
    <s v="395"/>
    <x v="1"/>
    <s v="65-D01-R | 2531 | 310|0"/>
  </r>
  <r>
    <x v="4"/>
    <s v="04-0003"/>
    <x v="4"/>
    <s v="304|0"/>
    <x v="0"/>
    <x v="46"/>
    <s v="2853"/>
    <n v="2564"/>
    <n v="285.3"/>
    <n v="11.412000000000001"/>
    <n v="11"/>
    <x v="9"/>
    <s v="395"/>
    <x v="1"/>
    <s v="64-D02-R | 2853 | 304|0"/>
  </r>
  <r>
    <x v="4"/>
    <s v="04-0003"/>
    <x v="4"/>
    <s v="307|0"/>
    <x v="0"/>
    <x v="47"/>
    <s v="2803"/>
    <n v="2565"/>
    <n v="280.3"/>
    <n v="11.212"/>
    <n v="11"/>
    <x v="9"/>
    <s v="395"/>
    <x v="1"/>
    <s v="65-D03-R | 2803 | 307|0"/>
  </r>
  <r>
    <x v="4"/>
    <s v="04-0003"/>
    <x v="4"/>
    <s v="309|0"/>
    <x v="0"/>
    <x v="48"/>
    <s v="2819"/>
    <n v="2565"/>
    <n v="281.89999999999998"/>
    <n v="11.276"/>
    <n v="11"/>
    <x v="9"/>
    <s v="395"/>
    <x v="1"/>
    <s v="65-D04-R | 2819 | 309|0"/>
  </r>
  <r>
    <x v="4"/>
    <s v="04-0003"/>
    <x v="4"/>
    <s v="305|0"/>
    <x v="0"/>
    <x v="49"/>
    <s v="2687"/>
    <n v="2565"/>
    <n v="268.7"/>
    <n v="10.747999999999999"/>
    <n v="11"/>
    <x v="9"/>
    <s v="395"/>
    <x v="1"/>
    <s v="65-D05-R | 2687 | 305|0"/>
  </r>
  <r>
    <x v="4"/>
    <s v="04-0003"/>
    <x v="4"/>
    <s v="359|0"/>
    <x v="0"/>
    <x v="50"/>
    <s v="2865"/>
    <n v="2567"/>
    <n v="286.5"/>
    <n v="11.46"/>
    <n v="11"/>
    <x v="9"/>
    <s v="375"/>
    <x v="6"/>
    <s v="67-D06-R | 2865 | 359|0"/>
  </r>
  <r>
    <x v="4"/>
    <s v="04-0003"/>
    <x v="4"/>
    <s v="235|0"/>
    <x v="0"/>
    <x v="51"/>
    <s v="3931"/>
    <n v="2556"/>
    <n v="393.1"/>
    <n v="15.724"/>
    <n v="16"/>
    <x v="9"/>
    <s v="349"/>
    <x v="0"/>
    <s v="56-D07-R | 3931 | 235|0"/>
  </r>
  <r>
    <x v="4"/>
    <s v="04-0003"/>
    <x v="4"/>
    <s v="311|0"/>
    <x v="0"/>
    <x v="52"/>
    <s v="2365"/>
    <n v="2563"/>
    <n v="236.5"/>
    <n v="9.4600000000000009"/>
    <n v="9"/>
    <x v="9"/>
    <s v="395"/>
    <x v="1"/>
    <s v="63-D08-R | 2365 | 311|0"/>
  </r>
  <r>
    <x v="4"/>
    <s v="04-0003"/>
    <x v="4"/>
    <s v="338|0"/>
    <x v="0"/>
    <x v="53"/>
    <s v="2999"/>
    <n v="2566"/>
    <n v="299.89999999999998"/>
    <n v="11.996"/>
    <n v="12"/>
    <x v="9"/>
    <s v="363"/>
    <x v="7"/>
    <s v="66-D09-R | 2999 | 338|0"/>
  </r>
  <r>
    <x v="4"/>
    <s v="04-0003"/>
    <x v="4"/>
    <s v="360|0"/>
    <x v="0"/>
    <x v="54"/>
    <s v="2167"/>
    <n v="2567"/>
    <n v="216.7"/>
    <n v="8.6679999999999993"/>
    <n v="9"/>
    <x v="9"/>
    <s v="374"/>
    <x v="6"/>
    <s v="67-P01-R | 2167 | 360|0"/>
  </r>
  <r>
    <x v="4"/>
    <s v="04-0003"/>
    <x v="4"/>
    <s v="361|0"/>
    <x v="0"/>
    <x v="55"/>
    <s v="2320"/>
    <n v="2567"/>
    <n v="232"/>
    <n v="9.2799999999999994"/>
    <n v="9"/>
    <x v="9"/>
    <s v="374"/>
    <x v="6"/>
    <s v="67-P02-R | 2320 | 361|0"/>
  </r>
  <r>
    <x v="4"/>
    <s v="04-0003"/>
    <x v="4"/>
    <s v="335|0"/>
    <x v="0"/>
    <x v="56"/>
    <s v="2550"/>
    <n v="2566"/>
    <n v="255"/>
    <n v="10.199999999999999"/>
    <n v="10"/>
    <x v="9"/>
    <s v="362"/>
    <x v="7"/>
    <s v="66-P03-R | 2550 | 335|0"/>
  </r>
  <r>
    <x v="4"/>
    <s v="04-0003"/>
    <x v="4"/>
    <s v="339|0"/>
    <x v="0"/>
    <x v="57"/>
    <s v="2854"/>
    <n v="2566"/>
    <n v="285.39999999999998"/>
    <n v="11.416"/>
    <n v="11"/>
    <x v="9"/>
    <s v="362"/>
    <x v="7"/>
    <s v="66-P04-R | 2854 | 339|0"/>
  </r>
  <r>
    <x v="4"/>
    <s v="04-0003"/>
    <x v="4"/>
    <s v="337|0"/>
    <x v="0"/>
    <x v="58"/>
    <s v="3111"/>
    <n v="2566"/>
    <n v="311.10000000000002"/>
    <n v="12.444000000000001"/>
    <n v="12"/>
    <x v="9"/>
    <s v="362"/>
    <x v="7"/>
    <s v="66-P05-R | 3111 | 337|0"/>
  </r>
  <r>
    <x v="4"/>
    <s v="04-0003"/>
    <x v="4"/>
    <s v="312|0"/>
    <x v="0"/>
    <x v="59"/>
    <s v="2886"/>
    <n v="2564"/>
    <n v="288.60000000000002"/>
    <n v="11.544"/>
    <n v="12"/>
    <x v="9"/>
    <s v="383"/>
    <x v="1"/>
    <s v="64-P06-R | 2886 | 312|0"/>
  </r>
  <r>
    <x v="4"/>
    <s v="04-0003"/>
    <x v="4"/>
    <s v="142|0"/>
    <x v="0"/>
    <x v="60"/>
    <s v="152"/>
    <n v="2551"/>
    <n v="15.2"/>
    <n v="0.60799999999999998"/>
    <n v="1"/>
    <x v="9"/>
    <s v="393"/>
    <x v="2"/>
    <s v="51-P07 | 152 | 142|0"/>
  </r>
  <r>
    <x v="4"/>
    <s v="04-0003"/>
    <x v="4"/>
    <s v="134|0"/>
    <x v="0"/>
    <x v="61"/>
    <s v="401"/>
    <n v="2551"/>
    <n v="40.1"/>
    <n v="1.6040000000000001"/>
    <n v="2"/>
    <x v="9"/>
    <s v="312"/>
    <x v="2"/>
    <s v="51-P07-R | 401 | 134|0"/>
  </r>
  <r>
    <x v="4"/>
    <s v="04-0003"/>
    <x v="4"/>
    <s v="302|0"/>
    <x v="0"/>
    <x v="62"/>
    <s v="2579"/>
    <n v="2564"/>
    <n v="257.89999999999998"/>
    <n v="10.316000000000001"/>
    <n v="10"/>
    <x v="10"/>
    <s v="383"/>
    <x v="1"/>
    <s v="64-P07-R | 2579 | 302|0"/>
  </r>
  <r>
    <x v="4"/>
    <s v="04-0003"/>
    <x v="4"/>
    <s v="306|0"/>
    <x v="0"/>
    <x v="63"/>
    <s v="3402"/>
    <n v="2564"/>
    <n v="340.2"/>
    <n v="13.608000000000001"/>
    <n v="14"/>
    <x v="9"/>
    <s v="383"/>
    <x v="1"/>
    <s v="64-P08-R | 3402 | 306|0"/>
  </r>
  <r>
    <x v="4"/>
    <s v="04-0003"/>
    <x v="4"/>
    <s v="314|0"/>
    <x v="0"/>
    <x v="64"/>
    <s v="2192"/>
    <n v="2564"/>
    <n v="219.2"/>
    <n v="8.7680000000000007"/>
    <n v="9"/>
    <x v="9"/>
    <s v="383"/>
    <x v="1"/>
    <s v="64-P09-R | 2192 | 314|0"/>
  </r>
  <r>
    <x v="4"/>
    <s v="04-0003"/>
    <x v="4"/>
    <s v="404|0"/>
    <x v="0"/>
    <x v="65"/>
    <s v="1892"/>
    <n v="2568"/>
    <n v="94.6"/>
    <n v="3.7839999999999998"/>
    <n v="4"/>
    <x v="11"/>
    <s v="390"/>
    <x v="8"/>
    <s v="68-PU1 | 1892 | 404|0"/>
  </r>
  <r>
    <x v="4"/>
    <s v="04-0003"/>
    <x v="4"/>
    <s v="336|0"/>
    <x v="0"/>
    <x v="66"/>
    <s v="1970"/>
    <n v="2566"/>
    <n v="197"/>
    <n v="7.88"/>
    <n v="8"/>
    <x v="9"/>
    <s v="368"/>
    <x v="7"/>
    <s v="66-PU2 | 1970 | 336|0"/>
  </r>
  <r>
    <x v="4"/>
    <s v="04-0003"/>
    <x v="4"/>
    <s v="402|0"/>
    <x v="0"/>
    <x v="67"/>
    <s v="1686"/>
    <n v="2568"/>
    <n v="84.3"/>
    <n v="3.3719999999999999"/>
    <n v="3"/>
    <x v="11"/>
    <s v="390"/>
    <x v="8"/>
    <s v="68-PU3 | 1686 | 402|0"/>
  </r>
  <r>
    <x v="4"/>
    <s v="04-0003"/>
    <x v="4"/>
    <s v="403|0"/>
    <x v="0"/>
    <x v="68"/>
    <s v="1380"/>
    <n v="2568"/>
    <n v="69"/>
    <n v="2.76"/>
    <n v="3"/>
    <x v="11"/>
    <s v="390"/>
    <x v="8"/>
    <s v="68-PU4 | 1380 | 403|0"/>
  </r>
  <r>
    <x v="4"/>
    <s v="04-0003"/>
    <x v="4"/>
    <s v="408|0"/>
    <x v="0"/>
    <x v="69"/>
    <s v="751"/>
    <n v="2568"/>
    <n v="37.549999999999997"/>
    <n v="1.502"/>
    <n v="2"/>
    <x v="11"/>
    <s v="394"/>
    <x v="8"/>
    <s v="68-PU5 | 751 | 408|0"/>
  </r>
  <r>
    <x v="4"/>
    <s v="04-0003"/>
    <x v="4"/>
    <s v="406|0"/>
    <x v="0"/>
    <x v="70"/>
    <s v="1168"/>
    <n v="2568"/>
    <n v="58.4"/>
    <n v="2.3359999999999999"/>
    <n v="2"/>
    <x v="11"/>
    <s v="389"/>
    <x v="8"/>
    <s v="68-PU5-R | 1168 | 406|0"/>
  </r>
  <r>
    <x v="4"/>
    <s v="04-0003"/>
    <x v="4"/>
    <s v="407|0"/>
    <x v="0"/>
    <x v="71"/>
    <s v="145"/>
    <n v="2568"/>
    <n v="7.25"/>
    <n v="0.28999999999999998"/>
    <n v="0"/>
    <x v="11"/>
    <s v="394"/>
    <x v="8"/>
    <s v="68-PU6 | 145 | 407|0"/>
  </r>
  <r>
    <x v="4"/>
    <s v="04-0003"/>
    <x v="4"/>
    <s v="405|0"/>
    <x v="0"/>
    <x v="72"/>
    <s v="1547"/>
    <n v="2568"/>
    <n v="77.349999999999994"/>
    <n v="3.0939999999999999"/>
    <n v="3"/>
    <x v="11"/>
    <s v="389"/>
    <x v="8"/>
    <s v="68-PU6-R | 1547 | 405|0"/>
  </r>
  <r>
    <x v="4"/>
    <s v="04-0003"/>
    <x v="4"/>
    <s v="665|0"/>
    <x v="1"/>
    <x v="73"/>
    <s v="3171"/>
    <n v="2568"/>
    <n v="158.55000000000001"/>
    <n v="6.3419999999999996"/>
    <n v="6"/>
    <x v="11"/>
    <s v="388"/>
    <x v="8"/>
    <s v="68-T01 | 3171 | 665|0"/>
  </r>
  <r>
    <x v="4"/>
    <s v="04-0003"/>
    <x v="4"/>
    <s v="664|0"/>
    <x v="1"/>
    <x v="74"/>
    <s v="2950"/>
    <n v="2568"/>
    <n v="147.5"/>
    <n v="5.9"/>
    <n v="6"/>
    <x v="11"/>
    <s v="388"/>
    <x v="8"/>
    <s v="68-T02 | 2950 | 664|0"/>
  </r>
  <r>
    <x v="4"/>
    <s v="04-0003"/>
    <x v="4"/>
    <s v="604|0"/>
    <x v="1"/>
    <x v="75"/>
    <s v="2449"/>
    <n v="2566"/>
    <n v="244.9"/>
    <n v="9.7959999999999994"/>
    <n v="10"/>
    <x v="9"/>
    <s v="364"/>
    <x v="7"/>
    <s v="66-T03 | 2449 | 604|0"/>
  </r>
  <r>
    <x v="4"/>
    <s v="04-0003"/>
    <x v="4"/>
    <s v="607|0"/>
    <x v="1"/>
    <x v="76"/>
    <s v="2014"/>
    <n v="2566"/>
    <n v="201.4"/>
    <n v="8.0559999999999992"/>
    <n v="8"/>
    <x v="9"/>
    <s v="364"/>
    <x v="7"/>
    <s v="66-T04 | 2014 | 607|0"/>
  </r>
  <r>
    <x v="4"/>
    <s v="04-0003"/>
    <x v="4"/>
    <s v="580|0"/>
    <x v="1"/>
    <x v="77"/>
    <s v="3037"/>
    <n v="2563"/>
    <n v="303.7"/>
    <n v="12.148"/>
    <n v="12"/>
    <x v="9"/>
    <s v="385"/>
    <x v="1"/>
    <s v="63-T05-R | 3037 | 580|0"/>
  </r>
  <r>
    <x v="4"/>
    <s v="04-0003"/>
    <x v="4"/>
    <s v="605|0"/>
    <x v="1"/>
    <x v="78"/>
    <s v="2898"/>
    <n v="2566"/>
    <n v="289.8"/>
    <n v="11.592000000000001"/>
    <n v="12"/>
    <x v="9"/>
    <s v="364"/>
    <x v="7"/>
    <s v="66-T06 | 2898 | 605|0"/>
  </r>
  <r>
    <x v="4"/>
    <s v="04-0003"/>
    <x v="4"/>
    <s v="606|0"/>
    <x v="1"/>
    <x v="79"/>
    <s v="2364"/>
    <n v="2566"/>
    <n v="236.4"/>
    <n v="9.4559999999999995"/>
    <n v="9"/>
    <x v="9"/>
    <s v="364"/>
    <x v="7"/>
    <s v="66-T07 | 2364 | 606|0"/>
  </r>
  <r>
    <x v="4"/>
    <s v="04-0003"/>
    <x v="4"/>
    <s v="534|0"/>
    <x v="1"/>
    <x v="80"/>
    <s v="213"/>
    <n v="2556"/>
    <n v="21.3"/>
    <n v="0.85199999999999998"/>
    <n v="1"/>
    <x v="9"/>
    <s v="351"/>
    <x v="0"/>
    <s v="56-T08 | 213 | 534|0"/>
  </r>
  <r>
    <x v="4"/>
    <s v="04-0003"/>
    <x v="4"/>
    <s v="532|0"/>
    <x v="1"/>
    <x v="81"/>
    <s v="2816"/>
    <n v="2556"/>
    <n v="281.60000000000002"/>
    <n v="11.263999999999999"/>
    <n v="11"/>
    <x v="9"/>
    <s v="350"/>
    <x v="0"/>
    <s v="56-T08-R | 2816 | 532|0"/>
  </r>
  <r>
    <x v="4"/>
    <s v="04-0003"/>
    <x v="4"/>
    <s v="539|0"/>
    <x v="1"/>
    <x v="82"/>
    <s v="2934"/>
    <n v="2558"/>
    <n v="293.39999999999998"/>
    <n v="11.736000000000001"/>
    <n v="12"/>
    <x v="9"/>
    <s v="350"/>
    <x v="0"/>
    <s v="58-T09-R | 2934 | 539|0"/>
  </r>
  <r>
    <x v="4"/>
    <s v="04-0003"/>
    <x v="4"/>
    <s v="460|0"/>
    <x v="1"/>
    <x v="83"/>
    <s v="2872"/>
    <n v="2550"/>
    <n v="287.2"/>
    <n v="11.488"/>
    <n v="11"/>
    <x v="9"/>
    <s v="320"/>
    <x v="2"/>
    <s v="50-T10-R | 2872 | 460|0"/>
  </r>
  <r>
    <x v="4"/>
    <s v="04-0003"/>
    <x v="4"/>
    <s v="633|0"/>
    <x v="1"/>
    <x v="84"/>
    <s v="61"/>
    <n v="2567"/>
    <n v="6.1"/>
    <n v="0.24399999999999999"/>
    <n v="0"/>
    <x v="9"/>
    <s v="379"/>
    <x v="6"/>
    <s v="67-T10 | 61 | 633|0"/>
  </r>
  <r>
    <x v="4"/>
    <s v="04-0003"/>
    <x v="4"/>
    <s v="538|0"/>
    <x v="1"/>
    <x v="85"/>
    <s v="2903"/>
    <n v="2558"/>
    <n v="290.3"/>
    <n v="11.612"/>
    <n v="12"/>
    <x v="9"/>
    <s v="350"/>
    <x v="0"/>
    <s v="58-T11-R | 2903 | 538|0"/>
  </r>
  <r>
    <x v="4"/>
    <s v="04-0003"/>
    <x v="4"/>
    <s v="467|0"/>
    <x v="1"/>
    <x v="86"/>
    <s v="3030"/>
    <n v="2550"/>
    <n v="303"/>
    <n v="12.12"/>
    <n v="12"/>
    <x v="9"/>
    <s v="320"/>
    <x v="2"/>
    <s v="50-T12-R | 3030 | 467|0"/>
  </r>
  <r>
    <x v="4"/>
    <s v="04-0003"/>
    <x v="4"/>
    <s v="543|0"/>
    <x v="1"/>
    <x v="87"/>
    <s v="2864"/>
    <n v="2558"/>
    <n v="286.39999999999998"/>
    <n v="11.456"/>
    <n v="11"/>
    <x v="9"/>
    <s v="350"/>
    <x v="0"/>
    <s v="58-T13-R | 2864 | 543|0"/>
  </r>
  <r>
    <x v="4"/>
    <s v="04-0003"/>
    <x v="4"/>
    <s v="463|0"/>
    <x v="1"/>
    <x v="88"/>
    <s v="112"/>
    <n v="2549"/>
    <n v="11.2"/>
    <n v="0.44800000000000001"/>
    <n v="0"/>
    <x v="9"/>
    <s v="320"/>
    <x v="2"/>
    <s v="49-T16-R | 112 | 463|0"/>
  </r>
  <r>
    <x v="4"/>
    <s v="04-0003"/>
    <x v="4"/>
    <s v="546|0"/>
    <x v="1"/>
    <x v="89"/>
    <s v="2825"/>
    <n v="2558"/>
    <n v="282.5"/>
    <n v="11.3"/>
    <n v="11"/>
    <x v="9"/>
    <s v="350"/>
    <x v="0"/>
    <s v="58-T17-R | 2825 | 546|0"/>
  </r>
  <r>
    <x v="4"/>
    <s v="04-0003"/>
    <x v="4"/>
    <s v="537|0"/>
    <x v="1"/>
    <x v="90"/>
    <s v="2843"/>
    <n v="2558"/>
    <n v="284.3"/>
    <n v="11.372"/>
    <n v="11"/>
    <x v="9"/>
    <s v="350"/>
    <x v="0"/>
    <s v="58-T18-R | 2843 | 537|0"/>
  </r>
  <r>
    <x v="4"/>
    <s v="04-0003"/>
    <x v="4"/>
    <s v="634|0"/>
    <x v="1"/>
    <x v="91"/>
    <s v="171"/>
    <n v="2567"/>
    <n v="17.100000000000001"/>
    <n v="0.68400000000000005"/>
    <n v="1"/>
    <x v="9"/>
    <s v="379"/>
    <x v="6"/>
    <s v="67-T18 | 171 | 634|0"/>
  </r>
  <r>
    <x v="4"/>
    <s v="04-0003"/>
    <x v="4"/>
    <s v="536|0"/>
    <x v="1"/>
    <x v="92"/>
    <s v="3199"/>
    <n v="2556"/>
    <n v="319.89999999999998"/>
    <n v="12.795999999999999"/>
    <n v="13"/>
    <x v="9"/>
    <s v="350"/>
    <x v="0"/>
    <s v="56-T19-R | 3199 | 536|0"/>
  </r>
  <r>
    <x v="4"/>
    <s v="04-0003"/>
    <x v="4"/>
    <s v="464|0"/>
    <x v="1"/>
    <x v="93"/>
    <s v="2833"/>
    <n v="2549"/>
    <n v="283.3"/>
    <n v="11.332000000000001"/>
    <n v="11"/>
    <x v="9"/>
    <s v="320"/>
    <x v="2"/>
    <s v="49-T20-R | 2833 | 464|0"/>
  </r>
  <r>
    <x v="4"/>
    <s v="04-0003"/>
    <x v="4"/>
    <s v="542|0"/>
    <x v="1"/>
    <x v="94"/>
    <s v="3015"/>
    <n v="2556"/>
    <n v="301.5"/>
    <n v="12.06"/>
    <n v="12"/>
    <x v="9"/>
    <s v="350"/>
    <x v="0"/>
    <s v="56-T21-R | 3015 | 542|0"/>
  </r>
  <r>
    <x v="4"/>
    <s v="04-0003"/>
    <x v="4"/>
    <s v="631|0"/>
    <x v="1"/>
    <x v="95"/>
    <s v="241"/>
    <n v="2567"/>
    <n v="24.1"/>
    <n v="0.96399999999999997"/>
    <n v="1"/>
    <x v="9"/>
    <s v="379"/>
    <x v="6"/>
    <s v="67-T21 | 241 | 631|0"/>
  </r>
  <r>
    <x v="4"/>
    <s v="04-0003"/>
    <x v="4"/>
    <s v="583|0"/>
    <x v="1"/>
    <x v="96"/>
    <s v="842"/>
    <n v="2563"/>
    <n v="84.2"/>
    <n v="3.3679999999999999"/>
    <n v="3"/>
    <x v="9"/>
    <s v="385"/>
    <x v="1"/>
    <s v="63-T22-R | 842 | 583|0"/>
  </r>
  <r>
    <x v="4"/>
    <s v="04-0003"/>
    <x v="4"/>
    <s v="584|0"/>
    <x v="1"/>
    <x v="97"/>
    <s v="844"/>
    <n v="2563"/>
    <n v="84.4"/>
    <n v="3.3759999999999999"/>
    <n v="3"/>
    <x v="9"/>
    <s v="385"/>
    <x v="1"/>
    <s v="63-T23-R | 844 | 584|0"/>
  </r>
  <r>
    <x v="4"/>
    <s v="04-0003"/>
    <x v="4"/>
    <s v="459|0"/>
    <x v="1"/>
    <x v="98"/>
    <s v="92"/>
    <n v="2552"/>
    <n v="9.1999999999999993"/>
    <n v="0.36799999999999999"/>
    <n v="0"/>
    <x v="9"/>
    <s v="320"/>
    <x v="2"/>
    <s v="52-T28-R | 92 | 459|0"/>
  </r>
  <r>
    <x v="4"/>
    <s v="04-0003"/>
    <x v="4"/>
    <s v="545|0"/>
    <x v="1"/>
    <x v="99"/>
    <s v="1403"/>
    <n v="2556"/>
    <n v="140.30000000000001"/>
    <n v="5.6120000000000001"/>
    <n v="6"/>
    <x v="9"/>
    <s v="350"/>
    <x v="0"/>
    <s v="56-T28-R | 1403 | 545|0"/>
  </r>
  <r>
    <x v="4"/>
    <s v="04-0003"/>
    <x v="4"/>
    <s v="635|0"/>
    <x v="1"/>
    <x v="100"/>
    <s v="3070"/>
    <n v="2567"/>
    <n v="307"/>
    <n v="12.28"/>
    <n v="12"/>
    <x v="9"/>
    <s v="376"/>
    <x v="6"/>
    <s v="67-T29 | 3070 | 635|0"/>
  </r>
  <r>
    <x v="4"/>
    <s v="04-0003"/>
    <x v="4"/>
    <s v="632|0"/>
    <x v="1"/>
    <x v="101"/>
    <s v="3270"/>
    <n v="2567"/>
    <n v="327"/>
    <n v="13.08"/>
    <n v="13"/>
    <x v="9"/>
    <s v="376"/>
    <x v="6"/>
    <s v="67-T30 | 3270 | 632|0"/>
  </r>
  <r>
    <x v="5"/>
    <s v="04-0008"/>
    <x v="5"/>
    <s v="208|1"/>
    <x v="0"/>
    <x v="0"/>
    <s v="1950"/>
    <n v="2556"/>
    <n v="3412.5"/>
    <n v="68.25"/>
    <n v="68"/>
    <x v="4"/>
    <s v="347"/>
    <x v="0"/>
    <s v="56-A01 | 1950 | 208|1"/>
  </r>
  <r>
    <x v="5"/>
    <s v="04-0008"/>
    <x v="5"/>
    <s v="694|1"/>
    <x v="0"/>
    <x v="1"/>
    <s v="534"/>
    <n v="2563"/>
    <n v="934.5"/>
    <n v="18.690000000000001"/>
    <n v="19"/>
    <x v="4"/>
    <s v="381"/>
    <x v="1"/>
    <s v="63-A01-R | 534 | 694|1"/>
  </r>
  <r>
    <x v="5"/>
    <s v="04-0008"/>
    <x v="5"/>
    <s v="198|1"/>
    <x v="0"/>
    <x v="2"/>
    <s v="3835"/>
    <n v="2556"/>
    <n v="6711.25"/>
    <n v="134.22499999999999"/>
    <n v="134"/>
    <x v="4"/>
    <s v="347"/>
    <x v="0"/>
    <s v="56-A02 | 3835 | 198|1"/>
  </r>
  <r>
    <x v="5"/>
    <s v="04-0008"/>
    <x v="5"/>
    <s v="192|1"/>
    <x v="0"/>
    <x v="3"/>
    <s v="2119"/>
    <n v="2556"/>
    <n v="3708.25"/>
    <n v="74.165000000000006"/>
    <n v="74"/>
    <x v="4"/>
    <s v="346"/>
    <x v="0"/>
    <s v="56-A03-R | 2119 | 192|1"/>
  </r>
  <r>
    <x v="5"/>
    <s v="04-0008"/>
    <x v="5"/>
    <s v="695|1"/>
    <x v="0"/>
    <x v="4"/>
    <s v="980"/>
    <n v="2563"/>
    <n v="1715"/>
    <n v="34.299999999999997"/>
    <n v="34"/>
    <x v="4"/>
    <s v="381"/>
    <x v="1"/>
    <s v="63-A03-R | 980 | 695|1"/>
  </r>
  <r>
    <x v="5"/>
    <s v="04-0008"/>
    <x v="5"/>
    <s v="115|1"/>
    <x v="0"/>
    <x v="5"/>
    <s v="4864"/>
    <n v="2550"/>
    <n v="7296"/>
    <n v="145.91999999999999"/>
    <n v="146"/>
    <x v="1"/>
    <s v="315"/>
    <x v="2"/>
    <s v="50-A04 | 4864 | 115|1"/>
  </r>
  <r>
    <x v="5"/>
    <s v="04-0008"/>
    <x v="5"/>
    <s v="111|1"/>
    <x v="0"/>
    <x v="6"/>
    <s v="4608"/>
    <n v="2550"/>
    <n v="6912"/>
    <n v="138.24"/>
    <n v="138"/>
    <x v="1"/>
    <s v="315"/>
    <x v="2"/>
    <s v="50-A05 | 4608 | 111|1"/>
  </r>
  <r>
    <x v="5"/>
    <s v="04-0008"/>
    <x v="5"/>
    <s v="194|1"/>
    <x v="0"/>
    <x v="7"/>
    <s v="3259"/>
    <n v="2560"/>
    <n v="5703.25"/>
    <n v="114.065"/>
    <n v="114"/>
    <x v="4"/>
    <s v="354"/>
    <x v="3"/>
    <s v="60-A06 | 3259 | 194|1"/>
  </r>
  <r>
    <x v="5"/>
    <s v="04-0008"/>
    <x v="5"/>
    <s v="280|1"/>
    <x v="0"/>
    <x v="8"/>
    <s v="2388"/>
    <n v="2563"/>
    <n v="4179"/>
    <n v="83.58"/>
    <n v="84"/>
    <x v="4"/>
    <s v="382"/>
    <x v="1"/>
    <s v="63-A07 | 2388 | 280|1"/>
  </r>
  <r>
    <x v="5"/>
    <s v="04-0008"/>
    <x v="5"/>
    <s v="275|1"/>
    <x v="0"/>
    <x v="9"/>
    <s v="309"/>
    <n v="2563"/>
    <n v="540.75"/>
    <n v="10.815"/>
    <n v="11"/>
    <x v="4"/>
    <s v="381"/>
    <x v="1"/>
    <s v="63-A07-R | 309 | 275|1"/>
  </r>
  <r>
    <x v="5"/>
    <s v="04-0008"/>
    <x v="5"/>
    <s v="193|1"/>
    <x v="0"/>
    <x v="10"/>
    <s v="4308"/>
    <n v="2557"/>
    <n v="7539"/>
    <n v="150.78"/>
    <n v="151"/>
    <x v="4"/>
    <s v="346"/>
    <x v="0"/>
    <s v="57-A08-R | 4308 | 193|1"/>
  </r>
  <r>
    <x v="5"/>
    <s v="04-0008"/>
    <x v="5"/>
    <s v="205|1"/>
    <x v="0"/>
    <x v="11"/>
    <s v="3861"/>
    <n v="2557"/>
    <n v="6756.75"/>
    <n v="135.13499999999999"/>
    <n v="135"/>
    <x v="4"/>
    <s v="346"/>
    <x v="0"/>
    <s v="57-A09-R | 3861 | 205|1"/>
  </r>
  <r>
    <x v="5"/>
    <s v="04-0008"/>
    <x v="5"/>
    <s v="116|1"/>
    <x v="0"/>
    <x v="12"/>
    <s v="2785"/>
    <n v="2549"/>
    <n v="4177.5"/>
    <n v="83.55"/>
    <n v="84"/>
    <x v="1"/>
    <s v="317"/>
    <x v="2"/>
    <s v="49-A10-R | 2785 | 116|1"/>
  </r>
  <r>
    <x v="5"/>
    <s v="04-0008"/>
    <x v="5"/>
    <s v="113|1"/>
    <x v="0"/>
    <x v="13"/>
    <s v="2421"/>
    <n v="2549"/>
    <n v="3631.5"/>
    <n v="72.63"/>
    <n v="73"/>
    <x v="1"/>
    <s v="317"/>
    <x v="2"/>
    <s v="49-A11-R | 2421 | 113|1"/>
  </r>
  <r>
    <x v="5"/>
    <s v="04-0008"/>
    <x v="5"/>
    <s v="118|1"/>
    <x v="0"/>
    <x v="14"/>
    <s v="3764"/>
    <n v="2549"/>
    <n v="5646"/>
    <n v="112.92"/>
    <n v="113"/>
    <x v="1"/>
    <s v="317"/>
    <x v="2"/>
    <s v="49-A12-R | 3764 | 118|1"/>
  </r>
  <r>
    <x v="5"/>
    <s v="04-0008"/>
    <x v="5"/>
    <s v="119|1"/>
    <x v="0"/>
    <x v="15"/>
    <s v="2893"/>
    <n v="2549"/>
    <n v="4339.5"/>
    <n v="86.79"/>
    <n v="87"/>
    <x v="1"/>
    <s v="317"/>
    <x v="2"/>
    <s v="49-A13-R | 2893 | 119|1"/>
  </r>
  <r>
    <x v="5"/>
    <s v="04-0008"/>
    <x v="5"/>
    <s v="565|1"/>
    <x v="1"/>
    <x v="16"/>
    <s v="2868"/>
    <n v="2565"/>
    <n v="5019"/>
    <n v="100.38"/>
    <n v="100"/>
    <x v="4"/>
    <s v="396"/>
    <x v="1"/>
    <s v="65-B01 | 2868 | 565|1"/>
  </r>
  <r>
    <x v="5"/>
    <s v="04-0008"/>
    <x v="5"/>
    <s v="570|1"/>
    <x v="1"/>
    <x v="17"/>
    <s v="3480"/>
    <n v="2564"/>
    <n v="6090"/>
    <n v="121.8"/>
    <n v="122"/>
    <x v="4"/>
    <s v="396"/>
    <x v="4"/>
    <s v="64-B02 | 3480 | 570|1"/>
  </r>
  <r>
    <x v="5"/>
    <s v="04-0008"/>
    <x v="5"/>
    <s v="508|1"/>
    <x v="1"/>
    <x v="18"/>
    <s v="4231"/>
    <n v="2557"/>
    <n v="7404.25"/>
    <n v="148.08500000000001"/>
    <n v="148"/>
    <x v="4"/>
    <s v="352"/>
    <x v="0"/>
    <s v="57-B03 | 4231 | 508|1"/>
  </r>
  <r>
    <x v="5"/>
    <s v="04-0008"/>
    <x v="5"/>
    <s v="515|1"/>
    <x v="1"/>
    <x v="19"/>
    <s v="3851"/>
    <n v="2560"/>
    <n v="6739.25"/>
    <n v="134.785"/>
    <n v="135"/>
    <x v="4"/>
    <s v="355"/>
    <x v="3"/>
    <s v="60-B04 | 3851 | 515|1"/>
  </r>
  <r>
    <x v="5"/>
    <s v="04-0008"/>
    <x v="5"/>
    <s v="566|1"/>
    <x v="1"/>
    <x v="20"/>
    <s v="3140"/>
    <n v="2564"/>
    <n v="5495"/>
    <n v="109.9"/>
    <n v="110"/>
    <x v="4"/>
    <s v="396"/>
    <x v="4"/>
    <s v="64-B05 | 3140 | 566|1"/>
  </r>
  <r>
    <x v="5"/>
    <s v="04-0008"/>
    <x v="5"/>
    <s v="569|1"/>
    <x v="1"/>
    <x v="21"/>
    <s v="3671"/>
    <n v="2564"/>
    <n v="6424.25"/>
    <n v="128.48500000000001"/>
    <n v="128"/>
    <x v="4"/>
    <s v="396"/>
    <x v="4"/>
    <s v="64-B06 | 3671 | 569|1"/>
  </r>
  <r>
    <x v="5"/>
    <s v="04-0008"/>
    <x v="5"/>
    <s v="447|1"/>
    <x v="1"/>
    <x v="22"/>
    <s v="4022"/>
    <n v="2550"/>
    <n v="6033"/>
    <n v="120.66"/>
    <n v="121"/>
    <x v="1"/>
    <s v="322"/>
    <x v="2"/>
    <s v="50-B07 | 4022 | 447|1"/>
  </r>
  <r>
    <x v="5"/>
    <s v="04-0008"/>
    <x v="5"/>
    <s v="512|1"/>
    <x v="1"/>
    <x v="23"/>
    <s v="3476"/>
    <n v="2560"/>
    <n v="6083"/>
    <n v="121.66"/>
    <n v="122"/>
    <x v="4"/>
    <s v="355"/>
    <x v="3"/>
    <s v="60-B08 | 3476 | 512|1"/>
  </r>
  <r>
    <x v="5"/>
    <s v="04-0008"/>
    <x v="5"/>
    <s v="501|1"/>
    <x v="1"/>
    <x v="24"/>
    <s v="4127"/>
    <n v="2560"/>
    <n v="7222.25"/>
    <n v="144.44499999999999"/>
    <n v="144"/>
    <x v="4"/>
    <s v="355"/>
    <x v="3"/>
    <s v="60-B09 | 4127 | 501|1"/>
  </r>
  <r>
    <x v="5"/>
    <s v="04-0008"/>
    <x v="5"/>
    <s v="444|1"/>
    <x v="1"/>
    <x v="25"/>
    <s v="4245"/>
    <n v="2550"/>
    <n v="6367.5"/>
    <n v="127.35"/>
    <n v="127"/>
    <x v="1"/>
    <s v="322"/>
    <x v="2"/>
    <s v="50-B10 | 4245 | 444|1"/>
  </r>
  <r>
    <x v="5"/>
    <s v="04-0008"/>
    <x v="5"/>
    <s v="571|1"/>
    <x v="1"/>
    <x v="26"/>
    <s v="3193"/>
    <n v="2565"/>
    <n v="5587.75"/>
    <n v="111.755"/>
    <n v="112"/>
    <x v="4"/>
    <s v="396"/>
    <x v="1"/>
    <s v="65-B11 | 3193 | 571|1"/>
  </r>
  <r>
    <x v="5"/>
    <s v="04-0008"/>
    <x v="5"/>
    <s v="509|1"/>
    <x v="1"/>
    <x v="27"/>
    <s v="4265"/>
    <n v="2557"/>
    <n v="7463.75"/>
    <n v="149.27500000000001"/>
    <n v="149"/>
    <x v="4"/>
    <s v="352"/>
    <x v="0"/>
    <s v="57-B12 | 4265 | 509|1"/>
  </r>
  <r>
    <x v="5"/>
    <s v="04-0008"/>
    <x v="5"/>
    <s v="443|1"/>
    <x v="1"/>
    <x v="28"/>
    <s v="4192"/>
    <n v="2549"/>
    <n v="6288"/>
    <n v="125.76"/>
    <n v="126"/>
    <x v="1"/>
    <s v="322"/>
    <x v="5"/>
    <s v="49-B13 | 4192 | 443|1"/>
  </r>
  <r>
    <x v="5"/>
    <s v="04-0008"/>
    <x v="5"/>
    <s v="448|1"/>
    <x v="1"/>
    <x v="29"/>
    <s v="126"/>
    <n v="2530"/>
    <n v="189"/>
    <n v="3.78"/>
    <n v="4"/>
    <x v="1"/>
    <s v="14"/>
    <x v="5"/>
    <s v="30-B14 | 126 | 448|1"/>
  </r>
  <r>
    <x v="5"/>
    <s v="04-0008"/>
    <x v="5"/>
    <s v="503|1"/>
    <x v="1"/>
    <x v="30"/>
    <s v="1663"/>
    <n v="2557"/>
    <n v="2910.25"/>
    <n v="58.204999999999998"/>
    <n v="58"/>
    <x v="4"/>
    <s v="352"/>
    <x v="0"/>
    <s v="57-B14 | 1663 | 503|1"/>
  </r>
  <r>
    <x v="5"/>
    <s v="04-0008"/>
    <x v="5"/>
    <s v="207|1"/>
    <x v="0"/>
    <x v="31"/>
    <s v="2707"/>
    <n v="2560"/>
    <n v="4737.25"/>
    <n v="94.745000000000005"/>
    <n v="95"/>
    <x v="4"/>
    <s v="353"/>
    <x v="3"/>
    <s v="60-C01-R | 2707 | 207|1"/>
  </r>
  <r>
    <x v="5"/>
    <s v="04-0008"/>
    <x v="5"/>
    <s v="204|1"/>
    <x v="0"/>
    <x v="32"/>
    <s v="2132"/>
    <n v="2560"/>
    <n v="3731"/>
    <n v="74.62"/>
    <n v="75"/>
    <x v="4"/>
    <s v="353"/>
    <x v="3"/>
    <s v="60-C02-R | 2132 | 204|1"/>
  </r>
  <r>
    <x v="5"/>
    <s v="04-0008"/>
    <x v="5"/>
    <s v="202|1"/>
    <x v="0"/>
    <x v="33"/>
    <s v="3333"/>
    <n v="2559"/>
    <n v="5832.75"/>
    <n v="116.655"/>
    <n v="117"/>
    <x v="4"/>
    <s v="353"/>
    <x v="3"/>
    <s v="59-C03-R | 3333 | 202|1"/>
  </r>
  <r>
    <x v="5"/>
    <s v="04-0008"/>
    <x v="5"/>
    <s v="197|1"/>
    <x v="0"/>
    <x v="34"/>
    <s v="2525"/>
    <n v="2559"/>
    <n v="4418.75"/>
    <n v="88.375"/>
    <n v="88"/>
    <x v="4"/>
    <s v="353"/>
    <x v="3"/>
    <s v="59-C04-R | 2525 | 197|1"/>
  </r>
  <r>
    <x v="5"/>
    <s v="04-0008"/>
    <x v="5"/>
    <s v="121|1"/>
    <x v="0"/>
    <x v="35"/>
    <s v="184"/>
    <n v="2522"/>
    <n v="276"/>
    <n v="5.52"/>
    <n v="6"/>
    <x v="1"/>
    <s v="278"/>
    <x v="5"/>
    <s v="22-C05-R | 184 | 121|1"/>
  </r>
  <r>
    <x v="5"/>
    <s v="04-0008"/>
    <x v="5"/>
    <s v="114|1"/>
    <x v="0"/>
    <x v="36"/>
    <s v="2792"/>
    <n v="2550"/>
    <n v="4188"/>
    <n v="83.76"/>
    <n v="84"/>
    <x v="1"/>
    <s v="310"/>
    <x v="2"/>
    <s v="50-C05-R | 2792 | 114|1"/>
  </r>
  <r>
    <x v="5"/>
    <s v="04-0008"/>
    <x v="5"/>
    <s v="201|1"/>
    <x v="0"/>
    <x v="37"/>
    <s v="720"/>
    <n v="2560"/>
    <n v="1260"/>
    <n v="25.2"/>
    <n v="25"/>
    <x v="4"/>
    <s v="353"/>
    <x v="3"/>
    <s v="60-C05-R | 720 | 201|1"/>
  </r>
  <r>
    <x v="5"/>
    <s v="04-0008"/>
    <x v="5"/>
    <s v="191|1"/>
    <x v="0"/>
    <x v="38"/>
    <s v="300"/>
    <n v="2557"/>
    <n v="525"/>
    <n v="10.5"/>
    <n v="11"/>
    <x v="4"/>
    <s v="392"/>
    <x v="0"/>
    <s v="57-C06 | 300 | 191|1"/>
  </r>
  <r>
    <x v="5"/>
    <s v="04-0008"/>
    <x v="5"/>
    <s v="196|1"/>
    <x v="0"/>
    <x v="39"/>
    <s v="2495"/>
    <n v="2557"/>
    <n v="4366.25"/>
    <n v="87.325000000000003"/>
    <n v="87"/>
    <x v="4"/>
    <s v="348"/>
    <x v="0"/>
    <s v="57-C06-R | 2495 | 196|1"/>
  </r>
  <r>
    <x v="5"/>
    <s v="04-0008"/>
    <x v="5"/>
    <s v="117|1"/>
    <x v="0"/>
    <x v="40"/>
    <s v="4202"/>
    <n v="2550"/>
    <n v="6303"/>
    <n v="126.06"/>
    <n v="126"/>
    <x v="1"/>
    <s v="310"/>
    <x v="2"/>
    <s v="50-C07-R | 4202 | 117|1"/>
  </r>
  <r>
    <x v="5"/>
    <s v="04-0008"/>
    <x v="5"/>
    <s v="203|1"/>
    <x v="0"/>
    <x v="41"/>
    <s v="2888"/>
    <n v="2559"/>
    <n v="5054"/>
    <n v="101.08"/>
    <n v="101"/>
    <x v="4"/>
    <s v="353"/>
    <x v="3"/>
    <s v="59-C08-R | 2888 | 203|1"/>
  </r>
  <r>
    <x v="5"/>
    <s v="04-0008"/>
    <x v="5"/>
    <s v="195|1"/>
    <x v="0"/>
    <x v="42"/>
    <s v="1905"/>
    <n v="2559"/>
    <n v="3333.75"/>
    <n v="66.674999999999997"/>
    <n v="67"/>
    <x v="4"/>
    <s v="353"/>
    <x v="3"/>
    <s v="59-C09-R | 1905 | 195|1"/>
  </r>
  <r>
    <x v="5"/>
    <s v="04-0008"/>
    <x v="5"/>
    <s v="200|1"/>
    <x v="0"/>
    <x v="43"/>
    <s v="3106"/>
    <n v="2556"/>
    <n v="5435.5"/>
    <n v="108.71"/>
    <n v="109"/>
    <x v="4"/>
    <s v="348"/>
    <x v="0"/>
    <s v="56-C10-R | 3106 | 200|1"/>
  </r>
  <r>
    <x v="5"/>
    <s v="04-0008"/>
    <x v="5"/>
    <s v="206|1"/>
    <x v="0"/>
    <x v="44"/>
    <s v="2291"/>
    <n v="2559"/>
    <n v="4009.25"/>
    <n v="80.185000000000002"/>
    <n v="80"/>
    <x v="4"/>
    <s v="353"/>
    <x v="3"/>
    <s v="59-C11-R | 2291 | 206|1"/>
  </r>
  <r>
    <x v="5"/>
    <s v="04-0008"/>
    <x v="5"/>
    <s v="282|1"/>
    <x v="0"/>
    <x v="45"/>
    <s v="2531"/>
    <n v="2565"/>
    <n v="4429.25"/>
    <n v="88.584999999999994"/>
    <n v="89"/>
    <x v="4"/>
    <s v="395"/>
    <x v="1"/>
    <s v="65-D01-R | 2531 | 282|1"/>
  </r>
  <r>
    <x v="5"/>
    <s v="04-0008"/>
    <x v="5"/>
    <s v="276|1"/>
    <x v="0"/>
    <x v="46"/>
    <s v="2853"/>
    <n v="2564"/>
    <n v="4992.75"/>
    <n v="99.855000000000004"/>
    <n v="100"/>
    <x v="4"/>
    <s v="395"/>
    <x v="1"/>
    <s v="64-D02-R | 2853 | 276|1"/>
  </r>
  <r>
    <x v="5"/>
    <s v="04-0008"/>
    <x v="5"/>
    <s v="279|1"/>
    <x v="0"/>
    <x v="47"/>
    <s v="2803"/>
    <n v="2565"/>
    <n v="4905.25"/>
    <n v="98.105000000000004"/>
    <n v="98"/>
    <x v="4"/>
    <s v="395"/>
    <x v="1"/>
    <s v="65-D03-R | 2803 | 279|1"/>
  </r>
  <r>
    <x v="5"/>
    <s v="04-0008"/>
    <x v="5"/>
    <s v="281|1"/>
    <x v="0"/>
    <x v="48"/>
    <s v="2819"/>
    <n v="2565"/>
    <n v="4933.25"/>
    <n v="98.665000000000006"/>
    <n v="99"/>
    <x v="4"/>
    <s v="395"/>
    <x v="1"/>
    <s v="65-D04-R | 2819 | 281|1"/>
  </r>
  <r>
    <x v="5"/>
    <s v="04-0008"/>
    <x v="5"/>
    <s v="277|1"/>
    <x v="0"/>
    <x v="49"/>
    <s v="2687"/>
    <n v="2565"/>
    <n v="4702.25"/>
    <n v="94.045000000000002"/>
    <n v="94"/>
    <x v="4"/>
    <s v="395"/>
    <x v="1"/>
    <s v="65-D05-R | 2687 | 277|1"/>
  </r>
  <r>
    <x v="5"/>
    <s v="04-0008"/>
    <x v="5"/>
    <s v="362|0"/>
    <x v="0"/>
    <x v="50"/>
    <s v="2865"/>
    <n v="2567"/>
    <n v="2865"/>
    <n v="57.3"/>
    <n v="57"/>
    <x v="2"/>
    <s v="375"/>
    <x v="6"/>
    <s v="67-D06-R | 2865 | 362|0"/>
  </r>
  <r>
    <x v="5"/>
    <s v="04-0008"/>
    <x v="5"/>
    <s v="199|1"/>
    <x v="0"/>
    <x v="51"/>
    <s v="3931"/>
    <n v="2556"/>
    <n v="6879.25"/>
    <n v="137.58500000000001"/>
    <n v="138"/>
    <x v="4"/>
    <s v="349"/>
    <x v="0"/>
    <s v="56-D07-R | 3931 | 199|1"/>
  </r>
  <r>
    <x v="5"/>
    <s v="04-0008"/>
    <x v="5"/>
    <s v="283|1"/>
    <x v="0"/>
    <x v="52"/>
    <s v="2365"/>
    <n v="2563"/>
    <n v="4138.75"/>
    <n v="82.775000000000006"/>
    <n v="83"/>
    <x v="4"/>
    <s v="395"/>
    <x v="1"/>
    <s v="63-D08-R | 2365 | 283|1"/>
  </r>
  <r>
    <x v="5"/>
    <s v="04-0008"/>
    <x v="5"/>
    <s v="328|1"/>
    <x v="0"/>
    <x v="53"/>
    <s v="2999"/>
    <n v="2566"/>
    <n v="3748.75"/>
    <n v="74.974999999999994"/>
    <n v="75"/>
    <x v="6"/>
    <s v="363"/>
    <x v="7"/>
    <s v="66-D09-R | 2999 | 328|1"/>
  </r>
  <r>
    <x v="5"/>
    <s v="04-0008"/>
    <x v="5"/>
    <s v="363|0"/>
    <x v="0"/>
    <x v="54"/>
    <s v="2167"/>
    <n v="2567"/>
    <n v="2167"/>
    <n v="43.34"/>
    <n v="43"/>
    <x v="2"/>
    <s v="374"/>
    <x v="6"/>
    <s v="67-P01-R | 2167 | 363|0"/>
  </r>
  <r>
    <x v="5"/>
    <s v="04-0008"/>
    <x v="5"/>
    <s v="364|0"/>
    <x v="0"/>
    <x v="55"/>
    <s v="2320"/>
    <n v="2567"/>
    <n v="2320"/>
    <n v="46.4"/>
    <n v="46"/>
    <x v="2"/>
    <s v="374"/>
    <x v="6"/>
    <s v="67-P02-R | 2320 | 364|0"/>
  </r>
  <r>
    <x v="5"/>
    <s v="04-0008"/>
    <x v="5"/>
    <s v="325|1"/>
    <x v="0"/>
    <x v="56"/>
    <s v="2550"/>
    <n v="2566"/>
    <n v="3187.5"/>
    <n v="63.75"/>
    <n v="64"/>
    <x v="6"/>
    <s v="362"/>
    <x v="7"/>
    <s v="66-P03-R | 2550 | 325|1"/>
  </r>
  <r>
    <x v="5"/>
    <s v="04-0008"/>
    <x v="5"/>
    <s v="329|1"/>
    <x v="0"/>
    <x v="57"/>
    <s v="2854"/>
    <n v="2566"/>
    <n v="3567.5"/>
    <n v="71.349999999999994"/>
    <n v="71"/>
    <x v="6"/>
    <s v="362"/>
    <x v="7"/>
    <s v="66-P04-R | 2854 | 329|1"/>
  </r>
  <r>
    <x v="5"/>
    <s v="04-0008"/>
    <x v="5"/>
    <s v="327|1"/>
    <x v="0"/>
    <x v="58"/>
    <s v="3111"/>
    <n v="2566"/>
    <n v="3888.75"/>
    <n v="77.775000000000006"/>
    <n v="78"/>
    <x v="6"/>
    <s v="362"/>
    <x v="7"/>
    <s v="66-P05-R | 3111 | 327|1"/>
  </r>
  <r>
    <x v="5"/>
    <s v="04-0008"/>
    <x v="5"/>
    <s v="284|1"/>
    <x v="0"/>
    <x v="59"/>
    <s v="2886"/>
    <n v="2564"/>
    <n v="5050.5"/>
    <n v="101.01"/>
    <n v="101"/>
    <x v="4"/>
    <s v="383"/>
    <x v="1"/>
    <s v="64-P06-R | 2886 | 284|1"/>
  </r>
  <r>
    <x v="5"/>
    <s v="04-0008"/>
    <x v="5"/>
    <s v="120|1"/>
    <x v="0"/>
    <x v="60"/>
    <s v="152"/>
    <n v="2551"/>
    <n v="228"/>
    <n v="4.5599999999999996"/>
    <n v="5"/>
    <x v="1"/>
    <s v="393"/>
    <x v="2"/>
    <s v="51-P07 | 152 | 120|1"/>
  </r>
  <r>
    <x v="5"/>
    <s v="04-0008"/>
    <x v="5"/>
    <s v="112|1"/>
    <x v="0"/>
    <x v="61"/>
    <s v="401"/>
    <n v="2551"/>
    <n v="601.5"/>
    <n v="12.03"/>
    <n v="12"/>
    <x v="1"/>
    <s v="312"/>
    <x v="2"/>
    <s v="51-P07-R | 401 | 112|1"/>
  </r>
  <r>
    <x v="5"/>
    <s v="04-0008"/>
    <x v="5"/>
    <s v="274|1"/>
    <x v="0"/>
    <x v="62"/>
    <s v="2579"/>
    <n v="2564"/>
    <n v="4513.25"/>
    <n v="90.265000000000001"/>
    <n v="90"/>
    <x v="4"/>
    <s v="383"/>
    <x v="1"/>
    <s v="64-P07-R | 2579 | 274|1"/>
  </r>
  <r>
    <x v="5"/>
    <s v="04-0008"/>
    <x v="5"/>
    <s v="278|1"/>
    <x v="0"/>
    <x v="63"/>
    <s v="3402"/>
    <n v="2564"/>
    <n v="5953.5"/>
    <n v="119.07"/>
    <n v="119"/>
    <x v="4"/>
    <s v="383"/>
    <x v="1"/>
    <s v="64-P08-R | 3402 | 278|1"/>
  </r>
  <r>
    <x v="5"/>
    <s v="04-0008"/>
    <x v="5"/>
    <s v="286|1"/>
    <x v="0"/>
    <x v="64"/>
    <s v="2192"/>
    <n v="2564"/>
    <n v="3836"/>
    <n v="76.72"/>
    <n v="77"/>
    <x v="4"/>
    <s v="383"/>
    <x v="1"/>
    <s v="64-P09-R | 2192 | 286|1"/>
  </r>
  <r>
    <x v="5"/>
    <s v="04-0008"/>
    <x v="5"/>
    <s v="390|1"/>
    <x v="0"/>
    <x v="65"/>
    <s v="1892"/>
    <n v="2568"/>
    <n v="473"/>
    <n v="9.4600000000000009"/>
    <n v="9"/>
    <x v="7"/>
    <s v="390"/>
    <x v="8"/>
    <s v="68-PU1 | 1892 | 390|1"/>
  </r>
  <r>
    <x v="5"/>
    <s v="04-0008"/>
    <x v="5"/>
    <s v="326|1"/>
    <x v="0"/>
    <x v="66"/>
    <s v="1970"/>
    <n v="2566"/>
    <n v="2462.5"/>
    <n v="49.25"/>
    <n v="49"/>
    <x v="6"/>
    <s v="368"/>
    <x v="7"/>
    <s v="66-PU2 | 1970 | 326|1"/>
  </r>
  <r>
    <x v="5"/>
    <s v="04-0008"/>
    <x v="5"/>
    <s v="388|1"/>
    <x v="0"/>
    <x v="67"/>
    <s v="1686"/>
    <n v="2568"/>
    <n v="421.5"/>
    <n v="8.43"/>
    <n v="8"/>
    <x v="7"/>
    <s v="390"/>
    <x v="8"/>
    <s v="68-PU3 | 1686 | 388|1"/>
  </r>
  <r>
    <x v="5"/>
    <s v="04-0008"/>
    <x v="5"/>
    <s v="389|1"/>
    <x v="0"/>
    <x v="68"/>
    <s v="1380"/>
    <n v="2568"/>
    <n v="345"/>
    <n v="6.9"/>
    <n v="7"/>
    <x v="7"/>
    <s v="390"/>
    <x v="8"/>
    <s v="68-PU4 | 1380 | 389|1"/>
  </r>
  <r>
    <x v="5"/>
    <s v="04-0008"/>
    <x v="5"/>
    <s v="394|1"/>
    <x v="0"/>
    <x v="69"/>
    <s v="751"/>
    <n v="2568"/>
    <n v="187.75"/>
    <n v="3.7549999999999999"/>
    <n v="4"/>
    <x v="7"/>
    <s v="394"/>
    <x v="8"/>
    <s v="68-PU5 | 751 | 394|1"/>
  </r>
  <r>
    <x v="5"/>
    <s v="04-0008"/>
    <x v="5"/>
    <s v="392|1"/>
    <x v="0"/>
    <x v="70"/>
    <s v="1168"/>
    <n v="2568"/>
    <n v="292"/>
    <n v="5.84"/>
    <n v="6"/>
    <x v="7"/>
    <s v="389"/>
    <x v="8"/>
    <s v="68-PU5-R | 1168 | 392|1"/>
  </r>
  <r>
    <x v="5"/>
    <s v="04-0008"/>
    <x v="5"/>
    <s v="393|1"/>
    <x v="0"/>
    <x v="71"/>
    <s v="145"/>
    <n v="2568"/>
    <n v="36.25"/>
    <n v="0.72499999999999998"/>
    <n v="1"/>
    <x v="7"/>
    <s v="394"/>
    <x v="8"/>
    <s v="68-PU6 | 145 | 393|1"/>
  </r>
  <r>
    <x v="5"/>
    <s v="04-0008"/>
    <x v="5"/>
    <s v="391|1"/>
    <x v="0"/>
    <x v="72"/>
    <s v="1547"/>
    <n v="2568"/>
    <n v="386.75"/>
    <n v="7.7350000000000003"/>
    <n v="8"/>
    <x v="7"/>
    <s v="389"/>
    <x v="8"/>
    <s v="68-PU6-R | 1547 | 391|1"/>
  </r>
  <r>
    <x v="5"/>
    <s v="04-0008"/>
    <x v="5"/>
    <s v="661|1"/>
    <x v="1"/>
    <x v="73"/>
    <s v="3171"/>
    <n v="2568"/>
    <n v="792.75"/>
    <n v="15.855"/>
    <n v="16"/>
    <x v="7"/>
    <s v="388"/>
    <x v="8"/>
    <s v="68-T01 | 3171 | 661|1"/>
  </r>
  <r>
    <x v="5"/>
    <s v="04-0008"/>
    <x v="5"/>
    <s v="660|1"/>
    <x v="1"/>
    <x v="74"/>
    <s v="2950"/>
    <n v="2568"/>
    <n v="737.5"/>
    <n v="14.75"/>
    <n v="15"/>
    <x v="7"/>
    <s v="388"/>
    <x v="8"/>
    <s v="68-T02 | 2950 | 660|1"/>
  </r>
  <r>
    <x v="5"/>
    <s v="04-0008"/>
    <x v="5"/>
    <s v="596|1"/>
    <x v="1"/>
    <x v="75"/>
    <s v="2449"/>
    <n v="2566"/>
    <n v="3061.25"/>
    <n v="61.225000000000001"/>
    <n v="61"/>
    <x v="6"/>
    <s v="364"/>
    <x v="7"/>
    <s v="66-T03 | 2449 | 596|1"/>
  </r>
  <r>
    <x v="5"/>
    <s v="04-0008"/>
    <x v="5"/>
    <s v="599|1"/>
    <x v="1"/>
    <x v="76"/>
    <s v="2014"/>
    <n v="2566"/>
    <n v="2517.5"/>
    <n v="50.35"/>
    <n v="50"/>
    <x v="6"/>
    <s v="364"/>
    <x v="7"/>
    <s v="66-T04 | 2014 | 599|1"/>
  </r>
  <r>
    <x v="5"/>
    <s v="04-0008"/>
    <x v="5"/>
    <s v="564|1"/>
    <x v="1"/>
    <x v="77"/>
    <s v="3037"/>
    <n v="2563"/>
    <n v="5314.75"/>
    <n v="106.295"/>
    <n v="106"/>
    <x v="4"/>
    <s v="385"/>
    <x v="1"/>
    <s v="63-T05-R | 3037 | 564|1"/>
  </r>
  <r>
    <x v="5"/>
    <s v="04-0008"/>
    <x v="5"/>
    <s v="597|1"/>
    <x v="1"/>
    <x v="78"/>
    <s v="2898"/>
    <n v="2566"/>
    <n v="3622.5"/>
    <n v="72.45"/>
    <n v="72"/>
    <x v="6"/>
    <s v="364"/>
    <x v="7"/>
    <s v="66-T06 | 2898 | 597|1"/>
  </r>
  <r>
    <x v="5"/>
    <s v="04-0008"/>
    <x v="5"/>
    <s v="598|1"/>
    <x v="1"/>
    <x v="79"/>
    <s v="2364"/>
    <n v="2566"/>
    <n v="2955"/>
    <n v="59.1"/>
    <n v="59"/>
    <x v="6"/>
    <s v="364"/>
    <x v="7"/>
    <s v="66-T07 | 2364 | 598|1"/>
  </r>
  <r>
    <x v="5"/>
    <s v="04-0008"/>
    <x v="5"/>
    <s v="502|1"/>
    <x v="1"/>
    <x v="80"/>
    <s v="213"/>
    <n v="2556"/>
    <n v="372.75"/>
    <n v="7.4550000000000001"/>
    <n v="7"/>
    <x v="4"/>
    <s v="351"/>
    <x v="0"/>
    <s v="56-T08 | 213 | 502|1"/>
  </r>
  <r>
    <x v="5"/>
    <s v="04-0008"/>
    <x v="5"/>
    <s v="500|1"/>
    <x v="1"/>
    <x v="81"/>
    <s v="2816"/>
    <n v="2556"/>
    <n v="4928"/>
    <n v="98.56"/>
    <n v="99"/>
    <x v="4"/>
    <s v="350"/>
    <x v="0"/>
    <s v="56-T08-R | 2816 | 500|1"/>
  </r>
  <r>
    <x v="5"/>
    <s v="04-0008"/>
    <x v="5"/>
    <s v="507|1"/>
    <x v="1"/>
    <x v="82"/>
    <s v="2934"/>
    <n v="2558"/>
    <n v="5134.5"/>
    <n v="102.69"/>
    <n v="103"/>
    <x v="4"/>
    <s v="350"/>
    <x v="0"/>
    <s v="58-T09-R | 2934 | 507|1"/>
  </r>
  <r>
    <x v="5"/>
    <s v="04-0008"/>
    <x v="5"/>
    <s v="442|1"/>
    <x v="1"/>
    <x v="83"/>
    <s v="2872"/>
    <n v="2550"/>
    <n v="4308"/>
    <n v="86.16"/>
    <n v="86"/>
    <x v="1"/>
    <s v="320"/>
    <x v="2"/>
    <s v="50-T10-R | 2872 | 442|1"/>
  </r>
  <r>
    <x v="5"/>
    <s v="04-0008"/>
    <x v="5"/>
    <s v="638|0"/>
    <x v="1"/>
    <x v="84"/>
    <s v="61"/>
    <n v="2567"/>
    <n v="61"/>
    <n v="1.22"/>
    <n v="1"/>
    <x v="2"/>
    <s v="379"/>
    <x v="6"/>
    <s v="67-T10 | 61 | 638|0"/>
  </r>
  <r>
    <x v="5"/>
    <s v="04-0008"/>
    <x v="5"/>
    <s v="506|1"/>
    <x v="1"/>
    <x v="85"/>
    <s v="2903"/>
    <n v="2558"/>
    <n v="5080.25"/>
    <n v="101.605"/>
    <n v="102"/>
    <x v="4"/>
    <s v="350"/>
    <x v="0"/>
    <s v="58-T11-R | 2903 | 506|1"/>
  </r>
  <r>
    <x v="5"/>
    <s v="04-0008"/>
    <x v="5"/>
    <s v="449|1"/>
    <x v="1"/>
    <x v="86"/>
    <s v="3030"/>
    <n v="2550"/>
    <n v="4545"/>
    <n v="90.9"/>
    <n v="91"/>
    <x v="1"/>
    <s v="320"/>
    <x v="2"/>
    <s v="50-T12-R | 3030 | 449|1"/>
  </r>
  <r>
    <x v="5"/>
    <s v="04-0008"/>
    <x v="5"/>
    <s v="511|1"/>
    <x v="1"/>
    <x v="87"/>
    <s v="2864"/>
    <n v="2558"/>
    <n v="5012"/>
    <n v="100.24"/>
    <n v="100"/>
    <x v="4"/>
    <s v="350"/>
    <x v="0"/>
    <s v="58-T13-R | 2864 | 511|1"/>
  </r>
  <r>
    <x v="5"/>
    <s v="04-0008"/>
    <x v="5"/>
    <s v="445|1"/>
    <x v="1"/>
    <x v="88"/>
    <s v="112"/>
    <n v="2549"/>
    <n v="168"/>
    <n v="3.36"/>
    <n v="3"/>
    <x v="1"/>
    <s v="320"/>
    <x v="2"/>
    <s v="49-T16-R | 112 | 445|1"/>
  </r>
  <r>
    <x v="5"/>
    <s v="04-0008"/>
    <x v="5"/>
    <s v="514|1"/>
    <x v="1"/>
    <x v="89"/>
    <s v="2825"/>
    <n v="2558"/>
    <n v="4943.75"/>
    <n v="98.875"/>
    <n v="99"/>
    <x v="4"/>
    <s v="350"/>
    <x v="0"/>
    <s v="58-T17-R | 2825 | 514|1"/>
  </r>
  <r>
    <x v="5"/>
    <s v="04-0008"/>
    <x v="5"/>
    <s v="505|1"/>
    <x v="1"/>
    <x v="90"/>
    <s v="2843"/>
    <n v="2558"/>
    <n v="4975.25"/>
    <n v="99.504999999999995"/>
    <n v="100"/>
    <x v="4"/>
    <s v="350"/>
    <x v="0"/>
    <s v="58-T18-R | 2843 | 505|1"/>
  </r>
  <r>
    <x v="5"/>
    <s v="04-0008"/>
    <x v="5"/>
    <s v="639|0"/>
    <x v="1"/>
    <x v="91"/>
    <s v="171"/>
    <n v="2567"/>
    <n v="171"/>
    <n v="3.42"/>
    <n v="3"/>
    <x v="2"/>
    <s v="379"/>
    <x v="6"/>
    <s v="67-T18 | 171 | 639|0"/>
  </r>
  <r>
    <x v="5"/>
    <s v="04-0008"/>
    <x v="5"/>
    <s v="504|1"/>
    <x v="1"/>
    <x v="92"/>
    <s v="3199"/>
    <n v="2556"/>
    <n v="5598.25"/>
    <n v="111.965"/>
    <n v="112"/>
    <x v="4"/>
    <s v="350"/>
    <x v="0"/>
    <s v="56-T19-R | 3199 | 504|1"/>
  </r>
  <r>
    <x v="5"/>
    <s v="04-0008"/>
    <x v="5"/>
    <s v="446|1"/>
    <x v="1"/>
    <x v="93"/>
    <s v="2833"/>
    <n v="2549"/>
    <n v="4249.5"/>
    <n v="84.99"/>
    <n v="85"/>
    <x v="1"/>
    <s v="320"/>
    <x v="2"/>
    <s v="49-T20-R | 2833 | 446|1"/>
  </r>
  <r>
    <x v="5"/>
    <s v="04-0008"/>
    <x v="5"/>
    <s v="510|1"/>
    <x v="1"/>
    <x v="94"/>
    <s v="3015"/>
    <n v="2556"/>
    <n v="5276.25"/>
    <n v="105.52500000000001"/>
    <n v="106"/>
    <x v="4"/>
    <s v="350"/>
    <x v="0"/>
    <s v="56-T21-R | 3015 | 510|1"/>
  </r>
  <r>
    <x v="5"/>
    <s v="04-0008"/>
    <x v="5"/>
    <s v="636|0"/>
    <x v="1"/>
    <x v="95"/>
    <s v="241"/>
    <n v="2567"/>
    <n v="241"/>
    <n v="4.82"/>
    <n v="5"/>
    <x v="2"/>
    <s v="379"/>
    <x v="6"/>
    <s v="67-T21 | 241 | 636|0"/>
  </r>
  <r>
    <x v="5"/>
    <s v="04-0008"/>
    <x v="5"/>
    <s v="567|1"/>
    <x v="1"/>
    <x v="96"/>
    <s v="842"/>
    <n v="2563"/>
    <n v="1473.5"/>
    <n v="29.47"/>
    <n v="29"/>
    <x v="4"/>
    <s v="385"/>
    <x v="1"/>
    <s v="63-T22-R | 842 | 567|1"/>
  </r>
  <r>
    <x v="5"/>
    <s v="04-0008"/>
    <x v="5"/>
    <s v="568|1"/>
    <x v="1"/>
    <x v="97"/>
    <s v="844"/>
    <n v="2563"/>
    <n v="1477"/>
    <n v="29.54"/>
    <n v="30"/>
    <x v="4"/>
    <s v="385"/>
    <x v="1"/>
    <s v="63-T23-R | 844 | 568|1"/>
  </r>
  <r>
    <x v="5"/>
    <s v="04-0008"/>
    <x v="5"/>
    <s v="441|1"/>
    <x v="1"/>
    <x v="98"/>
    <s v="92"/>
    <n v="2552"/>
    <n v="138"/>
    <n v="2.76"/>
    <n v="3"/>
    <x v="1"/>
    <s v="320"/>
    <x v="2"/>
    <s v="52-T28-R | 92 | 441|1"/>
  </r>
  <r>
    <x v="5"/>
    <s v="04-0008"/>
    <x v="5"/>
    <s v="513|1"/>
    <x v="1"/>
    <x v="99"/>
    <s v="1403"/>
    <n v="2556"/>
    <n v="2455.25"/>
    <n v="49.104999999999997"/>
    <n v="49"/>
    <x v="4"/>
    <s v="350"/>
    <x v="0"/>
    <s v="56-T28-R | 1403 | 513|1"/>
  </r>
  <r>
    <x v="5"/>
    <s v="04-0008"/>
    <x v="5"/>
    <s v="640|0"/>
    <x v="1"/>
    <x v="100"/>
    <s v="3070"/>
    <n v="2567"/>
    <n v="3070"/>
    <n v="61.4"/>
    <n v="61"/>
    <x v="2"/>
    <s v="376"/>
    <x v="6"/>
    <s v="67-T29 | 3070 | 640|0"/>
  </r>
  <r>
    <x v="5"/>
    <s v="04-0008"/>
    <x v="5"/>
    <s v="637|0"/>
    <x v="1"/>
    <x v="101"/>
    <s v="3270"/>
    <n v="2567"/>
    <n v="3270"/>
    <n v="65.400000000000006"/>
    <n v="65"/>
    <x v="2"/>
    <s v="376"/>
    <x v="6"/>
    <s v="67-T30 | 3270 | 637|0"/>
  </r>
  <r>
    <x v="6"/>
    <s v="04-0001"/>
    <x v="6"/>
    <s v="226|1"/>
    <x v="0"/>
    <x v="0"/>
    <s v="1950"/>
    <n v="2556"/>
    <n v="2437.5"/>
    <n v="48.75"/>
    <n v="49"/>
    <x v="6"/>
    <s v="347"/>
    <x v="0"/>
    <s v="56-A01 | 1950 | 226|1"/>
  </r>
  <r>
    <x v="6"/>
    <s v="04-0001"/>
    <x v="6"/>
    <s v="696|1"/>
    <x v="0"/>
    <x v="1"/>
    <s v="534"/>
    <n v="2563"/>
    <n v="667.5"/>
    <n v="13.35"/>
    <n v="13"/>
    <x v="6"/>
    <s v="381"/>
    <x v="1"/>
    <s v="63-A01-R | 534 | 696|1"/>
  </r>
  <r>
    <x v="6"/>
    <s v="04-0001"/>
    <x v="6"/>
    <s v="216|1"/>
    <x v="0"/>
    <x v="2"/>
    <s v="3835"/>
    <n v="2556"/>
    <n v="4793.75"/>
    <n v="95.875"/>
    <n v="96"/>
    <x v="6"/>
    <s v="347"/>
    <x v="0"/>
    <s v="56-A02 | 3835 | 216|1"/>
  </r>
  <r>
    <x v="6"/>
    <s v="04-0001"/>
    <x v="6"/>
    <s v="210|1"/>
    <x v="0"/>
    <x v="3"/>
    <s v="2119"/>
    <n v="2556"/>
    <n v="2648.75"/>
    <n v="52.975000000000001"/>
    <n v="53"/>
    <x v="6"/>
    <s v="346"/>
    <x v="0"/>
    <s v="56-A03-R | 2119 | 210|1"/>
  </r>
  <r>
    <x v="6"/>
    <s v="04-0001"/>
    <x v="6"/>
    <s v="697|1"/>
    <x v="0"/>
    <x v="4"/>
    <s v="980"/>
    <n v="2563"/>
    <n v="1225"/>
    <n v="24.5"/>
    <n v="25"/>
    <x v="6"/>
    <s v="381"/>
    <x v="1"/>
    <s v="63-A03-R | 980 | 697|1"/>
  </r>
  <r>
    <x v="6"/>
    <s v="04-0001"/>
    <x v="6"/>
    <s v="148|1"/>
    <x v="0"/>
    <x v="5"/>
    <s v="4864"/>
    <n v="2550"/>
    <n v="4864"/>
    <n v="97.28"/>
    <n v="97"/>
    <x v="2"/>
    <s v="315"/>
    <x v="2"/>
    <s v="50-A04 | 4864 | 148|1"/>
  </r>
  <r>
    <x v="6"/>
    <s v="04-0001"/>
    <x v="6"/>
    <s v="144|1"/>
    <x v="0"/>
    <x v="6"/>
    <s v="4608"/>
    <n v="2550"/>
    <n v="4608"/>
    <n v="92.16"/>
    <n v="92"/>
    <x v="2"/>
    <s v="315"/>
    <x v="2"/>
    <s v="50-A05 | 4608 | 144|1"/>
  </r>
  <r>
    <x v="6"/>
    <s v="04-0001"/>
    <x v="6"/>
    <s v="212|1"/>
    <x v="0"/>
    <x v="7"/>
    <s v="3259"/>
    <n v="2560"/>
    <n v="4073.75"/>
    <n v="81.474999999999994"/>
    <n v="81"/>
    <x v="6"/>
    <s v="354"/>
    <x v="3"/>
    <s v="60-A06 | 3259 | 212|1"/>
  </r>
  <r>
    <x v="6"/>
    <s v="04-0001"/>
    <x v="6"/>
    <s v="294|1"/>
    <x v="0"/>
    <x v="8"/>
    <s v="2388"/>
    <n v="2563"/>
    <n v="2985"/>
    <n v="59.7"/>
    <n v="60"/>
    <x v="6"/>
    <s v="382"/>
    <x v="1"/>
    <s v="63-A07 | 2388 | 294|1"/>
  </r>
  <r>
    <x v="6"/>
    <s v="04-0001"/>
    <x v="6"/>
    <s v="289|1"/>
    <x v="0"/>
    <x v="9"/>
    <s v="309"/>
    <n v="2563"/>
    <n v="386.25"/>
    <n v="7.7249999999999996"/>
    <n v="8"/>
    <x v="6"/>
    <s v="381"/>
    <x v="1"/>
    <s v="63-A07-R | 309 | 289|1"/>
  </r>
  <r>
    <x v="6"/>
    <s v="04-0001"/>
    <x v="6"/>
    <s v="211|1"/>
    <x v="0"/>
    <x v="10"/>
    <s v="4308"/>
    <n v="2557"/>
    <n v="5385"/>
    <n v="107.7"/>
    <n v="108"/>
    <x v="6"/>
    <s v="346"/>
    <x v="0"/>
    <s v="57-A08-R | 4308 | 211|1"/>
  </r>
  <r>
    <x v="6"/>
    <s v="04-0001"/>
    <x v="6"/>
    <s v="223|1"/>
    <x v="0"/>
    <x v="11"/>
    <s v="3861"/>
    <n v="2557"/>
    <n v="4826.25"/>
    <n v="96.525000000000006"/>
    <n v="97"/>
    <x v="6"/>
    <s v="346"/>
    <x v="0"/>
    <s v="57-A09-R | 3861 | 223|1"/>
  </r>
  <r>
    <x v="6"/>
    <s v="04-0001"/>
    <x v="6"/>
    <s v="149|1"/>
    <x v="0"/>
    <x v="12"/>
    <s v="2785"/>
    <n v="2549"/>
    <n v="2785"/>
    <n v="55.7"/>
    <n v="56"/>
    <x v="2"/>
    <s v="317"/>
    <x v="2"/>
    <s v="49-A10-R | 2785 | 149|1"/>
  </r>
  <r>
    <x v="6"/>
    <s v="04-0001"/>
    <x v="6"/>
    <s v="146|1"/>
    <x v="0"/>
    <x v="13"/>
    <s v="2421"/>
    <n v="2549"/>
    <n v="2421"/>
    <n v="48.42"/>
    <n v="48"/>
    <x v="2"/>
    <s v="317"/>
    <x v="2"/>
    <s v="49-A11-R | 2421 | 146|1"/>
  </r>
  <r>
    <x v="6"/>
    <s v="04-0001"/>
    <x v="6"/>
    <s v="151|1"/>
    <x v="0"/>
    <x v="14"/>
    <s v="3764"/>
    <n v="2549"/>
    <n v="3764"/>
    <n v="75.28"/>
    <n v="75"/>
    <x v="2"/>
    <s v="317"/>
    <x v="2"/>
    <s v="49-A12-R | 3764 | 151|1"/>
  </r>
  <r>
    <x v="6"/>
    <s v="04-0001"/>
    <x v="6"/>
    <s v="152|1"/>
    <x v="0"/>
    <x v="15"/>
    <s v="2893"/>
    <n v="2549"/>
    <n v="2893"/>
    <n v="57.86"/>
    <n v="58"/>
    <x v="2"/>
    <s v="317"/>
    <x v="2"/>
    <s v="49-A13-R | 2893 | 152|1"/>
  </r>
  <r>
    <x v="6"/>
    <s v="04-0001"/>
    <x v="6"/>
    <s v="573|1"/>
    <x v="1"/>
    <x v="16"/>
    <s v="2868"/>
    <n v="2565"/>
    <n v="3585"/>
    <n v="71.7"/>
    <n v="72"/>
    <x v="6"/>
    <s v="396"/>
    <x v="1"/>
    <s v="65-B01 | 2868 | 573|1"/>
  </r>
  <r>
    <x v="6"/>
    <s v="04-0001"/>
    <x v="6"/>
    <s v="578|1"/>
    <x v="1"/>
    <x v="17"/>
    <s v="3480"/>
    <n v="2564"/>
    <n v="4350"/>
    <n v="87"/>
    <n v="87"/>
    <x v="6"/>
    <s v="396"/>
    <x v="4"/>
    <s v="64-B02 | 3480 | 578|1"/>
  </r>
  <r>
    <x v="6"/>
    <s v="04-0001"/>
    <x v="6"/>
    <s v="524|1"/>
    <x v="1"/>
    <x v="18"/>
    <s v="4231"/>
    <n v="2557"/>
    <n v="5288.75"/>
    <n v="105.77500000000001"/>
    <n v="106"/>
    <x v="6"/>
    <s v="352"/>
    <x v="0"/>
    <s v="57-B03 | 4231 | 524|1"/>
  </r>
  <r>
    <x v="6"/>
    <s v="04-0001"/>
    <x v="6"/>
    <s v="531|1"/>
    <x v="1"/>
    <x v="19"/>
    <s v="3851"/>
    <n v="2560"/>
    <n v="4813.75"/>
    <n v="96.275000000000006"/>
    <n v="96"/>
    <x v="6"/>
    <s v="355"/>
    <x v="3"/>
    <s v="60-B04 | 3851 | 531|1"/>
  </r>
  <r>
    <x v="6"/>
    <s v="04-0001"/>
    <x v="6"/>
    <s v="574|1"/>
    <x v="1"/>
    <x v="20"/>
    <s v="3140"/>
    <n v="2564"/>
    <n v="3925"/>
    <n v="78.5"/>
    <n v="79"/>
    <x v="6"/>
    <s v="396"/>
    <x v="4"/>
    <s v="64-B05 | 3140 | 574|1"/>
  </r>
  <r>
    <x v="6"/>
    <s v="04-0001"/>
    <x v="6"/>
    <s v="577|1"/>
    <x v="1"/>
    <x v="21"/>
    <s v="3671"/>
    <n v="2564"/>
    <n v="4588.75"/>
    <n v="91.775000000000006"/>
    <n v="92"/>
    <x v="6"/>
    <s v="396"/>
    <x v="4"/>
    <s v="64-B06 | 3671 | 577|1"/>
  </r>
  <r>
    <x v="6"/>
    <s v="04-0001"/>
    <x v="6"/>
    <s v="456|1"/>
    <x v="1"/>
    <x v="22"/>
    <s v="4022"/>
    <n v="2550"/>
    <n v="4022"/>
    <n v="80.44"/>
    <n v="80"/>
    <x v="2"/>
    <s v="322"/>
    <x v="2"/>
    <s v="50-B07 | 4022 | 456|1"/>
  </r>
  <r>
    <x v="6"/>
    <s v="04-0001"/>
    <x v="6"/>
    <s v="528|1"/>
    <x v="1"/>
    <x v="23"/>
    <s v="3476"/>
    <n v="2560"/>
    <n v="4345"/>
    <n v="86.9"/>
    <n v="87"/>
    <x v="6"/>
    <s v="355"/>
    <x v="3"/>
    <s v="60-B08 | 3476 | 528|1"/>
  </r>
  <r>
    <x v="6"/>
    <s v="04-0001"/>
    <x v="6"/>
    <s v="517|1"/>
    <x v="1"/>
    <x v="24"/>
    <s v="4127"/>
    <n v="2560"/>
    <n v="5158.75"/>
    <n v="103.175"/>
    <n v="103"/>
    <x v="6"/>
    <s v="355"/>
    <x v="3"/>
    <s v="60-B09 | 4127 | 517|1"/>
  </r>
  <r>
    <x v="6"/>
    <s v="04-0001"/>
    <x v="6"/>
    <s v="453|1"/>
    <x v="1"/>
    <x v="25"/>
    <s v="4245"/>
    <n v="2550"/>
    <n v="4245"/>
    <n v="84.9"/>
    <n v="85"/>
    <x v="2"/>
    <s v="322"/>
    <x v="2"/>
    <s v="50-B10 | 4245 | 453|1"/>
  </r>
  <r>
    <x v="6"/>
    <s v="04-0001"/>
    <x v="6"/>
    <s v="579|1"/>
    <x v="1"/>
    <x v="26"/>
    <s v="3193"/>
    <n v="2565"/>
    <n v="3991.25"/>
    <n v="79.825000000000003"/>
    <n v="80"/>
    <x v="6"/>
    <s v="396"/>
    <x v="1"/>
    <s v="65-B11 | 3193 | 579|1"/>
  </r>
  <r>
    <x v="6"/>
    <s v="04-0001"/>
    <x v="6"/>
    <s v="525|1"/>
    <x v="1"/>
    <x v="27"/>
    <s v="4265"/>
    <n v="2557"/>
    <n v="5331.25"/>
    <n v="106.625"/>
    <n v="107"/>
    <x v="6"/>
    <s v="352"/>
    <x v="0"/>
    <s v="57-B12 | 4265 | 525|1"/>
  </r>
  <r>
    <x v="6"/>
    <s v="04-0001"/>
    <x v="6"/>
    <s v="452|1"/>
    <x v="1"/>
    <x v="28"/>
    <s v="4192"/>
    <n v="2549"/>
    <n v="4192"/>
    <n v="83.84"/>
    <n v="84"/>
    <x v="2"/>
    <s v="322"/>
    <x v="5"/>
    <s v="49-B13 | 4192 | 452|1"/>
  </r>
  <r>
    <x v="6"/>
    <s v="04-0001"/>
    <x v="6"/>
    <s v="457|1"/>
    <x v="1"/>
    <x v="29"/>
    <s v="126"/>
    <n v="2530"/>
    <n v="126"/>
    <n v="2.52"/>
    <n v="3"/>
    <x v="2"/>
    <s v="14"/>
    <x v="5"/>
    <s v="30-B14 | 126 | 457|1"/>
  </r>
  <r>
    <x v="6"/>
    <s v="04-0001"/>
    <x v="6"/>
    <s v="519|1"/>
    <x v="1"/>
    <x v="30"/>
    <s v="1663"/>
    <n v="2557"/>
    <n v="2078.75"/>
    <n v="41.575000000000003"/>
    <n v="42"/>
    <x v="6"/>
    <s v="352"/>
    <x v="0"/>
    <s v="57-B14 | 1663 | 519|1"/>
  </r>
  <r>
    <x v="6"/>
    <s v="04-0001"/>
    <x v="6"/>
    <s v="225|1"/>
    <x v="0"/>
    <x v="31"/>
    <s v="2707"/>
    <n v="2560"/>
    <n v="3383.75"/>
    <n v="67.674999999999997"/>
    <n v="68"/>
    <x v="6"/>
    <s v="353"/>
    <x v="3"/>
    <s v="60-C01-R | 2707 | 225|1"/>
  </r>
  <r>
    <x v="6"/>
    <s v="04-0001"/>
    <x v="6"/>
    <s v="222|1"/>
    <x v="0"/>
    <x v="32"/>
    <s v="2132"/>
    <n v="2560"/>
    <n v="2665"/>
    <n v="53.3"/>
    <n v="53"/>
    <x v="6"/>
    <s v="353"/>
    <x v="3"/>
    <s v="60-C02-R | 2132 | 222|1"/>
  </r>
  <r>
    <x v="6"/>
    <s v="04-0001"/>
    <x v="6"/>
    <s v="220|1"/>
    <x v="0"/>
    <x v="33"/>
    <s v="3333"/>
    <n v="2559"/>
    <n v="4166.25"/>
    <n v="83.325000000000003"/>
    <n v="83"/>
    <x v="6"/>
    <s v="353"/>
    <x v="3"/>
    <s v="59-C03-R | 3333 | 220|1"/>
  </r>
  <r>
    <x v="6"/>
    <s v="04-0001"/>
    <x v="6"/>
    <s v="215|1"/>
    <x v="0"/>
    <x v="34"/>
    <s v="2525"/>
    <n v="2559"/>
    <n v="3156.25"/>
    <n v="63.125"/>
    <n v="63"/>
    <x v="6"/>
    <s v="353"/>
    <x v="3"/>
    <s v="59-C04-R | 2525 | 215|1"/>
  </r>
  <r>
    <x v="6"/>
    <s v="04-0001"/>
    <x v="6"/>
    <s v="154|1"/>
    <x v="0"/>
    <x v="35"/>
    <s v="184"/>
    <n v="2522"/>
    <n v="184"/>
    <n v="3.68"/>
    <n v="4"/>
    <x v="2"/>
    <s v="278"/>
    <x v="5"/>
    <s v="22-C05-R | 184 | 154|1"/>
  </r>
  <r>
    <x v="6"/>
    <s v="04-0001"/>
    <x v="6"/>
    <s v="147|1"/>
    <x v="0"/>
    <x v="36"/>
    <s v="2792"/>
    <n v="2550"/>
    <n v="2792"/>
    <n v="55.84"/>
    <n v="56"/>
    <x v="2"/>
    <s v="310"/>
    <x v="2"/>
    <s v="50-C05-R | 2792 | 147|1"/>
  </r>
  <r>
    <x v="6"/>
    <s v="04-0001"/>
    <x v="6"/>
    <s v="219|1"/>
    <x v="0"/>
    <x v="37"/>
    <s v="720"/>
    <n v="2560"/>
    <n v="900"/>
    <n v="18"/>
    <n v="18"/>
    <x v="6"/>
    <s v="353"/>
    <x v="3"/>
    <s v="60-C05-R | 720 | 219|1"/>
  </r>
  <r>
    <x v="6"/>
    <s v="04-0001"/>
    <x v="6"/>
    <s v="209|1"/>
    <x v="0"/>
    <x v="38"/>
    <s v="300"/>
    <n v="2557"/>
    <n v="375"/>
    <n v="7.5"/>
    <n v="8"/>
    <x v="6"/>
    <s v="392"/>
    <x v="0"/>
    <s v="57-C06 | 300 | 209|1"/>
  </r>
  <r>
    <x v="6"/>
    <s v="04-0001"/>
    <x v="6"/>
    <s v="214|1"/>
    <x v="0"/>
    <x v="39"/>
    <s v="2495"/>
    <n v="2557"/>
    <n v="3118.75"/>
    <n v="62.375"/>
    <n v="62"/>
    <x v="6"/>
    <s v="348"/>
    <x v="0"/>
    <s v="57-C06-R | 2495 | 214|1"/>
  </r>
  <r>
    <x v="6"/>
    <s v="04-0001"/>
    <x v="6"/>
    <s v="150|1"/>
    <x v="0"/>
    <x v="40"/>
    <s v="4202"/>
    <n v="2550"/>
    <n v="4202"/>
    <n v="84.04"/>
    <n v="84"/>
    <x v="2"/>
    <s v="310"/>
    <x v="2"/>
    <s v="50-C07-R | 4202 | 150|1"/>
  </r>
  <r>
    <x v="6"/>
    <s v="04-0001"/>
    <x v="6"/>
    <s v="221|1"/>
    <x v="0"/>
    <x v="41"/>
    <s v="2888"/>
    <n v="2559"/>
    <n v="3610"/>
    <n v="72.2"/>
    <n v="72"/>
    <x v="6"/>
    <s v="353"/>
    <x v="3"/>
    <s v="59-C08-R | 2888 | 221|1"/>
  </r>
  <r>
    <x v="6"/>
    <s v="04-0001"/>
    <x v="6"/>
    <s v="213|1"/>
    <x v="0"/>
    <x v="42"/>
    <s v="1905"/>
    <n v="2559"/>
    <n v="2381.25"/>
    <n v="47.625"/>
    <n v="48"/>
    <x v="6"/>
    <s v="353"/>
    <x v="3"/>
    <s v="59-C09-R | 1905 | 213|1"/>
  </r>
  <r>
    <x v="6"/>
    <s v="04-0001"/>
    <x v="6"/>
    <s v="218|1"/>
    <x v="0"/>
    <x v="43"/>
    <s v="3106"/>
    <n v="2556"/>
    <n v="3882.5"/>
    <n v="77.650000000000006"/>
    <n v="78"/>
    <x v="6"/>
    <s v="348"/>
    <x v="0"/>
    <s v="56-C10-R | 3106 | 218|1"/>
  </r>
  <r>
    <x v="6"/>
    <s v="04-0001"/>
    <x v="6"/>
    <s v="224|1"/>
    <x v="0"/>
    <x v="44"/>
    <s v="2291"/>
    <n v="2559"/>
    <n v="2863.75"/>
    <n v="57.274999999999999"/>
    <n v="57"/>
    <x v="6"/>
    <s v="353"/>
    <x v="3"/>
    <s v="59-C11-R | 2291 | 224|1"/>
  </r>
  <r>
    <x v="6"/>
    <s v="04-0001"/>
    <x v="6"/>
    <s v="296|1"/>
    <x v="0"/>
    <x v="45"/>
    <s v="2531"/>
    <n v="2565"/>
    <n v="3163.75"/>
    <n v="63.274999999999999"/>
    <n v="63"/>
    <x v="6"/>
    <s v="395"/>
    <x v="1"/>
    <s v="65-D01-R | 2531 | 296|1"/>
  </r>
  <r>
    <x v="6"/>
    <s v="04-0001"/>
    <x v="6"/>
    <s v="290|1"/>
    <x v="0"/>
    <x v="46"/>
    <s v="2853"/>
    <n v="2564"/>
    <n v="3566.25"/>
    <n v="71.325000000000003"/>
    <n v="71"/>
    <x v="6"/>
    <s v="395"/>
    <x v="1"/>
    <s v="64-D02-R | 2853 | 290|1"/>
  </r>
  <r>
    <x v="6"/>
    <s v="04-0001"/>
    <x v="6"/>
    <s v="293|1"/>
    <x v="0"/>
    <x v="47"/>
    <s v="2803"/>
    <n v="2565"/>
    <n v="3503.75"/>
    <n v="70.075000000000003"/>
    <n v="70"/>
    <x v="6"/>
    <s v="395"/>
    <x v="1"/>
    <s v="65-D03-R | 2803 | 293|1"/>
  </r>
  <r>
    <x v="6"/>
    <s v="04-0001"/>
    <x v="6"/>
    <s v="295|1"/>
    <x v="0"/>
    <x v="48"/>
    <s v="2819"/>
    <n v="2565"/>
    <n v="3523.75"/>
    <n v="70.474999999999994"/>
    <n v="70"/>
    <x v="6"/>
    <s v="395"/>
    <x v="1"/>
    <s v="65-D04-R | 2819 | 295|1"/>
  </r>
  <r>
    <x v="6"/>
    <s v="04-0001"/>
    <x v="6"/>
    <s v="291|1"/>
    <x v="0"/>
    <x v="49"/>
    <s v="2687"/>
    <n v="2565"/>
    <n v="3358.75"/>
    <n v="67.174999999999997"/>
    <n v="67"/>
    <x v="6"/>
    <s v="395"/>
    <x v="1"/>
    <s v="65-D05-R | 2687 | 291|1"/>
  </r>
  <r>
    <x v="6"/>
    <s v="04-0001"/>
    <x v="6"/>
    <s v="365|0"/>
    <x v="0"/>
    <x v="50"/>
    <s v="2865"/>
    <n v="2567"/>
    <n v="1432.5"/>
    <n v="28.65"/>
    <n v="29"/>
    <x v="3"/>
    <s v="375"/>
    <x v="6"/>
    <s v="67-D06-R | 2865 | 365|0"/>
  </r>
  <r>
    <x v="6"/>
    <s v="04-0001"/>
    <x v="6"/>
    <s v="217|1"/>
    <x v="0"/>
    <x v="51"/>
    <s v="3931"/>
    <n v="2556"/>
    <n v="4913.75"/>
    <n v="98.275000000000006"/>
    <n v="98"/>
    <x v="6"/>
    <s v="349"/>
    <x v="0"/>
    <s v="56-D07-R | 3931 | 217|1"/>
  </r>
  <r>
    <x v="6"/>
    <s v="04-0001"/>
    <x v="6"/>
    <s v="297|1"/>
    <x v="0"/>
    <x v="52"/>
    <s v="2365"/>
    <n v="2563"/>
    <n v="2956.25"/>
    <n v="59.125"/>
    <n v="59"/>
    <x v="6"/>
    <s v="395"/>
    <x v="1"/>
    <s v="63-D08-R | 2365 | 297|1"/>
  </r>
  <r>
    <x v="6"/>
    <s v="04-0001"/>
    <x v="6"/>
    <s v="333|1"/>
    <x v="0"/>
    <x v="53"/>
    <s v="2999"/>
    <n v="2566"/>
    <n v="2249.25"/>
    <n v="44.984999999999999"/>
    <n v="45"/>
    <x v="5"/>
    <s v="363"/>
    <x v="7"/>
    <s v="66-D09-R | 2999 | 333|1"/>
  </r>
  <r>
    <x v="6"/>
    <s v="04-0001"/>
    <x v="6"/>
    <s v="366|0"/>
    <x v="0"/>
    <x v="54"/>
    <s v="2167"/>
    <n v="2567"/>
    <n v="1083.5"/>
    <n v="21.67"/>
    <n v="22"/>
    <x v="3"/>
    <s v="374"/>
    <x v="6"/>
    <s v="67-P01-R | 2167 | 366|0"/>
  </r>
  <r>
    <x v="6"/>
    <s v="04-0001"/>
    <x v="6"/>
    <s v="367|0"/>
    <x v="0"/>
    <x v="55"/>
    <s v="2320"/>
    <n v="2567"/>
    <n v="1160"/>
    <n v="23.2"/>
    <n v="23"/>
    <x v="3"/>
    <s v="374"/>
    <x v="6"/>
    <s v="67-P02-R | 2320 | 367|0"/>
  </r>
  <r>
    <x v="6"/>
    <s v="04-0001"/>
    <x v="6"/>
    <s v="330|1"/>
    <x v="0"/>
    <x v="56"/>
    <s v="2550"/>
    <n v="2566"/>
    <n v="1912.5"/>
    <n v="38.25"/>
    <n v="38"/>
    <x v="5"/>
    <s v="362"/>
    <x v="7"/>
    <s v="66-P03-R | 2550 | 330|1"/>
  </r>
  <r>
    <x v="6"/>
    <s v="04-0001"/>
    <x v="6"/>
    <s v="334|1"/>
    <x v="0"/>
    <x v="57"/>
    <s v="2854"/>
    <n v="2566"/>
    <n v="2140.5"/>
    <n v="42.81"/>
    <n v="43"/>
    <x v="5"/>
    <s v="362"/>
    <x v="7"/>
    <s v="66-P04-R | 2854 | 334|1"/>
  </r>
  <r>
    <x v="6"/>
    <s v="04-0001"/>
    <x v="6"/>
    <s v="332|1"/>
    <x v="0"/>
    <x v="58"/>
    <s v="3111"/>
    <n v="2566"/>
    <n v="2333.25"/>
    <n v="46.664999999999999"/>
    <n v="47"/>
    <x v="5"/>
    <s v="362"/>
    <x v="7"/>
    <s v="66-P05-R | 3111 | 332|1"/>
  </r>
  <r>
    <x v="6"/>
    <s v="04-0001"/>
    <x v="6"/>
    <s v="298|1"/>
    <x v="0"/>
    <x v="59"/>
    <s v="2886"/>
    <n v="2564"/>
    <n v="3607.5"/>
    <n v="72.150000000000006"/>
    <n v="72"/>
    <x v="6"/>
    <s v="383"/>
    <x v="1"/>
    <s v="64-P06-R | 2886 | 298|1"/>
  </r>
  <r>
    <x v="6"/>
    <s v="04-0001"/>
    <x v="6"/>
    <s v="153|1"/>
    <x v="0"/>
    <x v="60"/>
    <s v="152"/>
    <n v="2551"/>
    <n v="152"/>
    <n v="3.04"/>
    <n v="3"/>
    <x v="2"/>
    <s v="393"/>
    <x v="2"/>
    <s v="51-P07 | 152 | 153|1"/>
  </r>
  <r>
    <x v="6"/>
    <s v="04-0001"/>
    <x v="6"/>
    <s v="145|1"/>
    <x v="0"/>
    <x v="61"/>
    <s v="401"/>
    <n v="2551"/>
    <n v="401"/>
    <n v="8.02"/>
    <n v="8"/>
    <x v="2"/>
    <s v="312"/>
    <x v="2"/>
    <s v="51-P07-R | 401 | 145|1"/>
  </r>
  <r>
    <x v="6"/>
    <s v="04-0001"/>
    <x v="6"/>
    <s v="288|1"/>
    <x v="0"/>
    <x v="62"/>
    <s v="2579"/>
    <n v="2564"/>
    <n v="3223.75"/>
    <n v="64.474999999999994"/>
    <n v="64"/>
    <x v="6"/>
    <s v="383"/>
    <x v="1"/>
    <s v="64-P07-R | 2579 | 288|1"/>
  </r>
  <r>
    <x v="6"/>
    <s v="04-0001"/>
    <x v="6"/>
    <s v="292|1"/>
    <x v="0"/>
    <x v="63"/>
    <s v="3402"/>
    <n v="2564"/>
    <n v="4252.5"/>
    <n v="85.05"/>
    <n v="85"/>
    <x v="6"/>
    <s v="383"/>
    <x v="1"/>
    <s v="64-P08-R | 3402 | 292|1"/>
  </r>
  <r>
    <x v="6"/>
    <s v="04-0001"/>
    <x v="6"/>
    <s v="300|1"/>
    <x v="0"/>
    <x v="64"/>
    <s v="2192"/>
    <n v="2564"/>
    <n v="2740"/>
    <n v="54.8"/>
    <n v="55"/>
    <x v="6"/>
    <s v="383"/>
    <x v="1"/>
    <s v="64-P09-R | 2192 | 300|1"/>
  </r>
  <r>
    <x v="6"/>
    <s v="04-0001"/>
    <x v="6"/>
    <s v="397|1"/>
    <x v="0"/>
    <x v="65"/>
    <s v="1892"/>
    <n v="2568"/>
    <n v="662.2"/>
    <n v="13.244"/>
    <n v="13"/>
    <x v="8"/>
    <s v="390"/>
    <x v="8"/>
    <s v="68-PU1 | 1892 | 397|1"/>
  </r>
  <r>
    <x v="6"/>
    <s v="04-0001"/>
    <x v="6"/>
    <s v="331|1"/>
    <x v="0"/>
    <x v="66"/>
    <s v="1970"/>
    <n v="2566"/>
    <n v="1477.5"/>
    <n v="29.55"/>
    <n v="30"/>
    <x v="5"/>
    <s v="368"/>
    <x v="7"/>
    <s v="66-PU2 | 1970 | 331|1"/>
  </r>
  <r>
    <x v="6"/>
    <s v="04-0001"/>
    <x v="6"/>
    <s v="395|1"/>
    <x v="0"/>
    <x v="67"/>
    <s v="1686"/>
    <n v="2568"/>
    <n v="590.1"/>
    <n v="11.802"/>
    <n v="12"/>
    <x v="8"/>
    <s v="390"/>
    <x v="8"/>
    <s v="68-PU3 | 1686 | 395|1"/>
  </r>
  <r>
    <x v="6"/>
    <s v="04-0001"/>
    <x v="6"/>
    <s v="396|1"/>
    <x v="0"/>
    <x v="68"/>
    <s v="1380"/>
    <n v="2568"/>
    <n v="483"/>
    <n v="9.66"/>
    <n v="10"/>
    <x v="8"/>
    <s v="390"/>
    <x v="8"/>
    <s v="68-PU4 | 1380 | 396|1"/>
  </r>
  <r>
    <x v="6"/>
    <s v="04-0001"/>
    <x v="6"/>
    <s v="401|1"/>
    <x v="0"/>
    <x v="69"/>
    <s v="751"/>
    <n v="2568"/>
    <n v="262.85000000000002"/>
    <n v="5.2569999999999997"/>
    <n v="5"/>
    <x v="8"/>
    <s v="394"/>
    <x v="8"/>
    <s v="68-PU5 | 751 | 401|1"/>
  </r>
  <r>
    <x v="6"/>
    <s v="04-0001"/>
    <x v="6"/>
    <s v="399|1"/>
    <x v="0"/>
    <x v="70"/>
    <s v="1168"/>
    <n v="2568"/>
    <n v="408.8"/>
    <n v="8.1760000000000002"/>
    <n v="8"/>
    <x v="8"/>
    <s v="389"/>
    <x v="8"/>
    <s v="68-PU5-R | 1168 | 399|1"/>
  </r>
  <r>
    <x v="6"/>
    <s v="04-0001"/>
    <x v="6"/>
    <s v="400|1"/>
    <x v="0"/>
    <x v="71"/>
    <s v="145"/>
    <n v="2568"/>
    <n v="50.75"/>
    <n v="1.0149999999999999"/>
    <n v="1"/>
    <x v="8"/>
    <s v="394"/>
    <x v="8"/>
    <s v="68-PU6 | 145 | 400|1"/>
  </r>
  <r>
    <x v="6"/>
    <s v="04-0001"/>
    <x v="6"/>
    <s v="398|1"/>
    <x v="0"/>
    <x v="72"/>
    <s v="1547"/>
    <n v="2568"/>
    <n v="541.45000000000005"/>
    <n v="10.829000000000001"/>
    <n v="11"/>
    <x v="8"/>
    <s v="389"/>
    <x v="8"/>
    <s v="68-PU6-R | 1547 | 398|1"/>
  </r>
  <r>
    <x v="6"/>
    <s v="04-0001"/>
    <x v="6"/>
    <s v="663|1"/>
    <x v="1"/>
    <x v="73"/>
    <s v="3171"/>
    <n v="2568"/>
    <n v="1109.8499999999999"/>
    <n v="22.196999999999999"/>
    <n v="22"/>
    <x v="8"/>
    <s v="388"/>
    <x v="8"/>
    <s v="68-T01 | 3171 | 663|1"/>
  </r>
  <r>
    <x v="6"/>
    <s v="04-0001"/>
    <x v="6"/>
    <s v="662|1"/>
    <x v="1"/>
    <x v="74"/>
    <s v="2950"/>
    <n v="2568"/>
    <n v="1032.5"/>
    <n v="20.65"/>
    <n v="21"/>
    <x v="8"/>
    <s v="388"/>
    <x v="8"/>
    <s v="68-T02 | 2950 | 662|1"/>
  </r>
  <r>
    <x v="6"/>
    <s v="04-0001"/>
    <x v="6"/>
    <s v="600|1"/>
    <x v="1"/>
    <x v="75"/>
    <s v="2449"/>
    <n v="2566"/>
    <n v="1836.75"/>
    <n v="36.734999999999999"/>
    <n v="37"/>
    <x v="5"/>
    <s v="364"/>
    <x v="7"/>
    <s v="66-T03 | 2449 | 600|1"/>
  </r>
  <r>
    <x v="6"/>
    <s v="04-0001"/>
    <x v="6"/>
    <s v="603|1"/>
    <x v="1"/>
    <x v="76"/>
    <s v="2014"/>
    <n v="2566"/>
    <n v="1510.5"/>
    <n v="30.21"/>
    <n v="30"/>
    <x v="5"/>
    <s v="364"/>
    <x v="7"/>
    <s v="66-T04 | 2014 | 603|1"/>
  </r>
  <r>
    <x v="6"/>
    <s v="04-0001"/>
    <x v="6"/>
    <s v="572|1"/>
    <x v="1"/>
    <x v="77"/>
    <s v="3037"/>
    <n v="2563"/>
    <n v="3796.25"/>
    <n v="75.924999999999997"/>
    <n v="76"/>
    <x v="6"/>
    <s v="385"/>
    <x v="1"/>
    <s v="63-T05-R | 3037 | 572|1"/>
  </r>
  <r>
    <x v="6"/>
    <s v="04-0001"/>
    <x v="6"/>
    <s v="601|1"/>
    <x v="1"/>
    <x v="78"/>
    <s v="2898"/>
    <n v="2566"/>
    <n v="2173.5"/>
    <n v="43.47"/>
    <n v="43"/>
    <x v="5"/>
    <s v="364"/>
    <x v="7"/>
    <s v="66-T06 | 2898 | 601|1"/>
  </r>
  <r>
    <x v="6"/>
    <s v="04-0001"/>
    <x v="6"/>
    <s v="602|1"/>
    <x v="1"/>
    <x v="79"/>
    <s v="2364"/>
    <n v="2566"/>
    <n v="1773"/>
    <n v="35.46"/>
    <n v="35"/>
    <x v="5"/>
    <s v="364"/>
    <x v="7"/>
    <s v="66-T07 | 2364 | 602|1"/>
  </r>
  <r>
    <x v="6"/>
    <s v="04-0001"/>
    <x v="6"/>
    <s v="518|1"/>
    <x v="1"/>
    <x v="80"/>
    <s v="213"/>
    <n v="2556"/>
    <n v="266.25"/>
    <n v="5.3250000000000002"/>
    <n v="5"/>
    <x v="6"/>
    <s v="351"/>
    <x v="0"/>
    <s v="56-T08 | 213 | 518|1"/>
  </r>
  <r>
    <x v="6"/>
    <s v="04-0001"/>
    <x v="6"/>
    <s v="516|1"/>
    <x v="1"/>
    <x v="81"/>
    <s v="2816"/>
    <n v="2556"/>
    <n v="3520"/>
    <n v="70.400000000000006"/>
    <n v="70"/>
    <x v="6"/>
    <s v="350"/>
    <x v="0"/>
    <s v="56-T08-R | 2816 | 516|1"/>
  </r>
  <r>
    <x v="6"/>
    <s v="04-0001"/>
    <x v="6"/>
    <s v="523|1"/>
    <x v="1"/>
    <x v="82"/>
    <s v="2934"/>
    <n v="2558"/>
    <n v="3667.5"/>
    <n v="73.349999999999994"/>
    <n v="73"/>
    <x v="6"/>
    <s v="350"/>
    <x v="0"/>
    <s v="58-T09-R | 2934 | 523|1"/>
  </r>
  <r>
    <x v="6"/>
    <s v="04-0001"/>
    <x v="6"/>
    <s v="451|1"/>
    <x v="1"/>
    <x v="83"/>
    <s v="2872"/>
    <n v="2550"/>
    <n v="2872"/>
    <n v="57.44"/>
    <n v="57"/>
    <x v="2"/>
    <s v="320"/>
    <x v="2"/>
    <s v="50-T10-R | 2872 | 451|1"/>
  </r>
  <r>
    <x v="6"/>
    <s v="04-0001"/>
    <x v="6"/>
    <s v="643|0"/>
    <x v="1"/>
    <x v="84"/>
    <s v="61"/>
    <n v="2567"/>
    <n v="30.5"/>
    <n v="0.61"/>
    <n v="1"/>
    <x v="3"/>
    <s v="379"/>
    <x v="6"/>
    <s v="67-T10 | 61 | 643|0"/>
  </r>
  <r>
    <x v="6"/>
    <s v="04-0001"/>
    <x v="6"/>
    <s v="522|1"/>
    <x v="1"/>
    <x v="85"/>
    <s v="2903"/>
    <n v="2558"/>
    <n v="3628.75"/>
    <n v="72.575000000000003"/>
    <n v="73"/>
    <x v="6"/>
    <s v="350"/>
    <x v="0"/>
    <s v="58-T11-R | 2903 | 522|1"/>
  </r>
  <r>
    <x v="6"/>
    <s v="04-0001"/>
    <x v="6"/>
    <s v="458|1"/>
    <x v="1"/>
    <x v="86"/>
    <s v="3030"/>
    <n v="2550"/>
    <n v="3030"/>
    <n v="60.6"/>
    <n v="61"/>
    <x v="2"/>
    <s v="320"/>
    <x v="2"/>
    <s v="50-T12-R | 3030 | 458|1"/>
  </r>
  <r>
    <x v="6"/>
    <s v="04-0001"/>
    <x v="6"/>
    <s v="527|1"/>
    <x v="1"/>
    <x v="87"/>
    <s v="2864"/>
    <n v="2558"/>
    <n v="3580"/>
    <n v="71.599999999999994"/>
    <n v="72"/>
    <x v="6"/>
    <s v="350"/>
    <x v="0"/>
    <s v="58-T13-R | 2864 | 527|1"/>
  </r>
  <r>
    <x v="6"/>
    <s v="04-0001"/>
    <x v="6"/>
    <s v="454|1"/>
    <x v="1"/>
    <x v="88"/>
    <s v="112"/>
    <n v="2549"/>
    <n v="112"/>
    <n v="2.2400000000000002"/>
    <n v="2"/>
    <x v="2"/>
    <s v="320"/>
    <x v="2"/>
    <s v="49-T16-R | 112 | 454|1"/>
  </r>
  <r>
    <x v="6"/>
    <s v="04-0001"/>
    <x v="6"/>
    <s v="530|1"/>
    <x v="1"/>
    <x v="89"/>
    <s v="2825"/>
    <n v="2558"/>
    <n v="3531.25"/>
    <n v="70.625"/>
    <n v="71"/>
    <x v="6"/>
    <s v="350"/>
    <x v="0"/>
    <s v="58-T17-R | 2825 | 530|1"/>
  </r>
  <r>
    <x v="6"/>
    <s v="04-0001"/>
    <x v="6"/>
    <s v="521|1"/>
    <x v="1"/>
    <x v="90"/>
    <s v="2843"/>
    <n v="2558"/>
    <n v="3553.75"/>
    <n v="71.075000000000003"/>
    <n v="71"/>
    <x v="6"/>
    <s v="350"/>
    <x v="0"/>
    <s v="58-T18-R | 2843 | 521|1"/>
  </r>
  <r>
    <x v="6"/>
    <s v="04-0001"/>
    <x v="6"/>
    <s v="644|0"/>
    <x v="1"/>
    <x v="91"/>
    <s v="171"/>
    <n v="2567"/>
    <n v="85.5"/>
    <n v="1.71"/>
    <n v="2"/>
    <x v="3"/>
    <s v="379"/>
    <x v="6"/>
    <s v="67-T18 | 171 | 644|0"/>
  </r>
  <r>
    <x v="6"/>
    <s v="04-0001"/>
    <x v="6"/>
    <s v="520|1"/>
    <x v="1"/>
    <x v="92"/>
    <s v="3199"/>
    <n v="2556"/>
    <n v="3998.75"/>
    <n v="79.974999999999994"/>
    <n v="80"/>
    <x v="6"/>
    <s v="350"/>
    <x v="0"/>
    <s v="56-T19-R | 3199 | 520|1"/>
  </r>
  <r>
    <x v="6"/>
    <s v="04-0001"/>
    <x v="6"/>
    <s v="455|1"/>
    <x v="1"/>
    <x v="93"/>
    <s v="2833"/>
    <n v="2549"/>
    <n v="2833"/>
    <n v="56.66"/>
    <n v="57"/>
    <x v="2"/>
    <s v="320"/>
    <x v="2"/>
    <s v="49-T20-R | 2833 | 455|1"/>
  </r>
  <r>
    <x v="6"/>
    <s v="04-0001"/>
    <x v="6"/>
    <s v="526|1"/>
    <x v="1"/>
    <x v="94"/>
    <s v="3015"/>
    <n v="2556"/>
    <n v="3768.75"/>
    <n v="75.375"/>
    <n v="75"/>
    <x v="6"/>
    <s v="350"/>
    <x v="0"/>
    <s v="56-T21-R | 3015 | 526|1"/>
  </r>
  <r>
    <x v="6"/>
    <s v="04-0001"/>
    <x v="6"/>
    <s v="641|0"/>
    <x v="1"/>
    <x v="95"/>
    <s v="241"/>
    <n v="2567"/>
    <n v="120.5"/>
    <n v="2.41"/>
    <n v="2"/>
    <x v="3"/>
    <s v="379"/>
    <x v="6"/>
    <s v="67-T21 | 241 | 641|0"/>
  </r>
  <r>
    <x v="6"/>
    <s v="04-0001"/>
    <x v="6"/>
    <s v="575|1"/>
    <x v="1"/>
    <x v="96"/>
    <s v="842"/>
    <n v="2563"/>
    <n v="1052.5"/>
    <n v="21.05"/>
    <n v="21"/>
    <x v="6"/>
    <s v="385"/>
    <x v="1"/>
    <s v="63-T22-R | 842 | 575|1"/>
  </r>
  <r>
    <x v="6"/>
    <s v="04-0001"/>
    <x v="6"/>
    <s v="576|1"/>
    <x v="1"/>
    <x v="97"/>
    <s v="844"/>
    <n v="2563"/>
    <n v="1055"/>
    <n v="21.1"/>
    <n v="21"/>
    <x v="6"/>
    <s v="385"/>
    <x v="1"/>
    <s v="63-T23-R | 844 | 576|1"/>
  </r>
  <r>
    <x v="6"/>
    <s v="04-0001"/>
    <x v="6"/>
    <s v="450|1"/>
    <x v="1"/>
    <x v="98"/>
    <s v="92"/>
    <n v="2552"/>
    <n v="92"/>
    <n v="1.84"/>
    <n v="2"/>
    <x v="2"/>
    <s v="320"/>
    <x v="2"/>
    <s v="52-T28-R | 92 | 450|1"/>
  </r>
  <r>
    <x v="6"/>
    <s v="04-0001"/>
    <x v="6"/>
    <s v="529|1"/>
    <x v="1"/>
    <x v="99"/>
    <s v="1403"/>
    <n v="2556"/>
    <n v="1753.75"/>
    <n v="35.075000000000003"/>
    <n v="35"/>
    <x v="6"/>
    <s v="350"/>
    <x v="0"/>
    <s v="56-T28-R | 1403 | 529|1"/>
  </r>
  <r>
    <x v="6"/>
    <s v="04-0001"/>
    <x v="6"/>
    <s v="645|0"/>
    <x v="1"/>
    <x v="100"/>
    <s v="3070"/>
    <n v="2567"/>
    <n v="1535"/>
    <n v="30.7"/>
    <n v="31"/>
    <x v="3"/>
    <s v="376"/>
    <x v="6"/>
    <s v="67-T29 | 3070 | 645|0"/>
  </r>
  <r>
    <x v="6"/>
    <s v="04-0001"/>
    <x v="6"/>
    <s v="642|0"/>
    <x v="1"/>
    <x v="101"/>
    <s v="3270"/>
    <n v="2567"/>
    <n v="1635"/>
    <n v="32.700000000000003"/>
    <n v="33"/>
    <x v="3"/>
    <s v="376"/>
    <x v="6"/>
    <s v="67-T30 | 3270 | 642|0"/>
  </r>
  <r>
    <x v="7"/>
    <s v="04-0008"/>
    <x v="7"/>
    <s v="368|0"/>
    <x v="0"/>
    <x v="50"/>
    <s v="2865"/>
    <n v="2567"/>
    <n v="3581.25"/>
    <n v="71.625"/>
    <n v="72"/>
    <x v="6"/>
    <s v="375"/>
    <x v="6"/>
    <s v="67-D06-R | 2865 | 368|0"/>
  </r>
  <r>
    <x v="7"/>
    <s v="04-0008"/>
    <x v="7"/>
    <s v="343|0"/>
    <x v="0"/>
    <x v="53"/>
    <s v="2999"/>
    <n v="2566"/>
    <n v="3748.75"/>
    <n v="74.974999999999994"/>
    <n v="75"/>
    <x v="6"/>
    <s v="363"/>
    <x v="7"/>
    <s v="66-D09-R | 2999 | 343|0"/>
  </r>
  <r>
    <x v="7"/>
    <s v="04-0008"/>
    <x v="7"/>
    <s v="369|0"/>
    <x v="0"/>
    <x v="54"/>
    <s v="2167"/>
    <n v="2567"/>
    <n v="2708.75"/>
    <n v="54.174999999999997"/>
    <n v="54"/>
    <x v="6"/>
    <s v="374"/>
    <x v="6"/>
    <s v="67-P01-R | 2167 | 369|0"/>
  </r>
  <r>
    <x v="7"/>
    <s v="04-0008"/>
    <x v="7"/>
    <s v="370|0"/>
    <x v="0"/>
    <x v="55"/>
    <s v="2320"/>
    <n v="2567"/>
    <n v="2900"/>
    <n v="58"/>
    <n v="58"/>
    <x v="6"/>
    <s v="374"/>
    <x v="6"/>
    <s v="67-P02-R | 2320 | 370|0"/>
  </r>
  <r>
    <x v="7"/>
    <s v="04-0008"/>
    <x v="7"/>
    <s v="340|0"/>
    <x v="0"/>
    <x v="56"/>
    <s v="2550"/>
    <n v="2566"/>
    <n v="3187.5"/>
    <n v="63.75"/>
    <n v="64"/>
    <x v="6"/>
    <s v="362"/>
    <x v="7"/>
    <s v="66-P03-R | 2550 | 340|0"/>
  </r>
  <r>
    <x v="7"/>
    <s v="04-0008"/>
    <x v="7"/>
    <s v="344|0"/>
    <x v="0"/>
    <x v="57"/>
    <s v="2854"/>
    <n v="2566"/>
    <n v="3567.5"/>
    <n v="71.349999999999994"/>
    <n v="71"/>
    <x v="6"/>
    <s v="362"/>
    <x v="7"/>
    <s v="66-P04-R | 2854 | 344|0"/>
  </r>
  <r>
    <x v="7"/>
    <s v="04-0008"/>
    <x v="7"/>
    <s v="342|0"/>
    <x v="0"/>
    <x v="58"/>
    <s v="3111"/>
    <n v="2566"/>
    <n v="3888.75"/>
    <n v="77.775000000000006"/>
    <n v="78"/>
    <x v="6"/>
    <s v="362"/>
    <x v="7"/>
    <s v="66-P05-R | 3111 | 342|0"/>
  </r>
  <r>
    <x v="7"/>
    <s v="04-0008"/>
    <x v="7"/>
    <s v="411|0"/>
    <x v="0"/>
    <x v="65"/>
    <s v="1892"/>
    <n v="2568"/>
    <n v="946"/>
    <n v="18.920000000000002"/>
    <n v="19"/>
    <x v="3"/>
    <s v="390"/>
    <x v="8"/>
    <s v="68-PU1 | 1892 | 411|0"/>
  </r>
  <r>
    <x v="7"/>
    <s v="04-0008"/>
    <x v="7"/>
    <s v="341|0"/>
    <x v="0"/>
    <x v="66"/>
    <s v="1970"/>
    <n v="2566"/>
    <n v="2462.5"/>
    <n v="49.25"/>
    <n v="49"/>
    <x v="6"/>
    <s v="368"/>
    <x v="7"/>
    <s v="66-PU2 | 1970 | 341|0"/>
  </r>
  <r>
    <x v="7"/>
    <s v="04-0008"/>
    <x v="7"/>
    <s v="409|0"/>
    <x v="0"/>
    <x v="67"/>
    <s v="1686"/>
    <n v="2568"/>
    <n v="843"/>
    <n v="16.86"/>
    <n v="17"/>
    <x v="3"/>
    <s v="390"/>
    <x v="8"/>
    <s v="68-PU3 | 1686 | 409|0"/>
  </r>
  <r>
    <x v="7"/>
    <s v="04-0008"/>
    <x v="7"/>
    <s v="410|0"/>
    <x v="0"/>
    <x v="68"/>
    <s v="1380"/>
    <n v="2568"/>
    <n v="690"/>
    <n v="13.8"/>
    <n v="14"/>
    <x v="3"/>
    <s v="390"/>
    <x v="8"/>
    <s v="68-PU4 | 1380 | 410|0"/>
  </r>
  <r>
    <x v="7"/>
    <s v="04-0008"/>
    <x v="7"/>
    <s v="415|0"/>
    <x v="0"/>
    <x v="69"/>
    <s v="751"/>
    <n v="2568"/>
    <n v="375.5"/>
    <n v="7.51"/>
    <n v="8"/>
    <x v="3"/>
    <s v="394"/>
    <x v="8"/>
    <s v="68-PU5 | 751 | 415|0"/>
  </r>
  <r>
    <x v="7"/>
    <s v="04-0008"/>
    <x v="7"/>
    <s v="413|0"/>
    <x v="0"/>
    <x v="70"/>
    <s v="1168"/>
    <n v="2568"/>
    <n v="584"/>
    <n v="11.68"/>
    <n v="12"/>
    <x v="3"/>
    <s v="389"/>
    <x v="8"/>
    <s v="68-PU5-R | 1168 | 413|0"/>
  </r>
  <r>
    <x v="7"/>
    <s v="04-0008"/>
    <x v="7"/>
    <s v="414|0"/>
    <x v="0"/>
    <x v="71"/>
    <s v="145"/>
    <n v="2568"/>
    <n v="72.5"/>
    <n v="1.45"/>
    <n v="1"/>
    <x v="3"/>
    <s v="394"/>
    <x v="8"/>
    <s v="68-PU6 | 145 | 414|0"/>
  </r>
  <r>
    <x v="7"/>
    <s v="04-0008"/>
    <x v="7"/>
    <s v="412|0"/>
    <x v="0"/>
    <x v="72"/>
    <s v="1547"/>
    <n v="2568"/>
    <n v="773.5"/>
    <n v="15.47"/>
    <n v="15"/>
    <x v="3"/>
    <s v="389"/>
    <x v="8"/>
    <s v="68-PU6-R | 1547 | 412|0"/>
  </r>
  <r>
    <x v="7"/>
    <s v="04-0008"/>
    <x v="7"/>
    <s v="667|0"/>
    <x v="1"/>
    <x v="73"/>
    <s v="3171"/>
    <n v="2568"/>
    <n v="1585.5"/>
    <n v="31.71"/>
    <n v="32"/>
    <x v="3"/>
    <s v="388"/>
    <x v="8"/>
    <s v="68-T01 | 3171 | 667|0"/>
  </r>
  <r>
    <x v="7"/>
    <s v="04-0008"/>
    <x v="7"/>
    <s v="666|0"/>
    <x v="1"/>
    <x v="74"/>
    <s v="2950"/>
    <n v="2568"/>
    <n v="1475"/>
    <n v="29.5"/>
    <n v="30"/>
    <x v="3"/>
    <s v="388"/>
    <x v="8"/>
    <s v="68-T02 | 2950 | 666|0"/>
  </r>
  <r>
    <x v="7"/>
    <s v="04-0008"/>
    <x v="7"/>
    <s v="608|0"/>
    <x v="1"/>
    <x v="75"/>
    <s v="2449"/>
    <n v="2566"/>
    <n v="3061.25"/>
    <n v="61.225000000000001"/>
    <n v="61"/>
    <x v="6"/>
    <s v="364"/>
    <x v="7"/>
    <s v="66-T03 | 2449 | 608|0"/>
  </r>
  <r>
    <x v="7"/>
    <s v="04-0008"/>
    <x v="7"/>
    <s v="611|0"/>
    <x v="1"/>
    <x v="76"/>
    <s v="2014"/>
    <n v="2566"/>
    <n v="2517.5"/>
    <n v="50.35"/>
    <n v="50"/>
    <x v="6"/>
    <s v="364"/>
    <x v="7"/>
    <s v="66-T04 | 2014 | 611|0"/>
  </r>
  <r>
    <x v="7"/>
    <s v="04-0008"/>
    <x v="7"/>
    <s v="609|0"/>
    <x v="1"/>
    <x v="78"/>
    <s v="2898"/>
    <n v="2566"/>
    <n v="3622.5"/>
    <n v="72.45"/>
    <n v="72"/>
    <x v="6"/>
    <s v="364"/>
    <x v="7"/>
    <s v="66-T06 | 2898 | 609|0"/>
  </r>
  <r>
    <x v="7"/>
    <s v="04-0008"/>
    <x v="7"/>
    <s v="610|0"/>
    <x v="1"/>
    <x v="79"/>
    <s v="2364"/>
    <n v="2566"/>
    <n v="2955"/>
    <n v="59.1"/>
    <n v="59"/>
    <x v="6"/>
    <s v="364"/>
    <x v="7"/>
    <s v="66-T07 | 2364 | 610|0"/>
  </r>
  <r>
    <x v="7"/>
    <s v="04-0008"/>
    <x v="7"/>
    <s v="648|0"/>
    <x v="1"/>
    <x v="84"/>
    <s v="61"/>
    <n v="2567"/>
    <n v="76.25"/>
    <n v="1.5249999999999999"/>
    <n v="2"/>
    <x v="6"/>
    <s v="379"/>
    <x v="6"/>
    <s v="67-T10 | 61 | 648|0"/>
  </r>
  <r>
    <x v="7"/>
    <s v="04-0008"/>
    <x v="7"/>
    <s v="649|0"/>
    <x v="1"/>
    <x v="91"/>
    <s v="171"/>
    <n v="2567"/>
    <n v="213.75"/>
    <n v="4.2750000000000004"/>
    <n v="4"/>
    <x v="6"/>
    <s v="379"/>
    <x v="6"/>
    <s v="67-T18 | 171 | 649|0"/>
  </r>
  <r>
    <x v="7"/>
    <s v="04-0008"/>
    <x v="7"/>
    <s v="646|0"/>
    <x v="1"/>
    <x v="95"/>
    <s v="241"/>
    <n v="2567"/>
    <n v="301.25"/>
    <n v="6.0250000000000004"/>
    <n v="6"/>
    <x v="6"/>
    <s v="379"/>
    <x v="6"/>
    <s v="67-T21 | 241 | 646|0"/>
  </r>
  <r>
    <x v="7"/>
    <s v="04-0008"/>
    <x v="7"/>
    <s v="650|0"/>
    <x v="1"/>
    <x v="100"/>
    <s v="3070"/>
    <n v="2567"/>
    <n v="3837.5"/>
    <n v="76.75"/>
    <n v="77"/>
    <x v="6"/>
    <s v="376"/>
    <x v="6"/>
    <s v="67-T29 | 3070 | 650|0"/>
  </r>
  <r>
    <x v="7"/>
    <s v="04-0008"/>
    <x v="7"/>
    <s v="647|0"/>
    <x v="1"/>
    <x v="101"/>
    <s v="3270"/>
    <n v="2567"/>
    <n v="4087.5"/>
    <n v="81.75"/>
    <n v="82"/>
    <x v="6"/>
    <s v="376"/>
    <x v="6"/>
    <s v="67-T30 | 3270 | 647|0"/>
  </r>
  <r>
    <x v="8"/>
    <s v="04-0001"/>
    <x v="8"/>
    <s v="371|0"/>
    <x v="0"/>
    <x v="50"/>
    <s v="2865"/>
    <n v="2567"/>
    <n v="2148.75"/>
    <n v="42.975000000000001"/>
    <n v="43"/>
    <x v="5"/>
    <s v="375"/>
    <x v="6"/>
    <s v="67-D06-R | 2865 | 371|0"/>
  </r>
  <r>
    <x v="8"/>
    <s v="04-0001"/>
    <x v="8"/>
    <s v="348|0"/>
    <x v="0"/>
    <x v="53"/>
    <s v="2999"/>
    <n v="2566"/>
    <n v="2249.25"/>
    <n v="44.984999999999999"/>
    <n v="45"/>
    <x v="5"/>
    <s v="363"/>
    <x v="7"/>
    <s v="66-D09-R | 2999 | 348|0"/>
  </r>
  <r>
    <x v="8"/>
    <s v="04-0001"/>
    <x v="8"/>
    <s v="372|0"/>
    <x v="0"/>
    <x v="54"/>
    <s v="2167"/>
    <n v="2567"/>
    <n v="1625.25"/>
    <n v="32.505000000000003"/>
    <n v="33"/>
    <x v="5"/>
    <s v="374"/>
    <x v="6"/>
    <s v="67-P01-R | 2167 | 372|0"/>
  </r>
  <r>
    <x v="8"/>
    <s v="04-0001"/>
    <x v="8"/>
    <s v="373|0"/>
    <x v="0"/>
    <x v="55"/>
    <s v="2320"/>
    <n v="2567"/>
    <n v="1740"/>
    <n v="34.799999999999997"/>
    <n v="35"/>
    <x v="5"/>
    <s v="374"/>
    <x v="6"/>
    <s v="67-P02-R | 2320 | 373|0"/>
  </r>
  <r>
    <x v="8"/>
    <s v="04-0001"/>
    <x v="8"/>
    <s v="345|0"/>
    <x v="0"/>
    <x v="56"/>
    <s v="2550"/>
    <n v="2566"/>
    <n v="1912.5"/>
    <n v="38.25"/>
    <n v="38"/>
    <x v="5"/>
    <s v="362"/>
    <x v="7"/>
    <s v="66-P03-R | 2550 | 345|0"/>
  </r>
  <r>
    <x v="8"/>
    <s v="04-0001"/>
    <x v="8"/>
    <s v="349|0"/>
    <x v="0"/>
    <x v="57"/>
    <s v="2854"/>
    <n v="2566"/>
    <n v="2140.5"/>
    <n v="42.81"/>
    <n v="43"/>
    <x v="5"/>
    <s v="362"/>
    <x v="7"/>
    <s v="66-P04-R | 2854 | 349|0"/>
  </r>
  <r>
    <x v="8"/>
    <s v="04-0001"/>
    <x v="8"/>
    <s v="347|0"/>
    <x v="0"/>
    <x v="58"/>
    <s v="3111"/>
    <n v="2566"/>
    <n v="2333.25"/>
    <n v="46.664999999999999"/>
    <n v="47"/>
    <x v="5"/>
    <s v="362"/>
    <x v="7"/>
    <s v="66-P05-R | 3111 | 347|0"/>
  </r>
  <r>
    <x v="8"/>
    <s v="04-0001"/>
    <x v="8"/>
    <s v="418|0"/>
    <x v="0"/>
    <x v="65"/>
    <s v="1892"/>
    <n v="2568"/>
    <n v="946"/>
    <n v="18.920000000000002"/>
    <n v="19"/>
    <x v="3"/>
    <s v="390"/>
    <x v="8"/>
    <s v="68-PU1 | 1892 | 418|0"/>
  </r>
  <r>
    <x v="8"/>
    <s v="04-0001"/>
    <x v="8"/>
    <s v="346|0"/>
    <x v="0"/>
    <x v="66"/>
    <s v="1970"/>
    <n v="2566"/>
    <n v="1477.5"/>
    <n v="29.55"/>
    <n v="30"/>
    <x v="5"/>
    <s v="368"/>
    <x v="7"/>
    <s v="66-PU2 | 1970 | 346|0"/>
  </r>
  <r>
    <x v="8"/>
    <s v="04-0001"/>
    <x v="8"/>
    <s v="416|0"/>
    <x v="0"/>
    <x v="67"/>
    <s v="1686"/>
    <n v="2568"/>
    <n v="843"/>
    <n v="16.86"/>
    <n v="17"/>
    <x v="3"/>
    <s v="390"/>
    <x v="8"/>
    <s v="68-PU3 | 1686 | 416|0"/>
  </r>
  <r>
    <x v="8"/>
    <s v="04-0001"/>
    <x v="8"/>
    <s v="417|0"/>
    <x v="0"/>
    <x v="68"/>
    <s v="1380"/>
    <n v="2568"/>
    <n v="690"/>
    <n v="13.8"/>
    <n v="14"/>
    <x v="3"/>
    <s v="390"/>
    <x v="8"/>
    <s v="68-PU4 | 1380 | 417|0"/>
  </r>
  <r>
    <x v="8"/>
    <s v="04-0001"/>
    <x v="8"/>
    <s v="422|0"/>
    <x v="0"/>
    <x v="69"/>
    <s v="751"/>
    <n v="2568"/>
    <n v="375.5"/>
    <n v="7.51"/>
    <n v="8"/>
    <x v="3"/>
    <s v="394"/>
    <x v="8"/>
    <s v="68-PU5 | 751 | 422|0"/>
  </r>
  <r>
    <x v="8"/>
    <s v="04-0001"/>
    <x v="8"/>
    <s v="420|0"/>
    <x v="0"/>
    <x v="70"/>
    <s v="1168"/>
    <n v="2568"/>
    <n v="584"/>
    <n v="11.68"/>
    <n v="12"/>
    <x v="3"/>
    <s v="389"/>
    <x v="8"/>
    <s v="68-PU5-R | 1168 | 420|0"/>
  </r>
  <r>
    <x v="8"/>
    <s v="04-0001"/>
    <x v="8"/>
    <s v="421|0"/>
    <x v="0"/>
    <x v="71"/>
    <s v="145"/>
    <n v="2568"/>
    <n v="72.5"/>
    <n v="1.45"/>
    <n v="1"/>
    <x v="3"/>
    <s v="394"/>
    <x v="8"/>
    <s v="68-PU6 | 145 | 421|0"/>
  </r>
  <r>
    <x v="8"/>
    <s v="04-0001"/>
    <x v="8"/>
    <s v="419|0"/>
    <x v="0"/>
    <x v="72"/>
    <s v="1547"/>
    <n v="2568"/>
    <n v="773.5"/>
    <n v="15.47"/>
    <n v="15"/>
    <x v="3"/>
    <s v="389"/>
    <x v="8"/>
    <s v="68-PU6-R | 1547 | 419|0"/>
  </r>
  <r>
    <x v="8"/>
    <s v="04-0001"/>
    <x v="8"/>
    <s v="669|0"/>
    <x v="1"/>
    <x v="73"/>
    <s v="3171"/>
    <n v="2568"/>
    <n v="1585.5"/>
    <n v="31.71"/>
    <n v="32"/>
    <x v="3"/>
    <s v="388"/>
    <x v="8"/>
    <s v="68-T01 | 3171 | 669|0"/>
  </r>
  <r>
    <x v="8"/>
    <s v="04-0001"/>
    <x v="8"/>
    <s v="668|0"/>
    <x v="1"/>
    <x v="74"/>
    <s v="2950"/>
    <n v="2568"/>
    <n v="1475"/>
    <n v="29.5"/>
    <n v="30"/>
    <x v="3"/>
    <s v="388"/>
    <x v="8"/>
    <s v="68-T02 | 2950 | 668|0"/>
  </r>
  <r>
    <x v="8"/>
    <s v="04-0001"/>
    <x v="8"/>
    <s v="612|0"/>
    <x v="1"/>
    <x v="75"/>
    <s v="2449"/>
    <n v="2566"/>
    <n v="1836.75"/>
    <n v="36.734999999999999"/>
    <n v="37"/>
    <x v="5"/>
    <s v="364"/>
    <x v="7"/>
    <s v="66-T03 | 2449 | 612|0"/>
  </r>
  <r>
    <x v="8"/>
    <s v="04-0001"/>
    <x v="8"/>
    <s v="615|0"/>
    <x v="1"/>
    <x v="76"/>
    <s v="2014"/>
    <n v="2566"/>
    <n v="1510.5"/>
    <n v="30.21"/>
    <n v="30"/>
    <x v="5"/>
    <s v="364"/>
    <x v="7"/>
    <s v="66-T04 | 2014 | 615|0"/>
  </r>
  <r>
    <x v="8"/>
    <s v="04-0001"/>
    <x v="8"/>
    <s v="613|0"/>
    <x v="1"/>
    <x v="78"/>
    <s v="2898"/>
    <n v="2566"/>
    <n v="2173.5"/>
    <n v="43.47"/>
    <n v="43"/>
    <x v="5"/>
    <s v="364"/>
    <x v="7"/>
    <s v="66-T06 | 2898 | 613|0"/>
  </r>
  <r>
    <x v="8"/>
    <s v="04-0001"/>
    <x v="8"/>
    <s v="614|0"/>
    <x v="1"/>
    <x v="79"/>
    <s v="2364"/>
    <n v="2566"/>
    <n v="1773"/>
    <n v="35.46"/>
    <n v="35"/>
    <x v="5"/>
    <s v="364"/>
    <x v="7"/>
    <s v="66-T07 | 2364 | 614|0"/>
  </r>
  <r>
    <x v="8"/>
    <s v="04-0001"/>
    <x v="8"/>
    <s v="653|0"/>
    <x v="1"/>
    <x v="84"/>
    <s v="61"/>
    <n v="2567"/>
    <n v="45.75"/>
    <n v="0.91500000000000004"/>
    <n v="1"/>
    <x v="5"/>
    <s v="379"/>
    <x v="6"/>
    <s v="67-T10 | 61 | 653|0"/>
  </r>
  <r>
    <x v="8"/>
    <s v="04-0001"/>
    <x v="8"/>
    <s v="654|0"/>
    <x v="1"/>
    <x v="91"/>
    <s v="171"/>
    <n v="2567"/>
    <n v="128.25"/>
    <n v="2.5649999999999999"/>
    <n v="3"/>
    <x v="5"/>
    <s v="379"/>
    <x v="6"/>
    <s v="67-T18 | 171 | 654|0"/>
  </r>
  <r>
    <x v="8"/>
    <s v="04-0001"/>
    <x v="8"/>
    <s v="651|0"/>
    <x v="1"/>
    <x v="95"/>
    <s v="241"/>
    <n v="2567"/>
    <n v="180.75"/>
    <n v="3.6150000000000002"/>
    <n v="4"/>
    <x v="5"/>
    <s v="379"/>
    <x v="6"/>
    <s v="67-T21 | 241 | 651|0"/>
  </r>
  <r>
    <x v="8"/>
    <s v="04-0001"/>
    <x v="8"/>
    <s v="655|0"/>
    <x v="1"/>
    <x v="100"/>
    <s v="3070"/>
    <n v="2567"/>
    <n v="2302.5"/>
    <n v="46.05"/>
    <n v="46"/>
    <x v="5"/>
    <s v="376"/>
    <x v="6"/>
    <s v="67-T29 | 3070 | 655|0"/>
  </r>
  <r>
    <x v="8"/>
    <s v="04-0001"/>
    <x v="8"/>
    <s v="652|0"/>
    <x v="1"/>
    <x v="101"/>
    <s v="3270"/>
    <n v="2567"/>
    <n v="2452.5"/>
    <n v="49.05"/>
    <n v="49"/>
    <x v="5"/>
    <s v="376"/>
    <x v="6"/>
    <s v="67-T30 | 3270 | 652|0"/>
  </r>
  <r>
    <x v="9"/>
    <m/>
    <x v="9"/>
    <m/>
    <x v="2"/>
    <x v="102"/>
    <m/>
    <n v="2556"/>
    <m/>
    <m/>
    <m/>
    <x v="12"/>
    <m/>
    <x v="9"/>
    <s v=" |  | "/>
  </r>
  <r>
    <x v="9"/>
    <m/>
    <x v="9"/>
    <m/>
    <x v="2"/>
    <x v="102"/>
    <m/>
    <n v="2556"/>
    <m/>
    <m/>
    <m/>
    <x v="12"/>
    <m/>
    <x v="9"/>
    <s v=" |  | "/>
  </r>
  <r>
    <x v="9"/>
    <m/>
    <x v="9"/>
    <m/>
    <x v="3"/>
    <x v="102"/>
    <m/>
    <n v="2556"/>
    <m/>
    <m/>
    <m/>
    <x v="12"/>
    <m/>
    <x v="9"/>
    <s v=" |  | "/>
  </r>
  <r>
    <x v="9"/>
    <m/>
    <x v="9"/>
    <m/>
    <x v="2"/>
    <x v="102"/>
    <m/>
    <n v="2556"/>
    <m/>
    <m/>
    <m/>
    <x v="12"/>
    <m/>
    <x v="9"/>
    <s v=" |  | "/>
  </r>
  <r>
    <x v="9"/>
    <m/>
    <x v="10"/>
    <m/>
    <x v="4"/>
    <x v="103"/>
    <m/>
    <m/>
    <m/>
    <m/>
    <m/>
    <x v="13"/>
    <m/>
    <x v="1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F0F0AD-5A36-4752-AF69-2B5E199A7103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J128" firstHeaderRow="1" firstDataRow="4" firstDataCol="1"/>
  <pivotFields count="16"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Col" showAll="0" defaultSubtotal="0">
      <items count="11">
        <item h="1" x="9"/>
        <item x="2"/>
        <item x="5"/>
        <item x="7"/>
        <item x="1"/>
        <item x="3"/>
        <item x="6"/>
        <item x="8"/>
        <item x="4"/>
        <item x="0"/>
        <item h="1" x="10"/>
      </items>
    </pivotField>
    <pivotField showAll="0"/>
    <pivotField axis="axisRow" showAll="0">
      <items count="6">
        <item x="3"/>
        <item x="2"/>
        <item x="0"/>
        <item x="1"/>
        <item x="4"/>
        <item t="default"/>
      </items>
    </pivotField>
    <pivotField axis="axisRow" showAll="0">
      <items count="105">
        <item h="1" x="102"/>
        <item x="35"/>
        <item x="29"/>
        <item x="12"/>
        <item x="13"/>
        <item x="14"/>
        <item x="15"/>
        <item x="28"/>
        <item x="88"/>
        <item x="93"/>
        <item x="5"/>
        <item x="6"/>
        <item x="22"/>
        <item x="25"/>
        <item x="36"/>
        <item x="40"/>
        <item x="83"/>
        <item x="86"/>
        <item x="60"/>
        <item x="61"/>
        <item x="98"/>
        <item x="0"/>
        <item x="2"/>
        <item x="3"/>
        <item x="43"/>
        <item x="51"/>
        <item x="80"/>
        <item x="81"/>
        <item x="92"/>
        <item x="94"/>
        <item x="99"/>
        <item x="10"/>
        <item x="11"/>
        <item x="18"/>
        <item x="27"/>
        <item x="30"/>
        <item x="38"/>
        <item x="39"/>
        <item x="82"/>
        <item x="85"/>
        <item x="87"/>
        <item x="89"/>
        <item x="90"/>
        <item x="33"/>
        <item x="34"/>
        <item x="41"/>
        <item x="42"/>
        <item x="44"/>
        <item x="7"/>
        <item x="19"/>
        <item x="23"/>
        <item x="24"/>
        <item x="31"/>
        <item x="32"/>
        <item x="37"/>
        <item x="1"/>
        <item x="4"/>
        <item x="8"/>
        <item x="9"/>
        <item x="52"/>
        <item x="77"/>
        <item x="96"/>
        <item x="97"/>
        <item x="17"/>
        <item x="20"/>
        <item x="21"/>
        <item x="46"/>
        <item x="59"/>
        <item x="62"/>
        <item x="63"/>
        <item x="64"/>
        <item x="16"/>
        <item x="26"/>
        <item x="45"/>
        <item x="47"/>
        <item x="48"/>
        <item x="49"/>
        <item x="53"/>
        <item x="56"/>
        <item x="57"/>
        <item x="58"/>
        <item x="66"/>
        <item x="75"/>
        <item x="76"/>
        <item x="78"/>
        <item x="79"/>
        <item x="50"/>
        <item x="54"/>
        <item x="55"/>
        <item x="84"/>
        <item x="91"/>
        <item x="95"/>
        <item x="100"/>
        <item x="101"/>
        <item x="65"/>
        <item x="67"/>
        <item x="68"/>
        <item x="69"/>
        <item x="70"/>
        <item x="71"/>
        <item x="72"/>
        <item x="73"/>
        <item x="74"/>
        <item h="1" x="103"/>
        <item t="default"/>
      </items>
    </pivotField>
    <pivotField showAll="0"/>
    <pivotField showAll="0"/>
    <pivotField showAll="0"/>
    <pivotField showAll="0"/>
    <pivotField dataField="1" showAll="0"/>
    <pivotField axis="axisCol" showAll="0">
      <items count="15">
        <item x="11"/>
        <item x="10"/>
        <item x="9"/>
        <item x="7"/>
        <item x="8"/>
        <item x="3"/>
        <item x="5"/>
        <item x="2"/>
        <item x="6"/>
        <item x="1"/>
        <item x="4"/>
        <item x="0"/>
        <item h="1" x="12"/>
        <item h="1" x="13"/>
        <item t="default"/>
      </items>
    </pivotField>
    <pivotField showAll="0"/>
    <pivotField axis="axisRow" showAll="0">
      <items count="12">
        <item x="7"/>
        <item x="6"/>
        <item x="8"/>
        <item x="9"/>
        <item x="2"/>
        <item x="0"/>
        <item x="3"/>
        <item x="4"/>
        <item x="1"/>
        <item x="5"/>
        <item x="10"/>
        <item t="default"/>
      </items>
    </pivotField>
    <pivotField showAl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3">
    <field x="4"/>
    <field x="13"/>
    <field x="5"/>
  </rowFields>
  <rowItems count="122">
    <i>
      <x v="2"/>
    </i>
    <i r="1">
      <x/>
    </i>
    <i r="2">
      <x v="77"/>
    </i>
    <i r="2">
      <x v="78"/>
    </i>
    <i r="2">
      <x v="79"/>
    </i>
    <i r="2">
      <x v="80"/>
    </i>
    <i r="2">
      <x v="81"/>
    </i>
    <i r="1">
      <x v="1"/>
    </i>
    <i r="2">
      <x v="86"/>
    </i>
    <i r="2">
      <x v="87"/>
    </i>
    <i r="2">
      <x v="88"/>
    </i>
    <i r="1">
      <x v="2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1">
      <x v="4"/>
    </i>
    <i r="2">
      <x v="3"/>
    </i>
    <i r="2">
      <x v="4"/>
    </i>
    <i r="2">
      <x v="5"/>
    </i>
    <i r="2">
      <x v="6"/>
    </i>
    <i r="2">
      <x v="10"/>
    </i>
    <i r="2">
      <x v="11"/>
    </i>
    <i r="2">
      <x v="14"/>
    </i>
    <i r="2">
      <x v="15"/>
    </i>
    <i r="2">
      <x v="18"/>
    </i>
    <i r="2">
      <x v="19"/>
    </i>
    <i r="1">
      <x v="5"/>
    </i>
    <i r="2">
      <x v="21"/>
    </i>
    <i r="2">
      <x v="22"/>
    </i>
    <i r="2">
      <x v="23"/>
    </i>
    <i r="2">
      <x v="24"/>
    </i>
    <i r="2">
      <x v="25"/>
    </i>
    <i r="2">
      <x v="31"/>
    </i>
    <i r="2">
      <x v="32"/>
    </i>
    <i r="2">
      <x v="36"/>
    </i>
    <i r="2">
      <x v="37"/>
    </i>
    <i r="1">
      <x v="6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52"/>
    </i>
    <i r="2">
      <x v="53"/>
    </i>
    <i r="2">
      <x v="54"/>
    </i>
    <i r="1">
      <x v="8"/>
    </i>
    <i r="2">
      <x v="55"/>
    </i>
    <i r="2">
      <x v="56"/>
    </i>
    <i r="2">
      <x v="57"/>
    </i>
    <i r="2">
      <x v="58"/>
    </i>
    <i r="2">
      <x v="59"/>
    </i>
    <i r="2">
      <x v="66"/>
    </i>
    <i r="2">
      <x v="67"/>
    </i>
    <i r="2">
      <x v="68"/>
    </i>
    <i r="2">
      <x v="69"/>
    </i>
    <i r="2">
      <x v="70"/>
    </i>
    <i r="2">
      <x v="73"/>
    </i>
    <i r="2">
      <x v="74"/>
    </i>
    <i r="2">
      <x v="75"/>
    </i>
    <i r="2">
      <x v="76"/>
    </i>
    <i r="1">
      <x v="9"/>
    </i>
    <i r="2">
      <x v="1"/>
    </i>
    <i>
      <x v="3"/>
    </i>
    <i r="1">
      <x/>
    </i>
    <i r="2">
      <x v="82"/>
    </i>
    <i r="2">
      <x v="83"/>
    </i>
    <i r="2">
      <x v="84"/>
    </i>
    <i r="2">
      <x v="85"/>
    </i>
    <i r="1">
      <x v="1"/>
    </i>
    <i r="2">
      <x v="89"/>
    </i>
    <i r="2">
      <x v="90"/>
    </i>
    <i r="2">
      <x v="91"/>
    </i>
    <i r="2">
      <x v="92"/>
    </i>
    <i r="2">
      <x v="93"/>
    </i>
    <i r="1">
      <x v="2"/>
    </i>
    <i r="2">
      <x v="101"/>
    </i>
    <i r="2">
      <x v="102"/>
    </i>
    <i r="1">
      <x v="4"/>
    </i>
    <i r="2">
      <x v="8"/>
    </i>
    <i r="2">
      <x v="9"/>
    </i>
    <i r="2">
      <x v="12"/>
    </i>
    <i r="2">
      <x v="13"/>
    </i>
    <i r="2">
      <x v="16"/>
    </i>
    <i r="2">
      <x v="17"/>
    </i>
    <i r="2">
      <x v="20"/>
    </i>
    <i r="1">
      <x v="5"/>
    </i>
    <i r="2">
      <x v="26"/>
    </i>
    <i r="2">
      <x v="27"/>
    </i>
    <i r="2">
      <x v="28"/>
    </i>
    <i r="2">
      <x v="29"/>
    </i>
    <i r="2">
      <x v="30"/>
    </i>
    <i r="2">
      <x v="33"/>
    </i>
    <i r="2">
      <x v="34"/>
    </i>
    <i r="2">
      <x v="35"/>
    </i>
    <i r="2">
      <x v="38"/>
    </i>
    <i r="2">
      <x v="39"/>
    </i>
    <i r="2">
      <x v="40"/>
    </i>
    <i r="2">
      <x v="41"/>
    </i>
    <i r="2">
      <x v="42"/>
    </i>
    <i r="1">
      <x v="6"/>
    </i>
    <i r="2">
      <x v="49"/>
    </i>
    <i r="2">
      <x v="50"/>
    </i>
    <i r="2">
      <x v="51"/>
    </i>
    <i r="1">
      <x v="7"/>
    </i>
    <i r="2">
      <x v="63"/>
    </i>
    <i r="2">
      <x v="64"/>
    </i>
    <i r="2">
      <x v="65"/>
    </i>
    <i r="1">
      <x v="8"/>
    </i>
    <i r="2">
      <x v="60"/>
    </i>
    <i r="2">
      <x v="61"/>
    </i>
    <i r="2">
      <x v="62"/>
    </i>
    <i r="2">
      <x v="71"/>
    </i>
    <i r="2">
      <x v="72"/>
    </i>
    <i r="1">
      <x v="9"/>
    </i>
    <i r="2">
      <x v="2"/>
    </i>
    <i r="2">
      <x v="7"/>
    </i>
    <i t="grand">
      <x/>
    </i>
  </rowItems>
  <colFields count="3">
    <field x="15"/>
    <field x="2"/>
    <field x="11"/>
  </colFields>
  <colItems count="35">
    <i>
      <x v="2"/>
      <x v="9"/>
      <x v="5"/>
    </i>
    <i r="2">
      <x v="7"/>
    </i>
    <i r="2">
      <x v="9"/>
    </i>
    <i r="2">
      <x v="11"/>
    </i>
    <i>
      <x v="3"/>
      <x v="4"/>
      <x v="5"/>
    </i>
    <i r="2">
      <x v="9"/>
    </i>
    <i r="2">
      <x v="11"/>
    </i>
    <i>
      <x v="4"/>
      <x v="1"/>
      <x v="3"/>
    </i>
    <i r="2">
      <x v="6"/>
    </i>
    <i r="2">
      <x v="8"/>
    </i>
    <i r="2">
      <x v="9"/>
    </i>
    <i r="2">
      <x v="10"/>
    </i>
    <i>
      <x v="5"/>
      <x v="5"/>
      <x v="4"/>
    </i>
    <i r="2">
      <x v="5"/>
    </i>
    <i r="2">
      <x v="6"/>
    </i>
    <i r="2">
      <x v="7"/>
    </i>
    <i r="2">
      <x v="8"/>
    </i>
    <i>
      <x v="7"/>
      <x v="8"/>
      <x/>
    </i>
    <i r="2">
      <x v="1"/>
    </i>
    <i r="2">
      <x v="2"/>
    </i>
    <i>
      <x v="8"/>
      <x v="2"/>
      <x v="3"/>
    </i>
    <i r="2">
      <x v="7"/>
    </i>
    <i r="2">
      <x v="8"/>
    </i>
    <i r="2">
      <x v="9"/>
    </i>
    <i r="2">
      <x v="10"/>
    </i>
    <i>
      <x v="9"/>
      <x v="6"/>
      <x v="4"/>
    </i>
    <i r="2">
      <x v="5"/>
    </i>
    <i r="2">
      <x v="6"/>
    </i>
    <i r="2">
      <x v="7"/>
    </i>
    <i r="2">
      <x v="8"/>
    </i>
    <i>
      <x v="10"/>
      <x v="3"/>
      <x v="5"/>
    </i>
    <i r="2">
      <x v="8"/>
    </i>
    <i>
      <x v="11"/>
      <x v="7"/>
      <x v="5"/>
    </i>
    <i r="2">
      <x v="6"/>
    </i>
    <i t="grand">
      <x/>
    </i>
  </colItems>
  <dataFields count="1">
    <dataField name="Sum of BAG(25/50)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CB64CE-E4A8-4924-8D69-284D401AAF43}" name="Table2" displayName="Table2" ref="A1:O763" totalsRowShown="0">
  <autoFilter ref="A1:O763" xr:uid="{81CB64CE-E4A8-4924-8D69-284D401AAF43}"/>
  <tableColumns count="15">
    <tableColumn id="1" xr3:uid="{58C36196-E89B-4453-A3EB-1CE5E3E5F8BC}" name="Month" dataDxfId="4"/>
    <tableColumn id="2" xr3:uid="{C67193E8-E4A6-4DF5-B955-9296F6EC50BC}" name="material"/>
    <tableColumn id="3" xr3:uid="{205A8A08-C13E-4DD1-BB5E-85CF0DD1295E}" name="n_material">
      <calculatedColumnFormula>_xlfn.XLOOKUP(B2,Fertilizer!A:A,Fertilizer!B:B,"")</calculatedColumnFormula>
    </tableColumn>
    <tableColumn id="4" xr3:uid="{DB18EFB3-5043-4B15-A705-704C9D53B3B5}" name="wo_number"/>
    <tableColumn id="5" xr3:uid="{9D41B816-FE39-4076-AC89-FED7A783854A}" name="area">
      <calculatedColumnFormula>_xlfn.XLOOKUP(F2,Terrain!D:D,Terrain!A:A,"")</calculatedColumnFormula>
    </tableColumn>
    <tableColumn id="6" xr3:uid="{5B86E53D-C910-4AD2-8288-95B39F5670BF}" name="terrain" dataDxfId="3">
      <calculatedColumnFormula>IF(RIGHT(Table2[[#This Row],[terrain]],2)="-R",MID(Table2[[#This Row],[terrain]],FIND("-",Table2[[#This Row],[terrain]])+1,LEN(Table2[[#This Row],[terrain]])-FIND("-",Table2[[#This Row],[terrain]])-2)&amp;"-"&amp;LEFT(Table2[[#This Row],[terrain]],FIND("-",Table2[[#This Row],[terrain]])-1)&amp;"-R",MID(Table2[[#This Row],[terrain]],FIND("-",Table2[[#This Row],[terrain]])+1,99)&amp;"-"&amp;LEFT(Table2[[#This Row],[terrain]],FIND("-",Table2[[#This Row],[terrain]])-1))</calculatedColumnFormula>
    </tableColumn>
    <tableColumn id="7" xr3:uid="{FE367F5B-FA0F-4309-9276-E6FFC543ED2A}" name="# of Trees"/>
    <tableColumn id="8" xr3:uid="{AF3216B0-7BAB-413C-B9CC-7DFCE226DBC9}" name="Date Planted" dataDxfId="2">
      <calculatedColumnFormula>2500+VALUE(MID(F2,1,2))</calculatedColumnFormula>
    </tableColumn>
    <tableColumn id="9" xr3:uid="{FD217BD6-B460-428C-82B8-17C507839FC5}" name="Stock (KG)"/>
    <tableColumn id="10" xr3:uid="{263FE4E6-D324-4522-9B37-8D5B72699F8B}" name="Stock (BAG)"/>
    <tableColumn id="11" xr3:uid="{60A3A8B1-207E-44C5-8CB7-2FC50C6F6C98}" name="BAG(25/50)"/>
    <tableColumn id="12" xr3:uid="{495E0206-D08C-47C4-A167-B711DE3E3A1B}" name="Rate">
      <calculatedColumnFormula>I2*1000/G2</calculatedColumnFormula>
    </tableColumn>
    <tableColumn id="13" xr3:uid="{742A1080-67A5-4CB4-ADE7-A9629B7EA64A}" name="AP Code"/>
    <tableColumn id="14" xr3:uid="{A3995EDC-DD44-4727-98F3-B1002D8E7736}" name="Planted year" dataDxfId="1">
      <calculatedColumnFormula>_xlfn.XLOOKUP(F2,Terrain!D:D,Terrain!H:H,"")</calculatedColumnFormula>
    </tableColumn>
    <tableColumn id="15" xr3:uid="{02CC4322-B7CD-4498-9A67-B8FADBEAFAE5}" name="terrain format" dataDxfId="0">
      <calculatedColumnFormula>F2 &amp; " | " &amp; G2 &amp; " | " &amp; D2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C8E82-4AC2-4C75-8766-C4703C1E509E}">
  <dimension ref="A2:F6"/>
  <sheetViews>
    <sheetView workbookViewId="0">
      <selection activeCell="L18" sqref="L18"/>
    </sheetView>
  </sheetViews>
  <sheetFormatPr defaultRowHeight="14.4" x14ac:dyDescent="0.3"/>
  <cols>
    <col min="1" max="1" width="7.6640625" bestFit="1" customWidth="1"/>
    <col min="2" max="2" width="8.5546875" bestFit="1" customWidth="1"/>
    <col min="3" max="3" width="20.5546875" style="3" bestFit="1" customWidth="1"/>
  </cols>
  <sheetData>
    <row r="2" spans="1:6" x14ac:dyDescent="0.3">
      <c r="A2" s="4" t="s">
        <v>12</v>
      </c>
      <c r="B2" s="5" t="s">
        <v>1250</v>
      </c>
      <c r="C2">
        <v>50</v>
      </c>
      <c r="D2" s="4"/>
      <c r="E2" s="4"/>
      <c r="F2" s="4"/>
    </row>
    <row r="3" spans="1:6" x14ac:dyDescent="0.3">
      <c r="A3" s="6" t="s">
        <v>14</v>
      </c>
      <c r="B3" s="5" t="s">
        <v>1251</v>
      </c>
      <c r="C3">
        <v>25</v>
      </c>
      <c r="D3" s="4"/>
      <c r="E3" s="4"/>
      <c r="F3" s="4"/>
    </row>
    <row r="4" spans="1:6" x14ac:dyDescent="0.3">
      <c r="A4" s="4" t="s">
        <v>10</v>
      </c>
      <c r="B4" s="5" t="s">
        <v>1252</v>
      </c>
      <c r="C4">
        <v>50</v>
      </c>
      <c r="D4" s="4"/>
      <c r="E4" s="4"/>
      <c r="F4" s="4"/>
    </row>
    <row r="5" spans="1:6" x14ac:dyDescent="0.3">
      <c r="A5" s="4" t="s">
        <v>5</v>
      </c>
      <c r="B5" s="5" t="s">
        <v>1253</v>
      </c>
      <c r="C5">
        <v>50</v>
      </c>
      <c r="D5" s="4"/>
      <c r="E5" s="4"/>
      <c r="F5" s="4"/>
    </row>
    <row r="6" spans="1:6" x14ac:dyDescent="0.3">
      <c r="A6" s="6" t="s">
        <v>7</v>
      </c>
      <c r="B6" s="5" t="s">
        <v>1254</v>
      </c>
      <c r="C6">
        <v>25</v>
      </c>
      <c r="D6" s="4"/>
      <c r="E6" s="4"/>
      <c r="F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D60C6-B623-413F-80CE-C2766D2133C6}">
  <dimension ref="A1:H110"/>
  <sheetViews>
    <sheetView workbookViewId="0">
      <selection activeCell="L11" sqref="L11"/>
    </sheetView>
  </sheetViews>
  <sheetFormatPr defaultColWidth="14.44140625" defaultRowHeight="18" x14ac:dyDescent="0.35"/>
  <cols>
    <col min="1" max="1" width="14.44140625" style="16"/>
    <col min="2" max="2" width="7.21875" style="16" bestFit="1" customWidth="1"/>
    <col min="3" max="3" width="17.88671875" style="16" customWidth="1"/>
    <col min="4" max="4" width="19.6640625" style="16" customWidth="1"/>
    <col min="5" max="5" width="4.6640625" style="36" bestFit="1" customWidth="1"/>
    <col min="6" max="6" width="5.88671875" style="37" bestFit="1" customWidth="1"/>
    <col min="7" max="7" width="11.109375" style="38" customWidth="1"/>
    <col min="8" max="8" width="14.44140625" style="15"/>
    <col min="9" max="16384" width="14.44140625" style="16"/>
  </cols>
  <sheetData>
    <row r="1" spans="1:8" x14ac:dyDescent="0.35">
      <c r="A1" s="165" t="s">
        <v>1122</v>
      </c>
      <c r="B1" s="152" t="s">
        <v>1123</v>
      </c>
      <c r="C1" s="153" t="s">
        <v>1124</v>
      </c>
      <c r="D1" s="153" t="s">
        <v>1125</v>
      </c>
      <c r="E1" s="153" t="s">
        <v>1126</v>
      </c>
      <c r="F1" s="152" t="s">
        <v>1127</v>
      </c>
      <c r="G1" s="154" t="s">
        <v>1128</v>
      </c>
      <c r="H1" s="165" t="s">
        <v>1111</v>
      </c>
    </row>
    <row r="2" spans="1:8" x14ac:dyDescent="0.35">
      <c r="A2" s="166" t="s">
        <v>1029</v>
      </c>
      <c r="B2" s="24" t="s">
        <v>1207</v>
      </c>
      <c r="C2" s="24" t="s">
        <v>1208</v>
      </c>
      <c r="D2" s="18" t="str">
        <f>IF(LEFT(C2,2)="R-",MID(C2,3,FIND("-",C2,3)-3)&amp;"-"&amp;LEFT(MID(C2,FIND("-",C2,3)+1,99),1)&amp;TEXT(--MID(C2,FIND("-",C2,3)+2,99),"00")&amp;"-R",LEFT(C2,FIND("-",C2))&amp;LEFT(MID(C2,FIND("-",C2)+1,99),1)&amp;TEXT(--MID(C2,FIND("-",C2)+2,99),"00"))</f>
        <v>22-C05-R</v>
      </c>
      <c r="E2" s="25">
        <v>8</v>
      </c>
      <c r="F2" s="28">
        <v>184</v>
      </c>
      <c r="G2" s="21">
        <f t="shared" ref="G2:G33" si="0">2500+VALUE(MID(D2,1,2))</f>
        <v>2522</v>
      </c>
      <c r="H2" s="167" t="s">
        <v>955</v>
      </c>
    </row>
    <row r="3" spans="1:8" x14ac:dyDescent="0.35">
      <c r="A3" s="166" t="s">
        <v>1029</v>
      </c>
      <c r="B3" s="24" t="s">
        <v>1235</v>
      </c>
      <c r="C3" s="24" t="s">
        <v>1236</v>
      </c>
      <c r="D3" s="24" t="s">
        <v>1236</v>
      </c>
      <c r="E3" s="25">
        <v>82</v>
      </c>
      <c r="F3" s="28">
        <v>1813</v>
      </c>
      <c r="G3" s="21">
        <f t="shared" si="0"/>
        <v>2530</v>
      </c>
      <c r="H3" s="167" t="s">
        <v>955</v>
      </c>
    </row>
    <row r="4" spans="1:8" x14ac:dyDescent="0.35">
      <c r="A4" s="156" t="s">
        <v>1029</v>
      </c>
      <c r="B4" s="24" t="s">
        <v>1235</v>
      </c>
      <c r="C4" s="24" t="s">
        <v>1237</v>
      </c>
      <c r="D4" s="24" t="s">
        <v>1237</v>
      </c>
      <c r="E4" s="25">
        <v>72</v>
      </c>
      <c r="F4" s="28">
        <v>1574</v>
      </c>
      <c r="G4" s="21">
        <f t="shared" si="0"/>
        <v>2530</v>
      </c>
      <c r="H4" s="167" t="s">
        <v>955</v>
      </c>
    </row>
    <row r="5" spans="1:8" x14ac:dyDescent="0.35">
      <c r="A5" s="156" t="s">
        <v>1029</v>
      </c>
      <c r="B5" s="24" t="s">
        <v>1235</v>
      </c>
      <c r="C5" s="24" t="s">
        <v>1238</v>
      </c>
      <c r="D5" s="24" t="s">
        <v>1238</v>
      </c>
      <c r="E5" s="25">
        <v>69</v>
      </c>
      <c r="F5" s="28">
        <v>1509</v>
      </c>
      <c r="G5" s="21">
        <f t="shared" si="0"/>
        <v>2530</v>
      </c>
      <c r="H5" s="167" t="s">
        <v>955</v>
      </c>
    </row>
    <row r="6" spans="1:8" x14ac:dyDescent="0.35">
      <c r="A6" s="156" t="s">
        <v>1029</v>
      </c>
      <c r="B6" s="24" t="s">
        <v>1180</v>
      </c>
      <c r="C6" s="24" t="s">
        <v>1181</v>
      </c>
      <c r="D6" s="18" t="str">
        <f t="shared" ref="D6:D66" si="1">IF(LEFT(C6,2)="R-",MID(C6,3,FIND("-",C6,3)-3)&amp;"-"&amp;LEFT(MID(C6,FIND("-",C6,3)+1,99),1)&amp;TEXT(--MID(C6,FIND("-",C6,3)+2,99),"00")&amp;"-R",LEFT(C6,FIND("-",C6))&amp;LEFT(MID(C6,FIND("-",C6)+1,99),1)&amp;TEXT(--MID(C6,FIND("-",C6)+2,99),"00"))</f>
        <v>49-A10-R</v>
      </c>
      <c r="E6" s="174">
        <v>111</v>
      </c>
      <c r="F6" s="26">
        <v>2785</v>
      </c>
      <c r="G6" s="21">
        <f t="shared" si="0"/>
        <v>2549</v>
      </c>
      <c r="H6" s="168" t="s">
        <v>1132</v>
      </c>
    </row>
    <row r="7" spans="1:8" x14ac:dyDescent="0.35">
      <c r="A7" s="156" t="s">
        <v>1029</v>
      </c>
      <c r="B7" s="24" t="s">
        <v>1180</v>
      </c>
      <c r="C7" s="24" t="s">
        <v>1182</v>
      </c>
      <c r="D7" s="18" t="str">
        <f t="shared" si="1"/>
        <v>49-A11-R</v>
      </c>
      <c r="E7" s="174">
        <v>97</v>
      </c>
      <c r="F7" s="26">
        <v>2421</v>
      </c>
      <c r="G7" s="21">
        <f t="shared" si="0"/>
        <v>2549</v>
      </c>
      <c r="H7" s="168" t="s">
        <v>1132</v>
      </c>
    </row>
    <row r="8" spans="1:8" x14ac:dyDescent="0.35">
      <c r="A8" s="156" t="s">
        <v>1029</v>
      </c>
      <c r="B8" s="24" t="s">
        <v>1180</v>
      </c>
      <c r="C8" s="24" t="s">
        <v>1183</v>
      </c>
      <c r="D8" s="18" t="str">
        <f t="shared" si="1"/>
        <v>49-A12-R</v>
      </c>
      <c r="E8" s="25">
        <v>151</v>
      </c>
      <c r="F8" s="26">
        <v>3764</v>
      </c>
      <c r="G8" s="21">
        <f t="shared" si="0"/>
        <v>2549</v>
      </c>
      <c r="H8" s="158" t="s">
        <v>1132</v>
      </c>
    </row>
    <row r="9" spans="1:8" x14ac:dyDescent="0.35">
      <c r="A9" s="156" t="s">
        <v>1029</v>
      </c>
      <c r="B9" s="24" t="s">
        <v>1180</v>
      </c>
      <c r="C9" s="24" t="s">
        <v>1184</v>
      </c>
      <c r="D9" s="18" t="str">
        <f t="shared" si="1"/>
        <v>49-A13-R</v>
      </c>
      <c r="E9" s="25">
        <v>116</v>
      </c>
      <c r="F9" s="26">
        <v>2893</v>
      </c>
      <c r="G9" s="21">
        <f t="shared" si="0"/>
        <v>2549</v>
      </c>
      <c r="H9" s="158" t="s">
        <v>1132</v>
      </c>
    </row>
    <row r="10" spans="1:8" x14ac:dyDescent="0.35">
      <c r="A10" s="156" t="s">
        <v>1029</v>
      </c>
      <c r="B10" s="24" t="s">
        <v>1180</v>
      </c>
      <c r="C10" s="27" t="s">
        <v>1185</v>
      </c>
      <c r="D10" s="18" t="str">
        <f t="shared" si="1"/>
        <v>50-A04</v>
      </c>
      <c r="E10" s="25">
        <v>195</v>
      </c>
      <c r="F10" s="26">
        <v>4864</v>
      </c>
      <c r="G10" s="21">
        <f t="shared" si="0"/>
        <v>2550</v>
      </c>
      <c r="H10" s="158" t="s">
        <v>1132</v>
      </c>
    </row>
    <row r="11" spans="1:8" x14ac:dyDescent="0.35">
      <c r="A11" s="156" t="s">
        <v>1029</v>
      </c>
      <c r="B11" s="24" t="s">
        <v>1180</v>
      </c>
      <c r="C11" s="27" t="s">
        <v>1186</v>
      </c>
      <c r="D11" s="18" t="str">
        <f t="shared" si="1"/>
        <v>50-A05</v>
      </c>
      <c r="E11" s="25">
        <v>171</v>
      </c>
      <c r="F11" s="26">
        <v>4608</v>
      </c>
      <c r="G11" s="21">
        <f t="shared" si="0"/>
        <v>2550</v>
      </c>
      <c r="H11" s="158" t="s">
        <v>1132</v>
      </c>
    </row>
    <row r="12" spans="1:8" x14ac:dyDescent="0.35">
      <c r="A12" s="156" t="s">
        <v>1029</v>
      </c>
      <c r="B12" s="24" t="s">
        <v>1207</v>
      </c>
      <c r="C12" s="34" t="s">
        <v>1209</v>
      </c>
      <c r="D12" s="18" t="str">
        <f t="shared" si="1"/>
        <v>50-C05-R</v>
      </c>
      <c r="E12" s="25">
        <v>103</v>
      </c>
      <c r="F12" s="26">
        <v>2792</v>
      </c>
      <c r="G12" s="21">
        <f t="shared" si="0"/>
        <v>2550</v>
      </c>
      <c r="H12" s="158" t="s">
        <v>1132</v>
      </c>
    </row>
    <row r="13" spans="1:8" x14ac:dyDescent="0.35">
      <c r="A13" s="156" t="s">
        <v>1029</v>
      </c>
      <c r="B13" s="24" t="s">
        <v>1207</v>
      </c>
      <c r="C13" s="34" t="s">
        <v>1210</v>
      </c>
      <c r="D13" s="18" t="str">
        <f t="shared" si="1"/>
        <v>50-C07-R</v>
      </c>
      <c r="E13" s="25">
        <v>156</v>
      </c>
      <c r="F13" s="26">
        <v>4202</v>
      </c>
      <c r="G13" s="21">
        <f t="shared" si="0"/>
        <v>2550</v>
      </c>
      <c r="H13" s="158" t="s">
        <v>1132</v>
      </c>
    </row>
    <row r="14" spans="1:8" x14ac:dyDescent="0.35">
      <c r="A14" s="156" t="s">
        <v>1029</v>
      </c>
      <c r="B14" s="24" t="s">
        <v>1222</v>
      </c>
      <c r="C14" s="24" t="s">
        <v>1223</v>
      </c>
      <c r="D14" s="18" t="str">
        <f t="shared" si="1"/>
        <v>51-P07</v>
      </c>
      <c r="E14" s="25">
        <v>6</v>
      </c>
      <c r="F14" s="28">
        <v>152</v>
      </c>
      <c r="G14" s="21">
        <f t="shared" si="0"/>
        <v>2551</v>
      </c>
      <c r="H14" s="158" t="s">
        <v>1132</v>
      </c>
    </row>
    <row r="15" spans="1:8" x14ac:dyDescent="0.35">
      <c r="A15" s="156" t="s">
        <v>1029</v>
      </c>
      <c r="B15" s="24" t="s">
        <v>1222</v>
      </c>
      <c r="C15" s="24" t="s">
        <v>1224</v>
      </c>
      <c r="D15" s="18" t="str">
        <f t="shared" si="1"/>
        <v>51-P07-R</v>
      </c>
      <c r="E15" s="25">
        <v>15</v>
      </c>
      <c r="F15" s="28">
        <v>401</v>
      </c>
      <c r="G15" s="21">
        <f t="shared" si="0"/>
        <v>2551</v>
      </c>
      <c r="H15" s="158" t="s">
        <v>1132</v>
      </c>
    </row>
    <row r="16" spans="1:8" x14ac:dyDescent="0.35">
      <c r="A16" s="156" t="s">
        <v>1029</v>
      </c>
      <c r="B16" s="24" t="s">
        <v>1222</v>
      </c>
      <c r="C16" s="24" t="s">
        <v>1225</v>
      </c>
      <c r="D16" s="18" t="str">
        <f t="shared" si="1"/>
        <v>55-P07-R</v>
      </c>
      <c r="E16" s="25">
        <v>4</v>
      </c>
      <c r="F16" s="28">
        <v>93</v>
      </c>
      <c r="G16" s="21">
        <f t="shared" si="0"/>
        <v>2555</v>
      </c>
      <c r="H16" s="159" t="s">
        <v>1138</v>
      </c>
    </row>
    <row r="17" spans="1:8" x14ac:dyDescent="0.35">
      <c r="A17" s="156" t="s">
        <v>1029</v>
      </c>
      <c r="B17" s="24" t="s">
        <v>1180</v>
      </c>
      <c r="C17" s="24" t="s">
        <v>1187</v>
      </c>
      <c r="D17" s="18" t="str">
        <f t="shared" si="1"/>
        <v>56-A01</v>
      </c>
      <c r="E17" s="25">
        <v>78</v>
      </c>
      <c r="F17" s="28">
        <v>1950</v>
      </c>
      <c r="G17" s="21">
        <f t="shared" si="0"/>
        <v>2556</v>
      </c>
      <c r="H17" s="159" t="s">
        <v>1138</v>
      </c>
    </row>
    <row r="18" spans="1:8" x14ac:dyDescent="0.35">
      <c r="A18" s="156" t="s">
        <v>1029</v>
      </c>
      <c r="B18" s="24" t="s">
        <v>1180</v>
      </c>
      <c r="C18" s="24" t="s">
        <v>1188</v>
      </c>
      <c r="D18" s="18" t="str">
        <f t="shared" si="1"/>
        <v>56-A02</v>
      </c>
      <c r="E18" s="25">
        <v>153</v>
      </c>
      <c r="F18" s="28">
        <v>3835</v>
      </c>
      <c r="G18" s="21">
        <f t="shared" si="0"/>
        <v>2556</v>
      </c>
      <c r="H18" s="159" t="s">
        <v>1138</v>
      </c>
    </row>
    <row r="19" spans="1:8" x14ac:dyDescent="0.35">
      <c r="A19" s="156" t="s">
        <v>1029</v>
      </c>
      <c r="B19" s="24" t="s">
        <v>1180</v>
      </c>
      <c r="C19" s="24" t="s">
        <v>1189</v>
      </c>
      <c r="D19" s="18" t="str">
        <f t="shared" si="1"/>
        <v>56-A03-R</v>
      </c>
      <c r="E19" s="25">
        <v>85</v>
      </c>
      <c r="F19" s="28">
        <v>2119</v>
      </c>
      <c r="G19" s="21">
        <f t="shared" si="0"/>
        <v>2556</v>
      </c>
      <c r="H19" s="159" t="s">
        <v>1138</v>
      </c>
    </row>
    <row r="20" spans="1:8" x14ac:dyDescent="0.35">
      <c r="A20" s="156" t="s">
        <v>1029</v>
      </c>
      <c r="B20" s="24" t="s">
        <v>1197</v>
      </c>
      <c r="C20" s="29" t="s">
        <v>1198</v>
      </c>
      <c r="D20" s="18" t="str">
        <f t="shared" si="1"/>
        <v>56-D07-R</v>
      </c>
      <c r="E20" s="25">
        <v>157</v>
      </c>
      <c r="F20" s="28">
        <v>3931</v>
      </c>
      <c r="G20" s="21">
        <f t="shared" si="0"/>
        <v>2556</v>
      </c>
      <c r="H20" s="159" t="s">
        <v>1138</v>
      </c>
    </row>
    <row r="21" spans="1:8" x14ac:dyDescent="0.35">
      <c r="A21" s="156" t="s">
        <v>1029</v>
      </c>
      <c r="B21" s="24" t="s">
        <v>1207</v>
      </c>
      <c r="C21" s="29" t="s">
        <v>1211</v>
      </c>
      <c r="D21" s="18" t="str">
        <f t="shared" si="1"/>
        <v>56-C10-R</v>
      </c>
      <c r="E21" s="25">
        <v>124</v>
      </c>
      <c r="F21" s="28">
        <v>3106</v>
      </c>
      <c r="G21" s="21">
        <f t="shared" si="0"/>
        <v>2556</v>
      </c>
      <c r="H21" s="159" t="s">
        <v>1138</v>
      </c>
    </row>
    <row r="22" spans="1:8" x14ac:dyDescent="0.35">
      <c r="A22" s="156" t="s">
        <v>1029</v>
      </c>
      <c r="B22" s="24" t="s">
        <v>1180</v>
      </c>
      <c r="C22" s="29" t="s">
        <v>1190</v>
      </c>
      <c r="D22" s="18" t="str">
        <f t="shared" si="1"/>
        <v>57-A08-R</v>
      </c>
      <c r="E22" s="25">
        <v>172</v>
      </c>
      <c r="F22" s="28">
        <v>4308</v>
      </c>
      <c r="G22" s="21">
        <f t="shared" si="0"/>
        <v>2557</v>
      </c>
      <c r="H22" s="159" t="s">
        <v>1138</v>
      </c>
    </row>
    <row r="23" spans="1:8" x14ac:dyDescent="0.35">
      <c r="A23" s="156" t="s">
        <v>1029</v>
      </c>
      <c r="B23" s="24" t="s">
        <v>1180</v>
      </c>
      <c r="C23" s="29" t="s">
        <v>1191</v>
      </c>
      <c r="D23" s="18" t="str">
        <f t="shared" si="1"/>
        <v>57-A09-R</v>
      </c>
      <c r="E23" s="25">
        <v>154</v>
      </c>
      <c r="F23" s="28">
        <v>3861</v>
      </c>
      <c r="G23" s="21">
        <f t="shared" si="0"/>
        <v>2557</v>
      </c>
      <c r="H23" s="159" t="s">
        <v>1138</v>
      </c>
    </row>
    <row r="24" spans="1:8" x14ac:dyDescent="0.35">
      <c r="A24" s="156" t="s">
        <v>1029</v>
      </c>
      <c r="B24" s="24" t="s">
        <v>1207</v>
      </c>
      <c r="C24" s="29" t="s">
        <v>1212</v>
      </c>
      <c r="D24" s="18" t="str">
        <f t="shared" si="1"/>
        <v>57-C06</v>
      </c>
      <c r="E24" s="25">
        <v>12</v>
      </c>
      <c r="F24" s="28">
        <v>300</v>
      </c>
      <c r="G24" s="21">
        <f t="shared" si="0"/>
        <v>2557</v>
      </c>
      <c r="H24" s="159" t="s">
        <v>1138</v>
      </c>
    </row>
    <row r="25" spans="1:8" x14ac:dyDescent="0.35">
      <c r="A25" s="156" t="s">
        <v>1029</v>
      </c>
      <c r="B25" s="24" t="s">
        <v>1207</v>
      </c>
      <c r="C25" s="29" t="s">
        <v>1213</v>
      </c>
      <c r="D25" s="18" t="str">
        <f t="shared" si="1"/>
        <v>57-C06-R</v>
      </c>
      <c r="E25" s="25">
        <v>100</v>
      </c>
      <c r="F25" s="28">
        <v>2495</v>
      </c>
      <c r="G25" s="21">
        <f t="shared" si="0"/>
        <v>2557</v>
      </c>
      <c r="H25" s="159" t="s">
        <v>1138</v>
      </c>
    </row>
    <row r="26" spans="1:8" x14ac:dyDescent="0.35">
      <c r="A26" s="156" t="s">
        <v>1029</v>
      </c>
      <c r="B26" s="24" t="s">
        <v>1207</v>
      </c>
      <c r="C26" s="24" t="s">
        <v>1214</v>
      </c>
      <c r="D26" s="18" t="str">
        <f t="shared" si="1"/>
        <v>59-C03-R</v>
      </c>
      <c r="E26" s="25">
        <v>133</v>
      </c>
      <c r="F26" s="28">
        <v>3333</v>
      </c>
      <c r="G26" s="21">
        <f t="shared" si="0"/>
        <v>2559</v>
      </c>
      <c r="H26" s="160" t="s">
        <v>1266</v>
      </c>
    </row>
    <row r="27" spans="1:8" x14ac:dyDescent="0.35">
      <c r="A27" s="156" t="s">
        <v>1029</v>
      </c>
      <c r="B27" s="24" t="s">
        <v>1207</v>
      </c>
      <c r="C27" s="24" t="s">
        <v>1215</v>
      </c>
      <c r="D27" s="18" t="str">
        <f t="shared" si="1"/>
        <v>59-C04-R</v>
      </c>
      <c r="E27" s="25">
        <v>101</v>
      </c>
      <c r="F27" s="28">
        <v>2525</v>
      </c>
      <c r="G27" s="21">
        <f t="shared" si="0"/>
        <v>2559</v>
      </c>
      <c r="H27" s="160" t="s">
        <v>1266</v>
      </c>
    </row>
    <row r="28" spans="1:8" x14ac:dyDescent="0.35">
      <c r="A28" s="156" t="s">
        <v>1029</v>
      </c>
      <c r="B28" s="24" t="s">
        <v>1207</v>
      </c>
      <c r="C28" s="24" t="s">
        <v>1216</v>
      </c>
      <c r="D28" s="18" t="str">
        <f t="shared" si="1"/>
        <v>59-C08-R</v>
      </c>
      <c r="E28" s="25">
        <v>116</v>
      </c>
      <c r="F28" s="28">
        <v>2888</v>
      </c>
      <c r="G28" s="21">
        <f t="shared" si="0"/>
        <v>2559</v>
      </c>
      <c r="H28" s="160" t="s">
        <v>1266</v>
      </c>
    </row>
    <row r="29" spans="1:8" x14ac:dyDescent="0.35">
      <c r="A29" s="156" t="s">
        <v>1029</v>
      </c>
      <c r="B29" s="24" t="s">
        <v>1207</v>
      </c>
      <c r="C29" s="24" t="s">
        <v>1217</v>
      </c>
      <c r="D29" s="18" t="str">
        <f t="shared" si="1"/>
        <v>59-C09-R</v>
      </c>
      <c r="E29" s="25">
        <v>76</v>
      </c>
      <c r="F29" s="28">
        <v>1905</v>
      </c>
      <c r="G29" s="21">
        <f t="shared" si="0"/>
        <v>2559</v>
      </c>
      <c r="H29" s="160" t="s">
        <v>1266</v>
      </c>
    </row>
    <row r="30" spans="1:8" x14ac:dyDescent="0.35">
      <c r="A30" s="156" t="s">
        <v>1029</v>
      </c>
      <c r="B30" s="24" t="s">
        <v>1207</v>
      </c>
      <c r="C30" s="24" t="s">
        <v>1218</v>
      </c>
      <c r="D30" s="18" t="str">
        <f t="shared" si="1"/>
        <v>59-C11-R</v>
      </c>
      <c r="E30" s="25">
        <v>92</v>
      </c>
      <c r="F30" s="28">
        <v>2291</v>
      </c>
      <c r="G30" s="21">
        <f t="shared" si="0"/>
        <v>2559</v>
      </c>
      <c r="H30" s="160" t="s">
        <v>1266</v>
      </c>
    </row>
    <row r="31" spans="1:8" x14ac:dyDescent="0.35">
      <c r="A31" s="156" t="s">
        <v>1029</v>
      </c>
      <c r="B31" s="24" t="s">
        <v>1180</v>
      </c>
      <c r="C31" s="24" t="s">
        <v>1192</v>
      </c>
      <c r="D31" s="18" t="str">
        <f t="shared" si="1"/>
        <v>60-A06</v>
      </c>
      <c r="E31" s="30">
        <v>142</v>
      </c>
      <c r="F31" s="26">
        <v>3259</v>
      </c>
      <c r="G31" s="21">
        <f t="shared" si="0"/>
        <v>2560</v>
      </c>
      <c r="H31" s="160" t="s">
        <v>1266</v>
      </c>
    </row>
    <row r="32" spans="1:8" x14ac:dyDescent="0.35">
      <c r="A32" s="156" t="s">
        <v>1029</v>
      </c>
      <c r="B32" s="24" t="s">
        <v>1207</v>
      </c>
      <c r="C32" s="32" t="s">
        <v>1219</v>
      </c>
      <c r="D32" s="18" t="str">
        <f t="shared" si="1"/>
        <v>60-C01-R</v>
      </c>
      <c r="E32" s="25">
        <v>108</v>
      </c>
      <c r="F32" s="33">
        <v>2707</v>
      </c>
      <c r="G32" s="21">
        <f t="shared" si="0"/>
        <v>2560</v>
      </c>
      <c r="H32" s="160" t="s">
        <v>1266</v>
      </c>
    </row>
    <row r="33" spans="1:8" x14ac:dyDescent="0.35">
      <c r="A33" s="156" t="s">
        <v>1029</v>
      </c>
      <c r="B33" s="24" t="s">
        <v>1207</v>
      </c>
      <c r="C33" s="24" t="s">
        <v>1220</v>
      </c>
      <c r="D33" s="18" t="str">
        <f t="shared" si="1"/>
        <v>60-C02-R</v>
      </c>
      <c r="E33" s="25">
        <v>85</v>
      </c>
      <c r="F33" s="26">
        <v>2132</v>
      </c>
      <c r="G33" s="21">
        <f t="shared" si="0"/>
        <v>2560</v>
      </c>
      <c r="H33" s="160" t="s">
        <v>1266</v>
      </c>
    </row>
    <row r="34" spans="1:8" x14ac:dyDescent="0.35">
      <c r="A34" s="156" t="s">
        <v>1029</v>
      </c>
      <c r="B34" s="24" t="s">
        <v>1207</v>
      </c>
      <c r="C34" s="24" t="s">
        <v>1221</v>
      </c>
      <c r="D34" s="18" t="str">
        <f t="shared" si="1"/>
        <v>60-C05-R</v>
      </c>
      <c r="E34" s="25">
        <v>29</v>
      </c>
      <c r="F34" s="26">
        <v>720</v>
      </c>
      <c r="G34" s="21">
        <f t="shared" ref="G34:G65" si="2">2500+VALUE(MID(D34,1,2))</f>
        <v>2560</v>
      </c>
      <c r="H34" s="160" t="s">
        <v>1266</v>
      </c>
    </row>
    <row r="35" spans="1:8" x14ac:dyDescent="0.35">
      <c r="A35" s="156" t="s">
        <v>1029</v>
      </c>
      <c r="B35" s="24" t="s">
        <v>1180</v>
      </c>
      <c r="C35" s="24" t="s">
        <v>1193</v>
      </c>
      <c r="D35" s="18" t="str">
        <f t="shared" si="1"/>
        <v>63-A01-R</v>
      </c>
      <c r="E35" s="25">
        <v>24</v>
      </c>
      <c r="F35" s="26">
        <v>534</v>
      </c>
      <c r="G35" s="21">
        <f t="shared" si="2"/>
        <v>2563</v>
      </c>
      <c r="H35" s="161" t="s">
        <v>1148</v>
      </c>
    </row>
    <row r="36" spans="1:8" x14ac:dyDescent="0.35">
      <c r="A36" s="156" t="s">
        <v>1029</v>
      </c>
      <c r="B36" s="24" t="s">
        <v>1180</v>
      </c>
      <c r="C36" s="24" t="s">
        <v>1194</v>
      </c>
      <c r="D36" s="18" t="str">
        <f t="shared" si="1"/>
        <v>63-A03-R</v>
      </c>
      <c r="E36" s="25">
        <v>39</v>
      </c>
      <c r="F36" s="26">
        <v>980</v>
      </c>
      <c r="G36" s="21">
        <f t="shared" si="2"/>
        <v>2563</v>
      </c>
      <c r="H36" s="161" t="s">
        <v>1148</v>
      </c>
    </row>
    <row r="37" spans="1:8" x14ac:dyDescent="0.35">
      <c r="A37" s="156" t="s">
        <v>1029</v>
      </c>
      <c r="B37" s="24" t="s">
        <v>1180</v>
      </c>
      <c r="C37" s="24" t="s">
        <v>1195</v>
      </c>
      <c r="D37" s="18" t="str">
        <f t="shared" si="1"/>
        <v>63-A07</v>
      </c>
      <c r="E37" s="25">
        <v>109</v>
      </c>
      <c r="F37" s="26">
        <v>2388</v>
      </c>
      <c r="G37" s="21">
        <f t="shared" si="2"/>
        <v>2563</v>
      </c>
      <c r="H37" s="161" t="s">
        <v>1148</v>
      </c>
    </row>
    <row r="38" spans="1:8" x14ac:dyDescent="0.35">
      <c r="A38" s="156" t="s">
        <v>1029</v>
      </c>
      <c r="B38" s="24" t="s">
        <v>1180</v>
      </c>
      <c r="C38" s="24" t="s">
        <v>1196</v>
      </c>
      <c r="D38" s="18" t="str">
        <f t="shared" si="1"/>
        <v>63-A07-R</v>
      </c>
      <c r="E38" s="25">
        <v>14</v>
      </c>
      <c r="F38" s="26">
        <v>309</v>
      </c>
      <c r="G38" s="21">
        <f t="shared" si="2"/>
        <v>2563</v>
      </c>
      <c r="H38" s="161" t="s">
        <v>1148</v>
      </c>
    </row>
    <row r="39" spans="1:8" x14ac:dyDescent="0.35">
      <c r="A39" s="156" t="s">
        <v>1029</v>
      </c>
      <c r="B39" s="24" t="s">
        <v>1197</v>
      </c>
      <c r="C39" s="24" t="s">
        <v>1199</v>
      </c>
      <c r="D39" s="18" t="str">
        <f t="shared" si="1"/>
        <v>63-D08-R</v>
      </c>
      <c r="E39" s="25">
        <v>108</v>
      </c>
      <c r="F39" s="28">
        <v>2365</v>
      </c>
      <c r="G39" s="21">
        <f t="shared" si="2"/>
        <v>2563</v>
      </c>
      <c r="H39" s="161" t="s">
        <v>1148</v>
      </c>
    </row>
    <row r="40" spans="1:8" x14ac:dyDescent="0.35">
      <c r="A40" s="156" t="s">
        <v>1029</v>
      </c>
      <c r="B40" s="24" t="s">
        <v>1197</v>
      </c>
      <c r="C40" s="24" t="s">
        <v>1200</v>
      </c>
      <c r="D40" s="18" t="str">
        <f t="shared" si="1"/>
        <v>64-D02-R</v>
      </c>
      <c r="E40" s="25">
        <v>130</v>
      </c>
      <c r="F40" s="28">
        <v>2853</v>
      </c>
      <c r="G40" s="21">
        <f t="shared" si="2"/>
        <v>2564</v>
      </c>
      <c r="H40" s="161" t="s">
        <v>1148</v>
      </c>
    </row>
    <row r="41" spans="1:8" x14ac:dyDescent="0.35">
      <c r="A41" s="156" t="s">
        <v>1029</v>
      </c>
      <c r="B41" s="24" t="s">
        <v>1222</v>
      </c>
      <c r="C41" s="24" t="s">
        <v>1226</v>
      </c>
      <c r="D41" s="18" t="str">
        <f t="shared" si="1"/>
        <v>64-P06-R</v>
      </c>
      <c r="E41" s="25">
        <v>131</v>
      </c>
      <c r="F41" s="31">
        <v>2886</v>
      </c>
      <c r="G41" s="21">
        <f t="shared" si="2"/>
        <v>2564</v>
      </c>
      <c r="H41" s="161" t="s">
        <v>1148</v>
      </c>
    </row>
    <row r="42" spans="1:8" x14ac:dyDescent="0.35">
      <c r="A42" s="156" t="s">
        <v>1029</v>
      </c>
      <c r="B42" s="24" t="s">
        <v>1222</v>
      </c>
      <c r="C42" s="24" t="s">
        <v>1227</v>
      </c>
      <c r="D42" s="18" t="str">
        <f t="shared" si="1"/>
        <v>64-P07-R</v>
      </c>
      <c r="E42" s="25">
        <v>117</v>
      </c>
      <c r="F42" s="31">
        <v>2579</v>
      </c>
      <c r="G42" s="21">
        <f t="shared" si="2"/>
        <v>2564</v>
      </c>
      <c r="H42" s="161" t="s">
        <v>1148</v>
      </c>
    </row>
    <row r="43" spans="1:8" x14ac:dyDescent="0.35">
      <c r="A43" s="156" t="s">
        <v>1029</v>
      </c>
      <c r="B43" s="24" t="s">
        <v>1222</v>
      </c>
      <c r="C43" s="24" t="s">
        <v>1228</v>
      </c>
      <c r="D43" s="18" t="str">
        <f t="shared" si="1"/>
        <v>64-P08-R</v>
      </c>
      <c r="E43" s="25">
        <v>155</v>
      </c>
      <c r="F43" s="31">
        <v>3402</v>
      </c>
      <c r="G43" s="21">
        <f t="shared" si="2"/>
        <v>2564</v>
      </c>
      <c r="H43" s="161" t="s">
        <v>1148</v>
      </c>
    </row>
    <row r="44" spans="1:8" x14ac:dyDescent="0.35">
      <c r="A44" s="156" t="s">
        <v>1029</v>
      </c>
      <c r="B44" s="24" t="s">
        <v>1222</v>
      </c>
      <c r="C44" s="24" t="s">
        <v>1229</v>
      </c>
      <c r="D44" s="18" t="str">
        <f t="shared" si="1"/>
        <v>64-P09-R</v>
      </c>
      <c r="E44" s="25">
        <v>100</v>
      </c>
      <c r="F44" s="31">
        <v>2192</v>
      </c>
      <c r="G44" s="21">
        <f t="shared" si="2"/>
        <v>2564</v>
      </c>
      <c r="H44" s="161" t="s">
        <v>1148</v>
      </c>
    </row>
    <row r="45" spans="1:8" x14ac:dyDescent="0.35">
      <c r="A45" s="156" t="s">
        <v>1029</v>
      </c>
      <c r="B45" s="24" t="s">
        <v>1197</v>
      </c>
      <c r="C45" s="24" t="s">
        <v>1201</v>
      </c>
      <c r="D45" s="18" t="str">
        <f t="shared" si="1"/>
        <v>65-D01-R</v>
      </c>
      <c r="E45" s="25">
        <v>115</v>
      </c>
      <c r="F45" s="31">
        <v>2531</v>
      </c>
      <c r="G45" s="21">
        <f t="shared" si="2"/>
        <v>2565</v>
      </c>
      <c r="H45" s="161" t="s">
        <v>1148</v>
      </c>
    </row>
    <row r="46" spans="1:8" x14ac:dyDescent="0.35">
      <c r="A46" s="156" t="s">
        <v>1029</v>
      </c>
      <c r="B46" s="24" t="s">
        <v>1197</v>
      </c>
      <c r="C46" s="24" t="s">
        <v>1202</v>
      </c>
      <c r="D46" s="18" t="str">
        <f t="shared" si="1"/>
        <v>65-D03-R</v>
      </c>
      <c r="E46" s="25">
        <v>127</v>
      </c>
      <c r="F46" s="31">
        <v>2803</v>
      </c>
      <c r="G46" s="21">
        <f t="shared" si="2"/>
        <v>2565</v>
      </c>
      <c r="H46" s="161" t="s">
        <v>1148</v>
      </c>
    </row>
    <row r="47" spans="1:8" x14ac:dyDescent="0.35">
      <c r="A47" s="156" t="s">
        <v>1029</v>
      </c>
      <c r="B47" s="24" t="s">
        <v>1197</v>
      </c>
      <c r="C47" s="24" t="s">
        <v>1203</v>
      </c>
      <c r="D47" s="18" t="str">
        <f t="shared" si="1"/>
        <v>65-D04-R</v>
      </c>
      <c r="E47" s="25">
        <v>128</v>
      </c>
      <c r="F47" s="31">
        <v>2819</v>
      </c>
      <c r="G47" s="21">
        <f t="shared" si="2"/>
        <v>2565</v>
      </c>
      <c r="H47" s="161" t="s">
        <v>1148</v>
      </c>
    </row>
    <row r="48" spans="1:8" x14ac:dyDescent="0.35">
      <c r="A48" s="156" t="s">
        <v>1029</v>
      </c>
      <c r="B48" s="24" t="s">
        <v>1197</v>
      </c>
      <c r="C48" s="32" t="s">
        <v>1204</v>
      </c>
      <c r="D48" s="18" t="str">
        <f t="shared" si="1"/>
        <v>65-D05-R</v>
      </c>
      <c r="E48" s="25">
        <v>122</v>
      </c>
      <c r="F48" s="33">
        <v>2687</v>
      </c>
      <c r="G48" s="21">
        <f t="shared" si="2"/>
        <v>2565</v>
      </c>
      <c r="H48" s="161" t="s">
        <v>1148</v>
      </c>
    </row>
    <row r="49" spans="1:8" x14ac:dyDescent="0.35">
      <c r="A49" s="156" t="s">
        <v>1029</v>
      </c>
      <c r="B49" s="24" t="s">
        <v>1197</v>
      </c>
      <c r="C49" s="24" t="s">
        <v>1205</v>
      </c>
      <c r="D49" s="18" t="str">
        <f t="shared" si="1"/>
        <v>66-D09-R</v>
      </c>
      <c r="E49" s="25">
        <v>136</v>
      </c>
      <c r="F49" s="28">
        <v>2999</v>
      </c>
      <c r="G49" s="21">
        <f t="shared" si="2"/>
        <v>2566</v>
      </c>
      <c r="H49" s="162">
        <v>2566</v>
      </c>
    </row>
    <row r="50" spans="1:8" x14ac:dyDescent="0.35">
      <c r="A50" s="156" t="s">
        <v>1029</v>
      </c>
      <c r="B50" s="24" t="s">
        <v>1222</v>
      </c>
      <c r="C50" s="24" t="s">
        <v>1230</v>
      </c>
      <c r="D50" s="18" t="str">
        <f t="shared" si="1"/>
        <v>66-P03-R</v>
      </c>
      <c r="E50" s="25">
        <v>116</v>
      </c>
      <c r="F50" s="28">
        <v>2550</v>
      </c>
      <c r="G50" s="21">
        <f t="shared" si="2"/>
        <v>2566</v>
      </c>
      <c r="H50" s="162">
        <v>2566</v>
      </c>
    </row>
    <row r="51" spans="1:8" x14ac:dyDescent="0.35">
      <c r="A51" s="156" t="s">
        <v>1029</v>
      </c>
      <c r="B51" s="24" t="s">
        <v>1222</v>
      </c>
      <c r="C51" s="24" t="s">
        <v>1231</v>
      </c>
      <c r="D51" s="18" t="str">
        <f t="shared" si="1"/>
        <v>66-P04-R</v>
      </c>
      <c r="E51" s="25">
        <v>130</v>
      </c>
      <c r="F51" s="28">
        <v>2854</v>
      </c>
      <c r="G51" s="21">
        <f t="shared" si="2"/>
        <v>2566</v>
      </c>
      <c r="H51" s="162">
        <v>2566</v>
      </c>
    </row>
    <row r="52" spans="1:8" x14ac:dyDescent="0.35">
      <c r="A52" s="156" t="s">
        <v>1029</v>
      </c>
      <c r="B52" s="24" t="s">
        <v>1222</v>
      </c>
      <c r="C52" s="24" t="s">
        <v>1232</v>
      </c>
      <c r="D52" s="18" t="str">
        <f t="shared" si="1"/>
        <v>66-P05-R</v>
      </c>
      <c r="E52" s="25">
        <v>141</v>
      </c>
      <c r="F52" s="28">
        <v>3111</v>
      </c>
      <c r="G52" s="21">
        <f t="shared" si="2"/>
        <v>2566</v>
      </c>
      <c r="H52" s="162">
        <v>2566</v>
      </c>
    </row>
    <row r="53" spans="1:8" x14ac:dyDescent="0.35">
      <c r="A53" s="156" t="s">
        <v>1029</v>
      </c>
      <c r="B53" s="24" t="s">
        <v>1235</v>
      </c>
      <c r="C53" s="24" t="s">
        <v>1239</v>
      </c>
      <c r="D53" s="24" t="s">
        <v>1239</v>
      </c>
      <c r="E53" s="25">
        <v>90</v>
      </c>
      <c r="F53" s="28">
        <v>1970</v>
      </c>
      <c r="G53" s="21">
        <f t="shared" si="2"/>
        <v>2566</v>
      </c>
      <c r="H53" s="162">
        <v>2566</v>
      </c>
    </row>
    <row r="54" spans="1:8" x14ac:dyDescent="0.35">
      <c r="A54" s="156" t="s">
        <v>1029</v>
      </c>
      <c r="B54" s="24" t="s">
        <v>1197</v>
      </c>
      <c r="C54" s="24" t="s">
        <v>1206</v>
      </c>
      <c r="D54" s="18" t="str">
        <f t="shared" si="1"/>
        <v>67-D06-R</v>
      </c>
      <c r="E54" s="25">
        <v>130</v>
      </c>
      <c r="F54" s="28">
        <v>2865</v>
      </c>
      <c r="G54" s="21">
        <f t="shared" si="2"/>
        <v>2567</v>
      </c>
      <c r="H54" s="163">
        <v>2567</v>
      </c>
    </row>
    <row r="55" spans="1:8" x14ac:dyDescent="0.35">
      <c r="A55" s="156" t="s">
        <v>1029</v>
      </c>
      <c r="B55" s="24" t="s">
        <v>1222</v>
      </c>
      <c r="C55" s="24" t="s">
        <v>1233</v>
      </c>
      <c r="D55" s="18" t="str">
        <f t="shared" si="1"/>
        <v>67-P01-R</v>
      </c>
      <c r="E55" s="25">
        <v>99</v>
      </c>
      <c r="F55" s="28">
        <v>2167</v>
      </c>
      <c r="G55" s="21">
        <f t="shared" si="2"/>
        <v>2567</v>
      </c>
      <c r="H55" s="163">
        <v>2567</v>
      </c>
    </row>
    <row r="56" spans="1:8" x14ac:dyDescent="0.35">
      <c r="A56" s="156" t="s">
        <v>1029</v>
      </c>
      <c r="B56" s="24" t="s">
        <v>1222</v>
      </c>
      <c r="C56" s="24" t="s">
        <v>1234</v>
      </c>
      <c r="D56" s="18" t="str">
        <f t="shared" si="1"/>
        <v>67-P02-R</v>
      </c>
      <c r="E56" s="25">
        <v>105</v>
      </c>
      <c r="F56" s="28">
        <v>2320</v>
      </c>
      <c r="G56" s="21">
        <f t="shared" si="2"/>
        <v>2567</v>
      </c>
      <c r="H56" s="163">
        <v>2567</v>
      </c>
    </row>
    <row r="57" spans="1:8" x14ac:dyDescent="0.35">
      <c r="A57" s="156" t="s">
        <v>1029</v>
      </c>
      <c r="B57" s="24" t="s">
        <v>1235</v>
      </c>
      <c r="C57" s="35" t="s">
        <v>1240</v>
      </c>
      <c r="D57" s="35" t="s">
        <v>1240</v>
      </c>
      <c r="E57" s="25">
        <v>86</v>
      </c>
      <c r="F57" s="28">
        <v>1892</v>
      </c>
      <c r="G57" s="21">
        <f t="shared" si="2"/>
        <v>2568</v>
      </c>
      <c r="H57" s="164">
        <v>2568</v>
      </c>
    </row>
    <row r="58" spans="1:8" x14ac:dyDescent="0.35">
      <c r="A58" s="156" t="s">
        <v>1029</v>
      </c>
      <c r="B58" s="24" t="s">
        <v>1235</v>
      </c>
      <c r="C58" s="35" t="s">
        <v>1241</v>
      </c>
      <c r="D58" s="35" t="s">
        <v>1241</v>
      </c>
      <c r="E58" s="25">
        <v>77</v>
      </c>
      <c r="F58" s="28">
        <v>1686</v>
      </c>
      <c r="G58" s="21">
        <f t="shared" si="2"/>
        <v>2568</v>
      </c>
      <c r="H58" s="164">
        <v>2568</v>
      </c>
    </row>
    <row r="59" spans="1:8" x14ac:dyDescent="0.35">
      <c r="A59" s="156" t="s">
        <v>1029</v>
      </c>
      <c r="B59" s="24" t="s">
        <v>1235</v>
      </c>
      <c r="C59" s="24" t="s">
        <v>1242</v>
      </c>
      <c r="D59" s="24" t="s">
        <v>1242</v>
      </c>
      <c r="E59" s="25">
        <v>63</v>
      </c>
      <c r="F59" s="28">
        <v>1380</v>
      </c>
      <c r="G59" s="21">
        <f t="shared" si="2"/>
        <v>2568</v>
      </c>
      <c r="H59" s="164">
        <v>2568</v>
      </c>
    </row>
    <row r="60" spans="1:8" x14ac:dyDescent="0.35">
      <c r="A60" s="156" t="s">
        <v>1029</v>
      </c>
      <c r="B60" s="24" t="s">
        <v>1235</v>
      </c>
      <c r="C60" s="24" t="s">
        <v>1243</v>
      </c>
      <c r="D60" s="24" t="s">
        <v>1243</v>
      </c>
      <c r="E60" s="25">
        <v>34</v>
      </c>
      <c r="F60" s="28">
        <v>751</v>
      </c>
      <c r="G60" s="21">
        <f t="shared" si="2"/>
        <v>2568</v>
      </c>
      <c r="H60" s="164">
        <v>2568</v>
      </c>
    </row>
    <row r="61" spans="1:8" x14ac:dyDescent="0.35">
      <c r="A61" s="156" t="s">
        <v>1029</v>
      </c>
      <c r="B61" s="24" t="s">
        <v>1235</v>
      </c>
      <c r="C61" s="24" t="s">
        <v>1244</v>
      </c>
      <c r="D61" s="18" t="s">
        <v>1327</v>
      </c>
      <c r="E61" s="25">
        <v>53</v>
      </c>
      <c r="F61" s="28">
        <v>1168</v>
      </c>
      <c r="G61" s="21">
        <f t="shared" si="2"/>
        <v>2568</v>
      </c>
      <c r="H61" s="164">
        <v>2568</v>
      </c>
    </row>
    <row r="62" spans="1:8" x14ac:dyDescent="0.35">
      <c r="A62" s="156" t="s">
        <v>1029</v>
      </c>
      <c r="B62" s="24" t="s">
        <v>1235</v>
      </c>
      <c r="C62" s="24" t="s">
        <v>1245</v>
      </c>
      <c r="D62" s="24" t="s">
        <v>1245</v>
      </c>
      <c r="E62" s="25">
        <v>7</v>
      </c>
      <c r="F62" s="28">
        <v>145</v>
      </c>
      <c r="G62" s="21">
        <f t="shared" si="2"/>
        <v>2568</v>
      </c>
      <c r="H62" s="164">
        <v>2568</v>
      </c>
    </row>
    <row r="63" spans="1:8" x14ac:dyDescent="0.35">
      <c r="A63" s="156" t="s">
        <v>1029</v>
      </c>
      <c r="B63" s="24" t="s">
        <v>1235</v>
      </c>
      <c r="C63" s="24" t="s">
        <v>1246</v>
      </c>
      <c r="D63" s="18" t="s">
        <v>1328</v>
      </c>
      <c r="E63" s="25">
        <v>70</v>
      </c>
      <c r="F63" s="28">
        <v>1547</v>
      </c>
      <c r="G63" s="21">
        <f t="shared" si="2"/>
        <v>2568</v>
      </c>
      <c r="H63" s="164">
        <v>2568</v>
      </c>
    </row>
    <row r="64" spans="1:8" x14ac:dyDescent="0.35">
      <c r="A64" s="156" t="s">
        <v>1030</v>
      </c>
      <c r="B64" s="17" t="s">
        <v>1129</v>
      </c>
      <c r="C64" s="18" t="s">
        <v>1130</v>
      </c>
      <c r="D64" s="18" t="str">
        <f t="shared" si="1"/>
        <v>30-B14</v>
      </c>
      <c r="E64" s="19">
        <v>6</v>
      </c>
      <c r="F64" s="20">
        <v>126</v>
      </c>
      <c r="G64" s="21">
        <f t="shared" si="2"/>
        <v>2530</v>
      </c>
      <c r="H64" s="157" t="s">
        <v>955</v>
      </c>
    </row>
    <row r="65" spans="1:8" x14ac:dyDescent="0.35">
      <c r="A65" s="156" t="s">
        <v>1030</v>
      </c>
      <c r="B65" s="22" t="s">
        <v>1150</v>
      </c>
      <c r="C65" s="18" t="s">
        <v>1151</v>
      </c>
      <c r="D65" s="18" t="str">
        <f t="shared" si="1"/>
        <v>37-T29</v>
      </c>
      <c r="E65" s="19">
        <v>102</v>
      </c>
      <c r="F65" s="20">
        <v>2243</v>
      </c>
      <c r="G65" s="21">
        <f t="shared" si="2"/>
        <v>2537</v>
      </c>
      <c r="H65" s="157" t="s">
        <v>955</v>
      </c>
    </row>
    <row r="66" spans="1:8" x14ac:dyDescent="0.35">
      <c r="A66" s="156" t="s">
        <v>1030</v>
      </c>
      <c r="B66" s="22" t="s">
        <v>1150</v>
      </c>
      <c r="C66" s="18" t="s">
        <v>1152</v>
      </c>
      <c r="D66" s="18" t="str">
        <f t="shared" si="1"/>
        <v>37-T30</v>
      </c>
      <c r="E66" s="19">
        <v>113</v>
      </c>
      <c r="F66" s="20">
        <v>2494</v>
      </c>
      <c r="G66" s="21">
        <f t="shared" ref="G66:G97" si="3">2500+VALUE(MID(D66,1,2))</f>
        <v>2537</v>
      </c>
      <c r="H66" s="157" t="s">
        <v>955</v>
      </c>
    </row>
    <row r="67" spans="1:8" x14ac:dyDescent="0.35">
      <c r="A67" s="156" t="s">
        <v>1030</v>
      </c>
      <c r="B67" s="17" t="s">
        <v>1129</v>
      </c>
      <c r="C67" s="18" t="s">
        <v>1131</v>
      </c>
      <c r="D67" s="18" t="str">
        <f t="shared" ref="D67:D110" si="4">IF(LEFT(C67,2)="R-",MID(C67,3,FIND("-",C67,3)-3)&amp;"-"&amp;LEFT(MID(C67,FIND("-",C67,3)+1,99),1)&amp;TEXT(--MID(C67,FIND("-",C67,3)+2,99),"00")&amp;"-R",LEFT(C67,FIND("-",C67))&amp;LEFT(MID(C67,FIND("-",C67)+1,99),1)&amp;TEXT(--MID(C67,FIND("-",C67)+2,99),"00"))</f>
        <v>49-B13</v>
      </c>
      <c r="E67" s="19">
        <v>168</v>
      </c>
      <c r="F67" s="20">
        <v>4192</v>
      </c>
      <c r="G67" s="21">
        <f t="shared" si="3"/>
        <v>2549</v>
      </c>
      <c r="H67" s="157" t="s">
        <v>955</v>
      </c>
    </row>
    <row r="68" spans="1:8" x14ac:dyDescent="0.35">
      <c r="A68" s="156" t="s">
        <v>1030</v>
      </c>
      <c r="B68" s="17" t="s">
        <v>1129</v>
      </c>
      <c r="C68" s="18" t="s">
        <v>1133</v>
      </c>
      <c r="D68" s="18" t="str">
        <f t="shared" si="4"/>
        <v>49-T20-R</v>
      </c>
      <c r="E68" s="19">
        <v>113</v>
      </c>
      <c r="F68" s="155">
        <v>2833</v>
      </c>
      <c r="G68" s="21">
        <f t="shared" si="3"/>
        <v>2549</v>
      </c>
      <c r="H68" s="158" t="s">
        <v>1132</v>
      </c>
    </row>
    <row r="69" spans="1:8" x14ac:dyDescent="0.35">
      <c r="A69" s="156" t="s">
        <v>1030</v>
      </c>
      <c r="B69" s="22" t="s">
        <v>1150</v>
      </c>
      <c r="C69" s="18" t="s">
        <v>1248</v>
      </c>
      <c r="D69" s="18" t="str">
        <f t="shared" si="4"/>
        <v>49-T16-R</v>
      </c>
      <c r="E69" s="19">
        <v>4</v>
      </c>
      <c r="F69" s="20">
        <v>112</v>
      </c>
      <c r="G69" s="21">
        <f t="shared" si="3"/>
        <v>2549</v>
      </c>
      <c r="H69" s="158" t="s">
        <v>1132</v>
      </c>
    </row>
    <row r="70" spans="1:8" x14ac:dyDescent="0.35">
      <c r="A70" s="156" t="s">
        <v>1030</v>
      </c>
      <c r="B70" s="22" t="s">
        <v>1150</v>
      </c>
      <c r="C70" s="18" t="s">
        <v>1133</v>
      </c>
      <c r="D70" s="18" t="str">
        <f t="shared" si="4"/>
        <v>49-T20-R</v>
      </c>
      <c r="E70" s="19">
        <v>113</v>
      </c>
      <c r="F70" s="20">
        <v>2833</v>
      </c>
      <c r="G70" s="21">
        <f t="shared" si="3"/>
        <v>2549</v>
      </c>
      <c r="H70" s="158" t="s">
        <v>1132</v>
      </c>
    </row>
    <row r="71" spans="1:8" x14ac:dyDescent="0.35">
      <c r="A71" s="156" t="s">
        <v>1030</v>
      </c>
      <c r="B71" s="17" t="s">
        <v>1129</v>
      </c>
      <c r="C71" s="18" t="s">
        <v>1134</v>
      </c>
      <c r="D71" s="18" t="str">
        <f t="shared" si="4"/>
        <v>50-B07</v>
      </c>
      <c r="E71" s="19">
        <v>157</v>
      </c>
      <c r="F71" s="20">
        <v>4022</v>
      </c>
      <c r="G71" s="21">
        <f t="shared" si="3"/>
        <v>2550</v>
      </c>
      <c r="H71" s="158" t="s">
        <v>1132</v>
      </c>
    </row>
    <row r="72" spans="1:8" x14ac:dyDescent="0.35">
      <c r="A72" s="156" t="s">
        <v>1030</v>
      </c>
      <c r="B72" s="17" t="s">
        <v>1129</v>
      </c>
      <c r="C72" s="18" t="s">
        <v>1135</v>
      </c>
      <c r="D72" s="18" t="str">
        <f t="shared" si="4"/>
        <v>50-B10</v>
      </c>
      <c r="E72" s="19">
        <v>170</v>
      </c>
      <c r="F72" s="20">
        <v>4245</v>
      </c>
      <c r="G72" s="21">
        <f t="shared" si="3"/>
        <v>2550</v>
      </c>
      <c r="H72" s="158" t="s">
        <v>1132</v>
      </c>
    </row>
    <row r="73" spans="1:8" x14ac:dyDescent="0.35">
      <c r="A73" s="156" t="s">
        <v>1030</v>
      </c>
      <c r="B73" s="22" t="s">
        <v>1150</v>
      </c>
      <c r="C73" s="18" t="s">
        <v>1153</v>
      </c>
      <c r="D73" s="18" t="str">
        <f t="shared" si="4"/>
        <v>50-T10-R</v>
      </c>
      <c r="E73" s="19">
        <v>115</v>
      </c>
      <c r="F73" s="20">
        <v>2872</v>
      </c>
      <c r="G73" s="21">
        <f t="shared" si="3"/>
        <v>2550</v>
      </c>
      <c r="H73" s="158" t="s">
        <v>1132</v>
      </c>
    </row>
    <row r="74" spans="1:8" x14ac:dyDescent="0.35">
      <c r="A74" s="156" t="s">
        <v>1030</v>
      </c>
      <c r="B74" s="22" t="s">
        <v>1150</v>
      </c>
      <c r="C74" s="18" t="s">
        <v>1154</v>
      </c>
      <c r="D74" s="18" t="str">
        <f t="shared" si="4"/>
        <v>50-T12-R</v>
      </c>
      <c r="E74" s="19">
        <v>121</v>
      </c>
      <c r="F74" s="20">
        <v>3030</v>
      </c>
      <c r="G74" s="21">
        <f t="shared" si="3"/>
        <v>2550</v>
      </c>
      <c r="H74" s="158" t="s">
        <v>1132</v>
      </c>
    </row>
    <row r="75" spans="1:8" x14ac:dyDescent="0.35">
      <c r="A75" s="156" t="s">
        <v>1030</v>
      </c>
      <c r="B75" s="22" t="s">
        <v>1150</v>
      </c>
      <c r="C75" s="18" t="s">
        <v>1155</v>
      </c>
      <c r="D75" s="18" t="str">
        <f t="shared" si="4"/>
        <v>52-T28-R</v>
      </c>
      <c r="E75" s="19">
        <v>4</v>
      </c>
      <c r="F75" s="20">
        <v>92</v>
      </c>
      <c r="G75" s="21">
        <f t="shared" si="3"/>
        <v>2552</v>
      </c>
      <c r="H75" s="158" t="s">
        <v>1132</v>
      </c>
    </row>
    <row r="76" spans="1:8" x14ac:dyDescent="0.35">
      <c r="A76" s="156" t="s">
        <v>1030</v>
      </c>
      <c r="B76" s="22" t="s">
        <v>1150</v>
      </c>
      <c r="C76" s="18" t="s">
        <v>1156</v>
      </c>
      <c r="D76" s="18" t="str">
        <f t="shared" si="4"/>
        <v>56-T08</v>
      </c>
      <c r="E76" s="19">
        <v>9</v>
      </c>
      <c r="F76" s="20">
        <v>213</v>
      </c>
      <c r="G76" s="21">
        <f t="shared" si="3"/>
        <v>2556</v>
      </c>
      <c r="H76" s="159" t="s">
        <v>1138</v>
      </c>
    </row>
    <row r="77" spans="1:8" x14ac:dyDescent="0.35">
      <c r="A77" s="156" t="s">
        <v>1030</v>
      </c>
      <c r="B77" s="22" t="s">
        <v>1150</v>
      </c>
      <c r="C77" s="18" t="s">
        <v>1157</v>
      </c>
      <c r="D77" s="18" t="str">
        <f t="shared" si="4"/>
        <v>56-T08-R</v>
      </c>
      <c r="E77" s="19">
        <v>113</v>
      </c>
      <c r="F77" s="20">
        <v>2816</v>
      </c>
      <c r="G77" s="21">
        <f t="shared" si="3"/>
        <v>2556</v>
      </c>
      <c r="H77" s="159" t="s">
        <v>1138</v>
      </c>
    </row>
    <row r="78" spans="1:8" x14ac:dyDescent="0.35">
      <c r="A78" s="156" t="s">
        <v>1030</v>
      </c>
      <c r="B78" s="22" t="s">
        <v>1150</v>
      </c>
      <c r="C78" s="18" t="s">
        <v>1158</v>
      </c>
      <c r="D78" s="18" t="str">
        <f t="shared" si="4"/>
        <v>56-T19-R</v>
      </c>
      <c r="E78" s="19">
        <v>128</v>
      </c>
      <c r="F78" s="20">
        <v>3199</v>
      </c>
      <c r="G78" s="21">
        <f t="shared" si="3"/>
        <v>2556</v>
      </c>
      <c r="H78" s="159" t="s">
        <v>1138</v>
      </c>
    </row>
    <row r="79" spans="1:8" x14ac:dyDescent="0.35">
      <c r="A79" s="156" t="s">
        <v>1030</v>
      </c>
      <c r="B79" s="22" t="s">
        <v>1150</v>
      </c>
      <c r="C79" s="18" t="s">
        <v>1159</v>
      </c>
      <c r="D79" s="18" t="str">
        <f t="shared" si="4"/>
        <v>56-T21-R</v>
      </c>
      <c r="E79" s="19">
        <v>121</v>
      </c>
      <c r="F79" s="20">
        <v>3015</v>
      </c>
      <c r="G79" s="21">
        <f t="shared" si="3"/>
        <v>2556</v>
      </c>
      <c r="H79" s="159" t="s">
        <v>1138</v>
      </c>
    </row>
    <row r="80" spans="1:8" x14ac:dyDescent="0.35">
      <c r="A80" s="156" t="s">
        <v>1030</v>
      </c>
      <c r="B80" s="22" t="s">
        <v>1150</v>
      </c>
      <c r="C80" s="18" t="s">
        <v>1160</v>
      </c>
      <c r="D80" s="18" t="str">
        <f t="shared" si="4"/>
        <v>56-T28-R</v>
      </c>
      <c r="E80" s="19">
        <v>56</v>
      </c>
      <c r="F80" s="20">
        <v>1403</v>
      </c>
      <c r="G80" s="21">
        <f t="shared" si="3"/>
        <v>2556</v>
      </c>
      <c r="H80" s="159" t="s">
        <v>1138</v>
      </c>
    </row>
    <row r="81" spans="1:8" x14ac:dyDescent="0.35">
      <c r="A81" s="156" t="s">
        <v>1030</v>
      </c>
      <c r="B81" s="17" t="s">
        <v>1129</v>
      </c>
      <c r="C81" s="18" t="s">
        <v>1136</v>
      </c>
      <c r="D81" s="18" t="str">
        <f t="shared" si="4"/>
        <v>57-B03</v>
      </c>
      <c r="E81" s="19">
        <v>169</v>
      </c>
      <c r="F81" s="20">
        <v>4231</v>
      </c>
      <c r="G81" s="21">
        <f t="shared" si="3"/>
        <v>2557</v>
      </c>
      <c r="H81" s="159" t="s">
        <v>1138</v>
      </c>
    </row>
    <row r="82" spans="1:8" x14ac:dyDescent="0.35">
      <c r="A82" s="156" t="s">
        <v>1030</v>
      </c>
      <c r="B82" s="17" t="s">
        <v>1129</v>
      </c>
      <c r="C82" s="18" t="s">
        <v>1137</v>
      </c>
      <c r="D82" s="18" t="str">
        <f t="shared" si="4"/>
        <v>57-B12</v>
      </c>
      <c r="E82" s="19">
        <v>171</v>
      </c>
      <c r="F82" s="20">
        <v>4265</v>
      </c>
      <c r="G82" s="21">
        <f t="shared" si="3"/>
        <v>2557</v>
      </c>
      <c r="H82" s="159" t="s">
        <v>1138</v>
      </c>
    </row>
    <row r="83" spans="1:8" x14ac:dyDescent="0.35">
      <c r="A83" s="156" t="s">
        <v>1030</v>
      </c>
      <c r="B83" s="17" t="s">
        <v>1129</v>
      </c>
      <c r="C83" s="18" t="s">
        <v>1139</v>
      </c>
      <c r="D83" s="18" t="str">
        <f t="shared" si="4"/>
        <v>57-B14</v>
      </c>
      <c r="E83" s="19">
        <v>67</v>
      </c>
      <c r="F83" s="20">
        <v>1663</v>
      </c>
      <c r="G83" s="21">
        <f t="shared" si="3"/>
        <v>2557</v>
      </c>
      <c r="H83" s="159" t="s">
        <v>1138</v>
      </c>
    </row>
    <row r="84" spans="1:8" x14ac:dyDescent="0.35">
      <c r="A84" s="156" t="s">
        <v>1030</v>
      </c>
      <c r="B84" s="22" t="s">
        <v>1150</v>
      </c>
      <c r="C84" s="18" t="s">
        <v>1161</v>
      </c>
      <c r="D84" s="18" t="str">
        <f t="shared" si="4"/>
        <v>58-T09-R</v>
      </c>
      <c r="E84" s="19">
        <v>117</v>
      </c>
      <c r="F84" s="20">
        <v>2934</v>
      </c>
      <c r="G84" s="21">
        <f t="shared" si="3"/>
        <v>2558</v>
      </c>
      <c r="H84" s="159" t="s">
        <v>1138</v>
      </c>
    </row>
    <row r="85" spans="1:8" x14ac:dyDescent="0.35">
      <c r="A85" s="156" t="s">
        <v>1030</v>
      </c>
      <c r="B85" s="22" t="s">
        <v>1150</v>
      </c>
      <c r="C85" s="18" t="s">
        <v>1162</v>
      </c>
      <c r="D85" s="18" t="str">
        <f t="shared" si="4"/>
        <v>58-T11-R</v>
      </c>
      <c r="E85" s="19">
        <v>116</v>
      </c>
      <c r="F85" s="20">
        <v>2903</v>
      </c>
      <c r="G85" s="21">
        <f t="shared" si="3"/>
        <v>2558</v>
      </c>
      <c r="H85" s="159" t="s">
        <v>1138</v>
      </c>
    </row>
    <row r="86" spans="1:8" x14ac:dyDescent="0.35">
      <c r="A86" s="156" t="s">
        <v>1030</v>
      </c>
      <c r="B86" s="22" t="s">
        <v>1150</v>
      </c>
      <c r="C86" s="18" t="s">
        <v>1163</v>
      </c>
      <c r="D86" s="18" t="str">
        <f t="shared" si="4"/>
        <v>58-T13-R</v>
      </c>
      <c r="E86" s="19">
        <v>115</v>
      </c>
      <c r="F86" s="20">
        <v>2864</v>
      </c>
      <c r="G86" s="21">
        <f t="shared" si="3"/>
        <v>2558</v>
      </c>
      <c r="H86" s="159" t="s">
        <v>1138</v>
      </c>
    </row>
    <row r="87" spans="1:8" x14ac:dyDescent="0.35">
      <c r="A87" s="156" t="s">
        <v>1030</v>
      </c>
      <c r="B87" s="22" t="s">
        <v>1150</v>
      </c>
      <c r="C87" s="18" t="s">
        <v>1164</v>
      </c>
      <c r="D87" s="18" t="str">
        <f t="shared" si="4"/>
        <v>58-T17-R</v>
      </c>
      <c r="E87" s="19">
        <v>128</v>
      </c>
      <c r="F87" s="20">
        <v>2825</v>
      </c>
      <c r="G87" s="21">
        <f t="shared" si="3"/>
        <v>2558</v>
      </c>
      <c r="H87" s="159" t="s">
        <v>1138</v>
      </c>
    </row>
    <row r="88" spans="1:8" x14ac:dyDescent="0.35">
      <c r="A88" s="156" t="s">
        <v>1030</v>
      </c>
      <c r="B88" s="22" t="s">
        <v>1150</v>
      </c>
      <c r="C88" s="18" t="s">
        <v>1165</v>
      </c>
      <c r="D88" s="18" t="str">
        <f t="shared" si="4"/>
        <v>58-T18-R</v>
      </c>
      <c r="E88" s="19">
        <v>129</v>
      </c>
      <c r="F88" s="20">
        <v>2843</v>
      </c>
      <c r="G88" s="21">
        <f t="shared" si="3"/>
        <v>2558</v>
      </c>
      <c r="H88" s="159" t="s">
        <v>1138</v>
      </c>
    </row>
    <row r="89" spans="1:8" x14ac:dyDescent="0.35">
      <c r="A89" s="156" t="s">
        <v>1030</v>
      </c>
      <c r="B89" s="17" t="s">
        <v>1129</v>
      </c>
      <c r="C89" s="18" t="s">
        <v>1140</v>
      </c>
      <c r="D89" s="18" t="str">
        <f t="shared" si="4"/>
        <v>60-B04</v>
      </c>
      <c r="E89" s="19">
        <v>154</v>
      </c>
      <c r="F89" s="20">
        <v>3851</v>
      </c>
      <c r="G89" s="21">
        <f t="shared" si="3"/>
        <v>2560</v>
      </c>
      <c r="H89" s="160" t="s">
        <v>1266</v>
      </c>
    </row>
    <row r="90" spans="1:8" x14ac:dyDescent="0.35">
      <c r="A90" s="156" t="s">
        <v>1030</v>
      </c>
      <c r="B90" s="17" t="s">
        <v>1129</v>
      </c>
      <c r="C90" s="18" t="s">
        <v>1141</v>
      </c>
      <c r="D90" s="18" t="str">
        <f t="shared" si="4"/>
        <v>60-B08</v>
      </c>
      <c r="E90" s="19">
        <v>139</v>
      </c>
      <c r="F90" s="20">
        <v>3476</v>
      </c>
      <c r="G90" s="21">
        <f t="shared" si="3"/>
        <v>2560</v>
      </c>
      <c r="H90" s="160" t="s">
        <v>1266</v>
      </c>
    </row>
    <row r="91" spans="1:8" x14ac:dyDescent="0.35">
      <c r="A91" s="156" t="s">
        <v>1030</v>
      </c>
      <c r="B91" s="17" t="s">
        <v>1129</v>
      </c>
      <c r="C91" s="18" t="s">
        <v>1142</v>
      </c>
      <c r="D91" s="18" t="str">
        <f t="shared" si="4"/>
        <v>60-B09</v>
      </c>
      <c r="E91" s="19">
        <v>165</v>
      </c>
      <c r="F91" s="20">
        <v>4127</v>
      </c>
      <c r="G91" s="21">
        <f t="shared" si="3"/>
        <v>2560</v>
      </c>
      <c r="H91" s="160" t="s">
        <v>1266</v>
      </c>
    </row>
    <row r="92" spans="1:8" x14ac:dyDescent="0.35">
      <c r="A92" s="156" t="s">
        <v>1030</v>
      </c>
      <c r="B92" s="22" t="s">
        <v>1150</v>
      </c>
      <c r="C92" s="18" t="s">
        <v>1166</v>
      </c>
      <c r="D92" s="18" t="str">
        <f t="shared" si="4"/>
        <v>63-T05-R</v>
      </c>
      <c r="E92" s="19">
        <v>121</v>
      </c>
      <c r="F92" s="20">
        <v>3037</v>
      </c>
      <c r="G92" s="21">
        <f t="shared" si="3"/>
        <v>2563</v>
      </c>
      <c r="H92" s="161" t="s">
        <v>1148</v>
      </c>
    </row>
    <row r="93" spans="1:8" x14ac:dyDescent="0.35">
      <c r="A93" s="156" t="s">
        <v>1030</v>
      </c>
      <c r="B93" s="22" t="s">
        <v>1150</v>
      </c>
      <c r="C93" s="18" t="s">
        <v>1167</v>
      </c>
      <c r="D93" s="18" t="str">
        <f t="shared" si="4"/>
        <v>63-T22-R</v>
      </c>
      <c r="E93" s="19">
        <v>38</v>
      </c>
      <c r="F93" s="20">
        <v>842</v>
      </c>
      <c r="G93" s="21">
        <f t="shared" si="3"/>
        <v>2563</v>
      </c>
      <c r="H93" s="161" t="s">
        <v>1148</v>
      </c>
    </row>
    <row r="94" spans="1:8" x14ac:dyDescent="0.35">
      <c r="A94" s="156" t="s">
        <v>1030</v>
      </c>
      <c r="B94" s="22" t="s">
        <v>1150</v>
      </c>
      <c r="C94" s="18" t="s">
        <v>1168</v>
      </c>
      <c r="D94" s="18" t="str">
        <f t="shared" si="4"/>
        <v>63-T23-R</v>
      </c>
      <c r="E94" s="19">
        <v>38</v>
      </c>
      <c r="F94" s="20">
        <v>844</v>
      </c>
      <c r="G94" s="21">
        <f t="shared" si="3"/>
        <v>2563</v>
      </c>
      <c r="H94" s="161" t="s">
        <v>1148</v>
      </c>
    </row>
    <row r="95" spans="1:8" x14ac:dyDescent="0.35">
      <c r="A95" s="156" t="s">
        <v>1030</v>
      </c>
      <c r="B95" s="17" t="s">
        <v>1129</v>
      </c>
      <c r="C95" s="18" t="s">
        <v>1143</v>
      </c>
      <c r="D95" s="18" t="str">
        <f t="shared" si="4"/>
        <v>64-B02</v>
      </c>
      <c r="E95" s="19">
        <v>158</v>
      </c>
      <c r="F95" s="20">
        <v>3480</v>
      </c>
      <c r="G95" s="21">
        <f t="shared" si="3"/>
        <v>2564</v>
      </c>
      <c r="H95" s="161" t="s">
        <v>1144</v>
      </c>
    </row>
    <row r="96" spans="1:8" x14ac:dyDescent="0.35">
      <c r="A96" s="156" t="s">
        <v>1030</v>
      </c>
      <c r="B96" s="17" t="s">
        <v>1129</v>
      </c>
      <c r="C96" s="18" t="s">
        <v>1145</v>
      </c>
      <c r="D96" s="18" t="str">
        <f t="shared" si="4"/>
        <v>64-B05</v>
      </c>
      <c r="E96" s="19">
        <v>143</v>
      </c>
      <c r="F96" s="20">
        <v>3140</v>
      </c>
      <c r="G96" s="21">
        <f t="shared" si="3"/>
        <v>2564</v>
      </c>
      <c r="H96" s="161" t="s">
        <v>1144</v>
      </c>
    </row>
    <row r="97" spans="1:8" x14ac:dyDescent="0.35">
      <c r="A97" s="156" t="s">
        <v>1030</v>
      </c>
      <c r="B97" s="17" t="s">
        <v>1129</v>
      </c>
      <c r="C97" s="18" t="s">
        <v>1146</v>
      </c>
      <c r="D97" s="18" t="str">
        <f t="shared" si="4"/>
        <v>64-B06</v>
      </c>
      <c r="E97" s="19">
        <v>167</v>
      </c>
      <c r="F97" s="20">
        <v>3671</v>
      </c>
      <c r="G97" s="21">
        <f t="shared" si="3"/>
        <v>2564</v>
      </c>
      <c r="H97" s="161" t="s">
        <v>1144</v>
      </c>
    </row>
    <row r="98" spans="1:8" x14ac:dyDescent="0.35">
      <c r="A98" s="156" t="s">
        <v>1030</v>
      </c>
      <c r="B98" s="17" t="s">
        <v>1129</v>
      </c>
      <c r="C98" s="18" t="s">
        <v>1147</v>
      </c>
      <c r="D98" s="18" t="str">
        <f t="shared" si="4"/>
        <v>65-B01</v>
      </c>
      <c r="E98" s="19">
        <v>130</v>
      </c>
      <c r="F98" s="20">
        <v>2868</v>
      </c>
      <c r="G98" s="21">
        <f t="shared" ref="G98:G110" si="5">2500+VALUE(MID(D98,1,2))</f>
        <v>2565</v>
      </c>
      <c r="H98" s="161" t="s">
        <v>1148</v>
      </c>
    </row>
    <row r="99" spans="1:8" x14ac:dyDescent="0.35">
      <c r="A99" s="156" t="s">
        <v>1030</v>
      </c>
      <c r="B99" s="17" t="s">
        <v>1129</v>
      </c>
      <c r="C99" s="18" t="s">
        <v>1149</v>
      </c>
      <c r="D99" s="18" t="str">
        <f t="shared" si="4"/>
        <v>65-B11</v>
      </c>
      <c r="E99" s="19">
        <v>145</v>
      </c>
      <c r="F99" s="20">
        <v>3193</v>
      </c>
      <c r="G99" s="21">
        <f t="shared" si="5"/>
        <v>2565</v>
      </c>
      <c r="H99" s="161" t="s">
        <v>1148</v>
      </c>
    </row>
    <row r="100" spans="1:8" x14ac:dyDescent="0.35">
      <c r="A100" s="156" t="s">
        <v>1030</v>
      </c>
      <c r="B100" s="22" t="s">
        <v>1150</v>
      </c>
      <c r="C100" s="18" t="s">
        <v>1169</v>
      </c>
      <c r="D100" s="18" t="str">
        <f t="shared" si="4"/>
        <v>66-T03</v>
      </c>
      <c r="E100" s="19">
        <v>111</v>
      </c>
      <c r="F100" s="20">
        <v>2449</v>
      </c>
      <c r="G100" s="21">
        <f t="shared" si="5"/>
        <v>2566</v>
      </c>
      <c r="H100" s="162">
        <v>2566</v>
      </c>
    </row>
    <row r="101" spans="1:8" x14ac:dyDescent="0.35">
      <c r="A101" s="156" t="s">
        <v>1030</v>
      </c>
      <c r="B101" s="22" t="s">
        <v>1150</v>
      </c>
      <c r="C101" s="18" t="s">
        <v>1170</v>
      </c>
      <c r="D101" s="18" t="str">
        <f t="shared" si="4"/>
        <v>66-T04</v>
      </c>
      <c r="E101" s="19">
        <v>92</v>
      </c>
      <c r="F101" s="20">
        <v>2014</v>
      </c>
      <c r="G101" s="21">
        <f t="shared" si="5"/>
        <v>2566</v>
      </c>
      <c r="H101" s="162">
        <v>2566</v>
      </c>
    </row>
    <row r="102" spans="1:8" x14ac:dyDescent="0.35">
      <c r="A102" s="156" t="s">
        <v>1030</v>
      </c>
      <c r="B102" s="22" t="s">
        <v>1150</v>
      </c>
      <c r="C102" s="18" t="s">
        <v>1171</v>
      </c>
      <c r="D102" s="18" t="str">
        <f t="shared" si="4"/>
        <v>66-T06</v>
      </c>
      <c r="E102" s="19">
        <v>132</v>
      </c>
      <c r="F102" s="20">
        <v>2898</v>
      </c>
      <c r="G102" s="21">
        <f t="shared" si="5"/>
        <v>2566</v>
      </c>
      <c r="H102" s="162">
        <v>2566</v>
      </c>
    </row>
    <row r="103" spans="1:8" x14ac:dyDescent="0.35">
      <c r="A103" s="156" t="s">
        <v>1030</v>
      </c>
      <c r="B103" s="22" t="s">
        <v>1150</v>
      </c>
      <c r="C103" s="18" t="s">
        <v>1172</v>
      </c>
      <c r="D103" s="18" t="str">
        <f t="shared" si="4"/>
        <v>66-T07</v>
      </c>
      <c r="E103" s="19">
        <v>107</v>
      </c>
      <c r="F103" s="20">
        <v>2364</v>
      </c>
      <c r="G103" s="21">
        <f t="shared" si="5"/>
        <v>2566</v>
      </c>
      <c r="H103" s="162">
        <v>2566</v>
      </c>
    </row>
    <row r="104" spans="1:8" x14ac:dyDescent="0.35">
      <c r="A104" s="156" t="s">
        <v>1030</v>
      </c>
      <c r="B104" s="22" t="s">
        <v>1150</v>
      </c>
      <c r="C104" s="18" t="s">
        <v>1173</v>
      </c>
      <c r="D104" s="18" t="str">
        <f t="shared" si="4"/>
        <v>67-T10</v>
      </c>
      <c r="E104" s="19">
        <v>3</v>
      </c>
      <c r="F104" s="23">
        <v>61</v>
      </c>
      <c r="G104" s="21">
        <f t="shared" si="5"/>
        <v>2567</v>
      </c>
      <c r="H104" s="163">
        <v>2567</v>
      </c>
    </row>
    <row r="105" spans="1:8" x14ac:dyDescent="0.35">
      <c r="A105" s="156" t="s">
        <v>1030</v>
      </c>
      <c r="B105" s="22" t="s">
        <v>1150</v>
      </c>
      <c r="C105" s="17" t="s">
        <v>1174</v>
      </c>
      <c r="D105" s="18" t="str">
        <f t="shared" si="4"/>
        <v>67-T18</v>
      </c>
      <c r="E105" s="19">
        <v>8</v>
      </c>
      <c r="F105" s="23">
        <v>171</v>
      </c>
      <c r="G105" s="21">
        <f t="shared" si="5"/>
        <v>2567</v>
      </c>
      <c r="H105" s="163">
        <v>2567</v>
      </c>
    </row>
    <row r="106" spans="1:8" x14ac:dyDescent="0.35">
      <c r="A106" s="156" t="s">
        <v>1030</v>
      </c>
      <c r="B106" s="22" t="s">
        <v>1150</v>
      </c>
      <c r="C106" s="18" t="s">
        <v>1175</v>
      </c>
      <c r="D106" s="18" t="str">
        <f t="shared" si="4"/>
        <v>67-T21</v>
      </c>
      <c r="E106" s="19">
        <v>11</v>
      </c>
      <c r="F106" s="20">
        <v>241</v>
      </c>
      <c r="G106" s="21">
        <f t="shared" si="5"/>
        <v>2567</v>
      </c>
      <c r="H106" s="163">
        <v>2567</v>
      </c>
    </row>
    <row r="107" spans="1:8" x14ac:dyDescent="0.35">
      <c r="A107" s="156" t="s">
        <v>1030</v>
      </c>
      <c r="B107" s="22" t="s">
        <v>1150</v>
      </c>
      <c r="C107" s="18" t="s">
        <v>1176</v>
      </c>
      <c r="D107" s="18" t="str">
        <f t="shared" si="4"/>
        <v>67-T29</v>
      </c>
      <c r="E107" s="19">
        <v>140</v>
      </c>
      <c r="F107" s="20">
        <v>3070</v>
      </c>
      <c r="G107" s="21">
        <f t="shared" si="5"/>
        <v>2567</v>
      </c>
      <c r="H107" s="163">
        <v>2567</v>
      </c>
    </row>
    <row r="108" spans="1:8" x14ac:dyDescent="0.35">
      <c r="A108" s="156" t="s">
        <v>1030</v>
      </c>
      <c r="B108" s="22" t="s">
        <v>1150</v>
      </c>
      <c r="C108" s="18" t="s">
        <v>1177</v>
      </c>
      <c r="D108" s="18" t="str">
        <f t="shared" si="4"/>
        <v>67-T30</v>
      </c>
      <c r="E108" s="19">
        <v>149</v>
      </c>
      <c r="F108" s="20">
        <v>3270</v>
      </c>
      <c r="G108" s="21">
        <f t="shared" si="5"/>
        <v>2567</v>
      </c>
      <c r="H108" s="163">
        <v>2567</v>
      </c>
    </row>
    <row r="109" spans="1:8" x14ac:dyDescent="0.35">
      <c r="A109" s="156" t="s">
        <v>1030</v>
      </c>
      <c r="B109" s="22" t="s">
        <v>1150</v>
      </c>
      <c r="C109" s="17" t="s">
        <v>1178</v>
      </c>
      <c r="D109" s="18" t="str">
        <f t="shared" si="4"/>
        <v>68-T01</v>
      </c>
      <c r="E109" s="19">
        <v>144</v>
      </c>
      <c r="F109" s="20">
        <v>3171</v>
      </c>
      <c r="G109" s="21">
        <f t="shared" si="5"/>
        <v>2568</v>
      </c>
      <c r="H109" s="164">
        <v>2568</v>
      </c>
    </row>
    <row r="110" spans="1:8" x14ac:dyDescent="0.35">
      <c r="A110" s="156" t="s">
        <v>1030</v>
      </c>
      <c r="B110" s="22" t="s">
        <v>1150</v>
      </c>
      <c r="C110" s="17" t="s">
        <v>1179</v>
      </c>
      <c r="D110" s="18" t="str">
        <f t="shared" si="4"/>
        <v>68-T02</v>
      </c>
      <c r="E110" s="19">
        <v>134</v>
      </c>
      <c r="F110" s="20">
        <v>2950</v>
      </c>
      <c r="G110" s="21">
        <f t="shared" si="5"/>
        <v>2568</v>
      </c>
      <c r="H110" s="164">
        <v>2568</v>
      </c>
    </row>
  </sheetData>
  <autoFilter ref="A1:H110" xr:uid="{2A6D60C6-B623-413F-80CE-C2766D2133C6}"/>
  <sortState xmlns:xlrd2="http://schemas.microsoft.com/office/spreadsheetml/2017/richdata2" ref="A2:H110">
    <sortCondition ref="A2:A110"/>
    <sortCondition ref="G2:G110"/>
  </sortState>
  <phoneticPr fontId="8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7BB72-C8D4-4446-A6A3-DA7F8D0565FB}">
  <dimension ref="A1:D49"/>
  <sheetViews>
    <sheetView topLeftCell="A31" workbookViewId="0">
      <selection activeCell="J53" sqref="J53"/>
    </sheetView>
  </sheetViews>
  <sheetFormatPr defaultRowHeight="18" x14ac:dyDescent="0.35"/>
  <cols>
    <col min="1" max="1" width="5" style="169" bestFit="1" customWidth="1"/>
    <col min="2" max="2" width="27.109375" style="169" bestFit="1" customWidth="1"/>
    <col min="3" max="3" width="11" style="169" bestFit="1" customWidth="1"/>
    <col min="4" max="4" width="39" style="169" bestFit="1" customWidth="1"/>
    <col min="5" max="9" width="8.88671875" style="169"/>
    <col min="10" max="10" width="24.6640625" style="169" customWidth="1"/>
    <col min="11" max="16384" width="8.88671875" style="169"/>
  </cols>
  <sheetData>
    <row r="1" spans="1:4" x14ac:dyDescent="0.35">
      <c r="A1" s="170" t="s">
        <v>950</v>
      </c>
      <c r="B1" s="170" t="s">
        <v>951</v>
      </c>
      <c r="C1" s="170" t="s">
        <v>952</v>
      </c>
      <c r="D1" s="170" t="s">
        <v>953</v>
      </c>
    </row>
    <row r="2" spans="1:4" x14ac:dyDescent="0.35">
      <c r="A2" s="171">
        <v>11</v>
      </c>
      <c r="B2" s="171" t="s">
        <v>954</v>
      </c>
      <c r="C2" s="171" t="s">
        <v>955</v>
      </c>
      <c r="D2" s="171" t="s">
        <v>956</v>
      </c>
    </row>
    <row r="3" spans="1:4" x14ac:dyDescent="0.35">
      <c r="A3" s="171">
        <v>12</v>
      </c>
      <c r="B3" s="171" t="s">
        <v>957</v>
      </c>
      <c r="C3" s="171" t="s">
        <v>955</v>
      </c>
      <c r="D3" s="171">
        <v>14</v>
      </c>
    </row>
    <row r="4" spans="1:4" x14ac:dyDescent="0.35">
      <c r="A4" s="171">
        <v>25</v>
      </c>
      <c r="B4" s="171" t="s">
        <v>958</v>
      </c>
      <c r="C4" s="171" t="s">
        <v>955</v>
      </c>
      <c r="D4" s="172" t="s">
        <v>959</v>
      </c>
    </row>
    <row r="5" spans="1:4" x14ac:dyDescent="0.35">
      <c r="A5" s="171">
        <v>276</v>
      </c>
      <c r="B5" s="171" t="s">
        <v>960</v>
      </c>
      <c r="C5" s="171" t="s">
        <v>955</v>
      </c>
      <c r="D5" s="172" t="s">
        <v>961</v>
      </c>
    </row>
    <row r="6" spans="1:4" x14ac:dyDescent="0.35">
      <c r="A6" s="171">
        <v>277</v>
      </c>
      <c r="B6" s="171" t="s">
        <v>962</v>
      </c>
      <c r="C6" s="171" t="s">
        <v>955</v>
      </c>
      <c r="D6" s="172" t="s">
        <v>963</v>
      </c>
    </row>
    <row r="7" spans="1:4" x14ac:dyDescent="0.35">
      <c r="A7" s="171">
        <v>278</v>
      </c>
      <c r="B7" s="171" t="s">
        <v>964</v>
      </c>
      <c r="C7" s="171" t="s">
        <v>955</v>
      </c>
      <c r="D7" s="171">
        <v>5</v>
      </c>
    </row>
    <row r="8" spans="1:4" x14ac:dyDescent="0.35">
      <c r="A8" s="171">
        <v>310</v>
      </c>
      <c r="B8" s="171" t="s">
        <v>964</v>
      </c>
      <c r="C8" s="171" t="s">
        <v>965</v>
      </c>
      <c r="D8" s="171" t="s">
        <v>966</v>
      </c>
    </row>
    <row r="9" spans="1:4" x14ac:dyDescent="0.35">
      <c r="A9" s="171">
        <v>312</v>
      </c>
      <c r="B9" s="171" t="s">
        <v>960</v>
      </c>
      <c r="C9" s="171" t="s">
        <v>965</v>
      </c>
      <c r="D9" s="171">
        <v>7</v>
      </c>
    </row>
    <row r="10" spans="1:4" x14ac:dyDescent="0.35">
      <c r="A10" s="171">
        <v>393</v>
      </c>
      <c r="B10" s="171" t="s">
        <v>967</v>
      </c>
      <c r="C10" s="171" t="s">
        <v>965</v>
      </c>
      <c r="D10" s="171">
        <v>7</v>
      </c>
    </row>
    <row r="11" spans="1:4" x14ac:dyDescent="0.35">
      <c r="A11" s="171">
        <v>315</v>
      </c>
      <c r="B11" s="171" t="s">
        <v>968</v>
      </c>
      <c r="C11" s="171" t="s">
        <v>965</v>
      </c>
      <c r="D11" s="171" t="s">
        <v>969</v>
      </c>
    </row>
    <row r="12" spans="1:4" x14ac:dyDescent="0.35">
      <c r="A12" s="171">
        <v>317</v>
      </c>
      <c r="B12" s="171" t="s">
        <v>970</v>
      </c>
      <c r="C12" s="171" t="s">
        <v>965</v>
      </c>
      <c r="D12" s="171" t="s">
        <v>971</v>
      </c>
    </row>
    <row r="13" spans="1:4" x14ac:dyDescent="0.35">
      <c r="A13" s="171">
        <v>320</v>
      </c>
      <c r="B13" s="171" t="s">
        <v>972</v>
      </c>
      <c r="C13" s="171" t="s">
        <v>965</v>
      </c>
      <c r="D13" s="171" t="s">
        <v>973</v>
      </c>
    </row>
    <row r="14" spans="1:4" x14ac:dyDescent="0.35">
      <c r="A14" s="171">
        <v>322</v>
      </c>
      <c r="B14" s="171" t="s">
        <v>957</v>
      </c>
      <c r="C14" s="171" t="s">
        <v>965</v>
      </c>
      <c r="D14" s="171" t="s">
        <v>974</v>
      </c>
    </row>
    <row r="15" spans="1:4" x14ac:dyDescent="0.35">
      <c r="A15" s="171">
        <v>346</v>
      </c>
      <c r="B15" s="171" t="s">
        <v>970</v>
      </c>
      <c r="C15" s="171" t="s">
        <v>975</v>
      </c>
      <c r="D15" s="171" t="s">
        <v>976</v>
      </c>
    </row>
    <row r="16" spans="1:4" x14ac:dyDescent="0.35">
      <c r="A16" s="171">
        <v>347</v>
      </c>
      <c r="B16" s="171" t="s">
        <v>968</v>
      </c>
      <c r="C16" s="171" t="s">
        <v>975</v>
      </c>
      <c r="D16" s="171" t="s">
        <v>977</v>
      </c>
    </row>
    <row r="17" spans="1:4" x14ac:dyDescent="0.35">
      <c r="A17" s="171">
        <v>348</v>
      </c>
      <c r="B17" s="171" t="s">
        <v>964</v>
      </c>
      <c r="C17" s="171" t="s">
        <v>975</v>
      </c>
      <c r="D17" s="171" t="s">
        <v>978</v>
      </c>
    </row>
    <row r="18" spans="1:4" x14ac:dyDescent="0.35">
      <c r="A18" s="171">
        <v>392</v>
      </c>
      <c r="B18" s="171" t="s">
        <v>979</v>
      </c>
      <c r="C18" s="171" t="s">
        <v>975</v>
      </c>
      <c r="D18" s="171">
        <v>6</v>
      </c>
    </row>
    <row r="19" spans="1:4" x14ac:dyDescent="0.35">
      <c r="A19" s="171">
        <v>349</v>
      </c>
      <c r="B19" s="171" t="s">
        <v>980</v>
      </c>
      <c r="C19" s="171" t="s">
        <v>975</v>
      </c>
      <c r="D19" s="171">
        <v>7</v>
      </c>
    </row>
    <row r="20" spans="1:4" x14ac:dyDescent="0.35">
      <c r="A20" s="171">
        <v>350</v>
      </c>
      <c r="B20" s="171" t="s">
        <v>972</v>
      </c>
      <c r="C20" s="171" t="s">
        <v>975</v>
      </c>
      <c r="D20" s="171" t="s">
        <v>981</v>
      </c>
    </row>
    <row r="21" spans="1:4" x14ac:dyDescent="0.35">
      <c r="A21" s="171">
        <v>351</v>
      </c>
      <c r="B21" s="171" t="s">
        <v>954</v>
      </c>
      <c r="C21" s="171" t="s">
        <v>975</v>
      </c>
      <c r="D21" s="171">
        <v>8</v>
      </c>
    </row>
    <row r="22" spans="1:4" x14ac:dyDescent="0.35">
      <c r="A22" s="171">
        <v>352</v>
      </c>
      <c r="B22" s="171" t="s">
        <v>957</v>
      </c>
      <c r="C22" s="171" t="s">
        <v>975</v>
      </c>
      <c r="D22" s="171" t="s">
        <v>982</v>
      </c>
    </row>
    <row r="23" spans="1:4" x14ac:dyDescent="0.35">
      <c r="A23" s="171">
        <v>358</v>
      </c>
      <c r="B23" s="171" t="s">
        <v>960</v>
      </c>
      <c r="C23" s="171" t="s">
        <v>975</v>
      </c>
      <c r="D23" s="171" t="s">
        <v>983</v>
      </c>
    </row>
    <row r="24" spans="1:4" x14ac:dyDescent="0.35">
      <c r="A24" s="171">
        <v>353</v>
      </c>
      <c r="B24" s="171" t="s">
        <v>964</v>
      </c>
      <c r="C24" s="171" t="s">
        <v>984</v>
      </c>
      <c r="D24" s="171" t="s">
        <v>985</v>
      </c>
    </row>
    <row r="25" spans="1:4" x14ac:dyDescent="0.35">
      <c r="A25" s="171">
        <v>354</v>
      </c>
      <c r="B25" s="171" t="s">
        <v>968</v>
      </c>
      <c r="C25" s="171" t="s">
        <v>984</v>
      </c>
      <c r="D25" s="171">
        <v>6</v>
      </c>
    </row>
    <row r="26" spans="1:4" x14ac:dyDescent="0.35">
      <c r="A26" s="171">
        <v>355</v>
      </c>
      <c r="B26" s="171" t="s">
        <v>957</v>
      </c>
      <c r="C26" s="171" t="s">
        <v>984</v>
      </c>
      <c r="D26" s="171" t="s">
        <v>986</v>
      </c>
    </row>
    <row r="27" spans="1:4" x14ac:dyDescent="0.35">
      <c r="A27" s="171">
        <v>395</v>
      </c>
      <c r="B27" s="171" t="s">
        <v>987</v>
      </c>
      <c r="C27" s="171" t="s">
        <v>988</v>
      </c>
      <c r="D27" s="171" t="s">
        <v>989</v>
      </c>
    </row>
    <row r="28" spans="1:4" x14ac:dyDescent="0.35">
      <c r="A28" s="171">
        <v>381</v>
      </c>
      <c r="B28" s="171" t="s">
        <v>990</v>
      </c>
      <c r="C28" s="171" t="s">
        <v>988</v>
      </c>
      <c r="D28" s="171" t="s">
        <v>991</v>
      </c>
    </row>
    <row r="29" spans="1:4" x14ac:dyDescent="0.35">
      <c r="A29" s="171">
        <v>382</v>
      </c>
      <c r="B29" s="171" t="s">
        <v>992</v>
      </c>
      <c r="C29" s="171" t="s">
        <v>988</v>
      </c>
      <c r="D29" s="171" t="s">
        <v>993</v>
      </c>
    </row>
    <row r="30" spans="1:4" x14ac:dyDescent="0.35">
      <c r="A30" s="171">
        <v>383</v>
      </c>
      <c r="B30" s="171" t="s">
        <v>994</v>
      </c>
      <c r="C30" s="171" t="s">
        <v>988</v>
      </c>
      <c r="D30" s="171" t="s">
        <v>995</v>
      </c>
    </row>
    <row r="31" spans="1:4" x14ac:dyDescent="0.35">
      <c r="A31" s="171">
        <v>384</v>
      </c>
      <c r="B31" s="173" t="s">
        <v>996</v>
      </c>
      <c r="C31" s="171" t="s">
        <v>997</v>
      </c>
      <c r="D31" s="171" t="s">
        <v>998</v>
      </c>
    </row>
    <row r="32" spans="1:4" x14ac:dyDescent="0.35">
      <c r="A32" s="171">
        <v>360</v>
      </c>
      <c r="B32" s="171" t="s">
        <v>999</v>
      </c>
      <c r="C32" s="171" t="s">
        <v>988</v>
      </c>
      <c r="D32" s="171" t="s">
        <v>1000</v>
      </c>
    </row>
    <row r="33" spans="1:4" x14ac:dyDescent="0.35">
      <c r="A33" s="171">
        <v>385</v>
      </c>
      <c r="B33" s="171" t="s">
        <v>1001</v>
      </c>
      <c r="C33" s="171" t="s">
        <v>988</v>
      </c>
      <c r="D33" s="171" t="s">
        <v>1002</v>
      </c>
    </row>
    <row r="34" spans="1:4" x14ac:dyDescent="0.35">
      <c r="A34" s="171">
        <v>396</v>
      </c>
      <c r="B34" s="171" t="s">
        <v>1003</v>
      </c>
      <c r="C34" s="171" t="s">
        <v>988</v>
      </c>
      <c r="D34" s="171" t="s">
        <v>1004</v>
      </c>
    </row>
    <row r="35" spans="1:4" x14ac:dyDescent="0.35">
      <c r="A35" s="171">
        <v>362</v>
      </c>
      <c r="B35" s="171" t="s">
        <v>1005</v>
      </c>
      <c r="C35" s="171">
        <v>66</v>
      </c>
      <c r="D35" s="171" t="s">
        <v>1006</v>
      </c>
    </row>
    <row r="36" spans="1:4" x14ac:dyDescent="0.35">
      <c r="A36" s="171">
        <v>363</v>
      </c>
      <c r="B36" s="171" t="s">
        <v>1007</v>
      </c>
      <c r="C36" s="171">
        <v>66</v>
      </c>
      <c r="D36" s="171">
        <v>9</v>
      </c>
    </row>
    <row r="37" spans="1:4" x14ac:dyDescent="0.35">
      <c r="A37" s="171">
        <v>364</v>
      </c>
      <c r="B37" s="171" t="s">
        <v>1008</v>
      </c>
      <c r="C37" s="171">
        <v>66</v>
      </c>
      <c r="D37" s="171" t="s">
        <v>1009</v>
      </c>
    </row>
    <row r="38" spans="1:4" x14ac:dyDescent="0.35">
      <c r="A38" s="171">
        <v>368</v>
      </c>
      <c r="B38" s="171" t="s">
        <v>1010</v>
      </c>
      <c r="C38" s="171">
        <v>66</v>
      </c>
      <c r="D38" s="171" t="s">
        <v>1011</v>
      </c>
    </row>
    <row r="39" spans="1:4" x14ac:dyDescent="0.35">
      <c r="A39" s="171">
        <v>374</v>
      </c>
      <c r="B39" s="171" t="s">
        <v>1012</v>
      </c>
      <c r="C39" s="171">
        <v>67</v>
      </c>
      <c r="D39" s="171" t="s">
        <v>977</v>
      </c>
    </row>
    <row r="40" spans="1:4" x14ac:dyDescent="0.35">
      <c r="A40" s="171">
        <v>375</v>
      </c>
      <c r="B40" s="171" t="s">
        <v>1013</v>
      </c>
      <c r="C40" s="171">
        <v>67</v>
      </c>
      <c r="D40" s="171">
        <v>6</v>
      </c>
    </row>
    <row r="41" spans="1:4" x14ac:dyDescent="0.35">
      <c r="A41" s="171">
        <v>376</v>
      </c>
      <c r="B41" s="171" t="s">
        <v>1014</v>
      </c>
      <c r="C41" s="171">
        <v>67</v>
      </c>
      <c r="D41" s="171" t="s">
        <v>1015</v>
      </c>
    </row>
    <row r="42" spans="1:4" x14ac:dyDescent="0.35">
      <c r="A42" s="171">
        <v>379</v>
      </c>
      <c r="B42" s="171" t="s">
        <v>1016</v>
      </c>
      <c r="C42" s="171">
        <v>67</v>
      </c>
      <c r="D42" s="171" t="s">
        <v>1017</v>
      </c>
    </row>
    <row r="43" spans="1:4" x14ac:dyDescent="0.35">
      <c r="A43" s="171">
        <v>377</v>
      </c>
      <c r="B43" s="171" t="s">
        <v>1018</v>
      </c>
      <c r="C43" s="171">
        <v>67</v>
      </c>
      <c r="D43" s="171"/>
    </row>
    <row r="44" spans="1:4" x14ac:dyDescent="0.35">
      <c r="A44" s="171">
        <v>388</v>
      </c>
      <c r="B44" s="171" t="s">
        <v>1019</v>
      </c>
      <c r="C44" s="171">
        <v>68</v>
      </c>
      <c r="D44" s="171" t="s">
        <v>977</v>
      </c>
    </row>
    <row r="45" spans="1:4" x14ac:dyDescent="0.35">
      <c r="A45" s="171">
        <v>389</v>
      </c>
      <c r="B45" s="171" t="s">
        <v>1020</v>
      </c>
      <c r="C45" s="171">
        <v>68</v>
      </c>
      <c r="D45" s="171" t="s">
        <v>1021</v>
      </c>
    </row>
    <row r="46" spans="1:4" x14ac:dyDescent="0.35">
      <c r="A46" s="171">
        <v>390</v>
      </c>
      <c r="B46" s="171" t="s">
        <v>1022</v>
      </c>
      <c r="C46" s="171">
        <v>68</v>
      </c>
      <c r="D46" s="171" t="s">
        <v>1023</v>
      </c>
    </row>
    <row r="47" spans="1:4" x14ac:dyDescent="0.35">
      <c r="A47" s="171">
        <v>394</v>
      </c>
      <c r="B47" s="171" t="s">
        <v>1022</v>
      </c>
      <c r="C47" s="171">
        <v>68</v>
      </c>
      <c r="D47" s="171" t="s">
        <v>1021</v>
      </c>
    </row>
    <row r="48" spans="1:4" x14ac:dyDescent="0.35">
      <c r="A48" s="171">
        <v>378</v>
      </c>
      <c r="B48" s="171" t="s">
        <v>1024</v>
      </c>
      <c r="C48" s="171"/>
      <c r="D48" s="171" t="s">
        <v>1025</v>
      </c>
    </row>
    <row r="49" spans="1:4" x14ac:dyDescent="0.35">
      <c r="A49" s="171">
        <v>391</v>
      </c>
      <c r="B49" s="171" t="s">
        <v>1026</v>
      </c>
      <c r="C49" s="171"/>
      <c r="D49" s="171" t="s">
        <v>1027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795C5-8F7F-4142-B7B9-2E53DAF50097}">
  <dimension ref="A1:O760"/>
  <sheetViews>
    <sheetView topLeftCell="A79" workbookViewId="0">
      <selection activeCell="D423" sqref="D423"/>
    </sheetView>
  </sheetViews>
  <sheetFormatPr defaultRowHeight="14.4" x14ac:dyDescent="0.3"/>
  <cols>
    <col min="1" max="1" width="4" style="2" bestFit="1" customWidth="1"/>
    <col min="2" max="2" width="7.77734375" style="14" bestFit="1" customWidth="1"/>
    <col min="3" max="3" width="12.77734375" style="2" customWidth="1"/>
    <col min="4" max="4" width="7.88671875" style="2" bestFit="1" customWidth="1"/>
    <col min="5" max="5" width="9.21875" style="2" hidden="1" customWidth="1"/>
    <col min="6" max="6" width="11.33203125" style="2" hidden="1" customWidth="1"/>
    <col min="7" max="7" width="10.21875" style="2" bestFit="1" customWidth="1"/>
    <col min="8" max="8" width="11.21875" style="2" bestFit="1" customWidth="1"/>
    <col min="9" max="9" width="8.109375" style="2" bestFit="1" customWidth="1"/>
    <col min="10" max="10" width="9.21875" style="2" bestFit="1" customWidth="1"/>
    <col min="11" max="13" width="11.77734375" style="2" customWidth="1"/>
    <col min="14" max="14" width="13" style="2" customWidth="1"/>
    <col min="15" max="15" width="5" style="2" bestFit="1" customWidth="1"/>
    <col min="16" max="16384" width="8.88671875" style="2"/>
  </cols>
  <sheetData>
    <row r="1" spans="1:15" x14ac:dyDescent="0.3">
      <c r="A1" s="2" t="s">
        <v>1112</v>
      </c>
      <c r="B1" s="13" t="s">
        <v>934</v>
      </c>
      <c r="C1" s="8" t="s">
        <v>2</v>
      </c>
      <c r="D1" s="8" t="s">
        <v>0</v>
      </c>
      <c r="E1" s="8" t="s">
        <v>1033</v>
      </c>
      <c r="F1" s="8" t="s">
        <v>1034</v>
      </c>
      <c r="G1" s="8" t="s">
        <v>1035</v>
      </c>
      <c r="H1" s="8" t="s">
        <v>1</v>
      </c>
      <c r="I1" s="8" t="s">
        <v>1036</v>
      </c>
      <c r="J1" s="8" t="s">
        <v>1037</v>
      </c>
      <c r="K1" s="8" t="s">
        <v>1038</v>
      </c>
      <c r="L1" s="8" t="s">
        <v>1039</v>
      </c>
      <c r="M1" s="8" t="s">
        <v>1040</v>
      </c>
      <c r="N1" s="8" t="s">
        <v>1041</v>
      </c>
      <c r="O1" s="12" t="s">
        <v>1028</v>
      </c>
    </row>
    <row r="2" spans="1:15" x14ac:dyDescent="0.3">
      <c r="A2" s="8">
        <v>0</v>
      </c>
      <c r="B2" s="14">
        <v>46023</v>
      </c>
      <c r="C2" s="2" t="s">
        <v>1268</v>
      </c>
      <c r="D2" s="2" t="s">
        <v>10</v>
      </c>
      <c r="E2" s="2" t="s">
        <v>935</v>
      </c>
      <c r="F2" s="2">
        <v>1.25</v>
      </c>
      <c r="G2" s="2" t="s">
        <v>1042</v>
      </c>
      <c r="H2" s="2" t="s">
        <v>1043</v>
      </c>
      <c r="I2" s="2" t="s">
        <v>1044</v>
      </c>
      <c r="J2" s="2" t="s">
        <v>1110</v>
      </c>
      <c r="K2" s="2">
        <v>3358.75</v>
      </c>
      <c r="L2" s="2">
        <v>3358.75</v>
      </c>
      <c r="M2" s="2">
        <v>67.174999999999997</v>
      </c>
      <c r="N2" s="2">
        <v>67</v>
      </c>
      <c r="O2" s="2">
        <f>F2*1000</f>
        <v>1250</v>
      </c>
    </row>
    <row r="3" spans="1:15" x14ac:dyDescent="0.3">
      <c r="A3" s="8">
        <v>1</v>
      </c>
      <c r="B3" s="14">
        <v>46054</v>
      </c>
      <c r="C3" s="2" t="s">
        <v>1269</v>
      </c>
      <c r="D3" s="2" t="s">
        <v>7</v>
      </c>
      <c r="E3" s="2" t="s">
        <v>935</v>
      </c>
      <c r="F3" s="2">
        <v>2</v>
      </c>
      <c r="G3" s="2" t="s">
        <v>1045</v>
      </c>
      <c r="H3" s="2" t="s">
        <v>8</v>
      </c>
      <c r="I3" s="2" t="s">
        <v>1046</v>
      </c>
      <c r="J3" s="2" t="s">
        <v>1047</v>
      </c>
      <c r="K3" s="2">
        <v>3900</v>
      </c>
      <c r="L3" s="2">
        <v>3900</v>
      </c>
      <c r="M3" s="2">
        <v>156</v>
      </c>
      <c r="N3" s="2">
        <v>156</v>
      </c>
      <c r="O3" s="2">
        <f t="shared" ref="O3:O66" si="0">F3*1000</f>
        <v>2000</v>
      </c>
    </row>
    <row r="4" spans="1:15" x14ac:dyDescent="0.3">
      <c r="A4" s="8">
        <v>2</v>
      </c>
      <c r="B4" s="14">
        <v>46054</v>
      </c>
      <c r="C4" s="2" t="s">
        <v>1282</v>
      </c>
      <c r="D4" s="2" t="s">
        <v>7</v>
      </c>
      <c r="E4" s="2" t="s">
        <v>935</v>
      </c>
      <c r="F4" s="2">
        <v>2</v>
      </c>
      <c r="G4" s="2" t="s">
        <v>1048</v>
      </c>
      <c r="H4" s="2" t="s">
        <v>948</v>
      </c>
      <c r="I4" s="2" t="s">
        <v>1049</v>
      </c>
      <c r="J4" s="2" t="s">
        <v>1047</v>
      </c>
      <c r="K4" s="2">
        <v>1068</v>
      </c>
      <c r="L4" s="2">
        <v>1068</v>
      </c>
      <c r="M4" s="2">
        <v>42.72</v>
      </c>
      <c r="N4" s="2">
        <v>43</v>
      </c>
      <c r="O4" s="2">
        <f t="shared" si="0"/>
        <v>2000</v>
      </c>
    </row>
    <row r="5" spans="1:15" x14ac:dyDescent="0.3">
      <c r="A5" s="8">
        <v>3</v>
      </c>
      <c r="B5" s="14">
        <v>46054</v>
      </c>
      <c r="C5" s="2" t="s">
        <v>1270</v>
      </c>
      <c r="D5" s="2" t="s">
        <v>7</v>
      </c>
      <c r="E5" s="2" t="s">
        <v>935</v>
      </c>
      <c r="F5" s="2">
        <v>2</v>
      </c>
      <c r="G5" s="2" t="s">
        <v>1050</v>
      </c>
      <c r="H5" s="2" t="s">
        <v>19</v>
      </c>
      <c r="I5" s="2" t="s">
        <v>1046</v>
      </c>
      <c r="J5" s="2" t="s">
        <v>1047</v>
      </c>
      <c r="K5" s="2">
        <v>7670</v>
      </c>
      <c r="L5" s="2">
        <v>7670</v>
      </c>
      <c r="M5" s="2">
        <v>306.8</v>
      </c>
      <c r="N5" s="2">
        <v>307</v>
      </c>
      <c r="O5" s="2">
        <f t="shared" si="0"/>
        <v>2000</v>
      </c>
    </row>
    <row r="6" spans="1:15" x14ac:dyDescent="0.3">
      <c r="A6" s="8">
        <v>4</v>
      </c>
      <c r="B6" s="14">
        <v>46054</v>
      </c>
      <c r="C6" s="2" t="s">
        <v>1283</v>
      </c>
      <c r="D6" s="2" t="s">
        <v>7</v>
      </c>
      <c r="E6" s="2" t="s">
        <v>935</v>
      </c>
      <c r="F6" s="2">
        <v>2</v>
      </c>
      <c r="G6" s="2" t="s">
        <v>1051</v>
      </c>
      <c r="H6" s="2" t="s">
        <v>27</v>
      </c>
      <c r="I6" s="2" t="s">
        <v>1052</v>
      </c>
      <c r="J6" s="2" t="s">
        <v>1047</v>
      </c>
      <c r="K6" s="2">
        <v>4238</v>
      </c>
      <c r="L6" s="2">
        <v>4238</v>
      </c>
      <c r="M6" s="2">
        <v>169.52</v>
      </c>
      <c r="N6" s="2">
        <v>170</v>
      </c>
      <c r="O6" s="2">
        <f t="shared" si="0"/>
        <v>2000</v>
      </c>
    </row>
    <row r="7" spans="1:15" x14ac:dyDescent="0.3">
      <c r="A7" s="8">
        <v>5</v>
      </c>
      <c r="B7" s="14">
        <v>46054</v>
      </c>
      <c r="C7" s="2" t="s">
        <v>1284</v>
      </c>
      <c r="D7" s="2" t="s">
        <v>7</v>
      </c>
      <c r="E7" s="2" t="s">
        <v>935</v>
      </c>
      <c r="F7" s="2">
        <v>2</v>
      </c>
      <c r="G7" s="2" t="s">
        <v>1053</v>
      </c>
      <c r="H7" s="2" t="s">
        <v>949</v>
      </c>
      <c r="I7" s="2" t="s">
        <v>1049</v>
      </c>
      <c r="J7" s="2" t="s">
        <v>1047</v>
      </c>
      <c r="K7" s="2">
        <v>1960</v>
      </c>
      <c r="L7" s="2">
        <v>1960</v>
      </c>
      <c r="M7" s="2">
        <v>78.400000000000006</v>
      </c>
      <c r="N7" s="2">
        <v>78</v>
      </c>
      <c r="O7" s="2">
        <f t="shared" si="0"/>
        <v>2000</v>
      </c>
    </row>
    <row r="8" spans="1:15" x14ac:dyDescent="0.3">
      <c r="A8" s="8">
        <v>6</v>
      </c>
      <c r="B8" s="14">
        <v>46054</v>
      </c>
      <c r="C8" s="2" t="s">
        <v>1271</v>
      </c>
      <c r="D8" s="2" t="s">
        <v>7</v>
      </c>
      <c r="E8" s="2" t="s">
        <v>935</v>
      </c>
      <c r="F8" s="2">
        <v>1.5</v>
      </c>
      <c r="G8" s="2" t="s">
        <v>1054</v>
      </c>
      <c r="H8" s="2" t="s">
        <v>36</v>
      </c>
      <c r="I8" s="2" t="s">
        <v>1055</v>
      </c>
      <c r="J8" s="2" t="s">
        <v>1047</v>
      </c>
      <c r="K8" s="2">
        <v>7296</v>
      </c>
      <c r="L8" s="2">
        <v>7296</v>
      </c>
      <c r="M8" s="2">
        <v>291.83999999999997</v>
      </c>
      <c r="N8" s="2">
        <v>292</v>
      </c>
      <c r="O8" s="2">
        <f t="shared" si="0"/>
        <v>1500</v>
      </c>
    </row>
    <row r="9" spans="1:15" x14ac:dyDescent="0.3">
      <c r="A9" s="8">
        <v>7</v>
      </c>
      <c r="B9" s="14">
        <v>46054</v>
      </c>
      <c r="C9" s="2" t="s">
        <v>1272</v>
      </c>
      <c r="D9" s="2" t="s">
        <v>7</v>
      </c>
      <c r="E9" s="2" t="s">
        <v>935</v>
      </c>
      <c r="F9" s="2">
        <v>1.5</v>
      </c>
      <c r="G9" s="2" t="s">
        <v>1056</v>
      </c>
      <c r="H9" s="2" t="s">
        <v>44</v>
      </c>
      <c r="I9" s="2" t="s">
        <v>1055</v>
      </c>
      <c r="J9" s="2" t="s">
        <v>1047</v>
      </c>
      <c r="K9" s="2">
        <v>6912</v>
      </c>
      <c r="L9" s="2">
        <v>6912</v>
      </c>
      <c r="M9" s="2">
        <v>276.48</v>
      </c>
      <c r="N9" s="2">
        <v>276</v>
      </c>
      <c r="O9" s="2">
        <f t="shared" si="0"/>
        <v>1500</v>
      </c>
    </row>
    <row r="10" spans="1:15" x14ac:dyDescent="0.3">
      <c r="A10" s="8">
        <v>8</v>
      </c>
      <c r="B10" s="14">
        <v>46054</v>
      </c>
      <c r="C10" s="2" t="s">
        <v>1273</v>
      </c>
      <c r="D10" s="2" t="s">
        <v>7</v>
      </c>
      <c r="E10" s="2" t="s">
        <v>935</v>
      </c>
      <c r="F10" s="2">
        <v>2</v>
      </c>
      <c r="G10" s="2" t="s">
        <v>1057</v>
      </c>
      <c r="H10" s="2" t="s">
        <v>52</v>
      </c>
      <c r="I10" s="2" t="s">
        <v>1058</v>
      </c>
      <c r="J10" s="2" t="s">
        <v>1047</v>
      </c>
      <c r="K10" s="2">
        <v>6518</v>
      </c>
      <c r="L10" s="2">
        <v>6518</v>
      </c>
      <c r="M10" s="2">
        <v>260.72000000000003</v>
      </c>
      <c r="N10" s="2">
        <v>261</v>
      </c>
      <c r="O10" s="2">
        <f t="shared" si="0"/>
        <v>2000</v>
      </c>
    </row>
    <row r="11" spans="1:15" x14ac:dyDescent="0.3">
      <c r="A11" s="8">
        <v>9</v>
      </c>
      <c r="B11" s="14">
        <v>46054</v>
      </c>
      <c r="C11" s="2" t="s">
        <v>1274</v>
      </c>
      <c r="D11" s="2" t="s">
        <v>7</v>
      </c>
      <c r="E11" s="2" t="s">
        <v>935</v>
      </c>
      <c r="F11" s="2">
        <v>2</v>
      </c>
      <c r="G11" s="2" t="s">
        <v>1059</v>
      </c>
      <c r="H11" s="2" t="s">
        <v>60</v>
      </c>
      <c r="I11" s="2" t="s">
        <v>1060</v>
      </c>
      <c r="J11" s="2" t="s">
        <v>1047</v>
      </c>
      <c r="K11" s="2">
        <v>4776</v>
      </c>
      <c r="L11" s="2">
        <v>4776</v>
      </c>
      <c r="M11" s="2">
        <v>191.04</v>
      </c>
      <c r="N11" s="2">
        <v>191</v>
      </c>
      <c r="O11" s="2">
        <f t="shared" si="0"/>
        <v>2000</v>
      </c>
    </row>
    <row r="12" spans="1:15" x14ac:dyDescent="0.3">
      <c r="A12" s="8">
        <v>10</v>
      </c>
      <c r="B12" s="14">
        <v>46054</v>
      </c>
      <c r="C12" s="2" t="s">
        <v>1285</v>
      </c>
      <c r="D12" s="2" t="s">
        <v>7</v>
      </c>
      <c r="E12" s="2" t="s">
        <v>935</v>
      </c>
      <c r="F12" s="2">
        <v>2</v>
      </c>
      <c r="G12" s="2" t="s">
        <v>860</v>
      </c>
      <c r="H12" s="2" t="s">
        <v>68</v>
      </c>
      <c r="I12" s="2" t="s">
        <v>1049</v>
      </c>
      <c r="J12" s="2" t="s">
        <v>1047</v>
      </c>
      <c r="K12" s="2">
        <v>618</v>
      </c>
      <c r="L12" s="2">
        <v>618</v>
      </c>
      <c r="M12" s="2">
        <v>24.72</v>
      </c>
      <c r="N12" s="2">
        <v>25</v>
      </c>
      <c r="O12" s="2">
        <f t="shared" si="0"/>
        <v>2000</v>
      </c>
    </row>
    <row r="13" spans="1:15" x14ac:dyDescent="0.3">
      <c r="A13" s="8">
        <v>11</v>
      </c>
      <c r="B13" s="14">
        <v>46054</v>
      </c>
      <c r="C13" s="2" t="s">
        <v>1286</v>
      </c>
      <c r="D13" s="2" t="s">
        <v>7</v>
      </c>
      <c r="E13" s="2" t="s">
        <v>935</v>
      </c>
      <c r="F13" s="2">
        <v>2</v>
      </c>
      <c r="G13" s="2" t="s">
        <v>861</v>
      </c>
      <c r="H13" s="2" t="s">
        <v>76</v>
      </c>
      <c r="I13" s="2" t="s">
        <v>1052</v>
      </c>
      <c r="J13" s="2" t="s">
        <v>1047</v>
      </c>
      <c r="K13" s="2">
        <v>8616</v>
      </c>
      <c r="L13" s="2">
        <v>8616</v>
      </c>
      <c r="M13" s="2">
        <v>344.64</v>
      </c>
      <c r="N13" s="2">
        <v>345</v>
      </c>
      <c r="O13" s="2">
        <f t="shared" si="0"/>
        <v>2000</v>
      </c>
    </row>
    <row r="14" spans="1:15" x14ac:dyDescent="0.3">
      <c r="A14" s="8">
        <v>12</v>
      </c>
      <c r="B14" s="14">
        <v>46054</v>
      </c>
      <c r="C14" s="2" t="s">
        <v>1287</v>
      </c>
      <c r="D14" s="2" t="s">
        <v>7</v>
      </c>
      <c r="E14" s="2" t="s">
        <v>935</v>
      </c>
      <c r="F14" s="2">
        <v>2</v>
      </c>
      <c r="G14" s="2" t="s">
        <v>862</v>
      </c>
      <c r="H14" s="2" t="s">
        <v>84</v>
      </c>
      <c r="I14" s="2" t="s">
        <v>1052</v>
      </c>
      <c r="J14" s="2" t="s">
        <v>1047</v>
      </c>
      <c r="K14" s="2">
        <v>7722</v>
      </c>
      <c r="L14" s="2">
        <v>7722</v>
      </c>
      <c r="M14" s="2">
        <v>308.88</v>
      </c>
      <c r="N14" s="2">
        <v>309</v>
      </c>
      <c r="O14" s="2">
        <f t="shared" si="0"/>
        <v>2000</v>
      </c>
    </row>
    <row r="15" spans="1:15" x14ac:dyDescent="0.3">
      <c r="A15" s="8">
        <v>13</v>
      </c>
      <c r="B15" s="14">
        <v>46054</v>
      </c>
      <c r="C15" s="2" t="s">
        <v>1288</v>
      </c>
      <c r="D15" s="2" t="s">
        <v>7</v>
      </c>
      <c r="E15" s="2" t="s">
        <v>935</v>
      </c>
      <c r="F15" s="2">
        <v>1.5</v>
      </c>
      <c r="G15" s="2" t="s">
        <v>1061</v>
      </c>
      <c r="H15" s="2" t="s">
        <v>92</v>
      </c>
      <c r="I15" s="2" t="s">
        <v>1062</v>
      </c>
      <c r="J15" s="2" t="s">
        <v>1047</v>
      </c>
      <c r="K15" s="2">
        <v>4177.5</v>
      </c>
      <c r="L15" s="2">
        <v>4177.5</v>
      </c>
      <c r="M15" s="2">
        <v>167.1</v>
      </c>
      <c r="N15" s="2">
        <v>167</v>
      </c>
      <c r="O15" s="2">
        <f t="shared" si="0"/>
        <v>1500</v>
      </c>
    </row>
    <row r="16" spans="1:15" x14ac:dyDescent="0.3">
      <c r="A16" s="8">
        <v>14</v>
      </c>
      <c r="B16" s="14">
        <v>46054</v>
      </c>
      <c r="C16" s="2" t="s">
        <v>1289</v>
      </c>
      <c r="D16" s="2" t="s">
        <v>7</v>
      </c>
      <c r="E16" s="2" t="s">
        <v>935</v>
      </c>
      <c r="F16" s="2">
        <v>1.5</v>
      </c>
      <c r="G16" s="2" t="s">
        <v>1063</v>
      </c>
      <c r="H16" s="2" t="s">
        <v>100</v>
      </c>
      <c r="I16" s="2" t="s">
        <v>1062</v>
      </c>
      <c r="J16" s="2" t="s">
        <v>1047</v>
      </c>
      <c r="K16" s="2">
        <v>3631.5</v>
      </c>
      <c r="L16" s="2">
        <v>3631.5</v>
      </c>
      <c r="M16" s="2">
        <v>145.26</v>
      </c>
      <c r="N16" s="2">
        <v>145</v>
      </c>
      <c r="O16" s="2">
        <f t="shared" si="0"/>
        <v>1500</v>
      </c>
    </row>
    <row r="17" spans="1:15" x14ac:dyDescent="0.3">
      <c r="A17" s="8">
        <v>15</v>
      </c>
      <c r="B17" s="14">
        <v>46054</v>
      </c>
      <c r="C17" s="2" t="s">
        <v>1290</v>
      </c>
      <c r="D17" s="2" t="s">
        <v>7</v>
      </c>
      <c r="E17" s="2" t="s">
        <v>935</v>
      </c>
      <c r="F17" s="2">
        <v>1.5</v>
      </c>
      <c r="G17" s="2" t="s">
        <v>1064</v>
      </c>
      <c r="H17" s="2" t="s">
        <v>108</v>
      </c>
      <c r="I17" s="2" t="s">
        <v>1062</v>
      </c>
      <c r="J17" s="2" t="s">
        <v>1047</v>
      </c>
      <c r="K17" s="2">
        <v>5646</v>
      </c>
      <c r="L17" s="2">
        <v>5646</v>
      </c>
      <c r="M17" s="2">
        <v>225.84</v>
      </c>
      <c r="N17" s="2">
        <v>226</v>
      </c>
      <c r="O17" s="2">
        <f t="shared" si="0"/>
        <v>1500</v>
      </c>
    </row>
    <row r="18" spans="1:15" x14ac:dyDescent="0.3">
      <c r="A18" s="8">
        <v>16</v>
      </c>
      <c r="B18" s="14">
        <v>46054</v>
      </c>
      <c r="C18" s="2" t="s">
        <v>1291</v>
      </c>
      <c r="D18" s="2" t="s">
        <v>7</v>
      </c>
      <c r="E18" s="2" t="s">
        <v>935</v>
      </c>
      <c r="F18" s="2">
        <v>1.5</v>
      </c>
      <c r="G18" s="2" t="s">
        <v>1065</v>
      </c>
      <c r="H18" s="2" t="s">
        <v>116</v>
      </c>
      <c r="I18" s="2" t="s">
        <v>1062</v>
      </c>
      <c r="J18" s="2" t="s">
        <v>1047</v>
      </c>
      <c r="K18" s="2">
        <v>4339.5</v>
      </c>
      <c r="L18" s="2">
        <v>4339.5</v>
      </c>
      <c r="M18" s="2">
        <v>173.58</v>
      </c>
      <c r="N18" s="2">
        <v>174</v>
      </c>
      <c r="O18" s="2">
        <f t="shared" si="0"/>
        <v>1500</v>
      </c>
    </row>
    <row r="19" spans="1:15" x14ac:dyDescent="0.3">
      <c r="A19" s="8">
        <v>17</v>
      </c>
      <c r="B19" s="14">
        <v>46054</v>
      </c>
      <c r="C19" s="2" t="s">
        <v>1275</v>
      </c>
      <c r="D19" s="2" t="s">
        <v>7</v>
      </c>
      <c r="E19" s="2" t="s">
        <v>935</v>
      </c>
      <c r="F19" s="2">
        <v>2</v>
      </c>
      <c r="G19" s="2" t="s">
        <v>891</v>
      </c>
      <c r="H19" s="2" t="s">
        <v>124</v>
      </c>
      <c r="I19" s="2" t="s">
        <v>1066</v>
      </c>
      <c r="J19" s="2" t="s">
        <v>1047</v>
      </c>
      <c r="K19" s="2">
        <v>5736</v>
      </c>
      <c r="L19" s="2">
        <v>5736</v>
      </c>
      <c r="M19" s="2">
        <v>229.44</v>
      </c>
      <c r="N19" s="2">
        <v>229</v>
      </c>
      <c r="O19" s="2">
        <f t="shared" si="0"/>
        <v>2000</v>
      </c>
    </row>
    <row r="20" spans="1:15" x14ac:dyDescent="0.3">
      <c r="A20" s="8">
        <v>18</v>
      </c>
      <c r="B20" s="14">
        <v>46054</v>
      </c>
      <c r="C20" s="2" t="s">
        <v>1276</v>
      </c>
      <c r="D20" s="2" t="s">
        <v>7</v>
      </c>
      <c r="E20" s="2" t="s">
        <v>935</v>
      </c>
      <c r="F20" s="2">
        <v>2</v>
      </c>
      <c r="G20" s="2" t="s">
        <v>892</v>
      </c>
      <c r="H20" s="2" t="s">
        <v>132</v>
      </c>
      <c r="I20" s="2" t="s">
        <v>1066</v>
      </c>
      <c r="J20" s="2" t="s">
        <v>1047</v>
      </c>
      <c r="K20" s="2">
        <v>6960</v>
      </c>
      <c r="L20" s="2">
        <v>6960</v>
      </c>
      <c r="M20" s="2">
        <v>278.39999999999998</v>
      </c>
      <c r="N20" s="2">
        <v>278</v>
      </c>
      <c r="O20" s="2">
        <f t="shared" si="0"/>
        <v>2000</v>
      </c>
    </row>
    <row r="21" spans="1:15" x14ac:dyDescent="0.3">
      <c r="A21" s="8">
        <v>19</v>
      </c>
      <c r="B21" s="14">
        <v>46054</v>
      </c>
      <c r="C21" s="2" t="s">
        <v>1277</v>
      </c>
      <c r="D21" s="2" t="s">
        <v>7</v>
      </c>
      <c r="E21" s="2" t="s">
        <v>935</v>
      </c>
      <c r="F21" s="2">
        <v>2</v>
      </c>
      <c r="G21" s="2" t="s">
        <v>893</v>
      </c>
      <c r="H21" s="2" t="s">
        <v>140</v>
      </c>
      <c r="I21" s="2" t="s">
        <v>1067</v>
      </c>
      <c r="J21" s="2" t="s">
        <v>1047</v>
      </c>
      <c r="K21" s="2">
        <v>8462</v>
      </c>
      <c r="L21" s="2">
        <v>8462</v>
      </c>
      <c r="M21" s="2">
        <v>338.48</v>
      </c>
      <c r="N21" s="2">
        <v>338</v>
      </c>
      <c r="O21" s="2">
        <f t="shared" si="0"/>
        <v>2000</v>
      </c>
    </row>
    <row r="22" spans="1:15" x14ac:dyDescent="0.3">
      <c r="A22" s="8">
        <v>20</v>
      </c>
      <c r="B22" s="14">
        <v>46054</v>
      </c>
      <c r="C22" s="2" t="s">
        <v>1278</v>
      </c>
      <c r="D22" s="2" t="s">
        <v>7</v>
      </c>
      <c r="E22" s="2" t="s">
        <v>935</v>
      </c>
      <c r="F22" s="2">
        <v>2</v>
      </c>
      <c r="G22" s="2" t="s">
        <v>894</v>
      </c>
      <c r="H22" s="2" t="s">
        <v>148</v>
      </c>
      <c r="I22" s="2" t="s">
        <v>1068</v>
      </c>
      <c r="J22" s="2" t="s">
        <v>1047</v>
      </c>
      <c r="K22" s="2">
        <v>7702</v>
      </c>
      <c r="L22" s="2">
        <v>7702</v>
      </c>
      <c r="M22" s="2">
        <v>308.08</v>
      </c>
      <c r="N22" s="2">
        <v>308</v>
      </c>
      <c r="O22" s="2">
        <f t="shared" si="0"/>
        <v>2000</v>
      </c>
    </row>
    <row r="23" spans="1:15" x14ac:dyDescent="0.3">
      <c r="A23" s="8">
        <v>21</v>
      </c>
      <c r="B23" s="14">
        <v>46054</v>
      </c>
      <c r="C23" s="2" t="s">
        <v>1279</v>
      </c>
      <c r="D23" s="2" t="s">
        <v>7</v>
      </c>
      <c r="E23" s="2" t="s">
        <v>935</v>
      </c>
      <c r="F23" s="2">
        <v>2</v>
      </c>
      <c r="G23" s="2" t="s">
        <v>895</v>
      </c>
      <c r="H23" s="2" t="s">
        <v>156</v>
      </c>
      <c r="I23" s="2" t="s">
        <v>1066</v>
      </c>
      <c r="J23" s="2" t="s">
        <v>1047</v>
      </c>
      <c r="K23" s="2">
        <v>6280</v>
      </c>
      <c r="L23" s="2">
        <v>6280</v>
      </c>
      <c r="M23" s="2">
        <v>251.2</v>
      </c>
      <c r="N23" s="2">
        <v>251</v>
      </c>
      <c r="O23" s="2">
        <f t="shared" si="0"/>
        <v>2000</v>
      </c>
    </row>
    <row r="24" spans="1:15" x14ac:dyDescent="0.3">
      <c r="A24" s="8">
        <v>22</v>
      </c>
      <c r="B24" s="14">
        <v>46054</v>
      </c>
      <c r="C24" s="2" t="s">
        <v>1280</v>
      </c>
      <c r="D24" s="2" t="s">
        <v>7</v>
      </c>
      <c r="E24" s="2" t="s">
        <v>935</v>
      </c>
      <c r="F24" s="2">
        <v>2</v>
      </c>
      <c r="G24" s="2" t="s">
        <v>896</v>
      </c>
      <c r="H24" s="2" t="s">
        <v>164</v>
      </c>
      <c r="I24" s="2" t="s">
        <v>1066</v>
      </c>
      <c r="J24" s="2" t="s">
        <v>1047</v>
      </c>
      <c r="K24" s="2">
        <v>7342</v>
      </c>
      <c r="L24" s="2">
        <v>7342</v>
      </c>
      <c r="M24" s="2">
        <v>293.68</v>
      </c>
      <c r="N24" s="2">
        <v>294</v>
      </c>
      <c r="O24" s="2">
        <f t="shared" si="0"/>
        <v>2000</v>
      </c>
    </row>
    <row r="25" spans="1:15" x14ac:dyDescent="0.3">
      <c r="A25" s="8">
        <v>23</v>
      </c>
      <c r="B25" s="14">
        <v>46054</v>
      </c>
      <c r="C25" s="2" t="s">
        <v>1281</v>
      </c>
      <c r="D25" s="2" t="s">
        <v>7</v>
      </c>
      <c r="E25" s="2" t="s">
        <v>935</v>
      </c>
      <c r="F25" s="2">
        <v>1.5</v>
      </c>
      <c r="G25" s="2" t="s">
        <v>897</v>
      </c>
      <c r="H25" s="2" t="s">
        <v>172</v>
      </c>
      <c r="I25" s="2" t="s">
        <v>1069</v>
      </c>
      <c r="J25" s="2" t="s">
        <v>1047</v>
      </c>
      <c r="K25" s="2">
        <v>6033</v>
      </c>
      <c r="L25" s="2">
        <v>6033</v>
      </c>
      <c r="M25" s="2">
        <v>241.32</v>
      </c>
      <c r="N25" s="2">
        <v>241</v>
      </c>
      <c r="O25" s="2">
        <f t="shared" si="0"/>
        <v>1500</v>
      </c>
    </row>
    <row r="26" spans="1:15" x14ac:dyDescent="0.3">
      <c r="A26" s="8">
        <v>24</v>
      </c>
      <c r="B26" s="14">
        <v>46054</v>
      </c>
      <c r="C26" s="2" t="s">
        <v>1292</v>
      </c>
      <c r="D26" s="2" t="s">
        <v>7</v>
      </c>
      <c r="E26" s="2" t="s">
        <v>935</v>
      </c>
      <c r="F26" s="2">
        <v>2</v>
      </c>
      <c r="G26" s="2" t="s">
        <v>898</v>
      </c>
      <c r="H26" s="2" t="s">
        <v>180</v>
      </c>
      <c r="I26" s="2" t="s">
        <v>1068</v>
      </c>
      <c r="J26" s="2" t="s">
        <v>1047</v>
      </c>
      <c r="K26" s="2">
        <v>6952</v>
      </c>
      <c r="L26" s="2">
        <v>6952</v>
      </c>
      <c r="M26" s="2">
        <v>278.08</v>
      </c>
      <c r="N26" s="2">
        <v>278</v>
      </c>
      <c r="O26" s="2">
        <f t="shared" si="0"/>
        <v>2000</v>
      </c>
    </row>
    <row r="27" spans="1:15" x14ac:dyDescent="0.3">
      <c r="A27" s="8">
        <v>25</v>
      </c>
      <c r="B27" s="14">
        <v>46054</v>
      </c>
      <c r="C27" s="2" t="s">
        <v>1293</v>
      </c>
      <c r="D27" s="2" t="s">
        <v>7</v>
      </c>
      <c r="E27" s="2" t="s">
        <v>935</v>
      </c>
      <c r="F27" s="2">
        <v>2</v>
      </c>
      <c r="G27" s="2" t="s">
        <v>899</v>
      </c>
      <c r="H27" s="2" t="s">
        <v>188</v>
      </c>
      <c r="I27" s="2" t="s">
        <v>1068</v>
      </c>
      <c r="J27" s="2" t="s">
        <v>1047</v>
      </c>
      <c r="K27" s="2">
        <v>8254</v>
      </c>
      <c r="L27" s="2">
        <v>8254</v>
      </c>
      <c r="M27" s="2">
        <v>330.16</v>
      </c>
      <c r="N27" s="2">
        <v>330</v>
      </c>
      <c r="O27" s="2">
        <f t="shared" si="0"/>
        <v>2000</v>
      </c>
    </row>
    <row r="28" spans="1:15" x14ac:dyDescent="0.3">
      <c r="A28" s="8">
        <v>26</v>
      </c>
      <c r="B28" s="14">
        <v>46054</v>
      </c>
      <c r="C28" s="2" t="s">
        <v>1135</v>
      </c>
      <c r="D28" s="2" t="s">
        <v>7</v>
      </c>
      <c r="E28" s="2" t="s">
        <v>935</v>
      </c>
      <c r="F28" s="2">
        <v>1.5</v>
      </c>
      <c r="G28" s="2" t="s">
        <v>900</v>
      </c>
      <c r="H28" s="2" t="s">
        <v>196</v>
      </c>
      <c r="I28" s="2" t="s">
        <v>1069</v>
      </c>
      <c r="J28" s="2" t="s">
        <v>1047</v>
      </c>
      <c r="K28" s="2">
        <v>6367.5</v>
      </c>
      <c r="L28" s="2">
        <v>6367.5</v>
      </c>
      <c r="M28" s="2">
        <v>254.7</v>
      </c>
      <c r="N28" s="2">
        <v>255</v>
      </c>
      <c r="O28" s="2">
        <f t="shared" si="0"/>
        <v>1500</v>
      </c>
    </row>
    <row r="29" spans="1:15" x14ac:dyDescent="0.3">
      <c r="A29" s="8">
        <v>27</v>
      </c>
      <c r="B29" s="14">
        <v>46054</v>
      </c>
      <c r="C29" s="2" t="s">
        <v>1149</v>
      </c>
      <c r="D29" s="2" t="s">
        <v>7</v>
      </c>
      <c r="E29" s="2" t="s">
        <v>935</v>
      </c>
      <c r="F29" s="2">
        <v>2</v>
      </c>
      <c r="G29" s="2" t="s">
        <v>901</v>
      </c>
      <c r="H29" s="2" t="s">
        <v>204</v>
      </c>
      <c r="I29" s="2" t="s">
        <v>1066</v>
      </c>
      <c r="J29" s="2" t="s">
        <v>1047</v>
      </c>
      <c r="K29" s="2">
        <v>6386</v>
      </c>
      <c r="L29" s="2">
        <v>6386</v>
      </c>
      <c r="M29" s="2">
        <v>255.44</v>
      </c>
      <c r="N29" s="2">
        <v>255</v>
      </c>
      <c r="O29" s="2">
        <f t="shared" si="0"/>
        <v>2000</v>
      </c>
    </row>
    <row r="30" spans="1:15" x14ac:dyDescent="0.3">
      <c r="A30" s="8">
        <v>28</v>
      </c>
      <c r="B30" s="14">
        <v>46054</v>
      </c>
      <c r="C30" s="2" t="s">
        <v>1137</v>
      </c>
      <c r="D30" s="2" t="s">
        <v>7</v>
      </c>
      <c r="E30" s="2" t="s">
        <v>935</v>
      </c>
      <c r="F30" s="2">
        <v>2</v>
      </c>
      <c r="G30" s="2" t="s">
        <v>902</v>
      </c>
      <c r="H30" s="2" t="s">
        <v>212</v>
      </c>
      <c r="I30" s="2" t="s">
        <v>1067</v>
      </c>
      <c r="J30" s="2" t="s">
        <v>1047</v>
      </c>
      <c r="K30" s="2">
        <v>8530</v>
      </c>
      <c r="L30" s="2">
        <v>8530</v>
      </c>
      <c r="M30" s="2">
        <v>341.2</v>
      </c>
      <c r="N30" s="2">
        <v>341</v>
      </c>
      <c r="O30" s="2">
        <f t="shared" si="0"/>
        <v>2000</v>
      </c>
    </row>
    <row r="31" spans="1:15" x14ac:dyDescent="0.3">
      <c r="A31" s="8">
        <v>29</v>
      </c>
      <c r="B31" s="14">
        <v>46054</v>
      </c>
      <c r="C31" s="2" t="s">
        <v>1131</v>
      </c>
      <c r="D31" s="2" t="s">
        <v>7</v>
      </c>
      <c r="E31" s="2" t="s">
        <v>935</v>
      </c>
      <c r="F31" s="2">
        <v>1.5</v>
      </c>
      <c r="G31" s="2" t="s">
        <v>903</v>
      </c>
      <c r="H31" s="2" t="s">
        <v>220</v>
      </c>
      <c r="I31" s="2" t="s">
        <v>1069</v>
      </c>
      <c r="J31" s="2" t="s">
        <v>1047</v>
      </c>
      <c r="K31" s="2">
        <v>6288</v>
      </c>
      <c r="L31" s="2">
        <v>6288</v>
      </c>
      <c r="M31" s="2">
        <v>251.52</v>
      </c>
      <c r="N31" s="2">
        <v>252</v>
      </c>
      <c r="O31" s="2">
        <f t="shared" si="0"/>
        <v>1500</v>
      </c>
    </row>
    <row r="32" spans="1:15" x14ac:dyDescent="0.3">
      <c r="A32" s="8">
        <v>30</v>
      </c>
      <c r="B32" s="14">
        <v>46054</v>
      </c>
      <c r="C32" s="2" t="s">
        <v>1130</v>
      </c>
      <c r="D32" s="2" t="s">
        <v>7</v>
      </c>
      <c r="E32" s="2" t="s">
        <v>935</v>
      </c>
      <c r="F32" s="2">
        <v>1.5</v>
      </c>
      <c r="G32" s="2" t="s">
        <v>904</v>
      </c>
      <c r="H32" s="2" t="s">
        <v>228</v>
      </c>
      <c r="I32" s="2" t="s">
        <v>1070</v>
      </c>
      <c r="J32" s="2" t="s">
        <v>1047</v>
      </c>
      <c r="K32" s="2">
        <v>189</v>
      </c>
      <c r="L32" s="2">
        <v>189</v>
      </c>
      <c r="M32" s="2">
        <v>7.56</v>
      </c>
      <c r="N32" s="2">
        <v>8</v>
      </c>
      <c r="O32" s="2">
        <f t="shared" si="0"/>
        <v>1500</v>
      </c>
    </row>
    <row r="33" spans="1:15" x14ac:dyDescent="0.3">
      <c r="A33" s="8">
        <v>31</v>
      </c>
      <c r="B33" s="14">
        <v>46054</v>
      </c>
      <c r="C33" s="2" t="s">
        <v>1139</v>
      </c>
      <c r="D33" s="2" t="s">
        <v>7</v>
      </c>
      <c r="E33" s="2" t="s">
        <v>935</v>
      </c>
      <c r="F33" s="2">
        <v>2</v>
      </c>
      <c r="G33" s="2" t="s">
        <v>905</v>
      </c>
      <c r="H33" s="2" t="s">
        <v>236</v>
      </c>
      <c r="I33" s="2" t="s">
        <v>1067</v>
      </c>
      <c r="J33" s="2" t="s">
        <v>1047</v>
      </c>
      <c r="K33" s="2">
        <v>3326</v>
      </c>
      <c r="L33" s="2">
        <v>3326</v>
      </c>
      <c r="M33" s="2">
        <v>133.04</v>
      </c>
      <c r="N33" s="2">
        <v>133</v>
      </c>
      <c r="O33" s="2">
        <f t="shared" si="0"/>
        <v>2000</v>
      </c>
    </row>
    <row r="34" spans="1:15" x14ac:dyDescent="0.3">
      <c r="A34" s="8">
        <v>32</v>
      </c>
      <c r="B34" s="14">
        <v>46054</v>
      </c>
      <c r="C34" s="2" t="s">
        <v>1294</v>
      </c>
      <c r="D34" s="2" t="s">
        <v>7</v>
      </c>
      <c r="E34" s="2" t="s">
        <v>935</v>
      </c>
      <c r="F34" s="2">
        <v>2</v>
      </c>
      <c r="G34" s="2" t="s">
        <v>1071</v>
      </c>
      <c r="H34" s="2" t="s">
        <v>244</v>
      </c>
      <c r="I34" s="2" t="s">
        <v>1072</v>
      </c>
      <c r="J34" s="2" t="s">
        <v>1047</v>
      </c>
      <c r="K34" s="2">
        <v>5414</v>
      </c>
      <c r="L34" s="2">
        <v>5414</v>
      </c>
      <c r="M34" s="2">
        <v>216.56</v>
      </c>
      <c r="N34" s="2">
        <v>217</v>
      </c>
      <c r="O34" s="2">
        <f t="shared" si="0"/>
        <v>2000</v>
      </c>
    </row>
    <row r="35" spans="1:15" x14ac:dyDescent="0.3">
      <c r="A35" s="8">
        <v>33</v>
      </c>
      <c r="B35" s="14">
        <v>46054</v>
      </c>
      <c r="C35" s="2" t="s">
        <v>1295</v>
      </c>
      <c r="D35" s="2" t="s">
        <v>7</v>
      </c>
      <c r="E35" s="2" t="s">
        <v>935</v>
      </c>
      <c r="F35" s="2">
        <v>2</v>
      </c>
      <c r="G35" s="2" t="s">
        <v>1073</v>
      </c>
      <c r="H35" s="2" t="s">
        <v>252</v>
      </c>
      <c r="I35" s="2" t="s">
        <v>1072</v>
      </c>
      <c r="J35" s="2" t="s">
        <v>1047</v>
      </c>
      <c r="K35" s="2">
        <v>4264</v>
      </c>
      <c r="L35" s="2">
        <v>4264</v>
      </c>
      <c r="M35" s="2">
        <v>170.56</v>
      </c>
      <c r="N35" s="2">
        <v>171</v>
      </c>
      <c r="O35" s="2">
        <f t="shared" si="0"/>
        <v>2000</v>
      </c>
    </row>
    <row r="36" spans="1:15" x14ac:dyDescent="0.3">
      <c r="A36" s="8">
        <v>34</v>
      </c>
      <c r="B36" s="14">
        <v>46054</v>
      </c>
      <c r="C36" s="2" t="s">
        <v>1296</v>
      </c>
      <c r="D36" s="2" t="s">
        <v>7</v>
      </c>
      <c r="E36" s="2" t="s">
        <v>935</v>
      </c>
      <c r="F36" s="2">
        <v>2</v>
      </c>
      <c r="G36" s="2" t="s">
        <v>1074</v>
      </c>
      <c r="H36" s="2" t="s">
        <v>260</v>
      </c>
      <c r="I36" s="2" t="s">
        <v>1072</v>
      </c>
      <c r="J36" s="2" t="s">
        <v>1047</v>
      </c>
      <c r="K36" s="2">
        <v>6666</v>
      </c>
      <c r="L36" s="2">
        <v>6666</v>
      </c>
      <c r="M36" s="2">
        <v>266.64</v>
      </c>
      <c r="N36" s="2">
        <v>267</v>
      </c>
      <c r="O36" s="2">
        <f t="shared" si="0"/>
        <v>2000</v>
      </c>
    </row>
    <row r="37" spans="1:15" x14ac:dyDescent="0.3">
      <c r="A37" s="8">
        <v>35</v>
      </c>
      <c r="B37" s="14">
        <v>46054</v>
      </c>
      <c r="C37" s="2" t="s">
        <v>1297</v>
      </c>
      <c r="D37" s="2" t="s">
        <v>7</v>
      </c>
      <c r="E37" s="2" t="s">
        <v>935</v>
      </c>
      <c r="F37" s="2">
        <v>2</v>
      </c>
      <c r="G37" s="2" t="s">
        <v>1075</v>
      </c>
      <c r="H37" s="2" t="s">
        <v>268</v>
      </c>
      <c r="I37" s="2" t="s">
        <v>1072</v>
      </c>
      <c r="J37" s="2" t="s">
        <v>1047</v>
      </c>
      <c r="K37" s="2">
        <v>5050</v>
      </c>
      <c r="L37" s="2">
        <v>5050</v>
      </c>
      <c r="M37" s="2">
        <v>202</v>
      </c>
      <c r="N37" s="2">
        <v>202</v>
      </c>
      <c r="O37" s="2">
        <f t="shared" si="0"/>
        <v>2000</v>
      </c>
    </row>
    <row r="38" spans="1:15" x14ac:dyDescent="0.3">
      <c r="A38" s="8">
        <v>36</v>
      </c>
      <c r="B38" s="14">
        <v>46054</v>
      </c>
      <c r="C38" s="2" t="s">
        <v>1298</v>
      </c>
      <c r="D38" s="2" t="s">
        <v>7</v>
      </c>
      <c r="E38" s="2" t="s">
        <v>935</v>
      </c>
      <c r="F38" s="2">
        <v>1.5</v>
      </c>
      <c r="G38" s="2" t="s">
        <v>864</v>
      </c>
      <c r="H38" s="2" t="s">
        <v>276</v>
      </c>
      <c r="I38" s="2" t="s">
        <v>1076</v>
      </c>
      <c r="J38" s="2" t="s">
        <v>1047</v>
      </c>
      <c r="K38" s="2">
        <v>276</v>
      </c>
      <c r="L38" s="2">
        <v>276</v>
      </c>
      <c r="M38" s="2">
        <v>11.04</v>
      </c>
      <c r="N38" s="2">
        <v>11</v>
      </c>
      <c r="O38" s="2">
        <f t="shared" si="0"/>
        <v>1500</v>
      </c>
    </row>
    <row r="39" spans="1:15" x14ac:dyDescent="0.3">
      <c r="A39" s="8">
        <v>37</v>
      </c>
      <c r="B39" s="14">
        <v>46054</v>
      </c>
      <c r="C39" s="2" t="s">
        <v>1299</v>
      </c>
      <c r="D39" s="2" t="s">
        <v>7</v>
      </c>
      <c r="E39" s="2" t="s">
        <v>935</v>
      </c>
      <c r="F39" s="2">
        <v>1.5</v>
      </c>
      <c r="G39" s="2" t="s">
        <v>865</v>
      </c>
      <c r="H39" s="2" t="s">
        <v>284</v>
      </c>
      <c r="I39" s="2" t="s">
        <v>1077</v>
      </c>
      <c r="J39" s="2" t="s">
        <v>1047</v>
      </c>
      <c r="K39" s="2">
        <v>4188</v>
      </c>
      <c r="L39" s="2">
        <v>4188</v>
      </c>
      <c r="M39" s="2">
        <v>167.52</v>
      </c>
      <c r="N39" s="2">
        <v>168</v>
      </c>
      <c r="O39" s="2">
        <f t="shared" si="0"/>
        <v>1500</v>
      </c>
    </row>
    <row r="40" spans="1:15" x14ac:dyDescent="0.3">
      <c r="A40" s="8">
        <v>38</v>
      </c>
      <c r="B40" s="14">
        <v>46054</v>
      </c>
      <c r="C40" s="2" t="s">
        <v>1300</v>
      </c>
      <c r="D40" s="2" t="s">
        <v>7</v>
      </c>
      <c r="E40" s="2" t="s">
        <v>935</v>
      </c>
      <c r="F40" s="2">
        <v>2</v>
      </c>
      <c r="G40" s="2" t="s">
        <v>1078</v>
      </c>
      <c r="H40" s="2" t="s">
        <v>292</v>
      </c>
      <c r="I40" s="2" t="s">
        <v>1072</v>
      </c>
      <c r="J40" s="2" t="s">
        <v>1047</v>
      </c>
      <c r="K40" s="2">
        <v>1440</v>
      </c>
      <c r="L40" s="2">
        <v>1440</v>
      </c>
      <c r="M40" s="2">
        <v>57.6</v>
      </c>
      <c r="N40" s="2">
        <v>58</v>
      </c>
      <c r="O40" s="2">
        <f t="shared" si="0"/>
        <v>2000</v>
      </c>
    </row>
    <row r="41" spans="1:15" x14ac:dyDescent="0.3">
      <c r="A41" s="8">
        <v>39</v>
      </c>
      <c r="B41" s="14">
        <v>46054</v>
      </c>
      <c r="C41" s="2" t="s">
        <v>1301</v>
      </c>
      <c r="D41" s="2" t="s">
        <v>7</v>
      </c>
      <c r="E41" s="2" t="s">
        <v>935</v>
      </c>
      <c r="F41" s="2">
        <v>2</v>
      </c>
      <c r="G41" s="2" t="s">
        <v>866</v>
      </c>
      <c r="H41" s="2" t="s">
        <v>300</v>
      </c>
      <c r="I41" s="2" t="s">
        <v>1079</v>
      </c>
      <c r="J41" s="2" t="s">
        <v>1047</v>
      </c>
      <c r="K41" s="2">
        <v>600</v>
      </c>
      <c r="L41" s="2">
        <v>600</v>
      </c>
      <c r="M41" s="2">
        <v>24</v>
      </c>
      <c r="N41" s="2">
        <v>24</v>
      </c>
      <c r="O41" s="2">
        <f t="shared" si="0"/>
        <v>2000</v>
      </c>
    </row>
    <row r="42" spans="1:15" x14ac:dyDescent="0.3">
      <c r="A42" s="8">
        <v>40</v>
      </c>
      <c r="B42" s="14">
        <v>46054</v>
      </c>
      <c r="C42" s="2" t="s">
        <v>1302</v>
      </c>
      <c r="D42" s="2" t="s">
        <v>7</v>
      </c>
      <c r="E42" s="2" t="s">
        <v>935</v>
      </c>
      <c r="F42" s="2">
        <v>2</v>
      </c>
      <c r="G42" s="2" t="s">
        <v>1080</v>
      </c>
      <c r="H42" s="2" t="s">
        <v>308</v>
      </c>
      <c r="I42" s="2" t="s">
        <v>1081</v>
      </c>
      <c r="J42" s="2" t="s">
        <v>1047</v>
      </c>
      <c r="K42" s="2">
        <v>4990</v>
      </c>
      <c r="L42" s="2">
        <v>4990</v>
      </c>
      <c r="M42" s="2">
        <v>199.6</v>
      </c>
      <c r="N42" s="2">
        <v>200</v>
      </c>
      <c r="O42" s="2">
        <f t="shared" si="0"/>
        <v>2000</v>
      </c>
    </row>
    <row r="43" spans="1:15" x14ac:dyDescent="0.3">
      <c r="A43" s="8">
        <v>41</v>
      </c>
      <c r="B43" s="14">
        <v>46054</v>
      </c>
      <c r="C43" s="2" t="s">
        <v>1303</v>
      </c>
      <c r="D43" s="2" t="s">
        <v>7</v>
      </c>
      <c r="E43" s="2" t="s">
        <v>935</v>
      </c>
      <c r="F43" s="2">
        <v>1.5</v>
      </c>
      <c r="G43" s="2" t="s">
        <v>867</v>
      </c>
      <c r="H43" s="2" t="s">
        <v>316</v>
      </c>
      <c r="I43" s="2" t="s">
        <v>1077</v>
      </c>
      <c r="J43" s="2" t="s">
        <v>1047</v>
      </c>
      <c r="K43" s="2">
        <v>6303</v>
      </c>
      <c r="L43" s="2">
        <v>6303</v>
      </c>
      <c r="M43" s="2">
        <v>252.12</v>
      </c>
      <c r="N43" s="2">
        <v>252</v>
      </c>
      <c r="O43" s="2">
        <f t="shared" si="0"/>
        <v>1500</v>
      </c>
    </row>
    <row r="44" spans="1:15" x14ac:dyDescent="0.3">
      <c r="A44" s="8">
        <v>42</v>
      </c>
      <c r="B44" s="14">
        <v>46054</v>
      </c>
      <c r="C44" s="2" t="s">
        <v>1304</v>
      </c>
      <c r="D44" s="2" t="s">
        <v>7</v>
      </c>
      <c r="E44" s="2" t="s">
        <v>935</v>
      </c>
      <c r="F44" s="2">
        <v>2</v>
      </c>
      <c r="G44" s="2" t="s">
        <v>1082</v>
      </c>
      <c r="H44" s="2" t="s">
        <v>324</v>
      </c>
      <c r="I44" s="2" t="s">
        <v>1072</v>
      </c>
      <c r="J44" s="2" t="s">
        <v>1047</v>
      </c>
      <c r="K44" s="2">
        <v>5776</v>
      </c>
      <c r="L44" s="2">
        <v>5776</v>
      </c>
      <c r="M44" s="2">
        <v>231.04</v>
      </c>
      <c r="N44" s="2">
        <v>231</v>
      </c>
      <c r="O44" s="2">
        <f t="shared" si="0"/>
        <v>2000</v>
      </c>
    </row>
    <row r="45" spans="1:15" x14ac:dyDescent="0.3">
      <c r="A45" s="8">
        <v>43</v>
      </c>
      <c r="B45" s="14">
        <v>46054</v>
      </c>
      <c r="C45" s="2" t="s">
        <v>1305</v>
      </c>
      <c r="D45" s="2" t="s">
        <v>7</v>
      </c>
      <c r="E45" s="2" t="s">
        <v>935</v>
      </c>
      <c r="F45" s="2">
        <v>2</v>
      </c>
      <c r="G45" s="2" t="s">
        <v>1083</v>
      </c>
      <c r="H45" s="2" t="s">
        <v>332</v>
      </c>
      <c r="I45" s="2" t="s">
        <v>1072</v>
      </c>
      <c r="J45" s="2" t="s">
        <v>1047</v>
      </c>
      <c r="K45" s="2">
        <v>3810</v>
      </c>
      <c r="L45" s="2">
        <v>3810</v>
      </c>
      <c r="M45" s="2">
        <v>152.4</v>
      </c>
      <c r="N45" s="2">
        <v>152</v>
      </c>
      <c r="O45" s="2">
        <f t="shared" si="0"/>
        <v>2000</v>
      </c>
    </row>
    <row r="46" spans="1:15" x14ac:dyDescent="0.3">
      <c r="A46" s="8">
        <v>44</v>
      </c>
      <c r="B46" s="14">
        <v>46054</v>
      </c>
      <c r="C46" s="2" t="s">
        <v>1306</v>
      </c>
      <c r="D46" s="2" t="s">
        <v>7</v>
      </c>
      <c r="E46" s="2" t="s">
        <v>935</v>
      </c>
      <c r="F46" s="2">
        <v>2</v>
      </c>
      <c r="G46" s="2" t="s">
        <v>868</v>
      </c>
      <c r="H46" s="2" t="s">
        <v>340</v>
      </c>
      <c r="I46" s="2" t="s">
        <v>1081</v>
      </c>
      <c r="J46" s="2" t="s">
        <v>1047</v>
      </c>
      <c r="K46" s="2">
        <v>6212</v>
      </c>
      <c r="L46" s="2">
        <v>6212</v>
      </c>
      <c r="M46" s="2">
        <v>248.48</v>
      </c>
      <c r="N46" s="2">
        <v>248</v>
      </c>
      <c r="O46" s="2">
        <f t="shared" si="0"/>
        <v>2000</v>
      </c>
    </row>
    <row r="47" spans="1:15" x14ac:dyDescent="0.3">
      <c r="A47" s="8">
        <v>45</v>
      </c>
      <c r="B47" s="14">
        <v>46054</v>
      </c>
      <c r="C47" s="2" t="s">
        <v>1307</v>
      </c>
      <c r="D47" s="2" t="s">
        <v>7</v>
      </c>
      <c r="E47" s="2" t="s">
        <v>935</v>
      </c>
      <c r="F47" s="2">
        <v>2</v>
      </c>
      <c r="G47" s="2" t="s">
        <v>1084</v>
      </c>
      <c r="H47" s="2" t="s">
        <v>348</v>
      </c>
      <c r="I47" s="2" t="s">
        <v>1072</v>
      </c>
      <c r="J47" s="2" t="s">
        <v>1047</v>
      </c>
      <c r="K47" s="2">
        <v>4582</v>
      </c>
      <c r="L47" s="2">
        <v>4582</v>
      </c>
      <c r="M47" s="2">
        <v>183.28</v>
      </c>
      <c r="N47" s="2">
        <v>183</v>
      </c>
      <c r="O47" s="2">
        <f t="shared" si="0"/>
        <v>2000</v>
      </c>
    </row>
    <row r="48" spans="1:15" x14ac:dyDescent="0.3">
      <c r="A48" s="8">
        <v>46</v>
      </c>
      <c r="B48" s="14">
        <v>46054</v>
      </c>
      <c r="C48" s="2" t="s">
        <v>1308</v>
      </c>
      <c r="D48" s="2" t="s">
        <v>7</v>
      </c>
      <c r="E48" s="2" t="s">
        <v>935</v>
      </c>
      <c r="F48" s="2">
        <v>2</v>
      </c>
      <c r="G48" s="2" t="s">
        <v>863</v>
      </c>
      <c r="H48" s="2" t="s">
        <v>356</v>
      </c>
      <c r="I48" s="2" t="s">
        <v>1044</v>
      </c>
      <c r="J48" s="2" t="s">
        <v>1047</v>
      </c>
      <c r="K48" s="2">
        <v>5062</v>
      </c>
      <c r="L48" s="2">
        <v>5062</v>
      </c>
      <c r="M48" s="2">
        <v>202.48</v>
      </c>
      <c r="N48" s="2">
        <v>202</v>
      </c>
      <c r="O48" s="2">
        <f t="shared" si="0"/>
        <v>2000</v>
      </c>
    </row>
    <row r="49" spans="1:15" x14ac:dyDescent="0.3">
      <c r="A49" s="8">
        <v>47</v>
      </c>
      <c r="B49" s="14">
        <v>46054</v>
      </c>
      <c r="C49" s="2" t="s">
        <v>1309</v>
      </c>
      <c r="D49" s="2" t="s">
        <v>7</v>
      </c>
      <c r="E49" s="2" t="s">
        <v>935</v>
      </c>
      <c r="F49" s="2">
        <v>2</v>
      </c>
      <c r="G49" s="2" t="s">
        <v>869</v>
      </c>
      <c r="H49" s="2" t="s">
        <v>364</v>
      </c>
      <c r="I49" s="2" t="s">
        <v>1044</v>
      </c>
      <c r="J49" s="2" t="s">
        <v>1047</v>
      </c>
      <c r="K49" s="2">
        <v>5706</v>
      </c>
      <c r="L49" s="2">
        <v>5706</v>
      </c>
      <c r="M49" s="2">
        <v>228.24</v>
      </c>
      <c r="N49" s="2">
        <v>228</v>
      </c>
      <c r="O49" s="2">
        <f t="shared" si="0"/>
        <v>2000</v>
      </c>
    </row>
    <row r="50" spans="1:15" x14ac:dyDescent="0.3">
      <c r="A50" s="8">
        <v>48</v>
      </c>
      <c r="B50" s="14">
        <v>46054</v>
      </c>
      <c r="C50" s="2" t="s">
        <v>1310</v>
      </c>
      <c r="D50" s="2" t="s">
        <v>7</v>
      </c>
      <c r="E50" s="2" t="s">
        <v>935</v>
      </c>
      <c r="F50" s="2">
        <v>2</v>
      </c>
      <c r="G50" s="2" t="s">
        <v>870</v>
      </c>
      <c r="H50" s="2" t="s">
        <v>372</v>
      </c>
      <c r="I50" s="2" t="s">
        <v>1044</v>
      </c>
      <c r="J50" s="2" t="s">
        <v>1047</v>
      </c>
      <c r="K50" s="2">
        <v>5606</v>
      </c>
      <c r="L50" s="2">
        <v>5606</v>
      </c>
      <c r="M50" s="2">
        <v>224.24</v>
      </c>
      <c r="N50" s="2">
        <v>224</v>
      </c>
      <c r="O50" s="2">
        <f t="shared" si="0"/>
        <v>2000</v>
      </c>
    </row>
    <row r="51" spans="1:15" x14ac:dyDescent="0.3">
      <c r="A51" s="8">
        <v>49</v>
      </c>
      <c r="B51" s="14">
        <v>46054</v>
      </c>
      <c r="C51" s="2" t="s">
        <v>1311</v>
      </c>
      <c r="D51" s="2" t="s">
        <v>7</v>
      </c>
      <c r="E51" s="2" t="s">
        <v>935</v>
      </c>
      <c r="F51" s="2">
        <v>2</v>
      </c>
      <c r="G51" s="2" t="s">
        <v>871</v>
      </c>
      <c r="H51" s="2" t="s">
        <v>380</v>
      </c>
      <c r="I51" s="2" t="s">
        <v>1044</v>
      </c>
      <c r="J51" s="2" t="s">
        <v>1047</v>
      </c>
      <c r="K51" s="2">
        <v>5638</v>
      </c>
      <c r="L51" s="2">
        <v>5638</v>
      </c>
      <c r="M51" s="2">
        <v>225.52</v>
      </c>
      <c r="N51" s="2">
        <v>226</v>
      </c>
      <c r="O51" s="2">
        <f t="shared" si="0"/>
        <v>2000</v>
      </c>
    </row>
    <row r="52" spans="1:15" x14ac:dyDescent="0.3">
      <c r="A52" s="8">
        <v>50</v>
      </c>
      <c r="B52" s="14">
        <v>46054</v>
      </c>
      <c r="C52" s="2" t="s">
        <v>1268</v>
      </c>
      <c r="D52" s="2" t="s">
        <v>7</v>
      </c>
      <c r="E52" s="2" t="s">
        <v>935</v>
      </c>
      <c r="F52" s="2">
        <v>2</v>
      </c>
      <c r="G52" s="2" t="s">
        <v>1042</v>
      </c>
      <c r="H52" s="2" t="s">
        <v>388</v>
      </c>
      <c r="I52" s="2" t="s">
        <v>1044</v>
      </c>
      <c r="J52" s="2" t="s">
        <v>1047</v>
      </c>
      <c r="K52" s="2">
        <v>5374</v>
      </c>
      <c r="L52" s="2">
        <v>5374</v>
      </c>
      <c r="M52" s="2">
        <v>214.96</v>
      </c>
      <c r="N52" s="2">
        <v>215</v>
      </c>
      <c r="O52" s="2">
        <f t="shared" si="0"/>
        <v>2000</v>
      </c>
    </row>
    <row r="53" spans="1:15" x14ac:dyDescent="0.3">
      <c r="A53" s="8">
        <v>51</v>
      </c>
      <c r="B53" s="14">
        <v>46054</v>
      </c>
      <c r="C53" s="2" t="s">
        <v>1312</v>
      </c>
      <c r="D53" s="2" t="s">
        <v>7</v>
      </c>
      <c r="E53" s="2" t="s">
        <v>935</v>
      </c>
      <c r="F53" s="2">
        <v>1</v>
      </c>
      <c r="G53" s="2" t="s">
        <v>872</v>
      </c>
      <c r="H53" s="2" t="s">
        <v>396</v>
      </c>
      <c r="I53" s="2" t="s">
        <v>1085</v>
      </c>
      <c r="J53" s="2" t="s">
        <v>1047</v>
      </c>
      <c r="K53" s="2">
        <v>2865</v>
      </c>
      <c r="L53" s="2">
        <v>2865</v>
      </c>
      <c r="M53" s="2">
        <v>114.6</v>
      </c>
      <c r="N53" s="2">
        <v>115</v>
      </c>
      <c r="O53" s="2">
        <f t="shared" si="0"/>
        <v>1000</v>
      </c>
    </row>
    <row r="54" spans="1:15" x14ac:dyDescent="0.3">
      <c r="A54" s="8">
        <v>52</v>
      </c>
      <c r="B54" s="14">
        <v>46054</v>
      </c>
      <c r="C54" s="2" t="s">
        <v>1313</v>
      </c>
      <c r="D54" s="2" t="s">
        <v>7</v>
      </c>
      <c r="E54" s="2" t="s">
        <v>935</v>
      </c>
      <c r="F54" s="2">
        <v>2</v>
      </c>
      <c r="G54" s="2" t="s">
        <v>1086</v>
      </c>
      <c r="H54" s="2" t="s">
        <v>405</v>
      </c>
      <c r="I54" s="2" t="s">
        <v>1087</v>
      </c>
      <c r="J54" s="2" t="s">
        <v>1047</v>
      </c>
      <c r="K54" s="2">
        <v>7862</v>
      </c>
      <c r="L54" s="2">
        <v>7862</v>
      </c>
      <c r="M54" s="2">
        <v>314.48</v>
      </c>
      <c r="N54" s="2">
        <v>314</v>
      </c>
      <c r="O54" s="2">
        <f t="shared" si="0"/>
        <v>2000</v>
      </c>
    </row>
    <row r="55" spans="1:15" x14ac:dyDescent="0.3">
      <c r="A55" s="8">
        <v>53</v>
      </c>
      <c r="B55" s="14">
        <v>46054</v>
      </c>
      <c r="C55" s="2" t="s">
        <v>1314</v>
      </c>
      <c r="D55" s="2" t="s">
        <v>7</v>
      </c>
      <c r="E55" s="2" t="s">
        <v>935</v>
      </c>
      <c r="F55" s="2">
        <v>2</v>
      </c>
      <c r="G55" s="2" t="s">
        <v>1088</v>
      </c>
      <c r="H55" s="2" t="s">
        <v>413</v>
      </c>
      <c r="I55" s="2" t="s">
        <v>1044</v>
      </c>
      <c r="J55" s="2" t="s">
        <v>1047</v>
      </c>
      <c r="K55" s="2">
        <v>4730</v>
      </c>
      <c r="L55" s="2">
        <v>4730</v>
      </c>
      <c r="M55" s="2">
        <v>189.2</v>
      </c>
      <c r="N55" s="2">
        <v>189</v>
      </c>
      <c r="O55" s="2">
        <f t="shared" si="0"/>
        <v>2000</v>
      </c>
    </row>
    <row r="56" spans="1:15" x14ac:dyDescent="0.3">
      <c r="A56" s="8">
        <v>54</v>
      </c>
      <c r="B56" s="14">
        <v>46054</v>
      </c>
      <c r="C56" s="2" t="s">
        <v>1315</v>
      </c>
      <c r="D56" s="2" t="s">
        <v>7</v>
      </c>
      <c r="E56" s="2" t="s">
        <v>935</v>
      </c>
      <c r="F56" s="2">
        <v>1</v>
      </c>
      <c r="G56" s="2" t="s">
        <v>873</v>
      </c>
      <c r="H56" s="2" t="s">
        <v>421</v>
      </c>
      <c r="I56" s="2" t="s">
        <v>1089</v>
      </c>
      <c r="J56" s="2" t="s">
        <v>1047</v>
      </c>
      <c r="K56" s="2">
        <v>2999</v>
      </c>
      <c r="L56" s="2">
        <v>2999</v>
      </c>
      <c r="M56" s="2">
        <v>119.96</v>
      </c>
      <c r="N56" s="2">
        <v>120</v>
      </c>
      <c r="O56" s="2">
        <f t="shared" si="0"/>
        <v>1000</v>
      </c>
    </row>
    <row r="57" spans="1:15" x14ac:dyDescent="0.3">
      <c r="A57" s="8">
        <v>55</v>
      </c>
      <c r="B57" s="14">
        <v>46054</v>
      </c>
      <c r="C57" s="2" t="s">
        <v>1316</v>
      </c>
      <c r="D57" s="2" t="s">
        <v>7</v>
      </c>
      <c r="E57" s="2" t="s">
        <v>935</v>
      </c>
      <c r="F57" s="2">
        <v>1</v>
      </c>
      <c r="G57" s="2" t="s">
        <v>874</v>
      </c>
      <c r="H57" s="2" t="s">
        <v>431</v>
      </c>
      <c r="I57" s="2" t="s">
        <v>1090</v>
      </c>
      <c r="J57" s="2" t="s">
        <v>1047</v>
      </c>
      <c r="K57" s="2">
        <v>2167</v>
      </c>
      <c r="L57" s="2">
        <v>2167</v>
      </c>
      <c r="M57" s="2">
        <v>86.68</v>
      </c>
      <c r="N57" s="2">
        <v>87</v>
      </c>
      <c r="O57" s="2">
        <f t="shared" si="0"/>
        <v>1000</v>
      </c>
    </row>
    <row r="58" spans="1:15" x14ac:dyDescent="0.3">
      <c r="A58" s="8">
        <v>56</v>
      </c>
      <c r="B58" s="14">
        <v>46054</v>
      </c>
      <c r="C58" s="2" t="s">
        <v>1317</v>
      </c>
      <c r="D58" s="2" t="s">
        <v>7</v>
      </c>
      <c r="E58" s="2" t="s">
        <v>935</v>
      </c>
      <c r="F58" s="2">
        <v>1</v>
      </c>
      <c r="G58" s="2" t="s">
        <v>875</v>
      </c>
      <c r="H58" s="2" t="s">
        <v>440</v>
      </c>
      <c r="I58" s="2" t="s">
        <v>1090</v>
      </c>
      <c r="J58" s="2" t="s">
        <v>1047</v>
      </c>
      <c r="K58" s="2">
        <v>2320</v>
      </c>
      <c r="L58" s="2">
        <v>2320</v>
      </c>
      <c r="M58" s="2">
        <v>92.8</v>
      </c>
      <c r="N58" s="2">
        <v>93</v>
      </c>
      <c r="O58" s="2">
        <f t="shared" si="0"/>
        <v>1000</v>
      </c>
    </row>
    <row r="59" spans="1:15" x14ac:dyDescent="0.3">
      <c r="A59" s="8">
        <v>57</v>
      </c>
      <c r="B59" s="14">
        <v>46054</v>
      </c>
      <c r="C59" s="2" t="s">
        <v>1318</v>
      </c>
      <c r="D59" s="2" t="s">
        <v>7</v>
      </c>
      <c r="E59" s="2" t="s">
        <v>935</v>
      </c>
      <c r="F59" s="2">
        <v>1</v>
      </c>
      <c r="G59" s="2" t="s">
        <v>876</v>
      </c>
      <c r="H59" s="2" t="s">
        <v>449</v>
      </c>
      <c r="I59" s="2" t="s">
        <v>1091</v>
      </c>
      <c r="J59" s="2" t="s">
        <v>1047</v>
      </c>
      <c r="K59" s="2">
        <v>2550</v>
      </c>
      <c r="L59" s="2">
        <v>2550</v>
      </c>
      <c r="M59" s="2">
        <v>102</v>
      </c>
      <c r="N59" s="2">
        <v>102</v>
      </c>
      <c r="O59" s="2">
        <f t="shared" si="0"/>
        <v>1000</v>
      </c>
    </row>
    <row r="60" spans="1:15" x14ac:dyDescent="0.3">
      <c r="A60" s="8">
        <v>58</v>
      </c>
      <c r="B60" s="14">
        <v>46054</v>
      </c>
      <c r="C60" s="2" t="s">
        <v>1319</v>
      </c>
      <c r="D60" s="2" t="s">
        <v>7</v>
      </c>
      <c r="E60" s="2" t="s">
        <v>935</v>
      </c>
      <c r="F60" s="2">
        <v>1</v>
      </c>
      <c r="G60" s="2" t="s">
        <v>877</v>
      </c>
      <c r="H60" s="2" t="s">
        <v>459</v>
      </c>
      <c r="I60" s="2" t="s">
        <v>1091</v>
      </c>
      <c r="J60" s="2" t="s">
        <v>1047</v>
      </c>
      <c r="K60" s="2">
        <v>2854</v>
      </c>
      <c r="L60" s="2">
        <v>2854</v>
      </c>
      <c r="M60" s="2">
        <v>114.16</v>
      </c>
      <c r="N60" s="2">
        <v>114</v>
      </c>
      <c r="O60" s="2">
        <f t="shared" si="0"/>
        <v>1000</v>
      </c>
    </row>
    <row r="61" spans="1:15" x14ac:dyDescent="0.3">
      <c r="A61" s="8">
        <v>59</v>
      </c>
      <c r="B61" s="14">
        <v>46054</v>
      </c>
      <c r="C61" s="2" t="s">
        <v>1320</v>
      </c>
      <c r="D61" s="2" t="s">
        <v>7</v>
      </c>
      <c r="E61" s="2" t="s">
        <v>935</v>
      </c>
      <c r="F61" s="2">
        <v>1</v>
      </c>
      <c r="G61" s="2" t="s">
        <v>878</v>
      </c>
      <c r="H61" s="2" t="s">
        <v>469</v>
      </c>
      <c r="I61" s="2" t="s">
        <v>1091</v>
      </c>
      <c r="J61" s="2" t="s">
        <v>1047</v>
      </c>
      <c r="K61" s="2">
        <v>3111</v>
      </c>
      <c r="L61" s="2">
        <v>3111</v>
      </c>
      <c r="M61" s="2">
        <v>124.44</v>
      </c>
      <c r="N61" s="2">
        <v>124</v>
      </c>
      <c r="O61" s="2">
        <f t="shared" si="0"/>
        <v>1000</v>
      </c>
    </row>
    <row r="62" spans="1:15" x14ac:dyDescent="0.3">
      <c r="A62" s="8">
        <v>60</v>
      </c>
      <c r="B62" s="14">
        <v>46054</v>
      </c>
      <c r="C62" s="2" t="s">
        <v>1321</v>
      </c>
      <c r="D62" s="2" t="s">
        <v>7</v>
      </c>
      <c r="E62" s="2" t="s">
        <v>935</v>
      </c>
      <c r="F62" s="2">
        <v>2</v>
      </c>
      <c r="G62" s="2" t="s">
        <v>879</v>
      </c>
      <c r="H62" s="2" t="s">
        <v>479</v>
      </c>
      <c r="I62" s="2" t="s">
        <v>1092</v>
      </c>
      <c r="J62" s="2" t="s">
        <v>1047</v>
      </c>
      <c r="K62" s="2">
        <v>5772</v>
      </c>
      <c r="L62" s="2">
        <v>5772</v>
      </c>
      <c r="M62" s="2">
        <v>230.88</v>
      </c>
      <c r="N62" s="2">
        <v>231</v>
      </c>
      <c r="O62" s="2">
        <f t="shared" si="0"/>
        <v>2000</v>
      </c>
    </row>
    <row r="63" spans="1:15" x14ac:dyDescent="0.3">
      <c r="A63" s="8">
        <v>61</v>
      </c>
      <c r="B63" s="14">
        <v>46054</v>
      </c>
      <c r="C63" s="2" t="s">
        <v>1322</v>
      </c>
      <c r="D63" s="2" t="s">
        <v>7</v>
      </c>
      <c r="E63" s="2" t="s">
        <v>935</v>
      </c>
      <c r="F63" s="2">
        <v>1.5</v>
      </c>
      <c r="G63" s="2" t="s">
        <v>880</v>
      </c>
      <c r="H63" s="2" t="s">
        <v>487</v>
      </c>
      <c r="I63" s="2" t="s">
        <v>1093</v>
      </c>
      <c r="J63" s="2" t="s">
        <v>1047</v>
      </c>
      <c r="K63" s="2">
        <v>228</v>
      </c>
      <c r="L63" s="2">
        <v>228</v>
      </c>
      <c r="M63" s="2">
        <v>9.1199999999999992</v>
      </c>
      <c r="N63" s="2">
        <v>9</v>
      </c>
      <c r="O63" s="2">
        <f t="shared" si="0"/>
        <v>1500</v>
      </c>
    </row>
    <row r="64" spans="1:15" x14ac:dyDescent="0.3">
      <c r="A64" s="8">
        <v>62</v>
      </c>
      <c r="B64" s="14">
        <v>46054</v>
      </c>
      <c r="C64" s="2" t="s">
        <v>1323</v>
      </c>
      <c r="D64" s="2" t="s">
        <v>7</v>
      </c>
      <c r="E64" s="2" t="s">
        <v>935</v>
      </c>
      <c r="F64" s="2">
        <v>1.5</v>
      </c>
      <c r="G64" s="2" t="s">
        <v>881</v>
      </c>
      <c r="H64" s="2" t="s">
        <v>495</v>
      </c>
      <c r="I64" s="2" t="s">
        <v>1094</v>
      </c>
      <c r="J64" s="2" t="s">
        <v>1047</v>
      </c>
      <c r="K64" s="2">
        <v>601.5</v>
      </c>
      <c r="L64" s="2">
        <v>601.5</v>
      </c>
      <c r="M64" s="2">
        <v>24.06</v>
      </c>
      <c r="N64" s="2">
        <v>24</v>
      </c>
      <c r="O64" s="2">
        <f t="shared" si="0"/>
        <v>1500</v>
      </c>
    </row>
    <row r="65" spans="1:15" x14ac:dyDescent="0.3">
      <c r="A65" s="8">
        <v>63</v>
      </c>
      <c r="B65" s="14">
        <v>46054</v>
      </c>
      <c r="C65" s="2" t="s">
        <v>1324</v>
      </c>
      <c r="D65" s="2" t="s">
        <v>7</v>
      </c>
      <c r="E65" s="2" t="s">
        <v>935</v>
      </c>
      <c r="F65" s="2">
        <v>2</v>
      </c>
      <c r="G65" s="2" t="s">
        <v>882</v>
      </c>
      <c r="H65" s="2" t="s">
        <v>503</v>
      </c>
      <c r="I65" s="2" t="s">
        <v>1092</v>
      </c>
      <c r="J65" s="2" t="s">
        <v>1047</v>
      </c>
      <c r="K65" s="2">
        <v>5158</v>
      </c>
      <c r="L65" s="2">
        <v>5158</v>
      </c>
      <c r="M65" s="2">
        <v>206.32</v>
      </c>
      <c r="N65" s="2">
        <v>206</v>
      </c>
      <c r="O65" s="2">
        <f t="shared" si="0"/>
        <v>2000</v>
      </c>
    </row>
    <row r="66" spans="1:15" x14ac:dyDescent="0.3">
      <c r="A66" s="8">
        <v>64</v>
      </c>
      <c r="B66" s="14">
        <v>46054</v>
      </c>
      <c r="C66" s="2" t="s">
        <v>1325</v>
      </c>
      <c r="D66" s="2" t="s">
        <v>7</v>
      </c>
      <c r="E66" s="2" t="s">
        <v>935</v>
      </c>
      <c r="F66" s="2">
        <v>2</v>
      </c>
      <c r="G66" s="2" t="s">
        <v>883</v>
      </c>
      <c r="H66" s="2" t="s">
        <v>511</v>
      </c>
      <c r="I66" s="2" t="s">
        <v>1092</v>
      </c>
      <c r="J66" s="2" t="s">
        <v>1047</v>
      </c>
      <c r="K66" s="2">
        <v>6804</v>
      </c>
      <c r="L66" s="2">
        <v>6804</v>
      </c>
      <c r="M66" s="2">
        <v>272.16000000000003</v>
      </c>
      <c r="N66" s="2">
        <v>272</v>
      </c>
      <c r="O66" s="2">
        <f t="shared" si="0"/>
        <v>2000</v>
      </c>
    </row>
    <row r="67" spans="1:15" x14ac:dyDescent="0.3">
      <c r="A67" s="8">
        <v>65</v>
      </c>
      <c r="B67" s="14">
        <v>46054</v>
      </c>
      <c r="C67" s="2" t="s">
        <v>1326</v>
      </c>
      <c r="D67" s="2" t="s">
        <v>7</v>
      </c>
      <c r="E67" s="2" t="s">
        <v>935</v>
      </c>
      <c r="F67" s="2">
        <v>2</v>
      </c>
      <c r="G67" s="2" t="s">
        <v>884</v>
      </c>
      <c r="H67" s="2" t="s">
        <v>519</v>
      </c>
      <c r="I67" s="2" t="s">
        <v>1092</v>
      </c>
      <c r="J67" s="2" t="s">
        <v>1047</v>
      </c>
      <c r="K67" s="2">
        <v>4384</v>
      </c>
      <c r="L67" s="2">
        <v>4384</v>
      </c>
      <c r="M67" s="2">
        <v>175.36</v>
      </c>
      <c r="N67" s="2">
        <v>175</v>
      </c>
      <c r="O67" s="2">
        <f t="shared" ref="O67:O130" si="1">F67*1000</f>
        <v>2000</v>
      </c>
    </row>
    <row r="68" spans="1:15" x14ac:dyDescent="0.3">
      <c r="A68" s="8">
        <v>66</v>
      </c>
      <c r="B68" s="14">
        <v>46054</v>
      </c>
      <c r="C68" s="2" t="s">
        <v>1240</v>
      </c>
      <c r="D68" s="2" t="s">
        <v>7</v>
      </c>
      <c r="E68" s="2" t="s">
        <v>935</v>
      </c>
      <c r="F68" s="2">
        <v>0.5</v>
      </c>
      <c r="G68" s="2" t="s">
        <v>885</v>
      </c>
      <c r="H68" s="2" t="s">
        <v>527</v>
      </c>
      <c r="I68" s="2" t="s">
        <v>1095</v>
      </c>
      <c r="J68" s="2" t="s">
        <v>1047</v>
      </c>
      <c r="K68" s="2">
        <v>946</v>
      </c>
      <c r="L68" s="2">
        <v>946</v>
      </c>
      <c r="M68" s="2">
        <v>37.840000000000003</v>
      </c>
      <c r="N68" s="2">
        <v>38</v>
      </c>
      <c r="O68" s="2">
        <f t="shared" si="1"/>
        <v>500</v>
      </c>
    </row>
    <row r="69" spans="1:15" x14ac:dyDescent="0.3">
      <c r="A69" s="8">
        <v>67</v>
      </c>
      <c r="B69" s="14">
        <v>46054</v>
      </c>
      <c r="C69" s="2" t="s">
        <v>1239</v>
      </c>
      <c r="D69" s="2" t="s">
        <v>7</v>
      </c>
      <c r="E69" s="2" t="s">
        <v>935</v>
      </c>
      <c r="F69" s="2">
        <v>1</v>
      </c>
      <c r="G69" s="2" t="s">
        <v>886</v>
      </c>
      <c r="H69" s="2" t="s">
        <v>537</v>
      </c>
      <c r="I69" s="2" t="s">
        <v>1096</v>
      </c>
      <c r="J69" s="2" t="s">
        <v>1047</v>
      </c>
      <c r="K69" s="2">
        <v>1970</v>
      </c>
      <c r="L69" s="2">
        <v>1970</v>
      </c>
      <c r="M69" s="2">
        <v>78.8</v>
      </c>
      <c r="N69" s="2">
        <v>79</v>
      </c>
      <c r="O69" s="2">
        <f t="shared" si="1"/>
        <v>1000</v>
      </c>
    </row>
    <row r="70" spans="1:15" x14ac:dyDescent="0.3">
      <c r="A70" s="8">
        <v>68</v>
      </c>
      <c r="B70" s="14">
        <v>46054</v>
      </c>
      <c r="C70" s="2" t="s">
        <v>1241</v>
      </c>
      <c r="D70" s="2" t="s">
        <v>7</v>
      </c>
      <c r="E70" s="2" t="s">
        <v>935</v>
      </c>
      <c r="F70" s="2">
        <v>0.5</v>
      </c>
      <c r="G70" s="2" t="s">
        <v>887</v>
      </c>
      <c r="H70" s="2" t="s">
        <v>547</v>
      </c>
      <c r="I70" s="2" t="s">
        <v>1095</v>
      </c>
      <c r="J70" s="2" t="s">
        <v>1047</v>
      </c>
      <c r="K70" s="2">
        <v>843</v>
      </c>
      <c r="L70" s="2">
        <v>843</v>
      </c>
      <c r="M70" s="2">
        <v>33.72</v>
      </c>
      <c r="N70" s="2">
        <v>34</v>
      </c>
      <c r="O70" s="2">
        <f t="shared" si="1"/>
        <v>500</v>
      </c>
    </row>
    <row r="71" spans="1:15" x14ac:dyDescent="0.3">
      <c r="A71" s="8">
        <v>69</v>
      </c>
      <c r="B71" s="14">
        <v>46054</v>
      </c>
      <c r="C71" s="2" t="s">
        <v>1242</v>
      </c>
      <c r="D71" s="2" t="s">
        <v>7</v>
      </c>
      <c r="E71" s="2" t="s">
        <v>935</v>
      </c>
      <c r="F71" s="2">
        <v>0.5</v>
      </c>
      <c r="G71" s="2" t="s">
        <v>888</v>
      </c>
      <c r="H71" s="2" t="s">
        <v>557</v>
      </c>
      <c r="I71" s="2" t="s">
        <v>1095</v>
      </c>
      <c r="J71" s="2" t="s">
        <v>1047</v>
      </c>
      <c r="K71" s="2">
        <v>690</v>
      </c>
      <c r="L71" s="2">
        <v>690</v>
      </c>
      <c r="M71" s="2">
        <v>27.6</v>
      </c>
      <c r="N71" s="2">
        <v>28</v>
      </c>
      <c r="O71" s="2">
        <f t="shared" si="1"/>
        <v>500</v>
      </c>
    </row>
    <row r="72" spans="1:15" x14ac:dyDescent="0.3">
      <c r="A72" s="8">
        <v>70</v>
      </c>
      <c r="B72" s="14">
        <v>46054</v>
      </c>
      <c r="C72" s="2" t="s">
        <v>1243</v>
      </c>
      <c r="D72" s="2" t="s">
        <v>7</v>
      </c>
      <c r="E72" s="2" t="s">
        <v>935</v>
      </c>
      <c r="F72" s="2">
        <v>0.5</v>
      </c>
      <c r="G72" s="2" t="s">
        <v>889</v>
      </c>
      <c r="H72" s="2" t="s">
        <v>567</v>
      </c>
      <c r="I72" s="2" t="s">
        <v>1097</v>
      </c>
      <c r="J72" s="2" t="s">
        <v>1047</v>
      </c>
      <c r="K72" s="2">
        <v>375.5</v>
      </c>
      <c r="L72" s="2">
        <v>375.5</v>
      </c>
      <c r="M72" s="2">
        <v>15.02</v>
      </c>
      <c r="N72" s="2">
        <v>15</v>
      </c>
      <c r="O72" s="2">
        <f t="shared" si="1"/>
        <v>500</v>
      </c>
    </row>
    <row r="73" spans="1:15" x14ac:dyDescent="0.3">
      <c r="A73" s="8">
        <v>71</v>
      </c>
      <c r="B73" s="14">
        <v>46054</v>
      </c>
      <c r="C73" s="2" t="s">
        <v>1327</v>
      </c>
      <c r="D73" s="2" t="s">
        <v>7</v>
      </c>
      <c r="E73" s="2" t="s">
        <v>935</v>
      </c>
      <c r="F73" s="2">
        <v>0.5</v>
      </c>
      <c r="G73" s="2" t="s">
        <v>890</v>
      </c>
      <c r="H73" s="2" t="s">
        <v>577</v>
      </c>
      <c r="I73" s="2" t="s">
        <v>1098</v>
      </c>
      <c r="J73" s="2" t="s">
        <v>1047</v>
      </c>
      <c r="K73" s="2">
        <v>584</v>
      </c>
      <c r="L73" s="2">
        <v>584</v>
      </c>
      <c r="M73" s="2">
        <v>23.36</v>
      </c>
      <c r="N73" s="2">
        <v>23</v>
      </c>
      <c r="O73" s="2">
        <f t="shared" si="1"/>
        <v>500</v>
      </c>
    </row>
    <row r="74" spans="1:15" x14ac:dyDescent="0.3">
      <c r="A74" s="8">
        <v>72</v>
      </c>
      <c r="B74" s="14">
        <v>46054</v>
      </c>
      <c r="C74" s="2" t="s">
        <v>1245</v>
      </c>
      <c r="D74" s="2" t="s">
        <v>7</v>
      </c>
      <c r="E74" s="2" t="s">
        <v>935</v>
      </c>
      <c r="F74" s="2">
        <v>0.5</v>
      </c>
      <c r="G74" s="2" t="s">
        <v>1099</v>
      </c>
      <c r="H74" s="2" t="s">
        <v>587</v>
      </c>
      <c r="I74" s="2" t="s">
        <v>1097</v>
      </c>
      <c r="J74" s="2" t="s">
        <v>1047</v>
      </c>
      <c r="K74" s="2">
        <v>72.5</v>
      </c>
      <c r="L74" s="2">
        <v>72.5</v>
      </c>
      <c r="M74" s="2">
        <v>2.9</v>
      </c>
      <c r="N74" s="2">
        <v>3</v>
      </c>
      <c r="O74" s="2">
        <f t="shared" si="1"/>
        <v>500</v>
      </c>
    </row>
    <row r="75" spans="1:15" x14ac:dyDescent="0.3">
      <c r="A75" s="8">
        <v>73</v>
      </c>
      <c r="B75" s="14">
        <v>46054</v>
      </c>
      <c r="C75" s="2" t="s">
        <v>1328</v>
      </c>
      <c r="D75" s="2" t="s">
        <v>7</v>
      </c>
      <c r="E75" s="2" t="s">
        <v>935</v>
      </c>
      <c r="F75" s="2">
        <v>0.5</v>
      </c>
      <c r="G75" s="2" t="s">
        <v>1100</v>
      </c>
      <c r="H75" s="2" t="s">
        <v>597</v>
      </c>
      <c r="I75" s="2" t="s">
        <v>1098</v>
      </c>
      <c r="J75" s="2" t="s">
        <v>1047</v>
      </c>
      <c r="K75" s="2">
        <v>773.5</v>
      </c>
      <c r="L75" s="2">
        <v>773.5</v>
      </c>
      <c r="M75" s="2">
        <v>30.94</v>
      </c>
      <c r="N75" s="2">
        <v>31</v>
      </c>
      <c r="O75" s="2">
        <f t="shared" si="1"/>
        <v>500</v>
      </c>
    </row>
    <row r="76" spans="1:15" x14ac:dyDescent="0.3">
      <c r="A76" s="8">
        <v>74</v>
      </c>
      <c r="B76" s="14">
        <v>46054</v>
      </c>
      <c r="C76" s="2" t="s">
        <v>1329</v>
      </c>
      <c r="D76" s="2" t="s">
        <v>7</v>
      </c>
      <c r="E76" s="2" t="s">
        <v>935</v>
      </c>
      <c r="F76" s="2">
        <v>0.5</v>
      </c>
      <c r="G76" s="2" t="s">
        <v>1101</v>
      </c>
      <c r="H76" s="2" t="s">
        <v>607</v>
      </c>
      <c r="I76" s="2" t="s">
        <v>1102</v>
      </c>
      <c r="J76" s="2" t="s">
        <v>1047</v>
      </c>
      <c r="K76" s="2">
        <v>1585.5</v>
      </c>
      <c r="L76" s="2">
        <v>1585.5</v>
      </c>
      <c r="M76" s="2">
        <v>63.42</v>
      </c>
      <c r="N76" s="2">
        <v>63</v>
      </c>
      <c r="O76" s="2">
        <f t="shared" si="1"/>
        <v>500</v>
      </c>
    </row>
    <row r="77" spans="1:15" x14ac:dyDescent="0.3">
      <c r="A77" s="8">
        <v>75</v>
      </c>
      <c r="B77" s="14">
        <v>46054</v>
      </c>
      <c r="C77" s="2" t="s">
        <v>1330</v>
      </c>
      <c r="D77" s="2" t="s">
        <v>7</v>
      </c>
      <c r="E77" s="2" t="s">
        <v>935</v>
      </c>
      <c r="F77" s="2">
        <v>0.5</v>
      </c>
      <c r="G77" s="2" t="s">
        <v>906</v>
      </c>
      <c r="H77" s="2" t="s">
        <v>617</v>
      </c>
      <c r="I77" s="2" t="s">
        <v>1102</v>
      </c>
      <c r="J77" s="2" t="s">
        <v>1047</v>
      </c>
      <c r="K77" s="2">
        <v>1475</v>
      </c>
      <c r="L77" s="2">
        <v>1475</v>
      </c>
      <c r="M77" s="2">
        <v>59</v>
      </c>
      <c r="N77" s="2">
        <v>59</v>
      </c>
      <c r="O77" s="2">
        <f t="shared" si="1"/>
        <v>500</v>
      </c>
    </row>
    <row r="78" spans="1:15" x14ac:dyDescent="0.3">
      <c r="A78" s="8">
        <v>76</v>
      </c>
      <c r="B78" s="14">
        <v>46054</v>
      </c>
      <c r="C78" s="2" t="s">
        <v>1331</v>
      </c>
      <c r="D78" s="2" t="s">
        <v>7</v>
      </c>
      <c r="E78" s="2" t="s">
        <v>935</v>
      </c>
      <c r="F78" s="2">
        <v>1</v>
      </c>
      <c r="G78" s="2" t="s">
        <v>907</v>
      </c>
      <c r="H78" s="2" t="s">
        <v>627</v>
      </c>
      <c r="I78" s="2" t="s">
        <v>1103</v>
      </c>
      <c r="J78" s="2" t="s">
        <v>1047</v>
      </c>
      <c r="K78" s="2">
        <v>2449</v>
      </c>
      <c r="L78" s="2">
        <v>2449</v>
      </c>
      <c r="M78" s="2">
        <v>97.96</v>
      </c>
      <c r="N78" s="2">
        <v>98</v>
      </c>
      <c r="O78" s="2">
        <f t="shared" si="1"/>
        <v>1000</v>
      </c>
    </row>
    <row r="79" spans="1:15" x14ac:dyDescent="0.3">
      <c r="A79" s="8">
        <v>77</v>
      </c>
      <c r="B79" s="14">
        <v>46054</v>
      </c>
      <c r="C79" s="2" t="s">
        <v>1332</v>
      </c>
      <c r="D79" s="2" t="s">
        <v>7</v>
      </c>
      <c r="E79" s="2" t="s">
        <v>935</v>
      </c>
      <c r="F79" s="2">
        <v>1</v>
      </c>
      <c r="G79" s="2" t="s">
        <v>908</v>
      </c>
      <c r="H79" s="2" t="s">
        <v>637</v>
      </c>
      <c r="I79" s="2" t="s">
        <v>1103</v>
      </c>
      <c r="J79" s="2" t="s">
        <v>1047</v>
      </c>
      <c r="K79" s="2">
        <v>2014</v>
      </c>
      <c r="L79" s="2">
        <v>2014</v>
      </c>
      <c r="M79" s="2">
        <v>80.56</v>
      </c>
      <c r="N79" s="2">
        <v>81</v>
      </c>
      <c r="O79" s="2">
        <f t="shared" si="1"/>
        <v>1000</v>
      </c>
    </row>
    <row r="80" spans="1:15" x14ac:dyDescent="0.3">
      <c r="A80" s="8">
        <v>78</v>
      </c>
      <c r="B80" s="14">
        <v>46054</v>
      </c>
      <c r="C80" s="2" t="s">
        <v>1333</v>
      </c>
      <c r="D80" s="2" t="s">
        <v>7</v>
      </c>
      <c r="E80" s="2" t="s">
        <v>935</v>
      </c>
      <c r="F80" s="2">
        <v>2</v>
      </c>
      <c r="G80" s="2" t="s">
        <v>909</v>
      </c>
      <c r="H80" s="2" t="s">
        <v>647</v>
      </c>
      <c r="I80" s="2" t="s">
        <v>1104</v>
      </c>
      <c r="J80" s="2" t="s">
        <v>1047</v>
      </c>
      <c r="K80" s="2">
        <v>6074</v>
      </c>
      <c r="L80" s="2">
        <v>6074</v>
      </c>
      <c r="M80" s="2">
        <v>242.96</v>
      </c>
      <c r="N80" s="2">
        <v>243</v>
      </c>
      <c r="O80" s="2">
        <f t="shared" si="1"/>
        <v>2000</v>
      </c>
    </row>
    <row r="81" spans="1:15" x14ac:dyDescent="0.3">
      <c r="A81" s="8">
        <v>79</v>
      </c>
      <c r="B81" s="14">
        <v>46054</v>
      </c>
      <c r="C81" s="2" t="s">
        <v>1334</v>
      </c>
      <c r="D81" s="2" t="s">
        <v>7</v>
      </c>
      <c r="E81" s="2" t="s">
        <v>935</v>
      </c>
      <c r="F81" s="2">
        <v>1</v>
      </c>
      <c r="G81" s="2" t="s">
        <v>910</v>
      </c>
      <c r="H81" s="2" t="s">
        <v>655</v>
      </c>
      <c r="I81" s="2" t="s">
        <v>1103</v>
      </c>
      <c r="J81" s="2" t="s">
        <v>1047</v>
      </c>
      <c r="K81" s="2">
        <v>2898</v>
      </c>
      <c r="L81" s="2">
        <v>2898</v>
      </c>
      <c r="M81" s="2">
        <v>115.92</v>
      </c>
      <c r="N81" s="2">
        <v>116</v>
      </c>
      <c r="O81" s="2">
        <f t="shared" si="1"/>
        <v>1000</v>
      </c>
    </row>
    <row r="82" spans="1:15" x14ac:dyDescent="0.3">
      <c r="A82" s="8">
        <v>80</v>
      </c>
      <c r="B82" s="14">
        <v>46054</v>
      </c>
      <c r="C82" s="2" t="s">
        <v>1335</v>
      </c>
      <c r="D82" s="2" t="s">
        <v>7</v>
      </c>
      <c r="E82" s="2" t="s">
        <v>935</v>
      </c>
      <c r="F82" s="2">
        <v>1</v>
      </c>
      <c r="G82" s="2" t="s">
        <v>911</v>
      </c>
      <c r="H82" s="2" t="s">
        <v>665</v>
      </c>
      <c r="I82" s="2" t="s">
        <v>1103</v>
      </c>
      <c r="J82" s="2" t="s">
        <v>1047</v>
      </c>
      <c r="K82" s="2">
        <v>2364</v>
      </c>
      <c r="L82" s="2">
        <v>2364</v>
      </c>
      <c r="M82" s="2">
        <v>94.56</v>
      </c>
      <c r="N82" s="2">
        <v>95</v>
      </c>
      <c r="O82" s="2">
        <f t="shared" si="1"/>
        <v>1000</v>
      </c>
    </row>
    <row r="83" spans="1:15" x14ac:dyDescent="0.3">
      <c r="A83" s="8">
        <v>81</v>
      </c>
      <c r="B83" s="14">
        <v>46054</v>
      </c>
      <c r="C83" s="2" t="s">
        <v>1336</v>
      </c>
      <c r="D83" s="2" t="s">
        <v>7</v>
      </c>
      <c r="E83" s="2" t="s">
        <v>935</v>
      </c>
      <c r="F83" s="2">
        <v>2</v>
      </c>
      <c r="G83" s="2" t="s">
        <v>912</v>
      </c>
      <c r="H83" s="2" t="s">
        <v>675</v>
      </c>
      <c r="I83" s="2" t="s">
        <v>1105</v>
      </c>
      <c r="J83" s="2" t="s">
        <v>1047</v>
      </c>
      <c r="K83" s="2">
        <v>426</v>
      </c>
      <c r="L83" s="2">
        <v>426</v>
      </c>
      <c r="M83" s="2">
        <v>17.04</v>
      </c>
      <c r="N83" s="2">
        <v>17</v>
      </c>
      <c r="O83" s="2">
        <f t="shared" si="1"/>
        <v>2000</v>
      </c>
    </row>
    <row r="84" spans="1:15" x14ac:dyDescent="0.3">
      <c r="A84" s="8">
        <v>82</v>
      </c>
      <c r="B84" s="14">
        <v>46054</v>
      </c>
      <c r="C84" s="2" t="s">
        <v>1337</v>
      </c>
      <c r="D84" s="2" t="s">
        <v>7</v>
      </c>
      <c r="E84" s="2" t="s">
        <v>935</v>
      </c>
      <c r="F84" s="2">
        <v>2</v>
      </c>
      <c r="G84" s="2" t="s">
        <v>913</v>
      </c>
      <c r="H84" s="2" t="s">
        <v>683</v>
      </c>
      <c r="I84" s="2" t="s">
        <v>1106</v>
      </c>
      <c r="J84" s="2" t="s">
        <v>1047</v>
      </c>
      <c r="K84" s="2">
        <v>5632</v>
      </c>
      <c r="L84" s="2">
        <v>5632</v>
      </c>
      <c r="M84" s="2">
        <v>225.28</v>
      </c>
      <c r="N84" s="2">
        <v>225</v>
      </c>
      <c r="O84" s="2">
        <f t="shared" si="1"/>
        <v>2000</v>
      </c>
    </row>
    <row r="85" spans="1:15" x14ac:dyDescent="0.3">
      <c r="A85" s="8">
        <v>83</v>
      </c>
      <c r="B85" s="14">
        <v>46054</v>
      </c>
      <c r="C85" s="2" t="s">
        <v>1338</v>
      </c>
      <c r="D85" s="2" t="s">
        <v>7</v>
      </c>
      <c r="E85" s="2" t="s">
        <v>935</v>
      </c>
      <c r="F85" s="2">
        <v>2</v>
      </c>
      <c r="G85" s="2" t="s">
        <v>914</v>
      </c>
      <c r="H85" s="2" t="s">
        <v>691</v>
      </c>
      <c r="I85" s="2" t="s">
        <v>1106</v>
      </c>
      <c r="J85" s="2" t="s">
        <v>1047</v>
      </c>
      <c r="K85" s="2">
        <v>5868</v>
      </c>
      <c r="L85" s="2">
        <v>5868</v>
      </c>
      <c r="M85" s="2">
        <v>234.72</v>
      </c>
      <c r="N85" s="2">
        <v>235</v>
      </c>
      <c r="O85" s="2">
        <f t="shared" si="1"/>
        <v>2000</v>
      </c>
    </row>
    <row r="86" spans="1:15" x14ac:dyDescent="0.3">
      <c r="A86" s="8">
        <v>84</v>
      </c>
      <c r="B86" s="14">
        <v>46054</v>
      </c>
      <c r="C86" s="2" t="s">
        <v>1339</v>
      </c>
      <c r="D86" s="2" t="s">
        <v>7</v>
      </c>
      <c r="E86" s="2" t="s">
        <v>935</v>
      </c>
      <c r="F86" s="2">
        <v>1.5</v>
      </c>
      <c r="G86" s="2" t="s">
        <v>915</v>
      </c>
      <c r="H86" s="2" t="s">
        <v>699</v>
      </c>
      <c r="I86" s="2" t="s">
        <v>1107</v>
      </c>
      <c r="J86" s="2" t="s">
        <v>1047</v>
      </c>
      <c r="K86" s="2">
        <v>4308</v>
      </c>
      <c r="L86" s="2">
        <v>4308</v>
      </c>
      <c r="M86" s="2">
        <v>172.32</v>
      </c>
      <c r="N86" s="2">
        <v>172</v>
      </c>
      <c r="O86" s="2">
        <f t="shared" si="1"/>
        <v>1500</v>
      </c>
    </row>
    <row r="87" spans="1:15" x14ac:dyDescent="0.3">
      <c r="A87" s="8">
        <v>85</v>
      </c>
      <c r="B87" s="14">
        <v>46054</v>
      </c>
      <c r="C87" s="2" t="s">
        <v>1173</v>
      </c>
      <c r="D87" s="2" t="s">
        <v>7</v>
      </c>
      <c r="E87" s="2" t="s">
        <v>935</v>
      </c>
      <c r="F87" s="2">
        <v>1</v>
      </c>
      <c r="G87" s="2" t="s">
        <v>916</v>
      </c>
      <c r="H87" s="2" t="s">
        <v>707</v>
      </c>
      <c r="I87" s="2" t="s">
        <v>1108</v>
      </c>
      <c r="J87" s="2" t="s">
        <v>1047</v>
      </c>
      <c r="K87" s="2">
        <v>61</v>
      </c>
      <c r="L87" s="2">
        <v>61</v>
      </c>
      <c r="M87" s="2">
        <v>2.44</v>
      </c>
      <c r="N87" s="2">
        <v>2</v>
      </c>
      <c r="O87" s="2">
        <f t="shared" si="1"/>
        <v>1000</v>
      </c>
    </row>
    <row r="88" spans="1:15" x14ac:dyDescent="0.3">
      <c r="A88" s="8">
        <v>86</v>
      </c>
      <c r="B88" s="14">
        <v>46054</v>
      </c>
      <c r="C88" s="2" t="s">
        <v>1340</v>
      </c>
      <c r="D88" s="2" t="s">
        <v>7</v>
      </c>
      <c r="E88" s="2" t="s">
        <v>935</v>
      </c>
      <c r="F88" s="2">
        <v>2</v>
      </c>
      <c r="G88" s="2" t="s">
        <v>917</v>
      </c>
      <c r="H88" s="2" t="s">
        <v>716</v>
      </c>
      <c r="I88" s="2" t="s">
        <v>1106</v>
      </c>
      <c r="J88" s="2" t="s">
        <v>1047</v>
      </c>
      <c r="K88" s="2">
        <v>5806</v>
      </c>
      <c r="L88" s="2">
        <v>5806</v>
      </c>
      <c r="M88" s="2">
        <v>232.24</v>
      </c>
      <c r="N88" s="2">
        <v>232</v>
      </c>
      <c r="O88" s="2">
        <f t="shared" si="1"/>
        <v>2000</v>
      </c>
    </row>
    <row r="89" spans="1:15" x14ac:dyDescent="0.3">
      <c r="A89" s="8">
        <v>87</v>
      </c>
      <c r="B89" s="14">
        <v>46054</v>
      </c>
      <c r="C89" s="2" t="s">
        <v>1341</v>
      </c>
      <c r="D89" s="2" t="s">
        <v>7</v>
      </c>
      <c r="E89" s="2" t="s">
        <v>935</v>
      </c>
      <c r="F89" s="2">
        <v>1.5</v>
      </c>
      <c r="G89" s="2" t="s">
        <v>918</v>
      </c>
      <c r="H89" s="2" t="s">
        <v>724</v>
      </c>
      <c r="I89" s="2" t="s">
        <v>1107</v>
      </c>
      <c r="J89" s="2" t="s">
        <v>1047</v>
      </c>
      <c r="K89" s="2">
        <v>4545</v>
      </c>
      <c r="L89" s="2">
        <v>4545</v>
      </c>
      <c r="M89" s="2">
        <v>181.8</v>
      </c>
      <c r="N89" s="2">
        <v>182</v>
      </c>
      <c r="O89" s="2">
        <f t="shared" si="1"/>
        <v>1500</v>
      </c>
    </row>
    <row r="90" spans="1:15" x14ac:dyDescent="0.3">
      <c r="A90" s="8">
        <v>88</v>
      </c>
      <c r="B90" s="14">
        <v>46054</v>
      </c>
      <c r="C90" s="2" t="s">
        <v>1342</v>
      </c>
      <c r="D90" s="2" t="s">
        <v>7</v>
      </c>
      <c r="E90" s="2" t="s">
        <v>935</v>
      </c>
      <c r="F90" s="2">
        <v>2</v>
      </c>
      <c r="G90" s="2" t="s">
        <v>919</v>
      </c>
      <c r="H90" s="2" t="s">
        <v>732</v>
      </c>
      <c r="I90" s="2" t="s">
        <v>1106</v>
      </c>
      <c r="J90" s="2" t="s">
        <v>1047</v>
      </c>
      <c r="K90" s="2">
        <v>5728</v>
      </c>
      <c r="L90" s="2">
        <v>5728</v>
      </c>
      <c r="M90" s="2">
        <v>229.12</v>
      </c>
      <c r="N90" s="2">
        <v>229</v>
      </c>
      <c r="O90" s="2">
        <f t="shared" si="1"/>
        <v>2000</v>
      </c>
    </row>
    <row r="91" spans="1:15" x14ac:dyDescent="0.3">
      <c r="A91" s="8">
        <v>89</v>
      </c>
      <c r="B91" s="14">
        <v>46054</v>
      </c>
      <c r="C91" s="2" t="s">
        <v>1343</v>
      </c>
      <c r="D91" s="2" t="s">
        <v>7</v>
      </c>
      <c r="E91" s="2" t="s">
        <v>935</v>
      </c>
      <c r="F91" s="2">
        <v>1.5</v>
      </c>
      <c r="G91" s="2" t="s">
        <v>920</v>
      </c>
      <c r="H91" s="2" t="s">
        <v>740</v>
      </c>
      <c r="I91" s="2" t="s">
        <v>1107</v>
      </c>
      <c r="J91" s="2" t="s">
        <v>1047</v>
      </c>
      <c r="K91" s="2">
        <v>168</v>
      </c>
      <c r="L91" s="2">
        <v>168</v>
      </c>
      <c r="M91" s="2">
        <v>6.72</v>
      </c>
      <c r="N91" s="2">
        <v>7</v>
      </c>
      <c r="O91" s="2">
        <f t="shared" si="1"/>
        <v>1500</v>
      </c>
    </row>
    <row r="92" spans="1:15" x14ac:dyDescent="0.3">
      <c r="A92" s="8">
        <v>90</v>
      </c>
      <c r="B92" s="14">
        <v>46054</v>
      </c>
      <c r="C92" s="2" t="s">
        <v>1344</v>
      </c>
      <c r="D92" s="2" t="s">
        <v>7</v>
      </c>
      <c r="E92" s="2" t="s">
        <v>935</v>
      </c>
      <c r="F92" s="2">
        <v>2</v>
      </c>
      <c r="G92" s="2" t="s">
        <v>921</v>
      </c>
      <c r="H92" s="2" t="s">
        <v>748</v>
      </c>
      <c r="I92" s="2" t="s">
        <v>1106</v>
      </c>
      <c r="J92" s="2" t="s">
        <v>1047</v>
      </c>
      <c r="K92" s="2">
        <v>5650</v>
      </c>
      <c r="L92" s="2">
        <v>5650</v>
      </c>
      <c r="M92" s="2">
        <v>226</v>
      </c>
      <c r="N92" s="2">
        <v>226</v>
      </c>
      <c r="O92" s="2">
        <f t="shared" si="1"/>
        <v>2000</v>
      </c>
    </row>
    <row r="93" spans="1:15" x14ac:dyDescent="0.3">
      <c r="A93" s="8">
        <v>91</v>
      </c>
      <c r="B93" s="14">
        <v>46054</v>
      </c>
      <c r="C93" s="2" t="s">
        <v>1345</v>
      </c>
      <c r="D93" s="2" t="s">
        <v>7</v>
      </c>
      <c r="E93" s="2" t="s">
        <v>935</v>
      </c>
      <c r="F93" s="2">
        <v>2</v>
      </c>
      <c r="G93" s="2" t="s">
        <v>922</v>
      </c>
      <c r="H93" s="2" t="s">
        <v>756</v>
      </c>
      <c r="I93" s="2" t="s">
        <v>1106</v>
      </c>
      <c r="J93" s="2" t="s">
        <v>1047</v>
      </c>
      <c r="K93" s="2">
        <v>5686</v>
      </c>
      <c r="L93" s="2">
        <v>5686</v>
      </c>
      <c r="M93" s="2">
        <v>227.44</v>
      </c>
      <c r="N93" s="2">
        <v>227</v>
      </c>
      <c r="O93" s="2">
        <f t="shared" si="1"/>
        <v>2000</v>
      </c>
    </row>
    <row r="94" spans="1:15" x14ac:dyDescent="0.3">
      <c r="A94" s="8">
        <v>92</v>
      </c>
      <c r="B94" s="14">
        <v>46054</v>
      </c>
      <c r="C94" s="2" t="s">
        <v>1174</v>
      </c>
      <c r="D94" s="2" t="s">
        <v>7</v>
      </c>
      <c r="E94" s="2" t="s">
        <v>935</v>
      </c>
      <c r="F94" s="2">
        <v>1</v>
      </c>
      <c r="G94" s="2" t="s">
        <v>923</v>
      </c>
      <c r="H94" s="2" t="s">
        <v>764</v>
      </c>
      <c r="I94" s="2" t="s">
        <v>1108</v>
      </c>
      <c r="J94" s="2" t="s">
        <v>1047</v>
      </c>
      <c r="K94" s="2">
        <v>171</v>
      </c>
      <c r="L94" s="2">
        <v>171</v>
      </c>
      <c r="M94" s="2">
        <v>6.84</v>
      </c>
      <c r="N94" s="2">
        <v>7</v>
      </c>
      <c r="O94" s="2">
        <f t="shared" si="1"/>
        <v>1000</v>
      </c>
    </row>
    <row r="95" spans="1:15" x14ac:dyDescent="0.3">
      <c r="A95" s="8">
        <v>93</v>
      </c>
      <c r="B95" s="14">
        <v>46054</v>
      </c>
      <c r="C95" s="2" t="s">
        <v>1346</v>
      </c>
      <c r="D95" s="2" t="s">
        <v>7</v>
      </c>
      <c r="E95" s="2" t="s">
        <v>935</v>
      </c>
      <c r="F95" s="2">
        <v>2</v>
      </c>
      <c r="G95" s="2" t="s">
        <v>924</v>
      </c>
      <c r="H95" s="2" t="s">
        <v>773</v>
      </c>
      <c r="I95" s="2" t="s">
        <v>1106</v>
      </c>
      <c r="J95" s="2" t="s">
        <v>1047</v>
      </c>
      <c r="K95" s="2">
        <v>6398</v>
      </c>
      <c r="L95" s="2">
        <v>6398</v>
      </c>
      <c r="M95" s="2">
        <v>255.92</v>
      </c>
      <c r="N95" s="2">
        <v>256</v>
      </c>
      <c r="O95" s="2">
        <f t="shared" si="1"/>
        <v>2000</v>
      </c>
    </row>
    <row r="96" spans="1:15" x14ac:dyDescent="0.3">
      <c r="A96" s="8">
        <v>94</v>
      </c>
      <c r="B96" s="14">
        <v>46054</v>
      </c>
      <c r="C96" s="2" t="s">
        <v>1267</v>
      </c>
      <c r="D96" s="2" t="s">
        <v>7</v>
      </c>
      <c r="E96" s="2" t="s">
        <v>935</v>
      </c>
      <c r="F96" s="2">
        <v>1.5</v>
      </c>
      <c r="G96" s="2" t="s">
        <v>925</v>
      </c>
      <c r="H96" s="2" t="s">
        <v>781</v>
      </c>
      <c r="I96" s="2" t="s">
        <v>1107</v>
      </c>
      <c r="J96" s="2" t="s">
        <v>1047</v>
      </c>
      <c r="K96" s="2">
        <v>4249.5</v>
      </c>
      <c r="L96" s="2">
        <v>4249.5</v>
      </c>
      <c r="M96" s="2">
        <v>169.98</v>
      </c>
      <c r="N96" s="2">
        <v>170</v>
      </c>
      <c r="O96" s="2">
        <f t="shared" si="1"/>
        <v>1500</v>
      </c>
    </row>
    <row r="97" spans="1:15" x14ac:dyDescent="0.3">
      <c r="A97" s="8">
        <v>95</v>
      </c>
      <c r="B97" s="14">
        <v>46054</v>
      </c>
      <c r="C97" s="2" t="s">
        <v>1347</v>
      </c>
      <c r="D97" s="2" t="s">
        <v>7</v>
      </c>
      <c r="E97" s="2" t="s">
        <v>935</v>
      </c>
      <c r="F97" s="2">
        <v>2</v>
      </c>
      <c r="G97" s="2" t="s">
        <v>926</v>
      </c>
      <c r="H97" s="2" t="s">
        <v>789</v>
      </c>
      <c r="I97" s="2" t="s">
        <v>1106</v>
      </c>
      <c r="J97" s="2" t="s">
        <v>1047</v>
      </c>
      <c r="K97" s="2">
        <v>6030</v>
      </c>
      <c r="L97" s="2">
        <v>6030</v>
      </c>
      <c r="M97" s="2">
        <v>241.2</v>
      </c>
      <c r="N97" s="2">
        <v>241</v>
      </c>
      <c r="O97" s="2">
        <f t="shared" si="1"/>
        <v>2000</v>
      </c>
    </row>
    <row r="98" spans="1:15" x14ac:dyDescent="0.3">
      <c r="A98" s="8">
        <v>96</v>
      </c>
      <c r="B98" s="14">
        <v>46054</v>
      </c>
      <c r="C98" s="2" t="s">
        <v>1175</v>
      </c>
      <c r="D98" s="2" t="s">
        <v>7</v>
      </c>
      <c r="E98" s="2" t="s">
        <v>935</v>
      </c>
      <c r="F98" s="2">
        <v>1</v>
      </c>
      <c r="G98" s="2" t="s">
        <v>927</v>
      </c>
      <c r="H98" s="2" t="s">
        <v>797</v>
      </c>
      <c r="I98" s="2" t="s">
        <v>1108</v>
      </c>
      <c r="J98" s="2" t="s">
        <v>1047</v>
      </c>
      <c r="K98" s="2">
        <v>241</v>
      </c>
      <c r="L98" s="2">
        <v>241</v>
      </c>
      <c r="M98" s="2">
        <v>9.64</v>
      </c>
      <c r="N98" s="2">
        <v>10</v>
      </c>
      <c r="O98" s="2">
        <f t="shared" si="1"/>
        <v>1000</v>
      </c>
    </row>
    <row r="99" spans="1:15" x14ac:dyDescent="0.3">
      <c r="A99" s="8">
        <v>97</v>
      </c>
      <c r="B99" s="14">
        <v>46054</v>
      </c>
      <c r="C99" s="2" t="s">
        <v>1348</v>
      </c>
      <c r="D99" s="2" t="s">
        <v>7</v>
      </c>
      <c r="E99" s="2" t="s">
        <v>935</v>
      </c>
      <c r="F99" s="2">
        <v>2</v>
      </c>
      <c r="G99" s="2" t="s">
        <v>928</v>
      </c>
      <c r="H99" s="2" t="s">
        <v>806</v>
      </c>
      <c r="I99" s="2" t="s">
        <v>1104</v>
      </c>
      <c r="J99" s="2" t="s">
        <v>1047</v>
      </c>
      <c r="K99" s="2">
        <v>1684</v>
      </c>
      <c r="L99" s="2">
        <v>1684</v>
      </c>
      <c r="M99" s="2">
        <v>67.36</v>
      </c>
      <c r="N99" s="2">
        <v>67</v>
      </c>
      <c r="O99" s="2">
        <f t="shared" si="1"/>
        <v>2000</v>
      </c>
    </row>
    <row r="100" spans="1:15" x14ac:dyDescent="0.3">
      <c r="A100" s="8">
        <v>98</v>
      </c>
      <c r="B100" s="14">
        <v>46054</v>
      </c>
      <c r="C100" s="2" t="s">
        <v>1349</v>
      </c>
      <c r="D100" s="2" t="s">
        <v>7</v>
      </c>
      <c r="E100" s="2" t="s">
        <v>935</v>
      </c>
      <c r="F100" s="2">
        <v>2</v>
      </c>
      <c r="G100" s="2" t="s">
        <v>929</v>
      </c>
      <c r="H100" s="2" t="s">
        <v>814</v>
      </c>
      <c r="I100" s="2" t="s">
        <v>1104</v>
      </c>
      <c r="J100" s="2" t="s">
        <v>1047</v>
      </c>
      <c r="K100" s="2">
        <v>1688</v>
      </c>
      <c r="L100" s="2">
        <v>1688</v>
      </c>
      <c r="M100" s="2">
        <v>67.52</v>
      </c>
      <c r="N100" s="2">
        <v>68</v>
      </c>
      <c r="O100" s="2">
        <f t="shared" si="1"/>
        <v>2000</v>
      </c>
    </row>
    <row r="101" spans="1:15" x14ac:dyDescent="0.3">
      <c r="A101" s="8">
        <v>99</v>
      </c>
      <c r="B101" s="14">
        <v>46054</v>
      </c>
      <c r="C101" s="2" t="s">
        <v>1350</v>
      </c>
      <c r="D101" s="2" t="s">
        <v>7</v>
      </c>
      <c r="E101" s="2" t="s">
        <v>935</v>
      </c>
      <c r="F101" s="2">
        <v>1.5</v>
      </c>
      <c r="G101" s="2" t="s">
        <v>930</v>
      </c>
      <c r="H101" s="2" t="s">
        <v>822</v>
      </c>
      <c r="I101" s="2" t="s">
        <v>1107</v>
      </c>
      <c r="J101" s="2" t="s">
        <v>1047</v>
      </c>
      <c r="K101" s="2">
        <v>138</v>
      </c>
      <c r="L101" s="2">
        <v>138</v>
      </c>
      <c r="M101" s="2">
        <v>5.52</v>
      </c>
      <c r="N101" s="2">
        <v>6</v>
      </c>
      <c r="O101" s="2">
        <f t="shared" si="1"/>
        <v>1500</v>
      </c>
    </row>
    <row r="102" spans="1:15" x14ac:dyDescent="0.3">
      <c r="A102" s="8">
        <v>100</v>
      </c>
      <c r="B102" s="14">
        <v>46054</v>
      </c>
      <c r="C102" s="2" t="s">
        <v>1351</v>
      </c>
      <c r="D102" s="2" t="s">
        <v>7</v>
      </c>
      <c r="E102" s="2" t="s">
        <v>935</v>
      </c>
      <c r="F102" s="2">
        <v>2</v>
      </c>
      <c r="G102" s="2" t="s">
        <v>931</v>
      </c>
      <c r="H102" s="2" t="s">
        <v>830</v>
      </c>
      <c r="I102" s="2" t="s">
        <v>1106</v>
      </c>
      <c r="J102" s="2" t="s">
        <v>1047</v>
      </c>
      <c r="K102" s="2">
        <v>2806</v>
      </c>
      <c r="L102" s="2">
        <v>2806</v>
      </c>
      <c r="M102" s="2">
        <v>112.24</v>
      </c>
      <c r="N102" s="2">
        <v>112</v>
      </c>
      <c r="O102" s="2">
        <f t="shared" si="1"/>
        <v>2000</v>
      </c>
    </row>
    <row r="103" spans="1:15" x14ac:dyDescent="0.3">
      <c r="A103" s="8">
        <v>101</v>
      </c>
      <c r="B103" s="14">
        <v>46054</v>
      </c>
      <c r="C103" s="2" t="s">
        <v>1176</v>
      </c>
      <c r="D103" s="2" t="s">
        <v>7</v>
      </c>
      <c r="E103" s="2" t="s">
        <v>935</v>
      </c>
      <c r="F103" s="2">
        <v>1</v>
      </c>
      <c r="G103" s="2" t="s">
        <v>932</v>
      </c>
      <c r="H103" s="2" t="s">
        <v>838</v>
      </c>
      <c r="I103" s="2" t="s">
        <v>1109</v>
      </c>
      <c r="J103" s="2" t="s">
        <v>1047</v>
      </c>
      <c r="K103" s="2">
        <v>3070</v>
      </c>
      <c r="L103" s="2">
        <v>3070</v>
      </c>
      <c r="M103" s="2">
        <v>122.8</v>
      </c>
      <c r="N103" s="2">
        <v>123</v>
      </c>
      <c r="O103" s="2">
        <f t="shared" si="1"/>
        <v>1000</v>
      </c>
    </row>
    <row r="104" spans="1:15" x14ac:dyDescent="0.3">
      <c r="A104" s="8">
        <v>102</v>
      </c>
      <c r="B104" s="14">
        <v>46054</v>
      </c>
      <c r="C104" s="2" t="s">
        <v>1177</v>
      </c>
      <c r="D104" s="2" t="s">
        <v>7</v>
      </c>
      <c r="E104" s="2" t="s">
        <v>935</v>
      </c>
      <c r="F104" s="2">
        <v>1</v>
      </c>
      <c r="G104" s="2" t="s">
        <v>933</v>
      </c>
      <c r="H104" s="2" t="s">
        <v>847</v>
      </c>
      <c r="I104" s="2" t="s">
        <v>1109</v>
      </c>
      <c r="J104" s="2" t="s">
        <v>1047</v>
      </c>
      <c r="K104" s="2">
        <v>3270</v>
      </c>
      <c r="L104" s="2">
        <v>3270</v>
      </c>
      <c r="M104" s="2">
        <v>130.80000000000001</v>
      </c>
      <c r="N104" s="2">
        <v>131</v>
      </c>
      <c r="O104" s="2">
        <f t="shared" si="1"/>
        <v>1000</v>
      </c>
    </row>
    <row r="105" spans="1:15" x14ac:dyDescent="0.3">
      <c r="A105" s="8">
        <v>103</v>
      </c>
      <c r="B105" s="14">
        <v>46082</v>
      </c>
      <c r="C105" s="2" t="s">
        <v>1269</v>
      </c>
      <c r="D105" s="2" t="s">
        <v>5</v>
      </c>
      <c r="E105" s="2" t="s">
        <v>935</v>
      </c>
      <c r="F105" s="2">
        <v>2</v>
      </c>
      <c r="G105" s="2" t="s">
        <v>1045</v>
      </c>
      <c r="H105" s="2" t="s">
        <v>9</v>
      </c>
      <c r="I105" s="2" t="s">
        <v>1046</v>
      </c>
      <c r="J105" s="2" t="s">
        <v>1110</v>
      </c>
      <c r="K105" s="2">
        <v>3900</v>
      </c>
      <c r="L105" s="2">
        <v>3900</v>
      </c>
      <c r="M105" s="2">
        <v>78</v>
      </c>
      <c r="N105" s="2">
        <v>78</v>
      </c>
      <c r="O105" s="2">
        <f t="shared" si="1"/>
        <v>2000</v>
      </c>
    </row>
    <row r="106" spans="1:15" x14ac:dyDescent="0.3">
      <c r="A106" s="8">
        <v>104</v>
      </c>
      <c r="B106" s="14">
        <v>46082</v>
      </c>
      <c r="C106" s="2" t="s">
        <v>1282</v>
      </c>
      <c r="D106" s="2" t="s">
        <v>5</v>
      </c>
      <c r="E106" s="2" t="s">
        <v>935</v>
      </c>
      <c r="F106" s="2">
        <v>2</v>
      </c>
      <c r="G106" s="2" t="s">
        <v>1048</v>
      </c>
      <c r="H106" s="2" t="s">
        <v>946</v>
      </c>
      <c r="I106" s="2" t="s">
        <v>1049</v>
      </c>
      <c r="J106" s="2" t="s">
        <v>1110</v>
      </c>
      <c r="K106" s="2">
        <v>1068</v>
      </c>
      <c r="L106" s="2">
        <v>1068</v>
      </c>
      <c r="M106" s="2">
        <v>21.36</v>
      </c>
      <c r="N106" s="2">
        <v>21</v>
      </c>
      <c r="O106" s="2">
        <f t="shared" si="1"/>
        <v>2000</v>
      </c>
    </row>
    <row r="107" spans="1:15" x14ac:dyDescent="0.3">
      <c r="A107" s="8">
        <v>105</v>
      </c>
      <c r="B107" s="14">
        <v>46082</v>
      </c>
      <c r="C107" s="2" t="s">
        <v>1270</v>
      </c>
      <c r="D107" s="2" t="s">
        <v>5</v>
      </c>
      <c r="E107" s="2" t="s">
        <v>935</v>
      </c>
      <c r="F107" s="2">
        <v>2</v>
      </c>
      <c r="G107" s="2" t="s">
        <v>1050</v>
      </c>
      <c r="H107" s="2" t="s">
        <v>21</v>
      </c>
      <c r="I107" s="2" t="s">
        <v>1046</v>
      </c>
      <c r="J107" s="2" t="s">
        <v>1110</v>
      </c>
      <c r="K107" s="2">
        <v>7670</v>
      </c>
      <c r="L107" s="2">
        <v>7670</v>
      </c>
      <c r="M107" s="2">
        <v>153.4</v>
      </c>
      <c r="N107" s="2">
        <v>153</v>
      </c>
      <c r="O107" s="2">
        <f t="shared" si="1"/>
        <v>2000</v>
      </c>
    </row>
    <row r="108" spans="1:15" x14ac:dyDescent="0.3">
      <c r="A108" s="8">
        <v>106</v>
      </c>
      <c r="B108" s="14">
        <v>46082</v>
      </c>
      <c r="C108" s="2" t="s">
        <v>1283</v>
      </c>
      <c r="D108" s="2" t="s">
        <v>5</v>
      </c>
      <c r="E108" s="2" t="s">
        <v>935</v>
      </c>
      <c r="F108" s="2">
        <v>2</v>
      </c>
      <c r="G108" s="2" t="s">
        <v>1051</v>
      </c>
      <c r="H108" s="2" t="s">
        <v>29</v>
      </c>
      <c r="I108" s="2" t="s">
        <v>1052</v>
      </c>
      <c r="J108" s="2" t="s">
        <v>1110</v>
      </c>
      <c r="K108" s="2">
        <v>4238</v>
      </c>
      <c r="L108" s="2">
        <v>4238</v>
      </c>
      <c r="M108" s="2">
        <v>84.76</v>
      </c>
      <c r="N108" s="2">
        <v>85</v>
      </c>
      <c r="O108" s="2">
        <f t="shared" si="1"/>
        <v>2000</v>
      </c>
    </row>
    <row r="109" spans="1:15" x14ac:dyDescent="0.3">
      <c r="A109" s="8">
        <v>107</v>
      </c>
      <c r="B109" s="14">
        <v>46082</v>
      </c>
      <c r="C109" s="2" t="s">
        <v>1284</v>
      </c>
      <c r="D109" s="2" t="s">
        <v>5</v>
      </c>
      <c r="E109" s="2" t="s">
        <v>935</v>
      </c>
      <c r="F109" s="2">
        <v>2</v>
      </c>
      <c r="G109" s="2" t="s">
        <v>1053</v>
      </c>
      <c r="H109" s="2" t="s">
        <v>947</v>
      </c>
      <c r="I109" s="2" t="s">
        <v>1049</v>
      </c>
      <c r="J109" s="2" t="s">
        <v>1110</v>
      </c>
      <c r="K109" s="2">
        <v>1960</v>
      </c>
      <c r="L109" s="2">
        <v>1960</v>
      </c>
      <c r="M109" s="2">
        <v>39.200000000000003</v>
      </c>
      <c r="N109" s="2">
        <v>39</v>
      </c>
      <c r="O109" s="2">
        <f t="shared" si="1"/>
        <v>2000</v>
      </c>
    </row>
    <row r="110" spans="1:15" x14ac:dyDescent="0.3">
      <c r="A110" s="8">
        <v>108</v>
      </c>
      <c r="B110" s="14">
        <v>46082</v>
      </c>
      <c r="C110" s="2" t="s">
        <v>1271</v>
      </c>
      <c r="D110" s="2" t="s">
        <v>5</v>
      </c>
      <c r="E110" s="2" t="s">
        <v>935</v>
      </c>
      <c r="F110" s="2">
        <v>1.5</v>
      </c>
      <c r="G110" s="2" t="s">
        <v>1054</v>
      </c>
      <c r="H110" s="2" t="s">
        <v>38</v>
      </c>
      <c r="I110" s="2" t="s">
        <v>1055</v>
      </c>
      <c r="J110" s="2" t="s">
        <v>1110</v>
      </c>
      <c r="K110" s="2">
        <v>7296</v>
      </c>
      <c r="L110" s="2">
        <v>7296</v>
      </c>
      <c r="M110" s="2">
        <v>145.91999999999999</v>
      </c>
      <c r="N110" s="2">
        <v>146</v>
      </c>
      <c r="O110" s="2">
        <f t="shared" si="1"/>
        <v>1500</v>
      </c>
    </row>
    <row r="111" spans="1:15" x14ac:dyDescent="0.3">
      <c r="A111" s="8">
        <v>109</v>
      </c>
      <c r="B111" s="14">
        <v>46082</v>
      </c>
      <c r="C111" s="2" t="s">
        <v>1272</v>
      </c>
      <c r="D111" s="2" t="s">
        <v>5</v>
      </c>
      <c r="E111" s="2" t="s">
        <v>935</v>
      </c>
      <c r="F111" s="2">
        <v>1.5</v>
      </c>
      <c r="G111" s="2" t="s">
        <v>1056</v>
      </c>
      <c r="H111" s="2" t="s">
        <v>46</v>
      </c>
      <c r="I111" s="2" t="s">
        <v>1055</v>
      </c>
      <c r="J111" s="2" t="s">
        <v>1110</v>
      </c>
      <c r="K111" s="2">
        <v>6912</v>
      </c>
      <c r="L111" s="2">
        <v>6912</v>
      </c>
      <c r="M111" s="2">
        <v>138.24</v>
      </c>
      <c r="N111" s="2">
        <v>138</v>
      </c>
      <c r="O111" s="2">
        <f t="shared" si="1"/>
        <v>1500</v>
      </c>
    </row>
    <row r="112" spans="1:15" x14ac:dyDescent="0.3">
      <c r="A112" s="8">
        <v>110</v>
      </c>
      <c r="B112" s="14">
        <v>46082</v>
      </c>
      <c r="C112" s="2" t="s">
        <v>1273</v>
      </c>
      <c r="D112" s="2" t="s">
        <v>5</v>
      </c>
      <c r="E112" s="2" t="s">
        <v>935</v>
      </c>
      <c r="F112" s="2">
        <v>2</v>
      </c>
      <c r="G112" s="2" t="s">
        <v>1057</v>
      </c>
      <c r="H112" s="2" t="s">
        <v>54</v>
      </c>
      <c r="I112" s="2" t="s">
        <v>1058</v>
      </c>
      <c r="J112" s="2" t="s">
        <v>1110</v>
      </c>
      <c r="K112" s="2">
        <v>6518</v>
      </c>
      <c r="L112" s="2">
        <v>6518</v>
      </c>
      <c r="M112" s="2">
        <v>130.36000000000001</v>
      </c>
      <c r="N112" s="2">
        <v>130</v>
      </c>
      <c r="O112" s="2">
        <f t="shared" si="1"/>
        <v>2000</v>
      </c>
    </row>
    <row r="113" spans="1:15" x14ac:dyDescent="0.3">
      <c r="A113" s="8">
        <v>111</v>
      </c>
      <c r="B113" s="14">
        <v>46082</v>
      </c>
      <c r="C113" s="2" t="s">
        <v>1274</v>
      </c>
      <c r="D113" s="2" t="s">
        <v>5</v>
      </c>
      <c r="E113" s="2" t="s">
        <v>935</v>
      </c>
      <c r="F113" s="2">
        <v>2</v>
      </c>
      <c r="G113" s="2" t="s">
        <v>1059</v>
      </c>
      <c r="H113" s="2" t="s">
        <v>62</v>
      </c>
      <c r="I113" s="2" t="s">
        <v>1060</v>
      </c>
      <c r="J113" s="2" t="s">
        <v>1110</v>
      </c>
      <c r="K113" s="2">
        <v>4776</v>
      </c>
      <c r="L113" s="2">
        <v>4776</v>
      </c>
      <c r="M113" s="2">
        <v>95.52</v>
      </c>
      <c r="N113" s="2">
        <v>96</v>
      </c>
      <c r="O113" s="2">
        <f t="shared" si="1"/>
        <v>2000</v>
      </c>
    </row>
    <row r="114" spans="1:15" x14ac:dyDescent="0.3">
      <c r="A114" s="8">
        <v>112</v>
      </c>
      <c r="B114" s="14">
        <v>46082</v>
      </c>
      <c r="C114" s="2" t="s">
        <v>1285</v>
      </c>
      <c r="D114" s="2" t="s">
        <v>5</v>
      </c>
      <c r="E114" s="2" t="s">
        <v>935</v>
      </c>
      <c r="F114" s="2">
        <v>2</v>
      </c>
      <c r="G114" s="2" t="s">
        <v>860</v>
      </c>
      <c r="H114" s="2" t="s">
        <v>70</v>
      </c>
      <c r="I114" s="2" t="s">
        <v>1049</v>
      </c>
      <c r="J114" s="2" t="s">
        <v>1110</v>
      </c>
      <c r="K114" s="2">
        <v>618</v>
      </c>
      <c r="L114" s="2">
        <v>618</v>
      </c>
      <c r="M114" s="2">
        <v>12.36</v>
      </c>
      <c r="N114" s="2">
        <v>12</v>
      </c>
      <c r="O114" s="2">
        <f t="shared" si="1"/>
        <v>2000</v>
      </c>
    </row>
    <row r="115" spans="1:15" x14ac:dyDescent="0.3">
      <c r="A115" s="8">
        <v>113</v>
      </c>
      <c r="B115" s="14">
        <v>46082</v>
      </c>
      <c r="C115" s="2" t="s">
        <v>1286</v>
      </c>
      <c r="D115" s="2" t="s">
        <v>5</v>
      </c>
      <c r="E115" s="2" t="s">
        <v>935</v>
      </c>
      <c r="F115" s="2">
        <v>2</v>
      </c>
      <c r="G115" s="2" t="s">
        <v>861</v>
      </c>
      <c r="H115" s="2" t="s">
        <v>78</v>
      </c>
      <c r="I115" s="2" t="s">
        <v>1052</v>
      </c>
      <c r="J115" s="2" t="s">
        <v>1110</v>
      </c>
      <c r="K115" s="2">
        <v>8616</v>
      </c>
      <c r="L115" s="2">
        <v>8616</v>
      </c>
      <c r="M115" s="2">
        <v>172.32</v>
      </c>
      <c r="N115" s="2">
        <v>172</v>
      </c>
      <c r="O115" s="2">
        <f t="shared" si="1"/>
        <v>2000</v>
      </c>
    </row>
    <row r="116" spans="1:15" x14ac:dyDescent="0.3">
      <c r="A116" s="8">
        <v>114</v>
      </c>
      <c r="B116" s="14">
        <v>46082</v>
      </c>
      <c r="C116" s="2" t="s">
        <v>1287</v>
      </c>
      <c r="D116" s="2" t="s">
        <v>5</v>
      </c>
      <c r="E116" s="2" t="s">
        <v>935</v>
      </c>
      <c r="F116" s="2">
        <v>2</v>
      </c>
      <c r="G116" s="2" t="s">
        <v>862</v>
      </c>
      <c r="H116" s="2" t="s">
        <v>86</v>
      </c>
      <c r="I116" s="2" t="s">
        <v>1052</v>
      </c>
      <c r="J116" s="2" t="s">
        <v>1110</v>
      </c>
      <c r="K116" s="2">
        <v>7722</v>
      </c>
      <c r="L116" s="2">
        <v>7722</v>
      </c>
      <c r="M116" s="2">
        <v>154.44</v>
      </c>
      <c r="N116" s="2">
        <v>154</v>
      </c>
      <c r="O116" s="2">
        <f t="shared" si="1"/>
        <v>2000</v>
      </c>
    </row>
    <row r="117" spans="1:15" x14ac:dyDescent="0.3">
      <c r="A117" s="8">
        <v>115</v>
      </c>
      <c r="B117" s="14">
        <v>46082</v>
      </c>
      <c r="C117" s="2" t="s">
        <v>1288</v>
      </c>
      <c r="D117" s="2" t="s">
        <v>5</v>
      </c>
      <c r="E117" s="2" t="s">
        <v>935</v>
      </c>
      <c r="F117" s="2">
        <v>1.5</v>
      </c>
      <c r="G117" s="2" t="s">
        <v>1061</v>
      </c>
      <c r="H117" s="2" t="s">
        <v>94</v>
      </c>
      <c r="I117" s="2" t="s">
        <v>1062</v>
      </c>
      <c r="J117" s="2" t="s">
        <v>1110</v>
      </c>
      <c r="K117" s="2">
        <v>4177.5</v>
      </c>
      <c r="L117" s="2">
        <v>4177.5</v>
      </c>
      <c r="M117" s="2">
        <v>83.55</v>
      </c>
      <c r="N117" s="2">
        <v>84</v>
      </c>
      <c r="O117" s="2">
        <f t="shared" si="1"/>
        <v>1500</v>
      </c>
    </row>
    <row r="118" spans="1:15" x14ac:dyDescent="0.3">
      <c r="A118" s="8">
        <v>116</v>
      </c>
      <c r="B118" s="14">
        <v>46082</v>
      </c>
      <c r="C118" s="2" t="s">
        <v>1289</v>
      </c>
      <c r="D118" s="2" t="s">
        <v>5</v>
      </c>
      <c r="E118" s="2" t="s">
        <v>935</v>
      </c>
      <c r="F118" s="2">
        <v>1.5</v>
      </c>
      <c r="G118" s="2" t="s">
        <v>1063</v>
      </c>
      <c r="H118" s="2" t="s">
        <v>102</v>
      </c>
      <c r="I118" s="2" t="s">
        <v>1062</v>
      </c>
      <c r="J118" s="2" t="s">
        <v>1110</v>
      </c>
      <c r="K118" s="2">
        <v>3631.5</v>
      </c>
      <c r="L118" s="2">
        <v>3631.5</v>
      </c>
      <c r="M118" s="2">
        <v>72.63</v>
      </c>
      <c r="N118" s="2">
        <v>73</v>
      </c>
      <c r="O118" s="2">
        <f t="shared" si="1"/>
        <v>1500</v>
      </c>
    </row>
    <row r="119" spans="1:15" x14ac:dyDescent="0.3">
      <c r="A119" s="8">
        <v>117</v>
      </c>
      <c r="B119" s="14">
        <v>46082</v>
      </c>
      <c r="C119" s="2" t="s">
        <v>1290</v>
      </c>
      <c r="D119" s="2" t="s">
        <v>5</v>
      </c>
      <c r="E119" s="2" t="s">
        <v>935</v>
      </c>
      <c r="F119" s="2">
        <v>1.5</v>
      </c>
      <c r="G119" s="2" t="s">
        <v>1064</v>
      </c>
      <c r="H119" s="2" t="s">
        <v>110</v>
      </c>
      <c r="I119" s="2" t="s">
        <v>1062</v>
      </c>
      <c r="J119" s="2" t="s">
        <v>1110</v>
      </c>
      <c r="K119" s="2">
        <v>5646</v>
      </c>
      <c r="L119" s="2">
        <v>5646</v>
      </c>
      <c r="M119" s="2">
        <v>112.92</v>
      </c>
      <c r="N119" s="2">
        <v>113</v>
      </c>
      <c r="O119" s="2">
        <f t="shared" si="1"/>
        <v>1500</v>
      </c>
    </row>
    <row r="120" spans="1:15" x14ac:dyDescent="0.3">
      <c r="A120" s="8">
        <v>118</v>
      </c>
      <c r="B120" s="14">
        <v>46082</v>
      </c>
      <c r="C120" s="2" t="s">
        <v>1291</v>
      </c>
      <c r="D120" s="2" t="s">
        <v>5</v>
      </c>
      <c r="E120" s="2" t="s">
        <v>935</v>
      </c>
      <c r="F120" s="2">
        <v>1.5</v>
      </c>
      <c r="G120" s="2" t="s">
        <v>1065</v>
      </c>
      <c r="H120" s="2" t="s">
        <v>118</v>
      </c>
      <c r="I120" s="2" t="s">
        <v>1062</v>
      </c>
      <c r="J120" s="2" t="s">
        <v>1110</v>
      </c>
      <c r="K120" s="2">
        <v>4339.5</v>
      </c>
      <c r="L120" s="2">
        <v>4339.5</v>
      </c>
      <c r="M120" s="2">
        <v>86.79</v>
      </c>
      <c r="N120" s="2">
        <v>87</v>
      </c>
      <c r="O120" s="2">
        <f t="shared" si="1"/>
        <v>1500</v>
      </c>
    </row>
    <row r="121" spans="1:15" x14ac:dyDescent="0.3">
      <c r="A121" s="8">
        <v>119</v>
      </c>
      <c r="B121" s="14">
        <v>46082</v>
      </c>
      <c r="C121" s="2" t="s">
        <v>1275</v>
      </c>
      <c r="D121" s="2" t="s">
        <v>5</v>
      </c>
      <c r="E121" s="2" t="s">
        <v>935</v>
      </c>
      <c r="F121" s="2">
        <v>2</v>
      </c>
      <c r="G121" s="2" t="s">
        <v>891</v>
      </c>
      <c r="H121" s="2" t="s">
        <v>126</v>
      </c>
      <c r="I121" s="2" t="s">
        <v>1066</v>
      </c>
      <c r="J121" s="2" t="s">
        <v>1110</v>
      </c>
      <c r="K121" s="2">
        <v>5736</v>
      </c>
      <c r="L121" s="2">
        <v>5736</v>
      </c>
      <c r="M121" s="2">
        <v>114.72</v>
      </c>
      <c r="N121" s="2">
        <v>115</v>
      </c>
      <c r="O121" s="2">
        <f t="shared" si="1"/>
        <v>2000</v>
      </c>
    </row>
    <row r="122" spans="1:15" x14ac:dyDescent="0.3">
      <c r="A122" s="8">
        <v>120</v>
      </c>
      <c r="B122" s="14">
        <v>46082</v>
      </c>
      <c r="C122" s="2" t="s">
        <v>1276</v>
      </c>
      <c r="D122" s="2" t="s">
        <v>5</v>
      </c>
      <c r="E122" s="2" t="s">
        <v>935</v>
      </c>
      <c r="F122" s="2">
        <v>2</v>
      </c>
      <c r="G122" s="2" t="s">
        <v>892</v>
      </c>
      <c r="H122" s="2" t="s">
        <v>134</v>
      </c>
      <c r="I122" s="2" t="s">
        <v>1066</v>
      </c>
      <c r="J122" s="2" t="s">
        <v>1110</v>
      </c>
      <c r="K122" s="2">
        <v>6960</v>
      </c>
      <c r="L122" s="2">
        <v>6960</v>
      </c>
      <c r="M122" s="2">
        <v>139.19999999999999</v>
      </c>
      <c r="N122" s="2">
        <v>139</v>
      </c>
      <c r="O122" s="2">
        <f t="shared" si="1"/>
        <v>2000</v>
      </c>
    </row>
    <row r="123" spans="1:15" x14ac:dyDescent="0.3">
      <c r="A123" s="8">
        <v>121</v>
      </c>
      <c r="B123" s="14">
        <v>46082</v>
      </c>
      <c r="C123" s="2" t="s">
        <v>1277</v>
      </c>
      <c r="D123" s="2" t="s">
        <v>5</v>
      </c>
      <c r="E123" s="2" t="s">
        <v>935</v>
      </c>
      <c r="F123" s="2">
        <v>2</v>
      </c>
      <c r="G123" s="2" t="s">
        <v>893</v>
      </c>
      <c r="H123" s="2" t="s">
        <v>142</v>
      </c>
      <c r="I123" s="2" t="s">
        <v>1067</v>
      </c>
      <c r="J123" s="2" t="s">
        <v>1110</v>
      </c>
      <c r="K123" s="2">
        <v>8462</v>
      </c>
      <c r="L123" s="2">
        <v>8462</v>
      </c>
      <c r="M123" s="2">
        <v>169.24</v>
      </c>
      <c r="N123" s="2">
        <v>169</v>
      </c>
      <c r="O123" s="2">
        <f t="shared" si="1"/>
        <v>2000</v>
      </c>
    </row>
    <row r="124" spans="1:15" x14ac:dyDescent="0.3">
      <c r="A124" s="8">
        <v>122</v>
      </c>
      <c r="B124" s="14">
        <v>46082</v>
      </c>
      <c r="C124" s="2" t="s">
        <v>1278</v>
      </c>
      <c r="D124" s="2" t="s">
        <v>5</v>
      </c>
      <c r="E124" s="2" t="s">
        <v>935</v>
      </c>
      <c r="F124" s="2">
        <v>2</v>
      </c>
      <c r="G124" s="2" t="s">
        <v>894</v>
      </c>
      <c r="H124" s="2" t="s">
        <v>150</v>
      </c>
      <c r="I124" s="2" t="s">
        <v>1068</v>
      </c>
      <c r="J124" s="2" t="s">
        <v>1110</v>
      </c>
      <c r="K124" s="2">
        <v>7702</v>
      </c>
      <c r="L124" s="2">
        <v>7702</v>
      </c>
      <c r="M124" s="2">
        <v>154.04</v>
      </c>
      <c r="N124" s="2">
        <v>154</v>
      </c>
      <c r="O124" s="2">
        <f t="shared" si="1"/>
        <v>2000</v>
      </c>
    </row>
    <row r="125" spans="1:15" x14ac:dyDescent="0.3">
      <c r="A125" s="8">
        <v>123</v>
      </c>
      <c r="B125" s="14">
        <v>46082</v>
      </c>
      <c r="C125" s="2" t="s">
        <v>1279</v>
      </c>
      <c r="D125" s="2" t="s">
        <v>5</v>
      </c>
      <c r="E125" s="2" t="s">
        <v>935</v>
      </c>
      <c r="F125" s="2">
        <v>2</v>
      </c>
      <c r="G125" s="2" t="s">
        <v>895</v>
      </c>
      <c r="H125" s="2" t="s">
        <v>158</v>
      </c>
      <c r="I125" s="2" t="s">
        <v>1066</v>
      </c>
      <c r="J125" s="2" t="s">
        <v>1110</v>
      </c>
      <c r="K125" s="2">
        <v>6280</v>
      </c>
      <c r="L125" s="2">
        <v>6280</v>
      </c>
      <c r="M125" s="2">
        <v>125.6</v>
      </c>
      <c r="N125" s="2">
        <v>126</v>
      </c>
      <c r="O125" s="2">
        <f t="shared" si="1"/>
        <v>2000</v>
      </c>
    </row>
    <row r="126" spans="1:15" x14ac:dyDescent="0.3">
      <c r="A126" s="8">
        <v>124</v>
      </c>
      <c r="B126" s="14">
        <v>46082</v>
      </c>
      <c r="C126" s="2" t="s">
        <v>1280</v>
      </c>
      <c r="D126" s="2" t="s">
        <v>5</v>
      </c>
      <c r="E126" s="2" t="s">
        <v>935</v>
      </c>
      <c r="F126" s="2">
        <v>2</v>
      </c>
      <c r="G126" s="2" t="s">
        <v>896</v>
      </c>
      <c r="H126" s="2" t="s">
        <v>166</v>
      </c>
      <c r="I126" s="2" t="s">
        <v>1066</v>
      </c>
      <c r="J126" s="2" t="s">
        <v>1110</v>
      </c>
      <c r="K126" s="2">
        <v>7342</v>
      </c>
      <c r="L126" s="2">
        <v>7342</v>
      </c>
      <c r="M126" s="2">
        <v>146.84</v>
      </c>
      <c r="N126" s="2">
        <v>147</v>
      </c>
      <c r="O126" s="2">
        <f t="shared" si="1"/>
        <v>2000</v>
      </c>
    </row>
    <row r="127" spans="1:15" x14ac:dyDescent="0.3">
      <c r="A127" s="8">
        <v>125</v>
      </c>
      <c r="B127" s="14">
        <v>46082</v>
      </c>
      <c r="C127" s="2" t="s">
        <v>1281</v>
      </c>
      <c r="D127" s="2" t="s">
        <v>5</v>
      </c>
      <c r="E127" s="2" t="s">
        <v>935</v>
      </c>
      <c r="F127" s="2">
        <v>1.5</v>
      </c>
      <c r="G127" s="2" t="s">
        <v>897</v>
      </c>
      <c r="H127" s="2" t="s">
        <v>174</v>
      </c>
      <c r="I127" s="2" t="s">
        <v>1069</v>
      </c>
      <c r="J127" s="2" t="s">
        <v>1110</v>
      </c>
      <c r="K127" s="2">
        <v>6033</v>
      </c>
      <c r="L127" s="2">
        <v>6033</v>
      </c>
      <c r="M127" s="2">
        <v>120.66</v>
      </c>
      <c r="N127" s="2">
        <v>121</v>
      </c>
      <c r="O127" s="2">
        <f t="shared" si="1"/>
        <v>1500</v>
      </c>
    </row>
    <row r="128" spans="1:15" x14ac:dyDescent="0.3">
      <c r="A128" s="8">
        <v>126</v>
      </c>
      <c r="B128" s="14">
        <v>46082</v>
      </c>
      <c r="C128" s="2" t="s">
        <v>1292</v>
      </c>
      <c r="D128" s="2" t="s">
        <v>5</v>
      </c>
      <c r="E128" s="2" t="s">
        <v>935</v>
      </c>
      <c r="F128" s="2">
        <v>2</v>
      </c>
      <c r="G128" s="2" t="s">
        <v>898</v>
      </c>
      <c r="H128" s="2" t="s">
        <v>182</v>
      </c>
      <c r="I128" s="2" t="s">
        <v>1068</v>
      </c>
      <c r="J128" s="2" t="s">
        <v>1110</v>
      </c>
      <c r="K128" s="2">
        <v>6952</v>
      </c>
      <c r="L128" s="2">
        <v>6952</v>
      </c>
      <c r="M128" s="2">
        <v>139.04</v>
      </c>
      <c r="N128" s="2">
        <v>139</v>
      </c>
      <c r="O128" s="2">
        <f t="shared" si="1"/>
        <v>2000</v>
      </c>
    </row>
    <row r="129" spans="1:15" x14ac:dyDescent="0.3">
      <c r="A129" s="8">
        <v>127</v>
      </c>
      <c r="B129" s="14">
        <v>46082</v>
      </c>
      <c r="C129" s="2" t="s">
        <v>1293</v>
      </c>
      <c r="D129" s="2" t="s">
        <v>5</v>
      </c>
      <c r="E129" s="2" t="s">
        <v>935</v>
      </c>
      <c r="F129" s="2">
        <v>2</v>
      </c>
      <c r="G129" s="2" t="s">
        <v>899</v>
      </c>
      <c r="H129" s="2" t="s">
        <v>190</v>
      </c>
      <c r="I129" s="2" t="s">
        <v>1068</v>
      </c>
      <c r="J129" s="2" t="s">
        <v>1110</v>
      </c>
      <c r="K129" s="2">
        <v>8254</v>
      </c>
      <c r="L129" s="2">
        <v>8254</v>
      </c>
      <c r="M129" s="2">
        <v>165.08</v>
      </c>
      <c r="N129" s="2">
        <v>165</v>
      </c>
      <c r="O129" s="2">
        <f t="shared" si="1"/>
        <v>2000</v>
      </c>
    </row>
    <row r="130" spans="1:15" x14ac:dyDescent="0.3">
      <c r="A130" s="8">
        <v>128</v>
      </c>
      <c r="B130" s="14">
        <v>46082</v>
      </c>
      <c r="C130" s="2" t="s">
        <v>1135</v>
      </c>
      <c r="D130" s="2" t="s">
        <v>5</v>
      </c>
      <c r="E130" s="2" t="s">
        <v>935</v>
      </c>
      <c r="F130" s="2">
        <v>1.5</v>
      </c>
      <c r="G130" s="2" t="s">
        <v>900</v>
      </c>
      <c r="H130" s="2" t="s">
        <v>198</v>
      </c>
      <c r="I130" s="2" t="s">
        <v>1069</v>
      </c>
      <c r="J130" s="2" t="s">
        <v>1110</v>
      </c>
      <c r="K130" s="2">
        <v>6367.5</v>
      </c>
      <c r="L130" s="2">
        <v>6367.5</v>
      </c>
      <c r="M130" s="2">
        <v>127.35</v>
      </c>
      <c r="N130" s="2">
        <v>127</v>
      </c>
      <c r="O130" s="2">
        <f t="shared" si="1"/>
        <v>1500</v>
      </c>
    </row>
    <row r="131" spans="1:15" x14ac:dyDescent="0.3">
      <c r="A131" s="8">
        <v>129</v>
      </c>
      <c r="B131" s="14">
        <v>46082</v>
      </c>
      <c r="C131" s="2" t="s">
        <v>1149</v>
      </c>
      <c r="D131" s="2" t="s">
        <v>5</v>
      </c>
      <c r="E131" s="2" t="s">
        <v>935</v>
      </c>
      <c r="F131" s="2">
        <v>2</v>
      </c>
      <c r="G131" s="2" t="s">
        <v>901</v>
      </c>
      <c r="H131" s="2" t="s">
        <v>206</v>
      </c>
      <c r="I131" s="2" t="s">
        <v>1066</v>
      </c>
      <c r="J131" s="2" t="s">
        <v>1110</v>
      </c>
      <c r="K131" s="2">
        <v>6386</v>
      </c>
      <c r="L131" s="2">
        <v>6386</v>
      </c>
      <c r="M131" s="2">
        <v>127.72</v>
      </c>
      <c r="N131" s="2">
        <v>128</v>
      </c>
      <c r="O131" s="2">
        <f t="shared" ref="O131:O194" si="2">F131*1000</f>
        <v>2000</v>
      </c>
    </row>
    <row r="132" spans="1:15" x14ac:dyDescent="0.3">
      <c r="A132" s="8">
        <v>130</v>
      </c>
      <c r="B132" s="14">
        <v>46082</v>
      </c>
      <c r="C132" s="2" t="s">
        <v>1137</v>
      </c>
      <c r="D132" s="2" t="s">
        <v>5</v>
      </c>
      <c r="E132" s="2" t="s">
        <v>935</v>
      </c>
      <c r="F132" s="2">
        <v>2</v>
      </c>
      <c r="G132" s="2" t="s">
        <v>902</v>
      </c>
      <c r="H132" s="2" t="s">
        <v>214</v>
      </c>
      <c r="I132" s="2" t="s">
        <v>1067</v>
      </c>
      <c r="J132" s="2" t="s">
        <v>1110</v>
      </c>
      <c r="K132" s="2">
        <v>8530</v>
      </c>
      <c r="L132" s="2">
        <v>8530</v>
      </c>
      <c r="M132" s="2">
        <v>170.6</v>
      </c>
      <c r="N132" s="2">
        <v>171</v>
      </c>
      <c r="O132" s="2">
        <f t="shared" si="2"/>
        <v>2000</v>
      </c>
    </row>
    <row r="133" spans="1:15" x14ac:dyDescent="0.3">
      <c r="A133" s="8">
        <v>131</v>
      </c>
      <c r="B133" s="14">
        <v>46082</v>
      </c>
      <c r="C133" s="2" t="s">
        <v>1131</v>
      </c>
      <c r="D133" s="2" t="s">
        <v>5</v>
      </c>
      <c r="E133" s="2" t="s">
        <v>935</v>
      </c>
      <c r="F133" s="2">
        <v>1.5</v>
      </c>
      <c r="G133" s="2" t="s">
        <v>903</v>
      </c>
      <c r="H133" s="2" t="s">
        <v>222</v>
      </c>
      <c r="I133" s="2" t="s">
        <v>1069</v>
      </c>
      <c r="J133" s="2" t="s">
        <v>1110</v>
      </c>
      <c r="K133" s="2">
        <v>6288</v>
      </c>
      <c r="L133" s="2">
        <v>6288</v>
      </c>
      <c r="M133" s="2">
        <v>125.76</v>
      </c>
      <c r="N133" s="2">
        <v>126</v>
      </c>
      <c r="O133" s="2">
        <f t="shared" si="2"/>
        <v>1500</v>
      </c>
    </row>
    <row r="134" spans="1:15" x14ac:dyDescent="0.3">
      <c r="A134" s="8">
        <v>132</v>
      </c>
      <c r="B134" s="14">
        <v>46082</v>
      </c>
      <c r="C134" s="2" t="s">
        <v>1130</v>
      </c>
      <c r="D134" s="2" t="s">
        <v>5</v>
      </c>
      <c r="E134" s="2" t="s">
        <v>935</v>
      </c>
      <c r="F134" s="2">
        <v>1.5</v>
      </c>
      <c r="G134" s="2" t="s">
        <v>904</v>
      </c>
      <c r="H134" s="2" t="s">
        <v>230</v>
      </c>
      <c r="I134" s="2" t="s">
        <v>1070</v>
      </c>
      <c r="J134" s="2" t="s">
        <v>1110</v>
      </c>
      <c r="K134" s="2">
        <v>189</v>
      </c>
      <c r="L134" s="2">
        <v>189</v>
      </c>
      <c r="M134" s="2">
        <v>3.78</v>
      </c>
      <c r="N134" s="2">
        <v>4</v>
      </c>
      <c r="O134" s="2">
        <f t="shared" si="2"/>
        <v>1500</v>
      </c>
    </row>
    <row r="135" spans="1:15" x14ac:dyDescent="0.3">
      <c r="A135" s="8">
        <v>133</v>
      </c>
      <c r="B135" s="14">
        <v>46082</v>
      </c>
      <c r="C135" s="2" t="s">
        <v>1139</v>
      </c>
      <c r="D135" s="2" t="s">
        <v>5</v>
      </c>
      <c r="E135" s="2" t="s">
        <v>935</v>
      </c>
      <c r="F135" s="2">
        <v>2</v>
      </c>
      <c r="G135" s="2" t="s">
        <v>905</v>
      </c>
      <c r="H135" s="2" t="s">
        <v>238</v>
      </c>
      <c r="I135" s="2" t="s">
        <v>1067</v>
      </c>
      <c r="J135" s="2" t="s">
        <v>1110</v>
      </c>
      <c r="K135" s="2">
        <v>3326</v>
      </c>
      <c r="L135" s="2">
        <v>3326</v>
      </c>
      <c r="M135" s="2">
        <v>66.52</v>
      </c>
      <c r="N135" s="2">
        <v>67</v>
      </c>
      <c r="O135" s="2">
        <f t="shared" si="2"/>
        <v>2000</v>
      </c>
    </row>
    <row r="136" spans="1:15" x14ac:dyDescent="0.3">
      <c r="A136" s="8">
        <v>134</v>
      </c>
      <c r="B136" s="14">
        <v>46082</v>
      </c>
      <c r="C136" s="2" t="s">
        <v>1294</v>
      </c>
      <c r="D136" s="2" t="s">
        <v>5</v>
      </c>
      <c r="E136" s="2" t="s">
        <v>935</v>
      </c>
      <c r="F136" s="2">
        <v>2</v>
      </c>
      <c r="G136" s="2" t="s">
        <v>1071</v>
      </c>
      <c r="H136" s="2" t="s">
        <v>246</v>
      </c>
      <c r="I136" s="2" t="s">
        <v>1072</v>
      </c>
      <c r="J136" s="2" t="s">
        <v>1110</v>
      </c>
      <c r="K136" s="2">
        <v>5414</v>
      </c>
      <c r="L136" s="2">
        <v>5414</v>
      </c>
      <c r="M136" s="2">
        <v>108.28</v>
      </c>
      <c r="N136" s="2">
        <v>108</v>
      </c>
      <c r="O136" s="2">
        <f t="shared" si="2"/>
        <v>2000</v>
      </c>
    </row>
    <row r="137" spans="1:15" x14ac:dyDescent="0.3">
      <c r="A137" s="8">
        <v>135</v>
      </c>
      <c r="B137" s="14">
        <v>46082</v>
      </c>
      <c r="C137" s="2" t="s">
        <v>1295</v>
      </c>
      <c r="D137" s="2" t="s">
        <v>5</v>
      </c>
      <c r="E137" s="2" t="s">
        <v>935</v>
      </c>
      <c r="F137" s="2">
        <v>2</v>
      </c>
      <c r="G137" s="2" t="s">
        <v>1073</v>
      </c>
      <c r="H137" s="2" t="s">
        <v>254</v>
      </c>
      <c r="I137" s="2" t="s">
        <v>1072</v>
      </c>
      <c r="J137" s="2" t="s">
        <v>1110</v>
      </c>
      <c r="K137" s="2">
        <v>4264</v>
      </c>
      <c r="L137" s="2">
        <v>4264</v>
      </c>
      <c r="M137" s="2">
        <v>85.28</v>
      </c>
      <c r="N137" s="2">
        <v>85</v>
      </c>
      <c r="O137" s="2">
        <f t="shared" si="2"/>
        <v>2000</v>
      </c>
    </row>
    <row r="138" spans="1:15" x14ac:dyDescent="0.3">
      <c r="A138" s="8">
        <v>136</v>
      </c>
      <c r="B138" s="14">
        <v>46082</v>
      </c>
      <c r="C138" s="2" t="s">
        <v>1296</v>
      </c>
      <c r="D138" s="2" t="s">
        <v>5</v>
      </c>
      <c r="E138" s="2" t="s">
        <v>935</v>
      </c>
      <c r="F138" s="2">
        <v>2</v>
      </c>
      <c r="G138" s="2" t="s">
        <v>1074</v>
      </c>
      <c r="H138" s="2" t="s">
        <v>262</v>
      </c>
      <c r="I138" s="2" t="s">
        <v>1072</v>
      </c>
      <c r="J138" s="2" t="s">
        <v>1110</v>
      </c>
      <c r="K138" s="2">
        <v>6666</v>
      </c>
      <c r="L138" s="2">
        <v>6666</v>
      </c>
      <c r="M138" s="2">
        <v>133.32</v>
      </c>
      <c r="N138" s="2">
        <v>133</v>
      </c>
      <c r="O138" s="2">
        <f t="shared" si="2"/>
        <v>2000</v>
      </c>
    </row>
    <row r="139" spans="1:15" x14ac:dyDescent="0.3">
      <c r="A139" s="8">
        <v>137</v>
      </c>
      <c r="B139" s="14">
        <v>46082</v>
      </c>
      <c r="C139" s="2" t="s">
        <v>1297</v>
      </c>
      <c r="D139" s="2" t="s">
        <v>5</v>
      </c>
      <c r="E139" s="2" t="s">
        <v>935</v>
      </c>
      <c r="F139" s="2">
        <v>2</v>
      </c>
      <c r="G139" s="2" t="s">
        <v>1075</v>
      </c>
      <c r="H139" s="2" t="s">
        <v>270</v>
      </c>
      <c r="I139" s="2" t="s">
        <v>1072</v>
      </c>
      <c r="J139" s="2" t="s">
        <v>1110</v>
      </c>
      <c r="K139" s="2">
        <v>5050</v>
      </c>
      <c r="L139" s="2">
        <v>5050</v>
      </c>
      <c r="M139" s="2">
        <v>101</v>
      </c>
      <c r="N139" s="2">
        <v>101</v>
      </c>
      <c r="O139" s="2">
        <f t="shared" si="2"/>
        <v>2000</v>
      </c>
    </row>
    <row r="140" spans="1:15" x14ac:dyDescent="0.3">
      <c r="A140" s="8">
        <v>138</v>
      </c>
      <c r="B140" s="14">
        <v>46082</v>
      </c>
      <c r="C140" s="2" t="s">
        <v>1298</v>
      </c>
      <c r="D140" s="2" t="s">
        <v>5</v>
      </c>
      <c r="E140" s="2" t="s">
        <v>935</v>
      </c>
      <c r="F140" s="2">
        <v>1.5</v>
      </c>
      <c r="G140" s="2" t="s">
        <v>864</v>
      </c>
      <c r="H140" s="2" t="s">
        <v>278</v>
      </c>
      <c r="I140" s="2" t="s">
        <v>1076</v>
      </c>
      <c r="J140" s="2" t="s">
        <v>1110</v>
      </c>
      <c r="K140" s="2">
        <v>276</v>
      </c>
      <c r="L140" s="2">
        <v>276</v>
      </c>
      <c r="M140" s="2">
        <v>5.52</v>
      </c>
      <c r="N140" s="2">
        <v>6</v>
      </c>
      <c r="O140" s="2">
        <f t="shared" si="2"/>
        <v>1500</v>
      </c>
    </row>
    <row r="141" spans="1:15" x14ac:dyDescent="0.3">
      <c r="A141" s="8">
        <v>139</v>
      </c>
      <c r="B141" s="14">
        <v>46082</v>
      </c>
      <c r="C141" s="2" t="s">
        <v>1299</v>
      </c>
      <c r="D141" s="2" t="s">
        <v>5</v>
      </c>
      <c r="E141" s="2" t="s">
        <v>935</v>
      </c>
      <c r="F141" s="2">
        <v>1.5</v>
      </c>
      <c r="G141" s="2" t="s">
        <v>865</v>
      </c>
      <c r="H141" s="2" t="s">
        <v>286</v>
      </c>
      <c r="I141" s="2" t="s">
        <v>1077</v>
      </c>
      <c r="J141" s="2" t="s">
        <v>1110</v>
      </c>
      <c r="K141" s="2">
        <v>4188</v>
      </c>
      <c r="L141" s="2">
        <v>4188</v>
      </c>
      <c r="M141" s="2">
        <v>83.76</v>
      </c>
      <c r="N141" s="2">
        <v>84</v>
      </c>
      <c r="O141" s="2">
        <f t="shared" si="2"/>
        <v>1500</v>
      </c>
    </row>
    <row r="142" spans="1:15" x14ac:dyDescent="0.3">
      <c r="A142" s="8">
        <v>140</v>
      </c>
      <c r="B142" s="14">
        <v>46082</v>
      </c>
      <c r="C142" s="2" t="s">
        <v>1300</v>
      </c>
      <c r="D142" s="2" t="s">
        <v>5</v>
      </c>
      <c r="E142" s="2" t="s">
        <v>935</v>
      </c>
      <c r="F142" s="2">
        <v>2</v>
      </c>
      <c r="G142" s="2" t="s">
        <v>1078</v>
      </c>
      <c r="H142" s="2" t="s">
        <v>294</v>
      </c>
      <c r="I142" s="2" t="s">
        <v>1072</v>
      </c>
      <c r="J142" s="2" t="s">
        <v>1110</v>
      </c>
      <c r="K142" s="2">
        <v>1440</v>
      </c>
      <c r="L142" s="2">
        <v>1440</v>
      </c>
      <c r="M142" s="2">
        <v>28.8</v>
      </c>
      <c r="N142" s="2">
        <v>29</v>
      </c>
      <c r="O142" s="2">
        <f t="shared" si="2"/>
        <v>2000</v>
      </c>
    </row>
    <row r="143" spans="1:15" x14ac:dyDescent="0.3">
      <c r="A143" s="8">
        <v>141</v>
      </c>
      <c r="B143" s="14">
        <v>46082</v>
      </c>
      <c r="C143" s="2" t="s">
        <v>1301</v>
      </c>
      <c r="D143" s="2" t="s">
        <v>5</v>
      </c>
      <c r="E143" s="2" t="s">
        <v>935</v>
      </c>
      <c r="F143" s="2">
        <v>2</v>
      </c>
      <c r="G143" s="2" t="s">
        <v>866</v>
      </c>
      <c r="H143" s="2" t="s">
        <v>302</v>
      </c>
      <c r="I143" s="2" t="s">
        <v>1079</v>
      </c>
      <c r="J143" s="2" t="s">
        <v>1110</v>
      </c>
      <c r="K143" s="2">
        <v>600</v>
      </c>
      <c r="L143" s="2">
        <v>600</v>
      </c>
      <c r="M143" s="2">
        <v>12</v>
      </c>
      <c r="N143" s="2">
        <v>12</v>
      </c>
      <c r="O143" s="2">
        <f t="shared" si="2"/>
        <v>2000</v>
      </c>
    </row>
    <row r="144" spans="1:15" x14ac:dyDescent="0.3">
      <c r="A144" s="8">
        <v>142</v>
      </c>
      <c r="B144" s="14">
        <v>46082</v>
      </c>
      <c r="C144" s="2" t="s">
        <v>1302</v>
      </c>
      <c r="D144" s="2" t="s">
        <v>5</v>
      </c>
      <c r="E144" s="2" t="s">
        <v>935</v>
      </c>
      <c r="F144" s="2">
        <v>2</v>
      </c>
      <c r="G144" s="2" t="s">
        <v>1080</v>
      </c>
      <c r="H144" s="2" t="s">
        <v>310</v>
      </c>
      <c r="I144" s="2" t="s">
        <v>1081</v>
      </c>
      <c r="J144" s="2" t="s">
        <v>1110</v>
      </c>
      <c r="K144" s="2">
        <v>4990</v>
      </c>
      <c r="L144" s="2">
        <v>4990</v>
      </c>
      <c r="M144" s="2">
        <v>99.8</v>
      </c>
      <c r="N144" s="2">
        <v>100</v>
      </c>
      <c r="O144" s="2">
        <f t="shared" si="2"/>
        <v>2000</v>
      </c>
    </row>
    <row r="145" spans="1:15" x14ac:dyDescent="0.3">
      <c r="A145" s="8">
        <v>143</v>
      </c>
      <c r="B145" s="14">
        <v>46082</v>
      </c>
      <c r="C145" s="2" t="s">
        <v>1303</v>
      </c>
      <c r="D145" s="2" t="s">
        <v>5</v>
      </c>
      <c r="E145" s="2" t="s">
        <v>935</v>
      </c>
      <c r="F145" s="2">
        <v>1.5</v>
      </c>
      <c r="G145" s="2" t="s">
        <v>867</v>
      </c>
      <c r="H145" s="2" t="s">
        <v>318</v>
      </c>
      <c r="I145" s="2" t="s">
        <v>1077</v>
      </c>
      <c r="J145" s="2" t="s">
        <v>1110</v>
      </c>
      <c r="K145" s="2">
        <v>6303</v>
      </c>
      <c r="L145" s="2">
        <v>6303</v>
      </c>
      <c r="M145" s="2">
        <v>126.06</v>
      </c>
      <c r="N145" s="2">
        <v>126</v>
      </c>
      <c r="O145" s="2">
        <f t="shared" si="2"/>
        <v>1500</v>
      </c>
    </row>
    <row r="146" spans="1:15" x14ac:dyDescent="0.3">
      <c r="A146" s="8">
        <v>144</v>
      </c>
      <c r="B146" s="14">
        <v>46082</v>
      </c>
      <c r="C146" s="2" t="s">
        <v>1304</v>
      </c>
      <c r="D146" s="2" t="s">
        <v>5</v>
      </c>
      <c r="E146" s="2" t="s">
        <v>935</v>
      </c>
      <c r="F146" s="2">
        <v>2</v>
      </c>
      <c r="G146" s="2" t="s">
        <v>1082</v>
      </c>
      <c r="H146" s="2" t="s">
        <v>326</v>
      </c>
      <c r="I146" s="2" t="s">
        <v>1072</v>
      </c>
      <c r="J146" s="2" t="s">
        <v>1110</v>
      </c>
      <c r="K146" s="2">
        <v>5776</v>
      </c>
      <c r="L146" s="2">
        <v>5776</v>
      </c>
      <c r="M146" s="2">
        <v>115.52</v>
      </c>
      <c r="N146" s="2">
        <v>116</v>
      </c>
      <c r="O146" s="2">
        <f t="shared" si="2"/>
        <v>2000</v>
      </c>
    </row>
    <row r="147" spans="1:15" x14ac:dyDescent="0.3">
      <c r="A147" s="8">
        <v>145</v>
      </c>
      <c r="B147" s="14">
        <v>46082</v>
      </c>
      <c r="C147" s="2" t="s">
        <v>1305</v>
      </c>
      <c r="D147" s="2" t="s">
        <v>5</v>
      </c>
      <c r="E147" s="2" t="s">
        <v>935</v>
      </c>
      <c r="F147" s="2">
        <v>2</v>
      </c>
      <c r="G147" s="2" t="s">
        <v>1083</v>
      </c>
      <c r="H147" s="2" t="s">
        <v>334</v>
      </c>
      <c r="I147" s="2" t="s">
        <v>1072</v>
      </c>
      <c r="J147" s="2" t="s">
        <v>1110</v>
      </c>
      <c r="K147" s="2">
        <v>3810</v>
      </c>
      <c r="L147" s="2">
        <v>3810</v>
      </c>
      <c r="M147" s="2">
        <v>76.2</v>
      </c>
      <c r="N147" s="2">
        <v>76</v>
      </c>
      <c r="O147" s="2">
        <f t="shared" si="2"/>
        <v>2000</v>
      </c>
    </row>
    <row r="148" spans="1:15" x14ac:dyDescent="0.3">
      <c r="A148" s="8">
        <v>146</v>
      </c>
      <c r="B148" s="14">
        <v>46082</v>
      </c>
      <c r="C148" s="2" t="s">
        <v>1306</v>
      </c>
      <c r="D148" s="2" t="s">
        <v>5</v>
      </c>
      <c r="E148" s="2" t="s">
        <v>935</v>
      </c>
      <c r="F148" s="2">
        <v>2</v>
      </c>
      <c r="G148" s="2" t="s">
        <v>868</v>
      </c>
      <c r="H148" s="2" t="s">
        <v>342</v>
      </c>
      <c r="I148" s="2" t="s">
        <v>1081</v>
      </c>
      <c r="J148" s="2" t="s">
        <v>1110</v>
      </c>
      <c r="K148" s="2">
        <v>6212</v>
      </c>
      <c r="L148" s="2">
        <v>6212</v>
      </c>
      <c r="M148" s="2">
        <v>124.24</v>
      </c>
      <c r="N148" s="2">
        <v>124</v>
      </c>
      <c r="O148" s="2">
        <f t="shared" si="2"/>
        <v>2000</v>
      </c>
    </row>
    <row r="149" spans="1:15" x14ac:dyDescent="0.3">
      <c r="A149" s="8">
        <v>147</v>
      </c>
      <c r="B149" s="14">
        <v>46082</v>
      </c>
      <c r="C149" s="2" t="s">
        <v>1307</v>
      </c>
      <c r="D149" s="2" t="s">
        <v>5</v>
      </c>
      <c r="E149" s="2" t="s">
        <v>935</v>
      </c>
      <c r="F149" s="2">
        <v>2</v>
      </c>
      <c r="G149" s="2" t="s">
        <v>1084</v>
      </c>
      <c r="H149" s="2" t="s">
        <v>350</v>
      </c>
      <c r="I149" s="2" t="s">
        <v>1072</v>
      </c>
      <c r="J149" s="2" t="s">
        <v>1110</v>
      </c>
      <c r="K149" s="2">
        <v>4582</v>
      </c>
      <c r="L149" s="2">
        <v>4582</v>
      </c>
      <c r="M149" s="2">
        <v>91.64</v>
      </c>
      <c r="N149" s="2">
        <v>92</v>
      </c>
      <c r="O149" s="2">
        <f t="shared" si="2"/>
        <v>2000</v>
      </c>
    </row>
    <row r="150" spans="1:15" x14ac:dyDescent="0.3">
      <c r="A150" s="8">
        <v>148</v>
      </c>
      <c r="B150" s="14">
        <v>46082</v>
      </c>
      <c r="C150" s="2" t="s">
        <v>1308</v>
      </c>
      <c r="D150" s="2" t="s">
        <v>5</v>
      </c>
      <c r="E150" s="2" t="s">
        <v>935</v>
      </c>
      <c r="F150" s="2">
        <v>2</v>
      </c>
      <c r="G150" s="2" t="s">
        <v>863</v>
      </c>
      <c r="H150" s="2" t="s">
        <v>358</v>
      </c>
      <c r="I150" s="2" t="s">
        <v>1044</v>
      </c>
      <c r="J150" s="2" t="s">
        <v>1110</v>
      </c>
      <c r="K150" s="2">
        <v>5062</v>
      </c>
      <c r="L150" s="2">
        <v>5062</v>
      </c>
      <c r="M150" s="2">
        <v>101.24</v>
      </c>
      <c r="N150" s="2">
        <v>101</v>
      </c>
      <c r="O150" s="2">
        <f t="shared" si="2"/>
        <v>2000</v>
      </c>
    </row>
    <row r="151" spans="1:15" x14ac:dyDescent="0.3">
      <c r="A151" s="8">
        <v>149</v>
      </c>
      <c r="B151" s="14">
        <v>46082</v>
      </c>
      <c r="C151" s="2" t="s">
        <v>1309</v>
      </c>
      <c r="D151" s="2" t="s">
        <v>5</v>
      </c>
      <c r="E151" s="2" t="s">
        <v>935</v>
      </c>
      <c r="F151" s="2">
        <v>2</v>
      </c>
      <c r="G151" s="2" t="s">
        <v>869</v>
      </c>
      <c r="H151" s="2" t="s">
        <v>366</v>
      </c>
      <c r="I151" s="2" t="s">
        <v>1044</v>
      </c>
      <c r="J151" s="2" t="s">
        <v>1110</v>
      </c>
      <c r="K151" s="2">
        <v>5706</v>
      </c>
      <c r="L151" s="2">
        <v>5706</v>
      </c>
      <c r="M151" s="2">
        <v>114.12</v>
      </c>
      <c r="N151" s="2">
        <v>114</v>
      </c>
      <c r="O151" s="2">
        <f t="shared" si="2"/>
        <v>2000</v>
      </c>
    </row>
    <row r="152" spans="1:15" x14ac:dyDescent="0.3">
      <c r="A152" s="8">
        <v>150</v>
      </c>
      <c r="B152" s="14">
        <v>46082</v>
      </c>
      <c r="C152" s="2" t="s">
        <v>1310</v>
      </c>
      <c r="D152" s="2" t="s">
        <v>5</v>
      </c>
      <c r="E152" s="2" t="s">
        <v>935</v>
      </c>
      <c r="F152" s="2">
        <v>2</v>
      </c>
      <c r="G152" s="2" t="s">
        <v>870</v>
      </c>
      <c r="H152" s="2" t="s">
        <v>374</v>
      </c>
      <c r="I152" s="2" t="s">
        <v>1044</v>
      </c>
      <c r="J152" s="2" t="s">
        <v>1110</v>
      </c>
      <c r="K152" s="2">
        <v>5606</v>
      </c>
      <c r="L152" s="2">
        <v>5606</v>
      </c>
      <c r="M152" s="2">
        <v>112.12</v>
      </c>
      <c r="N152" s="2">
        <v>112</v>
      </c>
      <c r="O152" s="2">
        <f t="shared" si="2"/>
        <v>2000</v>
      </c>
    </row>
    <row r="153" spans="1:15" x14ac:dyDescent="0.3">
      <c r="A153" s="8">
        <v>151</v>
      </c>
      <c r="B153" s="14">
        <v>46082</v>
      </c>
      <c r="C153" s="2" t="s">
        <v>1311</v>
      </c>
      <c r="D153" s="2" t="s">
        <v>5</v>
      </c>
      <c r="E153" s="2" t="s">
        <v>935</v>
      </c>
      <c r="F153" s="2">
        <v>2</v>
      </c>
      <c r="G153" s="2" t="s">
        <v>871</v>
      </c>
      <c r="H153" s="2" t="s">
        <v>382</v>
      </c>
      <c r="I153" s="2" t="s">
        <v>1044</v>
      </c>
      <c r="J153" s="2" t="s">
        <v>1110</v>
      </c>
      <c r="K153" s="2">
        <v>5638</v>
      </c>
      <c r="L153" s="2">
        <v>5638</v>
      </c>
      <c r="M153" s="2">
        <v>112.76</v>
      </c>
      <c r="N153" s="2">
        <v>113</v>
      </c>
      <c r="O153" s="2">
        <f t="shared" si="2"/>
        <v>2000</v>
      </c>
    </row>
    <row r="154" spans="1:15" x14ac:dyDescent="0.3">
      <c r="A154" s="8">
        <v>152</v>
      </c>
      <c r="B154" s="14">
        <v>46082</v>
      </c>
      <c r="C154" s="2" t="s">
        <v>1268</v>
      </c>
      <c r="D154" s="2" t="s">
        <v>5</v>
      </c>
      <c r="E154" s="2" t="s">
        <v>935</v>
      </c>
      <c r="F154" s="2">
        <v>2</v>
      </c>
      <c r="G154" s="2" t="s">
        <v>1042</v>
      </c>
      <c r="H154" s="2" t="s">
        <v>390</v>
      </c>
      <c r="I154" s="2" t="s">
        <v>1044</v>
      </c>
      <c r="J154" s="2" t="s">
        <v>1110</v>
      </c>
      <c r="K154" s="2">
        <v>5374</v>
      </c>
      <c r="L154" s="2">
        <v>5374</v>
      </c>
      <c r="M154" s="2">
        <v>107.48</v>
      </c>
      <c r="N154" s="2">
        <v>107</v>
      </c>
      <c r="O154" s="2">
        <f t="shared" si="2"/>
        <v>2000</v>
      </c>
    </row>
    <row r="155" spans="1:15" x14ac:dyDescent="0.3">
      <c r="A155" s="8">
        <v>153</v>
      </c>
      <c r="B155" s="14">
        <v>46082</v>
      </c>
      <c r="C155" s="2" t="s">
        <v>1313</v>
      </c>
      <c r="D155" s="2" t="s">
        <v>5</v>
      </c>
      <c r="E155" s="2" t="s">
        <v>935</v>
      </c>
      <c r="F155" s="2">
        <v>2</v>
      </c>
      <c r="G155" s="2" t="s">
        <v>1086</v>
      </c>
      <c r="H155" s="2" t="s">
        <v>407</v>
      </c>
      <c r="I155" s="2" t="s">
        <v>1087</v>
      </c>
      <c r="J155" s="2" t="s">
        <v>1110</v>
      </c>
      <c r="K155" s="2">
        <v>7862</v>
      </c>
      <c r="L155" s="2">
        <v>7862</v>
      </c>
      <c r="M155" s="2">
        <v>157.24</v>
      </c>
      <c r="N155" s="2">
        <v>157</v>
      </c>
      <c r="O155" s="2">
        <f t="shared" si="2"/>
        <v>2000</v>
      </c>
    </row>
    <row r="156" spans="1:15" x14ac:dyDescent="0.3">
      <c r="A156" s="8">
        <v>154</v>
      </c>
      <c r="B156" s="14">
        <v>46082</v>
      </c>
      <c r="C156" s="2" t="s">
        <v>1314</v>
      </c>
      <c r="D156" s="2" t="s">
        <v>5</v>
      </c>
      <c r="E156" s="2" t="s">
        <v>935</v>
      </c>
      <c r="F156" s="2">
        <v>2</v>
      </c>
      <c r="G156" s="2" t="s">
        <v>1088</v>
      </c>
      <c r="H156" s="2" t="s">
        <v>415</v>
      </c>
      <c r="I156" s="2" t="s">
        <v>1044</v>
      </c>
      <c r="J156" s="2" t="s">
        <v>1110</v>
      </c>
      <c r="K156" s="2">
        <v>4730</v>
      </c>
      <c r="L156" s="2">
        <v>4730</v>
      </c>
      <c r="M156" s="2">
        <v>94.6</v>
      </c>
      <c r="N156" s="2">
        <v>95</v>
      </c>
      <c r="O156" s="2">
        <f t="shared" si="2"/>
        <v>2000</v>
      </c>
    </row>
    <row r="157" spans="1:15" x14ac:dyDescent="0.3">
      <c r="A157" s="8">
        <v>155</v>
      </c>
      <c r="B157" s="14">
        <v>46082</v>
      </c>
      <c r="C157" s="2" t="s">
        <v>1315</v>
      </c>
      <c r="D157" s="2" t="s">
        <v>5</v>
      </c>
      <c r="E157" s="2" t="s">
        <v>935</v>
      </c>
      <c r="F157" s="2">
        <v>0.5</v>
      </c>
      <c r="G157" s="2" t="s">
        <v>873</v>
      </c>
      <c r="H157" s="2" t="s">
        <v>423</v>
      </c>
      <c r="I157" s="2" t="s">
        <v>1089</v>
      </c>
      <c r="J157" s="2" t="s">
        <v>1110</v>
      </c>
      <c r="K157" s="2">
        <v>1499.5</v>
      </c>
      <c r="L157" s="2">
        <v>1499.5</v>
      </c>
      <c r="M157" s="2">
        <v>29.99</v>
      </c>
      <c r="N157" s="2">
        <v>30</v>
      </c>
      <c r="O157" s="2">
        <f t="shared" si="2"/>
        <v>500</v>
      </c>
    </row>
    <row r="158" spans="1:15" x14ac:dyDescent="0.3">
      <c r="A158" s="8">
        <v>156</v>
      </c>
      <c r="B158" s="14">
        <v>46082</v>
      </c>
      <c r="C158" s="2" t="s">
        <v>1318</v>
      </c>
      <c r="D158" s="2" t="s">
        <v>5</v>
      </c>
      <c r="E158" s="2" t="s">
        <v>935</v>
      </c>
      <c r="F158" s="2">
        <v>0.5</v>
      </c>
      <c r="G158" s="2" t="s">
        <v>876</v>
      </c>
      <c r="H158" s="2" t="s">
        <v>451</v>
      </c>
      <c r="I158" s="2" t="s">
        <v>1091</v>
      </c>
      <c r="J158" s="2" t="s">
        <v>1110</v>
      </c>
      <c r="K158" s="2">
        <v>1275</v>
      </c>
      <c r="L158" s="2">
        <v>1275</v>
      </c>
      <c r="M158" s="2">
        <v>25.5</v>
      </c>
      <c r="N158" s="2">
        <v>26</v>
      </c>
      <c r="O158" s="2">
        <f t="shared" si="2"/>
        <v>500</v>
      </c>
    </row>
    <row r="159" spans="1:15" x14ac:dyDescent="0.3">
      <c r="A159" s="8">
        <v>157</v>
      </c>
      <c r="B159" s="14">
        <v>46082</v>
      </c>
      <c r="C159" s="2" t="s">
        <v>1319</v>
      </c>
      <c r="D159" s="2" t="s">
        <v>5</v>
      </c>
      <c r="E159" s="2" t="s">
        <v>935</v>
      </c>
      <c r="F159" s="2">
        <v>0.5</v>
      </c>
      <c r="G159" s="2" t="s">
        <v>877</v>
      </c>
      <c r="H159" s="2" t="s">
        <v>461</v>
      </c>
      <c r="I159" s="2" t="s">
        <v>1091</v>
      </c>
      <c r="J159" s="2" t="s">
        <v>1110</v>
      </c>
      <c r="K159" s="2">
        <v>1427</v>
      </c>
      <c r="L159" s="2">
        <v>1427</v>
      </c>
      <c r="M159" s="2">
        <v>28.54</v>
      </c>
      <c r="N159" s="2">
        <v>29</v>
      </c>
      <c r="O159" s="2">
        <f t="shared" si="2"/>
        <v>500</v>
      </c>
    </row>
    <row r="160" spans="1:15" x14ac:dyDescent="0.3">
      <c r="A160" s="8">
        <v>158</v>
      </c>
      <c r="B160" s="14">
        <v>46082</v>
      </c>
      <c r="C160" s="2" t="s">
        <v>1320</v>
      </c>
      <c r="D160" s="2" t="s">
        <v>5</v>
      </c>
      <c r="E160" s="2" t="s">
        <v>935</v>
      </c>
      <c r="F160" s="2">
        <v>0.5</v>
      </c>
      <c r="G160" s="2" t="s">
        <v>878</v>
      </c>
      <c r="H160" s="2" t="s">
        <v>471</v>
      </c>
      <c r="I160" s="2" t="s">
        <v>1091</v>
      </c>
      <c r="J160" s="2" t="s">
        <v>1110</v>
      </c>
      <c r="K160" s="2">
        <v>1555.5</v>
      </c>
      <c r="L160" s="2">
        <v>1555.5</v>
      </c>
      <c r="M160" s="2">
        <v>31.11</v>
      </c>
      <c r="N160" s="2">
        <v>31</v>
      </c>
      <c r="O160" s="2">
        <f t="shared" si="2"/>
        <v>500</v>
      </c>
    </row>
    <row r="161" spans="1:15" x14ac:dyDescent="0.3">
      <c r="A161" s="8">
        <v>159</v>
      </c>
      <c r="B161" s="14">
        <v>46082</v>
      </c>
      <c r="C161" s="2" t="s">
        <v>1321</v>
      </c>
      <c r="D161" s="2" t="s">
        <v>5</v>
      </c>
      <c r="E161" s="2" t="s">
        <v>935</v>
      </c>
      <c r="F161" s="2">
        <v>2</v>
      </c>
      <c r="G161" s="2" t="s">
        <v>879</v>
      </c>
      <c r="H161" s="2" t="s">
        <v>481</v>
      </c>
      <c r="I161" s="2" t="s">
        <v>1092</v>
      </c>
      <c r="J161" s="2" t="s">
        <v>1110</v>
      </c>
      <c r="K161" s="2">
        <v>5772</v>
      </c>
      <c r="L161" s="2">
        <v>5772</v>
      </c>
      <c r="M161" s="2">
        <v>115.44</v>
      </c>
      <c r="N161" s="2">
        <v>115</v>
      </c>
      <c r="O161" s="2">
        <f t="shared" si="2"/>
        <v>2000</v>
      </c>
    </row>
    <row r="162" spans="1:15" x14ac:dyDescent="0.3">
      <c r="A162" s="8">
        <v>160</v>
      </c>
      <c r="B162" s="14">
        <v>46082</v>
      </c>
      <c r="C162" s="2" t="s">
        <v>1322</v>
      </c>
      <c r="D162" s="2" t="s">
        <v>5</v>
      </c>
      <c r="E162" s="2" t="s">
        <v>935</v>
      </c>
      <c r="F162" s="2">
        <v>1.5</v>
      </c>
      <c r="G162" s="2" t="s">
        <v>880</v>
      </c>
      <c r="H162" s="2" t="s">
        <v>489</v>
      </c>
      <c r="I162" s="2" t="s">
        <v>1093</v>
      </c>
      <c r="J162" s="2" t="s">
        <v>1110</v>
      </c>
      <c r="K162" s="2">
        <v>228</v>
      </c>
      <c r="L162" s="2">
        <v>228</v>
      </c>
      <c r="M162" s="2">
        <v>4.5599999999999996</v>
      </c>
      <c r="N162" s="2">
        <v>5</v>
      </c>
      <c r="O162" s="2">
        <f t="shared" si="2"/>
        <v>1500</v>
      </c>
    </row>
    <row r="163" spans="1:15" x14ac:dyDescent="0.3">
      <c r="A163" s="8">
        <v>161</v>
      </c>
      <c r="B163" s="14">
        <v>46082</v>
      </c>
      <c r="C163" s="2" t="s">
        <v>1323</v>
      </c>
      <c r="D163" s="2" t="s">
        <v>5</v>
      </c>
      <c r="E163" s="2" t="s">
        <v>935</v>
      </c>
      <c r="F163" s="2">
        <v>1.5</v>
      </c>
      <c r="G163" s="2" t="s">
        <v>881</v>
      </c>
      <c r="H163" s="2" t="s">
        <v>497</v>
      </c>
      <c r="I163" s="2" t="s">
        <v>1094</v>
      </c>
      <c r="J163" s="2" t="s">
        <v>1110</v>
      </c>
      <c r="K163" s="2">
        <v>601.5</v>
      </c>
      <c r="L163" s="2">
        <v>601.5</v>
      </c>
      <c r="M163" s="2">
        <v>12.03</v>
      </c>
      <c r="N163" s="2">
        <v>12</v>
      </c>
      <c r="O163" s="2">
        <f t="shared" si="2"/>
        <v>1500</v>
      </c>
    </row>
    <row r="164" spans="1:15" x14ac:dyDescent="0.3">
      <c r="A164" s="8">
        <v>162</v>
      </c>
      <c r="B164" s="14">
        <v>46082</v>
      </c>
      <c r="C164" s="2" t="s">
        <v>1324</v>
      </c>
      <c r="D164" s="2" t="s">
        <v>5</v>
      </c>
      <c r="E164" s="2" t="s">
        <v>935</v>
      </c>
      <c r="F164" s="2">
        <v>2</v>
      </c>
      <c r="G164" s="2" t="s">
        <v>882</v>
      </c>
      <c r="H164" s="2" t="s">
        <v>505</v>
      </c>
      <c r="I164" s="2" t="s">
        <v>1092</v>
      </c>
      <c r="J164" s="2" t="s">
        <v>1110</v>
      </c>
      <c r="K164" s="2">
        <v>5158</v>
      </c>
      <c r="L164" s="2">
        <v>5158</v>
      </c>
      <c r="M164" s="2">
        <v>103.16</v>
      </c>
      <c r="N164" s="2">
        <v>103</v>
      </c>
      <c r="O164" s="2">
        <f t="shared" si="2"/>
        <v>2000</v>
      </c>
    </row>
    <row r="165" spans="1:15" x14ac:dyDescent="0.3">
      <c r="A165" s="8">
        <v>163</v>
      </c>
      <c r="B165" s="14">
        <v>46082</v>
      </c>
      <c r="C165" s="2" t="s">
        <v>1325</v>
      </c>
      <c r="D165" s="2" t="s">
        <v>5</v>
      </c>
      <c r="E165" s="2" t="s">
        <v>935</v>
      </c>
      <c r="F165" s="2">
        <v>2</v>
      </c>
      <c r="G165" s="2" t="s">
        <v>883</v>
      </c>
      <c r="H165" s="2" t="s">
        <v>513</v>
      </c>
      <c r="I165" s="2" t="s">
        <v>1092</v>
      </c>
      <c r="J165" s="2" t="s">
        <v>1110</v>
      </c>
      <c r="K165" s="2">
        <v>6804</v>
      </c>
      <c r="L165" s="2">
        <v>6804</v>
      </c>
      <c r="M165" s="2">
        <v>136.08000000000001</v>
      </c>
      <c r="N165" s="2">
        <v>136</v>
      </c>
      <c r="O165" s="2">
        <f t="shared" si="2"/>
        <v>2000</v>
      </c>
    </row>
    <row r="166" spans="1:15" x14ac:dyDescent="0.3">
      <c r="A166" s="8">
        <v>164</v>
      </c>
      <c r="B166" s="14">
        <v>46082</v>
      </c>
      <c r="C166" s="2" t="s">
        <v>1326</v>
      </c>
      <c r="D166" s="2" t="s">
        <v>5</v>
      </c>
      <c r="E166" s="2" t="s">
        <v>935</v>
      </c>
      <c r="F166" s="2">
        <v>2</v>
      </c>
      <c r="G166" s="2" t="s">
        <v>884</v>
      </c>
      <c r="H166" s="2" t="s">
        <v>521</v>
      </c>
      <c r="I166" s="2" t="s">
        <v>1092</v>
      </c>
      <c r="J166" s="2" t="s">
        <v>1110</v>
      </c>
      <c r="K166" s="2">
        <v>4384</v>
      </c>
      <c r="L166" s="2">
        <v>4384</v>
      </c>
      <c r="M166" s="2">
        <v>87.68</v>
      </c>
      <c r="N166" s="2">
        <v>88</v>
      </c>
      <c r="O166" s="2">
        <f t="shared" si="2"/>
        <v>2000</v>
      </c>
    </row>
    <row r="167" spans="1:15" x14ac:dyDescent="0.3">
      <c r="A167" s="8">
        <v>165</v>
      </c>
      <c r="B167" s="14">
        <v>46082</v>
      </c>
      <c r="C167" s="2" t="s">
        <v>1240</v>
      </c>
      <c r="D167" s="2" t="s">
        <v>5</v>
      </c>
      <c r="E167" s="2" t="s">
        <v>935</v>
      </c>
      <c r="F167" s="2">
        <v>0.5</v>
      </c>
      <c r="G167" s="2" t="s">
        <v>885</v>
      </c>
      <c r="H167" s="2" t="s">
        <v>529</v>
      </c>
      <c r="I167" s="2" t="s">
        <v>1095</v>
      </c>
      <c r="J167" s="2" t="s">
        <v>1110</v>
      </c>
      <c r="K167" s="2">
        <v>946</v>
      </c>
      <c r="L167" s="2">
        <v>946</v>
      </c>
      <c r="M167" s="2">
        <v>18.920000000000002</v>
      </c>
      <c r="N167" s="2">
        <v>19</v>
      </c>
      <c r="O167" s="2">
        <f t="shared" si="2"/>
        <v>500</v>
      </c>
    </row>
    <row r="168" spans="1:15" x14ac:dyDescent="0.3">
      <c r="A168" s="8">
        <v>166</v>
      </c>
      <c r="B168" s="14">
        <v>46082</v>
      </c>
      <c r="C168" s="2" t="s">
        <v>1239</v>
      </c>
      <c r="D168" s="2" t="s">
        <v>5</v>
      </c>
      <c r="E168" s="2" t="s">
        <v>935</v>
      </c>
      <c r="F168" s="2">
        <v>0.5</v>
      </c>
      <c r="G168" s="2" t="s">
        <v>886</v>
      </c>
      <c r="H168" s="2" t="s">
        <v>539</v>
      </c>
      <c r="I168" s="2" t="s">
        <v>1096</v>
      </c>
      <c r="J168" s="2" t="s">
        <v>1110</v>
      </c>
      <c r="K168" s="2">
        <v>985</v>
      </c>
      <c r="L168" s="2">
        <v>985</v>
      </c>
      <c r="M168" s="2">
        <v>19.7</v>
      </c>
      <c r="N168" s="2">
        <v>20</v>
      </c>
      <c r="O168" s="2">
        <f t="shared" si="2"/>
        <v>500</v>
      </c>
    </row>
    <row r="169" spans="1:15" x14ac:dyDescent="0.3">
      <c r="A169" s="8">
        <v>167</v>
      </c>
      <c r="B169" s="14">
        <v>46082</v>
      </c>
      <c r="C169" s="2" t="s">
        <v>1241</v>
      </c>
      <c r="D169" s="2" t="s">
        <v>5</v>
      </c>
      <c r="E169" s="2" t="s">
        <v>935</v>
      </c>
      <c r="F169" s="2">
        <v>0.5</v>
      </c>
      <c r="G169" s="2" t="s">
        <v>887</v>
      </c>
      <c r="H169" s="2" t="s">
        <v>549</v>
      </c>
      <c r="I169" s="2" t="s">
        <v>1095</v>
      </c>
      <c r="J169" s="2" t="s">
        <v>1110</v>
      </c>
      <c r="K169" s="2">
        <v>843</v>
      </c>
      <c r="L169" s="2">
        <v>843</v>
      </c>
      <c r="M169" s="2">
        <v>16.86</v>
      </c>
      <c r="N169" s="2">
        <v>17</v>
      </c>
      <c r="O169" s="2">
        <f t="shared" si="2"/>
        <v>500</v>
      </c>
    </row>
    <row r="170" spans="1:15" x14ac:dyDescent="0.3">
      <c r="A170" s="8">
        <v>168</v>
      </c>
      <c r="B170" s="14">
        <v>46082</v>
      </c>
      <c r="C170" s="2" t="s">
        <v>1242</v>
      </c>
      <c r="D170" s="2" t="s">
        <v>5</v>
      </c>
      <c r="E170" s="2" t="s">
        <v>935</v>
      </c>
      <c r="F170" s="2">
        <v>0.5</v>
      </c>
      <c r="G170" s="2" t="s">
        <v>888</v>
      </c>
      <c r="H170" s="2" t="s">
        <v>559</v>
      </c>
      <c r="I170" s="2" t="s">
        <v>1095</v>
      </c>
      <c r="J170" s="2" t="s">
        <v>1110</v>
      </c>
      <c r="K170" s="2">
        <v>690</v>
      </c>
      <c r="L170" s="2">
        <v>690</v>
      </c>
      <c r="M170" s="2">
        <v>13.8</v>
      </c>
      <c r="N170" s="2">
        <v>14</v>
      </c>
      <c r="O170" s="2">
        <f t="shared" si="2"/>
        <v>500</v>
      </c>
    </row>
    <row r="171" spans="1:15" x14ac:dyDescent="0.3">
      <c r="A171" s="8">
        <v>169</v>
      </c>
      <c r="B171" s="14">
        <v>46082</v>
      </c>
      <c r="C171" s="2" t="s">
        <v>1243</v>
      </c>
      <c r="D171" s="2" t="s">
        <v>5</v>
      </c>
      <c r="E171" s="2" t="s">
        <v>935</v>
      </c>
      <c r="F171" s="2">
        <v>0.5</v>
      </c>
      <c r="G171" s="2" t="s">
        <v>889</v>
      </c>
      <c r="H171" s="2" t="s">
        <v>569</v>
      </c>
      <c r="I171" s="2" t="s">
        <v>1097</v>
      </c>
      <c r="J171" s="2" t="s">
        <v>1110</v>
      </c>
      <c r="K171" s="2">
        <v>375.5</v>
      </c>
      <c r="L171" s="2">
        <v>375.5</v>
      </c>
      <c r="M171" s="2">
        <v>7.51</v>
      </c>
      <c r="N171" s="2">
        <v>8</v>
      </c>
      <c r="O171" s="2">
        <f t="shared" si="2"/>
        <v>500</v>
      </c>
    </row>
    <row r="172" spans="1:15" x14ac:dyDescent="0.3">
      <c r="A172" s="8">
        <v>170</v>
      </c>
      <c r="B172" s="14">
        <v>46082</v>
      </c>
      <c r="C172" s="2" t="s">
        <v>1327</v>
      </c>
      <c r="D172" s="2" t="s">
        <v>5</v>
      </c>
      <c r="E172" s="2" t="s">
        <v>935</v>
      </c>
      <c r="F172" s="2">
        <v>0.5</v>
      </c>
      <c r="G172" s="2" t="s">
        <v>890</v>
      </c>
      <c r="H172" s="2" t="s">
        <v>579</v>
      </c>
      <c r="I172" s="2" t="s">
        <v>1098</v>
      </c>
      <c r="J172" s="2" t="s">
        <v>1110</v>
      </c>
      <c r="K172" s="2">
        <v>584</v>
      </c>
      <c r="L172" s="2">
        <v>584</v>
      </c>
      <c r="M172" s="2">
        <v>11.68</v>
      </c>
      <c r="N172" s="2">
        <v>12</v>
      </c>
      <c r="O172" s="2">
        <f t="shared" si="2"/>
        <v>500</v>
      </c>
    </row>
    <row r="173" spans="1:15" x14ac:dyDescent="0.3">
      <c r="A173" s="8">
        <v>171</v>
      </c>
      <c r="B173" s="14">
        <v>46082</v>
      </c>
      <c r="C173" s="2" t="s">
        <v>1245</v>
      </c>
      <c r="D173" s="2" t="s">
        <v>5</v>
      </c>
      <c r="E173" s="2" t="s">
        <v>935</v>
      </c>
      <c r="F173" s="2">
        <v>0.5</v>
      </c>
      <c r="G173" s="2" t="s">
        <v>1099</v>
      </c>
      <c r="H173" s="2" t="s">
        <v>589</v>
      </c>
      <c r="I173" s="2" t="s">
        <v>1097</v>
      </c>
      <c r="J173" s="2" t="s">
        <v>1110</v>
      </c>
      <c r="K173" s="2">
        <v>72.5</v>
      </c>
      <c r="L173" s="2">
        <v>72.5</v>
      </c>
      <c r="M173" s="2">
        <v>1.45</v>
      </c>
      <c r="N173" s="2">
        <v>1</v>
      </c>
      <c r="O173" s="2">
        <f t="shared" si="2"/>
        <v>500</v>
      </c>
    </row>
    <row r="174" spans="1:15" x14ac:dyDescent="0.3">
      <c r="A174" s="8">
        <v>172</v>
      </c>
      <c r="B174" s="14">
        <v>46082</v>
      </c>
      <c r="C174" s="2" t="s">
        <v>1328</v>
      </c>
      <c r="D174" s="2" t="s">
        <v>5</v>
      </c>
      <c r="E174" s="2" t="s">
        <v>935</v>
      </c>
      <c r="F174" s="2">
        <v>0.5</v>
      </c>
      <c r="G174" s="2" t="s">
        <v>1100</v>
      </c>
      <c r="H174" s="2" t="s">
        <v>599</v>
      </c>
      <c r="I174" s="2" t="s">
        <v>1098</v>
      </c>
      <c r="J174" s="2" t="s">
        <v>1110</v>
      </c>
      <c r="K174" s="2">
        <v>773.5</v>
      </c>
      <c r="L174" s="2">
        <v>773.5</v>
      </c>
      <c r="M174" s="2">
        <v>15.47</v>
      </c>
      <c r="N174" s="2">
        <v>15</v>
      </c>
      <c r="O174" s="2">
        <f t="shared" si="2"/>
        <v>500</v>
      </c>
    </row>
    <row r="175" spans="1:15" x14ac:dyDescent="0.3">
      <c r="A175" s="8">
        <v>173</v>
      </c>
      <c r="B175" s="14">
        <v>46082</v>
      </c>
      <c r="C175" s="2" t="s">
        <v>1329</v>
      </c>
      <c r="D175" s="2" t="s">
        <v>5</v>
      </c>
      <c r="E175" s="2" t="s">
        <v>935</v>
      </c>
      <c r="F175" s="2">
        <v>0.5</v>
      </c>
      <c r="G175" s="2" t="s">
        <v>1101</v>
      </c>
      <c r="H175" s="2" t="s">
        <v>609</v>
      </c>
      <c r="I175" s="2" t="s">
        <v>1102</v>
      </c>
      <c r="J175" s="2" t="s">
        <v>1110</v>
      </c>
      <c r="K175" s="2">
        <v>1585.5</v>
      </c>
      <c r="L175" s="2">
        <v>1585.5</v>
      </c>
      <c r="M175" s="2">
        <v>31.71</v>
      </c>
      <c r="N175" s="2">
        <v>32</v>
      </c>
      <c r="O175" s="2">
        <f t="shared" si="2"/>
        <v>500</v>
      </c>
    </row>
    <row r="176" spans="1:15" x14ac:dyDescent="0.3">
      <c r="A176" s="8">
        <v>174</v>
      </c>
      <c r="B176" s="14">
        <v>46082</v>
      </c>
      <c r="C176" s="2" t="s">
        <v>1330</v>
      </c>
      <c r="D176" s="2" t="s">
        <v>5</v>
      </c>
      <c r="E176" s="2" t="s">
        <v>935</v>
      </c>
      <c r="F176" s="2">
        <v>0.5</v>
      </c>
      <c r="G176" s="2" t="s">
        <v>906</v>
      </c>
      <c r="H176" s="2" t="s">
        <v>619</v>
      </c>
      <c r="I176" s="2" t="s">
        <v>1102</v>
      </c>
      <c r="J176" s="2" t="s">
        <v>1110</v>
      </c>
      <c r="K176" s="2">
        <v>1475</v>
      </c>
      <c r="L176" s="2">
        <v>1475</v>
      </c>
      <c r="M176" s="2">
        <v>29.5</v>
      </c>
      <c r="N176" s="2">
        <v>30</v>
      </c>
      <c r="O176" s="2">
        <f t="shared" si="2"/>
        <v>500</v>
      </c>
    </row>
    <row r="177" spans="1:15" x14ac:dyDescent="0.3">
      <c r="A177" s="8">
        <v>175</v>
      </c>
      <c r="B177" s="14">
        <v>46082</v>
      </c>
      <c r="C177" s="2" t="s">
        <v>1331</v>
      </c>
      <c r="D177" s="2" t="s">
        <v>5</v>
      </c>
      <c r="E177" s="2" t="s">
        <v>935</v>
      </c>
      <c r="F177" s="2">
        <v>0.5</v>
      </c>
      <c r="G177" s="2" t="s">
        <v>907</v>
      </c>
      <c r="H177" s="2" t="s">
        <v>629</v>
      </c>
      <c r="I177" s="2" t="s">
        <v>1103</v>
      </c>
      <c r="J177" s="2" t="s">
        <v>1110</v>
      </c>
      <c r="K177" s="2">
        <v>1224.5</v>
      </c>
      <c r="L177" s="2">
        <v>1224.5</v>
      </c>
      <c r="M177" s="2">
        <v>24.49</v>
      </c>
      <c r="N177" s="2">
        <v>24</v>
      </c>
      <c r="O177" s="2">
        <f t="shared" si="2"/>
        <v>500</v>
      </c>
    </row>
    <row r="178" spans="1:15" x14ac:dyDescent="0.3">
      <c r="A178" s="8">
        <v>176</v>
      </c>
      <c r="B178" s="14">
        <v>46082</v>
      </c>
      <c r="C178" s="2" t="s">
        <v>1332</v>
      </c>
      <c r="D178" s="2" t="s">
        <v>5</v>
      </c>
      <c r="E178" s="2" t="s">
        <v>935</v>
      </c>
      <c r="F178" s="2">
        <v>0.5</v>
      </c>
      <c r="G178" s="2" t="s">
        <v>908</v>
      </c>
      <c r="H178" s="2" t="s">
        <v>639</v>
      </c>
      <c r="I178" s="2" t="s">
        <v>1103</v>
      </c>
      <c r="J178" s="2" t="s">
        <v>1110</v>
      </c>
      <c r="K178" s="2">
        <v>1007</v>
      </c>
      <c r="L178" s="2">
        <v>1007</v>
      </c>
      <c r="M178" s="2">
        <v>20.14</v>
      </c>
      <c r="N178" s="2">
        <v>20</v>
      </c>
      <c r="O178" s="2">
        <f t="shared" si="2"/>
        <v>500</v>
      </c>
    </row>
    <row r="179" spans="1:15" x14ac:dyDescent="0.3">
      <c r="A179" s="8">
        <v>177</v>
      </c>
      <c r="B179" s="14">
        <v>46082</v>
      </c>
      <c r="C179" s="2" t="s">
        <v>1333</v>
      </c>
      <c r="D179" s="2" t="s">
        <v>5</v>
      </c>
      <c r="E179" s="2" t="s">
        <v>935</v>
      </c>
      <c r="F179" s="2">
        <v>2</v>
      </c>
      <c r="G179" s="2" t="s">
        <v>909</v>
      </c>
      <c r="H179" s="2" t="s">
        <v>649</v>
      </c>
      <c r="I179" s="2" t="s">
        <v>1104</v>
      </c>
      <c r="J179" s="2" t="s">
        <v>1110</v>
      </c>
      <c r="K179" s="2">
        <v>6074</v>
      </c>
      <c r="L179" s="2">
        <v>6074</v>
      </c>
      <c r="M179" s="2">
        <v>121.48</v>
      </c>
      <c r="N179" s="2">
        <v>121</v>
      </c>
      <c r="O179" s="2">
        <f t="shared" si="2"/>
        <v>2000</v>
      </c>
    </row>
    <row r="180" spans="1:15" x14ac:dyDescent="0.3">
      <c r="A180" s="8">
        <v>178</v>
      </c>
      <c r="B180" s="14">
        <v>46082</v>
      </c>
      <c r="C180" s="2" t="s">
        <v>1334</v>
      </c>
      <c r="D180" s="2" t="s">
        <v>5</v>
      </c>
      <c r="E180" s="2" t="s">
        <v>935</v>
      </c>
      <c r="F180" s="2">
        <v>0.5</v>
      </c>
      <c r="G180" s="2" t="s">
        <v>910</v>
      </c>
      <c r="H180" s="2" t="s">
        <v>657</v>
      </c>
      <c r="I180" s="2" t="s">
        <v>1103</v>
      </c>
      <c r="J180" s="2" t="s">
        <v>1110</v>
      </c>
      <c r="K180" s="2">
        <v>1449</v>
      </c>
      <c r="L180" s="2">
        <v>1449</v>
      </c>
      <c r="M180" s="2">
        <v>28.98</v>
      </c>
      <c r="N180" s="2">
        <v>29</v>
      </c>
      <c r="O180" s="2">
        <f t="shared" si="2"/>
        <v>500</v>
      </c>
    </row>
    <row r="181" spans="1:15" x14ac:dyDescent="0.3">
      <c r="A181" s="8">
        <v>179</v>
      </c>
      <c r="B181" s="14">
        <v>46082</v>
      </c>
      <c r="C181" s="2" t="s">
        <v>1335</v>
      </c>
      <c r="D181" s="2" t="s">
        <v>5</v>
      </c>
      <c r="E181" s="2" t="s">
        <v>935</v>
      </c>
      <c r="F181" s="2">
        <v>0.5</v>
      </c>
      <c r="G181" s="2" t="s">
        <v>911</v>
      </c>
      <c r="H181" s="2" t="s">
        <v>667</v>
      </c>
      <c r="I181" s="2" t="s">
        <v>1103</v>
      </c>
      <c r="J181" s="2" t="s">
        <v>1110</v>
      </c>
      <c r="K181" s="2">
        <v>1182</v>
      </c>
      <c r="L181" s="2">
        <v>1182</v>
      </c>
      <c r="M181" s="2">
        <v>23.64</v>
      </c>
      <c r="N181" s="2">
        <v>24</v>
      </c>
      <c r="O181" s="2">
        <f t="shared" si="2"/>
        <v>500</v>
      </c>
    </row>
    <row r="182" spans="1:15" x14ac:dyDescent="0.3">
      <c r="A182" s="8">
        <v>180</v>
      </c>
      <c r="B182" s="14">
        <v>46082</v>
      </c>
      <c r="C182" s="2" t="s">
        <v>1336</v>
      </c>
      <c r="D182" s="2" t="s">
        <v>5</v>
      </c>
      <c r="E182" s="2" t="s">
        <v>935</v>
      </c>
      <c r="F182" s="2">
        <v>2</v>
      </c>
      <c r="G182" s="2" t="s">
        <v>912</v>
      </c>
      <c r="H182" s="2" t="s">
        <v>677</v>
      </c>
      <c r="I182" s="2" t="s">
        <v>1105</v>
      </c>
      <c r="J182" s="2" t="s">
        <v>1110</v>
      </c>
      <c r="K182" s="2">
        <v>426</v>
      </c>
      <c r="L182" s="2">
        <v>426</v>
      </c>
      <c r="M182" s="2">
        <v>8.52</v>
      </c>
      <c r="N182" s="2">
        <v>9</v>
      </c>
      <c r="O182" s="2">
        <f t="shared" si="2"/>
        <v>2000</v>
      </c>
    </row>
    <row r="183" spans="1:15" x14ac:dyDescent="0.3">
      <c r="A183" s="8">
        <v>181</v>
      </c>
      <c r="B183" s="14">
        <v>46082</v>
      </c>
      <c r="C183" s="2" t="s">
        <v>1337</v>
      </c>
      <c r="D183" s="2" t="s">
        <v>5</v>
      </c>
      <c r="E183" s="2" t="s">
        <v>935</v>
      </c>
      <c r="F183" s="2">
        <v>2</v>
      </c>
      <c r="G183" s="2" t="s">
        <v>913</v>
      </c>
      <c r="H183" s="2" t="s">
        <v>685</v>
      </c>
      <c r="I183" s="2" t="s">
        <v>1106</v>
      </c>
      <c r="J183" s="2" t="s">
        <v>1110</v>
      </c>
      <c r="K183" s="2">
        <v>5632</v>
      </c>
      <c r="L183" s="2">
        <v>5632</v>
      </c>
      <c r="M183" s="2">
        <v>112.64</v>
      </c>
      <c r="N183" s="2">
        <v>113</v>
      </c>
      <c r="O183" s="2">
        <f t="shared" si="2"/>
        <v>2000</v>
      </c>
    </row>
    <row r="184" spans="1:15" x14ac:dyDescent="0.3">
      <c r="A184" s="8">
        <v>182</v>
      </c>
      <c r="B184" s="14">
        <v>46082</v>
      </c>
      <c r="C184" s="2" t="s">
        <v>1338</v>
      </c>
      <c r="D184" s="2" t="s">
        <v>5</v>
      </c>
      <c r="E184" s="2" t="s">
        <v>935</v>
      </c>
      <c r="F184" s="2">
        <v>2</v>
      </c>
      <c r="G184" s="2" t="s">
        <v>914</v>
      </c>
      <c r="H184" s="2" t="s">
        <v>693</v>
      </c>
      <c r="I184" s="2" t="s">
        <v>1106</v>
      </c>
      <c r="J184" s="2" t="s">
        <v>1110</v>
      </c>
      <c r="K184" s="2">
        <v>5868</v>
      </c>
      <c r="L184" s="2">
        <v>5868</v>
      </c>
      <c r="M184" s="2">
        <v>117.36</v>
      </c>
      <c r="N184" s="2">
        <v>117</v>
      </c>
      <c r="O184" s="2">
        <f t="shared" si="2"/>
        <v>2000</v>
      </c>
    </row>
    <row r="185" spans="1:15" x14ac:dyDescent="0.3">
      <c r="A185" s="8">
        <v>183</v>
      </c>
      <c r="B185" s="14">
        <v>46082</v>
      </c>
      <c r="C185" s="2" t="s">
        <v>1339</v>
      </c>
      <c r="D185" s="2" t="s">
        <v>5</v>
      </c>
      <c r="E185" s="2" t="s">
        <v>935</v>
      </c>
      <c r="F185" s="2">
        <v>1.5</v>
      </c>
      <c r="G185" s="2" t="s">
        <v>915</v>
      </c>
      <c r="H185" s="2" t="s">
        <v>701</v>
      </c>
      <c r="I185" s="2" t="s">
        <v>1107</v>
      </c>
      <c r="J185" s="2" t="s">
        <v>1110</v>
      </c>
      <c r="K185" s="2">
        <v>4308</v>
      </c>
      <c r="L185" s="2">
        <v>4308</v>
      </c>
      <c r="M185" s="2">
        <v>86.16</v>
      </c>
      <c r="N185" s="2">
        <v>86</v>
      </c>
      <c r="O185" s="2">
        <f t="shared" si="2"/>
        <v>1500</v>
      </c>
    </row>
    <row r="186" spans="1:15" x14ac:dyDescent="0.3">
      <c r="A186" s="8">
        <v>184</v>
      </c>
      <c r="B186" s="14">
        <v>46082</v>
      </c>
      <c r="C186" s="2" t="s">
        <v>1340</v>
      </c>
      <c r="D186" s="2" t="s">
        <v>5</v>
      </c>
      <c r="E186" s="2" t="s">
        <v>935</v>
      </c>
      <c r="F186" s="2">
        <v>2</v>
      </c>
      <c r="G186" s="2" t="s">
        <v>917</v>
      </c>
      <c r="H186" s="2" t="s">
        <v>718</v>
      </c>
      <c r="I186" s="2" t="s">
        <v>1106</v>
      </c>
      <c r="J186" s="2" t="s">
        <v>1110</v>
      </c>
      <c r="K186" s="2">
        <v>5806</v>
      </c>
      <c r="L186" s="2">
        <v>5806</v>
      </c>
      <c r="M186" s="2">
        <v>116.12</v>
      </c>
      <c r="N186" s="2">
        <v>116</v>
      </c>
      <c r="O186" s="2">
        <f t="shared" si="2"/>
        <v>2000</v>
      </c>
    </row>
    <row r="187" spans="1:15" x14ac:dyDescent="0.3">
      <c r="A187" s="8">
        <v>185</v>
      </c>
      <c r="B187" s="14">
        <v>46082</v>
      </c>
      <c r="C187" s="2" t="s">
        <v>1341</v>
      </c>
      <c r="D187" s="2" t="s">
        <v>5</v>
      </c>
      <c r="E187" s="2" t="s">
        <v>935</v>
      </c>
      <c r="F187" s="2">
        <v>1.5</v>
      </c>
      <c r="G187" s="2" t="s">
        <v>918</v>
      </c>
      <c r="H187" s="2" t="s">
        <v>726</v>
      </c>
      <c r="I187" s="2" t="s">
        <v>1107</v>
      </c>
      <c r="J187" s="2" t="s">
        <v>1110</v>
      </c>
      <c r="K187" s="2">
        <v>4545</v>
      </c>
      <c r="L187" s="2">
        <v>4545</v>
      </c>
      <c r="M187" s="2">
        <v>90.9</v>
      </c>
      <c r="N187" s="2">
        <v>91</v>
      </c>
      <c r="O187" s="2">
        <f t="shared" si="2"/>
        <v>1500</v>
      </c>
    </row>
    <row r="188" spans="1:15" x14ac:dyDescent="0.3">
      <c r="A188" s="8">
        <v>186</v>
      </c>
      <c r="B188" s="14">
        <v>46082</v>
      </c>
      <c r="C188" s="2" t="s">
        <v>1342</v>
      </c>
      <c r="D188" s="2" t="s">
        <v>5</v>
      </c>
      <c r="E188" s="2" t="s">
        <v>935</v>
      </c>
      <c r="F188" s="2">
        <v>2</v>
      </c>
      <c r="G188" s="2" t="s">
        <v>919</v>
      </c>
      <c r="H188" s="2" t="s">
        <v>734</v>
      </c>
      <c r="I188" s="2" t="s">
        <v>1106</v>
      </c>
      <c r="J188" s="2" t="s">
        <v>1110</v>
      </c>
      <c r="K188" s="2">
        <v>5728</v>
      </c>
      <c r="L188" s="2">
        <v>5728</v>
      </c>
      <c r="M188" s="2">
        <v>114.56</v>
      </c>
      <c r="N188" s="2">
        <v>115</v>
      </c>
      <c r="O188" s="2">
        <f t="shared" si="2"/>
        <v>2000</v>
      </c>
    </row>
    <row r="189" spans="1:15" x14ac:dyDescent="0.3">
      <c r="A189" s="8">
        <v>187</v>
      </c>
      <c r="B189" s="14">
        <v>46082</v>
      </c>
      <c r="C189" s="2" t="s">
        <v>1343</v>
      </c>
      <c r="D189" s="2" t="s">
        <v>5</v>
      </c>
      <c r="E189" s="2" t="s">
        <v>935</v>
      </c>
      <c r="F189" s="2">
        <v>1.5</v>
      </c>
      <c r="G189" s="2" t="s">
        <v>920</v>
      </c>
      <c r="H189" s="2" t="s">
        <v>742</v>
      </c>
      <c r="I189" s="2" t="s">
        <v>1107</v>
      </c>
      <c r="J189" s="2" t="s">
        <v>1110</v>
      </c>
      <c r="K189" s="2">
        <v>168</v>
      </c>
      <c r="L189" s="2">
        <v>168</v>
      </c>
      <c r="M189" s="2">
        <v>3.36</v>
      </c>
      <c r="N189" s="2">
        <v>3</v>
      </c>
      <c r="O189" s="2">
        <f t="shared" si="2"/>
        <v>1500</v>
      </c>
    </row>
    <row r="190" spans="1:15" x14ac:dyDescent="0.3">
      <c r="A190" s="8">
        <v>188</v>
      </c>
      <c r="B190" s="14">
        <v>46082</v>
      </c>
      <c r="C190" s="2" t="s">
        <v>1344</v>
      </c>
      <c r="D190" s="2" t="s">
        <v>5</v>
      </c>
      <c r="E190" s="2" t="s">
        <v>935</v>
      </c>
      <c r="F190" s="2">
        <v>2</v>
      </c>
      <c r="G190" s="2" t="s">
        <v>921</v>
      </c>
      <c r="H190" s="2" t="s">
        <v>750</v>
      </c>
      <c r="I190" s="2" t="s">
        <v>1106</v>
      </c>
      <c r="J190" s="2" t="s">
        <v>1110</v>
      </c>
      <c r="K190" s="2">
        <v>5650</v>
      </c>
      <c r="L190" s="2">
        <v>5650</v>
      </c>
      <c r="M190" s="2">
        <v>113</v>
      </c>
      <c r="N190" s="2">
        <v>113</v>
      </c>
      <c r="O190" s="2">
        <f t="shared" si="2"/>
        <v>2000</v>
      </c>
    </row>
    <row r="191" spans="1:15" x14ac:dyDescent="0.3">
      <c r="A191" s="8">
        <v>189</v>
      </c>
      <c r="B191" s="14">
        <v>46082</v>
      </c>
      <c r="C191" s="2" t="s">
        <v>1345</v>
      </c>
      <c r="D191" s="2" t="s">
        <v>5</v>
      </c>
      <c r="E191" s="2" t="s">
        <v>935</v>
      </c>
      <c r="F191" s="2">
        <v>2</v>
      </c>
      <c r="G191" s="2" t="s">
        <v>922</v>
      </c>
      <c r="H191" s="2" t="s">
        <v>758</v>
      </c>
      <c r="I191" s="2" t="s">
        <v>1106</v>
      </c>
      <c r="J191" s="2" t="s">
        <v>1110</v>
      </c>
      <c r="K191" s="2">
        <v>5686</v>
      </c>
      <c r="L191" s="2">
        <v>5686</v>
      </c>
      <c r="M191" s="2">
        <v>113.72</v>
      </c>
      <c r="N191" s="2">
        <v>114</v>
      </c>
      <c r="O191" s="2">
        <f t="shared" si="2"/>
        <v>2000</v>
      </c>
    </row>
    <row r="192" spans="1:15" x14ac:dyDescent="0.3">
      <c r="A192" s="8">
        <v>190</v>
      </c>
      <c r="B192" s="14">
        <v>46082</v>
      </c>
      <c r="C192" s="2" t="s">
        <v>1346</v>
      </c>
      <c r="D192" s="2" t="s">
        <v>5</v>
      </c>
      <c r="E192" s="2" t="s">
        <v>935</v>
      </c>
      <c r="F192" s="2">
        <v>2</v>
      </c>
      <c r="G192" s="2" t="s">
        <v>924</v>
      </c>
      <c r="H192" s="2" t="s">
        <v>775</v>
      </c>
      <c r="I192" s="2" t="s">
        <v>1106</v>
      </c>
      <c r="J192" s="2" t="s">
        <v>1110</v>
      </c>
      <c r="K192" s="2">
        <v>6398</v>
      </c>
      <c r="L192" s="2">
        <v>6398</v>
      </c>
      <c r="M192" s="2">
        <v>127.96</v>
      </c>
      <c r="N192" s="2">
        <v>128</v>
      </c>
      <c r="O192" s="2">
        <f t="shared" si="2"/>
        <v>2000</v>
      </c>
    </row>
    <row r="193" spans="1:15" x14ac:dyDescent="0.3">
      <c r="A193" s="8">
        <v>191</v>
      </c>
      <c r="B193" s="14">
        <v>46082</v>
      </c>
      <c r="C193" s="2" t="s">
        <v>1267</v>
      </c>
      <c r="D193" s="2" t="s">
        <v>5</v>
      </c>
      <c r="E193" s="2" t="s">
        <v>935</v>
      </c>
      <c r="F193" s="2">
        <v>1.5</v>
      </c>
      <c r="G193" s="2" t="s">
        <v>925</v>
      </c>
      <c r="H193" s="2" t="s">
        <v>783</v>
      </c>
      <c r="I193" s="2" t="s">
        <v>1107</v>
      </c>
      <c r="J193" s="2" t="s">
        <v>1110</v>
      </c>
      <c r="K193" s="2">
        <v>4249.5</v>
      </c>
      <c r="L193" s="2">
        <v>4249.5</v>
      </c>
      <c r="M193" s="2">
        <v>84.99</v>
      </c>
      <c r="N193" s="2">
        <v>85</v>
      </c>
      <c r="O193" s="2">
        <f t="shared" si="2"/>
        <v>1500</v>
      </c>
    </row>
    <row r="194" spans="1:15" x14ac:dyDescent="0.3">
      <c r="A194" s="8">
        <v>192</v>
      </c>
      <c r="B194" s="14">
        <v>46082</v>
      </c>
      <c r="C194" s="2" t="s">
        <v>1347</v>
      </c>
      <c r="D194" s="2" t="s">
        <v>5</v>
      </c>
      <c r="E194" s="2" t="s">
        <v>935</v>
      </c>
      <c r="F194" s="2">
        <v>2</v>
      </c>
      <c r="G194" s="2" t="s">
        <v>926</v>
      </c>
      <c r="H194" s="2" t="s">
        <v>791</v>
      </c>
      <c r="I194" s="2" t="s">
        <v>1106</v>
      </c>
      <c r="J194" s="2" t="s">
        <v>1110</v>
      </c>
      <c r="K194" s="2">
        <v>6030</v>
      </c>
      <c r="L194" s="2">
        <v>6030</v>
      </c>
      <c r="M194" s="2">
        <v>120.6</v>
      </c>
      <c r="N194" s="2">
        <v>121</v>
      </c>
      <c r="O194" s="2">
        <f t="shared" si="2"/>
        <v>2000</v>
      </c>
    </row>
    <row r="195" spans="1:15" x14ac:dyDescent="0.3">
      <c r="A195" s="8">
        <v>193</v>
      </c>
      <c r="B195" s="14">
        <v>46082</v>
      </c>
      <c r="C195" s="2" t="s">
        <v>1348</v>
      </c>
      <c r="D195" s="2" t="s">
        <v>5</v>
      </c>
      <c r="E195" s="2" t="s">
        <v>935</v>
      </c>
      <c r="F195" s="2">
        <v>2</v>
      </c>
      <c r="G195" s="2" t="s">
        <v>928</v>
      </c>
      <c r="H195" s="2" t="s">
        <v>808</v>
      </c>
      <c r="I195" s="2" t="s">
        <v>1104</v>
      </c>
      <c r="J195" s="2" t="s">
        <v>1110</v>
      </c>
      <c r="K195" s="2">
        <v>1684</v>
      </c>
      <c r="L195" s="2">
        <v>1684</v>
      </c>
      <c r="M195" s="2">
        <v>33.68</v>
      </c>
      <c r="N195" s="2">
        <v>34</v>
      </c>
      <c r="O195" s="2">
        <f t="shared" ref="O195:O258" si="3">F195*1000</f>
        <v>2000</v>
      </c>
    </row>
    <row r="196" spans="1:15" x14ac:dyDescent="0.3">
      <c r="A196" s="8">
        <v>194</v>
      </c>
      <c r="B196" s="14">
        <v>46082</v>
      </c>
      <c r="C196" s="2" t="s">
        <v>1349</v>
      </c>
      <c r="D196" s="2" t="s">
        <v>5</v>
      </c>
      <c r="E196" s="2" t="s">
        <v>935</v>
      </c>
      <c r="F196" s="2">
        <v>2</v>
      </c>
      <c r="G196" s="2" t="s">
        <v>929</v>
      </c>
      <c r="H196" s="2" t="s">
        <v>816</v>
      </c>
      <c r="I196" s="2" t="s">
        <v>1104</v>
      </c>
      <c r="J196" s="2" t="s">
        <v>1110</v>
      </c>
      <c r="K196" s="2">
        <v>1688</v>
      </c>
      <c r="L196" s="2">
        <v>1688</v>
      </c>
      <c r="M196" s="2">
        <v>33.76</v>
      </c>
      <c r="N196" s="2">
        <v>34</v>
      </c>
      <c r="O196" s="2">
        <f t="shared" si="3"/>
        <v>2000</v>
      </c>
    </row>
    <row r="197" spans="1:15" x14ac:dyDescent="0.3">
      <c r="A197" s="8">
        <v>195</v>
      </c>
      <c r="B197" s="14">
        <v>46082</v>
      </c>
      <c r="C197" s="2" t="s">
        <v>1350</v>
      </c>
      <c r="D197" s="2" t="s">
        <v>5</v>
      </c>
      <c r="E197" s="2" t="s">
        <v>935</v>
      </c>
      <c r="F197" s="2">
        <v>1.5</v>
      </c>
      <c r="G197" s="2" t="s">
        <v>930</v>
      </c>
      <c r="H197" s="2" t="s">
        <v>824</v>
      </c>
      <c r="I197" s="2" t="s">
        <v>1107</v>
      </c>
      <c r="J197" s="2" t="s">
        <v>1110</v>
      </c>
      <c r="K197" s="2">
        <v>138</v>
      </c>
      <c r="L197" s="2">
        <v>138</v>
      </c>
      <c r="M197" s="2">
        <v>2.76</v>
      </c>
      <c r="N197" s="2">
        <v>3</v>
      </c>
      <c r="O197" s="2">
        <f t="shared" si="3"/>
        <v>1500</v>
      </c>
    </row>
    <row r="198" spans="1:15" x14ac:dyDescent="0.3">
      <c r="A198" s="8">
        <v>196</v>
      </c>
      <c r="B198" s="14">
        <v>46082</v>
      </c>
      <c r="C198" s="2" t="s">
        <v>1351</v>
      </c>
      <c r="D198" s="2" t="s">
        <v>5</v>
      </c>
      <c r="E198" s="2" t="s">
        <v>935</v>
      </c>
      <c r="F198" s="2">
        <v>2</v>
      </c>
      <c r="G198" s="2" t="s">
        <v>931</v>
      </c>
      <c r="H198" s="2" t="s">
        <v>832</v>
      </c>
      <c r="I198" s="2" t="s">
        <v>1106</v>
      </c>
      <c r="J198" s="2" t="s">
        <v>1110</v>
      </c>
      <c r="K198" s="2">
        <v>2806</v>
      </c>
      <c r="L198" s="2">
        <v>2806</v>
      </c>
      <c r="M198" s="2">
        <v>56.12</v>
      </c>
      <c r="N198" s="2">
        <v>56</v>
      </c>
      <c r="O198" s="2">
        <f t="shared" si="3"/>
        <v>2000</v>
      </c>
    </row>
    <row r="199" spans="1:15" x14ac:dyDescent="0.3">
      <c r="A199" s="8">
        <v>197</v>
      </c>
      <c r="B199" s="14">
        <v>46113</v>
      </c>
      <c r="C199" s="2" t="s">
        <v>1269</v>
      </c>
      <c r="D199" s="2" t="s">
        <v>10</v>
      </c>
      <c r="E199" s="2" t="s">
        <v>935</v>
      </c>
      <c r="F199" s="2">
        <v>1.75</v>
      </c>
      <c r="G199" s="2" t="s">
        <v>1045</v>
      </c>
      <c r="H199" s="2" t="s">
        <v>11</v>
      </c>
      <c r="I199" s="2" t="s">
        <v>1046</v>
      </c>
      <c r="J199" s="2" t="s">
        <v>1110</v>
      </c>
      <c r="K199" s="2">
        <v>3412.5</v>
      </c>
      <c r="L199" s="2">
        <v>3412.5</v>
      </c>
      <c r="M199" s="2">
        <v>68.25</v>
      </c>
      <c r="N199" s="2">
        <v>68</v>
      </c>
      <c r="O199" s="2">
        <f t="shared" si="3"/>
        <v>1750</v>
      </c>
    </row>
    <row r="200" spans="1:15" x14ac:dyDescent="0.3">
      <c r="A200" s="8">
        <v>198</v>
      </c>
      <c r="B200" s="14">
        <v>46113</v>
      </c>
      <c r="C200" s="2" t="s">
        <v>1282</v>
      </c>
      <c r="D200" s="2" t="s">
        <v>10</v>
      </c>
      <c r="E200" s="2" t="s">
        <v>935</v>
      </c>
      <c r="F200" s="2">
        <v>1.75</v>
      </c>
      <c r="G200" s="2" t="s">
        <v>1048</v>
      </c>
      <c r="H200" s="2" t="s">
        <v>944</v>
      </c>
      <c r="I200" s="2" t="s">
        <v>1049</v>
      </c>
      <c r="J200" s="2" t="s">
        <v>1110</v>
      </c>
      <c r="K200" s="2">
        <v>934.5</v>
      </c>
      <c r="L200" s="2">
        <v>934.5</v>
      </c>
      <c r="M200" s="2">
        <v>18.690000000000001</v>
      </c>
      <c r="N200" s="2">
        <v>19</v>
      </c>
      <c r="O200" s="2">
        <f t="shared" si="3"/>
        <v>1750</v>
      </c>
    </row>
    <row r="201" spans="1:15" x14ac:dyDescent="0.3">
      <c r="A201" s="8">
        <v>199</v>
      </c>
      <c r="B201" s="14">
        <v>46113</v>
      </c>
      <c r="C201" s="2" t="s">
        <v>1270</v>
      </c>
      <c r="D201" s="2" t="s">
        <v>10</v>
      </c>
      <c r="E201" s="2" t="s">
        <v>935</v>
      </c>
      <c r="F201" s="2">
        <v>1.75</v>
      </c>
      <c r="G201" s="2" t="s">
        <v>1050</v>
      </c>
      <c r="H201" s="2" t="s">
        <v>22</v>
      </c>
      <c r="I201" s="2" t="s">
        <v>1046</v>
      </c>
      <c r="J201" s="2" t="s">
        <v>1110</v>
      </c>
      <c r="K201" s="2">
        <v>6711.25</v>
      </c>
      <c r="L201" s="2">
        <v>6711.25</v>
      </c>
      <c r="M201" s="2">
        <v>134.22499999999999</v>
      </c>
      <c r="N201" s="2">
        <v>134</v>
      </c>
      <c r="O201" s="2">
        <f t="shared" si="3"/>
        <v>1750</v>
      </c>
    </row>
    <row r="202" spans="1:15" x14ac:dyDescent="0.3">
      <c r="A202" s="8">
        <v>200</v>
      </c>
      <c r="B202" s="14">
        <v>46113</v>
      </c>
      <c r="C202" s="2" t="s">
        <v>1283</v>
      </c>
      <c r="D202" s="2" t="s">
        <v>10</v>
      </c>
      <c r="E202" s="2" t="s">
        <v>935</v>
      </c>
      <c r="F202" s="2">
        <v>1.75</v>
      </c>
      <c r="G202" s="2" t="s">
        <v>1051</v>
      </c>
      <c r="H202" s="2" t="s">
        <v>30</v>
      </c>
      <c r="I202" s="2" t="s">
        <v>1052</v>
      </c>
      <c r="J202" s="2" t="s">
        <v>1110</v>
      </c>
      <c r="K202" s="2">
        <v>3708.25</v>
      </c>
      <c r="L202" s="2">
        <v>3708.25</v>
      </c>
      <c r="M202" s="2">
        <v>74.165000000000006</v>
      </c>
      <c r="N202" s="2">
        <v>74</v>
      </c>
      <c r="O202" s="2">
        <f t="shared" si="3"/>
        <v>1750</v>
      </c>
    </row>
    <row r="203" spans="1:15" x14ac:dyDescent="0.3">
      <c r="A203" s="8">
        <v>201</v>
      </c>
      <c r="B203" s="14">
        <v>46113</v>
      </c>
      <c r="C203" s="2" t="s">
        <v>1284</v>
      </c>
      <c r="D203" s="2" t="s">
        <v>10</v>
      </c>
      <c r="E203" s="2" t="s">
        <v>935</v>
      </c>
      <c r="F203" s="2">
        <v>1.75</v>
      </c>
      <c r="G203" s="2" t="s">
        <v>1053</v>
      </c>
      <c r="H203" s="2" t="s">
        <v>945</v>
      </c>
      <c r="I203" s="2" t="s">
        <v>1049</v>
      </c>
      <c r="J203" s="2" t="s">
        <v>1110</v>
      </c>
      <c r="K203" s="2">
        <v>1715</v>
      </c>
      <c r="L203" s="2">
        <v>1715</v>
      </c>
      <c r="M203" s="2">
        <v>34.299999999999997</v>
      </c>
      <c r="N203" s="2">
        <v>34</v>
      </c>
      <c r="O203" s="2">
        <f t="shared" si="3"/>
        <v>1750</v>
      </c>
    </row>
    <row r="204" spans="1:15" x14ac:dyDescent="0.3">
      <c r="A204" s="8">
        <v>202</v>
      </c>
      <c r="B204" s="14">
        <v>46113</v>
      </c>
      <c r="C204" s="2" t="s">
        <v>1271</v>
      </c>
      <c r="D204" s="2" t="s">
        <v>10</v>
      </c>
      <c r="E204" s="2" t="s">
        <v>935</v>
      </c>
      <c r="F204" s="2">
        <v>1.5</v>
      </c>
      <c r="G204" s="2" t="s">
        <v>1054</v>
      </c>
      <c r="H204" s="2" t="s">
        <v>39</v>
      </c>
      <c r="I204" s="2" t="s">
        <v>1055</v>
      </c>
      <c r="J204" s="2" t="s">
        <v>1110</v>
      </c>
      <c r="K204" s="2">
        <v>7296</v>
      </c>
      <c r="L204" s="2">
        <v>7296</v>
      </c>
      <c r="M204" s="2">
        <v>145.91999999999999</v>
      </c>
      <c r="N204" s="2">
        <v>146</v>
      </c>
      <c r="O204" s="2">
        <f t="shared" si="3"/>
        <v>1500</v>
      </c>
    </row>
    <row r="205" spans="1:15" x14ac:dyDescent="0.3">
      <c r="A205" s="8">
        <v>203</v>
      </c>
      <c r="B205" s="14">
        <v>46113</v>
      </c>
      <c r="C205" s="2" t="s">
        <v>1272</v>
      </c>
      <c r="D205" s="2" t="s">
        <v>10</v>
      </c>
      <c r="E205" s="2" t="s">
        <v>935</v>
      </c>
      <c r="F205" s="2">
        <v>1.5</v>
      </c>
      <c r="G205" s="2" t="s">
        <v>1056</v>
      </c>
      <c r="H205" s="2" t="s">
        <v>47</v>
      </c>
      <c r="I205" s="2" t="s">
        <v>1055</v>
      </c>
      <c r="J205" s="2" t="s">
        <v>1110</v>
      </c>
      <c r="K205" s="2">
        <v>6912</v>
      </c>
      <c r="L205" s="2">
        <v>6912</v>
      </c>
      <c r="M205" s="2">
        <v>138.24</v>
      </c>
      <c r="N205" s="2">
        <v>138</v>
      </c>
      <c r="O205" s="2">
        <f t="shared" si="3"/>
        <v>1500</v>
      </c>
    </row>
    <row r="206" spans="1:15" x14ac:dyDescent="0.3">
      <c r="A206" s="8">
        <v>204</v>
      </c>
      <c r="B206" s="14">
        <v>46113</v>
      </c>
      <c r="C206" s="2" t="s">
        <v>1273</v>
      </c>
      <c r="D206" s="2" t="s">
        <v>10</v>
      </c>
      <c r="E206" s="2" t="s">
        <v>935</v>
      </c>
      <c r="F206" s="2">
        <v>1.75</v>
      </c>
      <c r="G206" s="2" t="s">
        <v>1057</v>
      </c>
      <c r="H206" s="2" t="s">
        <v>55</v>
      </c>
      <c r="I206" s="2" t="s">
        <v>1058</v>
      </c>
      <c r="J206" s="2" t="s">
        <v>1110</v>
      </c>
      <c r="K206" s="2">
        <v>5703.25</v>
      </c>
      <c r="L206" s="2">
        <v>5703.25</v>
      </c>
      <c r="M206" s="2">
        <v>114.065</v>
      </c>
      <c r="N206" s="2">
        <v>114</v>
      </c>
      <c r="O206" s="2">
        <f t="shared" si="3"/>
        <v>1750</v>
      </c>
    </row>
    <row r="207" spans="1:15" x14ac:dyDescent="0.3">
      <c r="A207" s="8">
        <v>205</v>
      </c>
      <c r="B207" s="14">
        <v>46113</v>
      </c>
      <c r="C207" s="2" t="s">
        <v>1274</v>
      </c>
      <c r="D207" s="2" t="s">
        <v>10</v>
      </c>
      <c r="E207" s="2" t="s">
        <v>935</v>
      </c>
      <c r="F207" s="2">
        <v>1.75</v>
      </c>
      <c r="G207" s="2" t="s">
        <v>1059</v>
      </c>
      <c r="H207" s="2" t="s">
        <v>63</v>
      </c>
      <c r="I207" s="2" t="s">
        <v>1060</v>
      </c>
      <c r="J207" s="2" t="s">
        <v>1110</v>
      </c>
      <c r="K207" s="2">
        <v>4179</v>
      </c>
      <c r="L207" s="2">
        <v>4179</v>
      </c>
      <c r="M207" s="2">
        <v>83.58</v>
      </c>
      <c r="N207" s="2">
        <v>84</v>
      </c>
      <c r="O207" s="2">
        <f t="shared" si="3"/>
        <v>1750</v>
      </c>
    </row>
    <row r="208" spans="1:15" x14ac:dyDescent="0.3">
      <c r="A208" s="8">
        <v>206</v>
      </c>
      <c r="B208" s="14">
        <v>46113</v>
      </c>
      <c r="C208" s="2" t="s">
        <v>1285</v>
      </c>
      <c r="D208" s="2" t="s">
        <v>10</v>
      </c>
      <c r="E208" s="2" t="s">
        <v>935</v>
      </c>
      <c r="F208" s="2">
        <v>1.75</v>
      </c>
      <c r="G208" s="2" t="s">
        <v>860</v>
      </c>
      <c r="H208" s="2" t="s">
        <v>71</v>
      </c>
      <c r="I208" s="2" t="s">
        <v>1049</v>
      </c>
      <c r="J208" s="2" t="s">
        <v>1110</v>
      </c>
      <c r="K208" s="2">
        <v>540.75</v>
      </c>
      <c r="L208" s="2">
        <v>540.75</v>
      </c>
      <c r="M208" s="2">
        <v>10.815</v>
      </c>
      <c r="N208" s="2">
        <v>11</v>
      </c>
      <c r="O208" s="2">
        <f t="shared" si="3"/>
        <v>1750</v>
      </c>
    </row>
    <row r="209" spans="1:15" x14ac:dyDescent="0.3">
      <c r="A209" s="8">
        <v>207</v>
      </c>
      <c r="B209" s="14">
        <v>46113</v>
      </c>
      <c r="C209" s="2" t="s">
        <v>1286</v>
      </c>
      <c r="D209" s="2" t="s">
        <v>10</v>
      </c>
      <c r="E209" s="2" t="s">
        <v>935</v>
      </c>
      <c r="F209" s="2">
        <v>1.75</v>
      </c>
      <c r="G209" s="2" t="s">
        <v>861</v>
      </c>
      <c r="H209" s="2" t="s">
        <v>79</v>
      </c>
      <c r="I209" s="2" t="s">
        <v>1052</v>
      </c>
      <c r="J209" s="2" t="s">
        <v>1110</v>
      </c>
      <c r="K209" s="2">
        <v>7539</v>
      </c>
      <c r="L209" s="2">
        <v>7539</v>
      </c>
      <c r="M209" s="2">
        <v>150.78</v>
      </c>
      <c r="N209" s="2">
        <v>151</v>
      </c>
      <c r="O209" s="2">
        <f t="shared" si="3"/>
        <v>1750</v>
      </c>
    </row>
    <row r="210" spans="1:15" x14ac:dyDescent="0.3">
      <c r="A210" s="8">
        <v>208</v>
      </c>
      <c r="B210" s="14">
        <v>46113</v>
      </c>
      <c r="C210" s="2" t="s">
        <v>1287</v>
      </c>
      <c r="D210" s="2" t="s">
        <v>10</v>
      </c>
      <c r="E210" s="2" t="s">
        <v>935</v>
      </c>
      <c r="F210" s="2">
        <v>1.75</v>
      </c>
      <c r="G210" s="2" t="s">
        <v>862</v>
      </c>
      <c r="H210" s="2" t="s">
        <v>87</v>
      </c>
      <c r="I210" s="2" t="s">
        <v>1052</v>
      </c>
      <c r="J210" s="2" t="s">
        <v>1110</v>
      </c>
      <c r="K210" s="2">
        <v>6756.75</v>
      </c>
      <c r="L210" s="2">
        <v>6756.75</v>
      </c>
      <c r="M210" s="2">
        <v>135.13499999999999</v>
      </c>
      <c r="N210" s="2">
        <v>135</v>
      </c>
      <c r="O210" s="2">
        <f t="shared" si="3"/>
        <v>1750</v>
      </c>
    </row>
    <row r="211" spans="1:15" x14ac:dyDescent="0.3">
      <c r="A211" s="8">
        <v>209</v>
      </c>
      <c r="B211" s="14">
        <v>46113</v>
      </c>
      <c r="C211" s="2" t="s">
        <v>1288</v>
      </c>
      <c r="D211" s="2" t="s">
        <v>10</v>
      </c>
      <c r="E211" s="2" t="s">
        <v>935</v>
      </c>
      <c r="F211" s="2">
        <v>1.5</v>
      </c>
      <c r="G211" s="2" t="s">
        <v>1061</v>
      </c>
      <c r="H211" s="2" t="s">
        <v>95</v>
      </c>
      <c r="I211" s="2" t="s">
        <v>1062</v>
      </c>
      <c r="J211" s="2" t="s">
        <v>1110</v>
      </c>
      <c r="K211" s="2">
        <v>4177.5</v>
      </c>
      <c r="L211" s="2">
        <v>4177.5</v>
      </c>
      <c r="M211" s="2">
        <v>83.55</v>
      </c>
      <c r="N211" s="2">
        <v>84</v>
      </c>
      <c r="O211" s="2">
        <f t="shared" si="3"/>
        <v>1500</v>
      </c>
    </row>
    <row r="212" spans="1:15" x14ac:dyDescent="0.3">
      <c r="A212" s="8">
        <v>210</v>
      </c>
      <c r="B212" s="14">
        <v>46113</v>
      </c>
      <c r="C212" s="2" t="s">
        <v>1289</v>
      </c>
      <c r="D212" s="2" t="s">
        <v>10</v>
      </c>
      <c r="E212" s="2" t="s">
        <v>935</v>
      </c>
      <c r="F212" s="2">
        <v>1.5</v>
      </c>
      <c r="G212" s="2" t="s">
        <v>1063</v>
      </c>
      <c r="H212" s="2" t="s">
        <v>103</v>
      </c>
      <c r="I212" s="2" t="s">
        <v>1062</v>
      </c>
      <c r="J212" s="2" t="s">
        <v>1110</v>
      </c>
      <c r="K212" s="2">
        <v>3631.5</v>
      </c>
      <c r="L212" s="2">
        <v>3631.5</v>
      </c>
      <c r="M212" s="2">
        <v>72.63</v>
      </c>
      <c r="N212" s="2">
        <v>73</v>
      </c>
      <c r="O212" s="2">
        <f t="shared" si="3"/>
        <v>1500</v>
      </c>
    </row>
    <row r="213" spans="1:15" x14ac:dyDescent="0.3">
      <c r="A213" s="8">
        <v>211</v>
      </c>
      <c r="B213" s="14">
        <v>46113</v>
      </c>
      <c r="C213" s="2" t="s">
        <v>1290</v>
      </c>
      <c r="D213" s="2" t="s">
        <v>10</v>
      </c>
      <c r="E213" s="2" t="s">
        <v>935</v>
      </c>
      <c r="F213" s="2">
        <v>1.5</v>
      </c>
      <c r="G213" s="2" t="s">
        <v>1064</v>
      </c>
      <c r="H213" s="2" t="s">
        <v>111</v>
      </c>
      <c r="I213" s="2" t="s">
        <v>1062</v>
      </c>
      <c r="J213" s="2" t="s">
        <v>1110</v>
      </c>
      <c r="K213" s="2">
        <v>5646</v>
      </c>
      <c r="L213" s="2">
        <v>5646</v>
      </c>
      <c r="M213" s="2">
        <v>112.92</v>
      </c>
      <c r="N213" s="2">
        <v>113</v>
      </c>
      <c r="O213" s="2">
        <f t="shared" si="3"/>
        <v>1500</v>
      </c>
    </row>
    <row r="214" spans="1:15" x14ac:dyDescent="0.3">
      <c r="A214" s="8">
        <v>212</v>
      </c>
      <c r="B214" s="14">
        <v>46113</v>
      </c>
      <c r="C214" s="2" t="s">
        <v>1291</v>
      </c>
      <c r="D214" s="2" t="s">
        <v>10</v>
      </c>
      <c r="E214" s="2" t="s">
        <v>935</v>
      </c>
      <c r="F214" s="2">
        <v>1.5</v>
      </c>
      <c r="G214" s="2" t="s">
        <v>1065</v>
      </c>
      <c r="H214" s="2" t="s">
        <v>119</v>
      </c>
      <c r="I214" s="2" t="s">
        <v>1062</v>
      </c>
      <c r="J214" s="2" t="s">
        <v>1110</v>
      </c>
      <c r="K214" s="2">
        <v>4339.5</v>
      </c>
      <c r="L214" s="2">
        <v>4339.5</v>
      </c>
      <c r="M214" s="2">
        <v>86.79</v>
      </c>
      <c r="N214" s="2">
        <v>87</v>
      </c>
      <c r="O214" s="2">
        <f t="shared" si="3"/>
        <v>1500</v>
      </c>
    </row>
    <row r="215" spans="1:15" x14ac:dyDescent="0.3">
      <c r="A215" s="8">
        <v>213</v>
      </c>
      <c r="B215" s="14">
        <v>46113</v>
      </c>
      <c r="C215" s="2" t="s">
        <v>1275</v>
      </c>
      <c r="D215" s="2" t="s">
        <v>10</v>
      </c>
      <c r="E215" s="2" t="s">
        <v>935</v>
      </c>
      <c r="F215" s="2">
        <v>1.75</v>
      </c>
      <c r="G215" s="2" t="s">
        <v>891</v>
      </c>
      <c r="H215" s="2" t="s">
        <v>127</v>
      </c>
      <c r="I215" s="2" t="s">
        <v>1066</v>
      </c>
      <c r="J215" s="2" t="s">
        <v>1110</v>
      </c>
      <c r="K215" s="2">
        <v>5019</v>
      </c>
      <c r="L215" s="2">
        <v>5019</v>
      </c>
      <c r="M215" s="2">
        <v>100.38</v>
      </c>
      <c r="N215" s="2">
        <v>100</v>
      </c>
      <c r="O215" s="2">
        <f t="shared" si="3"/>
        <v>1750</v>
      </c>
    </row>
    <row r="216" spans="1:15" x14ac:dyDescent="0.3">
      <c r="A216" s="8">
        <v>214</v>
      </c>
      <c r="B216" s="14">
        <v>46113</v>
      </c>
      <c r="C216" s="2" t="s">
        <v>1276</v>
      </c>
      <c r="D216" s="2" t="s">
        <v>10</v>
      </c>
      <c r="E216" s="2" t="s">
        <v>935</v>
      </c>
      <c r="F216" s="2">
        <v>1.75</v>
      </c>
      <c r="G216" s="2" t="s">
        <v>892</v>
      </c>
      <c r="H216" s="2" t="s">
        <v>135</v>
      </c>
      <c r="I216" s="2" t="s">
        <v>1066</v>
      </c>
      <c r="J216" s="2" t="s">
        <v>1110</v>
      </c>
      <c r="K216" s="2">
        <v>6090</v>
      </c>
      <c r="L216" s="2">
        <v>6090</v>
      </c>
      <c r="M216" s="2">
        <v>121.8</v>
      </c>
      <c r="N216" s="2">
        <v>122</v>
      </c>
      <c r="O216" s="2">
        <f t="shared" si="3"/>
        <v>1750</v>
      </c>
    </row>
    <row r="217" spans="1:15" x14ac:dyDescent="0.3">
      <c r="A217" s="8">
        <v>215</v>
      </c>
      <c r="B217" s="14">
        <v>46113</v>
      </c>
      <c r="C217" s="2" t="s">
        <v>1277</v>
      </c>
      <c r="D217" s="2" t="s">
        <v>10</v>
      </c>
      <c r="E217" s="2" t="s">
        <v>935</v>
      </c>
      <c r="F217" s="2">
        <v>1.75</v>
      </c>
      <c r="G217" s="2" t="s">
        <v>893</v>
      </c>
      <c r="H217" s="2" t="s">
        <v>143</v>
      </c>
      <c r="I217" s="2" t="s">
        <v>1067</v>
      </c>
      <c r="J217" s="2" t="s">
        <v>1110</v>
      </c>
      <c r="K217" s="2">
        <v>7404.25</v>
      </c>
      <c r="L217" s="2">
        <v>7404.25</v>
      </c>
      <c r="M217" s="2">
        <v>148.08500000000001</v>
      </c>
      <c r="N217" s="2">
        <v>148</v>
      </c>
      <c r="O217" s="2">
        <f t="shared" si="3"/>
        <v>1750</v>
      </c>
    </row>
    <row r="218" spans="1:15" x14ac:dyDescent="0.3">
      <c r="A218" s="8">
        <v>216</v>
      </c>
      <c r="B218" s="14">
        <v>46113</v>
      </c>
      <c r="C218" s="2" t="s">
        <v>1278</v>
      </c>
      <c r="D218" s="2" t="s">
        <v>10</v>
      </c>
      <c r="E218" s="2" t="s">
        <v>935</v>
      </c>
      <c r="F218" s="2">
        <v>1.75</v>
      </c>
      <c r="G218" s="2" t="s">
        <v>894</v>
      </c>
      <c r="H218" s="2" t="s">
        <v>151</v>
      </c>
      <c r="I218" s="2" t="s">
        <v>1068</v>
      </c>
      <c r="J218" s="2" t="s">
        <v>1110</v>
      </c>
      <c r="K218" s="2">
        <v>6739.25</v>
      </c>
      <c r="L218" s="2">
        <v>6739.25</v>
      </c>
      <c r="M218" s="2">
        <v>134.785</v>
      </c>
      <c r="N218" s="2">
        <v>135</v>
      </c>
      <c r="O218" s="2">
        <f t="shared" si="3"/>
        <v>1750</v>
      </c>
    </row>
    <row r="219" spans="1:15" x14ac:dyDescent="0.3">
      <c r="A219" s="8">
        <v>217</v>
      </c>
      <c r="B219" s="14">
        <v>46113</v>
      </c>
      <c r="C219" s="2" t="s">
        <v>1279</v>
      </c>
      <c r="D219" s="2" t="s">
        <v>10</v>
      </c>
      <c r="E219" s="2" t="s">
        <v>935</v>
      </c>
      <c r="F219" s="2">
        <v>1.75</v>
      </c>
      <c r="G219" s="2" t="s">
        <v>895</v>
      </c>
      <c r="H219" s="2" t="s">
        <v>159</v>
      </c>
      <c r="I219" s="2" t="s">
        <v>1066</v>
      </c>
      <c r="J219" s="2" t="s">
        <v>1110</v>
      </c>
      <c r="K219" s="2">
        <v>5495</v>
      </c>
      <c r="L219" s="2">
        <v>5495</v>
      </c>
      <c r="M219" s="2">
        <v>109.9</v>
      </c>
      <c r="N219" s="2">
        <v>110</v>
      </c>
      <c r="O219" s="2">
        <f t="shared" si="3"/>
        <v>1750</v>
      </c>
    </row>
    <row r="220" spans="1:15" x14ac:dyDescent="0.3">
      <c r="A220" s="8">
        <v>218</v>
      </c>
      <c r="B220" s="14">
        <v>46113</v>
      </c>
      <c r="C220" s="2" t="s">
        <v>1280</v>
      </c>
      <c r="D220" s="2" t="s">
        <v>10</v>
      </c>
      <c r="E220" s="2" t="s">
        <v>935</v>
      </c>
      <c r="F220" s="2">
        <v>1.75</v>
      </c>
      <c r="G220" s="2" t="s">
        <v>896</v>
      </c>
      <c r="H220" s="2" t="s">
        <v>167</v>
      </c>
      <c r="I220" s="2" t="s">
        <v>1066</v>
      </c>
      <c r="J220" s="2" t="s">
        <v>1110</v>
      </c>
      <c r="K220" s="2">
        <v>6424.25</v>
      </c>
      <c r="L220" s="2">
        <v>6424.25</v>
      </c>
      <c r="M220" s="2">
        <v>128.48500000000001</v>
      </c>
      <c r="N220" s="2">
        <v>128</v>
      </c>
      <c r="O220" s="2">
        <f t="shared" si="3"/>
        <v>1750</v>
      </c>
    </row>
    <row r="221" spans="1:15" x14ac:dyDescent="0.3">
      <c r="A221" s="8">
        <v>219</v>
      </c>
      <c r="B221" s="14">
        <v>46113</v>
      </c>
      <c r="C221" s="2" t="s">
        <v>1281</v>
      </c>
      <c r="D221" s="2" t="s">
        <v>10</v>
      </c>
      <c r="E221" s="2" t="s">
        <v>935</v>
      </c>
      <c r="F221" s="2">
        <v>1.5</v>
      </c>
      <c r="G221" s="2" t="s">
        <v>897</v>
      </c>
      <c r="H221" s="2" t="s">
        <v>175</v>
      </c>
      <c r="I221" s="2" t="s">
        <v>1069</v>
      </c>
      <c r="J221" s="2" t="s">
        <v>1110</v>
      </c>
      <c r="K221" s="2">
        <v>6033</v>
      </c>
      <c r="L221" s="2">
        <v>6033</v>
      </c>
      <c r="M221" s="2">
        <v>120.66</v>
      </c>
      <c r="N221" s="2">
        <v>121</v>
      </c>
      <c r="O221" s="2">
        <f t="shared" si="3"/>
        <v>1500</v>
      </c>
    </row>
    <row r="222" spans="1:15" x14ac:dyDescent="0.3">
      <c r="A222" s="8">
        <v>220</v>
      </c>
      <c r="B222" s="14">
        <v>46113</v>
      </c>
      <c r="C222" s="2" t="s">
        <v>1292</v>
      </c>
      <c r="D222" s="2" t="s">
        <v>10</v>
      </c>
      <c r="E222" s="2" t="s">
        <v>935</v>
      </c>
      <c r="F222" s="2">
        <v>1.75</v>
      </c>
      <c r="G222" s="2" t="s">
        <v>898</v>
      </c>
      <c r="H222" s="2" t="s">
        <v>183</v>
      </c>
      <c r="I222" s="2" t="s">
        <v>1068</v>
      </c>
      <c r="J222" s="2" t="s">
        <v>1110</v>
      </c>
      <c r="K222" s="2">
        <v>6083</v>
      </c>
      <c r="L222" s="2">
        <v>6083</v>
      </c>
      <c r="M222" s="2">
        <v>121.66</v>
      </c>
      <c r="N222" s="2">
        <v>122</v>
      </c>
      <c r="O222" s="2">
        <f t="shared" si="3"/>
        <v>1750</v>
      </c>
    </row>
    <row r="223" spans="1:15" x14ac:dyDescent="0.3">
      <c r="A223" s="8">
        <v>221</v>
      </c>
      <c r="B223" s="14">
        <v>46113</v>
      </c>
      <c r="C223" s="2" t="s">
        <v>1293</v>
      </c>
      <c r="D223" s="2" t="s">
        <v>10</v>
      </c>
      <c r="E223" s="2" t="s">
        <v>935</v>
      </c>
      <c r="F223" s="2">
        <v>1.75</v>
      </c>
      <c r="G223" s="2" t="s">
        <v>899</v>
      </c>
      <c r="H223" s="2" t="s">
        <v>191</v>
      </c>
      <c r="I223" s="2" t="s">
        <v>1068</v>
      </c>
      <c r="J223" s="2" t="s">
        <v>1110</v>
      </c>
      <c r="K223" s="2">
        <v>7222.25</v>
      </c>
      <c r="L223" s="2">
        <v>7222.25</v>
      </c>
      <c r="M223" s="2">
        <v>144.44499999999999</v>
      </c>
      <c r="N223" s="2">
        <v>144</v>
      </c>
      <c r="O223" s="2">
        <f t="shared" si="3"/>
        <v>1750</v>
      </c>
    </row>
    <row r="224" spans="1:15" x14ac:dyDescent="0.3">
      <c r="A224" s="8">
        <v>222</v>
      </c>
      <c r="B224" s="14">
        <v>46113</v>
      </c>
      <c r="C224" s="2" t="s">
        <v>1135</v>
      </c>
      <c r="D224" s="2" t="s">
        <v>10</v>
      </c>
      <c r="E224" s="2" t="s">
        <v>935</v>
      </c>
      <c r="F224" s="2">
        <v>1.5</v>
      </c>
      <c r="G224" s="2" t="s">
        <v>900</v>
      </c>
      <c r="H224" s="2" t="s">
        <v>199</v>
      </c>
      <c r="I224" s="2" t="s">
        <v>1069</v>
      </c>
      <c r="J224" s="2" t="s">
        <v>1110</v>
      </c>
      <c r="K224" s="2">
        <v>6367.5</v>
      </c>
      <c r="L224" s="2">
        <v>6367.5</v>
      </c>
      <c r="M224" s="2">
        <v>127.35</v>
      </c>
      <c r="N224" s="2">
        <v>127</v>
      </c>
      <c r="O224" s="2">
        <f t="shared" si="3"/>
        <v>1500</v>
      </c>
    </row>
    <row r="225" spans="1:15" x14ac:dyDescent="0.3">
      <c r="A225" s="8">
        <v>223</v>
      </c>
      <c r="B225" s="14">
        <v>46113</v>
      </c>
      <c r="C225" s="2" t="s">
        <v>1149</v>
      </c>
      <c r="D225" s="2" t="s">
        <v>10</v>
      </c>
      <c r="E225" s="2" t="s">
        <v>935</v>
      </c>
      <c r="F225" s="2">
        <v>1.75</v>
      </c>
      <c r="G225" s="2" t="s">
        <v>901</v>
      </c>
      <c r="H225" s="2" t="s">
        <v>207</v>
      </c>
      <c r="I225" s="2" t="s">
        <v>1066</v>
      </c>
      <c r="J225" s="2" t="s">
        <v>1110</v>
      </c>
      <c r="K225" s="2">
        <v>5587.75</v>
      </c>
      <c r="L225" s="2">
        <v>5587.75</v>
      </c>
      <c r="M225" s="2">
        <v>111.755</v>
      </c>
      <c r="N225" s="2">
        <v>112</v>
      </c>
      <c r="O225" s="2">
        <f t="shared" si="3"/>
        <v>1750</v>
      </c>
    </row>
    <row r="226" spans="1:15" x14ac:dyDescent="0.3">
      <c r="A226" s="8">
        <v>224</v>
      </c>
      <c r="B226" s="14">
        <v>46113</v>
      </c>
      <c r="C226" s="2" t="s">
        <v>1137</v>
      </c>
      <c r="D226" s="2" t="s">
        <v>10</v>
      </c>
      <c r="E226" s="2" t="s">
        <v>935</v>
      </c>
      <c r="F226" s="2">
        <v>1.75</v>
      </c>
      <c r="G226" s="2" t="s">
        <v>902</v>
      </c>
      <c r="H226" s="2" t="s">
        <v>215</v>
      </c>
      <c r="I226" s="2" t="s">
        <v>1067</v>
      </c>
      <c r="J226" s="2" t="s">
        <v>1110</v>
      </c>
      <c r="K226" s="2">
        <v>7463.75</v>
      </c>
      <c r="L226" s="2">
        <v>7463.75</v>
      </c>
      <c r="M226" s="2">
        <v>149.27500000000001</v>
      </c>
      <c r="N226" s="2">
        <v>149</v>
      </c>
      <c r="O226" s="2">
        <f t="shared" si="3"/>
        <v>1750</v>
      </c>
    </row>
    <row r="227" spans="1:15" x14ac:dyDescent="0.3">
      <c r="A227" s="8">
        <v>225</v>
      </c>
      <c r="B227" s="14">
        <v>46113</v>
      </c>
      <c r="C227" s="2" t="s">
        <v>1131</v>
      </c>
      <c r="D227" s="2" t="s">
        <v>10</v>
      </c>
      <c r="E227" s="2" t="s">
        <v>935</v>
      </c>
      <c r="F227" s="2">
        <v>1.5</v>
      </c>
      <c r="G227" s="2" t="s">
        <v>903</v>
      </c>
      <c r="H227" s="2" t="s">
        <v>223</v>
      </c>
      <c r="I227" s="2" t="s">
        <v>1069</v>
      </c>
      <c r="J227" s="2" t="s">
        <v>1110</v>
      </c>
      <c r="K227" s="2">
        <v>6288</v>
      </c>
      <c r="L227" s="2">
        <v>6288</v>
      </c>
      <c r="M227" s="2">
        <v>125.76</v>
      </c>
      <c r="N227" s="2">
        <v>126</v>
      </c>
      <c r="O227" s="2">
        <f t="shared" si="3"/>
        <v>1500</v>
      </c>
    </row>
    <row r="228" spans="1:15" x14ac:dyDescent="0.3">
      <c r="A228" s="8">
        <v>226</v>
      </c>
      <c r="B228" s="14">
        <v>46113</v>
      </c>
      <c r="C228" s="2" t="s">
        <v>1130</v>
      </c>
      <c r="D228" s="2" t="s">
        <v>10</v>
      </c>
      <c r="E228" s="2" t="s">
        <v>935</v>
      </c>
      <c r="F228" s="2">
        <v>1.5</v>
      </c>
      <c r="G228" s="2" t="s">
        <v>904</v>
      </c>
      <c r="H228" s="2" t="s">
        <v>231</v>
      </c>
      <c r="I228" s="2" t="s">
        <v>1070</v>
      </c>
      <c r="J228" s="2" t="s">
        <v>1110</v>
      </c>
      <c r="K228" s="2">
        <v>189</v>
      </c>
      <c r="L228" s="2">
        <v>189</v>
      </c>
      <c r="M228" s="2">
        <v>3.78</v>
      </c>
      <c r="N228" s="2">
        <v>4</v>
      </c>
      <c r="O228" s="2">
        <f t="shared" si="3"/>
        <v>1500</v>
      </c>
    </row>
    <row r="229" spans="1:15" x14ac:dyDescent="0.3">
      <c r="A229" s="8">
        <v>227</v>
      </c>
      <c r="B229" s="14">
        <v>46113</v>
      </c>
      <c r="C229" s="2" t="s">
        <v>1139</v>
      </c>
      <c r="D229" s="2" t="s">
        <v>10</v>
      </c>
      <c r="E229" s="2" t="s">
        <v>935</v>
      </c>
      <c r="F229" s="2">
        <v>1.75</v>
      </c>
      <c r="G229" s="2" t="s">
        <v>905</v>
      </c>
      <c r="H229" s="2" t="s">
        <v>239</v>
      </c>
      <c r="I229" s="2" t="s">
        <v>1067</v>
      </c>
      <c r="J229" s="2" t="s">
        <v>1110</v>
      </c>
      <c r="K229" s="2">
        <v>2910.25</v>
      </c>
      <c r="L229" s="2">
        <v>2910.25</v>
      </c>
      <c r="M229" s="2">
        <v>58.204999999999998</v>
      </c>
      <c r="N229" s="2">
        <v>58</v>
      </c>
      <c r="O229" s="2">
        <f t="shared" si="3"/>
        <v>1750</v>
      </c>
    </row>
    <row r="230" spans="1:15" x14ac:dyDescent="0.3">
      <c r="A230" s="8">
        <v>228</v>
      </c>
      <c r="B230" s="14">
        <v>46113</v>
      </c>
      <c r="C230" s="2" t="s">
        <v>1294</v>
      </c>
      <c r="D230" s="2" t="s">
        <v>10</v>
      </c>
      <c r="E230" s="2" t="s">
        <v>935</v>
      </c>
      <c r="F230" s="2">
        <v>1.75</v>
      </c>
      <c r="G230" s="2" t="s">
        <v>1071</v>
      </c>
      <c r="H230" s="2" t="s">
        <v>247</v>
      </c>
      <c r="I230" s="2" t="s">
        <v>1072</v>
      </c>
      <c r="J230" s="2" t="s">
        <v>1110</v>
      </c>
      <c r="K230" s="2">
        <v>4737.25</v>
      </c>
      <c r="L230" s="2">
        <v>4737.25</v>
      </c>
      <c r="M230" s="2">
        <v>94.745000000000005</v>
      </c>
      <c r="N230" s="2">
        <v>95</v>
      </c>
      <c r="O230" s="2">
        <f t="shared" si="3"/>
        <v>1750</v>
      </c>
    </row>
    <row r="231" spans="1:15" x14ac:dyDescent="0.3">
      <c r="A231" s="8">
        <v>229</v>
      </c>
      <c r="B231" s="14">
        <v>46113</v>
      </c>
      <c r="C231" s="2" t="s">
        <v>1295</v>
      </c>
      <c r="D231" s="2" t="s">
        <v>10</v>
      </c>
      <c r="E231" s="2" t="s">
        <v>935</v>
      </c>
      <c r="F231" s="2">
        <v>1.75</v>
      </c>
      <c r="G231" s="2" t="s">
        <v>1073</v>
      </c>
      <c r="H231" s="2" t="s">
        <v>255</v>
      </c>
      <c r="I231" s="2" t="s">
        <v>1072</v>
      </c>
      <c r="J231" s="2" t="s">
        <v>1110</v>
      </c>
      <c r="K231" s="2">
        <v>3731</v>
      </c>
      <c r="L231" s="2">
        <v>3731</v>
      </c>
      <c r="M231" s="2">
        <v>74.62</v>
      </c>
      <c r="N231" s="2">
        <v>75</v>
      </c>
      <c r="O231" s="2">
        <f t="shared" si="3"/>
        <v>1750</v>
      </c>
    </row>
    <row r="232" spans="1:15" x14ac:dyDescent="0.3">
      <c r="A232" s="8">
        <v>230</v>
      </c>
      <c r="B232" s="14">
        <v>46113</v>
      </c>
      <c r="C232" s="2" t="s">
        <v>1296</v>
      </c>
      <c r="D232" s="2" t="s">
        <v>10</v>
      </c>
      <c r="E232" s="2" t="s">
        <v>935</v>
      </c>
      <c r="F232" s="2">
        <v>1.75</v>
      </c>
      <c r="G232" s="2" t="s">
        <v>1074</v>
      </c>
      <c r="H232" s="2" t="s">
        <v>263</v>
      </c>
      <c r="I232" s="2" t="s">
        <v>1072</v>
      </c>
      <c r="J232" s="2" t="s">
        <v>1110</v>
      </c>
      <c r="K232" s="2">
        <v>5832.75</v>
      </c>
      <c r="L232" s="2">
        <v>5832.75</v>
      </c>
      <c r="M232" s="2">
        <v>116.655</v>
      </c>
      <c r="N232" s="2">
        <v>117</v>
      </c>
      <c r="O232" s="2">
        <f t="shared" si="3"/>
        <v>1750</v>
      </c>
    </row>
    <row r="233" spans="1:15" x14ac:dyDescent="0.3">
      <c r="A233" s="8">
        <v>231</v>
      </c>
      <c r="B233" s="14">
        <v>46113</v>
      </c>
      <c r="C233" s="2" t="s">
        <v>1297</v>
      </c>
      <c r="D233" s="2" t="s">
        <v>10</v>
      </c>
      <c r="E233" s="2" t="s">
        <v>935</v>
      </c>
      <c r="F233" s="2">
        <v>1.75</v>
      </c>
      <c r="G233" s="2" t="s">
        <v>1075</v>
      </c>
      <c r="H233" s="2" t="s">
        <v>271</v>
      </c>
      <c r="I233" s="2" t="s">
        <v>1072</v>
      </c>
      <c r="J233" s="2" t="s">
        <v>1110</v>
      </c>
      <c r="K233" s="2">
        <v>4418.75</v>
      </c>
      <c r="L233" s="2">
        <v>4418.75</v>
      </c>
      <c r="M233" s="2">
        <v>88.375</v>
      </c>
      <c r="N233" s="2">
        <v>88</v>
      </c>
      <c r="O233" s="2">
        <f t="shared" si="3"/>
        <v>1750</v>
      </c>
    </row>
    <row r="234" spans="1:15" x14ac:dyDescent="0.3">
      <c r="A234" s="8">
        <v>232</v>
      </c>
      <c r="B234" s="14">
        <v>46113</v>
      </c>
      <c r="C234" s="2" t="s">
        <v>1298</v>
      </c>
      <c r="D234" s="2" t="s">
        <v>10</v>
      </c>
      <c r="E234" s="2" t="s">
        <v>935</v>
      </c>
      <c r="F234" s="2">
        <v>1.5</v>
      </c>
      <c r="G234" s="2" t="s">
        <v>864</v>
      </c>
      <c r="H234" s="2" t="s">
        <v>279</v>
      </c>
      <c r="I234" s="2" t="s">
        <v>1076</v>
      </c>
      <c r="J234" s="2" t="s">
        <v>1110</v>
      </c>
      <c r="K234" s="2">
        <v>276</v>
      </c>
      <c r="L234" s="2">
        <v>276</v>
      </c>
      <c r="M234" s="2">
        <v>5.52</v>
      </c>
      <c r="N234" s="2">
        <v>6</v>
      </c>
      <c r="O234" s="2">
        <f t="shared" si="3"/>
        <v>1500</v>
      </c>
    </row>
    <row r="235" spans="1:15" x14ac:dyDescent="0.3">
      <c r="A235" s="8">
        <v>233</v>
      </c>
      <c r="B235" s="14">
        <v>46113</v>
      </c>
      <c r="C235" s="2" t="s">
        <v>1299</v>
      </c>
      <c r="D235" s="2" t="s">
        <v>10</v>
      </c>
      <c r="E235" s="2" t="s">
        <v>935</v>
      </c>
      <c r="F235" s="2">
        <v>1.5</v>
      </c>
      <c r="G235" s="2" t="s">
        <v>865</v>
      </c>
      <c r="H235" s="2" t="s">
        <v>287</v>
      </c>
      <c r="I235" s="2" t="s">
        <v>1077</v>
      </c>
      <c r="J235" s="2" t="s">
        <v>1110</v>
      </c>
      <c r="K235" s="2">
        <v>4188</v>
      </c>
      <c r="L235" s="2">
        <v>4188</v>
      </c>
      <c r="M235" s="2">
        <v>83.76</v>
      </c>
      <c r="N235" s="2">
        <v>84</v>
      </c>
      <c r="O235" s="2">
        <f t="shared" si="3"/>
        <v>1500</v>
      </c>
    </row>
    <row r="236" spans="1:15" x14ac:dyDescent="0.3">
      <c r="A236" s="8">
        <v>234</v>
      </c>
      <c r="B236" s="14">
        <v>46113</v>
      </c>
      <c r="C236" s="2" t="s">
        <v>1300</v>
      </c>
      <c r="D236" s="2" t="s">
        <v>10</v>
      </c>
      <c r="E236" s="2" t="s">
        <v>935</v>
      </c>
      <c r="F236" s="2">
        <v>1.75</v>
      </c>
      <c r="G236" s="2" t="s">
        <v>1078</v>
      </c>
      <c r="H236" s="2" t="s">
        <v>295</v>
      </c>
      <c r="I236" s="2" t="s">
        <v>1072</v>
      </c>
      <c r="J236" s="2" t="s">
        <v>1110</v>
      </c>
      <c r="K236" s="2">
        <v>1260</v>
      </c>
      <c r="L236" s="2">
        <v>1260</v>
      </c>
      <c r="M236" s="2">
        <v>25.2</v>
      </c>
      <c r="N236" s="2">
        <v>25</v>
      </c>
      <c r="O236" s="2">
        <f t="shared" si="3"/>
        <v>1750</v>
      </c>
    </row>
    <row r="237" spans="1:15" x14ac:dyDescent="0.3">
      <c r="A237" s="8">
        <v>235</v>
      </c>
      <c r="B237" s="14">
        <v>46113</v>
      </c>
      <c r="C237" s="2" t="s">
        <v>1301</v>
      </c>
      <c r="D237" s="2" t="s">
        <v>10</v>
      </c>
      <c r="E237" s="2" t="s">
        <v>935</v>
      </c>
      <c r="F237" s="2">
        <v>1.75</v>
      </c>
      <c r="G237" s="2" t="s">
        <v>866</v>
      </c>
      <c r="H237" s="2" t="s">
        <v>303</v>
      </c>
      <c r="I237" s="2" t="s">
        <v>1079</v>
      </c>
      <c r="J237" s="2" t="s">
        <v>1110</v>
      </c>
      <c r="K237" s="2">
        <v>525</v>
      </c>
      <c r="L237" s="2">
        <v>525</v>
      </c>
      <c r="M237" s="2">
        <v>10.5</v>
      </c>
      <c r="N237" s="2">
        <v>11</v>
      </c>
      <c r="O237" s="2">
        <f t="shared" si="3"/>
        <v>1750</v>
      </c>
    </row>
    <row r="238" spans="1:15" x14ac:dyDescent="0.3">
      <c r="A238" s="8">
        <v>236</v>
      </c>
      <c r="B238" s="14">
        <v>46113</v>
      </c>
      <c r="C238" s="2" t="s">
        <v>1302</v>
      </c>
      <c r="D238" s="2" t="s">
        <v>10</v>
      </c>
      <c r="E238" s="2" t="s">
        <v>935</v>
      </c>
      <c r="F238" s="2">
        <v>1.75</v>
      </c>
      <c r="G238" s="2" t="s">
        <v>1080</v>
      </c>
      <c r="H238" s="2" t="s">
        <v>311</v>
      </c>
      <c r="I238" s="2" t="s">
        <v>1081</v>
      </c>
      <c r="J238" s="2" t="s">
        <v>1110</v>
      </c>
      <c r="K238" s="2">
        <v>4366.25</v>
      </c>
      <c r="L238" s="2">
        <v>4366.25</v>
      </c>
      <c r="M238" s="2">
        <v>87.325000000000003</v>
      </c>
      <c r="N238" s="2">
        <v>87</v>
      </c>
      <c r="O238" s="2">
        <f t="shared" si="3"/>
        <v>1750</v>
      </c>
    </row>
    <row r="239" spans="1:15" x14ac:dyDescent="0.3">
      <c r="A239" s="8">
        <v>237</v>
      </c>
      <c r="B239" s="14">
        <v>46113</v>
      </c>
      <c r="C239" s="2" t="s">
        <v>1303</v>
      </c>
      <c r="D239" s="2" t="s">
        <v>10</v>
      </c>
      <c r="E239" s="2" t="s">
        <v>935</v>
      </c>
      <c r="F239" s="2">
        <v>1.5</v>
      </c>
      <c r="G239" s="2" t="s">
        <v>867</v>
      </c>
      <c r="H239" s="2" t="s">
        <v>319</v>
      </c>
      <c r="I239" s="2" t="s">
        <v>1077</v>
      </c>
      <c r="J239" s="2" t="s">
        <v>1110</v>
      </c>
      <c r="K239" s="2">
        <v>6303</v>
      </c>
      <c r="L239" s="2">
        <v>6303</v>
      </c>
      <c r="M239" s="2">
        <v>126.06</v>
      </c>
      <c r="N239" s="2">
        <v>126</v>
      </c>
      <c r="O239" s="2">
        <f t="shared" si="3"/>
        <v>1500</v>
      </c>
    </row>
    <row r="240" spans="1:15" x14ac:dyDescent="0.3">
      <c r="A240" s="8">
        <v>238</v>
      </c>
      <c r="B240" s="14">
        <v>46113</v>
      </c>
      <c r="C240" s="2" t="s">
        <v>1304</v>
      </c>
      <c r="D240" s="2" t="s">
        <v>10</v>
      </c>
      <c r="E240" s="2" t="s">
        <v>935</v>
      </c>
      <c r="F240" s="2">
        <v>1.75</v>
      </c>
      <c r="G240" s="2" t="s">
        <v>1082</v>
      </c>
      <c r="H240" s="2" t="s">
        <v>327</v>
      </c>
      <c r="I240" s="2" t="s">
        <v>1072</v>
      </c>
      <c r="J240" s="2" t="s">
        <v>1110</v>
      </c>
      <c r="K240" s="2">
        <v>5054</v>
      </c>
      <c r="L240" s="2">
        <v>5054</v>
      </c>
      <c r="M240" s="2">
        <v>101.08</v>
      </c>
      <c r="N240" s="2">
        <v>101</v>
      </c>
      <c r="O240" s="2">
        <f t="shared" si="3"/>
        <v>1750</v>
      </c>
    </row>
    <row r="241" spans="1:15" x14ac:dyDescent="0.3">
      <c r="A241" s="8">
        <v>239</v>
      </c>
      <c r="B241" s="14">
        <v>46113</v>
      </c>
      <c r="C241" s="2" t="s">
        <v>1305</v>
      </c>
      <c r="D241" s="2" t="s">
        <v>10</v>
      </c>
      <c r="E241" s="2" t="s">
        <v>935</v>
      </c>
      <c r="F241" s="2">
        <v>1.75</v>
      </c>
      <c r="G241" s="2" t="s">
        <v>1083</v>
      </c>
      <c r="H241" s="2" t="s">
        <v>335</v>
      </c>
      <c r="I241" s="2" t="s">
        <v>1072</v>
      </c>
      <c r="J241" s="2" t="s">
        <v>1110</v>
      </c>
      <c r="K241" s="2">
        <v>3333.75</v>
      </c>
      <c r="L241" s="2">
        <v>3333.75</v>
      </c>
      <c r="M241" s="2">
        <v>66.674999999999997</v>
      </c>
      <c r="N241" s="2">
        <v>67</v>
      </c>
      <c r="O241" s="2">
        <f t="shared" si="3"/>
        <v>1750</v>
      </c>
    </row>
    <row r="242" spans="1:15" x14ac:dyDescent="0.3">
      <c r="A242" s="8">
        <v>240</v>
      </c>
      <c r="B242" s="14">
        <v>46113</v>
      </c>
      <c r="C242" s="2" t="s">
        <v>1306</v>
      </c>
      <c r="D242" s="2" t="s">
        <v>10</v>
      </c>
      <c r="E242" s="2" t="s">
        <v>935</v>
      </c>
      <c r="F242" s="2">
        <v>1.75</v>
      </c>
      <c r="G242" s="2" t="s">
        <v>868</v>
      </c>
      <c r="H242" s="2" t="s">
        <v>343</v>
      </c>
      <c r="I242" s="2" t="s">
        <v>1081</v>
      </c>
      <c r="J242" s="2" t="s">
        <v>1110</v>
      </c>
      <c r="K242" s="2">
        <v>5435.5</v>
      </c>
      <c r="L242" s="2">
        <v>5435.5</v>
      </c>
      <c r="M242" s="2">
        <v>108.71</v>
      </c>
      <c r="N242" s="2">
        <v>109</v>
      </c>
      <c r="O242" s="2">
        <f t="shared" si="3"/>
        <v>1750</v>
      </c>
    </row>
    <row r="243" spans="1:15" x14ac:dyDescent="0.3">
      <c r="A243" s="8">
        <v>241</v>
      </c>
      <c r="B243" s="14">
        <v>46113</v>
      </c>
      <c r="C243" s="2" t="s">
        <v>1307</v>
      </c>
      <c r="D243" s="2" t="s">
        <v>10</v>
      </c>
      <c r="E243" s="2" t="s">
        <v>935</v>
      </c>
      <c r="F243" s="2">
        <v>1.75</v>
      </c>
      <c r="G243" s="2" t="s">
        <v>1084</v>
      </c>
      <c r="H243" s="2" t="s">
        <v>351</v>
      </c>
      <c r="I243" s="2" t="s">
        <v>1072</v>
      </c>
      <c r="J243" s="2" t="s">
        <v>1110</v>
      </c>
      <c r="K243" s="2">
        <v>4009.25</v>
      </c>
      <c r="L243" s="2">
        <v>4009.25</v>
      </c>
      <c r="M243" s="2">
        <v>80.185000000000002</v>
      </c>
      <c r="N243" s="2">
        <v>80</v>
      </c>
      <c r="O243" s="2">
        <f t="shared" si="3"/>
        <v>1750</v>
      </c>
    </row>
    <row r="244" spans="1:15" x14ac:dyDescent="0.3">
      <c r="A244" s="8">
        <v>242</v>
      </c>
      <c r="B244" s="14">
        <v>46113</v>
      </c>
      <c r="C244" s="2" t="s">
        <v>1308</v>
      </c>
      <c r="D244" s="2" t="s">
        <v>10</v>
      </c>
      <c r="E244" s="2" t="s">
        <v>935</v>
      </c>
      <c r="F244" s="2">
        <v>1.75</v>
      </c>
      <c r="G244" s="2" t="s">
        <v>863</v>
      </c>
      <c r="H244" s="2" t="s">
        <v>359</v>
      </c>
      <c r="I244" s="2" t="s">
        <v>1044</v>
      </c>
      <c r="J244" s="2" t="s">
        <v>1110</v>
      </c>
      <c r="K244" s="2">
        <v>4429.25</v>
      </c>
      <c r="L244" s="2">
        <v>4429.25</v>
      </c>
      <c r="M244" s="2">
        <v>88.584999999999994</v>
      </c>
      <c r="N244" s="2">
        <v>89</v>
      </c>
      <c r="O244" s="2">
        <f t="shared" si="3"/>
        <v>1750</v>
      </c>
    </row>
    <row r="245" spans="1:15" x14ac:dyDescent="0.3">
      <c r="A245" s="8">
        <v>243</v>
      </c>
      <c r="B245" s="14">
        <v>46113</v>
      </c>
      <c r="C245" s="2" t="s">
        <v>1309</v>
      </c>
      <c r="D245" s="2" t="s">
        <v>10</v>
      </c>
      <c r="E245" s="2" t="s">
        <v>935</v>
      </c>
      <c r="F245" s="2">
        <v>1.75</v>
      </c>
      <c r="G245" s="2" t="s">
        <v>869</v>
      </c>
      <c r="H245" s="2" t="s">
        <v>367</v>
      </c>
      <c r="I245" s="2" t="s">
        <v>1044</v>
      </c>
      <c r="J245" s="2" t="s">
        <v>1110</v>
      </c>
      <c r="K245" s="2">
        <v>4992.75</v>
      </c>
      <c r="L245" s="2">
        <v>4992.75</v>
      </c>
      <c r="M245" s="2">
        <v>99.855000000000004</v>
      </c>
      <c r="N245" s="2">
        <v>100</v>
      </c>
      <c r="O245" s="2">
        <f t="shared" si="3"/>
        <v>1750</v>
      </c>
    </row>
    <row r="246" spans="1:15" x14ac:dyDescent="0.3">
      <c r="A246" s="8">
        <v>244</v>
      </c>
      <c r="B246" s="14">
        <v>46113</v>
      </c>
      <c r="C246" s="2" t="s">
        <v>1310</v>
      </c>
      <c r="D246" s="2" t="s">
        <v>10</v>
      </c>
      <c r="E246" s="2" t="s">
        <v>935</v>
      </c>
      <c r="F246" s="2">
        <v>1.75</v>
      </c>
      <c r="G246" s="2" t="s">
        <v>870</v>
      </c>
      <c r="H246" s="2" t="s">
        <v>375</v>
      </c>
      <c r="I246" s="2" t="s">
        <v>1044</v>
      </c>
      <c r="J246" s="2" t="s">
        <v>1110</v>
      </c>
      <c r="K246" s="2">
        <v>4905.25</v>
      </c>
      <c r="L246" s="2">
        <v>4905.25</v>
      </c>
      <c r="M246" s="2">
        <v>98.105000000000004</v>
      </c>
      <c r="N246" s="2">
        <v>98</v>
      </c>
      <c r="O246" s="2">
        <f t="shared" si="3"/>
        <v>1750</v>
      </c>
    </row>
    <row r="247" spans="1:15" x14ac:dyDescent="0.3">
      <c r="A247" s="8">
        <v>245</v>
      </c>
      <c r="B247" s="14">
        <v>46113</v>
      </c>
      <c r="C247" s="2" t="s">
        <v>1311</v>
      </c>
      <c r="D247" s="2" t="s">
        <v>10</v>
      </c>
      <c r="E247" s="2" t="s">
        <v>935</v>
      </c>
      <c r="F247" s="2">
        <v>1.75</v>
      </c>
      <c r="G247" s="2" t="s">
        <v>871</v>
      </c>
      <c r="H247" s="2" t="s">
        <v>383</v>
      </c>
      <c r="I247" s="2" t="s">
        <v>1044</v>
      </c>
      <c r="J247" s="2" t="s">
        <v>1110</v>
      </c>
      <c r="K247" s="2">
        <v>4933.25</v>
      </c>
      <c r="L247" s="2">
        <v>4933.25</v>
      </c>
      <c r="M247" s="2">
        <v>98.665000000000006</v>
      </c>
      <c r="N247" s="2">
        <v>99</v>
      </c>
      <c r="O247" s="2">
        <f t="shared" si="3"/>
        <v>1750</v>
      </c>
    </row>
    <row r="248" spans="1:15" x14ac:dyDescent="0.3">
      <c r="A248" s="8">
        <v>246</v>
      </c>
      <c r="B248" s="14">
        <v>46113</v>
      </c>
      <c r="C248" s="2" t="s">
        <v>1268</v>
      </c>
      <c r="D248" s="2" t="s">
        <v>10</v>
      </c>
      <c r="E248" s="2" t="s">
        <v>935</v>
      </c>
      <c r="F248" s="2">
        <v>1.75</v>
      </c>
      <c r="G248" s="2" t="s">
        <v>1042</v>
      </c>
      <c r="H248" s="2" t="s">
        <v>391</v>
      </c>
      <c r="I248" s="2" t="s">
        <v>1044</v>
      </c>
      <c r="J248" s="2" t="s">
        <v>1110</v>
      </c>
      <c r="K248" s="2">
        <v>4702.25</v>
      </c>
      <c r="L248" s="2">
        <v>4702.25</v>
      </c>
      <c r="M248" s="2">
        <v>94.045000000000002</v>
      </c>
      <c r="N248" s="2">
        <v>94</v>
      </c>
      <c r="O248" s="2">
        <f t="shared" si="3"/>
        <v>1750</v>
      </c>
    </row>
    <row r="249" spans="1:15" x14ac:dyDescent="0.3">
      <c r="A249" s="8">
        <v>247</v>
      </c>
      <c r="B249" s="14">
        <v>46113</v>
      </c>
      <c r="C249" s="2" t="s">
        <v>1312</v>
      </c>
      <c r="D249" s="2" t="s">
        <v>10</v>
      </c>
      <c r="E249" s="2" t="s">
        <v>935</v>
      </c>
      <c r="F249" s="2">
        <v>0.75</v>
      </c>
      <c r="G249" s="2" t="s">
        <v>872</v>
      </c>
      <c r="H249" s="2" t="s">
        <v>398</v>
      </c>
      <c r="I249" s="2" t="s">
        <v>1085</v>
      </c>
      <c r="J249" s="2" t="s">
        <v>1110</v>
      </c>
      <c r="K249" s="2">
        <v>2148.75</v>
      </c>
      <c r="L249" s="2">
        <v>2148.75</v>
      </c>
      <c r="M249" s="2">
        <v>42.975000000000001</v>
      </c>
      <c r="N249" s="2">
        <v>43</v>
      </c>
      <c r="O249" s="2">
        <f t="shared" si="3"/>
        <v>750</v>
      </c>
    </row>
    <row r="250" spans="1:15" x14ac:dyDescent="0.3">
      <c r="A250" s="8">
        <v>248</v>
      </c>
      <c r="B250" s="14">
        <v>46113</v>
      </c>
      <c r="C250" s="2" t="s">
        <v>1313</v>
      </c>
      <c r="D250" s="2" t="s">
        <v>10</v>
      </c>
      <c r="E250" s="2" t="s">
        <v>935</v>
      </c>
      <c r="F250" s="2">
        <v>1.75</v>
      </c>
      <c r="G250" s="2" t="s">
        <v>1086</v>
      </c>
      <c r="H250" s="2" t="s">
        <v>408</v>
      </c>
      <c r="I250" s="2" t="s">
        <v>1087</v>
      </c>
      <c r="J250" s="2" t="s">
        <v>1110</v>
      </c>
      <c r="K250" s="2">
        <v>6879.25</v>
      </c>
      <c r="L250" s="2">
        <v>6879.25</v>
      </c>
      <c r="M250" s="2">
        <v>137.58500000000001</v>
      </c>
      <c r="N250" s="2">
        <v>138</v>
      </c>
      <c r="O250" s="2">
        <f t="shared" si="3"/>
        <v>1750</v>
      </c>
    </row>
    <row r="251" spans="1:15" x14ac:dyDescent="0.3">
      <c r="A251" s="8">
        <v>249</v>
      </c>
      <c r="B251" s="14">
        <v>46113</v>
      </c>
      <c r="C251" s="2" t="s">
        <v>1314</v>
      </c>
      <c r="D251" s="2" t="s">
        <v>10</v>
      </c>
      <c r="E251" s="2" t="s">
        <v>935</v>
      </c>
      <c r="F251" s="2">
        <v>1.75</v>
      </c>
      <c r="G251" s="2" t="s">
        <v>1088</v>
      </c>
      <c r="H251" s="2" t="s">
        <v>416</v>
      </c>
      <c r="I251" s="2" t="s">
        <v>1044</v>
      </c>
      <c r="J251" s="2" t="s">
        <v>1110</v>
      </c>
      <c r="K251" s="2">
        <v>4138.75</v>
      </c>
      <c r="L251" s="2">
        <v>4138.75</v>
      </c>
      <c r="M251" s="2">
        <v>82.775000000000006</v>
      </c>
      <c r="N251" s="2">
        <v>83</v>
      </c>
      <c r="O251" s="2">
        <f t="shared" si="3"/>
        <v>1750</v>
      </c>
    </row>
    <row r="252" spans="1:15" x14ac:dyDescent="0.3">
      <c r="A252" s="8">
        <v>250</v>
      </c>
      <c r="B252" s="14">
        <v>46113</v>
      </c>
      <c r="C252" s="2" t="s">
        <v>1315</v>
      </c>
      <c r="D252" s="2" t="s">
        <v>10</v>
      </c>
      <c r="E252" s="2" t="s">
        <v>935</v>
      </c>
      <c r="F252" s="2">
        <v>1.25</v>
      </c>
      <c r="G252" s="2" t="s">
        <v>873</v>
      </c>
      <c r="H252" s="2" t="s">
        <v>424</v>
      </c>
      <c r="I252" s="2" t="s">
        <v>1089</v>
      </c>
      <c r="J252" s="2" t="s">
        <v>1110</v>
      </c>
      <c r="K252" s="2">
        <v>3748.75</v>
      </c>
      <c r="L252" s="2">
        <v>3748.75</v>
      </c>
      <c r="M252" s="2">
        <v>74.974999999999994</v>
      </c>
      <c r="N252" s="2">
        <v>75</v>
      </c>
      <c r="O252" s="2">
        <f t="shared" si="3"/>
        <v>1250</v>
      </c>
    </row>
    <row r="253" spans="1:15" x14ac:dyDescent="0.3">
      <c r="A253" s="8">
        <v>251</v>
      </c>
      <c r="B253" s="14">
        <v>46113</v>
      </c>
      <c r="C253" s="2" t="s">
        <v>1316</v>
      </c>
      <c r="D253" s="2" t="s">
        <v>10</v>
      </c>
      <c r="E253" s="2" t="s">
        <v>935</v>
      </c>
      <c r="F253" s="2">
        <v>0.75</v>
      </c>
      <c r="G253" s="2" t="s">
        <v>874</v>
      </c>
      <c r="H253" s="2" t="s">
        <v>433</v>
      </c>
      <c r="I253" s="2" t="s">
        <v>1090</v>
      </c>
      <c r="J253" s="2" t="s">
        <v>1110</v>
      </c>
      <c r="K253" s="2">
        <v>1625.25</v>
      </c>
      <c r="L253" s="2">
        <v>1625.25</v>
      </c>
      <c r="M253" s="2">
        <v>32.505000000000003</v>
      </c>
      <c r="N253" s="2">
        <v>33</v>
      </c>
      <c r="O253" s="2">
        <f t="shared" si="3"/>
        <v>750</v>
      </c>
    </row>
    <row r="254" spans="1:15" x14ac:dyDescent="0.3">
      <c r="A254" s="8">
        <v>252</v>
      </c>
      <c r="B254" s="14">
        <v>46113</v>
      </c>
      <c r="C254" s="2" t="s">
        <v>1317</v>
      </c>
      <c r="D254" s="2" t="s">
        <v>10</v>
      </c>
      <c r="E254" s="2" t="s">
        <v>935</v>
      </c>
      <c r="F254" s="2">
        <v>0.75</v>
      </c>
      <c r="G254" s="2" t="s">
        <v>875</v>
      </c>
      <c r="H254" s="2" t="s">
        <v>442</v>
      </c>
      <c r="I254" s="2" t="s">
        <v>1090</v>
      </c>
      <c r="J254" s="2" t="s">
        <v>1110</v>
      </c>
      <c r="K254" s="2">
        <v>1740</v>
      </c>
      <c r="L254" s="2">
        <v>1740</v>
      </c>
      <c r="M254" s="2">
        <v>34.799999999999997</v>
      </c>
      <c r="N254" s="2">
        <v>35</v>
      </c>
      <c r="O254" s="2">
        <f t="shared" si="3"/>
        <v>750</v>
      </c>
    </row>
    <row r="255" spans="1:15" x14ac:dyDescent="0.3">
      <c r="A255" s="8">
        <v>253</v>
      </c>
      <c r="B255" s="14">
        <v>46113</v>
      </c>
      <c r="C255" s="2" t="s">
        <v>1318</v>
      </c>
      <c r="D255" s="2" t="s">
        <v>10</v>
      </c>
      <c r="E255" s="2" t="s">
        <v>935</v>
      </c>
      <c r="F255" s="2">
        <v>1.25</v>
      </c>
      <c r="G255" s="2" t="s">
        <v>876</v>
      </c>
      <c r="H255" s="2" t="s">
        <v>452</v>
      </c>
      <c r="I255" s="2" t="s">
        <v>1091</v>
      </c>
      <c r="J255" s="2" t="s">
        <v>1110</v>
      </c>
      <c r="K255" s="2">
        <v>3187.5</v>
      </c>
      <c r="L255" s="2">
        <v>3187.5</v>
      </c>
      <c r="M255" s="2">
        <v>63.75</v>
      </c>
      <c r="N255" s="2">
        <v>64</v>
      </c>
      <c r="O255" s="2">
        <f t="shared" si="3"/>
        <v>1250</v>
      </c>
    </row>
    <row r="256" spans="1:15" x14ac:dyDescent="0.3">
      <c r="A256" s="8">
        <v>254</v>
      </c>
      <c r="B256" s="14">
        <v>46113</v>
      </c>
      <c r="C256" s="2" t="s">
        <v>1319</v>
      </c>
      <c r="D256" s="2" t="s">
        <v>10</v>
      </c>
      <c r="E256" s="2" t="s">
        <v>935</v>
      </c>
      <c r="F256" s="2">
        <v>1.25</v>
      </c>
      <c r="G256" s="2" t="s">
        <v>877</v>
      </c>
      <c r="H256" s="2" t="s">
        <v>462</v>
      </c>
      <c r="I256" s="2" t="s">
        <v>1091</v>
      </c>
      <c r="J256" s="2" t="s">
        <v>1110</v>
      </c>
      <c r="K256" s="2">
        <v>3567.5</v>
      </c>
      <c r="L256" s="2">
        <v>3567.5</v>
      </c>
      <c r="M256" s="2">
        <v>71.349999999999994</v>
      </c>
      <c r="N256" s="2">
        <v>71</v>
      </c>
      <c r="O256" s="2">
        <f t="shared" si="3"/>
        <v>1250</v>
      </c>
    </row>
    <row r="257" spans="1:15" x14ac:dyDescent="0.3">
      <c r="A257" s="8">
        <v>255</v>
      </c>
      <c r="B257" s="14">
        <v>46113</v>
      </c>
      <c r="C257" s="2" t="s">
        <v>1320</v>
      </c>
      <c r="D257" s="2" t="s">
        <v>10</v>
      </c>
      <c r="E257" s="2" t="s">
        <v>935</v>
      </c>
      <c r="F257" s="2">
        <v>1.25</v>
      </c>
      <c r="G257" s="2" t="s">
        <v>878</v>
      </c>
      <c r="H257" s="2" t="s">
        <v>472</v>
      </c>
      <c r="I257" s="2" t="s">
        <v>1091</v>
      </c>
      <c r="J257" s="2" t="s">
        <v>1110</v>
      </c>
      <c r="K257" s="2">
        <v>3888.75</v>
      </c>
      <c r="L257" s="2">
        <v>3888.75</v>
      </c>
      <c r="M257" s="2">
        <v>77.775000000000006</v>
      </c>
      <c r="N257" s="2">
        <v>78</v>
      </c>
      <c r="O257" s="2">
        <f t="shared" si="3"/>
        <v>1250</v>
      </c>
    </row>
    <row r="258" spans="1:15" x14ac:dyDescent="0.3">
      <c r="A258" s="8">
        <v>256</v>
      </c>
      <c r="B258" s="14">
        <v>46113</v>
      </c>
      <c r="C258" s="2" t="s">
        <v>1321</v>
      </c>
      <c r="D258" s="2" t="s">
        <v>10</v>
      </c>
      <c r="E258" s="2" t="s">
        <v>935</v>
      </c>
      <c r="F258" s="2">
        <v>1.75</v>
      </c>
      <c r="G258" s="2" t="s">
        <v>879</v>
      </c>
      <c r="H258" s="2" t="s">
        <v>482</v>
      </c>
      <c r="I258" s="2" t="s">
        <v>1092</v>
      </c>
      <c r="J258" s="2" t="s">
        <v>1110</v>
      </c>
      <c r="K258" s="2">
        <v>5050.5</v>
      </c>
      <c r="L258" s="2">
        <v>5050.5</v>
      </c>
      <c r="M258" s="2">
        <v>101.01</v>
      </c>
      <c r="N258" s="2">
        <v>101</v>
      </c>
      <c r="O258" s="2">
        <f t="shared" si="3"/>
        <v>1750</v>
      </c>
    </row>
    <row r="259" spans="1:15" x14ac:dyDescent="0.3">
      <c r="A259" s="8">
        <v>257</v>
      </c>
      <c r="B259" s="14">
        <v>46113</v>
      </c>
      <c r="C259" s="2" t="s">
        <v>1322</v>
      </c>
      <c r="D259" s="2" t="s">
        <v>10</v>
      </c>
      <c r="E259" s="2" t="s">
        <v>935</v>
      </c>
      <c r="F259" s="2">
        <v>1.5</v>
      </c>
      <c r="G259" s="2" t="s">
        <v>880</v>
      </c>
      <c r="H259" s="2" t="s">
        <v>490</v>
      </c>
      <c r="I259" s="2" t="s">
        <v>1093</v>
      </c>
      <c r="J259" s="2" t="s">
        <v>1110</v>
      </c>
      <c r="K259" s="2">
        <v>228</v>
      </c>
      <c r="L259" s="2">
        <v>228</v>
      </c>
      <c r="M259" s="2">
        <v>4.5599999999999996</v>
      </c>
      <c r="N259" s="2">
        <v>5</v>
      </c>
      <c r="O259" s="2">
        <f t="shared" ref="O259:O322" si="4">F259*1000</f>
        <v>1500</v>
      </c>
    </row>
    <row r="260" spans="1:15" x14ac:dyDescent="0.3">
      <c r="A260" s="8">
        <v>258</v>
      </c>
      <c r="B260" s="14">
        <v>46113</v>
      </c>
      <c r="C260" s="2" t="s">
        <v>1323</v>
      </c>
      <c r="D260" s="2" t="s">
        <v>10</v>
      </c>
      <c r="E260" s="2" t="s">
        <v>935</v>
      </c>
      <c r="F260" s="2">
        <v>1.5</v>
      </c>
      <c r="G260" s="2" t="s">
        <v>881</v>
      </c>
      <c r="H260" s="2" t="s">
        <v>498</v>
      </c>
      <c r="I260" s="2" t="s">
        <v>1094</v>
      </c>
      <c r="J260" s="2" t="s">
        <v>1110</v>
      </c>
      <c r="K260" s="2">
        <v>601.5</v>
      </c>
      <c r="L260" s="2">
        <v>601.5</v>
      </c>
      <c r="M260" s="2">
        <v>12.03</v>
      </c>
      <c r="N260" s="2">
        <v>12</v>
      </c>
      <c r="O260" s="2">
        <f t="shared" si="4"/>
        <v>1500</v>
      </c>
    </row>
    <row r="261" spans="1:15" x14ac:dyDescent="0.3">
      <c r="A261" s="8">
        <v>259</v>
      </c>
      <c r="B261" s="14">
        <v>46113</v>
      </c>
      <c r="C261" s="2" t="s">
        <v>1324</v>
      </c>
      <c r="D261" s="2" t="s">
        <v>10</v>
      </c>
      <c r="E261" s="2" t="s">
        <v>935</v>
      </c>
      <c r="F261" s="2">
        <v>1.75</v>
      </c>
      <c r="G261" s="2" t="s">
        <v>882</v>
      </c>
      <c r="H261" s="2" t="s">
        <v>506</v>
      </c>
      <c r="I261" s="2" t="s">
        <v>1092</v>
      </c>
      <c r="J261" s="2" t="s">
        <v>1110</v>
      </c>
      <c r="K261" s="2">
        <v>4513.25</v>
      </c>
      <c r="L261" s="2">
        <v>4513.25</v>
      </c>
      <c r="M261" s="2">
        <v>90.265000000000001</v>
      </c>
      <c r="N261" s="2">
        <v>90</v>
      </c>
      <c r="O261" s="2">
        <f t="shared" si="4"/>
        <v>1750</v>
      </c>
    </row>
    <row r="262" spans="1:15" x14ac:dyDescent="0.3">
      <c r="A262" s="8">
        <v>260</v>
      </c>
      <c r="B262" s="14">
        <v>46113</v>
      </c>
      <c r="C262" s="2" t="s">
        <v>1325</v>
      </c>
      <c r="D262" s="2" t="s">
        <v>10</v>
      </c>
      <c r="E262" s="2" t="s">
        <v>935</v>
      </c>
      <c r="F262" s="2">
        <v>1.75</v>
      </c>
      <c r="G262" s="2" t="s">
        <v>883</v>
      </c>
      <c r="H262" s="2" t="s">
        <v>514</v>
      </c>
      <c r="I262" s="2" t="s">
        <v>1092</v>
      </c>
      <c r="J262" s="2" t="s">
        <v>1110</v>
      </c>
      <c r="K262" s="2">
        <v>5953.5</v>
      </c>
      <c r="L262" s="2">
        <v>5953.5</v>
      </c>
      <c r="M262" s="2">
        <v>119.07</v>
      </c>
      <c r="N262" s="2">
        <v>119</v>
      </c>
      <c r="O262" s="2">
        <f t="shared" si="4"/>
        <v>1750</v>
      </c>
    </row>
    <row r="263" spans="1:15" x14ac:dyDescent="0.3">
      <c r="A263" s="8">
        <v>261</v>
      </c>
      <c r="B263" s="14">
        <v>46113</v>
      </c>
      <c r="C263" s="2" t="s">
        <v>1326</v>
      </c>
      <c r="D263" s="2" t="s">
        <v>10</v>
      </c>
      <c r="E263" s="2" t="s">
        <v>935</v>
      </c>
      <c r="F263" s="2">
        <v>1.75</v>
      </c>
      <c r="G263" s="2" t="s">
        <v>884</v>
      </c>
      <c r="H263" s="2" t="s">
        <v>522</v>
      </c>
      <c r="I263" s="2" t="s">
        <v>1092</v>
      </c>
      <c r="J263" s="2" t="s">
        <v>1110</v>
      </c>
      <c r="K263" s="2">
        <v>3836</v>
      </c>
      <c r="L263" s="2">
        <v>3836</v>
      </c>
      <c r="M263" s="2">
        <v>76.72</v>
      </c>
      <c r="N263" s="2">
        <v>77</v>
      </c>
      <c r="O263" s="2">
        <f t="shared" si="4"/>
        <v>1750</v>
      </c>
    </row>
    <row r="264" spans="1:15" x14ac:dyDescent="0.3">
      <c r="A264" s="8">
        <v>262</v>
      </c>
      <c r="B264" s="14">
        <v>46113</v>
      </c>
      <c r="C264" s="2" t="s">
        <v>1240</v>
      </c>
      <c r="D264" s="2" t="s">
        <v>10</v>
      </c>
      <c r="E264" s="2" t="s">
        <v>935</v>
      </c>
      <c r="F264" s="2">
        <v>0.25</v>
      </c>
      <c r="G264" s="2" t="s">
        <v>885</v>
      </c>
      <c r="H264" s="2" t="s">
        <v>530</v>
      </c>
      <c r="I264" s="2" t="s">
        <v>1095</v>
      </c>
      <c r="J264" s="2" t="s">
        <v>1110</v>
      </c>
      <c r="K264" s="2">
        <v>473</v>
      </c>
      <c r="L264" s="2">
        <v>473</v>
      </c>
      <c r="M264" s="2">
        <v>9.4600000000000009</v>
      </c>
      <c r="N264" s="2">
        <v>9</v>
      </c>
      <c r="O264" s="2">
        <f t="shared" si="4"/>
        <v>250</v>
      </c>
    </row>
    <row r="265" spans="1:15" x14ac:dyDescent="0.3">
      <c r="A265" s="8">
        <v>263</v>
      </c>
      <c r="B265" s="14">
        <v>46113</v>
      </c>
      <c r="C265" s="2" t="s">
        <v>1239</v>
      </c>
      <c r="D265" s="2" t="s">
        <v>10</v>
      </c>
      <c r="E265" s="2" t="s">
        <v>935</v>
      </c>
      <c r="F265" s="2">
        <v>1.25</v>
      </c>
      <c r="G265" s="2" t="s">
        <v>886</v>
      </c>
      <c r="H265" s="2" t="s">
        <v>540</v>
      </c>
      <c r="I265" s="2" t="s">
        <v>1096</v>
      </c>
      <c r="J265" s="2" t="s">
        <v>1110</v>
      </c>
      <c r="K265" s="2">
        <v>2462.5</v>
      </c>
      <c r="L265" s="2">
        <v>2462.5</v>
      </c>
      <c r="M265" s="2">
        <v>49.25</v>
      </c>
      <c r="N265" s="2">
        <v>49</v>
      </c>
      <c r="O265" s="2">
        <f t="shared" si="4"/>
        <v>1250</v>
      </c>
    </row>
    <row r="266" spans="1:15" x14ac:dyDescent="0.3">
      <c r="A266" s="8">
        <v>264</v>
      </c>
      <c r="B266" s="14">
        <v>46113</v>
      </c>
      <c r="C266" s="2" t="s">
        <v>1241</v>
      </c>
      <c r="D266" s="2" t="s">
        <v>10</v>
      </c>
      <c r="E266" s="2" t="s">
        <v>935</v>
      </c>
      <c r="F266" s="2">
        <v>0.25</v>
      </c>
      <c r="G266" s="2" t="s">
        <v>887</v>
      </c>
      <c r="H266" s="2" t="s">
        <v>550</v>
      </c>
      <c r="I266" s="2" t="s">
        <v>1095</v>
      </c>
      <c r="J266" s="2" t="s">
        <v>1110</v>
      </c>
      <c r="K266" s="2">
        <v>421.5</v>
      </c>
      <c r="L266" s="2">
        <v>421.5</v>
      </c>
      <c r="M266" s="2">
        <v>8.43</v>
      </c>
      <c r="N266" s="2">
        <v>8</v>
      </c>
      <c r="O266" s="2">
        <f t="shared" si="4"/>
        <v>250</v>
      </c>
    </row>
    <row r="267" spans="1:15" x14ac:dyDescent="0.3">
      <c r="A267" s="8">
        <v>265</v>
      </c>
      <c r="B267" s="14">
        <v>46113</v>
      </c>
      <c r="C267" s="2" t="s">
        <v>1242</v>
      </c>
      <c r="D267" s="2" t="s">
        <v>10</v>
      </c>
      <c r="E267" s="2" t="s">
        <v>935</v>
      </c>
      <c r="F267" s="2">
        <v>0.25</v>
      </c>
      <c r="G267" s="2" t="s">
        <v>888</v>
      </c>
      <c r="H267" s="2" t="s">
        <v>560</v>
      </c>
      <c r="I267" s="2" t="s">
        <v>1095</v>
      </c>
      <c r="J267" s="2" t="s">
        <v>1110</v>
      </c>
      <c r="K267" s="2">
        <v>345</v>
      </c>
      <c r="L267" s="2">
        <v>345</v>
      </c>
      <c r="M267" s="2">
        <v>6.9</v>
      </c>
      <c r="N267" s="2">
        <v>7</v>
      </c>
      <c r="O267" s="2">
        <f t="shared" si="4"/>
        <v>250</v>
      </c>
    </row>
    <row r="268" spans="1:15" x14ac:dyDescent="0.3">
      <c r="A268" s="8">
        <v>266</v>
      </c>
      <c r="B268" s="14">
        <v>46113</v>
      </c>
      <c r="C268" s="2" t="s">
        <v>1243</v>
      </c>
      <c r="D268" s="2" t="s">
        <v>10</v>
      </c>
      <c r="E268" s="2" t="s">
        <v>935</v>
      </c>
      <c r="F268" s="2">
        <v>0.25</v>
      </c>
      <c r="G268" s="2" t="s">
        <v>889</v>
      </c>
      <c r="H268" s="2" t="s">
        <v>570</v>
      </c>
      <c r="I268" s="2" t="s">
        <v>1097</v>
      </c>
      <c r="J268" s="2" t="s">
        <v>1110</v>
      </c>
      <c r="K268" s="2">
        <v>187.75</v>
      </c>
      <c r="L268" s="2">
        <v>187.75</v>
      </c>
      <c r="M268" s="2">
        <v>3.7549999999999999</v>
      </c>
      <c r="N268" s="2">
        <v>4</v>
      </c>
      <c r="O268" s="2">
        <f t="shared" si="4"/>
        <v>250</v>
      </c>
    </row>
    <row r="269" spans="1:15" x14ac:dyDescent="0.3">
      <c r="A269" s="8">
        <v>267</v>
      </c>
      <c r="B269" s="14">
        <v>46113</v>
      </c>
      <c r="C269" s="2" t="s">
        <v>1327</v>
      </c>
      <c r="D269" s="2" t="s">
        <v>10</v>
      </c>
      <c r="E269" s="2" t="s">
        <v>935</v>
      </c>
      <c r="F269" s="2">
        <v>0.25</v>
      </c>
      <c r="G269" s="2" t="s">
        <v>890</v>
      </c>
      <c r="H269" s="2" t="s">
        <v>580</v>
      </c>
      <c r="I269" s="2" t="s">
        <v>1098</v>
      </c>
      <c r="J269" s="2" t="s">
        <v>1110</v>
      </c>
      <c r="K269" s="2">
        <v>292</v>
      </c>
      <c r="L269" s="2">
        <v>292</v>
      </c>
      <c r="M269" s="2">
        <v>5.84</v>
      </c>
      <c r="N269" s="2">
        <v>6</v>
      </c>
      <c r="O269" s="2">
        <f t="shared" si="4"/>
        <v>250</v>
      </c>
    </row>
    <row r="270" spans="1:15" x14ac:dyDescent="0.3">
      <c r="A270" s="8">
        <v>268</v>
      </c>
      <c r="B270" s="14">
        <v>46113</v>
      </c>
      <c r="C270" s="2" t="s">
        <v>1245</v>
      </c>
      <c r="D270" s="2" t="s">
        <v>10</v>
      </c>
      <c r="E270" s="2" t="s">
        <v>935</v>
      </c>
      <c r="F270" s="2">
        <v>0.25</v>
      </c>
      <c r="G270" s="2" t="s">
        <v>1099</v>
      </c>
      <c r="H270" s="2" t="s">
        <v>590</v>
      </c>
      <c r="I270" s="2" t="s">
        <v>1097</v>
      </c>
      <c r="J270" s="2" t="s">
        <v>1110</v>
      </c>
      <c r="K270" s="2">
        <v>36.25</v>
      </c>
      <c r="L270" s="2">
        <v>36.25</v>
      </c>
      <c r="M270" s="2">
        <v>0.72499999999999998</v>
      </c>
      <c r="N270" s="2">
        <v>1</v>
      </c>
      <c r="O270" s="2">
        <f t="shared" si="4"/>
        <v>250</v>
      </c>
    </row>
    <row r="271" spans="1:15" x14ac:dyDescent="0.3">
      <c r="A271" s="8">
        <v>269</v>
      </c>
      <c r="B271" s="14">
        <v>46113</v>
      </c>
      <c r="C271" s="2" t="s">
        <v>1328</v>
      </c>
      <c r="D271" s="2" t="s">
        <v>10</v>
      </c>
      <c r="E271" s="2" t="s">
        <v>935</v>
      </c>
      <c r="F271" s="2">
        <v>0.25</v>
      </c>
      <c r="G271" s="2" t="s">
        <v>1100</v>
      </c>
      <c r="H271" s="2" t="s">
        <v>600</v>
      </c>
      <c r="I271" s="2" t="s">
        <v>1098</v>
      </c>
      <c r="J271" s="2" t="s">
        <v>1110</v>
      </c>
      <c r="K271" s="2">
        <v>386.75</v>
      </c>
      <c r="L271" s="2">
        <v>386.75</v>
      </c>
      <c r="M271" s="2">
        <v>7.7350000000000003</v>
      </c>
      <c r="N271" s="2">
        <v>8</v>
      </c>
      <c r="O271" s="2">
        <f t="shared" si="4"/>
        <v>250</v>
      </c>
    </row>
    <row r="272" spans="1:15" x14ac:dyDescent="0.3">
      <c r="A272" s="8">
        <v>270</v>
      </c>
      <c r="B272" s="14">
        <v>46113</v>
      </c>
      <c r="C272" s="2" t="s">
        <v>1329</v>
      </c>
      <c r="D272" s="2" t="s">
        <v>10</v>
      </c>
      <c r="E272" s="2" t="s">
        <v>935</v>
      </c>
      <c r="F272" s="2">
        <v>0.25</v>
      </c>
      <c r="G272" s="2" t="s">
        <v>1101</v>
      </c>
      <c r="H272" s="2" t="s">
        <v>610</v>
      </c>
      <c r="I272" s="2" t="s">
        <v>1102</v>
      </c>
      <c r="J272" s="2" t="s">
        <v>1110</v>
      </c>
      <c r="K272" s="2">
        <v>792.75</v>
      </c>
      <c r="L272" s="2">
        <v>792.75</v>
      </c>
      <c r="M272" s="2">
        <v>15.855</v>
      </c>
      <c r="N272" s="2">
        <v>16</v>
      </c>
      <c r="O272" s="2">
        <f t="shared" si="4"/>
        <v>250</v>
      </c>
    </row>
    <row r="273" spans="1:15" x14ac:dyDescent="0.3">
      <c r="A273" s="8">
        <v>271</v>
      </c>
      <c r="B273" s="14">
        <v>46113</v>
      </c>
      <c r="C273" s="2" t="s">
        <v>1330</v>
      </c>
      <c r="D273" s="2" t="s">
        <v>10</v>
      </c>
      <c r="E273" s="2" t="s">
        <v>935</v>
      </c>
      <c r="F273" s="2">
        <v>0.25</v>
      </c>
      <c r="G273" s="2" t="s">
        <v>906</v>
      </c>
      <c r="H273" s="2" t="s">
        <v>620</v>
      </c>
      <c r="I273" s="2" t="s">
        <v>1102</v>
      </c>
      <c r="J273" s="2" t="s">
        <v>1110</v>
      </c>
      <c r="K273" s="2">
        <v>737.5</v>
      </c>
      <c r="L273" s="2">
        <v>737.5</v>
      </c>
      <c r="M273" s="2">
        <v>14.75</v>
      </c>
      <c r="N273" s="2">
        <v>15</v>
      </c>
      <c r="O273" s="2">
        <f t="shared" si="4"/>
        <v>250</v>
      </c>
    </row>
    <row r="274" spans="1:15" x14ac:dyDescent="0.3">
      <c r="A274" s="8">
        <v>272</v>
      </c>
      <c r="B274" s="14">
        <v>46113</v>
      </c>
      <c r="C274" s="2" t="s">
        <v>1331</v>
      </c>
      <c r="D274" s="2" t="s">
        <v>10</v>
      </c>
      <c r="E274" s="2" t="s">
        <v>935</v>
      </c>
      <c r="F274" s="2">
        <v>1.25</v>
      </c>
      <c r="G274" s="2" t="s">
        <v>907</v>
      </c>
      <c r="H274" s="2" t="s">
        <v>630</v>
      </c>
      <c r="I274" s="2" t="s">
        <v>1103</v>
      </c>
      <c r="J274" s="2" t="s">
        <v>1110</v>
      </c>
      <c r="K274" s="2">
        <v>3061.25</v>
      </c>
      <c r="L274" s="2">
        <v>3061.25</v>
      </c>
      <c r="M274" s="2">
        <v>61.225000000000001</v>
      </c>
      <c r="N274" s="2">
        <v>61</v>
      </c>
      <c r="O274" s="2">
        <f t="shared" si="4"/>
        <v>1250</v>
      </c>
    </row>
    <row r="275" spans="1:15" x14ac:dyDescent="0.3">
      <c r="A275" s="8">
        <v>273</v>
      </c>
      <c r="B275" s="14">
        <v>46113</v>
      </c>
      <c r="C275" s="2" t="s">
        <v>1332</v>
      </c>
      <c r="D275" s="2" t="s">
        <v>10</v>
      </c>
      <c r="E275" s="2" t="s">
        <v>935</v>
      </c>
      <c r="F275" s="2">
        <v>1.25</v>
      </c>
      <c r="G275" s="2" t="s">
        <v>908</v>
      </c>
      <c r="H275" s="2" t="s">
        <v>640</v>
      </c>
      <c r="I275" s="2" t="s">
        <v>1103</v>
      </c>
      <c r="J275" s="2" t="s">
        <v>1110</v>
      </c>
      <c r="K275" s="2">
        <v>2517.5</v>
      </c>
      <c r="L275" s="2">
        <v>2517.5</v>
      </c>
      <c r="M275" s="2">
        <v>50.35</v>
      </c>
      <c r="N275" s="2">
        <v>50</v>
      </c>
      <c r="O275" s="2">
        <f t="shared" si="4"/>
        <v>1250</v>
      </c>
    </row>
    <row r="276" spans="1:15" x14ac:dyDescent="0.3">
      <c r="A276" s="8">
        <v>274</v>
      </c>
      <c r="B276" s="14">
        <v>46113</v>
      </c>
      <c r="C276" s="2" t="s">
        <v>1333</v>
      </c>
      <c r="D276" s="2" t="s">
        <v>10</v>
      </c>
      <c r="E276" s="2" t="s">
        <v>935</v>
      </c>
      <c r="F276" s="2">
        <v>1.75</v>
      </c>
      <c r="G276" s="2" t="s">
        <v>909</v>
      </c>
      <c r="H276" s="2" t="s">
        <v>650</v>
      </c>
      <c r="I276" s="2" t="s">
        <v>1104</v>
      </c>
      <c r="J276" s="2" t="s">
        <v>1110</v>
      </c>
      <c r="K276" s="2">
        <v>5314.75</v>
      </c>
      <c r="L276" s="2">
        <v>5314.75</v>
      </c>
      <c r="M276" s="2">
        <v>106.295</v>
      </c>
      <c r="N276" s="2">
        <v>106</v>
      </c>
      <c r="O276" s="2">
        <f t="shared" si="4"/>
        <v>1750</v>
      </c>
    </row>
    <row r="277" spans="1:15" x14ac:dyDescent="0.3">
      <c r="A277" s="8">
        <v>275</v>
      </c>
      <c r="B277" s="14">
        <v>46113</v>
      </c>
      <c r="C277" s="2" t="s">
        <v>1334</v>
      </c>
      <c r="D277" s="2" t="s">
        <v>10</v>
      </c>
      <c r="E277" s="2" t="s">
        <v>935</v>
      </c>
      <c r="F277" s="2">
        <v>1.25</v>
      </c>
      <c r="G277" s="2" t="s">
        <v>910</v>
      </c>
      <c r="H277" s="2" t="s">
        <v>658</v>
      </c>
      <c r="I277" s="2" t="s">
        <v>1103</v>
      </c>
      <c r="J277" s="2" t="s">
        <v>1110</v>
      </c>
      <c r="K277" s="2">
        <v>3622.5</v>
      </c>
      <c r="L277" s="2">
        <v>3622.5</v>
      </c>
      <c r="M277" s="2">
        <v>72.45</v>
      </c>
      <c r="N277" s="2">
        <v>72</v>
      </c>
      <c r="O277" s="2">
        <f t="shared" si="4"/>
        <v>1250</v>
      </c>
    </row>
    <row r="278" spans="1:15" x14ac:dyDescent="0.3">
      <c r="A278" s="8">
        <v>276</v>
      </c>
      <c r="B278" s="14">
        <v>46113</v>
      </c>
      <c r="C278" s="2" t="s">
        <v>1335</v>
      </c>
      <c r="D278" s="2" t="s">
        <v>10</v>
      </c>
      <c r="E278" s="2" t="s">
        <v>935</v>
      </c>
      <c r="F278" s="2">
        <v>1.25</v>
      </c>
      <c r="G278" s="2" t="s">
        <v>911</v>
      </c>
      <c r="H278" s="2" t="s">
        <v>668</v>
      </c>
      <c r="I278" s="2" t="s">
        <v>1103</v>
      </c>
      <c r="J278" s="2" t="s">
        <v>1110</v>
      </c>
      <c r="K278" s="2">
        <v>2955</v>
      </c>
      <c r="L278" s="2">
        <v>2955</v>
      </c>
      <c r="M278" s="2">
        <v>59.1</v>
      </c>
      <c r="N278" s="2">
        <v>59</v>
      </c>
      <c r="O278" s="2">
        <f t="shared" si="4"/>
        <v>1250</v>
      </c>
    </row>
    <row r="279" spans="1:15" x14ac:dyDescent="0.3">
      <c r="A279" s="8">
        <v>277</v>
      </c>
      <c r="B279" s="14">
        <v>46113</v>
      </c>
      <c r="C279" s="2" t="s">
        <v>1336</v>
      </c>
      <c r="D279" s="2" t="s">
        <v>10</v>
      </c>
      <c r="E279" s="2" t="s">
        <v>935</v>
      </c>
      <c r="F279" s="2">
        <v>1.75</v>
      </c>
      <c r="G279" s="2" t="s">
        <v>912</v>
      </c>
      <c r="H279" s="2" t="s">
        <v>678</v>
      </c>
      <c r="I279" s="2" t="s">
        <v>1105</v>
      </c>
      <c r="J279" s="2" t="s">
        <v>1110</v>
      </c>
      <c r="K279" s="2">
        <v>372.75</v>
      </c>
      <c r="L279" s="2">
        <v>372.75</v>
      </c>
      <c r="M279" s="2">
        <v>7.4550000000000001</v>
      </c>
      <c r="N279" s="2">
        <v>7</v>
      </c>
      <c r="O279" s="2">
        <f t="shared" si="4"/>
        <v>1750</v>
      </c>
    </row>
    <row r="280" spans="1:15" x14ac:dyDescent="0.3">
      <c r="A280" s="8">
        <v>278</v>
      </c>
      <c r="B280" s="14">
        <v>46113</v>
      </c>
      <c r="C280" s="2" t="s">
        <v>1337</v>
      </c>
      <c r="D280" s="2" t="s">
        <v>10</v>
      </c>
      <c r="E280" s="2" t="s">
        <v>935</v>
      </c>
      <c r="F280" s="2">
        <v>1.75</v>
      </c>
      <c r="G280" s="2" t="s">
        <v>913</v>
      </c>
      <c r="H280" s="2" t="s">
        <v>686</v>
      </c>
      <c r="I280" s="2" t="s">
        <v>1106</v>
      </c>
      <c r="J280" s="2" t="s">
        <v>1110</v>
      </c>
      <c r="K280" s="2">
        <v>4928</v>
      </c>
      <c r="L280" s="2">
        <v>4928</v>
      </c>
      <c r="M280" s="2">
        <v>98.56</v>
      </c>
      <c r="N280" s="2">
        <v>99</v>
      </c>
      <c r="O280" s="2">
        <f t="shared" si="4"/>
        <v>1750</v>
      </c>
    </row>
    <row r="281" spans="1:15" x14ac:dyDescent="0.3">
      <c r="A281" s="8">
        <v>279</v>
      </c>
      <c r="B281" s="14">
        <v>46113</v>
      </c>
      <c r="C281" s="2" t="s">
        <v>1338</v>
      </c>
      <c r="D281" s="2" t="s">
        <v>10</v>
      </c>
      <c r="E281" s="2" t="s">
        <v>935</v>
      </c>
      <c r="F281" s="2">
        <v>1.75</v>
      </c>
      <c r="G281" s="2" t="s">
        <v>914</v>
      </c>
      <c r="H281" s="2" t="s">
        <v>694</v>
      </c>
      <c r="I281" s="2" t="s">
        <v>1106</v>
      </c>
      <c r="J281" s="2" t="s">
        <v>1110</v>
      </c>
      <c r="K281" s="2">
        <v>5134.5</v>
      </c>
      <c r="L281" s="2">
        <v>5134.5</v>
      </c>
      <c r="M281" s="2">
        <v>102.69</v>
      </c>
      <c r="N281" s="2">
        <v>103</v>
      </c>
      <c r="O281" s="2">
        <f t="shared" si="4"/>
        <v>1750</v>
      </c>
    </row>
    <row r="282" spans="1:15" x14ac:dyDescent="0.3">
      <c r="A282" s="8">
        <v>280</v>
      </c>
      <c r="B282" s="14">
        <v>46113</v>
      </c>
      <c r="C282" s="2" t="s">
        <v>1339</v>
      </c>
      <c r="D282" s="2" t="s">
        <v>10</v>
      </c>
      <c r="E282" s="2" t="s">
        <v>935</v>
      </c>
      <c r="F282" s="2">
        <v>1.5</v>
      </c>
      <c r="G282" s="2" t="s">
        <v>915</v>
      </c>
      <c r="H282" s="2" t="s">
        <v>702</v>
      </c>
      <c r="I282" s="2" t="s">
        <v>1107</v>
      </c>
      <c r="J282" s="2" t="s">
        <v>1110</v>
      </c>
      <c r="K282" s="2">
        <v>4308</v>
      </c>
      <c r="L282" s="2">
        <v>4308</v>
      </c>
      <c r="M282" s="2">
        <v>86.16</v>
      </c>
      <c r="N282" s="2">
        <v>86</v>
      </c>
      <c r="O282" s="2">
        <f t="shared" si="4"/>
        <v>1500</v>
      </c>
    </row>
    <row r="283" spans="1:15" x14ac:dyDescent="0.3">
      <c r="A283" s="8">
        <v>281</v>
      </c>
      <c r="B283" s="14">
        <v>46113</v>
      </c>
      <c r="C283" s="2" t="s">
        <v>1173</v>
      </c>
      <c r="D283" s="2" t="s">
        <v>10</v>
      </c>
      <c r="E283" s="2" t="s">
        <v>935</v>
      </c>
      <c r="F283" s="2">
        <v>0.75</v>
      </c>
      <c r="G283" s="2" t="s">
        <v>916</v>
      </c>
      <c r="H283" s="2" t="s">
        <v>709</v>
      </c>
      <c r="I283" s="2" t="s">
        <v>1108</v>
      </c>
      <c r="J283" s="2" t="s">
        <v>1110</v>
      </c>
      <c r="K283" s="2">
        <v>45.75</v>
      </c>
      <c r="L283" s="2">
        <v>45.75</v>
      </c>
      <c r="M283" s="2">
        <v>0.91500000000000004</v>
      </c>
      <c r="N283" s="2">
        <v>1</v>
      </c>
      <c r="O283" s="2">
        <f t="shared" si="4"/>
        <v>750</v>
      </c>
    </row>
    <row r="284" spans="1:15" x14ac:dyDescent="0.3">
      <c r="A284" s="8">
        <v>282</v>
      </c>
      <c r="B284" s="14">
        <v>46113</v>
      </c>
      <c r="C284" s="2" t="s">
        <v>1340</v>
      </c>
      <c r="D284" s="2" t="s">
        <v>10</v>
      </c>
      <c r="E284" s="2" t="s">
        <v>935</v>
      </c>
      <c r="F284" s="2">
        <v>1.75</v>
      </c>
      <c r="G284" s="2" t="s">
        <v>917</v>
      </c>
      <c r="H284" s="2" t="s">
        <v>719</v>
      </c>
      <c r="I284" s="2" t="s">
        <v>1106</v>
      </c>
      <c r="J284" s="2" t="s">
        <v>1110</v>
      </c>
      <c r="K284" s="2">
        <v>5080.25</v>
      </c>
      <c r="L284" s="2">
        <v>5080.25</v>
      </c>
      <c r="M284" s="2">
        <v>101.605</v>
      </c>
      <c r="N284" s="2">
        <v>102</v>
      </c>
      <c r="O284" s="2">
        <f t="shared" si="4"/>
        <v>1750</v>
      </c>
    </row>
    <row r="285" spans="1:15" x14ac:dyDescent="0.3">
      <c r="A285" s="8">
        <v>283</v>
      </c>
      <c r="B285" s="14">
        <v>46113</v>
      </c>
      <c r="C285" s="2" t="s">
        <v>1341</v>
      </c>
      <c r="D285" s="2" t="s">
        <v>10</v>
      </c>
      <c r="E285" s="2" t="s">
        <v>935</v>
      </c>
      <c r="F285" s="2">
        <v>1.5</v>
      </c>
      <c r="G285" s="2" t="s">
        <v>918</v>
      </c>
      <c r="H285" s="2" t="s">
        <v>727</v>
      </c>
      <c r="I285" s="2" t="s">
        <v>1107</v>
      </c>
      <c r="J285" s="2" t="s">
        <v>1110</v>
      </c>
      <c r="K285" s="2">
        <v>4545</v>
      </c>
      <c r="L285" s="2">
        <v>4545</v>
      </c>
      <c r="M285" s="2">
        <v>90.9</v>
      </c>
      <c r="N285" s="2">
        <v>91</v>
      </c>
      <c r="O285" s="2">
        <f t="shared" si="4"/>
        <v>1500</v>
      </c>
    </row>
    <row r="286" spans="1:15" x14ac:dyDescent="0.3">
      <c r="A286" s="8">
        <v>284</v>
      </c>
      <c r="B286" s="14">
        <v>46113</v>
      </c>
      <c r="C286" s="2" t="s">
        <v>1342</v>
      </c>
      <c r="D286" s="2" t="s">
        <v>10</v>
      </c>
      <c r="E286" s="2" t="s">
        <v>935</v>
      </c>
      <c r="F286" s="2">
        <v>1.75</v>
      </c>
      <c r="G286" s="2" t="s">
        <v>919</v>
      </c>
      <c r="H286" s="2" t="s">
        <v>735</v>
      </c>
      <c r="I286" s="2" t="s">
        <v>1106</v>
      </c>
      <c r="J286" s="2" t="s">
        <v>1110</v>
      </c>
      <c r="K286" s="2">
        <v>5012</v>
      </c>
      <c r="L286" s="2">
        <v>5012</v>
      </c>
      <c r="M286" s="2">
        <v>100.24</v>
      </c>
      <c r="N286" s="2">
        <v>100</v>
      </c>
      <c r="O286" s="2">
        <f t="shared" si="4"/>
        <v>1750</v>
      </c>
    </row>
    <row r="287" spans="1:15" x14ac:dyDescent="0.3">
      <c r="A287" s="8">
        <v>285</v>
      </c>
      <c r="B287" s="14">
        <v>46113</v>
      </c>
      <c r="C287" s="2" t="s">
        <v>1343</v>
      </c>
      <c r="D287" s="2" t="s">
        <v>10</v>
      </c>
      <c r="E287" s="2" t="s">
        <v>935</v>
      </c>
      <c r="F287" s="2">
        <v>1.5</v>
      </c>
      <c r="G287" s="2" t="s">
        <v>920</v>
      </c>
      <c r="H287" s="2" t="s">
        <v>743</v>
      </c>
      <c r="I287" s="2" t="s">
        <v>1107</v>
      </c>
      <c r="J287" s="2" t="s">
        <v>1110</v>
      </c>
      <c r="K287" s="2">
        <v>168</v>
      </c>
      <c r="L287" s="2">
        <v>168</v>
      </c>
      <c r="M287" s="2">
        <v>3.36</v>
      </c>
      <c r="N287" s="2">
        <v>3</v>
      </c>
      <c r="O287" s="2">
        <f t="shared" si="4"/>
        <v>1500</v>
      </c>
    </row>
    <row r="288" spans="1:15" x14ac:dyDescent="0.3">
      <c r="A288" s="8">
        <v>286</v>
      </c>
      <c r="B288" s="14">
        <v>46113</v>
      </c>
      <c r="C288" s="2" t="s">
        <v>1344</v>
      </c>
      <c r="D288" s="2" t="s">
        <v>10</v>
      </c>
      <c r="E288" s="2" t="s">
        <v>935</v>
      </c>
      <c r="F288" s="2">
        <v>1.75</v>
      </c>
      <c r="G288" s="2" t="s">
        <v>921</v>
      </c>
      <c r="H288" s="2" t="s">
        <v>751</v>
      </c>
      <c r="I288" s="2" t="s">
        <v>1106</v>
      </c>
      <c r="J288" s="2" t="s">
        <v>1110</v>
      </c>
      <c r="K288" s="2">
        <v>4943.75</v>
      </c>
      <c r="L288" s="2">
        <v>4943.75</v>
      </c>
      <c r="M288" s="2">
        <v>98.875</v>
      </c>
      <c r="N288" s="2">
        <v>99</v>
      </c>
      <c r="O288" s="2">
        <f t="shared" si="4"/>
        <v>1750</v>
      </c>
    </row>
    <row r="289" spans="1:15" x14ac:dyDescent="0.3">
      <c r="A289" s="8">
        <v>287</v>
      </c>
      <c r="B289" s="14">
        <v>46113</v>
      </c>
      <c r="C289" s="2" t="s">
        <v>1345</v>
      </c>
      <c r="D289" s="2" t="s">
        <v>10</v>
      </c>
      <c r="E289" s="2" t="s">
        <v>935</v>
      </c>
      <c r="F289" s="2">
        <v>1.75</v>
      </c>
      <c r="G289" s="2" t="s">
        <v>922</v>
      </c>
      <c r="H289" s="2" t="s">
        <v>759</v>
      </c>
      <c r="I289" s="2" t="s">
        <v>1106</v>
      </c>
      <c r="J289" s="2" t="s">
        <v>1110</v>
      </c>
      <c r="K289" s="2">
        <v>4975.25</v>
      </c>
      <c r="L289" s="2">
        <v>4975.25</v>
      </c>
      <c r="M289" s="2">
        <v>99.504999999999995</v>
      </c>
      <c r="N289" s="2">
        <v>100</v>
      </c>
      <c r="O289" s="2">
        <f t="shared" si="4"/>
        <v>1750</v>
      </c>
    </row>
    <row r="290" spans="1:15" x14ac:dyDescent="0.3">
      <c r="A290" s="8">
        <v>288</v>
      </c>
      <c r="B290" s="14">
        <v>46113</v>
      </c>
      <c r="C290" s="2" t="s">
        <v>1174</v>
      </c>
      <c r="D290" s="2" t="s">
        <v>10</v>
      </c>
      <c r="E290" s="2" t="s">
        <v>935</v>
      </c>
      <c r="F290" s="2">
        <v>0.75</v>
      </c>
      <c r="G290" s="2" t="s">
        <v>923</v>
      </c>
      <c r="H290" s="2" t="s">
        <v>766</v>
      </c>
      <c r="I290" s="2" t="s">
        <v>1108</v>
      </c>
      <c r="J290" s="2" t="s">
        <v>1110</v>
      </c>
      <c r="K290" s="2">
        <v>128.25</v>
      </c>
      <c r="L290" s="2">
        <v>128.25</v>
      </c>
      <c r="M290" s="2">
        <v>2.5649999999999999</v>
      </c>
      <c r="N290" s="2">
        <v>3</v>
      </c>
      <c r="O290" s="2">
        <f t="shared" si="4"/>
        <v>750</v>
      </c>
    </row>
    <row r="291" spans="1:15" x14ac:dyDescent="0.3">
      <c r="A291" s="8">
        <v>289</v>
      </c>
      <c r="B291" s="14">
        <v>46113</v>
      </c>
      <c r="C291" s="2" t="s">
        <v>1346</v>
      </c>
      <c r="D291" s="2" t="s">
        <v>10</v>
      </c>
      <c r="E291" s="2" t="s">
        <v>935</v>
      </c>
      <c r="F291" s="2">
        <v>1.75</v>
      </c>
      <c r="G291" s="2" t="s">
        <v>924</v>
      </c>
      <c r="H291" s="2" t="s">
        <v>776</v>
      </c>
      <c r="I291" s="2" t="s">
        <v>1106</v>
      </c>
      <c r="J291" s="2" t="s">
        <v>1110</v>
      </c>
      <c r="K291" s="2">
        <v>5598.25</v>
      </c>
      <c r="L291" s="2">
        <v>5598.25</v>
      </c>
      <c r="M291" s="2">
        <v>111.965</v>
      </c>
      <c r="N291" s="2">
        <v>112</v>
      </c>
      <c r="O291" s="2">
        <f t="shared" si="4"/>
        <v>1750</v>
      </c>
    </row>
    <row r="292" spans="1:15" x14ac:dyDescent="0.3">
      <c r="A292" s="8">
        <v>290</v>
      </c>
      <c r="B292" s="14">
        <v>46113</v>
      </c>
      <c r="C292" s="2" t="s">
        <v>1267</v>
      </c>
      <c r="D292" s="2" t="s">
        <v>10</v>
      </c>
      <c r="E292" s="2" t="s">
        <v>935</v>
      </c>
      <c r="F292" s="2">
        <v>1.5</v>
      </c>
      <c r="G292" s="2" t="s">
        <v>925</v>
      </c>
      <c r="H292" s="2" t="s">
        <v>784</v>
      </c>
      <c r="I292" s="2" t="s">
        <v>1107</v>
      </c>
      <c r="J292" s="2" t="s">
        <v>1110</v>
      </c>
      <c r="K292" s="2">
        <v>4249.5</v>
      </c>
      <c r="L292" s="2">
        <v>4249.5</v>
      </c>
      <c r="M292" s="2">
        <v>84.99</v>
      </c>
      <c r="N292" s="2">
        <v>85</v>
      </c>
      <c r="O292" s="2">
        <f t="shared" si="4"/>
        <v>1500</v>
      </c>
    </row>
    <row r="293" spans="1:15" x14ac:dyDescent="0.3">
      <c r="A293" s="8">
        <v>291</v>
      </c>
      <c r="B293" s="14">
        <v>46113</v>
      </c>
      <c r="C293" s="2" t="s">
        <v>1347</v>
      </c>
      <c r="D293" s="2" t="s">
        <v>10</v>
      </c>
      <c r="E293" s="2" t="s">
        <v>935</v>
      </c>
      <c r="F293" s="2">
        <v>1.75</v>
      </c>
      <c r="G293" s="2" t="s">
        <v>926</v>
      </c>
      <c r="H293" s="2" t="s">
        <v>792</v>
      </c>
      <c r="I293" s="2" t="s">
        <v>1106</v>
      </c>
      <c r="J293" s="2" t="s">
        <v>1110</v>
      </c>
      <c r="K293" s="2">
        <v>5276.25</v>
      </c>
      <c r="L293" s="2">
        <v>5276.25</v>
      </c>
      <c r="M293" s="2">
        <v>105.52500000000001</v>
      </c>
      <c r="N293" s="2">
        <v>106</v>
      </c>
      <c r="O293" s="2">
        <f t="shared" si="4"/>
        <v>1750</v>
      </c>
    </row>
    <row r="294" spans="1:15" x14ac:dyDescent="0.3">
      <c r="A294" s="8">
        <v>292</v>
      </c>
      <c r="B294" s="14">
        <v>46113</v>
      </c>
      <c r="C294" s="2" t="s">
        <v>1175</v>
      </c>
      <c r="D294" s="2" t="s">
        <v>10</v>
      </c>
      <c r="E294" s="2" t="s">
        <v>935</v>
      </c>
      <c r="F294" s="2">
        <v>0.75</v>
      </c>
      <c r="G294" s="2" t="s">
        <v>927</v>
      </c>
      <c r="H294" s="2" t="s">
        <v>799</v>
      </c>
      <c r="I294" s="2" t="s">
        <v>1108</v>
      </c>
      <c r="J294" s="2" t="s">
        <v>1110</v>
      </c>
      <c r="K294" s="2">
        <v>180.75</v>
      </c>
      <c r="L294" s="2">
        <v>180.75</v>
      </c>
      <c r="M294" s="2">
        <v>3.6150000000000002</v>
      </c>
      <c r="N294" s="2">
        <v>4</v>
      </c>
      <c r="O294" s="2">
        <f t="shared" si="4"/>
        <v>750</v>
      </c>
    </row>
    <row r="295" spans="1:15" x14ac:dyDescent="0.3">
      <c r="A295" s="8">
        <v>293</v>
      </c>
      <c r="B295" s="14">
        <v>46113</v>
      </c>
      <c r="C295" s="2" t="s">
        <v>1348</v>
      </c>
      <c r="D295" s="2" t="s">
        <v>10</v>
      </c>
      <c r="E295" s="2" t="s">
        <v>935</v>
      </c>
      <c r="F295" s="2">
        <v>1.75</v>
      </c>
      <c r="G295" s="2" t="s">
        <v>928</v>
      </c>
      <c r="H295" s="2" t="s">
        <v>809</v>
      </c>
      <c r="I295" s="2" t="s">
        <v>1104</v>
      </c>
      <c r="J295" s="2" t="s">
        <v>1110</v>
      </c>
      <c r="K295" s="2">
        <v>1473.5</v>
      </c>
      <c r="L295" s="2">
        <v>1473.5</v>
      </c>
      <c r="M295" s="2">
        <v>29.47</v>
      </c>
      <c r="N295" s="2">
        <v>29</v>
      </c>
      <c r="O295" s="2">
        <f t="shared" si="4"/>
        <v>1750</v>
      </c>
    </row>
    <row r="296" spans="1:15" x14ac:dyDescent="0.3">
      <c r="A296" s="8">
        <v>294</v>
      </c>
      <c r="B296" s="14">
        <v>46113</v>
      </c>
      <c r="C296" s="2" t="s">
        <v>1349</v>
      </c>
      <c r="D296" s="2" t="s">
        <v>10</v>
      </c>
      <c r="E296" s="2" t="s">
        <v>935</v>
      </c>
      <c r="F296" s="2">
        <v>1.75</v>
      </c>
      <c r="G296" s="2" t="s">
        <v>929</v>
      </c>
      <c r="H296" s="2" t="s">
        <v>817</v>
      </c>
      <c r="I296" s="2" t="s">
        <v>1104</v>
      </c>
      <c r="J296" s="2" t="s">
        <v>1110</v>
      </c>
      <c r="K296" s="2">
        <v>1477</v>
      </c>
      <c r="L296" s="2">
        <v>1477</v>
      </c>
      <c r="M296" s="2">
        <v>29.54</v>
      </c>
      <c r="N296" s="2">
        <v>30</v>
      </c>
      <c r="O296" s="2">
        <f t="shared" si="4"/>
        <v>1750</v>
      </c>
    </row>
    <row r="297" spans="1:15" x14ac:dyDescent="0.3">
      <c r="A297" s="8">
        <v>295</v>
      </c>
      <c r="B297" s="14">
        <v>46113</v>
      </c>
      <c r="C297" s="2" t="s">
        <v>1350</v>
      </c>
      <c r="D297" s="2" t="s">
        <v>10</v>
      </c>
      <c r="E297" s="2" t="s">
        <v>935</v>
      </c>
      <c r="F297" s="2">
        <v>1.5</v>
      </c>
      <c r="G297" s="2" t="s">
        <v>930</v>
      </c>
      <c r="H297" s="2" t="s">
        <v>825</v>
      </c>
      <c r="I297" s="2" t="s">
        <v>1107</v>
      </c>
      <c r="J297" s="2" t="s">
        <v>1110</v>
      </c>
      <c r="K297" s="2">
        <v>138</v>
      </c>
      <c r="L297" s="2">
        <v>138</v>
      </c>
      <c r="M297" s="2">
        <v>2.76</v>
      </c>
      <c r="N297" s="2">
        <v>3</v>
      </c>
      <c r="O297" s="2">
        <f t="shared" si="4"/>
        <v>1500</v>
      </c>
    </row>
    <row r="298" spans="1:15" x14ac:dyDescent="0.3">
      <c r="A298" s="8">
        <v>296</v>
      </c>
      <c r="B298" s="14">
        <v>46113</v>
      </c>
      <c r="C298" s="2" t="s">
        <v>1351</v>
      </c>
      <c r="D298" s="2" t="s">
        <v>10</v>
      </c>
      <c r="E298" s="2" t="s">
        <v>935</v>
      </c>
      <c r="F298" s="2">
        <v>1.75</v>
      </c>
      <c r="G298" s="2" t="s">
        <v>931</v>
      </c>
      <c r="H298" s="2" t="s">
        <v>833</v>
      </c>
      <c r="I298" s="2" t="s">
        <v>1106</v>
      </c>
      <c r="J298" s="2" t="s">
        <v>1110</v>
      </c>
      <c r="K298" s="2">
        <v>2455.25</v>
      </c>
      <c r="L298" s="2">
        <v>2455.25</v>
      </c>
      <c r="M298" s="2">
        <v>49.104999999999997</v>
      </c>
      <c r="N298" s="2">
        <v>49</v>
      </c>
      <c r="O298" s="2">
        <f t="shared" si="4"/>
        <v>1750</v>
      </c>
    </row>
    <row r="299" spans="1:15" x14ac:dyDescent="0.3">
      <c r="A299" s="8">
        <v>297</v>
      </c>
      <c r="B299" s="14">
        <v>46113</v>
      </c>
      <c r="C299" s="2" t="s">
        <v>1176</v>
      </c>
      <c r="D299" s="2" t="s">
        <v>10</v>
      </c>
      <c r="E299" s="2" t="s">
        <v>935</v>
      </c>
      <c r="F299" s="2">
        <v>0.75</v>
      </c>
      <c r="G299" s="2" t="s">
        <v>932</v>
      </c>
      <c r="H299" s="2" t="s">
        <v>840</v>
      </c>
      <c r="I299" s="2" t="s">
        <v>1109</v>
      </c>
      <c r="J299" s="2" t="s">
        <v>1110</v>
      </c>
      <c r="K299" s="2">
        <v>2302.5</v>
      </c>
      <c r="L299" s="2">
        <v>2302.5</v>
      </c>
      <c r="M299" s="2">
        <v>46.05</v>
      </c>
      <c r="N299" s="2">
        <v>46</v>
      </c>
      <c r="O299" s="2">
        <f t="shared" si="4"/>
        <v>750</v>
      </c>
    </row>
    <row r="300" spans="1:15" x14ac:dyDescent="0.3">
      <c r="A300" s="8">
        <v>298</v>
      </c>
      <c r="B300" s="14">
        <v>46113</v>
      </c>
      <c r="C300" s="2" t="s">
        <v>1177</v>
      </c>
      <c r="D300" s="2" t="s">
        <v>10</v>
      </c>
      <c r="E300" s="2" t="s">
        <v>935</v>
      </c>
      <c r="F300" s="2">
        <v>0.75</v>
      </c>
      <c r="G300" s="2" t="s">
        <v>933</v>
      </c>
      <c r="H300" s="2" t="s">
        <v>849</v>
      </c>
      <c r="I300" s="2" t="s">
        <v>1109</v>
      </c>
      <c r="J300" s="2" t="s">
        <v>1110</v>
      </c>
      <c r="K300" s="2">
        <v>2452.5</v>
      </c>
      <c r="L300" s="2">
        <v>2452.5</v>
      </c>
      <c r="M300" s="2">
        <v>49.05</v>
      </c>
      <c r="N300" s="2">
        <v>49</v>
      </c>
      <c r="O300" s="2">
        <f t="shared" si="4"/>
        <v>750</v>
      </c>
    </row>
    <row r="301" spans="1:15" x14ac:dyDescent="0.3">
      <c r="A301" s="8">
        <v>299</v>
      </c>
      <c r="B301" s="14">
        <v>46143</v>
      </c>
      <c r="C301" s="2" t="s">
        <v>1269</v>
      </c>
      <c r="D301" s="2" t="s">
        <v>12</v>
      </c>
      <c r="E301" s="2" t="s">
        <v>935</v>
      </c>
      <c r="F301" s="2">
        <v>1.25</v>
      </c>
      <c r="G301" s="2" t="s">
        <v>1045</v>
      </c>
      <c r="H301" s="2" t="s">
        <v>13</v>
      </c>
      <c r="I301" s="2" t="s">
        <v>1046</v>
      </c>
      <c r="J301" s="2" t="s">
        <v>1110</v>
      </c>
      <c r="K301" s="2">
        <v>2437.5</v>
      </c>
      <c r="L301" s="2">
        <v>2437.5</v>
      </c>
      <c r="M301" s="2">
        <v>48.75</v>
      </c>
      <c r="N301" s="2">
        <v>49</v>
      </c>
      <c r="O301" s="2">
        <f t="shared" si="4"/>
        <v>1250</v>
      </c>
    </row>
    <row r="302" spans="1:15" x14ac:dyDescent="0.3">
      <c r="A302" s="8">
        <v>300</v>
      </c>
      <c r="B302" s="14">
        <v>46143</v>
      </c>
      <c r="C302" s="2" t="s">
        <v>1282</v>
      </c>
      <c r="D302" s="2" t="s">
        <v>12</v>
      </c>
      <c r="E302" s="2" t="s">
        <v>935</v>
      </c>
      <c r="F302" s="2">
        <v>1.25</v>
      </c>
      <c r="G302" s="2" t="s">
        <v>1048</v>
      </c>
      <c r="H302" s="2" t="s">
        <v>942</v>
      </c>
      <c r="I302" s="2" t="s">
        <v>1049</v>
      </c>
      <c r="J302" s="2" t="s">
        <v>1110</v>
      </c>
      <c r="K302" s="2">
        <v>667.5</v>
      </c>
      <c r="L302" s="2">
        <v>667.5</v>
      </c>
      <c r="M302" s="2">
        <v>13.35</v>
      </c>
      <c r="N302" s="2">
        <v>13</v>
      </c>
      <c r="O302" s="2">
        <f t="shared" si="4"/>
        <v>1250</v>
      </c>
    </row>
    <row r="303" spans="1:15" x14ac:dyDescent="0.3">
      <c r="A303" s="8">
        <v>301</v>
      </c>
      <c r="B303" s="14">
        <v>46143</v>
      </c>
      <c r="C303" s="2" t="s">
        <v>1270</v>
      </c>
      <c r="D303" s="2" t="s">
        <v>12</v>
      </c>
      <c r="E303" s="2" t="s">
        <v>935</v>
      </c>
      <c r="F303" s="2">
        <v>1.25</v>
      </c>
      <c r="G303" s="2" t="s">
        <v>1050</v>
      </c>
      <c r="H303" s="2" t="s">
        <v>23</v>
      </c>
      <c r="I303" s="2" t="s">
        <v>1046</v>
      </c>
      <c r="J303" s="2" t="s">
        <v>1110</v>
      </c>
      <c r="K303" s="2">
        <v>4793.75</v>
      </c>
      <c r="L303" s="2">
        <v>4793.75</v>
      </c>
      <c r="M303" s="2">
        <v>95.875</v>
      </c>
      <c r="N303" s="2">
        <v>96</v>
      </c>
      <c r="O303" s="2">
        <f t="shared" si="4"/>
        <v>1250</v>
      </c>
    </row>
    <row r="304" spans="1:15" x14ac:dyDescent="0.3">
      <c r="A304" s="8">
        <v>302</v>
      </c>
      <c r="B304" s="14">
        <v>46143</v>
      </c>
      <c r="C304" s="2" t="s">
        <v>1283</v>
      </c>
      <c r="D304" s="2" t="s">
        <v>12</v>
      </c>
      <c r="E304" s="2" t="s">
        <v>935</v>
      </c>
      <c r="F304" s="2">
        <v>1.25</v>
      </c>
      <c r="G304" s="2" t="s">
        <v>1051</v>
      </c>
      <c r="H304" s="2" t="s">
        <v>31</v>
      </c>
      <c r="I304" s="2" t="s">
        <v>1052</v>
      </c>
      <c r="J304" s="2" t="s">
        <v>1110</v>
      </c>
      <c r="K304" s="2">
        <v>2648.75</v>
      </c>
      <c r="L304" s="2">
        <v>2648.75</v>
      </c>
      <c r="M304" s="2">
        <v>52.975000000000001</v>
      </c>
      <c r="N304" s="2">
        <v>53</v>
      </c>
      <c r="O304" s="2">
        <f t="shared" si="4"/>
        <v>1250</v>
      </c>
    </row>
    <row r="305" spans="1:15" x14ac:dyDescent="0.3">
      <c r="A305" s="8">
        <v>303</v>
      </c>
      <c r="B305" s="14">
        <v>46143</v>
      </c>
      <c r="C305" s="2" t="s">
        <v>1284</v>
      </c>
      <c r="D305" s="2" t="s">
        <v>12</v>
      </c>
      <c r="E305" s="2" t="s">
        <v>935</v>
      </c>
      <c r="F305" s="2">
        <v>1.25</v>
      </c>
      <c r="G305" s="2" t="s">
        <v>1053</v>
      </c>
      <c r="H305" s="2" t="s">
        <v>943</v>
      </c>
      <c r="I305" s="2" t="s">
        <v>1049</v>
      </c>
      <c r="J305" s="2" t="s">
        <v>1110</v>
      </c>
      <c r="K305" s="2">
        <v>1225</v>
      </c>
      <c r="L305" s="2">
        <v>1225</v>
      </c>
      <c r="M305" s="2">
        <v>24.5</v>
      </c>
      <c r="N305" s="2">
        <v>25</v>
      </c>
      <c r="O305" s="2">
        <f t="shared" si="4"/>
        <v>1250</v>
      </c>
    </row>
    <row r="306" spans="1:15" x14ac:dyDescent="0.3">
      <c r="A306" s="8">
        <v>304</v>
      </c>
      <c r="B306" s="14">
        <v>46143</v>
      </c>
      <c r="C306" s="2" t="s">
        <v>1271</v>
      </c>
      <c r="D306" s="2" t="s">
        <v>12</v>
      </c>
      <c r="E306" s="2" t="s">
        <v>935</v>
      </c>
      <c r="F306" s="2">
        <v>1</v>
      </c>
      <c r="G306" s="2" t="s">
        <v>1054</v>
      </c>
      <c r="H306" s="2" t="s">
        <v>40</v>
      </c>
      <c r="I306" s="2" t="s">
        <v>1055</v>
      </c>
      <c r="J306" s="2" t="s">
        <v>1110</v>
      </c>
      <c r="K306" s="2">
        <v>4864</v>
      </c>
      <c r="L306" s="2">
        <v>4864</v>
      </c>
      <c r="M306" s="2">
        <v>97.28</v>
      </c>
      <c r="N306" s="2">
        <v>97</v>
      </c>
      <c r="O306" s="2">
        <f t="shared" si="4"/>
        <v>1000</v>
      </c>
    </row>
    <row r="307" spans="1:15" x14ac:dyDescent="0.3">
      <c r="A307" s="8">
        <v>305</v>
      </c>
      <c r="B307" s="14">
        <v>46143</v>
      </c>
      <c r="C307" s="2" t="s">
        <v>1272</v>
      </c>
      <c r="D307" s="2" t="s">
        <v>12</v>
      </c>
      <c r="E307" s="2" t="s">
        <v>935</v>
      </c>
      <c r="F307" s="2">
        <v>1</v>
      </c>
      <c r="G307" s="2" t="s">
        <v>1056</v>
      </c>
      <c r="H307" s="2" t="s">
        <v>48</v>
      </c>
      <c r="I307" s="2" t="s">
        <v>1055</v>
      </c>
      <c r="J307" s="2" t="s">
        <v>1110</v>
      </c>
      <c r="K307" s="2">
        <v>4608</v>
      </c>
      <c r="L307" s="2">
        <v>4608</v>
      </c>
      <c r="M307" s="2">
        <v>92.16</v>
      </c>
      <c r="N307" s="2">
        <v>92</v>
      </c>
      <c r="O307" s="2">
        <f t="shared" si="4"/>
        <v>1000</v>
      </c>
    </row>
    <row r="308" spans="1:15" x14ac:dyDescent="0.3">
      <c r="A308" s="8">
        <v>306</v>
      </c>
      <c r="B308" s="14">
        <v>46143</v>
      </c>
      <c r="C308" s="2" t="s">
        <v>1273</v>
      </c>
      <c r="D308" s="2" t="s">
        <v>12</v>
      </c>
      <c r="E308" s="2" t="s">
        <v>935</v>
      </c>
      <c r="F308" s="2">
        <v>1.25</v>
      </c>
      <c r="G308" s="2" t="s">
        <v>1057</v>
      </c>
      <c r="H308" s="2" t="s">
        <v>56</v>
      </c>
      <c r="I308" s="2" t="s">
        <v>1058</v>
      </c>
      <c r="J308" s="2" t="s">
        <v>1110</v>
      </c>
      <c r="K308" s="2">
        <v>4073.75</v>
      </c>
      <c r="L308" s="2">
        <v>4073.75</v>
      </c>
      <c r="M308" s="2">
        <v>81.474999999999994</v>
      </c>
      <c r="N308" s="2">
        <v>81</v>
      </c>
      <c r="O308" s="2">
        <f t="shared" si="4"/>
        <v>1250</v>
      </c>
    </row>
    <row r="309" spans="1:15" x14ac:dyDescent="0.3">
      <c r="A309" s="8">
        <v>307</v>
      </c>
      <c r="B309" s="14">
        <v>46143</v>
      </c>
      <c r="C309" s="2" t="s">
        <v>1274</v>
      </c>
      <c r="D309" s="2" t="s">
        <v>12</v>
      </c>
      <c r="E309" s="2" t="s">
        <v>935</v>
      </c>
      <c r="F309" s="2">
        <v>1.25</v>
      </c>
      <c r="G309" s="2" t="s">
        <v>1059</v>
      </c>
      <c r="H309" s="2" t="s">
        <v>64</v>
      </c>
      <c r="I309" s="2" t="s">
        <v>1060</v>
      </c>
      <c r="J309" s="2" t="s">
        <v>1110</v>
      </c>
      <c r="K309" s="2">
        <v>2985</v>
      </c>
      <c r="L309" s="2">
        <v>2985</v>
      </c>
      <c r="M309" s="2">
        <v>59.7</v>
      </c>
      <c r="N309" s="2">
        <v>60</v>
      </c>
      <c r="O309" s="2">
        <f t="shared" si="4"/>
        <v>1250</v>
      </c>
    </row>
    <row r="310" spans="1:15" x14ac:dyDescent="0.3">
      <c r="A310" s="8">
        <v>308</v>
      </c>
      <c r="B310" s="14">
        <v>46143</v>
      </c>
      <c r="C310" s="2" t="s">
        <v>1285</v>
      </c>
      <c r="D310" s="2" t="s">
        <v>12</v>
      </c>
      <c r="E310" s="2" t="s">
        <v>935</v>
      </c>
      <c r="F310" s="2">
        <v>1.25</v>
      </c>
      <c r="G310" s="2" t="s">
        <v>860</v>
      </c>
      <c r="H310" s="2" t="s">
        <v>72</v>
      </c>
      <c r="I310" s="2" t="s">
        <v>1049</v>
      </c>
      <c r="J310" s="2" t="s">
        <v>1110</v>
      </c>
      <c r="K310" s="2">
        <v>386.25</v>
      </c>
      <c r="L310" s="2">
        <v>386.25</v>
      </c>
      <c r="M310" s="2">
        <v>7.7249999999999996</v>
      </c>
      <c r="N310" s="2">
        <v>8</v>
      </c>
      <c r="O310" s="2">
        <f t="shared" si="4"/>
        <v>1250</v>
      </c>
    </row>
    <row r="311" spans="1:15" x14ac:dyDescent="0.3">
      <c r="A311" s="8">
        <v>309</v>
      </c>
      <c r="B311" s="14">
        <v>46143</v>
      </c>
      <c r="C311" s="2" t="s">
        <v>1286</v>
      </c>
      <c r="D311" s="2" t="s">
        <v>12</v>
      </c>
      <c r="E311" s="2" t="s">
        <v>935</v>
      </c>
      <c r="F311" s="2">
        <v>1.25</v>
      </c>
      <c r="G311" s="2" t="s">
        <v>861</v>
      </c>
      <c r="H311" s="2" t="s">
        <v>80</v>
      </c>
      <c r="I311" s="2" t="s">
        <v>1052</v>
      </c>
      <c r="J311" s="2" t="s">
        <v>1110</v>
      </c>
      <c r="K311" s="2">
        <v>5385</v>
      </c>
      <c r="L311" s="2">
        <v>5385</v>
      </c>
      <c r="M311" s="2">
        <v>107.7</v>
      </c>
      <c r="N311" s="2">
        <v>108</v>
      </c>
      <c r="O311" s="2">
        <f t="shared" si="4"/>
        <v>1250</v>
      </c>
    </row>
    <row r="312" spans="1:15" x14ac:dyDescent="0.3">
      <c r="A312" s="8">
        <v>310</v>
      </c>
      <c r="B312" s="14">
        <v>46143</v>
      </c>
      <c r="C312" s="2" t="s">
        <v>1287</v>
      </c>
      <c r="D312" s="2" t="s">
        <v>12</v>
      </c>
      <c r="E312" s="2" t="s">
        <v>935</v>
      </c>
      <c r="F312" s="2">
        <v>1.25</v>
      </c>
      <c r="G312" s="2" t="s">
        <v>862</v>
      </c>
      <c r="H312" s="2" t="s">
        <v>88</v>
      </c>
      <c r="I312" s="2" t="s">
        <v>1052</v>
      </c>
      <c r="J312" s="2" t="s">
        <v>1110</v>
      </c>
      <c r="K312" s="2">
        <v>4826.25</v>
      </c>
      <c r="L312" s="2">
        <v>4826.25</v>
      </c>
      <c r="M312" s="2">
        <v>96.525000000000006</v>
      </c>
      <c r="N312" s="2">
        <v>97</v>
      </c>
      <c r="O312" s="2">
        <f t="shared" si="4"/>
        <v>1250</v>
      </c>
    </row>
    <row r="313" spans="1:15" x14ac:dyDescent="0.3">
      <c r="A313" s="8">
        <v>311</v>
      </c>
      <c r="B313" s="14">
        <v>46143</v>
      </c>
      <c r="C313" s="2" t="s">
        <v>1288</v>
      </c>
      <c r="D313" s="2" t="s">
        <v>12</v>
      </c>
      <c r="E313" s="2" t="s">
        <v>935</v>
      </c>
      <c r="F313" s="2">
        <v>1</v>
      </c>
      <c r="G313" s="2" t="s">
        <v>1061</v>
      </c>
      <c r="H313" s="2" t="s">
        <v>96</v>
      </c>
      <c r="I313" s="2" t="s">
        <v>1062</v>
      </c>
      <c r="J313" s="2" t="s">
        <v>1110</v>
      </c>
      <c r="K313" s="2">
        <v>2785</v>
      </c>
      <c r="L313" s="2">
        <v>2785</v>
      </c>
      <c r="M313" s="2">
        <v>55.7</v>
      </c>
      <c r="N313" s="2">
        <v>56</v>
      </c>
      <c r="O313" s="2">
        <f t="shared" si="4"/>
        <v>1000</v>
      </c>
    </row>
    <row r="314" spans="1:15" x14ac:dyDescent="0.3">
      <c r="A314" s="8">
        <v>312</v>
      </c>
      <c r="B314" s="14">
        <v>46143</v>
      </c>
      <c r="C314" s="2" t="s">
        <v>1289</v>
      </c>
      <c r="D314" s="2" t="s">
        <v>12</v>
      </c>
      <c r="E314" s="2" t="s">
        <v>935</v>
      </c>
      <c r="F314" s="2">
        <v>1</v>
      </c>
      <c r="G314" s="2" t="s">
        <v>1063</v>
      </c>
      <c r="H314" s="2" t="s">
        <v>104</v>
      </c>
      <c r="I314" s="2" t="s">
        <v>1062</v>
      </c>
      <c r="J314" s="2" t="s">
        <v>1110</v>
      </c>
      <c r="K314" s="2">
        <v>2421</v>
      </c>
      <c r="L314" s="2">
        <v>2421</v>
      </c>
      <c r="M314" s="2">
        <v>48.42</v>
      </c>
      <c r="N314" s="2">
        <v>48</v>
      </c>
      <c r="O314" s="2">
        <f t="shared" si="4"/>
        <v>1000</v>
      </c>
    </row>
    <row r="315" spans="1:15" x14ac:dyDescent="0.3">
      <c r="A315" s="8">
        <v>313</v>
      </c>
      <c r="B315" s="14">
        <v>46143</v>
      </c>
      <c r="C315" s="2" t="s">
        <v>1290</v>
      </c>
      <c r="D315" s="2" t="s">
        <v>12</v>
      </c>
      <c r="E315" s="2" t="s">
        <v>935</v>
      </c>
      <c r="F315" s="2">
        <v>1</v>
      </c>
      <c r="G315" s="2" t="s">
        <v>1064</v>
      </c>
      <c r="H315" s="2" t="s">
        <v>112</v>
      </c>
      <c r="I315" s="2" t="s">
        <v>1062</v>
      </c>
      <c r="J315" s="2" t="s">
        <v>1110</v>
      </c>
      <c r="K315" s="2">
        <v>3764</v>
      </c>
      <c r="L315" s="2">
        <v>3764</v>
      </c>
      <c r="M315" s="2">
        <v>75.28</v>
      </c>
      <c r="N315" s="2">
        <v>75</v>
      </c>
      <c r="O315" s="2">
        <f t="shared" si="4"/>
        <v>1000</v>
      </c>
    </row>
    <row r="316" spans="1:15" x14ac:dyDescent="0.3">
      <c r="A316" s="8">
        <v>314</v>
      </c>
      <c r="B316" s="14">
        <v>46143</v>
      </c>
      <c r="C316" s="2" t="s">
        <v>1291</v>
      </c>
      <c r="D316" s="2" t="s">
        <v>12</v>
      </c>
      <c r="E316" s="2" t="s">
        <v>935</v>
      </c>
      <c r="F316" s="2">
        <v>1</v>
      </c>
      <c r="G316" s="2" t="s">
        <v>1065</v>
      </c>
      <c r="H316" s="2" t="s">
        <v>120</v>
      </c>
      <c r="I316" s="2" t="s">
        <v>1062</v>
      </c>
      <c r="J316" s="2" t="s">
        <v>1110</v>
      </c>
      <c r="K316" s="2">
        <v>2893</v>
      </c>
      <c r="L316" s="2">
        <v>2893</v>
      </c>
      <c r="M316" s="2">
        <v>57.86</v>
      </c>
      <c r="N316" s="2">
        <v>58</v>
      </c>
      <c r="O316" s="2">
        <f t="shared" si="4"/>
        <v>1000</v>
      </c>
    </row>
    <row r="317" spans="1:15" x14ac:dyDescent="0.3">
      <c r="A317" s="8">
        <v>315</v>
      </c>
      <c r="B317" s="14">
        <v>46143</v>
      </c>
      <c r="C317" s="2" t="s">
        <v>1275</v>
      </c>
      <c r="D317" s="2" t="s">
        <v>12</v>
      </c>
      <c r="E317" s="2" t="s">
        <v>935</v>
      </c>
      <c r="F317" s="2">
        <v>1.25</v>
      </c>
      <c r="G317" s="2" t="s">
        <v>891</v>
      </c>
      <c r="H317" s="2" t="s">
        <v>128</v>
      </c>
      <c r="I317" s="2" t="s">
        <v>1066</v>
      </c>
      <c r="J317" s="2" t="s">
        <v>1110</v>
      </c>
      <c r="K317" s="2">
        <v>3585</v>
      </c>
      <c r="L317" s="2">
        <v>3585</v>
      </c>
      <c r="M317" s="2">
        <v>71.7</v>
      </c>
      <c r="N317" s="2">
        <v>72</v>
      </c>
      <c r="O317" s="2">
        <f t="shared" si="4"/>
        <v>1250</v>
      </c>
    </row>
    <row r="318" spans="1:15" x14ac:dyDescent="0.3">
      <c r="A318" s="8">
        <v>316</v>
      </c>
      <c r="B318" s="14">
        <v>46143</v>
      </c>
      <c r="C318" s="2" t="s">
        <v>1276</v>
      </c>
      <c r="D318" s="2" t="s">
        <v>12</v>
      </c>
      <c r="E318" s="2" t="s">
        <v>935</v>
      </c>
      <c r="F318" s="2">
        <v>1.25</v>
      </c>
      <c r="G318" s="2" t="s">
        <v>892</v>
      </c>
      <c r="H318" s="2" t="s">
        <v>136</v>
      </c>
      <c r="I318" s="2" t="s">
        <v>1066</v>
      </c>
      <c r="J318" s="2" t="s">
        <v>1110</v>
      </c>
      <c r="K318" s="2">
        <v>4350</v>
      </c>
      <c r="L318" s="2">
        <v>4350</v>
      </c>
      <c r="M318" s="2">
        <v>87</v>
      </c>
      <c r="N318" s="2">
        <v>87</v>
      </c>
      <c r="O318" s="2">
        <f t="shared" si="4"/>
        <v>1250</v>
      </c>
    </row>
    <row r="319" spans="1:15" x14ac:dyDescent="0.3">
      <c r="A319" s="8">
        <v>317</v>
      </c>
      <c r="B319" s="14">
        <v>46143</v>
      </c>
      <c r="C319" s="2" t="s">
        <v>1277</v>
      </c>
      <c r="D319" s="2" t="s">
        <v>12</v>
      </c>
      <c r="E319" s="2" t="s">
        <v>935</v>
      </c>
      <c r="F319" s="2">
        <v>1.25</v>
      </c>
      <c r="G319" s="2" t="s">
        <v>893</v>
      </c>
      <c r="H319" s="2" t="s">
        <v>144</v>
      </c>
      <c r="I319" s="2" t="s">
        <v>1067</v>
      </c>
      <c r="J319" s="2" t="s">
        <v>1110</v>
      </c>
      <c r="K319" s="2">
        <v>5288.75</v>
      </c>
      <c r="L319" s="2">
        <v>5288.75</v>
      </c>
      <c r="M319" s="2">
        <v>105.77500000000001</v>
      </c>
      <c r="N319" s="2">
        <v>106</v>
      </c>
      <c r="O319" s="2">
        <f t="shared" si="4"/>
        <v>1250</v>
      </c>
    </row>
    <row r="320" spans="1:15" x14ac:dyDescent="0.3">
      <c r="A320" s="8">
        <v>318</v>
      </c>
      <c r="B320" s="14">
        <v>46143</v>
      </c>
      <c r="C320" s="2" t="s">
        <v>1278</v>
      </c>
      <c r="D320" s="2" t="s">
        <v>12</v>
      </c>
      <c r="E320" s="2" t="s">
        <v>935</v>
      </c>
      <c r="F320" s="2">
        <v>1.25</v>
      </c>
      <c r="G320" s="2" t="s">
        <v>894</v>
      </c>
      <c r="H320" s="2" t="s">
        <v>152</v>
      </c>
      <c r="I320" s="2" t="s">
        <v>1068</v>
      </c>
      <c r="J320" s="2" t="s">
        <v>1110</v>
      </c>
      <c r="K320" s="2">
        <v>4813.75</v>
      </c>
      <c r="L320" s="2">
        <v>4813.75</v>
      </c>
      <c r="M320" s="2">
        <v>96.275000000000006</v>
      </c>
      <c r="N320" s="2">
        <v>96</v>
      </c>
      <c r="O320" s="2">
        <f t="shared" si="4"/>
        <v>1250</v>
      </c>
    </row>
    <row r="321" spans="1:15" x14ac:dyDescent="0.3">
      <c r="A321" s="8">
        <v>319</v>
      </c>
      <c r="B321" s="14">
        <v>46143</v>
      </c>
      <c r="C321" s="2" t="s">
        <v>1279</v>
      </c>
      <c r="D321" s="2" t="s">
        <v>12</v>
      </c>
      <c r="E321" s="2" t="s">
        <v>935</v>
      </c>
      <c r="F321" s="2">
        <v>1.25</v>
      </c>
      <c r="G321" s="2" t="s">
        <v>895</v>
      </c>
      <c r="H321" s="2" t="s">
        <v>160</v>
      </c>
      <c r="I321" s="2" t="s">
        <v>1066</v>
      </c>
      <c r="J321" s="2" t="s">
        <v>1110</v>
      </c>
      <c r="K321" s="2">
        <v>3925</v>
      </c>
      <c r="L321" s="2">
        <v>3925</v>
      </c>
      <c r="M321" s="2">
        <v>78.5</v>
      </c>
      <c r="N321" s="2">
        <v>79</v>
      </c>
      <c r="O321" s="2">
        <f t="shared" si="4"/>
        <v>1250</v>
      </c>
    </row>
    <row r="322" spans="1:15" x14ac:dyDescent="0.3">
      <c r="A322" s="8">
        <v>320</v>
      </c>
      <c r="B322" s="14">
        <v>46143</v>
      </c>
      <c r="C322" s="2" t="s">
        <v>1280</v>
      </c>
      <c r="D322" s="2" t="s">
        <v>12</v>
      </c>
      <c r="E322" s="2" t="s">
        <v>935</v>
      </c>
      <c r="F322" s="2">
        <v>1.25</v>
      </c>
      <c r="G322" s="2" t="s">
        <v>896</v>
      </c>
      <c r="H322" s="2" t="s">
        <v>168</v>
      </c>
      <c r="I322" s="2" t="s">
        <v>1066</v>
      </c>
      <c r="J322" s="2" t="s">
        <v>1110</v>
      </c>
      <c r="K322" s="2">
        <v>4588.75</v>
      </c>
      <c r="L322" s="2">
        <v>4588.75</v>
      </c>
      <c r="M322" s="2">
        <v>91.775000000000006</v>
      </c>
      <c r="N322" s="2">
        <v>92</v>
      </c>
      <c r="O322" s="2">
        <f t="shared" si="4"/>
        <v>1250</v>
      </c>
    </row>
    <row r="323" spans="1:15" x14ac:dyDescent="0.3">
      <c r="A323" s="8">
        <v>321</v>
      </c>
      <c r="B323" s="14">
        <v>46143</v>
      </c>
      <c r="C323" s="2" t="s">
        <v>1281</v>
      </c>
      <c r="D323" s="2" t="s">
        <v>12</v>
      </c>
      <c r="E323" s="2" t="s">
        <v>935</v>
      </c>
      <c r="F323" s="2">
        <v>1</v>
      </c>
      <c r="G323" s="2" t="s">
        <v>897</v>
      </c>
      <c r="H323" s="2" t="s">
        <v>176</v>
      </c>
      <c r="I323" s="2" t="s">
        <v>1069</v>
      </c>
      <c r="J323" s="2" t="s">
        <v>1110</v>
      </c>
      <c r="K323" s="2">
        <v>4022</v>
      </c>
      <c r="L323" s="2">
        <v>4022</v>
      </c>
      <c r="M323" s="2">
        <v>80.44</v>
      </c>
      <c r="N323" s="2">
        <v>80</v>
      </c>
      <c r="O323" s="2">
        <f t="shared" ref="O323:O386" si="5">F323*1000</f>
        <v>1000</v>
      </c>
    </row>
    <row r="324" spans="1:15" x14ac:dyDescent="0.3">
      <c r="A324" s="8">
        <v>322</v>
      </c>
      <c r="B324" s="14">
        <v>46143</v>
      </c>
      <c r="C324" s="2" t="s">
        <v>1292</v>
      </c>
      <c r="D324" s="2" t="s">
        <v>12</v>
      </c>
      <c r="E324" s="2" t="s">
        <v>935</v>
      </c>
      <c r="F324" s="2">
        <v>1.25</v>
      </c>
      <c r="G324" s="2" t="s">
        <v>898</v>
      </c>
      <c r="H324" s="2" t="s">
        <v>184</v>
      </c>
      <c r="I324" s="2" t="s">
        <v>1068</v>
      </c>
      <c r="J324" s="2" t="s">
        <v>1110</v>
      </c>
      <c r="K324" s="2">
        <v>4345</v>
      </c>
      <c r="L324" s="2">
        <v>4345</v>
      </c>
      <c r="M324" s="2">
        <v>86.9</v>
      </c>
      <c r="N324" s="2">
        <v>87</v>
      </c>
      <c r="O324" s="2">
        <f t="shared" si="5"/>
        <v>1250</v>
      </c>
    </row>
    <row r="325" spans="1:15" x14ac:dyDescent="0.3">
      <c r="A325" s="8">
        <v>323</v>
      </c>
      <c r="B325" s="14">
        <v>46143</v>
      </c>
      <c r="C325" s="2" t="s">
        <v>1293</v>
      </c>
      <c r="D325" s="2" t="s">
        <v>12</v>
      </c>
      <c r="E325" s="2" t="s">
        <v>935</v>
      </c>
      <c r="F325" s="2">
        <v>1.25</v>
      </c>
      <c r="G325" s="2" t="s">
        <v>899</v>
      </c>
      <c r="H325" s="2" t="s">
        <v>192</v>
      </c>
      <c r="I325" s="2" t="s">
        <v>1068</v>
      </c>
      <c r="J325" s="2" t="s">
        <v>1110</v>
      </c>
      <c r="K325" s="2">
        <v>5158.75</v>
      </c>
      <c r="L325" s="2">
        <v>5158.75</v>
      </c>
      <c r="M325" s="2">
        <v>103.175</v>
      </c>
      <c r="N325" s="2">
        <v>103</v>
      </c>
      <c r="O325" s="2">
        <f t="shared" si="5"/>
        <v>1250</v>
      </c>
    </row>
    <row r="326" spans="1:15" x14ac:dyDescent="0.3">
      <c r="A326" s="8">
        <v>324</v>
      </c>
      <c r="B326" s="14">
        <v>46143</v>
      </c>
      <c r="C326" s="2" t="s">
        <v>1135</v>
      </c>
      <c r="D326" s="2" t="s">
        <v>12</v>
      </c>
      <c r="E326" s="2" t="s">
        <v>935</v>
      </c>
      <c r="F326" s="2">
        <v>1</v>
      </c>
      <c r="G326" s="2" t="s">
        <v>900</v>
      </c>
      <c r="H326" s="2" t="s">
        <v>200</v>
      </c>
      <c r="I326" s="2" t="s">
        <v>1069</v>
      </c>
      <c r="J326" s="2" t="s">
        <v>1110</v>
      </c>
      <c r="K326" s="2">
        <v>4245</v>
      </c>
      <c r="L326" s="2">
        <v>4245</v>
      </c>
      <c r="M326" s="2">
        <v>84.9</v>
      </c>
      <c r="N326" s="2">
        <v>85</v>
      </c>
      <c r="O326" s="2">
        <f t="shared" si="5"/>
        <v>1000</v>
      </c>
    </row>
    <row r="327" spans="1:15" x14ac:dyDescent="0.3">
      <c r="A327" s="8">
        <v>325</v>
      </c>
      <c r="B327" s="14">
        <v>46143</v>
      </c>
      <c r="C327" s="2" t="s">
        <v>1149</v>
      </c>
      <c r="D327" s="2" t="s">
        <v>12</v>
      </c>
      <c r="E327" s="2" t="s">
        <v>935</v>
      </c>
      <c r="F327" s="2">
        <v>1.25</v>
      </c>
      <c r="G327" s="2" t="s">
        <v>901</v>
      </c>
      <c r="H327" s="2" t="s">
        <v>208</v>
      </c>
      <c r="I327" s="2" t="s">
        <v>1066</v>
      </c>
      <c r="J327" s="2" t="s">
        <v>1110</v>
      </c>
      <c r="K327" s="2">
        <v>3991.25</v>
      </c>
      <c r="L327" s="2">
        <v>3991.25</v>
      </c>
      <c r="M327" s="2">
        <v>79.825000000000003</v>
      </c>
      <c r="N327" s="2">
        <v>80</v>
      </c>
      <c r="O327" s="2">
        <f t="shared" si="5"/>
        <v>1250</v>
      </c>
    </row>
    <row r="328" spans="1:15" x14ac:dyDescent="0.3">
      <c r="A328" s="8">
        <v>326</v>
      </c>
      <c r="B328" s="14">
        <v>46143</v>
      </c>
      <c r="C328" s="2" t="s">
        <v>1137</v>
      </c>
      <c r="D328" s="2" t="s">
        <v>12</v>
      </c>
      <c r="E328" s="2" t="s">
        <v>935</v>
      </c>
      <c r="F328" s="2">
        <v>1.25</v>
      </c>
      <c r="G328" s="2" t="s">
        <v>902</v>
      </c>
      <c r="H328" s="2" t="s">
        <v>216</v>
      </c>
      <c r="I328" s="2" t="s">
        <v>1067</v>
      </c>
      <c r="J328" s="2" t="s">
        <v>1110</v>
      </c>
      <c r="K328" s="2">
        <v>5331.25</v>
      </c>
      <c r="L328" s="2">
        <v>5331.25</v>
      </c>
      <c r="M328" s="2">
        <v>106.625</v>
      </c>
      <c r="N328" s="2">
        <v>107</v>
      </c>
      <c r="O328" s="2">
        <f t="shared" si="5"/>
        <v>1250</v>
      </c>
    </row>
    <row r="329" spans="1:15" x14ac:dyDescent="0.3">
      <c r="A329" s="8">
        <v>327</v>
      </c>
      <c r="B329" s="14">
        <v>46143</v>
      </c>
      <c r="C329" s="2" t="s">
        <v>1131</v>
      </c>
      <c r="D329" s="2" t="s">
        <v>12</v>
      </c>
      <c r="E329" s="2" t="s">
        <v>935</v>
      </c>
      <c r="F329" s="2">
        <v>1</v>
      </c>
      <c r="G329" s="2" t="s">
        <v>903</v>
      </c>
      <c r="H329" s="2" t="s">
        <v>224</v>
      </c>
      <c r="I329" s="2" t="s">
        <v>1069</v>
      </c>
      <c r="J329" s="2" t="s">
        <v>1110</v>
      </c>
      <c r="K329" s="2">
        <v>4192</v>
      </c>
      <c r="L329" s="2">
        <v>4192</v>
      </c>
      <c r="M329" s="2">
        <v>83.84</v>
      </c>
      <c r="N329" s="2">
        <v>84</v>
      </c>
      <c r="O329" s="2">
        <f t="shared" si="5"/>
        <v>1000</v>
      </c>
    </row>
    <row r="330" spans="1:15" x14ac:dyDescent="0.3">
      <c r="A330" s="8">
        <v>328</v>
      </c>
      <c r="B330" s="14">
        <v>46143</v>
      </c>
      <c r="C330" s="2" t="s">
        <v>1130</v>
      </c>
      <c r="D330" s="2" t="s">
        <v>12</v>
      </c>
      <c r="E330" s="2" t="s">
        <v>935</v>
      </c>
      <c r="F330" s="2">
        <v>1</v>
      </c>
      <c r="G330" s="2" t="s">
        <v>904</v>
      </c>
      <c r="H330" s="2" t="s">
        <v>232</v>
      </c>
      <c r="I330" s="2" t="s">
        <v>1070</v>
      </c>
      <c r="J330" s="2" t="s">
        <v>1110</v>
      </c>
      <c r="K330" s="2">
        <v>126</v>
      </c>
      <c r="L330" s="2">
        <v>126</v>
      </c>
      <c r="M330" s="2">
        <v>2.52</v>
      </c>
      <c r="N330" s="2">
        <v>3</v>
      </c>
      <c r="O330" s="2">
        <f t="shared" si="5"/>
        <v>1000</v>
      </c>
    </row>
    <row r="331" spans="1:15" x14ac:dyDescent="0.3">
      <c r="A331" s="8">
        <v>329</v>
      </c>
      <c r="B331" s="14">
        <v>46143</v>
      </c>
      <c r="C331" s="2" t="s">
        <v>1139</v>
      </c>
      <c r="D331" s="2" t="s">
        <v>12</v>
      </c>
      <c r="E331" s="2" t="s">
        <v>935</v>
      </c>
      <c r="F331" s="2">
        <v>1.25</v>
      </c>
      <c r="G331" s="2" t="s">
        <v>905</v>
      </c>
      <c r="H331" s="2" t="s">
        <v>240</v>
      </c>
      <c r="I331" s="2" t="s">
        <v>1067</v>
      </c>
      <c r="J331" s="2" t="s">
        <v>1110</v>
      </c>
      <c r="K331" s="2">
        <v>2078.75</v>
      </c>
      <c r="L331" s="2">
        <v>2078.75</v>
      </c>
      <c r="M331" s="2">
        <v>41.575000000000003</v>
      </c>
      <c r="N331" s="2">
        <v>42</v>
      </c>
      <c r="O331" s="2">
        <f t="shared" si="5"/>
        <v>1250</v>
      </c>
    </row>
    <row r="332" spans="1:15" x14ac:dyDescent="0.3">
      <c r="A332" s="8">
        <v>330</v>
      </c>
      <c r="B332" s="14">
        <v>46143</v>
      </c>
      <c r="C332" s="2" t="s">
        <v>1294</v>
      </c>
      <c r="D332" s="2" t="s">
        <v>12</v>
      </c>
      <c r="E332" s="2" t="s">
        <v>935</v>
      </c>
      <c r="F332" s="2">
        <v>1.25</v>
      </c>
      <c r="G332" s="2" t="s">
        <v>1071</v>
      </c>
      <c r="H332" s="2" t="s">
        <v>248</v>
      </c>
      <c r="I332" s="2" t="s">
        <v>1072</v>
      </c>
      <c r="J332" s="2" t="s">
        <v>1110</v>
      </c>
      <c r="K332" s="2">
        <v>3383.75</v>
      </c>
      <c r="L332" s="2">
        <v>3383.75</v>
      </c>
      <c r="M332" s="2">
        <v>67.674999999999997</v>
      </c>
      <c r="N332" s="2">
        <v>68</v>
      </c>
      <c r="O332" s="2">
        <f t="shared" si="5"/>
        <v>1250</v>
      </c>
    </row>
    <row r="333" spans="1:15" x14ac:dyDescent="0.3">
      <c r="A333" s="8">
        <v>331</v>
      </c>
      <c r="B333" s="14">
        <v>46143</v>
      </c>
      <c r="C333" s="2" t="s">
        <v>1295</v>
      </c>
      <c r="D333" s="2" t="s">
        <v>12</v>
      </c>
      <c r="E333" s="2" t="s">
        <v>935</v>
      </c>
      <c r="F333" s="2">
        <v>1.25</v>
      </c>
      <c r="G333" s="2" t="s">
        <v>1073</v>
      </c>
      <c r="H333" s="2" t="s">
        <v>256</v>
      </c>
      <c r="I333" s="2" t="s">
        <v>1072</v>
      </c>
      <c r="J333" s="2" t="s">
        <v>1110</v>
      </c>
      <c r="K333" s="2">
        <v>2665</v>
      </c>
      <c r="L333" s="2">
        <v>2665</v>
      </c>
      <c r="M333" s="2">
        <v>53.3</v>
      </c>
      <c r="N333" s="2">
        <v>53</v>
      </c>
      <c r="O333" s="2">
        <f t="shared" si="5"/>
        <v>1250</v>
      </c>
    </row>
    <row r="334" spans="1:15" x14ac:dyDescent="0.3">
      <c r="A334" s="8">
        <v>332</v>
      </c>
      <c r="B334" s="14">
        <v>46143</v>
      </c>
      <c r="C334" s="2" t="s">
        <v>1296</v>
      </c>
      <c r="D334" s="2" t="s">
        <v>12</v>
      </c>
      <c r="E334" s="2" t="s">
        <v>935</v>
      </c>
      <c r="F334" s="2">
        <v>1.25</v>
      </c>
      <c r="G334" s="2" t="s">
        <v>1074</v>
      </c>
      <c r="H334" s="2" t="s">
        <v>264</v>
      </c>
      <c r="I334" s="2" t="s">
        <v>1072</v>
      </c>
      <c r="J334" s="2" t="s">
        <v>1110</v>
      </c>
      <c r="K334" s="2">
        <v>4166.25</v>
      </c>
      <c r="L334" s="2">
        <v>4166.25</v>
      </c>
      <c r="M334" s="2">
        <v>83.325000000000003</v>
      </c>
      <c r="N334" s="2">
        <v>83</v>
      </c>
      <c r="O334" s="2">
        <f t="shared" si="5"/>
        <v>1250</v>
      </c>
    </row>
    <row r="335" spans="1:15" x14ac:dyDescent="0.3">
      <c r="A335" s="8">
        <v>333</v>
      </c>
      <c r="B335" s="14">
        <v>46143</v>
      </c>
      <c r="C335" s="2" t="s">
        <v>1297</v>
      </c>
      <c r="D335" s="2" t="s">
        <v>12</v>
      </c>
      <c r="E335" s="2" t="s">
        <v>935</v>
      </c>
      <c r="F335" s="2">
        <v>1.25</v>
      </c>
      <c r="G335" s="2" t="s">
        <v>1075</v>
      </c>
      <c r="H335" s="2" t="s">
        <v>272</v>
      </c>
      <c r="I335" s="2" t="s">
        <v>1072</v>
      </c>
      <c r="J335" s="2" t="s">
        <v>1110</v>
      </c>
      <c r="K335" s="2">
        <v>3156.25</v>
      </c>
      <c r="L335" s="2">
        <v>3156.25</v>
      </c>
      <c r="M335" s="2">
        <v>63.125</v>
      </c>
      <c r="N335" s="2">
        <v>63</v>
      </c>
      <c r="O335" s="2">
        <f t="shared" si="5"/>
        <v>1250</v>
      </c>
    </row>
    <row r="336" spans="1:15" x14ac:dyDescent="0.3">
      <c r="A336" s="8">
        <v>334</v>
      </c>
      <c r="B336" s="14">
        <v>46143</v>
      </c>
      <c r="C336" s="2" t="s">
        <v>1298</v>
      </c>
      <c r="D336" s="2" t="s">
        <v>12</v>
      </c>
      <c r="E336" s="2" t="s">
        <v>935</v>
      </c>
      <c r="F336" s="2">
        <v>1</v>
      </c>
      <c r="G336" s="2" t="s">
        <v>864</v>
      </c>
      <c r="H336" s="2" t="s">
        <v>280</v>
      </c>
      <c r="I336" s="2" t="s">
        <v>1076</v>
      </c>
      <c r="J336" s="2" t="s">
        <v>1110</v>
      </c>
      <c r="K336" s="2">
        <v>184</v>
      </c>
      <c r="L336" s="2">
        <v>184</v>
      </c>
      <c r="M336" s="2">
        <v>3.68</v>
      </c>
      <c r="N336" s="2">
        <v>4</v>
      </c>
      <c r="O336" s="2">
        <f t="shared" si="5"/>
        <v>1000</v>
      </c>
    </row>
    <row r="337" spans="1:15" x14ac:dyDescent="0.3">
      <c r="A337" s="8">
        <v>335</v>
      </c>
      <c r="B337" s="14">
        <v>46143</v>
      </c>
      <c r="C337" s="2" t="s">
        <v>1299</v>
      </c>
      <c r="D337" s="2" t="s">
        <v>12</v>
      </c>
      <c r="E337" s="2" t="s">
        <v>935</v>
      </c>
      <c r="F337" s="2">
        <v>1</v>
      </c>
      <c r="G337" s="2" t="s">
        <v>865</v>
      </c>
      <c r="H337" s="2" t="s">
        <v>288</v>
      </c>
      <c r="I337" s="2" t="s">
        <v>1077</v>
      </c>
      <c r="J337" s="2" t="s">
        <v>1110</v>
      </c>
      <c r="K337" s="2">
        <v>2792</v>
      </c>
      <c r="L337" s="2">
        <v>2792</v>
      </c>
      <c r="M337" s="2">
        <v>55.84</v>
      </c>
      <c r="N337" s="2">
        <v>56</v>
      </c>
      <c r="O337" s="2">
        <f t="shared" si="5"/>
        <v>1000</v>
      </c>
    </row>
    <row r="338" spans="1:15" x14ac:dyDescent="0.3">
      <c r="A338" s="8">
        <v>336</v>
      </c>
      <c r="B338" s="14">
        <v>46143</v>
      </c>
      <c r="C338" s="2" t="s">
        <v>1300</v>
      </c>
      <c r="D338" s="2" t="s">
        <v>12</v>
      </c>
      <c r="E338" s="2" t="s">
        <v>935</v>
      </c>
      <c r="F338" s="2">
        <v>1.25</v>
      </c>
      <c r="G338" s="2" t="s">
        <v>1078</v>
      </c>
      <c r="H338" s="2" t="s">
        <v>296</v>
      </c>
      <c r="I338" s="2" t="s">
        <v>1072</v>
      </c>
      <c r="J338" s="2" t="s">
        <v>1110</v>
      </c>
      <c r="K338" s="2">
        <v>900</v>
      </c>
      <c r="L338" s="2">
        <v>900</v>
      </c>
      <c r="M338" s="2">
        <v>18</v>
      </c>
      <c r="N338" s="2">
        <v>18</v>
      </c>
      <c r="O338" s="2">
        <f t="shared" si="5"/>
        <v>1250</v>
      </c>
    </row>
    <row r="339" spans="1:15" x14ac:dyDescent="0.3">
      <c r="A339" s="8">
        <v>337</v>
      </c>
      <c r="B339" s="14">
        <v>46143</v>
      </c>
      <c r="C339" s="2" t="s">
        <v>1301</v>
      </c>
      <c r="D339" s="2" t="s">
        <v>12</v>
      </c>
      <c r="E339" s="2" t="s">
        <v>935</v>
      </c>
      <c r="F339" s="2">
        <v>1.25</v>
      </c>
      <c r="G339" s="2" t="s">
        <v>866</v>
      </c>
      <c r="H339" s="2" t="s">
        <v>304</v>
      </c>
      <c r="I339" s="2" t="s">
        <v>1079</v>
      </c>
      <c r="J339" s="2" t="s">
        <v>1110</v>
      </c>
      <c r="K339" s="2">
        <v>375</v>
      </c>
      <c r="L339" s="2">
        <v>375</v>
      </c>
      <c r="M339" s="2">
        <v>7.5</v>
      </c>
      <c r="N339" s="2">
        <v>8</v>
      </c>
      <c r="O339" s="2">
        <f t="shared" si="5"/>
        <v>1250</v>
      </c>
    </row>
    <row r="340" spans="1:15" x14ac:dyDescent="0.3">
      <c r="A340" s="8">
        <v>338</v>
      </c>
      <c r="B340" s="14">
        <v>46143</v>
      </c>
      <c r="C340" s="2" t="s">
        <v>1302</v>
      </c>
      <c r="D340" s="2" t="s">
        <v>12</v>
      </c>
      <c r="E340" s="2" t="s">
        <v>935</v>
      </c>
      <c r="F340" s="2">
        <v>1.25</v>
      </c>
      <c r="G340" s="2" t="s">
        <v>1080</v>
      </c>
      <c r="H340" s="2" t="s">
        <v>312</v>
      </c>
      <c r="I340" s="2" t="s">
        <v>1081</v>
      </c>
      <c r="J340" s="2" t="s">
        <v>1110</v>
      </c>
      <c r="K340" s="2">
        <v>3118.75</v>
      </c>
      <c r="L340" s="2">
        <v>3118.75</v>
      </c>
      <c r="M340" s="2">
        <v>62.375</v>
      </c>
      <c r="N340" s="2">
        <v>62</v>
      </c>
      <c r="O340" s="2">
        <f t="shared" si="5"/>
        <v>1250</v>
      </c>
    </row>
    <row r="341" spans="1:15" x14ac:dyDescent="0.3">
      <c r="A341" s="8">
        <v>339</v>
      </c>
      <c r="B341" s="14">
        <v>46143</v>
      </c>
      <c r="C341" s="2" t="s">
        <v>1303</v>
      </c>
      <c r="D341" s="2" t="s">
        <v>12</v>
      </c>
      <c r="E341" s="2" t="s">
        <v>935</v>
      </c>
      <c r="F341" s="2">
        <v>1</v>
      </c>
      <c r="G341" s="2" t="s">
        <v>867</v>
      </c>
      <c r="H341" s="2" t="s">
        <v>320</v>
      </c>
      <c r="I341" s="2" t="s">
        <v>1077</v>
      </c>
      <c r="J341" s="2" t="s">
        <v>1110</v>
      </c>
      <c r="K341" s="2">
        <v>4202</v>
      </c>
      <c r="L341" s="2">
        <v>4202</v>
      </c>
      <c r="M341" s="2">
        <v>84.04</v>
      </c>
      <c r="N341" s="2">
        <v>84</v>
      </c>
      <c r="O341" s="2">
        <f t="shared" si="5"/>
        <v>1000</v>
      </c>
    </row>
    <row r="342" spans="1:15" x14ac:dyDescent="0.3">
      <c r="A342" s="8">
        <v>340</v>
      </c>
      <c r="B342" s="14">
        <v>46143</v>
      </c>
      <c r="C342" s="2" t="s">
        <v>1304</v>
      </c>
      <c r="D342" s="2" t="s">
        <v>12</v>
      </c>
      <c r="E342" s="2" t="s">
        <v>935</v>
      </c>
      <c r="F342" s="2">
        <v>1.25</v>
      </c>
      <c r="G342" s="2" t="s">
        <v>1082</v>
      </c>
      <c r="H342" s="2" t="s">
        <v>328</v>
      </c>
      <c r="I342" s="2" t="s">
        <v>1072</v>
      </c>
      <c r="J342" s="2" t="s">
        <v>1110</v>
      </c>
      <c r="K342" s="2">
        <v>3610</v>
      </c>
      <c r="L342" s="2">
        <v>3610</v>
      </c>
      <c r="M342" s="2">
        <v>72.2</v>
      </c>
      <c r="N342" s="2">
        <v>72</v>
      </c>
      <c r="O342" s="2">
        <f t="shared" si="5"/>
        <v>1250</v>
      </c>
    </row>
    <row r="343" spans="1:15" x14ac:dyDescent="0.3">
      <c r="A343" s="8">
        <v>341</v>
      </c>
      <c r="B343" s="14">
        <v>46143</v>
      </c>
      <c r="C343" s="2" t="s">
        <v>1305</v>
      </c>
      <c r="D343" s="2" t="s">
        <v>12</v>
      </c>
      <c r="E343" s="2" t="s">
        <v>935</v>
      </c>
      <c r="F343" s="2">
        <v>1.25</v>
      </c>
      <c r="G343" s="2" t="s">
        <v>1083</v>
      </c>
      <c r="H343" s="2" t="s">
        <v>336</v>
      </c>
      <c r="I343" s="2" t="s">
        <v>1072</v>
      </c>
      <c r="J343" s="2" t="s">
        <v>1110</v>
      </c>
      <c r="K343" s="2">
        <v>2381.25</v>
      </c>
      <c r="L343" s="2">
        <v>2381.25</v>
      </c>
      <c r="M343" s="2">
        <v>47.625</v>
      </c>
      <c r="N343" s="2">
        <v>48</v>
      </c>
      <c r="O343" s="2">
        <f t="shared" si="5"/>
        <v>1250</v>
      </c>
    </row>
    <row r="344" spans="1:15" x14ac:dyDescent="0.3">
      <c r="A344" s="8">
        <v>342</v>
      </c>
      <c r="B344" s="14">
        <v>46143</v>
      </c>
      <c r="C344" s="2" t="s">
        <v>1306</v>
      </c>
      <c r="D344" s="2" t="s">
        <v>12</v>
      </c>
      <c r="E344" s="2" t="s">
        <v>935</v>
      </c>
      <c r="F344" s="2">
        <v>1.25</v>
      </c>
      <c r="G344" s="2" t="s">
        <v>868</v>
      </c>
      <c r="H344" s="2" t="s">
        <v>344</v>
      </c>
      <c r="I344" s="2" t="s">
        <v>1081</v>
      </c>
      <c r="J344" s="2" t="s">
        <v>1110</v>
      </c>
      <c r="K344" s="2">
        <v>3882.5</v>
      </c>
      <c r="L344" s="2">
        <v>3882.5</v>
      </c>
      <c r="M344" s="2">
        <v>77.650000000000006</v>
      </c>
      <c r="N344" s="2">
        <v>78</v>
      </c>
      <c r="O344" s="2">
        <f t="shared" si="5"/>
        <v>1250</v>
      </c>
    </row>
    <row r="345" spans="1:15" x14ac:dyDescent="0.3">
      <c r="A345" s="8">
        <v>343</v>
      </c>
      <c r="B345" s="14">
        <v>46143</v>
      </c>
      <c r="C345" s="2" t="s">
        <v>1307</v>
      </c>
      <c r="D345" s="2" t="s">
        <v>12</v>
      </c>
      <c r="E345" s="2" t="s">
        <v>935</v>
      </c>
      <c r="F345" s="2">
        <v>1.25</v>
      </c>
      <c r="G345" s="2" t="s">
        <v>1084</v>
      </c>
      <c r="H345" s="2" t="s">
        <v>352</v>
      </c>
      <c r="I345" s="2" t="s">
        <v>1072</v>
      </c>
      <c r="J345" s="2" t="s">
        <v>1110</v>
      </c>
      <c r="K345" s="2">
        <v>2863.75</v>
      </c>
      <c r="L345" s="2">
        <v>2863.75</v>
      </c>
      <c r="M345" s="2">
        <v>57.274999999999999</v>
      </c>
      <c r="N345" s="2">
        <v>57</v>
      </c>
      <c r="O345" s="2">
        <f t="shared" si="5"/>
        <v>1250</v>
      </c>
    </row>
    <row r="346" spans="1:15" x14ac:dyDescent="0.3">
      <c r="A346" s="8">
        <v>344</v>
      </c>
      <c r="B346" s="14">
        <v>46143</v>
      </c>
      <c r="C346" s="2" t="s">
        <v>1308</v>
      </c>
      <c r="D346" s="2" t="s">
        <v>12</v>
      </c>
      <c r="E346" s="2" t="s">
        <v>935</v>
      </c>
      <c r="F346" s="2">
        <v>1.25</v>
      </c>
      <c r="G346" s="2" t="s">
        <v>863</v>
      </c>
      <c r="H346" s="2" t="s">
        <v>360</v>
      </c>
      <c r="I346" s="2" t="s">
        <v>1044</v>
      </c>
      <c r="J346" s="2" t="s">
        <v>1110</v>
      </c>
      <c r="K346" s="2">
        <v>3163.75</v>
      </c>
      <c r="L346" s="2">
        <v>3163.75</v>
      </c>
      <c r="M346" s="2">
        <v>63.274999999999999</v>
      </c>
      <c r="N346" s="2">
        <v>63</v>
      </c>
      <c r="O346" s="2">
        <f t="shared" si="5"/>
        <v>1250</v>
      </c>
    </row>
    <row r="347" spans="1:15" x14ac:dyDescent="0.3">
      <c r="A347" s="8">
        <v>345</v>
      </c>
      <c r="B347" s="14">
        <v>46143</v>
      </c>
      <c r="C347" s="2" t="s">
        <v>1309</v>
      </c>
      <c r="D347" s="2" t="s">
        <v>12</v>
      </c>
      <c r="E347" s="2" t="s">
        <v>935</v>
      </c>
      <c r="F347" s="2">
        <v>1.25</v>
      </c>
      <c r="G347" s="2" t="s">
        <v>869</v>
      </c>
      <c r="H347" s="2" t="s">
        <v>368</v>
      </c>
      <c r="I347" s="2" t="s">
        <v>1044</v>
      </c>
      <c r="J347" s="2" t="s">
        <v>1110</v>
      </c>
      <c r="K347" s="2">
        <v>3566.25</v>
      </c>
      <c r="L347" s="2">
        <v>3566.25</v>
      </c>
      <c r="M347" s="2">
        <v>71.325000000000003</v>
      </c>
      <c r="N347" s="2">
        <v>71</v>
      </c>
      <c r="O347" s="2">
        <f t="shared" si="5"/>
        <v>1250</v>
      </c>
    </row>
    <row r="348" spans="1:15" x14ac:dyDescent="0.3">
      <c r="A348" s="8">
        <v>346</v>
      </c>
      <c r="B348" s="14">
        <v>46143</v>
      </c>
      <c r="C348" s="2" t="s">
        <v>1310</v>
      </c>
      <c r="D348" s="2" t="s">
        <v>12</v>
      </c>
      <c r="E348" s="2" t="s">
        <v>935</v>
      </c>
      <c r="F348" s="2">
        <v>1.25</v>
      </c>
      <c r="G348" s="2" t="s">
        <v>870</v>
      </c>
      <c r="H348" s="2" t="s">
        <v>376</v>
      </c>
      <c r="I348" s="2" t="s">
        <v>1044</v>
      </c>
      <c r="J348" s="2" t="s">
        <v>1110</v>
      </c>
      <c r="K348" s="2">
        <v>3503.75</v>
      </c>
      <c r="L348" s="2">
        <v>3503.75</v>
      </c>
      <c r="M348" s="2">
        <v>70.075000000000003</v>
      </c>
      <c r="N348" s="2">
        <v>70</v>
      </c>
      <c r="O348" s="2">
        <f t="shared" si="5"/>
        <v>1250</v>
      </c>
    </row>
    <row r="349" spans="1:15" x14ac:dyDescent="0.3">
      <c r="A349" s="8">
        <v>347</v>
      </c>
      <c r="B349" s="14">
        <v>46143</v>
      </c>
      <c r="C349" s="2" t="s">
        <v>1311</v>
      </c>
      <c r="D349" s="2" t="s">
        <v>12</v>
      </c>
      <c r="E349" s="2" t="s">
        <v>935</v>
      </c>
      <c r="F349" s="2">
        <v>1.25</v>
      </c>
      <c r="G349" s="2" t="s">
        <v>871</v>
      </c>
      <c r="H349" s="2" t="s">
        <v>384</v>
      </c>
      <c r="I349" s="2" t="s">
        <v>1044</v>
      </c>
      <c r="J349" s="2" t="s">
        <v>1110</v>
      </c>
      <c r="K349" s="2">
        <v>3523.75</v>
      </c>
      <c r="L349" s="2">
        <v>3523.75</v>
      </c>
      <c r="M349" s="2">
        <v>70.474999999999994</v>
      </c>
      <c r="N349" s="2">
        <v>70</v>
      </c>
      <c r="O349" s="2">
        <f t="shared" si="5"/>
        <v>1250</v>
      </c>
    </row>
    <row r="350" spans="1:15" x14ac:dyDescent="0.3">
      <c r="A350" s="8">
        <v>348</v>
      </c>
      <c r="B350" s="14">
        <v>46143</v>
      </c>
      <c r="C350" s="2" t="s">
        <v>1268</v>
      </c>
      <c r="D350" s="2" t="s">
        <v>12</v>
      </c>
      <c r="E350" s="2" t="s">
        <v>935</v>
      </c>
      <c r="F350" s="2">
        <v>1.25</v>
      </c>
      <c r="G350" s="2" t="s">
        <v>1042</v>
      </c>
      <c r="H350" s="2" t="s">
        <v>392</v>
      </c>
      <c r="I350" s="2" t="s">
        <v>1044</v>
      </c>
      <c r="J350" s="2" t="s">
        <v>1110</v>
      </c>
      <c r="K350" s="2">
        <v>3358.75</v>
      </c>
      <c r="L350" s="2">
        <v>3358.75</v>
      </c>
      <c r="M350" s="2">
        <v>67.174999999999997</v>
      </c>
      <c r="N350" s="2">
        <v>67</v>
      </c>
      <c r="O350" s="2">
        <f t="shared" si="5"/>
        <v>1250</v>
      </c>
    </row>
    <row r="351" spans="1:15" x14ac:dyDescent="0.3">
      <c r="A351" s="8">
        <v>349</v>
      </c>
      <c r="B351" s="14">
        <v>46143</v>
      </c>
      <c r="C351" s="2" t="s">
        <v>1312</v>
      </c>
      <c r="D351" s="2" t="s">
        <v>12</v>
      </c>
      <c r="E351" s="2" t="s">
        <v>935</v>
      </c>
      <c r="F351" s="2">
        <v>0.5</v>
      </c>
      <c r="G351" s="2" t="s">
        <v>872</v>
      </c>
      <c r="H351" s="2" t="s">
        <v>399</v>
      </c>
      <c r="I351" s="2" t="s">
        <v>1085</v>
      </c>
      <c r="J351" s="2" t="s">
        <v>1110</v>
      </c>
      <c r="K351" s="2">
        <v>1432.5</v>
      </c>
      <c r="L351" s="2">
        <v>1432.5</v>
      </c>
      <c r="M351" s="2">
        <v>28.65</v>
      </c>
      <c r="N351" s="2">
        <v>29</v>
      </c>
      <c r="O351" s="2">
        <f t="shared" si="5"/>
        <v>500</v>
      </c>
    </row>
    <row r="352" spans="1:15" x14ac:dyDescent="0.3">
      <c r="A352" s="8">
        <v>350</v>
      </c>
      <c r="B352" s="14">
        <v>46143</v>
      </c>
      <c r="C352" s="2" t="s">
        <v>1313</v>
      </c>
      <c r="D352" s="2" t="s">
        <v>12</v>
      </c>
      <c r="E352" s="2" t="s">
        <v>935</v>
      </c>
      <c r="F352" s="2">
        <v>1.25</v>
      </c>
      <c r="G352" s="2" t="s">
        <v>1086</v>
      </c>
      <c r="H352" s="2" t="s">
        <v>409</v>
      </c>
      <c r="I352" s="2" t="s">
        <v>1087</v>
      </c>
      <c r="J352" s="2" t="s">
        <v>1110</v>
      </c>
      <c r="K352" s="2">
        <v>4913.75</v>
      </c>
      <c r="L352" s="2">
        <v>4913.75</v>
      </c>
      <c r="M352" s="2">
        <v>98.275000000000006</v>
      </c>
      <c r="N352" s="2">
        <v>98</v>
      </c>
      <c r="O352" s="2">
        <f t="shared" si="5"/>
        <v>1250</v>
      </c>
    </row>
    <row r="353" spans="1:15" x14ac:dyDescent="0.3">
      <c r="A353" s="8">
        <v>351</v>
      </c>
      <c r="B353" s="14">
        <v>46143</v>
      </c>
      <c r="C353" s="2" t="s">
        <v>1314</v>
      </c>
      <c r="D353" s="2" t="s">
        <v>12</v>
      </c>
      <c r="E353" s="2" t="s">
        <v>935</v>
      </c>
      <c r="F353" s="2">
        <v>1.25</v>
      </c>
      <c r="G353" s="2" t="s">
        <v>1088</v>
      </c>
      <c r="H353" s="2" t="s">
        <v>417</v>
      </c>
      <c r="I353" s="2" t="s">
        <v>1044</v>
      </c>
      <c r="J353" s="2" t="s">
        <v>1110</v>
      </c>
      <c r="K353" s="2">
        <v>2956.25</v>
      </c>
      <c r="L353" s="2">
        <v>2956.25</v>
      </c>
      <c r="M353" s="2">
        <v>59.125</v>
      </c>
      <c r="N353" s="2">
        <v>59</v>
      </c>
      <c r="O353" s="2">
        <f t="shared" si="5"/>
        <v>1250</v>
      </c>
    </row>
    <row r="354" spans="1:15" x14ac:dyDescent="0.3">
      <c r="A354" s="8">
        <v>352</v>
      </c>
      <c r="B354" s="14">
        <v>46143</v>
      </c>
      <c r="C354" s="2" t="s">
        <v>1315</v>
      </c>
      <c r="D354" s="2" t="s">
        <v>12</v>
      </c>
      <c r="E354" s="2" t="s">
        <v>935</v>
      </c>
      <c r="F354" s="2">
        <v>0.75</v>
      </c>
      <c r="G354" s="2" t="s">
        <v>873</v>
      </c>
      <c r="H354" s="2" t="s">
        <v>425</v>
      </c>
      <c r="I354" s="2" t="s">
        <v>1089</v>
      </c>
      <c r="J354" s="2" t="s">
        <v>1110</v>
      </c>
      <c r="K354" s="2">
        <v>2249.25</v>
      </c>
      <c r="L354" s="2">
        <v>2249.25</v>
      </c>
      <c r="M354" s="2">
        <v>44.984999999999999</v>
      </c>
      <c r="N354" s="2">
        <v>45</v>
      </c>
      <c r="O354" s="2">
        <f t="shared" si="5"/>
        <v>750</v>
      </c>
    </row>
    <row r="355" spans="1:15" x14ac:dyDescent="0.3">
      <c r="A355" s="8">
        <v>353</v>
      </c>
      <c r="B355" s="14">
        <v>46143</v>
      </c>
      <c r="C355" s="2" t="s">
        <v>1316</v>
      </c>
      <c r="D355" s="2" t="s">
        <v>12</v>
      </c>
      <c r="E355" s="2" t="s">
        <v>935</v>
      </c>
      <c r="F355" s="2">
        <v>0.5</v>
      </c>
      <c r="G355" s="2" t="s">
        <v>874</v>
      </c>
      <c r="H355" s="2" t="s">
        <v>434</v>
      </c>
      <c r="I355" s="2" t="s">
        <v>1090</v>
      </c>
      <c r="J355" s="2" t="s">
        <v>1110</v>
      </c>
      <c r="K355" s="2">
        <v>1083.5</v>
      </c>
      <c r="L355" s="2">
        <v>1083.5</v>
      </c>
      <c r="M355" s="2">
        <v>21.67</v>
      </c>
      <c r="N355" s="2">
        <v>22</v>
      </c>
      <c r="O355" s="2">
        <f t="shared" si="5"/>
        <v>500</v>
      </c>
    </row>
    <row r="356" spans="1:15" x14ac:dyDescent="0.3">
      <c r="A356" s="8">
        <v>354</v>
      </c>
      <c r="B356" s="14">
        <v>46143</v>
      </c>
      <c r="C356" s="2" t="s">
        <v>1317</v>
      </c>
      <c r="D356" s="2" t="s">
        <v>12</v>
      </c>
      <c r="E356" s="2" t="s">
        <v>935</v>
      </c>
      <c r="F356" s="2">
        <v>0.5</v>
      </c>
      <c r="G356" s="2" t="s">
        <v>875</v>
      </c>
      <c r="H356" s="2" t="s">
        <v>443</v>
      </c>
      <c r="I356" s="2" t="s">
        <v>1090</v>
      </c>
      <c r="J356" s="2" t="s">
        <v>1110</v>
      </c>
      <c r="K356" s="2">
        <v>1160</v>
      </c>
      <c r="L356" s="2">
        <v>1160</v>
      </c>
      <c r="M356" s="2">
        <v>23.2</v>
      </c>
      <c r="N356" s="2">
        <v>23</v>
      </c>
      <c r="O356" s="2">
        <f t="shared" si="5"/>
        <v>500</v>
      </c>
    </row>
    <row r="357" spans="1:15" x14ac:dyDescent="0.3">
      <c r="A357" s="8">
        <v>355</v>
      </c>
      <c r="B357" s="14">
        <v>46143</v>
      </c>
      <c r="C357" s="2" t="s">
        <v>1318</v>
      </c>
      <c r="D357" s="2" t="s">
        <v>12</v>
      </c>
      <c r="E357" s="2" t="s">
        <v>935</v>
      </c>
      <c r="F357" s="2">
        <v>0.75</v>
      </c>
      <c r="G357" s="2" t="s">
        <v>876</v>
      </c>
      <c r="H357" s="2" t="s">
        <v>453</v>
      </c>
      <c r="I357" s="2" t="s">
        <v>1091</v>
      </c>
      <c r="J357" s="2" t="s">
        <v>1110</v>
      </c>
      <c r="K357" s="2">
        <v>1912.5</v>
      </c>
      <c r="L357" s="2">
        <v>1912.5</v>
      </c>
      <c r="M357" s="2">
        <v>38.25</v>
      </c>
      <c r="N357" s="2">
        <v>38</v>
      </c>
      <c r="O357" s="2">
        <f t="shared" si="5"/>
        <v>750</v>
      </c>
    </row>
    <row r="358" spans="1:15" x14ac:dyDescent="0.3">
      <c r="A358" s="8">
        <v>356</v>
      </c>
      <c r="B358" s="14">
        <v>46143</v>
      </c>
      <c r="C358" s="2" t="s">
        <v>1319</v>
      </c>
      <c r="D358" s="2" t="s">
        <v>12</v>
      </c>
      <c r="E358" s="2" t="s">
        <v>935</v>
      </c>
      <c r="F358" s="2">
        <v>0.75</v>
      </c>
      <c r="G358" s="2" t="s">
        <v>877</v>
      </c>
      <c r="H358" s="2" t="s">
        <v>463</v>
      </c>
      <c r="I358" s="2" t="s">
        <v>1091</v>
      </c>
      <c r="J358" s="2" t="s">
        <v>1110</v>
      </c>
      <c r="K358" s="2">
        <v>2140.5</v>
      </c>
      <c r="L358" s="2">
        <v>2140.5</v>
      </c>
      <c r="M358" s="2">
        <v>42.81</v>
      </c>
      <c r="N358" s="2">
        <v>43</v>
      </c>
      <c r="O358" s="2">
        <f t="shared" si="5"/>
        <v>750</v>
      </c>
    </row>
    <row r="359" spans="1:15" x14ac:dyDescent="0.3">
      <c r="A359" s="8">
        <v>357</v>
      </c>
      <c r="B359" s="14">
        <v>46143</v>
      </c>
      <c r="C359" s="2" t="s">
        <v>1320</v>
      </c>
      <c r="D359" s="2" t="s">
        <v>12</v>
      </c>
      <c r="E359" s="2" t="s">
        <v>935</v>
      </c>
      <c r="F359" s="2">
        <v>0.75</v>
      </c>
      <c r="G359" s="2" t="s">
        <v>878</v>
      </c>
      <c r="H359" s="2" t="s">
        <v>473</v>
      </c>
      <c r="I359" s="2" t="s">
        <v>1091</v>
      </c>
      <c r="J359" s="2" t="s">
        <v>1110</v>
      </c>
      <c r="K359" s="2">
        <v>2333.25</v>
      </c>
      <c r="L359" s="2">
        <v>2333.25</v>
      </c>
      <c r="M359" s="2">
        <v>46.664999999999999</v>
      </c>
      <c r="N359" s="2">
        <v>47</v>
      </c>
      <c r="O359" s="2">
        <f t="shared" si="5"/>
        <v>750</v>
      </c>
    </row>
    <row r="360" spans="1:15" x14ac:dyDescent="0.3">
      <c r="A360" s="8">
        <v>358</v>
      </c>
      <c r="B360" s="14">
        <v>46143</v>
      </c>
      <c r="C360" s="2" t="s">
        <v>1321</v>
      </c>
      <c r="D360" s="2" t="s">
        <v>12</v>
      </c>
      <c r="E360" s="2" t="s">
        <v>935</v>
      </c>
      <c r="F360" s="2">
        <v>1.25</v>
      </c>
      <c r="G360" s="2" t="s">
        <v>879</v>
      </c>
      <c r="H360" s="2" t="s">
        <v>483</v>
      </c>
      <c r="I360" s="2" t="s">
        <v>1092</v>
      </c>
      <c r="J360" s="2" t="s">
        <v>1110</v>
      </c>
      <c r="K360" s="2">
        <v>3607.5</v>
      </c>
      <c r="L360" s="2">
        <v>3607.5</v>
      </c>
      <c r="M360" s="2">
        <v>72.150000000000006</v>
      </c>
      <c r="N360" s="2">
        <v>72</v>
      </c>
      <c r="O360" s="2">
        <f t="shared" si="5"/>
        <v>1250</v>
      </c>
    </row>
    <row r="361" spans="1:15" x14ac:dyDescent="0.3">
      <c r="A361" s="8">
        <v>359</v>
      </c>
      <c r="B361" s="14">
        <v>46143</v>
      </c>
      <c r="C361" s="2" t="s">
        <v>1322</v>
      </c>
      <c r="D361" s="2" t="s">
        <v>12</v>
      </c>
      <c r="E361" s="2" t="s">
        <v>935</v>
      </c>
      <c r="F361" s="2">
        <v>1</v>
      </c>
      <c r="G361" s="2" t="s">
        <v>880</v>
      </c>
      <c r="H361" s="2" t="s">
        <v>491</v>
      </c>
      <c r="I361" s="2" t="s">
        <v>1093</v>
      </c>
      <c r="J361" s="2" t="s">
        <v>1110</v>
      </c>
      <c r="K361" s="2">
        <v>152</v>
      </c>
      <c r="L361" s="2">
        <v>152</v>
      </c>
      <c r="M361" s="2">
        <v>3.04</v>
      </c>
      <c r="N361" s="2">
        <v>3</v>
      </c>
      <c r="O361" s="2">
        <f t="shared" si="5"/>
        <v>1000</v>
      </c>
    </row>
    <row r="362" spans="1:15" x14ac:dyDescent="0.3">
      <c r="A362" s="8">
        <v>360</v>
      </c>
      <c r="B362" s="14">
        <v>46143</v>
      </c>
      <c r="C362" s="2" t="s">
        <v>1323</v>
      </c>
      <c r="D362" s="2" t="s">
        <v>12</v>
      </c>
      <c r="E362" s="2" t="s">
        <v>935</v>
      </c>
      <c r="F362" s="2">
        <v>1</v>
      </c>
      <c r="G362" s="2" t="s">
        <v>881</v>
      </c>
      <c r="H362" s="2" t="s">
        <v>499</v>
      </c>
      <c r="I362" s="2" t="s">
        <v>1094</v>
      </c>
      <c r="J362" s="2" t="s">
        <v>1110</v>
      </c>
      <c r="K362" s="2">
        <v>401</v>
      </c>
      <c r="L362" s="2">
        <v>401</v>
      </c>
      <c r="M362" s="2">
        <v>8.02</v>
      </c>
      <c r="N362" s="2">
        <v>8</v>
      </c>
      <c r="O362" s="2">
        <f t="shared" si="5"/>
        <v>1000</v>
      </c>
    </row>
    <row r="363" spans="1:15" x14ac:dyDescent="0.3">
      <c r="A363" s="8">
        <v>361</v>
      </c>
      <c r="B363" s="14">
        <v>46143</v>
      </c>
      <c r="C363" s="2" t="s">
        <v>1324</v>
      </c>
      <c r="D363" s="2" t="s">
        <v>12</v>
      </c>
      <c r="E363" s="2" t="s">
        <v>935</v>
      </c>
      <c r="F363" s="2">
        <v>1.25</v>
      </c>
      <c r="G363" s="2" t="s">
        <v>882</v>
      </c>
      <c r="H363" s="2" t="s">
        <v>507</v>
      </c>
      <c r="I363" s="2" t="s">
        <v>1092</v>
      </c>
      <c r="J363" s="2" t="s">
        <v>1110</v>
      </c>
      <c r="K363" s="2">
        <v>3223.75</v>
      </c>
      <c r="L363" s="2">
        <v>3223.75</v>
      </c>
      <c r="M363" s="2">
        <v>64.474999999999994</v>
      </c>
      <c r="N363" s="2">
        <v>64</v>
      </c>
      <c r="O363" s="2">
        <f t="shared" si="5"/>
        <v>1250</v>
      </c>
    </row>
    <row r="364" spans="1:15" x14ac:dyDescent="0.3">
      <c r="A364" s="8">
        <v>362</v>
      </c>
      <c r="B364" s="14">
        <v>46143</v>
      </c>
      <c r="C364" s="2" t="s">
        <v>1325</v>
      </c>
      <c r="D364" s="2" t="s">
        <v>12</v>
      </c>
      <c r="E364" s="2" t="s">
        <v>935</v>
      </c>
      <c r="F364" s="2">
        <v>1.25</v>
      </c>
      <c r="G364" s="2" t="s">
        <v>883</v>
      </c>
      <c r="H364" s="2" t="s">
        <v>515</v>
      </c>
      <c r="I364" s="2" t="s">
        <v>1092</v>
      </c>
      <c r="J364" s="2" t="s">
        <v>1110</v>
      </c>
      <c r="K364" s="2">
        <v>4252.5</v>
      </c>
      <c r="L364" s="2">
        <v>4252.5</v>
      </c>
      <c r="M364" s="2">
        <v>85.05</v>
      </c>
      <c r="N364" s="2">
        <v>85</v>
      </c>
      <c r="O364" s="2">
        <f t="shared" si="5"/>
        <v>1250</v>
      </c>
    </row>
    <row r="365" spans="1:15" x14ac:dyDescent="0.3">
      <c r="A365" s="8">
        <v>363</v>
      </c>
      <c r="B365" s="14">
        <v>46143</v>
      </c>
      <c r="C365" s="2" t="s">
        <v>1326</v>
      </c>
      <c r="D365" s="2" t="s">
        <v>12</v>
      </c>
      <c r="E365" s="2" t="s">
        <v>935</v>
      </c>
      <c r="F365" s="2">
        <v>1.25</v>
      </c>
      <c r="G365" s="2" t="s">
        <v>884</v>
      </c>
      <c r="H365" s="2" t="s">
        <v>523</v>
      </c>
      <c r="I365" s="2" t="s">
        <v>1092</v>
      </c>
      <c r="J365" s="2" t="s">
        <v>1110</v>
      </c>
      <c r="K365" s="2">
        <v>2740</v>
      </c>
      <c r="L365" s="2">
        <v>2740</v>
      </c>
      <c r="M365" s="2">
        <v>54.8</v>
      </c>
      <c r="N365" s="2">
        <v>55</v>
      </c>
      <c r="O365" s="2">
        <f t="shared" si="5"/>
        <v>1250</v>
      </c>
    </row>
    <row r="366" spans="1:15" x14ac:dyDescent="0.3">
      <c r="A366" s="8">
        <v>364</v>
      </c>
      <c r="B366" s="14">
        <v>46143</v>
      </c>
      <c r="C366" s="2" t="s">
        <v>1240</v>
      </c>
      <c r="D366" s="2" t="s">
        <v>12</v>
      </c>
      <c r="E366" s="2" t="s">
        <v>935</v>
      </c>
      <c r="F366" s="2">
        <v>0.35</v>
      </c>
      <c r="G366" s="2" t="s">
        <v>885</v>
      </c>
      <c r="H366" s="2" t="s">
        <v>531</v>
      </c>
      <c r="I366" s="2" t="s">
        <v>1095</v>
      </c>
      <c r="J366" s="2" t="s">
        <v>1110</v>
      </c>
      <c r="K366" s="2">
        <v>662.2</v>
      </c>
      <c r="L366" s="2">
        <v>662.2</v>
      </c>
      <c r="M366" s="2">
        <v>13.244</v>
      </c>
      <c r="N366" s="2">
        <v>13</v>
      </c>
      <c r="O366" s="2">
        <f t="shared" si="5"/>
        <v>350</v>
      </c>
    </row>
    <row r="367" spans="1:15" x14ac:dyDescent="0.3">
      <c r="A367" s="8">
        <v>365</v>
      </c>
      <c r="B367" s="14">
        <v>46143</v>
      </c>
      <c r="C367" s="2" t="s">
        <v>1239</v>
      </c>
      <c r="D367" s="2" t="s">
        <v>12</v>
      </c>
      <c r="E367" s="2" t="s">
        <v>935</v>
      </c>
      <c r="F367" s="2">
        <v>0.75</v>
      </c>
      <c r="G367" s="2" t="s">
        <v>886</v>
      </c>
      <c r="H367" s="2" t="s">
        <v>541</v>
      </c>
      <c r="I367" s="2" t="s">
        <v>1096</v>
      </c>
      <c r="J367" s="2" t="s">
        <v>1110</v>
      </c>
      <c r="K367" s="2">
        <v>1477.5</v>
      </c>
      <c r="L367" s="2">
        <v>1477.5</v>
      </c>
      <c r="M367" s="2">
        <v>29.55</v>
      </c>
      <c r="N367" s="2">
        <v>30</v>
      </c>
      <c r="O367" s="2">
        <f t="shared" si="5"/>
        <v>750</v>
      </c>
    </row>
    <row r="368" spans="1:15" x14ac:dyDescent="0.3">
      <c r="A368" s="8">
        <v>366</v>
      </c>
      <c r="B368" s="14">
        <v>46143</v>
      </c>
      <c r="C368" s="2" t="s">
        <v>1241</v>
      </c>
      <c r="D368" s="2" t="s">
        <v>12</v>
      </c>
      <c r="E368" s="2" t="s">
        <v>935</v>
      </c>
      <c r="F368" s="2">
        <v>0.35</v>
      </c>
      <c r="G368" s="2" t="s">
        <v>887</v>
      </c>
      <c r="H368" s="2" t="s">
        <v>551</v>
      </c>
      <c r="I368" s="2" t="s">
        <v>1095</v>
      </c>
      <c r="J368" s="2" t="s">
        <v>1110</v>
      </c>
      <c r="K368" s="2">
        <v>590.1</v>
      </c>
      <c r="L368" s="2">
        <v>590.1</v>
      </c>
      <c r="M368" s="2">
        <v>11.802</v>
      </c>
      <c r="N368" s="2">
        <v>12</v>
      </c>
      <c r="O368" s="2">
        <f t="shared" si="5"/>
        <v>350</v>
      </c>
    </row>
    <row r="369" spans="1:15" x14ac:dyDescent="0.3">
      <c r="A369" s="8">
        <v>367</v>
      </c>
      <c r="B369" s="14">
        <v>46143</v>
      </c>
      <c r="C369" s="2" t="s">
        <v>1242</v>
      </c>
      <c r="D369" s="2" t="s">
        <v>12</v>
      </c>
      <c r="E369" s="2" t="s">
        <v>935</v>
      </c>
      <c r="F369" s="2">
        <v>0.35</v>
      </c>
      <c r="G369" s="2" t="s">
        <v>888</v>
      </c>
      <c r="H369" s="2" t="s">
        <v>561</v>
      </c>
      <c r="I369" s="2" t="s">
        <v>1095</v>
      </c>
      <c r="J369" s="2" t="s">
        <v>1110</v>
      </c>
      <c r="K369" s="2">
        <v>483</v>
      </c>
      <c r="L369" s="2">
        <v>483</v>
      </c>
      <c r="M369" s="2">
        <v>9.66</v>
      </c>
      <c r="N369" s="2">
        <v>10</v>
      </c>
      <c r="O369" s="2">
        <f t="shared" si="5"/>
        <v>350</v>
      </c>
    </row>
    <row r="370" spans="1:15" x14ac:dyDescent="0.3">
      <c r="A370" s="8">
        <v>368</v>
      </c>
      <c r="B370" s="14">
        <v>46143</v>
      </c>
      <c r="C370" s="2" t="s">
        <v>1243</v>
      </c>
      <c r="D370" s="2" t="s">
        <v>12</v>
      </c>
      <c r="E370" s="2" t="s">
        <v>935</v>
      </c>
      <c r="F370" s="2">
        <v>0.35</v>
      </c>
      <c r="G370" s="2" t="s">
        <v>889</v>
      </c>
      <c r="H370" s="2" t="s">
        <v>571</v>
      </c>
      <c r="I370" s="2" t="s">
        <v>1097</v>
      </c>
      <c r="J370" s="2" t="s">
        <v>1110</v>
      </c>
      <c r="K370" s="2">
        <v>262.85000000000002</v>
      </c>
      <c r="L370" s="2">
        <v>262.85000000000002</v>
      </c>
      <c r="M370" s="2">
        <v>5.2569999999999997</v>
      </c>
      <c r="N370" s="2">
        <v>5</v>
      </c>
      <c r="O370" s="2">
        <f t="shared" si="5"/>
        <v>350</v>
      </c>
    </row>
    <row r="371" spans="1:15" x14ac:dyDescent="0.3">
      <c r="A371" s="8">
        <v>369</v>
      </c>
      <c r="B371" s="14">
        <v>46143</v>
      </c>
      <c r="C371" s="2" t="s">
        <v>1327</v>
      </c>
      <c r="D371" s="2" t="s">
        <v>12</v>
      </c>
      <c r="E371" s="2" t="s">
        <v>935</v>
      </c>
      <c r="F371" s="2">
        <v>0.35</v>
      </c>
      <c r="G371" s="2" t="s">
        <v>890</v>
      </c>
      <c r="H371" s="2" t="s">
        <v>581</v>
      </c>
      <c r="I371" s="2" t="s">
        <v>1098</v>
      </c>
      <c r="J371" s="2" t="s">
        <v>1110</v>
      </c>
      <c r="K371" s="2">
        <v>408.8</v>
      </c>
      <c r="L371" s="2">
        <v>408.8</v>
      </c>
      <c r="M371" s="2">
        <v>8.1760000000000002</v>
      </c>
      <c r="N371" s="2">
        <v>8</v>
      </c>
      <c r="O371" s="2">
        <f t="shared" si="5"/>
        <v>350</v>
      </c>
    </row>
    <row r="372" spans="1:15" x14ac:dyDescent="0.3">
      <c r="A372" s="8">
        <v>370</v>
      </c>
      <c r="B372" s="14">
        <v>46143</v>
      </c>
      <c r="C372" s="2" t="s">
        <v>1245</v>
      </c>
      <c r="D372" s="2" t="s">
        <v>12</v>
      </c>
      <c r="E372" s="2" t="s">
        <v>935</v>
      </c>
      <c r="F372" s="2">
        <v>0.35</v>
      </c>
      <c r="G372" s="2" t="s">
        <v>1099</v>
      </c>
      <c r="H372" s="2" t="s">
        <v>591</v>
      </c>
      <c r="I372" s="2" t="s">
        <v>1097</v>
      </c>
      <c r="J372" s="2" t="s">
        <v>1110</v>
      </c>
      <c r="K372" s="2">
        <v>50.75</v>
      </c>
      <c r="L372" s="2">
        <v>50.75</v>
      </c>
      <c r="M372" s="2">
        <v>1.0149999999999999</v>
      </c>
      <c r="N372" s="2">
        <v>1</v>
      </c>
      <c r="O372" s="2">
        <f t="shared" si="5"/>
        <v>350</v>
      </c>
    </row>
    <row r="373" spans="1:15" x14ac:dyDescent="0.3">
      <c r="A373" s="8">
        <v>371</v>
      </c>
      <c r="B373" s="14">
        <v>46143</v>
      </c>
      <c r="C373" s="2" t="s">
        <v>1328</v>
      </c>
      <c r="D373" s="2" t="s">
        <v>12</v>
      </c>
      <c r="E373" s="2" t="s">
        <v>935</v>
      </c>
      <c r="F373" s="2">
        <v>0.35</v>
      </c>
      <c r="G373" s="2" t="s">
        <v>1100</v>
      </c>
      <c r="H373" s="2" t="s">
        <v>601</v>
      </c>
      <c r="I373" s="2" t="s">
        <v>1098</v>
      </c>
      <c r="J373" s="2" t="s">
        <v>1110</v>
      </c>
      <c r="K373" s="2">
        <v>541.45000000000005</v>
      </c>
      <c r="L373" s="2">
        <v>541.45000000000005</v>
      </c>
      <c r="M373" s="2">
        <v>10.829000000000001</v>
      </c>
      <c r="N373" s="2">
        <v>11</v>
      </c>
      <c r="O373" s="2">
        <f t="shared" si="5"/>
        <v>350</v>
      </c>
    </row>
    <row r="374" spans="1:15" x14ac:dyDescent="0.3">
      <c r="A374" s="8">
        <v>372</v>
      </c>
      <c r="B374" s="14">
        <v>46143</v>
      </c>
      <c r="C374" s="2" t="s">
        <v>1329</v>
      </c>
      <c r="D374" s="2" t="s">
        <v>12</v>
      </c>
      <c r="E374" s="2" t="s">
        <v>935</v>
      </c>
      <c r="F374" s="2">
        <v>0.35</v>
      </c>
      <c r="G374" s="2" t="s">
        <v>1101</v>
      </c>
      <c r="H374" s="2" t="s">
        <v>611</v>
      </c>
      <c r="I374" s="2" t="s">
        <v>1102</v>
      </c>
      <c r="J374" s="2" t="s">
        <v>1110</v>
      </c>
      <c r="K374" s="2">
        <v>1109.8499999999999</v>
      </c>
      <c r="L374" s="2">
        <v>1109.8499999999999</v>
      </c>
      <c r="M374" s="2">
        <v>22.196999999999999</v>
      </c>
      <c r="N374" s="2">
        <v>22</v>
      </c>
      <c r="O374" s="2">
        <f t="shared" si="5"/>
        <v>350</v>
      </c>
    </row>
    <row r="375" spans="1:15" x14ac:dyDescent="0.3">
      <c r="A375" s="8">
        <v>373</v>
      </c>
      <c r="B375" s="14">
        <v>46143</v>
      </c>
      <c r="C375" s="2" t="s">
        <v>1330</v>
      </c>
      <c r="D375" s="2" t="s">
        <v>12</v>
      </c>
      <c r="E375" s="2" t="s">
        <v>935</v>
      </c>
      <c r="F375" s="2">
        <v>0.35</v>
      </c>
      <c r="G375" s="2" t="s">
        <v>906</v>
      </c>
      <c r="H375" s="2" t="s">
        <v>621</v>
      </c>
      <c r="I375" s="2" t="s">
        <v>1102</v>
      </c>
      <c r="J375" s="2" t="s">
        <v>1110</v>
      </c>
      <c r="K375" s="2">
        <v>1032.5</v>
      </c>
      <c r="L375" s="2">
        <v>1032.5</v>
      </c>
      <c r="M375" s="2">
        <v>20.65</v>
      </c>
      <c r="N375" s="2">
        <v>21</v>
      </c>
      <c r="O375" s="2">
        <f t="shared" si="5"/>
        <v>350</v>
      </c>
    </row>
    <row r="376" spans="1:15" x14ac:dyDescent="0.3">
      <c r="A376" s="8">
        <v>374</v>
      </c>
      <c r="B376" s="14">
        <v>46143</v>
      </c>
      <c r="C376" s="2" t="s">
        <v>1331</v>
      </c>
      <c r="D376" s="2" t="s">
        <v>12</v>
      </c>
      <c r="E376" s="2" t="s">
        <v>935</v>
      </c>
      <c r="F376" s="2">
        <v>0.75</v>
      </c>
      <c r="G376" s="2" t="s">
        <v>907</v>
      </c>
      <c r="H376" s="2" t="s">
        <v>631</v>
      </c>
      <c r="I376" s="2" t="s">
        <v>1103</v>
      </c>
      <c r="J376" s="2" t="s">
        <v>1110</v>
      </c>
      <c r="K376" s="2">
        <v>1836.75</v>
      </c>
      <c r="L376" s="2">
        <v>1836.75</v>
      </c>
      <c r="M376" s="2">
        <v>36.734999999999999</v>
      </c>
      <c r="N376" s="2">
        <v>37</v>
      </c>
      <c r="O376" s="2">
        <f t="shared" si="5"/>
        <v>750</v>
      </c>
    </row>
    <row r="377" spans="1:15" x14ac:dyDescent="0.3">
      <c r="A377" s="8">
        <v>375</v>
      </c>
      <c r="B377" s="14">
        <v>46143</v>
      </c>
      <c r="C377" s="2" t="s">
        <v>1332</v>
      </c>
      <c r="D377" s="2" t="s">
        <v>12</v>
      </c>
      <c r="E377" s="2" t="s">
        <v>935</v>
      </c>
      <c r="F377" s="2">
        <v>0.75</v>
      </c>
      <c r="G377" s="2" t="s">
        <v>908</v>
      </c>
      <c r="H377" s="2" t="s">
        <v>641</v>
      </c>
      <c r="I377" s="2" t="s">
        <v>1103</v>
      </c>
      <c r="J377" s="2" t="s">
        <v>1110</v>
      </c>
      <c r="K377" s="2">
        <v>1510.5</v>
      </c>
      <c r="L377" s="2">
        <v>1510.5</v>
      </c>
      <c r="M377" s="2">
        <v>30.21</v>
      </c>
      <c r="N377" s="2">
        <v>30</v>
      </c>
      <c r="O377" s="2">
        <f t="shared" si="5"/>
        <v>750</v>
      </c>
    </row>
    <row r="378" spans="1:15" x14ac:dyDescent="0.3">
      <c r="A378" s="8">
        <v>376</v>
      </c>
      <c r="B378" s="14">
        <v>46143</v>
      </c>
      <c r="C378" s="2" t="s">
        <v>1333</v>
      </c>
      <c r="D378" s="2" t="s">
        <v>12</v>
      </c>
      <c r="E378" s="2" t="s">
        <v>935</v>
      </c>
      <c r="F378" s="2">
        <v>1.25</v>
      </c>
      <c r="G378" s="2" t="s">
        <v>909</v>
      </c>
      <c r="H378" s="2" t="s">
        <v>651</v>
      </c>
      <c r="I378" s="2" t="s">
        <v>1104</v>
      </c>
      <c r="J378" s="2" t="s">
        <v>1110</v>
      </c>
      <c r="K378" s="2">
        <v>3796.25</v>
      </c>
      <c r="L378" s="2">
        <v>3796.25</v>
      </c>
      <c r="M378" s="2">
        <v>75.924999999999997</v>
      </c>
      <c r="N378" s="2">
        <v>76</v>
      </c>
      <c r="O378" s="2">
        <f t="shared" si="5"/>
        <v>1250</v>
      </c>
    </row>
    <row r="379" spans="1:15" x14ac:dyDescent="0.3">
      <c r="A379" s="8">
        <v>377</v>
      </c>
      <c r="B379" s="14">
        <v>46143</v>
      </c>
      <c r="C379" s="2" t="s">
        <v>1334</v>
      </c>
      <c r="D379" s="2" t="s">
        <v>12</v>
      </c>
      <c r="E379" s="2" t="s">
        <v>935</v>
      </c>
      <c r="F379" s="2">
        <v>0.75</v>
      </c>
      <c r="G379" s="2" t="s">
        <v>910</v>
      </c>
      <c r="H379" s="2" t="s">
        <v>659</v>
      </c>
      <c r="I379" s="2" t="s">
        <v>1103</v>
      </c>
      <c r="J379" s="2" t="s">
        <v>1110</v>
      </c>
      <c r="K379" s="2">
        <v>2173.5</v>
      </c>
      <c r="L379" s="2">
        <v>2173.5</v>
      </c>
      <c r="M379" s="2">
        <v>43.47</v>
      </c>
      <c r="N379" s="2">
        <v>43</v>
      </c>
      <c r="O379" s="2">
        <f t="shared" si="5"/>
        <v>750</v>
      </c>
    </row>
    <row r="380" spans="1:15" x14ac:dyDescent="0.3">
      <c r="A380" s="8">
        <v>378</v>
      </c>
      <c r="B380" s="14">
        <v>46143</v>
      </c>
      <c r="C380" s="2" t="s">
        <v>1335</v>
      </c>
      <c r="D380" s="2" t="s">
        <v>12</v>
      </c>
      <c r="E380" s="2" t="s">
        <v>935</v>
      </c>
      <c r="F380" s="2">
        <v>0.75</v>
      </c>
      <c r="G380" s="2" t="s">
        <v>911</v>
      </c>
      <c r="H380" s="2" t="s">
        <v>669</v>
      </c>
      <c r="I380" s="2" t="s">
        <v>1103</v>
      </c>
      <c r="J380" s="2" t="s">
        <v>1110</v>
      </c>
      <c r="K380" s="2">
        <v>1773</v>
      </c>
      <c r="L380" s="2">
        <v>1773</v>
      </c>
      <c r="M380" s="2">
        <v>35.46</v>
      </c>
      <c r="N380" s="2">
        <v>35</v>
      </c>
      <c r="O380" s="2">
        <f t="shared" si="5"/>
        <v>750</v>
      </c>
    </row>
    <row r="381" spans="1:15" x14ac:dyDescent="0.3">
      <c r="A381" s="8">
        <v>379</v>
      </c>
      <c r="B381" s="14">
        <v>46143</v>
      </c>
      <c r="C381" s="2" t="s">
        <v>1336</v>
      </c>
      <c r="D381" s="2" t="s">
        <v>12</v>
      </c>
      <c r="E381" s="2" t="s">
        <v>935</v>
      </c>
      <c r="F381" s="2">
        <v>1.25</v>
      </c>
      <c r="G381" s="2" t="s">
        <v>912</v>
      </c>
      <c r="H381" s="2" t="s">
        <v>679</v>
      </c>
      <c r="I381" s="2" t="s">
        <v>1105</v>
      </c>
      <c r="J381" s="2" t="s">
        <v>1110</v>
      </c>
      <c r="K381" s="2">
        <v>266.25</v>
      </c>
      <c r="L381" s="2">
        <v>266.25</v>
      </c>
      <c r="M381" s="2">
        <v>5.3250000000000002</v>
      </c>
      <c r="N381" s="2">
        <v>5</v>
      </c>
      <c r="O381" s="2">
        <f t="shared" si="5"/>
        <v>1250</v>
      </c>
    </row>
    <row r="382" spans="1:15" x14ac:dyDescent="0.3">
      <c r="A382" s="8">
        <v>380</v>
      </c>
      <c r="B382" s="14">
        <v>46143</v>
      </c>
      <c r="C382" s="2" t="s">
        <v>1337</v>
      </c>
      <c r="D382" s="2" t="s">
        <v>12</v>
      </c>
      <c r="E382" s="2" t="s">
        <v>935</v>
      </c>
      <c r="F382" s="2">
        <v>1.25</v>
      </c>
      <c r="G382" s="2" t="s">
        <v>913</v>
      </c>
      <c r="H382" s="2" t="s">
        <v>687</v>
      </c>
      <c r="I382" s="2" t="s">
        <v>1106</v>
      </c>
      <c r="J382" s="2" t="s">
        <v>1110</v>
      </c>
      <c r="K382" s="2">
        <v>3520</v>
      </c>
      <c r="L382" s="2">
        <v>3520</v>
      </c>
      <c r="M382" s="2">
        <v>70.400000000000006</v>
      </c>
      <c r="N382" s="2">
        <v>70</v>
      </c>
      <c r="O382" s="2">
        <f t="shared" si="5"/>
        <v>1250</v>
      </c>
    </row>
    <row r="383" spans="1:15" x14ac:dyDescent="0.3">
      <c r="A383" s="8">
        <v>381</v>
      </c>
      <c r="B383" s="14">
        <v>46143</v>
      </c>
      <c r="C383" s="2" t="s">
        <v>1338</v>
      </c>
      <c r="D383" s="2" t="s">
        <v>12</v>
      </c>
      <c r="E383" s="2" t="s">
        <v>935</v>
      </c>
      <c r="F383" s="2">
        <v>1.25</v>
      </c>
      <c r="G383" s="2" t="s">
        <v>914</v>
      </c>
      <c r="H383" s="2" t="s">
        <v>695</v>
      </c>
      <c r="I383" s="2" t="s">
        <v>1106</v>
      </c>
      <c r="J383" s="2" t="s">
        <v>1110</v>
      </c>
      <c r="K383" s="2">
        <v>3667.5</v>
      </c>
      <c r="L383" s="2">
        <v>3667.5</v>
      </c>
      <c r="M383" s="2">
        <v>73.349999999999994</v>
      </c>
      <c r="N383" s="2">
        <v>73</v>
      </c>
      <c r="O383" s="2">
        <f t="shared" si="5"/>
        <v>1250</v>
      </c>
    </row>
    <row r="384" spans="1:15" x14ac:dyDescent="0.3">
      <c r="A384" s="8">
        <v>382</v>
      </c>
      <c r="B384" s="14">
        <v>46143</v>
      </c>
      <c r="C384" s="2" t="s">
        <v>1339</v>
      </c>
      <c r="D384" s="2" t="s">
        <v>12</v>
      </c>
      <c r="E384" s="2" t="s">
        <v>935</v>
      </c>
      <c r="F384" s="2">
        <v>1</v>
      </c>
      <c r="G384" s="2" t="s">
        <v>915</v>
      </c>
      <c r="H384" s="2" t="s">
        <v>703</v>
      </c>
      <c r="I384" s="2" t="s">
        <v>1107</v>
      </c>
      <c r="J384" s="2" t="s">
        <v>1110</v>
      </c>
      <c r="K384" s="2">
        <v>2872</v>
      </c>
      <c r="L384" s="2">
        <v>2872</v>
      </c>
      <c r="M384" s="2">
        <v>57.44</v>
      </c>
      <c r="N384" s="2">
        <v>57</v>
      </c>
      <c r="O384" s="2">
        <f t="shared" si="5"/>
        <v>1000</v>
      </c>
    </row>
    <row r="385" spans="1:15" x14ac:dyDescent="0.3">
      <c r="A385" s="8">
        <v>383</v>
      </c>
      <c r="B385" s="14">
        <v>46143</v>
      </c>
      <c r="C385" s="2" t="s">
        <v>1173</v>
      </c>
      <c r="D385" s="2" t="s">
        <v>12</v>
      </c>
      <c r="E385" s="2" t="s">
        <v>935</v>
      </c>
      <c r="F385" s="2">
        <v>0.5</v>
      </c>
      <c r="G385" s="2" t="s">
        <v>916</v>
      </c>
      <c r="H385" s="2" t="s">
        <v>710</v>
      </c>
      <c r="I385" s="2" t="s">
        <v>1108</v>
      </c>
      <c r="J385" s="2" t="s">
        <v>1110</v>
      </c>
      <c r="K385" s="2">
        <v>30.5</v>
      </c>
      <c r="L385" s="2">
        <v>30.5</v>
      </c>
      <c r="M385" s="2">
        <v>0.61</v>
      </c>
      <c r="N385" s="2">
        <v>1</v>
      </c>
      <c r="O385" s="2">
        <f t="shared" si="5"/>
        <v>500</v>
      </c>
    </row>
    <row r="386" spans="1:15" x14ac:dyDescent="0.3">
      <c r="A386" s="8">
        <v>384</v>
      </c>
      <c r="B386" s="14">
        <v>46143</v>
      </c>
      <c r="C386" s="2" t="s">
        <v>1340</v>
      </c>
      <c r="D386" s="2" t="s">
        <v>12</v>
      </c>
      <c r="E386" s="2" t="s">
        <v>935</v>
      </c>
      <c r="F386" s="2">
        <v>1.25</v>
      </c>
      <c r="G386" s="2" t="s">
        <v>917</v>
      </c>
      <c r="H386" s="2" t="s">
        <v>720</v>
      </c>
      <c r="I386" s="2" t="s">
        <v>1106</v>
      </c>
      <c r="J386" s="2" t="s">
        <v>1110</v>
      </c>
      <c r="K386" s="2">
        <v>3628.75</v>
      </c>
      <c r="L386" s="2">
        <v>3628.75</v>
      </c>
      <c r="M386" s="2">
        <v>72.575000000000003</v>
      </c>
      <c r="N386" s="2">
        <v>73</v>
      </c>
      <c r="O386" s="2">
        <f t="shared" si="5"/>
        <v>1250</v>
      </c>
    </row>
    <row r="387" spans="1:15" x14ac:dyDescent="0.3">
      <c r="A387" s="8">
        <v>385</v>
      </c>
      <c r="B387" s="14">
        <v>46143</v>
      </c>
      <c r="C387" s="2" t="s">
        <v>1341</v>
      </c>
      <c r="D387" s="2" t="s">
        <v>12</v>
      </c>
      <c r="E387" s="2" t="s">
        <v>935</v>
      </c>
      <c r="F387" s="2">
        <v>1</v>
      </c>
      <c r="G387" s="2" t="s">
        <v>918</v>
      </c>
      <c r="H387" s="2" t="s">
        <v>728</v>
      </c>
      <c r="I387" s="2" t="s">
        <v>1107</v>
      </c>
      <c r="J387" s="2" t="s">
        <v>1110</v>
      </c>
      <c r="K387" s="2">
        <v>3030</v>
      </c>
      <c r="L387" s="2">
        <v>3030</v>
      </c>
      <c r="M387" s="2">
        <v>60.6</v>
      </c>
      <c r="N387" s="2">
        <v>61</v>
      </c>
      <c r="O387" s="2">
        <f t="shared" ref="O387:O450" si="6">F387*1000</f>
        <v>1000</v>
      </c>
    </row>
    <row r="388" spans="1:15" x14ac:dyDescent="0.3">
      <c r="A388" s="8">
        <v>386</v>
      </c>
      <c r="B388" s="14">
        <v>46143</v>
      </c>
      <c r="C388" s="2" t="s">
        <v>1342</v>
      </c>
      <c r="D388" s="2" t="s">
        <v>12</v>
      </c>
      <c r="E388" s="2" t="s">
        <v>935</v>
      </c>
      <c r="F388" s="2">
        <v>1.25</v>
      </c>
      <c r="G388" s="2" t="s">
        <v>919</v>
      </c>
      <c r="H388" s="2" t="s">
        <v>736</v>
      </c>
      <c r="I388" s="2" t="s">
        <v>1106</v>
      </c>
      <c r="J388" s="2" t="s">
        <v>1110</v>
      </c>
      <c r="K388" s="2">
        <v>3580</v>
      </c>
      <c r="L388" s="2">
        <v>3580</v>
      </c>
      <c r="M388" s="2">
        <v>71.599999999999994</v>
      </c>
      <c r="N388" s="2">
        <v>72</v>
      </c>
      <c r="O388" s="2">
        <f t="shared" si="6"/>
        <v>1250</v>
      </c>
    </row>
    <row r="389" spans="1:15" x14ac:dyDescent="0.3">
      <c r="A389" s="8">
        <v>387</v>
      </c>
      <c r="B389" s="14">
        <v>46143</v>
      </c>
      <c r="C389" s="2" t="s">
        <v>1343</v>
      </c>
      <c r="D389" s="2" t="s">
        <v>12</v>
      </c>
      <c r="E389" s="2" t="s">
        <v>935</v>
      </c>
      <c r="F389" s="2">
        <v>1</v>
      </c>
      <c r="G389" s="2" t="s">
        <v>920</v>
      </c>
      <c r="H389" s="2" t="s">
        <v>744</v>
      </c>
      <c r="I389" s="2" t="s">
        <v>1107</v>
      </c>
      <c r="J389" s="2" t="s">
        <v>1110</v>
      </c>
      <c r="K389" s="2">
        <v>112</v>
      </c>
      <c r="L389" s="2">
        <v>112</v>
      </c>
      <c r="M389" s="2">
        <v>2.2400000000000002</v>
      </c>
      <c r="N389" s="2">
        <v>2</v>
      </c>
      <c r="O389" s="2">
        <f t="shared" si="6"/>
        <v>1000</v>
      </c>
    </row>
    <row r="390" spans="1:15" x14ac:dyDescent="0.3">
      <c r="A390" s="8">
        <v>388</v>
      </c>
      <c r="B390" s="14">
        <v>46143</v>
      </c>
      <c r="C390" s="2" t="s">
        <v>1344</v>
      </c>
      <c r="D390" s="2" t="s">
        <v>12</v>
      </c>
      <c r="E390" s="2" t="s">
        <v>935</v>
      </c>
      <c r="F390" s="2">
        <v>1.25</v>
      </c>
      <c r="G390" s="2" t="s">
        <v>921</v>
      </c>
      <c r="H390" s="2" t="s">
        <v>752</v>
      </c>
      <c r="I390" s="2" t="s">
        <v>1106</v>
      </c>
      <c r="J390" s="2" t="s">
        <v>1110</v>
      </c>
      <c r="K390" s="2">
        <v>3531.25</v>
      </c>
      <c r="L390" s="2">
        <v>3531.25</v>
      </c>
      <c r="M390" s="2">
        <v>70.625</v>
      </c>
      <c r="N390" s="2">
        <v>71</v>
      </c>
      <c r="O390" s="2">
        <f t="shared" si="6"/>
        <v>1250</v>
      </c>
    </row>
    <row r="391" spans="1:15" x14ac:dyDescent="0.3">
      <c r="A391" s="8">
        <v>389</v>
      </c>
      <c r="B391" s="14">
        <v>46143</v>
      </c>
      <c r="C391" s="2" t="s">
        <v>1345</v>
      </c>
      <c r="D391" s="2" t="s">
        <v>12</v>
      </c>
      <c r="E391" s="2" t="s">
        <v>935</v>
      </c>
      <c r="F391" s="2">
        <v>1.25</v>
      </c>
      <c r="G391" s="2" t="s">
        <v>922</v>
      </c>
      <c r="H391" s="2" t="s">
        <v>760</v>
      </c>
      <c r="I391" s="2" t="s">
        <v>1106</v>
      </c>
      <c r="J391" s="2" t="s">
        <v>1110</v>
      </c>
      <c r="K391" s="2">
        <v>3553.75</v>
      </c>
      <c r="L391" s="2">
        <v>3553.75</v>
      </c>
      <c r="M391" s="2">
        <v>71.075000000000003</v>
      </c>
      <c r="N391" s="2">
        <v>71</v>
      </c>
      <c r="O391" s="2">
        <f t="shared" si="6"/>
        <v>1250</v>
      </c>
    </row>
    <row r="392" spans="1:15" x14ac:dyDescent="0.3">
      <c r="A392" s="8">
        <v>390</v>
      </c>
      <c r="B392" s="14">
        <v>46143</v>
      </c>
      <c r="C392" s="2" t="s">
        <v>1174</v>
      </c>
      <c r="D392" s="2" t="s">
        <v>12</v>
      </c>
      <c r="E392" s="2" t="s">
        <v>935</v>
      </c>
      <c r="F392" s="2">
        <v>0.5</v>
      </c>
      <c r="G392" s="2" t="s">
        <v>923</v>
      </c>
      <c r="H392" s="2" t="s">
        <v>767</v>
      </c>
      <c r="I392" s="2" t="s">
        <v>1108</v>
      </c>
      <c r="J392" s="2" t="s">
        <v>1110</v>
      </c>
      <c r="K392" s="2">
        <v>85.5</v>
      </c>
      <c r="L392" s="2">
        <v>85.5</v>
      </c>
      <c r="M392" s="2">
        <v>1.71</v>
      </c>
      <c r="N392" s="2">
        <v>2</v>
      </c>
      <c r="O392" s="2">
        <f t="shared" si="6"/>
        <v>500</v>
      </c>
    </row>
    <row r="393" spans="1:15" x14ac:dyDescent="0.3">
      <c r="A393" s="8">
        <v>391</v>
      </c>
      <c r="B393" s="14">
        <v>46143</v>
      </c>
      <c r="C393" s="2" t="s">
        <v>1346</v>
      </c>
      <c r="D393" s="2" t="s">
        <v>12</v>
      </c>
      <c r="E393" s="2" t="s">
        <v>935</v>
      </c>
      <c r="F393" s="2">
        <v>1.25</v>
      </c>
      <c r="G393" s="2" t="s">
        <v>924</v>
      </c>
      <c r="H393" s="2" t="s">
        <v>777</v>
      </c>
      <c r="I393" s="2" t="s">
        <v>1106</v>
      </c>
      <c r="J393" s="2" t="s">
        <v>1110</v>
      </c>
      <c r="K393" s="2">
        <v>3998.75</v>
      </c>
      <c r="L393" s="2">
        <v>3998.75</v>
      </c>
      <c r="M393" s="2">
        <v>79.974999999999994</v>
      </c>
      <c r="N393" s="2">
        <v>80</v>
      </c>
      <c r="O393" s="2">
        <f t="shared" si="6"/>
        <v>1250</v>
      </c>
    </row>
    <row r="394" spans="1:15" x14ac:dyDescent="0.3">
      <c r="A394" s="8">
        <v>392</v>
      </c>
      <c r="B394" s="14">
        <v>46143</v>
      </c>
      <c r="C394" s="2" t="s">
        <v>1267</v>
      </c>
      <c r="D394" s="2" t="s">
        <v>12</v>
      </c>
      <c r="E394" s="2" t="s">
        <v>935</v>
      </c>
      <c r="F394" s="2">
        <v>1</v>
      </c>
      <c r="G394" s="2" t="s">
        <v>925</v>
      </c>
      <c r="H394" s="2" t="s">
        <v>785</v>
      </c>
      <c r="I394" s="2" t="s">
        <v>1107</v>
      </c>
      <c r="J394" s="2" t="s">
        <v>1110</v>
      </c>
      <c r="K394" s="2">
        <v>2833</v>
      </c>
      <c r="L394" s="2">
        <v>2833</v>
      </c>
      <c r="M394" s="2">
        <v>56.66</v>
      </c>
      <c r="N394" s="2">
        <v>57</v>
      </c>
      <c r="O394" s="2">
        <f t="shared" si="6"/>
        <v>1000</v>
      </c>
    </row>
    <row r="395" spans="1:15" x14ac:dyDescent="0.3">
      <c r="A395" s="8">
        <v>393</v>
      </c>
      <c r="B395" s="14">
        <v>46143</v>
      </c>
      <c r="C395" s="2" t="s">
        <v>1347</v>
      </c>
      <c r="D395" s="2" t="s">
        <v>12</v>
      </c>
      <c r="E395" s="2" t="s">
        <v>935</v>
      </c>
      <c r="F395" s="2">
        <v>1.25</v>
      </c>
      <c r="G395" s="2" t="s">
        <v>926</v>
      </c>
      <c r="H395" s="2" t="s">
        <v>793</v>
      </c>
      <c r="I395" s="2" t="s">
        <v>1106</v>
      </c>
      <c r="J395" s="2" t="s">
        <v>1110</v>
      </c>
      <c r="K395" s="2">
        <v>3768.75</v>
      </c>
      <c r="L395" s="2">
        <v>3768.75</v>
      </c>
      <c r="M395" s="2">
        <v>75.375</v>
      </c>
      <c r="N395" s="2">
        <v>75</v>
      </c>
      <c r="O395" s="2">
        <f t="shared" si="6"/>
        <v>1250</v>
      </c>
    </row>
    <row r="396" spans="1:15" x14ac:dyDescent="0.3">
      <c r="A396" s="8">
        <v>394</v>
      </c>
      <c r="B396" s="14">
        <v>46143</v>
      </c>
      <c r="C396" s="2" t="s">
        <v>1175</v>
      </c>
      <c r="D396" s="2" t="s">
        <v>12</v>
      </c>
      <c r="E396" s="2" t="s">
        <v>935</v>
      </c>
      <c r="F396" s="2">
        <v>0.5</v>
      </c>
      <c r="G396" s="2" t="s">
        <v>927</v>
      </c>
      <c r="H396" s="2" t="s">
        <v>800</v>
      </c>
      <c r="I396" s="2" t="s">
        <v>1108</v>
      </c>
      <c r="J396" s="2" t="s">
        <v>1110</v>
      </c>
      <c r="K396" s="2">
        <v>120.5</v>
      </c>
      <c r="L396" s="2">
        <v>120.5</v>
      </c>
      <c r="M396" s="2">
        <v>2.41</v>
      </c>
      <c r="N396" s="2">
        <v>2</v>
      </c>
      <c r="O396" s="2">
        <f t="shared" si="6"/>
        <v>500</v>
      </c>
    </row>
    <row r="397" spans="1:15" x14ac:dyDescent="0.3">
      <c r="A397" s="8">
        <v>395</v>
      </c>
      <c r="B397" s="14">
        <v>46143</v>
      </c>
      <c r="C397" s="2" t="s">
        <v>1348</v>
      </c>
      <c r="D397" s="2" t="s">
        <v>12</v>
      </c>
      <c r="E397" s="2" t="s">
        <v>935</v>
      </c>
      <c r="F397" s="2">
        <v>1.25</v>
      </c>
      <c r="G397" s="2" t="s">
        <v>928</v>
      </c>
      <c r="H397" s="2" t="s">
        <v>810</v>
      </c>
      <c r="I397" s="2" t="s">
        <v>1104</v>
      </c>
      <c r="J397" s="2" t="s">
        <v>1110</v>
      </c>
      <c r="K397" s="2">
        <v>1052.5</v>
      </c>
      <c r="L397" s="2">
        <v>1052.5</v>
      </c>
      <c r="M397" s="2">
        <v>21.05</v>
      </c>
      <c r="N397" s="2">
        <v>21</v>
      </c>
      <c r="O397" s="2">
        <f t="shared" si="6"/>
        <v>1250</v>
      </c>
    </row>
    <row r="398" spans="1:15" x14ac:dyDescent="0.3">
      <c r="A398" s="8">
        <v>396</v>
      </c>
      <c r="B398" s="14">
        <v>46143</v>
      </c>
      <c r="C398" s="2" t="s">
        <v>1349</v>
      </c>
      <c r="D398" s="2" t="s">
        <v>12</v>
      </c>
      <c r="E398" s="2" t="s">
        <v>935</v>
      </c>
      <c r="F398" s="2">
        <v>1.25</v>
      </c>
      <c r="G398" s="2" t="s">
        <v>929</v>
      </c>
      <c r="H398" s="2" t="s">
        <v>818</v>
      </c>
      <c r="I398" s="2" t="s">
        <v>1104</v>
      </c>
      <c r="J398" s="2" t="s">
        <v>1110</v>
      </c>
      <c r="K398" s="2">
        <v>1055</v>
      </c>
      <c r="L398" s="2">
        <v>1055</v>
      </c>
      <c r="M398" s="2">
        <v>21.1</v>
      </c>
      <c r="N398" s="2">
        <v>21</v>
      </c>
      <c r="O398" s="2">
        <f t="shared" si="6"/>
        <v>1250</v>
      </c>
    </row>
    <row r="399" spans="1:15" x14ac:dyDescent="0.3">
      <c r="A399" s="8">
        <v>397</v>
      </c>
      <c r="B399" s="14">
        <v>46143</v>
      </c>
      <c r="C399" s="2" t="s">
        <v>1350</v>
      </c>
      <c r="D399" s="2" t="s">
        <v>12</v>
      </c>
      <c r="E399" s="2" t="s">
        <v>935</v>
      </c>
      <c r="F399" s="2">
        <v>1</v>
      </c>
      <c r="G399" s="2" t="s">
        <v>930</v>
      </c>
      <c r="H399" s="2" t="s">
        <v>826</v>
      </c>
      <c r="I399" s="2" t="s">
        <v>1107</v>
      </c>
      <c r="J399" s="2" t="s">
        <v>1110</v>
      </c>
      <c r="K399" s="2">
        <v>92</v>
      </c>
      <c r="L399" s="2">
        <v>92</v>
      </c>
      <c r="M399" s="2">
        <v>1.84</v>
      </c>
      <c r="N399" s="2">
        <v>2</v>
      </c>
      <c r="O399" s="2">
        <f t="shared" si="6"/>
        <v>1000</v>
      </c>
    </row>
    <row r="400" spans="1:15" x14ac:dyDescent="0.3">
      <c r="A400" s="8">
        <v>398</v>
      </c>
      <c r="B400" s="14">
        <v>46143</v>
      </c>
      <c r="C400" s="2" t="s">
        <v>1351</v>
      </c>
      <c r="D400" s="2" t="s">
        <v>12</v>
      </c>
      <c r="E400" s="2" t="s">
        <v>935</v>
      </c>
      <c r="F400" s="2">
        <v>1.25</v>
      </c>
      <c r="G400" s="2" t="s">
        <v>931</v>
      </c>
      <c r="H400" s="2" t="s">
        <v>834</v>
      </c>
      <c r="I400" s="2" t="s">
        <v>1106</v>
      </c>
      <c r="J400" s="2" t="s">
        <v>1110</v>
      </c>
      <c r="K400" s="2">
        <v>1753.75</v>
      </c>
      <c r="L400" s="2">
        <v>1753.75</v>
      </c>
      <c r="M400" s="2">
        <v>35.075000000000003</v>
      </c>
      <c r="N400" s="2">
        <v>35</v>
      </c>
      <c r="O400" s="2">
        <f t="shared" si="6"/>
        <v>1250</v>
      </c>
    </row>
    <row r="401" spans="1:15" x14ac:dyDescent="0.3">
      <c r="A401" s="8">
        <v>399</v>
      </c>
      <c r="B401" s="14">
        <v>46143</v>
      </c>
      <c r="C401" s="2" t="s">
        <v>1176</v>
      </c>
      <c r="D401" s="2" t="s">
        <v>12</v>
      </c>
      <c r="E401" s="2" t="s">
        <v>935</v>
      </c>
      <c r="F401" s="2">
        <v>0.5</v>
      </c>
      <c r="G401" s="2" t="s">
        <v>932</v>
      </c>
      <c r="H401" s="2" t="s">
        <v>841</v>
      </c>
      <c r="I401" s="2" t="s">
        <v>1109</v>
      </c>
      <c r="J401" s="2" t="s">
        <v>1110</v>
      </c>
      <c r="K401" s="2">
        <v>1535</v>
      </c>
      <c r="L401" s="2">
        <v>1535</v>
      </c>
      <c r="M401" s="2">
        <v>30.7</v>
      </c>
      <c r="N401" s="2">
        <v>31</v>
      </c>
      <c r="O401" s="2">
        <f t="shared" si="6"/>
        <v>500</v>
      </c>
    </row>
    <row r="402" spans="1:15" x14ac:dyDescent="0.3">
      <c r="A402" s="8">
        <v>400</v>
      </c>
      <c r="B402" s="14">
        <v>46143</v>
      </c>
      <c r="C402" s="2" t="s">
        <v>1177</v>
      </c>
      <c r="D402" s="2" t="s">
        <v>12</v>
      </c>
      <c r="E402" s="2" t="s">
        <v>935</v>
      </c>
      <c r="F402" s="2">
        <v>0.5</v>
      </c>
      <c r="G402" s="2" t="s">
        <v>933</v>
      </c>
      <c r="H402" s="2" t="s">
        <v>850</v>
      </c>
      <c r="I402" s="2" t="s">
        <v>1109</v>
      </c>
      <c r="J402" s="2" t="s">
        <v>1110</v>
      </c>
      <c r="K402" s="2">
        <v>1635</v>
      </c>
      <c r="L402" s="2">
        <v>1635</v>
      </c>
      <c r="M402" s="2">
        <v>32.700000000000003</v>
      </c>
      <c r="N402" s="2">
        <v>33</v>
      </c>
      <c r="O402" s="2">
        <f t="shared" si="6"/>
        <v>500</v>
      </c>
    </row>
    <row r="403" spans="1:15" x14ac:dyDescent="0.3">
      <c r="A403" s="8">
        <v>401</v>
      </c>
      <c r="B403" s="14">
        <v>46204</v>
      </c>
      <c r="C403" s="2" t="s">
        <v>1269</v>
      </c>
      <c r="D403" s="2" t="s">
        <v>14</v>
      </c>
      <c r="E403" s="2" t="s">
        <v>935</v>
      </c>
      <c r="F403" s="2">
        <v>0.1</v>
      </c>
      <c r="G403" s="2" t="s">
        <v>1045</v>
      </c>
      <c r="H403" s="2" t="s">
        <v>15</v>
      </c>
      <c r="I403" s="2" t="s">
        <v>1046</v>
      </c>
      <c r="J403" s="2" t="s">
        <v>1047</v>
      </c>
      <c r="K403" s="2">
        <v>195</v>
      </c>
      <c r="L403" s="2">
        <v>195</v>
      </c>
      <c r="M403" s="2">
        <v>7.8</v>
      </c>
      <c r="N403" s="2">
        <v>8</v>
      </c>
      <c r="O403" s="2">
        <f t="shared" si="6"/>
        <v>100</v>
      </c>
    </row>
    <row r="404" spans="1:15" x14ac:dyDescent="0.3">
      <c r="A404" s="8">
        <v>402</v>
      </c>
      <c r="B404" s="14">
        <v>46204</v>
      </c>
      <c r="C404" s="2" t="s">
        <v>1282</v>
      </c>
      <c r="D404" s="2" t="s">
        <v>14</v>
      </c>
      <c r="E404" s="2" t="s">
        <v>935</v>
      </c>
      <c r="F404" s="2">
        <v>0.1</v>
      </c>
      <c r="G404" s="2" t="s">
        <v>1048</v>
      </c>
      <c r="H404" s="2" t="s">
        <v>940</v>
      </c>
      <c r="I404" s="2" t="s">
        <v>1049</v>
      </c>
      <c r="J404" s="2" t="s">
        <v>1047</v>
      </c>
      <c r="K404" s="2">
        <v>53.4</v>
      </c>
      <c r="L404" s="2">
        <v>53.4</v>
      </c>
      <c r="M404" s="2">
        <v>2.1360000000000001</v>
      </c>
      <c r="N404" s="2">
        <v>2</v>
      </c>
      <c r="O404" s="2">
        <f t="shared" si="6"/>
        <v>100</v>
      </c>
    </row>
    <row r="405" spans="1:15" x14ac:dyDescent="0.3">
      <c r="A405" s="8">
        <v>403</v>
      </c>
      <c r="B405" s="14">
        <v>46204</v>
      </c>
      <c r="C405" s="2" t="s">
        <v>1270</v>
      </c>
      <c r="D405" s="2" t="s">
        <v>14</v>
      </c>
      <c r="E405" s="2" t="s">
        <v>935</v>
      </c>
      <c r="F405" s="2">
        <v>0.1</v>
      </c>
      <c r="G405" s="2" t="s">
        <v>1050</v>
      </c>
      <c r="H405" s="2" t="s">
        <v>24</v>
      </c>
      <c r="I405" s="2" t="s">
        <v>1046</v>
      </c>
      <c r="J405" s="2" t="s">
        <v>1047</v>
      </c>
      <c r="K405" s="2">
        <v>383.5</v>
      </c>
      <c r="L405" s="2">
        <v>383.5</v>
      </c>
      <c r="M405" s="2">
        <v>15.34</v>
      </c>
      <c r="N405" s="2">
        <v>15</v>
      </c>
      <c r="O405" s="2">
        <f t="shared" si="6"/>
        <v>100</v>
      </c>
    </row>
    <row r="406" spans="1:15" x14ac:dyDescent="0.3">
      <c r="A406" s="8">
        <v>404</v>
      </c>
      <c r="B406" s="14">
        <v>46204</v>
      </c>
      <c r="C406" s="2" t="s">
        <v>1283</v>
      </c>
      <c r="D406" s="2" t="s">
        <v>14</v>
      </c>
      <c r="E406" s="2" t="s">
        <v>935</v>
      </c>
      <c r="F406" s="2">
        <v>0.1</v>
      </c>
      <c r="G406" s="2" t="s">
        <v>1051</v>
      </c>
      <c r="H406" s="2" t="s">
        <v>32</v>
      </c>
      <c r="I406" s="2" t="s">
        <v>1052</v>
      </c>
      <c r="J406" s="2" t="s">
        <v>1047</v>
      </c>
      <c r="K406" s="2">
        <v>211.9</v>
      </c>
      <c r="L406" s="2">
        <v>211.9</v>
      </c>
      <c r="M406" s="2">
        <v>8.4760000000000009</v>
      </c>
      <c r="N406" s="2">
        <v>8</v>
      </c>
      <c r="O406" s="2">
        <f t="shared" si="6"/>
        <v>100</v>
      </c>
    </row>
    <row r="407" spans="1:15" x14ac:dyDescent="0.3">
      <c r="A407" s="8">
        <v>405</v>
      </c>
      <c r="B407" s="14">
        <v>46204</v>
      </c>
      <c r="C407" s="2" t="s">
        <v>1284</v>
      </c>
      <c r="D407" s="2" t="s">
        <v>14</v>
      </c>
      <c r="E407" s="2" t="s">
        <v>935</v>
      </c>
      <c r="F407" s="2">
        <v>0.1</v>
      </c>
      <c r="G407" s="2" t="s">
        <v>1053</v>
      </c>
      <c r="H407" s="2" t="s">
        <v>941</v>
      </c>
      <c r="I407" s="2" t="s">
        <v>1049</v>
      </c>
      <c r="J407" s="2" t="s">
        <v>1047</v>
      </c>
      <c r="K407" s="2">
        <v>98</v>
      </c>
      <c r="L407" s="2">
        <v>98</v>
      </c>
      <c r="M407" s="2">
        <v>3.92</v>
      </c>
      <c r="N407" s="2">
        <v>4</v>
      </c>
      <c r="O407" s="2">
        <f t="shared" si="6"/>
        <v>100</v>
      </c>
    </row>
    <row r="408" spans="1:15" x14ac:dyDescent="0.3">
      <c r="A408" s="8">
        <v>406</v>
      </c>
      <c r="B408" s="14">
        <v>46204</v>
      </c>
      <c r="C408" s="2" t="s">
        <v>1271</v>
      </c>
      <c r="D408" s="2" t="s">
        <v>14</v>
      </c>
      <c r="E408" s="2" t="s">
        <v>935</v>
      </c>
      <c r="F408" s="2">
        <v>0.1</v>
      </c>
      <c r="G408" s="2" t="s">
        <v>1054</v>
      </c>
      <c r="H408" s="2" t="s">
        <v>41</v>
      </c>
      <c r="I408" s="2" t="s">
        <v>1055</v>
      </c>
      <c r="J408" s="2" t="s">
        <v>1047</v>
      </c>
      <c r="K408" s="2">
        <v>486.4</v>
      </c>
      <c r="L408" s="2">
        <v>486.4</v>
      </c>
      <c r="M408" s="2">
        <v>19.456</v>
      </c>
      <c r="N408" s="2">
        <v>19</v>
      </c>
      <c r="O408" s="2">
        <f t="shared" si="6"/>
        <v>100</v>
      </c>
    </row>
    <row r="409" spans="1:15" x14ac:dyDescent="0.3">
      <c r="A409" s="8">
        <v>407</v>
      </c>
      <c r="B409" s="14">
        <v>46204</v>
      </c>
      <c r="C409" s="2" t="s">
        <v>1272</v>
      </c>
      <c r="D409" s="2" t="s">
        <v>14</v>
      </c>
      <c r="E409" s="2" t="s">
        <v>935</v>
      </c>
      <c r="F409" s="2">
        <v>0.1</v>
      </c>
      <c r="G409" s="2" t="s">
        <v>1056</v>
      </c>
      <c r="H409" s="2" t="s">
        <v>49</v>
      </c>
      <c r="I409" s="2" t="s">
        <v>1055</v>
      </c>
      <c r="J409" s="2" t="s">
        <v>1047</v>
      </c>
      <c r="K409" s="2">
        <v>460.8</v>
      </c>
      <c r="L409" s="2">
        <v>460.8</v>
      </c>
      <c r="M409" s="2">
        <v>18.431999999999999</v>
      </c>
      <c r="N409" s="2">
        <v>18</v>
      </c>
      <c r="O409" s="2">
        <f t="shared" si="6"/>
        <v>100</v>
      </c>
    </row>
    <row r="410" spans="1:15" x14ac:dyDescent="0.3">
      <c r="A410" s="8">
        <v>408</v>
      </c>
      <c r="B410" s="14">
        <v>46204</v>
      </c>
      <c r="C410" s="2" t="s">
        <v>1273</v>
      </c>
      <c r="D410" s="2" t="s">
        <v>14</v>
      </c>
      <c r="E410" s="2" t="s">
        <v>935</v>
      </c>
      <c r="F410" s="2">
        <v>0.1</v>
      </c>
      <c r="G410" s="2" t="s">
        <v>1057</v>
      </c>
      <c r="H410" s="2" t="s">
        <v>57</v>
      </c>
      <c r="I410" s="2" t="s">
        <v>1058</v>
      </c>
      <c r="J410" s="2" t="s">
        <v>1047</v>
      </c>
      <c r="K410" s="2">
        <v>325.89999999999998</v>
      </c>
      <c r="L410" s="2">
        <v>325.89999999999998</v>
      </c>
      <c r="M410" s="2">
        <v>13.036</v>
      </c>
      <c r="N410" s="2">
        <v>13</v>
      </c>
      <c r="O410" s="2">
        <f t="shared" si="6"/>
        <v>100</v>
      </c>
    </row>
    <row r="411" spans="1:15" x14ac:dyDescent="0.3">
      <c r="A411" s="8">
        <v>409</v>
      </c>
      <c r="B411" s="14">
        <v>46204</v>
      </c>
      <c r="C411" s="2" t="s">
        <v>1274</v>
      </c>
      <c r="D411" s="2" t="s">
        <v>14</v>
      </c>
      <c r="E411" s="2" t="s">
        <v>935</v>
      </c>
      <c r="F411" s="2">
        <v>0.1</v>
      </c>
      <c r="G411" s="2" t="s">
        <v>1059</v>
      </c>
      <c r="H411" s="2" t="s">
        <v>65</v>
      </c>
      <c r="I411" s="2" t="s">
        <v>1060</v>
      </c>
      <c r="J411" s="2" t="s">
        <v>1047</v>
      </c>
      <c r="K411" s="2">
        <v>238.8</v>
      </c>
      <c r="L411" s="2">
        <v>238.8</v>
      </c>
      <c r="M411" s="2">
        <v>9.5519999999999996</v>
      </c>
      <c r="N411" s="2">
        <v>10</v>
      </c>
      <c r="O411" s="2">
        <f t="shared" si="6"/>
        <v>100</v>
      </c>
    </row>
    <row r="412" spans="1:15" x14ac:dyDescent="0.3">
      <c r="A412" s="8">
        <v>410</v>
      </c>
      <c r="B412" s="14">
        <v>46204</v>
      </c>
      <c r="C412" s="2" t="s">
        <v>1285</v>
      </c>
      <c r="D412" s="2" t="s">
        <v>14</v>
      </c>
      <c r="E412" s="2" t="s">
        <v>935</v>
      </c>
      <c r="F412" s="2">
        <v>0.1</v>
      </c>
      <c r="G412" s="2" t="s">
        <v>860</v>
      </c>
      <c r="H412" s="2" t="s">
        <v>73</v>
      </c>
      <c r="I412" s="2" t="s">
        <v>1049</v>
      </c>
      <c r="J412" s="2" t="s">
        <v>1047</v>
      </c>
      <c r="K412" s="2">
        <v>30.9</v>
      </c>
      <c r="L412" s="2">
        <v>30.9</v>
      </c>
      <c r="M412" s="2">
        <v>1.236</v>
      </c>
      <c r="N412" s="2">
        <v>1</v>
      </c>
      <c r="O412" s="2">
        <f t="shared" si="6"/>
        <v>100</v>
      </c>
    </row>
    <row r="413" spans="1:15" x14ac:dyDescent="0.3">
      <c r="A413" s="8">
        <v>411</v>
      </c>
      <c r="B413" s="14">
        <v>46204</v>
      </c>
      <c r="C413" s="2" t="s">
        <v>1286</v>
      </c>
      <c r="D413" s="2" t="s">
        <v>14</v>
      </c>
      <c r="E413" s="2" t="s">
        <v>935</v>
      </c>
      <c r="F413" s="2">
        <v>0.1</v>
      </c>
      <c r="G413" s="2" t="s">
        <v>861</v>
      </c>
      <c r="H413" s="2" t="s">
        <v>81</v>
      </c>
      <c r="I413" s="2" t="s">
        <v>1052</v>
      </c>
      <c r="J413" s="2" t="s">
        <v>1047</v>
      </c>
      <c r="K413" s="2">
        <v>430.8</v>
      </c>
      <c r="L413" s="2">
        <v>430.8</v>
      </c>
      <c r="M413" s="2">
        <v>17.231999999999999</v>
      </c>
      <c r="N413" s="2">
        <v>17</v>
      </c>
      <c r="O413" s="2">
        <f t="shared" si="6"/>
        <v>100</v>
      </c>
    </row>
    <row r="414" spans="1:15" x14ac:dyDescent="0.3">
      <c r="A414" s="8">
        <v>412</v>
      </c>
      <c r="B414" s="14">
        <v>46204</v>
      </c>
      <c r="C414" s="2" t="s">
        <v>1287</v>
      </c>
      <c r="D414" s="2" t="s">
        <v>14</v>
      </c>
      <c r="E414" s="2" t="s">
        <v>935</v>
      </c>
      <c r="F414" s="2">
        <v>0.1</v>
      </c>
      <c r="G414" s="2" t="s">
        <v>862</v>
      </c>
      <c r="H414" s="2" t="s">
        <v>89</v>
      </c>
      <c r="I414" s="2" t="s">
        <v>1052</v>
      </c>
      <c r="J414" s="2" t="s">
        <v>1047</v>
      </c>
      <c r="K414" s="2">
        <v>386.1</v>
      </c>
      <c r="L414" s="2">
        <v>386.1</v>
      </c>
      <c r="M414" s="2">
        <v>15.444000000000001</v>
      </c>
      <c r="N414" s="2">
        <v>15</v>
      </c>
      <c r="O414" s="2">
        <f t="shared" si="6"/>
        <v>100</v>
      </c>
    </row>
    <row r="415" spans="1:15" x14ac:dyDescent="0.3">
      <c r="A415" s="8">
        <v>413</v>
      </c>
      <c r="B415" s="14">
        <v>46204</v>
      </c>
      <c r="C415" s="2" t="s">
        <v>1288</v>
      </c>
      <c r="D415" s="2" t="s">
        <v>14</v>
      </c>
      <c r="E415" s="2" t="s">
        <v>935</v>
      </c>
      <c r="F415" s="2">
        <v>0.1</v>
      </c>
      <c r="G415" s="2" t="s">
        <v>1061</v>
      </c>
      <c r="H415" s="2" t="s">
        <v>97</v>
      </c>
      <c r="I415" s="2" t="s">
        <v>1062</v>
      </c>
      <c r="J415" s="2" t="s">
        <v>1047</v>
      </c>
      <c r="K415" s="2">
        <v>278.5</v>
      </c>
      <c r="L415" s="2">
        <v>278.5</v>
      </c>
      <c r="M415" s="2">
        <v>11.14</v>
      </c>
      <c r="N415" s="2">
        <v>11</v>
      </c>
      <c r="O415" s="2">
        <f t="shared" si="6"/>
        <v>100</v>
      </c>
    </row>
    <row r="416" spans="1:15" x14ac:dyDescent="0.3">
      <c r="A416" s="8">
        <v>414</v>
      </c>
      <c r="B416" s="14">
        <v>46204</v>
      </c>
      <c r="C416" s="2" t="s">
        <v>1289</v>
      </c>
      <c r="D416" s="2" t="s">
        <v>14</v>
      </c>
      <c r="E416" s="2" t="s">
        <v>935</v>
      </c>
      <c r="F416" s="2">
        <v>0.1</v>
      </c>
      <c r="G416" s="2" t="s">
        <v>1063</v>
      </c>
      <c r="H416" s="2" t="s">
        <v>105</v>
      </c>
      <c r="I416" s="2" t="s">
        <v>1062</v>
      </c>
      <c r="J416" s="2" t="s">
        <v>1047</v>
      </c>
      <c r="K416" s="2">
        <v>242.1</v>
      </c>
      <c r="L416" s="2">
        <v>242.1</v>
      </c>
      <c r="M416" s="2">
        <v>9.6839999999999993</v>
      </c>
      <c r="N416" s="2">
        <v>10</v>
      </c>
      <c r="O416" s="2">
        <f t="shared" si="6"/>
        <v>100</v>
      </c>
    </row>
    <row r="417" spans="1:15" x14ac:dyDescent="0.3">
      <c r="A417" s="8">
        <v>415</v>
      </c>
      <c r="B417" s="14">
        <v>46204</v>
      </c>
      <c r="C417" s="2" t="s">
        <v>1290</v>
      </c>
      <c r="D417" s="2" t="s">
        <v>14</v>
      </c>
      <c r="E417" s="2" t="s">
        <v>935</v>
      </c>
      <c r="F417" s="2">
        <v>0.1</v>
      </c>
      <c r="G417" s="2" t="s">
        <v>1064</v>
      </c>
      <c r="H417" s="2" t="s">
        <v>113</v>
      </c>
      <c r="I417" s="2" t="s">
        <v>1062</v>
      </c>
      <c r="J417" s="2" t="s">
        <v>1047</v>
      </c>
      <c r="K417" s="2">
        <v>376.4</v>
      </c>
      <c r="L417" s="2">
        <v>376.4</v>
      </c>
      <c r="M417" s="2">
        <v>15.055999999999999</v>
      </c>
      <c r="N417" s="2">
        <v>15</v>
      </c>
      <c r="O417" s="2">
        <f t="shared" si="6"/>
        <v>100</v>
      </c>
    </row>
    <row r="418" spans="1:15" x14ac:dyDescent="0.3">
      <c r="A418" s="8">
        <v>416</v>
      </c>
      <c r="B418" s="14">
        <v>46204</v>
      </c>
      <c r="C418" s="2" t="s">
        <v>1291</v>
      </c>
      <c r="D418" s="2" t="s">
        <v>14</v>
      </c>
      <c r="E418" s="2" t="s">
        <v>935</v>
      </c>
      <c r="F418" s="2">
        <v>0.1</v>
      </c>
      <c r="G418" s="2" t="s">
        <v>1065</v>
      </c>
      <c r="H418" s="2" t="s">
        <v>121</v>
      </c>
      <c r="I418" s="2" t="s">
        <v>1062</v>
      </c>
      <c r="J418" s="2" t="s">
        <v>1047</v>
      </c>
      <c r="K418" s="2">
        <v>289.3</v>
      </c>
      <c r="L418" s="2">
        <v>289.3</v>
      </c>
      <c r="M418" s="2">
        <v>11.571999999999999</v>
      </c>
      <c r="N418" s="2">
        <v>12</v>
      </c>
      <c r="O418" s="2">
        <f t="shared" si="6"/>
        <v>100</v>
      </c>
    </row>
    <row r="419" spans="1:15" x14ac:dyDescent="0.3">
      <c r="A419" s="8">
        <v>417</v>
      </c>
      <c r="B419" s="14">
        <v>46204</v>
      </c>
      <c r="C419" s="2" t="s">
        <v>1275</v>
      </c>
      <c r="D419" s="2" t="s">
        <v>14</v>
      </c>
      <c r="E419" s="2" t="s">
        <v>935</v>
      </c>
      <c r="F419" s="2">
        <v>0.1</v>
      </c>
      <c r="G419" s="2" t="s">
        <v>891</v>
      </c>
      <c r="H419" s="2" t="s">
        <v>129</v>
      </c>
      <c r="I419" s="2" t="s">
        <v>1066</v>
      </c>
      <c r="J419" s="2" t="s">
        <v>1047</v>
      </c>
      <c r="K419" s="2">
        <v>286.8</v>
      </c>
      <c r="L419" s="2">
        <v>286.8</v>
      </c>
      <c r="M419" s="2">
        <v>11.472</v>
      </c>
      <c r="N419" s="2">
        <v>11</v>
      </c>
      <c r="O419" s="2">
        <f t="shared" si="6"/>
        <v>100</v>
      </c>
    </row>
    <row r="420" spans="1:15" x14ac:dyDescent="0.3">
      <c r="A420" s="8">
        <v>418</v>
      </c>
      <c r="B420" s="14">
        <v>46204</v>
      </c>
      <c r="C420" s="2" t="s">
        <v>1276</v>
      </c>
      <c r="D420" s="2" t="s">
        <v>14</v>
      </c>
      <c r="E420" s="2" t="s">
        <v>935</v>
      </c>
      <c r="F420" s="2">
        <v>0.1</v>
      </c>
      <c r="G420" s="2" t="s">
        <v>892</v>
      </c>
      <c r="H420" s="2" t="s">
        <v>137</v>
      </c>
      <c r="I420" s="2" t="s">
        <v>1066</v>
      </c>
      <c r="J420" s="2" t="s">
        <v>1047</v>
      </c>
      <c r="K420" s="2">
        <v>348</v>
      </c>
      <c r="L420" s="2">
        <v>348</v>
      </c>
      <c r="M420" s="2">
        <v>13.92</v>
      </c>
      <c r="N420" s="2">
        <v>14</v>
      </c>
      <c r="O420" s="2">
        <f t="shared" si="6"/>
        <v>100</v>
      </c>
    </row>
    <row r="421" spans="1:15" x14ac:dyDescent="0.3">
      <c r="A421" s="8">
        <v>419</v>
      </c>
      <c r="B421" s="14">
        <v>46204</v>
      </c>
      <c r="C421" s="2" t="s">
        <v>1277</v>
      </c>
      <c r="D421" s="2" t="s">
        <v>14</v>
      </c>
      <c r="E421" s="2" t="s">
        <v>935</v>
      </c>
      <c r="F421" s="2">
        <v>0.1</v>
      </c>
      <c r="G421" s="2" t="s">
        <v>893</v>
      </c>
      <c r="H421" s="2" t="s">
        <v>145</v>
      </c>
      <c r="I421" s="2" t="s">
        <v>1067</v>
      </c>
      <c r="J421" s="2" t="s">
        <v>1047</v>
      </c>
      <c r="K421" s="2">
        <v>423.1</v>
      </c>
      <c r="L421" s="2">
        <v>423.1</v>
      </c>
      <c r="M421" s="2">
        <v>16.923999999999999</v>
      </c>
      <c r="N421" s="2">
        <v>17</v>
      </c>
      <c r="O421" s="2">
        <f t="shared" si="6"/>
        <v>100</v>
      </c>
    </row>
    <row r="422" spans="1:15" x14ac:dyDescent="0.3">
      <c r="A422" s="8">
        <v>420</v>
      </c>
      <c r="B422" s="14">
        <v>46204</v>
      </c>
      <c r="C422" s="2" t="s">
        <v>1278</v>
      </c>
      <c r="D422" s="2" t="s">
        <v>14</v>
      </c>
      <c r="E422" s="2" t="s">
        <v>935</v>
      </c>
      <c r="F422" s="2">
        <v>0.1</v>
      </c>
      <c r="G422" s="2" t="s">
        <v>894</v>
      </c>
      <c r="H422" s="2" t="s">
        <v>153</v>
      </c>
      <c r="I422" s="2" t="s">
        <v>1068</v>
      </c>
      <c r="J422" s="2" t="s">
        <v>1047</v>
      </c>
      <c r="K422" s="2">
        <v>385.1</v>
      </c>
      <c r="L422" s="2">
        <v>385.1</v>
      </c>
      <c r="M422" s="2">
        <v>15.404</v>
      </c>
      <c r="N422" s="2">
        <v>15</v>
      </c>
      <c r="O422" s="2">
        <f t="shared" si="6"/>
        <v>100</v>
      </c>
    </row>
    <row r="423" spans="1:15" x14ac:dyDescent="0.3">
      <c r="A423" s="8">
        <v>421</v>
      </c>
      <c r="B423" s="14">
        <v>46204</v>
      </c>
      <c r="C423" s="2" t="s">
        <v>1279</v>
      </c>
      <c r="D423" s="2" t="s">
        <v>14</v>
      </c>
      <c r="E423" s="2" t="s">
        <v>935</v>
      </c>
      <c r="F423" s="2">
        <v>0.1</v>
      </c>
      <c r="G423" s="2" t="s">
        <v>895</v>
      </c>
      <c r="H423" s="2" t="s">
        <v>161</v>
      </c>
      <c r="I423" s="2" t="s">
        <v>1066</v>
      </c>
      <c r="J423" s="2" t="s">
        <v>1047</v>
      </c>
      <c r="K423" s="2">
        <v>314</v>
      </c>
      <c r="L423" s="2">
        <v>314</v>
      </c>
      <c r="M423" s="2">
        <v>12.56</v>
      </c>
      <c r="N423" s="2">
        <v>13</v>
      </c>
      <c r="O423" s="2">
        <f t="shared" si="6"/>
        <v>100</v>
      </c>
    </row>
    <row r="424" spans="1:15" x14ac:dyDescent="0.3">
      <c r="A424" s="8">
        <v>422</v>
      </c>
      <c r="B424" s="14">
        <v>46204</v>
      </c>
      <c r="C424" s="2" t="s">
        <v>1280</v>
      </c>
      <c r="D424" s="2" t="s">
        <v>14</v>
      </c>
      <c r="E424" s="2" t="s">
        <v>935</v>
      </c>
      <c r="F424" s="2">
        <v>0.1</v>
      </c>
      <c r="G424" s="2" t="s">
        <v>896</v>
      </c>
      <c r="H424" s="2" t="s">
        <v>169</v>
      </c>
      <c r="I424" s="2" t="s">
        <v>1066</v>
      </c>
      <c r="J424" s="2" t="s">
        <v>1047</v>
      </c>
      <c r="K424" s="2">
        <v>367.1</v>
      </c>
      <c r="L424" s="2">
        <v>367.1</v>
      </c>
      <c r="M424" s="2">
        <v>14.683999999999999</v>
      </c>
      <c r="N424" s="2">
        <v>15</v>
      </c>
      <c r="O424" s="2">
        <f t="shared" si="6"/>
        <v>100</v>
      </c>
    </row>
    <row r="425" spans="1:15" x14ac:dyDescent="0.3">
      <c r="A425" s="8">
        <v>423</v>
      </c>
      <c r="B425" s="14">
        <v>46204</v>
      </c>
      <c r="C425" s="2" t="s">
        <v>1281</v>
      </c>
      <c r="D425" s="2" t="s">
        <v>14</v>
      </c>
      <c r="E425" s="2" t="s">
        <v>935</v>
      </c>
      <c r="F425" s="2">
        <v>0.1</v>
      </c>
      <c r="G425" s="2" t="s">
        <v>897</v>
      </c>
      <c r="H425" s="2" t="s">
        <v>177</v>
      </c>
      <c r="I425" s="2" t="s">
        <v>1069</v>
      </c>
      <c r="J425" s="2" t="s">
        <v>1047</v>
      </c>
      <c r="K425" s="2">
        <v>402.2</v>
      </c>
      <c r="L425" s="2">
        <v>402.2</v>
      </c>
      <c r="M425" s="2">
        <v>16.088000000000001</v>
      </c>
      <c r="N425" s="2">
        <v>16</v>
      </c>
      <c r="O425" s="2">
        <f t="shared" si="6"/>
        <v>100</v>
      </c>
    </row>
    <row r="426" spans="1:15" x14ac:dyDescent="0.3">
      <c r="A426" s="8">
        <v>424</v>
      </c>
      <c r="B426" s="14">
        <v>46204</v>
      </c>
      <c r="C426" s="2" t="s">
        <v>1292</v>
      </c>
      <c r="D426" s="2" t="s">
        <v>14</v>
      </c>
      <c r="E426" s="2" t="s">
        <v>935</v>
      </c>
      <c r="F426" s="2">
        <v>0.1</v>
      </c>
      <c r="G426" s="2" t="s">
        <v>898</v>
      </c>
      <c r="H426" s="2" t="s">
        <v>185</v>
      </c>
      <c r="I426" s="2" t="s">
        <v>1068</v>
      </c>
      <c r="J426" s="2" t="s">
        <v>1047</v>
      </c>
      <c r="K426" s="2">
        <v>347.6</v>
      </c>
      <c r="L426" s="2">
        <v>347.6</v>
      </c>
      <c r="M426" s="2">
        <v>13.904</v>
      </c>
      <c r="N426" s="2">
        <v>14</v>
      </c>
      <c r="O426" s="2">
        <f t="shared" si="6"/>
        <v>100</v>
      </c>
    </row>
    <row r="427" spans="1:15" x14ac:dyDescent="0.3">
      <c r="A427" s="8">
        <v>425</v>
      </c>
      <c r="B427" s="14">
        <v>46204</v>
      </c>
      <c r="C427" s="2" t="s">
        <v>1293</v>
      </c>
      <c r="D427" s="2" t="s">
        <v>14</v>
      </c>
      <c r="E427" s="2" t="s">
        <v>935</v>
      </c>
      <c r="F427" s="2">
        <v>0.1</v>
      </c>
      <c r="G427" s="2" t="s">
        <v>899</v>
      </c>
      <c r="H427" s="2" t="s">
        <v>193</v>
      </c>
      <c r="I427" s="2" t="s">
        <v>1068</v>
      </c>
      <c r="J427" s="2" t="s">
        <v>1047</v>
      </c>
      <c r="K427" s="2">
        <v>412.7</v>
      </c>
      <c r="L427" s="2">
        <v>412.7</v>
      </c>
      <c r="M427" s="2">
        <v>16.507999999999999</v>
      </c>
      <c r="N427" s="2">
        <v>17</v>
      </c>
      <c r="O427" s="2">
        <f t="shared" si="6"/>
        <v>100</v>
      </c>
    </row>
    <row r="428" spans="1:15" x14ac:dyDescent="0.3">
      <c r="A428" s="8">
        <v>426</v>
      </c>
      <c r="B428" s="14">
        <v>46204</v>
      </c>
      <c r="C428" s="2" t="s">
        <v>1135</v>
      </c>
      <c r="D428" s="2" t="s">
        <v>14</v>
      </c>
      <c r="E428" s="2" t="s">
        <v>935</v>
      </c>
      <c r="F428" s="2">
        <v>0.1</v>
      </c>
      <c r="G428" s="2" t="s">
        <v>900</v>
      </c>
      <c r="H428" s="2" t="s">
        <v>201</v>
      </c>
      <c r="I428" s="2" t="s">
        <v>1069</v>
      </c>
      <c r="J428" s="2" t="s">
        <v>1047</v>
      </c>
      <c r="K428" s="2">
        <v>424.5</v>
      </c>
      <c r="L428" s="2">
        <v>424.5</v>
      </c>
      <c r="M428" s="2">
        <v>16.98</v>
      </c>
      <c r="N428" s="2">
        <v>17</v>
      </c>
      <c r="O428" s="2">
        <f t="shared" si="6"/>
        <v>100</v>
      </c>
    </row>
    <row r="429" spans="1:15" x14ac:dyDescent="0.3">
      <c r="A429" s="8">
        <v>427</v>
      </c>
      <c r="B429" s="14">
        <v>46204</v>
      </c>
      <c r="C429" s="2" t="s">
        <v>1149</v>
      </c>
      <c r="D429" s="2" t="s">
        <v>14</v>
      </c>
      <c r="E429" s="2" t="s">
        <v>935</v>
      </c>
      <c r="F429" s="2">
        <v>0.1</v>
      </c>
      <c r="G429" s="2" t="s">
        <v>901</v>
      </c>
      <c r="H429" s="2" t="s">
        <v>209</v>
      </c>
      <c r="I429" s="2" t="s">
        <v>1066</v>
      </c>
      <c r="J429" s="2" t="s">
        <v>1047</v>
      </c>
      <c r="K429" s="2">
        <v>319.3</v>
      </c>
      <c r="L429" s="2">
        <v>319.3</v>
      </c>
      <c r="M429" s="2">
        <v>12.772</v>
      </c>
      <c r="N429" s="2">
        <v>13</v>
      </c>
      <c r="O429" s="2">
        <f t="shared" si="6"/>
        <v>100</v>
      </c>
    </row>
    <row r="430" spans="1:15" x14ac:dyDescent="0.3">
      <c r="A430" s="8">
        <v>428</v>
      </c>
      <c r="B430" s="14">
        <v>46204</v>
      </c>
      <c r="C430" s="2" t="s">
        <v>1137</v>
      </c>
      <c r="D430" s="2" t="s">
        <v>14</v>
      </c>
      <c r="E430" s="2" t="s">
        <v>935</v>
      </c>
      <c r="F430" s="2">
        <v>0.1</v>
      </c>
      <c r="G430" s="2" t="s">
        <v>902</v>
      </c>
      <c r="H430" s="2" t="s">
        <v>217</v>
      </c>
      <c r="I430" s="2" t="s">
        <v>1067</v>
      </c>
      <c r="J430" s="2" t="s">
        <v>1047</v>
      </c>
      <c r="K430" s="2">
        <v>426.5</v>
      </c>
      <c r="L430" s="2">
        <v>426.5</v>
      </c>
      <c r="M430" s="2">
        <v>17.059999999999999</v>
      </c>
      <c r="N430" s="2">
        <v>17</v>
      </c>
      <c r="O430" s="2">
        <f t="shared" si="6"/>
        <v>100</v>
      </c>
    </row>
    <row r="431" spans="1:15" x14ac:dyDescent="0.3">
      <c r="A431" s="8">
        <v>429</v>
      </c>
      <c r="B431" s="14">
        <v>46204</v>
      </c>
      <c r="C431" s="2" t="s">
        <v>1131</v>
      </c>
      <c r="D431" s="2" t="s">
        <v>14</v>
      </c>
      <c r="E431" s="2" t="s">
        <v>935</v>
      </c>
      <c r="F431" s="2">
        <v>0.1</v>
      </c>
      <c r="G431" s="2" t="s">
        <v>903</v>
      </c>
      <c r="H431" s="2" t="s">
        <v>225</v>
      </c>
      <c r="I431" s="2" t="s">
        <v>1069</v>
      </c>
      <c r="J431" s="2" t="s">
        <v>1047</v>
      </c>
      <c r="K431" s="2">
        <v>419.2</v>
      </c>
      <c r="L431" s="2">
        <v>419.2</v>
      </c>
      <c r="M431" s="2">
        <v>16.768000000000001</v>
      </c>
      <c r="N431" s="2">
        <v>17</v>
      </c>
      <c r="O431" s="2">
        <f t="shared" si="6"/>
        <v>100</v>
      </c>
    </row>
    <row r="432" spans="1:15" x14ac:dyDescent="0.3">
      <c r="A432" s="8">
        <v>430</v>
      </c>
      <c r="B432" s="14">
        <v>46204</v>
      </c>
      <c r="C432" s="2" t="s">
        <v>1130</v>
      </c>
      <c r="D432" s="2" t="s">
        <v>14</v>
      </c>
      <c r="E432" s="2" t="s">
        <v>935</v>
      </c>
      <c r="F432" s="2">
        <v>0.1</v>
      </c>
      <c r="G432" s="2" t="s">
        <v>904</v>
      </c>
      <c r="H432" s="2" t="s">
        <v>233</v>
      </c>
      <c r="I432" s="2" t="s">
        <v>1070</v>
      </c>
      <c r="J432" s="2" t="s">
        <v>1047</v>
      </c>
      <c r="K432" s="2">
        <v>12.6</v>
      </c>
      <c r="L432" s="2">
        <v>12.6</v>
      </c>
      <c r="M432" s="2">
        <v>0.504</v>
      </c>
      <c r="N432" s="2">
        <v>1</v>
      </c>
      <c r="O432" s="2">
        <f t="shared" si="6"/>
        <v>100</v>
      </c>
    </row>
    <row r="433" spans="1:15" x14ac:dyDescent="0.3">
      <c r="A433" s="8">
        <v>431</v>
      </c>
      <c r="B433" s="14">
        <v>46204</v>
      </c>
      <c r="C433" s="2" t="s">
        <v>1139</v>
      </c>
      <c r="D433" s="2" t="s">
        <v>14</v>
      </c>
      <c r="E433" s="2" t="s">
        <v>935</v>
      </c>
      <c r="F433" s="2">
        <v>0.1</v>
      </c>
      <c r="G433" s="2" t="s">
        <v>905</v>
      </c>
      <c r="H433" s="2" t="s">
        <v>241</v>
      </c>
      <c r="I433" s="2" t="s">
        <v>1067</v>
      </c>
      <c r="J433" s="2" t="s">
        <v>1047</v>
      </c>
      <c r="K433" s="2">
        <v>166.3</v>
      </c>
      <c r="L433" s="2">
        <v>166.3</v>
      </c>
      <c r="M433" s="2">
        <v>6.6520000000000001</v>
      </c>
      <c r="N433" s="2">
        <v>7</v>
      </c>
      <c r="O433" s="2">
        <f t="shared" si="6"/>
        <v>100</v>
      </c>
    </row>
    <row r="434" spans="1:15" x14ac:dyDescent="0.3">
      <c r="A434" s="8">
        <v>432</v>
      </c>
      <c r="B434" s="14">
        <v>46204</v>
      </c>
      <c r="C434" s="2" t="s">
        <v>1294</v>
      </c>
      <c r="D434" s="2" t="s">
        <v>14</v>
      </c>
      <c r="E434" s="2" t="s">
        <v>935</v>
      </c>
      <c r="F434" s="2">
        <v>0.1</v>
      </c>
      <c r="G434" s="2" t="s">
        <v>1071</v>
      </c>
      <c r="H434" s="2" t="s">
        <v>249</v>
      </c>
      <c r="I434" s="2" t="s">
        <v>1072</v>
      </c>
      <c r="J434" s="2" t="s">
        <v>1047</v>
      </c>
      <c r="K434" s="2">
        <v>270.7</v>
      </c>
      <c r="L434" s="2">
        <v>270.7</v>
      </c>
      <c r="M434" s="2">
        <v>10.827999999999999</v>
      </c>
      <c r="N434" s="2">
        <v>11</v>
      </c>
      <c r="O434" s="2">
        <f t="shared" si="6"/>
        <v>100</v>
      </c>
    </row>
    <row r="435" spans="1:15" x14ac:dyDescent="0.3">
      <c r="A435" s="8">
        <v>433</v>
      </c>
      <c r="B435" s="14">
        <v>46204</v>
      </c>
      <c r="C435" s="2" t="s">
        <v>1295</v>
      </c>
      <c r="D435" s="2" t="s">
        <v>14</v>
      </c>
      <c r="E435" s="2" t="s">
        <v>935</v>
      </c>
      <c r="F435" s="2">
        <v>0.1</v>
      </c>
      <c r="G435" s="2" t="s">
        <v>1073</v>
      </c>
      <c r="H435" s="2" t="s">
        <v>257</v>
      </c>
      <c r="I435" s="2" t="s">
        <v>1072</v>
      </c>
      <c r="J435" s="2" t="s">
        <v>1047</v>
      </c>
      <c r="K435" s="2">
        <v>213.2</v>
      </c>
      <c r="L435" s="2">
        <v>213.2</v>
      </c>
      <c r="M435" s="2">
        <v>8.5280000000000005</v>
      </c>
      <c r="N435" s="2">
        <v>9</v>
      </c>
      <c r="O435" s="2">
        <f t="shared" si="6"/>
        <v>100</v>
      </c>
    </row>
    <row r="436" spans="1:15" x14ac:dyDescent="0.3">
      <c r="A436" s="8">
        <v>434</v>
      </c>
      <c r="B436" s="14">
        <v>46204</v>
      </c>
      <c r="C436" s="2" t="s">
        <v>1296</v>
      </c>
      <c r="D436" s="2" t="s">
        <v>14</v>
      </c>
      <c r="E436" s="2" t="s">
        <v>935</v>
      </c>
      <c r="F436" s="2">
        <v>0.1</v>
      </c>
      <c r="G436" s="2" t="s">
        <v>1074</v>
      </c>
      <c r="H436" s="2" t="s">
        <v>265</v>
      </c>
      <c r="I436" s="2" t="s">
        <v>1072</v>
      </c>
      <c r="J436" s="2" t="s">
        <v>1047</v>
      </c>
      <c r="K436" s="2">
        <v>333.3</v>
      </c>
      <c r="L436" s="2">
        <v>333.3</v>
      </c>
      <c r="M436" s="2">
        <v>13.332000000000001</v>
      </c>
      <c r="N436" s="2">
        <v>13</v>
      </c>
      <c r="O436" s="2">
        <f t="shared" si="6"/>
        <v>100</v>
      </c>
    </row>
    <row r="437" spans="1:15" x14ac:dyDescent="0.3">
      <c r="A437" s="8">
        <v>435</v>
      </c>
      <c r="B437" s="14">
        <v>46204</v>
      </c>
      <c r="C437" s="2" t="s">
        <v>1297</v>
      </c>
      <c r="D437" s="2" t="s">
        <v>14</v>
      </c>
      <c r="E437" s="2" t="s">
        <v>935</v>
      </c>
      <c r="F437" s="2">
        <v>0.1</v>
      </c>
      <c r="G437" s="2" t="s">
        <v>1075</v>
      </c>
      <c r="H437" s="2" t="s">
        <v>273</v>
      </c>
      <c r="I437" s="2" t="s">
        <v>1072</v>
      </c>
      <c r="J437" s="2" t="s">
        <v>1047</v>
      </c>
      <c r="K437" s="2">
        <v>252.5</v>
      </c>
      <c r="L437" s="2">
        <v>252.5</v>
      </c>
      <c r="M437" s="2">
        <v>10.1</v>
      </c>
      <c r="N437" s="2">
        <v>10</v>
      </c>
      <c r="O437" s="2">
        <f t="shared" si="6"/>
        <v>100</v>
      </c>
    </row>
    <row r="438" spans="1:15" x14ac:dyDescent="0.3">
      <c r="A438" s="8">
        <v>436</v>
      </c>
      <c r="B438" s="14">
        <v>46204</v>
      </c>
      <c r="C438" s="2" t="s">
        <v>1298</v>
      </c>
      <c r="D438" s="2" t="s">
        <v>14</v>
      </c>
      <c r="E438" s="2" t="s">
        <v>935</v>
      </c>
      <c r="F438" s="2">
        <v>0.1</v>
      </c>
      <c r="G438" s="2" t="s">
        <v>864</v>
      </c>
      <c r="H438" s="2" t="s">
        <v>281</v>
      </c>
      <c r="I438" s="2" t="s">
        <v>1076</v>
      </c>
      <c r="J438" s="2" t="s">
        <v>1047</v>
      </c>
      <c r="K438" s="2">
        <v>18.399999999999999</v>
      </c>
      <c r="L438" s="2">
        <v>18.399999999999999</v>
      </c>
      <c r="M438" s="2">
        <v>0.73599999999999999</v>
      </c>
      <c r="N438" s="2">
        <v>1</v>
      </c>
      <c r="O438" s="2">
        <f t="shared" si="6"/>
        <v>100</v>
      </c>
    </row>
    <row r="439" spans="1:15" x14ac:dyDescent="0.3">
      <c r="A439" s="8">
        <v>437</v>
      </c>
      <c r="B439" s="14">
        <v>46204</v>
      </c>
      <c r="C439" s="2" t="s">
        <v>1299</v>
      </c>
      <c r="D439" s="2" t="s">
        <v>14</v>
      </c>
      <c r="E439" s="2" t="s">
        <v>935</v>
      </c>
      <c r="F439" s="2">
        <v>0.1</v>
      </c>
      <c r="G439" s="2" t="s">
        <v>865</v>
      </c>
      <c r="H439" s="2" t="s">
        <v>289</v>
      </c>
      <c r="I439" s="2" t="s">
        <v>1077</v>
      </c>
      <c r="J439" s="2" t="s">
        <v>1047</v>
      </c>
      <c r="K439" s="2">
        <v>279.2</v>
      </c>
      <c r="L439" s="2">
        <v>279.2</v>
      </c>
      <c r="M439" s="2">
        <v>11.167999999999999</v>
      </c>
      <c r="N439" s="2">
        <v>11</v>
      </c>
      <c r="O439" s="2">
        <f t="shared" si="6"/>
        <v>100</v>
      </c>
    </row>
    <row r="440" spans="1:15" x14ac:dyDescent="0.3">
      <c r="A440" s="8">
        <v>438</v>
      </c>
      <c r="B440" s="14">
        <v>46204</v>
      </c>
      <c r="C440" s="2" t="s">
        <v>1300</v>
      </c>
      <c r="D440" s="2" t="s">
        <v>14</v>
      </c>
      <c r="E440" s="2" t="s">
        <v>935</v>
      </c>
      <c r="F440" s="2">
        <v>0.1</v>
      </c>
      <c r="G440" s="2" t="s">
        <v>1078</v>
      </c>
      <c r="H440" s="2" t="s">
        <v>297</v>
      </c>
      <c r="I440" s="2" t="s">
        <v>1072</v>
      </c>
      <c r="J440" s="2" t="s">
        <v>1047</v>
      </c>
      <c r="K440" s="2">
        <v>72</v>
      </c>
      <c r="L440" s="2">
        <v>72</v>
      </c>
      <c r="M440" s="2">
        <v>2.88</v>
      </c>
      <c r="N440" s="2">
        <v>3</v>
      </c>
      <c r="O440" s="2">
        <f t="shared" si="6"/>
        <v>100</v>
      </c>
    </row>
    <row r="441" spans="1:15" x14ac:dyDescent="0.3">
      <c r="A441" s="8">
        <v>439</v>
      </c>
      <c r="B441" s="14">
        <v>46204</v>
      </c>
      <c r="C441" s="2" t="s">
        <v>1301</v>
      </c>
      <c r="D441" s="2" t="s">
        <v>14</v>
      </c>
      <c r="E441" s="2" t="s">
        <v>935</v>
      </c>
      <c r="F441" s="2">
        <v>0.1</v>
      </c>
      <c r="G441" s="2" t="s">
        <v>866</v>
      </c>
      <c r="H441" s="2" t="s">
        <v>305</v>
      </c>
      <c r="I441" s="2" t="s">
        <v>1079</v>
      </c>
      <c r="J441" s="2" t="s">
        <v>1047</v>
      </c>
      <c r="K441" s="2">
        <v>30</v>
      </c>
      <c r="L441" s="2">
        <v>30</v>
      </c>
      <c r="M441" s="2">
        <v>1.2</v>
      </c>
      <c r="N441" s="2">
        <v>1</v>
      </c>
      <c r="O441" s="2">
        <f t="shared" si="6"/>
        <v>100</v>
      </c>
    </row>
    <row r="442" spans="1:15" x14ac:dyDescent="0.3">
      <c r="A442" s="8">
        <v>440</v>
      </c>
      <c r="B442" s="14">
        <v>46204</v>
      </c>
      <c r="C442" s="2" t="s">
        <v>1302</v>
      </c>
      <c r="D442" s="2" t="s">
        <v>14</v>
      </c>
      <c r="E442" s="2" t="s">
        <v>935</v>
      </c>
      <c r="F442" s="2">
        <v>0.1</v>
      </c>
      <c r="G442" s="2" t="s">
        <v>1080</v>
      </c>
      <c r="H442" s="2" t="s">
        <v>313</v>
      </c>
      <c r="I442" s="2" t="s">
        <v>1081</v>
      </c>
      <c r="J442" s="2" t="s">
        <v>1047</v>
      </c>
      <c r="K442" s="2">
        <v>249.5</v>
      </c>
      <c r="L442" s="2">
        <v>249.5</v>
      </c>
      <c r="M442" s="2">
        <v>9.98</v>
      </c>
      <c r="N442" s="2">
        <v>10</v>
      </c>
      <c r="O442" s="2">
        <f t="shared" si="6"/>
        <v>100</v>
      </c>
    </row>
    <row r="443" spans="1:15" x14ac:dyDescent="0.3">
      <c r="A443" s="8">
        <v>441</v>
      </c>
      <c r="B443" s="14">
        <v>46204</v>
      </c>
      <c r="C443" s="2" t="s">
        <v>1303</v>
      </c>
      <c r="D443" s="2" t="s">
        <v>14</v>
      </c>
      <c r="E443" s="2" t="s">
        <v>935</v>
      </c>
      <c r="F443" s="2">
        <v>0.1</v>
      </c>
      <c r="G443" s="2" t="s">
        <v>867</v>
      </c>
      <c r="H443" s="2" t="s">
        <v>321</v>
      </c>
      <c r="I443" s="2" t="s">
        <v>1077</v>
      </c>
      <c r="J443" s="2" t="s">
        <v>1047</v>
      </c>
      <c r="K443" s="2">
        <v>420.2</v>
      </c>
      <c r="L443" s="2">
        <v>420.2</v>
      </c>
      <c r="M443" s="2">
        <v>16.808</v>
      </c>
      <c r="N443" s="2">
        <v>17</v>
      </c>
      <c r="O443" s="2">
        <f t="shared" si="6"/>
        <v>100</v>
      </c>
    </row>
    <row r="444" spans="1:15" x14ac:dyDescent="0.3">
      <c r="A444" s="8">
        <v>442</v>
      </c>
      <c r="B444" s="14">
        <v>46204</v>
      </c>
      <c r="C444" s="2" t="s">
        <v>1304</v>
      </c>
      <c r="D444" s="2" t="s">
        <v>14</v>
      </c>
      <c r="E444" s="2" t="s">
        <v>935</v>
      </c>
      <c r="F444" s="2">
        <v>0.1</v>
      </c>
      <c r="G444" s="2" t="s">
        <v>1082</v>
      </c>
      <c r="H444" s="2" t="s">
        <v>329</v>
      </c>
      <c r="I444" s="2" t="s">
        <v>1072</v>
      </c>
      <c r="J444" s="2" t="s">
        <v>1047</v>
      </c>
      <c r="K444" s="2">
        <v>288.8</v>
      </c>
      <c r="L444" s="2">
        <v>288.8</v>
      </c>
      <c r="M444" s="2">
        <v>11.552</v>
      </c>
      <c r="N444" s="2">
        <v>12</v>
      </c>
      <c r="O444" s="2">
        <f t="shared" si="6"/>
        <v>100</v>
      </c>
    </row>
    <row r="445" spans="1:15" x14ac:dyDescent="0.3">
      <c r="A445" s="8">
        <v>443</v>
      </c>
      <c r="B445" s="14">
        <v>46204</v>
      </c>
      <c r="C445" s="2" t="s">
        <v>1305</v>
      </c>
      <c r="D445" s="2" t="s">
        <v>14</v>
      </c>
      <c r="E445" s="2" t="s">
        <v>935</v>
      </c>
      <c r="F445" s="2">
        <v>0.1</v>
      </c>
      <c r="G445" s="2" t="s">
        <v>1083</v>
      </c>
      <c r="H445" s="2" t="s">
        <v>337</v>
      </c>
      <c r="I445" s="2" t="s">
        <v>1072</v>
      </c>
      <c r="J445" s="2" t="s">
        <v>1047</v>
      </c>
      <c r="K445" s="2">
        <v>190.5</v>
      </c>
      <c r="L445" s="2">
        <v>190.5</v>
      </c>
      <c r="M445" s="2">
        <v>7.62</v>
      </c>
      <c r="N445" s="2">
        <v>8</v>
      </c>
      <c r="O445" s="2">
        <f t="shared" si="6"/>
        <v>100</v>
      </c>
    </row>
    <row r="446" spans="1:15" x14ac:dyDescent="0.3">
      <c r="A446" s="8">
        <v>444</v>
      </c>
      <c r="B446" s="14">
        <v>46204</v>
      </c>
      <c r="C446" s="2" t="s">
        <v>1306</v>
      </c>
      <c r="D446" s="2" t="s">
        <v>14</v>
      </c>
      <c r="E446" s="2" t="s">
        <v>935</v>
      </c>
      <c r="F446" s="2">
        <v>0.1</v>
      </c>
      <c r="G446" s="2" t="s">
        <v>868</v>
      </c>
      <c r="H446" s="2" t="s">
        <v>345</v>
      </c>
      <c r="I446" s="2" t="s">
        <v>1081</v>
      </c>
      <c r="J446" s="2" t="s">
        <v>1047</v>
      </c>
      <c r="K446" s="2">
        <v>310.60000000000002</v>
      </c>
      <c r="L446" s="2">
        <v>310.60000000000002</v>
      </c>
      <c r="M446" s="2">
        <v>12.423999999999999</v>
      </c>
      <c r="N446" s="2">
        <v>12</v>
      </c>
      <c r="O446" s="2">
        <f t="shared" si="6"/>
        <v>100</v>
      </c>
    </row>
    <row r="447" spans="1:15" x14ac:dyDescent="0.3">
      <c r="A447" s="8">
        <v>445</v>
      </c>
      <c r="B447" s="14">
        <v>46204</v>
      </c>
      <c r="C447" s="2" t="s">
        <v>1307</v>
      </c>
      <c r="D447" s="2" t="s">
        <v>14</v>
      </c>
      <c r="E447" s="2" t="s">
        <v>935</v>
      </c>
      <c r="F447" s="2">
        <v>0.1</v>
      </c>
      <c r="G447" s="2" t="s">
        <v>1084</v>
      </c>
      <c r="H447" s="2" t="s">
        <v>353</v>
      </c>
      <c r="I447" s="2" t="s">
        <v>1072</v>
      </c>
      <c r="J447" s="2" t="s">
        <v>1047</v>
      </c>
      <c r="K447" s="2">
        <v>229.1</v>
      </c>
      <c r="L447" s="2">
        <v>229.1</v>
      </c>
      <c r="M447" s="2">
        <v>9.1639999999999997</v>
      </c>
      <c r="N447" s="2">
        <v>9</v>
      </c>
      <c r="O447" s="2">
        <f t="shared" si="6"/>
        <v>100</v>
      </c>
    </row>
    <row r="448" spans="1:15" x14ac:dyDescent="0.3">
      <c r="A448" s="8">
        <v>446</v>
      </c>
      <c r="B448" s="14">
        <v>46204</v>
      </c>
      <c r="C448" s="2" t="s">
        <v>1308</v>
      </c>
      <c r="D448" s="2" t="s">
        <v>14</v>
      </c>
      <c r="E448" s="2" t="s">
        <v>935</v>
      </c>
      <c r="F448" s="2">
        <v>0.1</v>
      </c>
      <c r="G448" s="2" t="s">
        <v>863</v>
      </c>
      <c r="H448" s="2" t="s">
        <v>361</v>
      </c>
      <c r="I448" s="2" t="s">
        <v>1044</v>
      </c>
      <c r="J448" s="2" t="s">
        <v>1047</v>
      </c>
      <c r="K448" s="2">
        <v>253.1</v>
      </c>
      <c r="L448" s="2">
        <v>253.1</v>
      </c>
      <c r="M448" s="2">
        <v>10.124000000000001</v>
      </c>
      <c r="N448" s="2">
        <v>10</v>
      </c>
      <c r="O448" s="2">
        <f t="shared" si="6"/>
        <v>100</v>
      </c>
    </row>
    <row r="449" spans="1:15" x14ac:dyDescent="0.3">
      <c r="A449" s="8">
        <v>447</v>
      </c>
      <c r="B449" s="14">
        <v>46204</v>
      </c>
      <c r="C449" s="2" t="s">
        <v>1309</v>
      </c>
      <c r="D449" s="2" t="s">
        <v>14</v>
      </c>
      <c r="E449" s="2" t="s">
        <v>935</v>
      </c>
      <c r="F449" s="2">
        <v>0.1</v>
      </c>
      <c r="G449" s="2" t="s">
        <v>869</v>
      </c>
      <c r="H449" s="2" t="s">
        <v>369</v>
      </c>
      <c r="I449" s="2" t="s">
        <v>1044</v>
      </c>
      <c r="J449" s="2" t="s">
        <v>1047</v>
      </c>
      <c r="K449" s="2">
        <v>285.3</v>
      </c>
      <c r="L449" s="2">
        <v>285.3</v>
      </c>
      <c r="M449" s="2">
        <v>11.412000000000001</v>
      </c>
      <c r="N449" s="2">
        <v>11</v>
      </c>
      <c r="O449" s="2">
        <f t="shared" si="6"/>
        <v>100</v>
      </c>
    </row>
    <row r="450" spans="1:15" x14ac:dyDescent="0.3">
      <c r="A450" s="8">
        <v>448</v>
      </c>
      <c r="B450" s="14">
        <v>46204</v>
      </c>
      <c r="C450" s="2" t="s">
        <v>1310</v>
      </c>
      <c r="D450" s="2" t="s">
        <v>14</v>
      </c>
      <c r="E450" s="2" t="s">
        <v>935</v>
      </c>
      <c r="F450" s="2">
        <v>0.1</v>
      </c>
      <c r="G450" s="2" t="s">
        <v>870</v>
      </c>
      <c r="H450" s="2" t="s">
        <v>377</v>
      </c>
      <c r="I450" s="2" t="s">
        <v>1044</v>
      </c>
      <c r="J450" s="2" t="s">
        <v>1047</v>
      </c>
      <c r="K450" s="2">
        <v>280.3</v>
      </c>
      <c r="L450" s="2">
        <v>280.3</v>
      </c>
      <c r="M450" s="2">
        <v>11.212</v>
      </c>
      <c r="N450" s="2">
        <v>11</v>
      </c>
      <c r="O450" s="2">
        <f t="shared" si="6"/>
        <v>100</v>
      </c>
    </row>
    <row r="451" spans="1:15" x14ac:dyDescent="0.3">
      <c r="A451" s="8">
        <v>449</v>
      </c>
      <c r="B451" s="14">
        <v>46204</v>
      </c>
      <c r="C451" s="2" t="s">
        <v>1311</v>
      </c>
      <c r="D451" s="2" t="s">
        <v>14</v>
      </c>
      <c r="E451" s="2" t="s">
        <v>935</v>
      </c>
      <c r="F451" s="2">
        <v>0.1</v>
      </c>
      <c r="G451" s="2" t="s">
        <v>871</v>
      </c>
      <c r="H451" s="2" t="s">
        <v>385</v>
      </c>
      <c r="I451" s="2" t="s">
        <v>1044</v>
      </c>
      <c r="J451" s="2" t="s">
        <v>1047</v>
      </c>
      <c r="K451" s="2">
        <v>281.89999999999998</v>
      </c>
      <c r="L451" s="2">
        <v>281.89999999999998</v>
      </c>
      <c r="M451" s="2">
        <v>11.276</v>
      </c>
      <c r="N451" s="2">
        <v>11</v>
      </c>
      <c r="O451" s="2">
        <f t="shared" ref="O451:O514" si="7">F451*1000</f>
        <v>100</v>
      </c>
    </row>
    <row r="452" spans="1:15" x14ac:dyDescent="0.3">
      <c r="A452" s="8">
        <v>450</v>
      </c>
      <c r="B452" s="14">
        <v>46204</v>
      </c>
      <c r="C452" s="2" t="s">
        <v>1268</v>
      </c>
      <c r="D452" s="2" t="s">
        <v>14</v>
      </c>
      <c r="E452" s="2" t="s">
        <v>935</v>
      </c>
      <c r="F452" s="2">
        <v>0.1</v>
      </c>
      <c r="G452" s="2" t="s">
        <v>1042</v>
      </c>
      <c r="H452" s="2" t="s">
        <v>393</v>
      </c>
      <c r="I452" s="2" t="s">
        <v>1044</v>
      </c>
      <c r="J452" s="2" t="s">
        <v>1047</v>
      </c>
      <c r="K452" s="2">
        <v>268.7</v>
      </c>
      <c r="L452" s="2">
        <v>268.7</v>
      </c>
      <c r="M452" s="2">
        <v>10.747999999999999</v>
      </c>
      <c r="N452" s="2">
        <v>11</v>
      </c>
      <c r="O452" s="2">
        <f t="shared" si="7"/>
        <v>100</v>
      </c>
    </row>
    <row r="453" spans="1:15" x14ac:dyDescent="0.3">
      <c r="A453" s="8">
        <v>451</v>
      </c>
      <c r="B453" s="14">
        <v>46204</v>
      </c>
      <c r="C453" s="2" t="s">
        <v>1312</v>
      </c>
      <c r="D453" s="2" t="s">
        <v>14</v>
      </c>
      <c r="E453" s="2" t="s">
        <v>935</v>
      </c>
      <c r="F453" s="2">
        <v>0.1</v>
      </c>
      <c r="G453" s="2" t="s">
        <v>872</v>
      </c>
      <c r="H453" s="2" t="s">
        <v>400</v>
      </c>
      <c r="I453" s="2" t="s">
        <v>1085</v>
      </c>
      <c r="J453" s="2" t="s">
        <v>1047</v>
      </c>
      <c r="K453" s="2">
        <v>286.5</v>
      </c>
      <c r="L453" s="2">
        <v>286.5</v>
      </c>
      <c r="M453" s="2">
        <v>11.46</v>
      </c>
      <c r="N453" s="2">
        <v>11</v>
      </c>
      <c r="O453" s="2">
        <f t="shared" si="7"/>
        <v>100</v>
      </c>
    </row>
    <row r="454" spans="1:15" x14ac:dyDescent="0.3">
      <c r="A454" s="8">
        <v>452</v>
      </c>
      <c r="B454" s="14">
        <v>46204</v>
      </c>
      <c r="C454" s="2" t="s">
        <v>1313</v>
      </c>
      <c r="D454" s="2" t="s">
        <v>14</v>
      </c>
      <c r="E454" s="2" t="s">
        <v>935</v>
      </c>
      <c r="F454" s="2">
        <v>0.1</v>
      </c>
      <c r="G454" s="2" t="s">
        <v>1086</v>
      </c>
      <c r="H454" s="2" t="s">
        <v>410</v>
      </c>
      <c r="I454" s="2" t="s">
        <v>1087</v>
      </c>
      <c r="J454" s="2" t="s">
        <v>1047</v>
      </c>
      <c r="K454" s="2">
        <v>393.1</v>
      </c>
      <c r="L454" s="2">
        <v>393.1</v>
      </c>
      <c r="M454" s="2">
        <v>15.724</v>
      </c>
      <c r="N454" s="2">
        <v>16</v>
      </c>
      <c r="O454" s="2">
        <f t="shared" si="7"/>
        <v>100</v>
      </c>
    </row>
    <row r="455" spans="1:15" x14ac:dyDescent="0.3">
      <c r="A455" s="8">
        <v>453</v>
      </c>
      <c r="B455" s="14">
        <v>46204</v>
      </c>
      <c r="C455" s="2" t="s">
        <v>1314</v>
      </c>
      <c r="D455" s="2" t="s">
        <v>14</v>
      </c>
      <c r="E455" s="2" t="s">
        <v>935</v>
      </c>
      <c r="F455" s="2">
        <v>0.1</v>
      </c>
      <c r="G455" s="2" t="s">
        <v>1088</v>
      </c>
      <c r="H455" s="2" t="s">
        <v>418</v>
      </c>
      <c r="I455" s="2" t="s">
        <v>1044</v>
      </c>
      <c r="J455" s="2" t="s">
        <v>1047</v>
      </c>
      <c r="K455" s="2">
        <v>236.5</v>
      </c>
      <c r="L455" s="2">
        <v>236.5</v>
      </c>
      <c r="M455" s="2">
        <v>9.4600000000000009</v>
      </c>
      <c r="N455" s="2">
        <v>9</v>
      </c>
      <c r="O455" s="2">
        <f t="shared" si="7"/>
        <v>100</v>
      </c>
    </row>
    <row r="456" spans="1:15" x14ac:dyDescent="0.3">
      <c r="A456" s="8">
        <v>454</v>
      </c>
      <c r="B456" s="14">
        <v>46204</v>
      </c>
      <c r="C456" s="2" t="s">
        <v>1315</v>
      </c>
      <c r="D456" s="2" t="s">
        <v>14</v>
      </c>
      <c r="E456" s="2" t="s">
        <v>935</v>
      </c>
      <c r="F456" s="2">
        <v>0.1</v>
      </c>
      <c r="G456" s="2" t="s">
        <v>873</v>
      </c>
      <c r="H456" s="2" t="s">
        <v>426</v>
      </c>
      <c r="I456" s="2" t="s">
        <v>1089</v>
      </c>
      <c r="J456" s="2" t="s">
        <v>1047</v>
      </c>
      <c r="K456" s="2">
        <v>299.89999999999998</v>
      </c>
      <c r="L456" s="2">
        <v>299.89999999999998</v>
      </c>
      <c r="M456" s="2">
        <v>11.996</v>
      </c>
      <c r="N456" s="2">
        <v>12</v>
      </c>
      <c r="O456" s="2">
        <f t="shared" si="7"/>
        <v>100</v>
      </c>
    </row>
    <row r="457" spans="1:15" x14ac:dyDescent="0.3">
      <c r="A457" s="8">
        <v>455</v>
      </c>
      <c r="B457" s="14">
        <v>46204</v>
      </c>
      <c r="C457" s="2" t="s">
        <v>1316</v>
      </c>
      <c r="D457" s="2" t="s">
        <v>14</v>
      </c>
      <c r="E457" s="2" t="s">
        <v>935</v>
      </c>
      <c r="F457" s="2">
        <v>0.1</v>
      </c>
      <c r="G457" s="2" t="s">
        <v>874</v>
      </c>
      <c r="H457" s="2" t="s">
        <v>435</v>
      </c>
      <c r="I457" s="2" t="s">
        <v>1090</v>
      </c>
      <c r="J457" s="2" t="s">
        <v>1047</v>
      </c>
      <c r="K457" s="2">
        <v>216.7</v>
      </c>
      <c r="L457" s="2">
        <v>216.7</v>
      </c>
      <c r="M457" s="2">
        <v>8.6679999999999993</v>
      </c>
      <c r="N457" s="2">
        <v>9</v>
      </c>
      <c r="O457" s="2">
        <f t="shared" si="7"/>
        <v>100</v>
      </c>
    </row>
    <row r="458" spans="1:15" x14ac:dyDescent="0.3">
      <c r="A458" s="8">
        <v>456</v>
      </c>
      <c r="B458" s="14">
        <v>46204</v>
      </c>
      <c r="C458" s="2" t="s">
        <v>1317</v>
      </c>
      <c r="D458" s="2" t="s">
        <v>14</v>
      </c>
      <c r="E458" s="2" t="s">
        <v>935</v>
      </c>
      <c r="F458" s="2">
        <v>0.1</v>
      </c>
      <c r="G458" s="2" t="s">
        <v>875</v>
      </c>
      <c r="H458" s="2" t="s">
        <v>444</v>
      </c>
      <c r="I458" s="2" t="s">
        <v>1090</v>
      </c>
      <c r="J458" s="2" t="s">
        <v>1047</v>
      </c>
      <c r="K458" s="2">
        <v>232</v>
      </c>
      <c r="L458" s="2">
        <v>232</v>
      </c>
      <c r="M458" s="2">
        <v>9.2799999999999994</v>
      </c>
      <c r="N458" s="2">
        <v>9</v>
      </c>
      <c r="O458" s="2">
        <f t="shared" si="7"/>
        <v>100</v>
      </c>
    </row>
    <row r="459" spans="1:15" x14ac:dyDescent="0.3">
      <c r="A459" s="8">
        <v>457</v>
      </c>
      <c r="B459" s="14">
        <v>46204</v>
      </c>
      <c r="C459" s="2" t="s">
        <v>1318</v>
      </c>
      <c r="D459" s="2" t="s">
        <v>14</v>
      </c>
      <c r="E459" s="2" t="s">
        <v>935</v>
      </c>
      <c r="F459" s="2">
        <v>0.1</v>
      </c>
      <c r="G459" s="2" t="s">
        <v>876</v>
      </c>
      <c r="H459" s="2" t="s">
        <v>454</v>
      </c>
      <c r="I459" s="2" t="s">
        <v>1091</v>
      </c>
      <c r="J459" s="2" t="s">
        <v>1047</v>
      </c>
      <c r="K459" s="2">
        <v>255</v>
      </c>
      <c r="L459" s="2">
        <v>255</v>
      </c>
      <c r="M459" s="2">
        <v>10.199999999999999</v>
      </c>
      <c r="N459" s="2">
        <v>10</v>
      </c>
      <c r="O459" s="2">
        <f t="shared" si="7"/>
        <v>100</v>
      </c>
    </row>
    <row r="460" spans="1:15" x14ac:dyDescent="0.3">
      <c r="A460" s="8">
        <v>458</v>
      </c>
      <c r="B460" s="14">
        <v>46204</v>
      </c>
      <c r="C460" s="2" t="s">
        <v>1319</v>
      </c>
      <c r="D460" s="2" t="s">
        <v>14</v>
      </c>
      <c r="E460" s="2" t="s">
        <v>935</v>
      </c>
      <c r="F460" s="2">
        <v>0.1</v>
      </c>
      <c r="G460" s="2" t="s">
        <v>877</v>
      </c>
      <c r="H460" s="2" t="s">
        <v>464</v>
      </c>
      <c r="I460" s="2" t="s">
        <v>1091</v>
      </c>
      <c r="J460" s="2" t="s">
        <v>1047</v>
      </c>
      <c r="K460" s="2">
        <v>285.39999999999998</v>
      </c>
      <c r="L460" s="2">
        <v>285.39999999999998</v>
      </c>
      <c r="M460" s="2">
        <v>11.416</v>
      </c>
      <c r="N460" s="2">
        <v>11</v>
      </c>
      <c r="O460" s="2">
        <f t="shared" si="7"/>
        <v>100</v>
      </c>
    </row>
    <row r="461" spans="1:15" x14ac:dyDescent="0.3">
      <c r="A461" s="8">
        <v>459</v>
      </c>
      <c r="B461" s="14">
        <v>46204</v>
      </c>
      <c r="C461" s="2" t="s">
        <v>1320</v>
      </c>
      <c r="D461" s="2" t="s">
        <v>14</v>
      </c>
      <c r="E461" s="2" t="s">
        <v>935</v>
      </c>
      <c r="F461" s="2">
        <v>0.1</v>
      </c>
      <c r="G461" s="2" t="s">
        <v>878</v>
      </c>
      <c r="H461" s="2" t="s">
        <v>474</v>
      </c>
      <c r="I461" s="2" t="s">
        <v>1091</v>
      </c>
      <c r="J461" s="2" t="s">
        <v>1047</v>
      </c>
      <c r="K461" s="2">
        <v>311.10000000000002</v>
      </c>
      <c r="L461" s="2">
        <v>311.10000000000002</v>
      </c>
      <c r="M461" s="2">
        <v>12.444000000000001</v>
      </c>
      <c r="N461" s="2">
        <v>12</v>
      </c>
      <c r="O461" s="2">
        <f t="shared" si="7"/>
        <v>100</v>
      </c>
    </row>
    <row r="462" spans="1:15" x14ac:dyDescent="0.3">
      <c r="A462" s="8">
        <v>460</v>
      </c>
      <c r="B462" s="14">
        <v>46204</v>
      </c>
      <c r="C462" s="2" t="s">
        <v>1321</v>
      </c>
      <c r="D462" s="2" t="s">
        <v>14</v>
      </c>
      <c r="E462" s="2" t="s">
        <v>935</v>
      </c>
      <c r="F462" s="2">
        <v>0.1</v>
      </c>
      <c r="G462" s="2" t="s">
        <v>879</v>
      </c>
      <c r="H462" s="2" t="s">
        <v>484</v>
      </c>
      <c r="I462" s="2" t="s">
        <v>1092</v>
      </c>
      <c r="J462" s="2" t="s">
        <v>1047</v>
      </c>
      <c r="K462" s="2">
        <v>288.60000000000002</v>
      </c>
      <c r="L462" s="2">
        <v>288.60000000000002</v>
      </c>
      <c r="M462" s="2">
        <v>11.544</v>
      </c>
      <c r="N462" s="2">
        <v>12</v>
      </c>
      <c r="O462" s="2">
        <f t="shared" si="7"/>
        <v>100</v>
      </c>
    </row>
    <row r="463" spans="1:15" x14ac:dyDescent="0.3">
      <c r="A463" s="8">
        <v>461</v>
      </c>
      <c r="B463" s="14">
        <v>46204</v>
      </c>
      <c r="C463" s="2" t="s">
        <v>1322</v>
      </c>
      <c r="D463" s="2" t="s">
        <v>14</v>
      </c>
      <c r="E463" s="2" t="s">
        <v>935</v>
      </c>
      <c r="F463" s="2">
        <v>0.1</v>
      </c>
      <c r="G463" s="2" t="s">
        <v>880</v>
      </c>
      <c r="H463" s="2" t="s">
        <v>492</v>
      </c>
      <c r="I463" s="2" t="s">
        <v>1093</v>
      </c>
      <c r="J463" s="2" t="s">
        <v>1047</v>
      </c>
      <c r="K463" s="2">
        <v>15.2</v>
      </c>
      <c r="L463" s="2">
        <v>15.2</v>
      </c>
      <c r="M463" s="2">
        <v>0.60799999999999998</v>
      </c>
      <c r="N463" s="2">
        <v>1</v>
      </c>
      <c r="O463" s="2">
        <f t="shared" si="7"/>
        <v>100</v>
      </c>
    </row>
    <row r="464" spans="1:15" x14ac:dyDescent="0.3">
      <c r="A464" s="8">
        <v>462</v>
      </c>
      <c r="B464" s="14">
        <v>46204</v>
      </c>
      <c r="C464" s="2" t="s">
        <v>1323</v>
      </c>
      <c r="D464" s="2" t="s">
        <v>14</v>
      </c>
      <c r="E464" s="2" t="s">
        <v>935</v>
      </c>
      <c r="F464" s="2">
        <v>0.1</v>
      </c>
      <c r="G464" s="2" t="s">
        <v>881</v>
      </c>
      <c r="H464" s="2" t="s">
        <v>500</v>
      </c>
      <c r="I464" s="2" t="s">
        <v>1094</v>
      </c>
      <c r="J464" s="2" t="s">
        <v>1047</v>
      </c>
      <c r="K464" s="2">
        <v>40.1</v>
      </c>
      <c r="L464" s="2">
        <v>40.1</v>
      </c>
      <c r="M464" s="2">
        <v>1.6040000000000001</v>
      </c>
      <c r="N464" s="2">
        <v>2</v>
      </c>
      <c r="O464" s="2">
        <f t="shared" si="7"/>
        <v>100</v>
      </c>
    </row>
    <row r="465" spans="1:15" x14ac:dyDescent="0.3">
      <c r="A465" s="8">
        <v>463</v>
      </c>
      <c r="B465" s="14">
        <v>46204</v>
      </c>
      <c r="C465" s="2" t="s">
        <v>1324</v>
      </c>
      <c r="D465" s="2" t="s">
        <v>14</v>
      </c>
      <c r="E465" s="2" t="s">
        <v>935</v>
      </c>
      <c r="F465" s="2">
        <v>0.1</v>
      </c>
      <c r="G465" s="2" t="s">
        <v>882</v>
      </c>
      <c r="H465" s="2" t="s">
        <v>508</v>
      </c>
      <c r="I465" s="2" t="s">
        <v>1092</v>
      </c>
      <c r="J465" s="2" t="s">
        <v>1047</v>
      </c>
      <c r="K465" s="2">
        <v>257.89999999999998</v>
      </c>
      <c r="L465" s="2">
        <v>257.89999999999998</v>
      </c>
      <c r="M465" s="2">
        <v>10.316000000000001</v>
      </c>
      <c r="N465" s="2">
        <v>10</v>
      </c>
      <c r="O465" s="2">
        <f t="shared" si="7"/>
        <v>100</v>
      </c>
    </row>
    <row r="466" spans="1:15" x14ac:dyDescent="0.3">
      <c r="A466" s="8">
        <v>464</v>
      </c>
      <c r="B466" s="14">
        <v>46204</v>
      </c>
      <c r="C466" s="2" t="s">
        <v>1325</v>
      </c>
      <c r="D466" s="2" t="s">
        <v>14</v>
      </c>
      <c r="E466" s="2" t="s">
        <v>935</v>
      </c>
      <c r="F466" s="2">
        <v>0.1</v>
      </c>
      <c r="G466" s="2" t="s">
        <v>883</v>
      </c>
      <c r="H466" s="2" t="s">
        <v>516</v>
      </c>
      <c r="I466" s="2" t="s">
        <v>1092</v>
      </c>
      <c r="J466" s="2" t="s">
        <v>1047</v>
      </c>
      <c r="K466" s="2">
        <v>340.2</v>
      </c>
      <c r="L466" s="2">
        <v>340.2</v>
      </c>
      <c r="M466" s="2">
        <v>13.608000000000001</v>
      </c>
      <c r="N466" s="2">
        <v>14</v>
      </c>
      <c r="O466" s="2">
        <f t="shared" si="7"/>
        <v>100</v>
      </c>
    </row>
    <row r="467" spans="1:15" x14ac:dyDescent="0.3">
      <c r="A467" s="8">
        <v>465</v>
      </c>
      <c r="B467" s="14">
        <v>46204</v>
      </c>
      <c r="C467" s="2" t="s">
        <v>1326</v>
      </c>
      <c r="D467" s="2" t="s">
        <v>14</v>
      </c>
      <c r="E467" s="2" t="s">
        <v>935</v>
      </c>
      <c r="F467" s="2">
        <v>0.1</v>
      </c>
      <c r="G467" s="2" t="s">
        <v>884</v>
      </c>
      <c r="H467" s="2" t="s">
        <v>524</v>
      </c>
      <c r="I467" s="2" t="s">
        <v>1092</v>
      </c>
      <c r="J467" s="2" t="s">
        <v>1047</v>
      </c>
      <c r="K467" s="2">
        <v>219.2</v>
      </c>
      <c r="L467" s="2">
        <v>219.2</v>
      </c>
      <c r="M467" s="2">
        <v>8.7680000000000007</v>
      </c>
      <c r="N467" s="2">
        <v>9</v>
      </c>
      <c r="O467" s="2">
        <f t="shared" si="7"/>
        <v>100</v>
      </c>
    </row>
    <row r="468" spans="1:15" x14ac:dyDescent="0.3">
      <c r="A468" s="8">
        <v>466</v>
      </c>
      <c r="B468" s="14">
        <v>46204</v>
      </c>
      <c r="C468" s="2" t="s">
        <v>1240</v>
      </c>
      <c r="D468" s="2" t="s">
        <v>14</v>
      </c>
      <c r="E468" s="2" t="s">
        <v>935</v>
      </c>
      <c r="F468" s="2">
        <v>0.05</v>
      </c>
      <c r="G468" s="2" t="s">
        <v>885</v>
      </c>
      <c r="H468" s="2" t="s">
        <v>532</v>
      </c>
      <c r="I468" s="2" t="s">
        <v>1095</v>
      </c>
      <c r="J468" s="2" t="s">
        <v>1047</v>
      </c>
      <c r="K468" s="2">
        <v>94.6</v>
      </c>
      <c r="L468" s="2">
        <v>94.6</v>
      </c>
      <c r="M468" s="2">
        <v>3.7839999999999998</v>
      </c>
      <c r="N468" s="2">
        <v>4</v>
      </c>
      <c r="O468" s="2">
        <f t="shared" si="7"/>
        <v>50</v>
      </c>
    </row>
    <row r="469" spans="1:15" x14ac:dyDescent="0.3">
      <c r="A469" s="8">
        <v>467</v>
      </c>
      <c r="B469" s="14">
        <v>46204</v>
      </c>
      <c r="C469" s="2" t="s">
        <v>1239</v>
      </c>
      <c r="D469" s="2" t="s">
        <v>14</v>
      </c>
      <c r="E469" s="2" t="s">
        <v>935</v>
      </c>
      <c r="F469" s="2">
        <v>0.1</v>
      </c>
      <c r="G469" s="2" t="s">
        <v>886</v>
      </c>
      <c r="H469" s="2" t="s">
        <v>542</v>
      </c>
      <c r="I469" s="2" t="s">
        <v>1096</v>
      </c>
      <c r="J469" s="2" t="s">
        <v>1047</v>
      </c>
      <c r="K469" s="2">
        <v>197</v>
      </c>
      <c r="L469" s="2">
        <v>197</v>
      </c>
      <c r="M469" s="2">
        <v>7.88</v>
      </c>
      <c r="N469" s="2">
        <v>8</v>
      </c>
      <c r="O469" s="2">
        <f t="shared" si="7"/>
        <v>100</v>
      </c>
    </row>
    <row r="470" spans="1:15" x14ac:dyDescent="0.3">
      <c r="A470" s="8">
        <v>468</v>
      </c>
      <c r="B470" s="14">
        <v>46204</v>
      </c>
      <c r="C470" s="2" t="s">
        <v>1241</v>
      </c>
      <c r="D470" s="2" t="s">
        <v>14</v>
      </c>
      <c r="E470" s="2" t="s">
        <v>935</v>
      </c>
      <c r="F470" s="2">
        <v>0.05</v>
      </c>
      <c r="G470" s="2" t="s">
        <v>887</v>
      </c>
      <c r="H470" s="2" t="s">
        <v>552</v>
      </c>
      <c r="I470" s="2" t="s">
        <v>1095</v>
      </c>
      <c r="J470" s="2" t="s">
        <v>1047</v>
      </c>
      <c r="K470" s="2">
        <v>84.3</v>
      </c>
      <c r="L470" s="2">
        <v>84.3</v>
      </c>
      <c r="M470" s="2">
        <v>3.3719999999999999</v>
      </c>
      <c r="N470" s="2">
        <v>3</v>
      </c>
      <c r="O470" s="2">
        <f t="shared" si="7"/>
        <v>50</v>
      </c>
    </row>
    <row r="471" spans="1:15" x14ac:dyDescent="0.3">
      <c r="A471" s="8">
        <v>469</v>
      </c>
      <c r="B471" s="14">
        <v>46204</v>
      </c>
      <c r="C471" s="2" t="s">
        <v>1242</v>
      </c>
      <c r="D471" s="2" t="s">
        <v>14</v>
      </c>
      <c r="E471" s="2" t="s">
        <v>935</v>
      </c>
      <c r="F471" s="2">
        <v>0.05</v>
      </c>
      <c r="G471" s="2" t="s">
        <v>888</v>
      </c>
      <c r="H471" s="2" t="s">
        <v>562</v>
      </c>
      <c r="I471" s="2" t="s">
        <v>1095</v>
      </c>
      <c r="J471" s="2" t="s">
        <v>1047</v>
      </c>
      <c r="K471" s="2">
        <v>69</v>
      </c>
      <c r="L471" s="2">
        <v>69</v>
      </c>
      <c r="M471" s="2">
        <v>2.76</v>
      </c>
      <c r="N471" s="2">
        <v>3</v>
      </c>
      <c r="O471" s="2">
        <f t="shared" si="7"/>
        <v>50</v>
      </c>
    </row>
    <row r="472" spans="1:15" x14ac:dyDescent="0.3">
      <c r="A472" s="8">
        <v>470</v>
      </c>
      <c r="B472" s="14">
        <v>46204</v>
      </c>
      <c r="C472" s="2" t="s">
        <v>1243</v>
      </c>
      <c r="D472" s="2" t="s">
        <v>14</v>
      </c>
      <c r="E472" s="2" t="s">
        <v>935</v>
      </c>
      <c r="F472" s="2">
        <v>0.05</v>
      </c>
      <c r="G472" s="2" t="s">
        <v>889</v>
      </c>
      <c r="H472" s="2" t="s">
        <v>572</v>
      </c>
      <c r="I472" s="2" t="s">
        <v>1097</v>
      </c>
      <c r="J472" s="2" t="s">
        <v>1047</v>
      </c>
      <c r="K472" s="2">
        <v>37.549999999999997</v>
      </c>
      <c r="L472" s="2">
        <v>37.549999999999997</v>
      </c>
      <c r="M472" s="2">
        <v>1.502</v>
      </c>
      <c r="N472" s="2">
        <v>2</v>
      </c>
      <c r="O472" s="2">
        <f t="shared" si="7"/>
        <v>50</v>
      </c>
    </row>
    <row r="473" spans="1:15" x14ac:dyDescent="0.3">
      <c r="A473" s="8">
        <v>471</v>
      </c>
      <c r="B473" s="14">
        <v>46204</v>
      </c>
      <c r="C473" s="2" t="s">
        <v>1327</v>
      </c>
      <c r="D473" s="2" t="s">
        <v>14</v>
      </c>
      <c r="E473" s="2" t="s">
        <v>935</v>
      </c>
      <c r="F473" s="2">
        <v>0.05</v>
      </c>
      <c r="G473" s="2" t="s">
        <v>890</v>
      </c>
      <c r="H473" s="2" t="s">
        <v>582</v>
      </c>
      <c r="I473" s="2" t="s">
        <v>1098</v>
      </c>
      <c r="J473" s="2" t="s">
        <v>1047</v>
      </c>
      <c r="K473" s="2">
        <v>58.4</v>
      </c>
      <c r="L473" s="2">
        <v>58.4</v>
      </c>
      <c r="M473" s="2">
        <v>2.3359999999999999</v>
      </c>
      <c r="N473" s="2">
        <v>2</v>
      </c>
      <c r="O473" s="2">
        <f t="shared" si="7"/>
        <v>50</v>
      </c>
    </row>
    <row r="474" spans="1:15" x14ac:dyDescent="0.3">
      <c r="A474" s="8">
        <v>472</v>
      </c>
      <c r="B474" s="14">
        <v>46204</v>
      </c>
      <c r="C474" s="2" t="s">
        <v>1245</v>
      </c>
      <c r="D474" s="2" t="s">
        <v>14</v>
      </c>
      <c r="E474" s="2" t="s">
        <v>935</v>
      </c>
      <c r="F474" s="2">
        <v>0.05</v>
      </c>
      <c r="G474" s="2" t="s">
        <v>1099</v>
      </c>
      <c r="H474" s="2" t="s">
        <v>592</v>
      </c>
      <c r="I474" s="2" t="s">
        <v>1097</v>
      </c>
      <c r="J474" s="2" t="s">
        <v>1047</v>
      </c>
      <c r="K474" s="2">
        <v>7.25</v>
      </c>
      <c r="L474" s="2">
        <v>7.25</v>
      </c>
      <c r="M474" s="2">
        <v>0.28999999999999998</v>
      </c>
      <c r="N474" s="2">
        <v>0</v>
      </c>
      <c r="O474" s="2">
        <f t="shared" si="7"/>
        <v>50</v>
      </c>
    </row>
    <row r="475" spans="1:15" x14ac:dyDescent="0.3">
      <c r="A475" s="8">
        <v>473</v>
      </c>
      <c r="B475" s="14">
        <v>46204</v>
      </c>
      <c r="C475" s="2" t="s">
        <v>1328</v>
      </c>
      <c r="D475" s="2" t="s">
        <v>14</v>
      </c>
      <c r="E475" s="2" t="s">
        <v>935</v>
      </c>
      <c r="F475" s="2">
        <v>0.05</v>
      </c>
      <c r="G475" s="2" t="s">
        <v>1100</v>
      </c>
      <c r="H475" s="2" t="s">
        <v>602</v>
      </c>
      <c r="I475" s="2" t="s">
        <v>1098</v>
      </c>
      <c r="J475" s="2" t="s">
        <v>1047</v>
      </c>
      <c r="K475" s="2">
        <v>77.349999999999994</v>
      </c>
      <c r="L475" s="2">
        <v>77.349999999999994</v>
      </c>
      <c r="M475" s="2">
        <v>3.0939999999999999</v>
      </c>
      <c r="N475" s="2">
        <v>3</v>
      </c>
      <c r="O475" s="2">
        <f t="shared" si="7"/>
        <v>50</v>
      </c>
    </row>
    <row r="476" spans="1:15" x14ac:dyDescent="0.3">
      <c r="A476" s="8">
        <v>474</v>
      </c>
      <c r="B476" s="14">
        <v>46204</v>
      </c>
      <c r="C476" s="2" t="s">
        <v>1329</v>
      </c>
      <c r="D476" s="2" t="s">
        <v>14</v>
      </c>
      <c r="E476" s="2" t="s">
        <v>935</v>
      </c>
      <c r="F476" s="2">
        <v>0.05</v>
      </c>
      <c r="G476" s="2" t="s">
        <v>1101</v>
      </c>
      <c r="H476" s="2" t="s">
        <v>612</v>
      </c>
      <c r="I476" s="2" t="s">
        <v>1102</v>
      </c>
      <c r="J476" s="2" t="s">
        <v>1047</v>
      </c>
      <c r="K476" s="2">
        <v>158.55000000000001</v>
      </c>
      <c r="L476" s="2">
        <v>158.55000000000001</v>
      </c>
      <c r="M476" s="2">
        <v>6.3419999999999996</v>
      </c>
      <c r="N476" s="2">
        <v>6</v>
      </c>
      <c r="O476" s="2">
        <f t="shared" si="7"/>
        <v>50</v>
      </c>
    </row>
    <row r="477" spans="1:15" x14ac:dyDescent="0.3">
      <c r="A477" s="8">
        <v>475</v>
      </c>
      <c r="B477" s="14">
        <v>46204</v>
      </c>
      <c r="C477" s="2" t="s">
        <v>1330</v>
      </c>
      <c r="D477" s="2" t="s">
        <v>14</v>
      </c>
      <c r="E477" s="2" t="s">
        <v>935</v>
      </c>
      <c r="F477" s="2">
        <v>0.05</v>
      </c>
      <c r="G477" s="2" t="s">
        <v>906</v>
      </c>
      <c r="H477" s="2" t="s">
        <v>622</v>
      </c>
      <c r="I477" s="2" t="s">
        <v>1102</v>
      </c>
      <c r="J477" s="2" t="s">
        <v>1047</v>
      </c>
      <c r="K477" s="2">
        <v>147.5</v>
      </c>
      <c r="L477" s="2">
        <v>147.5</v>
      </c>
      <c r="M477" s="2">
        <v>5.9</v>
      </c>
      <c r="N477" s="2">
        <v>6</v>
      </c>
      <c r="O477" s="2">
        <f t="shared" si="7"/>
        <v>50</v>
      </c>
    </row>
    <row r="478" spans="1:15" x14ac:dyDescent="0.3">
      <c r="A478" s="8">
        <v>476</v>
      </c>
      <c r="B478" s="14">
        <v>46204</v>
      </c>
      <c r="C478" s="2" t="s">
        <v>1331</v>
      </c>
      <c r="D478" s="2" t="s">
        <v>14</v>
      </c>
      <c r="E478" s="2" t="s">
        <v>935</v>
      </c>
      <c r="F478" s="2">
        <v>0.1</v>
      </c>
      <c r="G478" s="2" t="s">
        <v>907</v>
      </c>
      <c r="H478" s="2" t="s">
        <v>632</v>
      </c>
      <c r="I478" s="2" t="s">
        <v>1103</v>
      </c>
      <c r="J478" s="2" t="s">
        <v>1047</v>
      </c>
      <c r="K478" s="2">
        <v>244.9</v>
      </c>
      <c r="L478" s="2">
        <v>244.9</v>
      </c>
      <c r="M478" s="2">
        <v>9.7959999999999994</v>
      </c>
      <c r="N478" s="2">
        <v>10</v>
      </c>
      <c r="O478" s="2">
        <f t="shared" si="7"/>
        <v>100</v>
      </c>
    </row>
    <row r="479" spans="1:15" x14ac:dyDescent="0.3">
      <c r="A479" s="8">
        <v>477</v>
      </c>
      <c r="B479" s="14">
        <v>46204</v>
      </c>
      <c r="C479" s="2" t="s">
        <v>1332</v>
      </c>
      <c r="D479" s="2" t="s">
        <v>14</v>
      </c>
      <c r="E479" s="2" t="s">
        <v>935</v>
      </c>
      <c r="F479" s="2">
        <v>0.1</v>
      </c>
      <c r="G479" s="2" t="s">
        <v>908</v>
      </c>
      <c r="H479" s="2" t="s">
        <v>642</v>
      </c>
      <c r="I479" s="2" t="s">
        <v>1103</v>
      </c>
      <c r="J479" s="2" t="s">
        <v>1047</v>
      </c>
      <c r="K479" s="2">
        <v>201.4</v>
      </c>
      <c r="L479" s="2">
        <v>201.4</v>
      </c>
      <c r="M479" s="2">
        <v>8.0559999999999992</v>
      </c>
      <c r="N479" s="2">
        <v>8</v>
      </c>
      <c r="O479" s="2">
        <f t="shared" si="7"/>
        <v>100</v>
      </c>
    </row>
    <row r="480" spans="1:15" x14ac:dyDescent="0.3">
      <c r="A480" s="8">
        <v>478</v>
      </c>
      <c r="B480" s="14">
        <v>46204</v>
      </c>
      <c r="C480" s="2" t="s">
        <v>1333</v>
      </c>
      <c r="D480" s="2" t="s">
        <v>14</v>
      </c>
      <c r="E480" s="2" t="s">
        <v>935</v>
      </c>
      <c r="F480" s="2">
        <v>0.1</v>
      </c>
      <c r="G480" s="2" t="s">
        <v>909</v>
      </c>
      <c r="H480" s="2" t="s">
        <v>652</v>
      </c>
      <c r="I480" s="2" t="s">
        <v>1104</v>
      </c>
      <c r="J480" s="2" t="s">
        <v>1047</v>
      </c>
      <c r="K480" s="2">
        <v>303.7</v>
      </c>
      <c r="L480" s="2">
        <v>303.7</v>
      </c>
      <c r="M480" s="2">
        <v>12.148</v>
      </c>
      <c r="N480" s="2">
        <v>12</v>
      </c>
      <c r="O480" s="2">
        <f t="shared" si="7"/>
        <v>100</v>
      </c>
    </row>
    <row r="481" spans="1:15" x14ac:dyDescent="0.3">
      <c r="A481" s="8">
        <v>479</v>
      </c>
      <c r="B481" s="14">
        <v>46204</v>
      </c>
      <c r="C481" s="2" t="s">
        <v>1334</v>
      </c>
      <c r="D481" s="2" t="s">
        <v>14</v>
      </c>
      <c r="E481" s="2" t="s">
        <v>935</v>
      </c>
      <c r="F481" s="2">
        <v>0.1</v>
      </c>
      <c r="G481" s="2" t="s">
        <v>910</v>
      </c>
      <c r="H481" s="2" t="s">
        <v>660</v>
      </c>
      <c r="I481" s="2" t="s">
        <v>1103</v>
      </c>
      <c r="J481" s="2" t="s">
        <v>1047</v>
      </c>
      <c r="K481" s="2">
        <v>289.8</v>
      </c>
      <c r="L481" s="2">
        <v>289.8</v>
      </c>
      <c r="M481" s="2">
        <v>11.592000000000001</v>
      </c>
      <c r="N481" s="2">
        <v>12</v>
      </c>
      <c r="O481" s="2">
        <f t="shared" si="7"/>
        <v>100</v>
      </c>
    </row>
    <row r="482" spans="1:15" x14ac:dyDescent="0.3">
      <c r="A482" s="8">
        <v>480</v>
      </c>
      <c r="B482" s="14">
        <v>46204</v>
      </c>
      <c r="C482" s="2" t="s">
        <v>1335</v>
      </c>
      <c r="D482" s="2" t="s">
        <v>14</v>
      </c>
      <c r="E482" s="2" t="s">
        <v>935</v>
      </c>
      <c r="F482" s="2">
        <v>0.1</v>
      </c>
      <c r="G482" s="2" t="s">
        <v>911</v>
      </c>
      <c r="H482" s="2" t="s">
        <v>670</v>
      </c>
      <c r="I482" s="2" t="s">
        <v>1103</v>
      </c>
      <c r="J482" s="2" t="s">
        <v>1047</v>
      </c>
      <c r="K482" s="2">
        <v>236.4</v>
      </c>
      <c r="L482" s="2">
        <v>236.4</v>
      </c>
      <c r="M482" s="2">
        <v>9.4559999999999995</v>
      </c>
      <c r="N482" s="2">
        <v>9</v>
      </c>
      <c r="O482" s="2">
        <f t="shared" si="7"/>
        <v>100</v>
      </c>
    </row>
    <row r="483" spans="1:15" x14ac:dyDescent="0.3">
      <c r="A483" s="8">
        <v>481</v>
      </c>
      <c r="B483" s="14">
        <v>46204</v>
      </c>
      <c r="C483" s="2" t="s">
        <v>1336</v>
      </c>
      <c r="D483" s="2" t="s">
        <v>14</v>
      </c>
      <c r="E483" s="2" t="s">
        <v>935</v>
      </c>
      <c r="F483" s="2">
        <v>0.1</v>
      </c>
      <c r="G483" s="2" t="s">
        <v>912</v>
      </c>
      <c r="H483" s="2" t="s">
        <v>680</v>
      </c>
      <c r="I483" s="2" t="s">
        <v>1105</v>
      </c>
      <c r="J483" s="2" t="s">
        <v>1047</v>
      </c>
      <c r="K483" s="2">
        <v>21.3</v>
      </c>
      <c r="L483" s="2">
        <v>21.3</v>
      </c>
      <c r="M483" s="2">
        <v>0.85199999999999998</v>
      </c>
      <c r="N483" s="2">
        <v>1</v>
      </c>
      <c r="O483" s="2">
        <f t="shared" si="7"/>
        <v>100</v>
      </c>
    </row>
    <row r="484" spans="1:15" x14ac:dyDescent="0.3">
      <c r="A484" s="8">
        <v>482</v>
      </c>
      <c r="B484" s="14">
        <v>46204</v>
      </c>
      <c r="C484" s="2" t="s">
        <v>1337</v>
      </c>
      <c r="D484" s="2" t="s">
        <v>14</v>
      </c>
      <c r="E484" s="2" t="s">
        <v>935</v>
      </c>
      <c r="F484" s="2">
        <v>0.1</v>
      </c>
      <c r="G484" s="2" t="s">
        <v>913</v>
      </c>
      <c r="H484" s="2" t="s">
        <v>688</v>
      </c>
      <c r="I484" s="2" t="s">
        <v>1106</v>
      </c>
      <c r="J484" s="2" t="s">
        <v>1047</v>
      </c>
      <c r="K484" s="2">
        <v>281.60000000000002</v>
      </c>
      <c r="L484" s="2">
        <v>281.60000000000002</v>
      </c>
      <c r="M484" s="2">
        <v>11.263999999999999</v>
      </c>
      <c r="N484" s="2">
        <v>11</v>
      </c>
      <c r="O484" s="2">
        <f t="shared" si="7"/>
        <v>100</v>
      </c>
    </row>
    <row r="485" spans="1:15" x14ac:dyDescent="0.3">
      <c r="A485" s="8">
        <v>483</v>
      </c>
      <c r="B485" s="14">
        <v>46204</v>
      </c>
      <c r="C485" s="2" t="s">
        <v>1338</v>
      </c>
      <c r="D485" s="2" t="s">
        <v>14</v>
      </c>
      <c r="E485" s="2" t="s">
        <v>935</v>
      </c>
      <c r="F485" s="2">
        <v>0.1</v>
      </c>
      <c r="G485" s="2" t="s">
        <v>914</v>
      </c>
      <c r="H485" s="2" t="s">
        <v>696</v>
      </c>
      <c r="I485" s="2" t="s">
        <v>1106</v>
      </c>
      <c r="J485" s="2" t="s">
        <v>1047</v>
      </c>
      <c r="K485" s="2">
        <v>293.39999999999998</v>
      </c>
      <c r="L485" s="2">
        <v>293.39999999999998</v>
      </c>
      <c r="M485" s="2">
        <v>11.736000000000001</v>
      </c>
      <c r="N485" s="2">
        <v>12</v>
      </c>
      <c r="O485" s="2">
        <f t="shared" si="7"/>
        <v>100</v>
      </c>
    </row>
    <row r="486" spans="1:15" x14ac:dyDescent="0.3">
      <c r="A486" s="8">
        <v>484</v>
      </c>
      <c r="B486" s="14">
        <v>46204</v>
      </c>
      <c r="C486" s="2" t="s">
        <v>1339</v>
      </c>
      <c r="D486" s="2" t="s">
        <v>14</v>
      </c>
      <c r="E486" s="2" t="s">
        <v>935</v>
      </c>
      <c r="F486" s="2">
        <v>0.1</v>
      </c>
      <c r="G486" s="2" t="s">
        <v>915</v>
      </c>
      <c r="H486" s="2" t="s">
        <v>704</v>
      </c>
      <c r="I486" s="2" t="s">
        <v>1107</v>
      </c>
      <c r="J486" s="2" t="s">
        <v>1047</v>
      </c>
      <c r="K486" s="2">
        <v>287.2</v>
      </c>
      <c r="L486" s="2">
        <v>287.2</v>
      </c>
      <c r="M486" s="2">
        <v>11.488</v>
      </c>
      <c r="N486" s="2">
        <v>11</v>
      </c>
      <c r="O486" s="2">
        <f t="shared" si="7"/>
        <v>100</v>
      </c>
    </row>
    <row r="487" spans="1:15" x14ac:dyDescent="0.3">
      <c r="A487" s="8">
        <v>485</v>
      </c>
      <c r="B487" s="14">
        <v>46204</v>
      </c>
      <c r="C487" s="2" t="s">
        <v>1173</v>
      </c>
      <c r="D487" s="2" t="s">
        <v>14</v>
      </c>
      <c r="E487" s="2" t="s">
        <v>935</v>
      </c>
      <c r="F487" s="2">
        <v>0.1</v>
      </c>
      <c r="G487" s="2" t="s">
        <v>916</v>
      </c>
      <c r="H487" s="2" t="s">
        <v>711</v>
      </c>
      <c r="I487" s="2" t="s">
        <v>1108</v>
      </c>
      <c r="J487" s="2" t="s">
        <v>1047</v>
      </c>
      <c r="K487" s="2">
        <v>6.1</v>
      </c>
      <c r="L487" s="2">
        <v>6.1</v>
      </c>
      <c r="M487" s="2">
        <v>0.24399999999999999</v>
      </c>
      <c r="N487" s="2">
        <v>0</v>
      </c>
      <c r="O487" s="2">
        <f t="shared" si="7"/>
        <v>100</v>
      </c>
    </row>
    <row r="488" spans="1:15" x14ac:dyDescent="0.3">
      <c r="A488" s="8">
        <v>486</v>
      </c>
      <c r="B488" s="14">
        <v>46204</v>
      </c>
      <c r="C488" s="2" t="s">
        <v>1340</v>
      </c>
      <c r="D488" s="2" t="s">
        <v>14</v>
      </c>
      <c r="E488" s="2" t="s">
        <v>935</v>
      </c>
      <c r="F488" s="2">
        <v>0.1</v>
      </c>
      <c r="G488" s="2" t="s">
        <v>917</v>
      </c>
      <c r="H488" s="2" t="s">
        <v>721</v>
      </c>
      <c r="I488" s="2" t="s">
        <v>1106</v>
      </c>
      <c r="J488" s="2" t="s">
        <v>1047</v>
      </c>
      <c r="K488" s="2">
        <v>290.3</v>
      </c>
      <c r="L488" s="2">
        <v>290.3</v>
      </c>
      <c r="M488" s="2">
        <v>11.612</v>
      </c>
      <c r="N488" s="2">
        <v>12</v>
      </c>
      <c r="O488" s="2">
        <f t="shared" si="7"/>
        <v>100</v>
      </c>
    </row>
    <row r="489" spans="1:15" x14ac:dyDescent="0.3">
      <c r="A489" s="8">
        <v>487</v>
      </c>
      <c r="B489" s="14">
        <v>46204</v>
      </c>
      <c r="C489" s="2" t="s">
        <v>1341</v>
      </c>
      <c r="D489" s="2" t="s">
        <v>14</v>
      </c>
      <c r="E489" s="2" t="s">
        <v>935</v>
      </c>
      <c r="F489" s="2">
        <v>0.1</v>
      </c>
      <c r="G489" s="2" t="s">
        <v>918</v>
      </c>
      <c r="H489" s="2" t="s">
        <v>729</v>
      </c>
      <c r="I489" s="2" t="s">
        <v>1107</v>
      </c>
      <c r="J489" s="2" t="s">
        <v>1047</v>
      </c>
      <c r="K489" s="2">
        <v>303</v>
      </c>
      <c r="L489" s="2">
        <v>303</v>
      </c>
      <c r="M489" s="2">
        <v>12.12</v>
      </c>
      <c r="N489" s="2">
        <v>12</v>
      </c>
      <c r="O489" s="2">
        <f t="shared" si="7"/>
        <v>100</v>
      </c>
    </row>
    <row r="490" spans="1:15" x14ac:dyDescent="0.3">
      <c r="A490" s="8">
        <v>488</v>
      </c>
      <c r="B490" s="14">
        <v>46204</v>
      </c>
      <c r="C490" s="2" t="s">
        <v>1342</v>
      </c>
      <c r="D490" s="2" t="s">
        <v>14</v>
      </c>
      <c r="E490" s="2" t="s">
        <v>935</v>
      </c>
      <c r="F490" s="2">
        <v>0.1</v>
      </c>
      <c r="G490" s="2" t="s">
        <v>919</v>
      </c>
      <c r="H490" s="2" t="s">
        <v>737</v>
      </c>
      <c r="I490" s="2" t="s">
        <v>1106</v>
      </c>
      <c r="J490" s="2" t="s">
        <v>1047</v>
      </c>
      <c r="K490" s="2">
        <v>286.39999999999998</v>
      </c>
      <c r="L490" s="2">
        <v>286.39999999999998</v>
      </c>
      <c r="M490" s="2">
        <v>11.456</v>
      </c>
      <c r="N490" s="2">
        <v>11</v>
      </c>
      <c r="O490" s="2">
        <f t="shared" si="7"/>
        <v>100</v>
      </c>
    </row>
    <row r="491" spans="1:15" x14ac:dyDescent="0.3">
      <c r="A491" s="8">
        <v>489</v>
      </c>
      <c r="B491" s="14">
        <v>46204</v>
      </c>
      <c r="C491" s="2" t="s">
        <v>1343</v>
      </c>
      <c r="D491" s="2" t="s">
        <v>14</v>
      </c>
      <c r="E491" s="2" t="s">
        <v>935</v>
      </c>
      <c r="F491" s="2">
        <v>0.1</v>
      </c>
      <c r="G491" s="2" t="s">
        <v>920</v>
      </c>
      <c r="H491" s="2" t="s">
        <v>745</v>
      </c>
      <c r="I491" s="2" t="s">
        <v>1107</v>
      </c>
      <c r="J491" s="2" t="s">
        <v>1047</v>
      </c>
      <c r="K491" s="2">
        <v>11.2</v>
      </c>
      <c r="L491" s="2">
        <v>11.2</v>
      </c>
      <c r="M491" s="2">
        <v>0.44800000000000001</v>
      </c>
      <c r="N491" s="2">
        <v>0</v>
      </c>
      <c r="O491" s="2">
        <f t="shared" si="7"/>
        <v>100</v>
      </c>
    </row>
    <row r="492" spans="1:15" x14ac:dyDescent="0.3">
      <c r="A492" s="8">
        <v>490</v>
      </c>
      <c r="B492" s="14">
        <v>46204</v>
      </c>
      <c r="C492" s="2" t="s">
        <v>1344</v>
      </c>
      <c r="D492" s="2" t="s">
        <v>14</v>
      </c>
      <c r="E492" s="2" t="s">
        <v>935</v>
      </c>
      <c r="F492" s="2">
        <v>0.1</v>
      </c>
      <c r="G492" s="2" t="s">
        <v>921</v>
      </c>
      <c r="H492" s="2" t="s">
        <v>753</v>
      </c>
      <c r="I492" s="2" t="s">
        <v>1106</v>
      </c>
      <c r="J492" s="2" t="s">
        <v>1047</v>
      </c>
      <c r="K492" s="2">
        <v>282.5</v>
      </c>
      <c r="L492" s="2">
        <v>282.5</v>
      </c>
      <c r="M492" s="2">
        <v>11.3</v>
      </c>
      <c r="N492" s="2">
        <v>11</v>
      </c>
      <c r="O492" s="2">
        <f t="shared" si="7"/>
        <v>100</v>
      </c>
    </row>
    <row r="493" spans="1:15" x14ac:dyDescent="0.3">
      <c r="A493" s="8">
        <v>491</v>
      </c>
      <c r="B493" s="14">
        <v>46204</v>
      </c>
      <c r="C493" s="2" t="s">
        <v>1345</v>
      </c>
      <c r="D493" s="2" t="s">
        <v>14</v>
      </c>
      <c r="E493" s="2" t="s">
        <v>935</v>
      </c>
      <c r="F493" s="2">
        <v>0.1</v>
      </c>
      <c r="G493" s="2" t="s">
        <v>922</v>
      </c>
      <c r="H493" s="2" t="s">
        <v>761</v>
      </c>
      <c r="I493" s="2" t="s">
        <v>1106</v>
      </c>
      <c r="J493" s="2" t="s">
        <v>1047</v>
      </c>
      <c r="K493" s="2">
        <v>284.3</v>
      </c>
      <c r="L493" s="2">
        <v>284.3</v>
      </c>
      <c r="M493" s="2">
        <v>11.372</v>
      </c>
      <c r="N493" s="2">
        <v>11</v>
      </c>
      <c r="O493" s="2">
        <f t="shared" si="7"/>
        <v>100</v>
      </c>
    </row>
    <row r="494" spans="1:15" x14ac:dyDescent="0.3">
      <c r="A494" s="8">
        <v>492</v>
      </c>
      <c r="B494" s="14">
        <v>46204</v>
      </c>
      <c r="C494" s="2" t="s">
        <v>1174</v>
      </c>
      <c r="D494" s="2" t="s">
        <v>14</v>
      </c>
      <c r="E494" s="2" t="s">
        <v>935</v>
      </c>
      <c r="F494" s="2">
        <v>0.1</v>
      </c>
      <c r="G494" s="2" t="s">
        <v>923</v>
      </c>
      <c r="H494" s="2" t="s">
        <v>768</v>
      </c>
      <c r="I494" s="2" t="s">
        <v>1108</v>
      </c>
      <c r="J494" s="2" t="s">
        <v>1047</v>
      </c>
      <c r="K494" s="2">
        <v>17.100000000000001</v>
      </c>
      <c r="L494" s="2">
        <v>17.100000000000001</v>
      </c>
      <c r="M494" s="2">
        <v>0.68400000000000005</v>
      </c>
      <c r="N494" s="2">
        <v>1</v>
      </c>
      <c r="O494" s="2">
        <f t="shared" si="7"/>
        <v>100</v>
      </c>
    </row>
    <row r="495" spans="1:15" x14ac:dyDescent="0.3">
      <c r="A495" s="8">
        <v>493</v>
      </c>
      <c r="B495" s="14">
        <v>46204</v>
      </c>
      <c r="C495" s="2" t="s">
        <v>1346</v>
      </c>
      <c r="D495" s="2" t="s">
        <v>14</v>
      </c>
      <c r="E495" s="2" t="s">
        <v>935</v>
      </c>
      <c r="F495" s="2">
        <v>0.1</v>
      </c>
      <c r="G495" s="2" t="s">
        <v>924</v>
      </c>
      <c r="H495" s="2" t="s">
        <v>778</v>
      </c>
      <c r="I495" s="2" t="s">
        <v>1106</v>
      </c>
      <c r="J495" s="2" t="s">
        <v>1047</v>
      </c>
      <c r="K495" s="2">
        <v>319.89999999999998</v>
      </c>
      <c r="L495" s="2">
        <v>319.89999999999998</v>
      </c>
      <c r="M495" s="2">
        <v>12.795999999999999</v>
      </c>
      <c r="N495" s="2">
        <v>13</v>
      </c>
      <c r="O495" s="2">
        <f t="shared" si="7"/>
        <v>100</v>
      </c>
    </row>
    <row r="496" spans="1:15" x14ac:dyDescent="0.3">
      <c r="A496" s="8">
        <v>494</v>
      </c>
      <c r="B496" s="14">
        <v>46204</v>
      </c>
      <c r="C496" s="2" t="s">
        <v>1267</v>
      </c>
      <c r="D496" s="2" t="s">
        <v>14</v>
      </c>
      <c r="E496" s="2" t="s">
        <v>935</v>
      </c>
      <c r="F496" s="2">
        <v>0.1</v>
      </c>
      <c r="G496" s="2" t="s">
        <v>925</v>
      </c>
      <c r="H496" s="2" t="s">
        <v>786</v>
      </c>
      <c r="I496" s="2" t="s">
        <v>1107</v>
      </c>
      <c r="J496" s="2" t="s">
        <v>1047</v>
      </c>
      <c r="K496" s="2">
        <v>283.3</v>
      </c>
      <c r="L496" s="2">
        <v>283.3</v>
      </c>
      <c r="M496" s="2">
        <v>11.332000000000001</v>
      </c>
      <c r="N496" s="2">
        <v>11</v>
      </c>
      <c r="O496" s="2">
        <f t="shared" si="7"/>
        <v>100</v>
      </c>
    </row>
    <row r="497" spans="1:15" x14ac:dyDescent="0.3">
      <c r="A497" s="8">
        <v>495</v>
      </c>
      <c r="B497" s="14">
        <v>46204</v>
      </c>
      <c r="C497" s="2" t="s">
        <v>1347</v>
      </c>
      <c r="D497" s="2" t="s">
        <v>14</v>
      </c>
      <c r="E497" s="2" t="s">
        <v>935</v>
      </c>
      <c r="F497" s="2">
        <v>0.1</v>
      </c>
      <c r="G497" s="2" t="s">
        <v>926</v>
      </c>
      <c r="H497" s="2" t="s">
        <v>794</v>
      </c>
      <c r="I497" s="2" t="s">
        <v>1106</v>
      </c>
      <c r="J497" s="2" t="s">
        <v>1047</v>
      </c>
      <c r="K497" s="2">
        <v>301.5</v>
      </c>
      <c r="L497" s="2">
        <v>301.5</v>
      </c>
      <c r="M497" s="2">
        <v>12.06</v>
      </c>
      <c r="N497" s="2">
        <v>12</v>
      </c>
      <c r="O497" s="2">
        <f t="shared" si="7"/>
        <v>100</v>
      </c>
    </row>
    <row r="498" spans="1:15" x14ac:dyDescent="0.3">
      <c r="A498" s="8">
        <v>496</v>
      </c>
      <c r="B498" s="14">
        <v>46204</v>
      </c>
      <c r="C498" s="2" t="s">
        <v>1175</v>
      </c>
      <c r="D498" s="2" t="s">
        <v>14</v>
      </c>
      <c r="E498" s="2" t="s">
        <v>935</v>
      </c>
      <c r="F498" s="2">
        <v>0.1</v>
      </c>
      <c r="G498" s="2" t="s">
        <v>927</v>
      </c>
      <c r="H498" s="2" t="s">
        <v>801</v>
      </c>
      <c r="I498" s="2" t="s">
        <v>1108</v>
      </c>
      <c r="J498" s="2" t="s">
        <v>1047</v>
      </c>
      <c r="K498" s="2">
        <v>24.1</v>
      </c>
      <c r="L498" s="2">
        <v>24.1</v>
      </c>
      <c r="M498" s="2">
        <v>0.96399999999999997</v>
      </c>
      <c r="N498" s="2">
        <v>1</v>
      </c>
      <c r="O498" s="2">
        <f t="shared" si="7"/>
        <v>100</v>
      </c>
    </row>
    <row r="499" spans="1:15" x14ac:dyDescent="0.3">
      <c r="A499" s="8">
        <v>497</v>
      </c>
      <c r="B499" s="14">
        <v>46204</v>
      </c>
      <c r="C499" s="2" t="s">
        <v>1348</v>
      </c>
      <c r="D499" s="2" t="s">
        <v>14</v>
      </c>
      <c r="E499" s="2" t="s">
        <v>935</v>
      </c>
      <c r="F499" s="2">
        <v>0.1</v>
      </c>
      <c r="G499" s="2" t="s">
        <v>928</v>
      </c>
      <c r="H499" s="2" t="s">
        <v>811</v>
      </c>
      <c r="I499" s="2" t="s">
        <v>1104</v>
      </c>
      <c r="J499" s="2" t="s">
        <v>1047</v>
      </c>
      <c r="K499" s="2">
        <v>84.2</v>
      </c>
      <c r="L499" s="2">
        <v>84.2</v>
      </c>
      <c r="M499" s="2">
        <v>3.3679999999999999</v>
      </c>
      <c r="N499" s="2">
        <v>3</v>
      </c>
      <c r="O499" s="2">
        <f t="shared" si="7"/>
        <v>100</v>
      </c>
    </row>
    <row r="500" spans="1:15" x14ac:dyDescent="0.3">
      <c r="A500" s="8">
        <v>498</v>
      </c>
      <c r="B500" s="14">
        <v>46204</v>
      </c>
      <c r="C500" s="2" t="s">
        <v>1349</v>
      </c>
      <c r="D500" s="2" t="s">
        <v>14</v>
      </c>
      <c r="E500" s="2" t="s">
        <v>935</v>
      </c>
      <c r="F500" s="2">
        <v>0.1</v>
      </c>
      <c r="G500" s="2" t="s">
        <v>929</v>
      </c>
      <c r="H500" s="2" t="s">
        <v>819</v>
      </c>
      <c r="I500" s="2" t="s">
        <v>1104</v>
      </c>
      <c r="J500" s="2" t="s">
        <v>1047</v>
      </c>
      <c r="K500" s="2">
        <v>84.4</v>
      </c>
      <c r="L500" s="2">
        <v>84.4</v>
      </c>
      <c r="M500" s="2">
        <v>3.3759999999999999</v>
      </c>
      <c r="N500" s="2">
        <v>3</v>
      </c>
      <c r="O500" s="2">
        <f t="shared" si="7"/>
        <v>100</v>
      </c>
    </row>
    <row r="501" spans="1:15" x14ac:dyDescent="0.3">
      <c r="A501" s="8">
        <v>499</v>
      </c>
      <c r="B501" s="14">
        <v>46204</v>
      </c>
      <c r="C501" s="2" t="s">
        <v>1350</v>
      </c>
      <c r="D501" s="2" t="s">
        <v>14</v>
      </c>
      <c r="E501" s="2" t="s">
        <v>935</v>
      </c>
      <c r="F501" s="2">
        <v>0.1</v>
      </c>
      <c r="G501" s="2" t="s">
        <v>930</v>
      </c>
      <c r="H501" s="2" t="s">
        <v>827</v>
      </c>
      <c r="I501" s="2" t="s">
        <v>1107</v>
      </c>
      <c r="J501" s="2" t="s">
        <v>1047</v>
      </c>
      <c r="K501" s="2">
        <v>9.1999999999999993</v>
      </c>
      <c r="L501" s="2">
        <v>9.1999999999999993</v>
      </c>
      <c r="M501" s="2">
        <v>0.36799999999999999</v>
      </c>
      <c r="N501" s="2">
        <v>0</v>
      </c>
      <c r="O501" s="2">
        <f t="shared" si="7"/>
        <v>100</v>
      </c>
    </row>
    <row r="502" spans="1:15" x14ac:dyDescent="0.3">
      <c r="A502" s="8">
        <v>500</v>
      </c>
      <c r="B502" s="14">
        <v>46204</v>
      </c>
      <c r="C502" s="2" t="s">
        <v>1351</v>
      </c>
      <c r="D502" s="2" t="s">
        <v>14</v>
      </c>
      <c r="E502" s="2" t="s">
        <v>935</v>
      </c>
      <c r="F502" s="2">
        <v>0.1</v>
      </c>
      <c r="G502" s="2" t="s">
        <v>931</v>
      </c>
      <c r="H502" s="2" t="s">
        <v>835</v>
      </c>
      <c r="I502" s="2" t="s">
        <v>1106</v>
      </c>
      <c r="J502" s="2" t="s">
        <v>1047</v>
      </c>
      <c r="K502" s="2">
        <v>140.30000000000001</v>
      </c>
      <c r="L502" s="2">
        <v>140.30000000000001</v>
      </c>
      <c r="M502" s="2">
        <v>5.6120000000000001</v>
      </c>
      <c r="N502" s="2">
        <v>6</v>
      </c>
      <c r="O502" s="2">
        <f t="shared" si="7"/>
        <v>100</v>
      </c>
    </row>
    <row r="503" spans="1:15" x14ac:dyDescent="0.3">
      <c r="A503" s="8">
        <v>501</v>
      </c>
      <c r="B503" s="14">
        <v>46204</v>
      </c>
      <c r="C503" s="2" t="s">
        <v>1176</v>
      </c>
      <c r="D503" s="2" t="s">
        <v>14</v>
      </c>
      <c r="E503" s="2" t="s">
        <v>935</v>
      </c>
      <c r="F503" s="2">
        <v>0.1</v>
      </c>
      <c r="G503" s="2" t="s">
        <v>932</v>
      </c>
      <c r="H503" s="2" t="s">
        <v>842</v>
      </c>
      <c r="I503" s="2" t="s">
        <v>1109</v>
      </c>
      <c r="J503" s="2" t="s">
        <v>1047</v>
      </c>
      <c r="K503" s="2">
        <v>307</v>
      </c>
      <c r="L503" s="2">
        <v>307</v>
      </c>
      <c r="M503" s="2">
        <v>12.28</v>
      </c>
      <c r="N503" s="2">
        <v>12</v>
      </c>
      <c r="O503" s="2">
        <f t="shared" si="7"/>
        <v>100</v>
      </c>
    </row>
    <row r="504" spans="1:15" x14ac:dyDescent="0.3">
      <c r="A504" s="8">
        <v>502</v>
      </c>
      <c r="B504" s="14">
        <v>46204</v>
      </c>
      <c r="C504" s="2" t="s">
        <v>1177</v>
      </c>
      <c r="D504" s="2" t="s">
        <v>14</v>
      </c>
      <c r="E504" s="2" t="s">
        <v>935</v>
      </c>
      <c r="F504" s="2">
        <v>0.1</v>
      </c>
      <c r="G504" s="2" t="s">
        <v>933</v>
      </c>
      <c r="H504" s="2" t="s">
        <v>851</v>
      </c>
      <c r="I504" s="2" t="s">
        <v>1109</v>
      </c>
      <c r="J504" s="2" t="s">
        <v>1047</v>
      </c>
      <c r="K504" s="2">
        <v>327</v>
      </c>
      <c r="L504" s="2">
        <v>327</v>
      </c>
      <c r="M504" s="2">
        <v>13.08</v>
      </c>
      <c r="N504" s="2">
        <v>13</v>
      </c>
      <c r="O504" s="2">
        <f t="shared" si="7"/>
        <v>100</v>
      </c>
    </row>
    <row r="505" spans="1:15" x14ac:dyDescent="0.3">
      <c r="A505" s="8">
        <v>503</v>
      </c>
      <c r="B505" s="14">
        <v>46235</v>
      </c>
      <c r="C505" s="2" t="s">
        <v>1269</v>
      </c>
      <c r="D505" s="2" t="s">
        <v>10</v>
      </c>
      <c r="E505" s="2" t="s">
        <v>935</v>
      </c>
      <c r="F505" s="2">
        <v>1.75</v>
      </c>
      <c r="G505" s="2" t="s">
        <v>1045</v>
      </c>
      <c r="H505" s="2" t="s">
        <v>16</v>
      </c>
      <c r="I505" s="2" t="s">
        <v>1046</v>
      </c>
      <c r="J505" s="2" t="s">
        <v>1110</v>
      </c>
      <c r="K505" s="2">
        <v>3412.5</v>
      </c>
      <c r="L505" s="2">
        <v>3412.5</v>
      </c>
      <c r="M505" s="2">
        <v>68.25</v>
      </c>
      <c r="N505" s="2">
        <v>68</v>
      </c>
      <c r="O505" s="2">
        <f t="shared" si="7"/>
        <v>1750</v>
      </c>
    </row>
    <row r="506" spans="1:15" x14ac:dyDescent="0.3">
      <c r="A506" s="8">
        <v>504</v>
      </c>
      <c r="B506" s="14">
        <v>46235</v>
      </c>
      <c r="C506" s="2" t="s">
        <v>1282</v>
      </c>
      <c r="D506" s="2" t="s">
        <v>10</v>
      </c>
      <c r="E506" s="2" t="s">
        <v>935</v>
      </c>
      <c r="F506" s="2">
        <v>1.75</v>
      </c>
      <c r="G506" s="2" t="s">
        <v>1048</v>
      </c>
      <c r="H506" s="2" t="s">
        <v>938</v>
      </c>
      <c r="I506" s="2" t="s">
        <v>1049</v>
      </c>
      <c r="J506" s="2" t="s">
        <v>1110</v>
      </c>
      <c r="K506" s="2">
        <v>934.5</v>
      </c>
      <c r="L506" s="2">
        <v>934.5</v>
      </c>
      <c r="M506" s="2">
        <v>18.690000000000001</v>
      </c>
      <c r="N506" s="2">
        <v>19</v>
      </c>
      <c r="O506" s="2">
        <f t="shared" si="7"/>
        <v>1750</v>
      </c>
    </row>
    <row r="507" spans="1:15" x14ac:dyDescent="0.3">
      <c r="A507" s="8">
        <v>505</v>
      </c>
      <c r="B507" s="14">
        <v>46235</v>
      </c>
      <c r="C507" s="2" t="s">
        <v>1270</v>
      </c>
      <c r="D507" s="2" t="s">
        <v>10</v>
      </c>
      <c r="E507" s="2" t="s">
        <v>935</v>
      </c>
      <c r="F507" s="2">
        <v>1.75</v>
      </c>
      <c r="G507" s="2" t="s">
        <v>1050</v>
      </c>
      <c r="H507" s="2" t="s">
        <v>25</v>
      </c>
      <c r="I507" s="2" t="s">
        <v>1046</v>
      </c>
      <c r="J507" s="2" t="s">
        <v>1110</v>
      </c>
      <c r="K507" s="2">
        <v>6711.25</v>
      </c>
      <c r="L507" s="2">
        <v>6711.25</v>
      </c>
      <c r="M507" s="2">
        <v>134.22499999999999</v>
      </c>
      <c r="N507" s="2">
        <v>134</v>
      </c>
      <c r="O507" s="2">
        <f t="shared" si="7"/>
        <v>1750</v>
      </c>
    </row>
    <row r="508" spans="1:15" x14ac:dyDescent="0.3">
      <c r="A508" s="8">
        <v>506</v>
      </c>
      <c r="B508" s="14">
        <v>46235</v>
      </c>
      <c r="C508" s="2" t="s">
        <v>1283</v>
      </c>
      <c r="D508" s="2" t="s">
        <v>10</v>
      </c>
      <c r="E508" s="2" t="s">
        <v>935</v>
      </c>
      <c r="F508" s="2">
        <v>1.75</v>
      </c>
      <c r="G508" s="2" t="s">
        <v>1051</v>
      </c>
      <c r="H508" s="2" t="s">
        <v>33</v>
      </c>
      <c r="I508" s="2" t="s">
        <v>1052</v>
      </c>
      <c r="J508" s="2" t="s">
        <v>1110</v>
      </c>
      <c r="K508" s="2">
        <v>3708.25</v>
      </c>
      <c r="L508" s="2">
        <v>3708.25</v>
      </c>
      <c r="M508" s="2">
        <v>74.165000000000006</v>
      </c>
      <c r="N508" s="2">
        <v>74</v>
      </c>
      <c r="O508" s="2">
        <f t="shared" si="7"/>
        <v>1750</v>
      </c>
    </row>
    <row r="509" spans="1:15" x14ac:dyDescent="0.3">
      <c r="A509" s="8">
        <v>507</v>
      </c>
      <c r="B509" s="14">
        <v>46235</v>
      </c>
      <c r="C509" s="2" t="s">
        <v>1284</v>
      </c>
      <c r="D509" s="2" t="s">
        <v>10</v>
      </c>
      <c r="E509" s="2" t="s">
        <v>935</v>
      </c>
      <c r="F509" s="2">
        <v>1.75</v>
      </c>
      <c r="G509" s="2" t="s">
        <v>1053</v>
      </c>
      <c r="H509" s="2" t="s">
        <v>939</v>
      </c>
      <c r="I509" s="2" t="s">
        <v>1049</v>
      </c>
      <c r="J509" s="2" t="s">
        <v>1110</v>
      </c>
      <c r="K509" s="2">
        <v>1715</v>
      </c>
      <c r="L509" s="2">
        <v>1715</v>
      </c>
      <c r="M509" s="2">
        <v>34.299999999999997</v>
      </c>
      <c r="N509" s="2">
        <v>34</v>
      </c>
      <c r="O509" s="2">
        <f t="shared" si="7"/>
        <v>1750</v>
      </c>
    </row>
    <row r="510" spans="1:15" x14ac:dyDescent="0.3">
      <c r="A510" s="8">
        <v>508</v>
      </c>
      <c r="B510" s="14">
        <v>46235</v>
      </c>
      <c r="C510" s="2" t="s">
        <v>1271</v>
      </c>
      <c r="D510" s="2" t="s">
        <v>10</v>
      </c>
      <c r="E510" s="2" t="s">
        <v>935</v>
      </c>
      <c r="F510" s="2">
        <v>1.5</v>
      </c>
      <c r="G510" s="2" t="s">
        <v>1054</v>
      </c>
      <c r="H510" s="2" t="s">
        <v>42</v>
      </c>
      <c r="I510" s="2" t="s">
        <v>1055</v>
      </c>
      <c r="J510" s="2" t="s">
        <v>1110</v>
      </c>
      <c r="K510" s="2">
        <v>7296</v>
      </c>
      <c r="L510" s="2">
        <v>7296</v>
      </c>
      <c r="M510" s="2">
        <v>145.91999999999999</v>
      </c>
      <c r="N510" s="2">
        <v>146</v>
      </c>
      <c r="O510" s="2">
        <f t="shared" si="7"/>
        <v>1500</v>
      </c>
    </row>
    <row r="511" spans="1:15" x14ac:dyDescent="0.3">
      <c r="A511" s="8">
        <v>509</v>
      </c>
      <c r="B511" s="14">
        <v>46235</v>
      </c>
      <c r="C511" s="2" t="s">
        <v>1272</v>
      </c>
      <c r="D511" s="2" t="s">
        <v>10</v>
      </c>
      <c r="E511" s="2" t="s">
        <v>935</v>
      </c>
      <c r="F511" s="2">
        <v>1.5</v>
      </c>
      <c r="G511" s="2" t="s">
        <v>1056</v>
      </c>
      <c r="H511" s="2" t="s">
        <v>50</v>
      </c>
      <c r="I511" s="2" t="s">
        <v>1055</v>
      </c>
      <c r="J511" s="2" t="s">
        <v>1110</v>
      </c>
      <c r="K511" s="2">
        <v>6912</v>
      </c>
      <c r="L511" s="2">
        <v>6912</v>
      </c>
      <c r="M511" s="2">
        <v>138.24</v>
      </c>
      <c r="N511" s="2">
        <v>138</v>
      </c>
      <c r="O511" s="2">
        <f t="shared" si="7"/>
        <v>1500</v>
      </c>
    </row>
    <row r="512" spans="1:15" x14ac:dyDescent="0.3">
      <c r="A512" s="8">
        <v>510</v>
      </c>
      <c r="B512" s="14">
        <v>46235</v>
      </c>
      <c r="C512" s="2" t="s">
        <v>1273</v>
      </c>
      <c r="D512" s="2" t="s">
        <v>10</v>
      </c>
      <c r="E512" s="2" t="s">
        <v>935</v>
      </c>
      <c r="F512" s="2">
        <v>1.75</v>
      </c>
      <c r="G512" s="2" t="s">
        <v>1057</v>
      </c>
      <c r="H512" s="2" t="s">
        <v>58</v>
      </c>
      <c r="I512" s="2" t="s">
        <v>1058</v>
      </c>
      <c r="J512" s="2" t="s">
        <v>1110</v>
      </c>
      <c r="K512" s="2">
        <v>5703.25</v>
      </c>
      <c r="L512" s="2">
        <v>5703.25</v>
      </c>
      <c r="M512" s="2">
        <v>114.065</v>
      </c>
      <c r="N512" s="2">
        <v>114</v>
      </c>
      <c r="O512" s="2">
        <f t="shared" si="7"/>
        <v>1750</v>
      </c>
    </row>
    <row r="513" spans="1:15" x14ac:dyDescent="0.3">
      <c r="A513" s="8">
        <v>511</v>
      </c>
      <c r="B513" s="14">
        <v>46235</v>
      </c>
      <c r="C513" s="2" t="s">
        <v>1274</v>
      </c>
      <c r="D513" s="2" t="s">
        <v>10</v>
      </c>
      <c r="E513" s="2" t="s">
        <v>935</v>
      </c>
      <c r="F513" s="2">
        <v>1.75</v>
      </c>
      <c r="G513" s="2" t="s">
        <v>1059</v>
      </c>
      <c r="H513" s="2" t="s">
        <v>66</v>
      </c>
      <c r="I513" s="2" t="s">
        <v>1060</v>
      </c>
      <c r="J513" s="2" t="s">
        <v>1110</v>
      </c>
      <c r="K513" s="2">
        <v>4179</v>
      </c>
      <c r="L513" s="2">
        <v>4179</v>
      </c>
      <c r="M513" s="2">
        <v>83.58</v>
      </c>
      <c r="N513" s="2">
        <v>84</v>
      </c>
      <c r="O513" s="2">
        <f t="shared" si="7"/>
        <v>1750</v>
      </c>
    </row>
    <row r="514" spans="1:15" x14ac:dyDescent="0.3">
      <c r="A514" s="8">
        <v>512</v>
      </c>
      <c r="B514" s="14">
        <v>46235</v>
      </c>
      <c r="C514" s="2" t="s">
        <v>1285</v>
      </c>
      <c r="D514" s="2" t="s">
        <v>10</v>
      </c>
      <c r="E514" s="2" t="s">
        <v>935</v>
      </c>
      <c r="F514" s="2">
        <v>1.75</v>
      </c>
      <c r="G514" s="2" t="s">
        <v>860</v>
      </c>
      <c r="H514" s="2" t="s">
        <v>74</v>
      </c>
      <c r="I514" s="2" t="s">
        <v>1049</v>
      </c>
      <c r="J514" s="2" t="s">
        <v>1110</v>
      </c>
      <c r="K514" s="2">
        <v>540.75</v>
      </c>
      <c r="L514" s="2">
        <v>540.75</v>
      </c>
      <c r="M514" s="2">
        <v>10.815</v>
      </c>
      <c r="N514" s="2">
        <v>11</v>
      </c>
      <c r="O514" s="2">
        <f t="shared" si="7"/>
        <v>1750</v>
      </c>
    </row>
    <row r="515" spans="1:15" x14ac:dyDescent="0.3">
      <c r="A515" s="8">
        <v>513</v>
      </c>
      <c r="B515" s="14">
        <v>46235</v>
      </c>
      <c r="C515" s="2" t="s">
        <v>1286</v>
      </c>
      <c r="D515" s="2" t="s">
        <v>10</v>
      </c>
      <c r="E515" s="2" t="s">
        <v>935</v>
      </c>
      <c r="F515" s="2">
        <v>1.75</v>
      </c>
      <c r="G515" s="2" t="s">
        <v>861</v>
      </c>
      <c r="H515" s="2" t="s">
        <v>82</v>
      </c>
      <c r="I515" s="2" t="s">
        <v>1052</v>
      </c>
      <c r="J515" s="2" t="s">
        <v>1110</v>
      </c>
      <c r="K515" s="2">
        <v>7539</v>
      </c>
      <c r="L515" s="2">
        <v>7539</v>
      </c>
      <c r="M515" s="2">
        <v>150.78</v>
      </c>
      <c r="N515" s="2">
        <v>151</v>
      </c>
      <c r="O515" s="2">
        <f t="shared" ref="O515:O578" si="8">F515*1000</f>
        <v>1750</v>
      </c>
    </row>
    <row r="516" spans="1:15" x14ac:dyDescent="0.3">
      <c r="A516" s="8">
        <v>514</v>
      </c>
      <c r="B516" s="14">
        <v>46235</v>
      </c>
      <c r="C516" s="2" t="s">
        <v>1287</v>
      </c>
      <c r="D516" s="2" t="s">
        <v>10</v>
      </c>
      <c r="E516" s="2" t="s">
        <v>935</v>
      </c>
      <c r="F516" s="2">
        <v>1.75</v>
      </c>
      <c r="G516" s="2" t="s">
        <v>862</v>
      </c>
      <c r="H516" s="2" t="s">
        <v>90</v>
      </c>
      <c r="I516" s="2" t="s">
        <v>1052</v>
      </c>
      <c r="J516" s="2" t="s">
        <v>1110</v>
      </c>
      <c r="K516" s="2">
        <v>6756.75</v>
      </c>
      <c r="L516" s="2">
        <v>6756.75</v>
      </c>
      <c r="M516" s="2">
        <v>135.13499999999999</v>
      </c>
      <c r="N516" s="2">
        <v>135</v>
      </c>
      <c r="O516" s="2">
        <f t="shared" si="8"/>
        <v>1750</v>
      </c>
    </row>
    <row r="517" spans="1:15" x14ac:dyDescent="0.3">
      <c r="A517" s="8">
        <v>515</v>
      </c>
      <c r="B517" s="14">
        <v>46235</v>
      </c>
      <c r="C517" s="2" t="s">
        <v>1288</v>
      </c>
      <c r="D517" s="2" t="s">
        <v>10</v>
      </c>
      <c r="E517" s="2" t="s">
        <v>935</v>
      </c>
      <c r="F517" s="2">
        <v>1.5</v>
      </c>
      <c r="G517" s="2" t="s">
        <v>1061</v>
      </c>
      <c r="H517" s="2" t="s">
        <v>98</v>
      </c>
      <c r="I517" s="2" t="s">
        <v>1062</v>
      </c>
      <c r="J517" s="2" t="s">
        <v>1110</v>
      </c>
      <c r="K517" s="2">
        <v>4177.5</v>
      </c>
      <c r="L517" s="2">
        <v>4177.5</v>
      </c>
      <c r="M517" s="2">
        <v>83.55</v>
      </c>
      <c r="N517" s="2">
        <v>84</v>
      </c>
      <c r="O517" s="2">
        <f t="shared" si="8"/>
        <v>1500</v>
      </c>
    </row>
    <row r="518" spans="1:15" x14ac:dyDescent="0.3">
      <c r="A518" s="8">
        <v>516</v>
      </c>
      <c r="B518" s="14">
        <v>46235</v>
      </c>
      <c r="C518" s="2" t="s">
        <v>1289</v>
      </c>
      <c r="D518" s="2" t="s">
        <v>10</v>
      </c>
      <c r="E518" s="2" t="s">
        <v>935</v>
      </c>
      <c r="F518" s="2">
        <v>1.5</v>
      </c>
      <c r="G518" s="2" t="s">
        <v>1063</v>
      </c>
      <c r="H518" s="2" t="s">
        <v>106</v>
      </c>
      <c r="I518" s="2" t="s">
        <v>1062</v>
      </c>
      <c r="J518" s="2" t="s">
        <v>1110</v>
      </c>
      <c r="K518" s="2">
        <v>3631.5</v>
      </c>
      <c r="L518" s="2">
        <v>3631.5</v>
      </c>
      <c r="M518" s="2">
        <v>72.63</v>
      </c>
      <c r="N518" s="2">
        <v>73</v>
      </c>
      <c r="O518" s="2">
        <f t="shared" si="8"/>
        <v>1500</v>
      </c>
    </row>
    <row r="519" spans="1:15" x14ac:dyDescent="0.3">
      <c r="A519" s="8">
        <v>517</v>
      </c>
      <c r="B519" s="14">
        <v>46235</v>
      </c>
      <c r="C519" s="2" t="s">
        <v>1290</v>
      </c>
      <c r="D519" s="2" t="s">
        <v>10</v>
      </c>
      <c r="E519" s="2" t="s">
        <v>935</v>
      </c>
      <c r="F519" s="2">
        <v>1.5</v>
      </c>
      <c r="G519" s="2" t="s">
        <v>1064</v>
      </c>
      <c r="H519" s="2" t="s">
        <v>114</v>
      </c>
      <c r="I519" s="2" t="s">
        <v>1062</v>
      </c>
      <c r="J519" s="2" t="s">
        <v>1110</v>
      </c>
      <c r="K519" s="2">
        <v>5646</v>
      </c>
      <c r="L519" s="2">
        <v>5646</v>
      </c>
      <c r="M519" s="2">
        <v>112.92</v>
      </c>
      <c r="N519" s="2">
        <v>113</v>
      </c>
      <c r="O519" s="2">
        <f t="shared" si="8"/>
        <v>1500</v>
      </c>
    </row>
    <row r="520" spans="1:15" x14ac:dyDescent="0.3">
      <c r="A520" s="8">
        <v>518</v>
      </c>
      <c r="B520" s="14">
        <v>46235</v>
      </c>
      <c r="C520" s="2" t="s">
        <v>1291</v>
      </c>
      <c r="D520" s="2" t="s">
        <v>10</v>
      </c>
      <c r="E520" s="2" t="s">
        <v>935</v>
      </c>
      <c r="F520" s="2">
        <v>1.5</v>
      </c>
      <c r="G520" s="2" t="s">
        <v>1065</v>
      </c>
      <c r="H520" s="2" t="s">
        <v>122</v>
      </c>
      <c r="I520" s="2" t="s">
        <v>1062</v>
      </c>
      <c r="J520" s="2" t="s">
        <v>1110</v>
      </c>
      <c r="K520" s="2">
        <v>4339.5</v>
      </c>
      <c r="L520" s="2">
        <v>4339.5</v>
      </c>
      <c r="M520" s="2">
        <v>86.79</v>
      </c>
      <c r="N520" s="2">
        <v>87</v>
      </c>
      <c r="O520" s="2">
        <f t="shared" si="8"/>
        <v>1500</v>
      </c>
    </row>
    <row r="521" spans="1:15" x14ac:dyDescent="0.3">
      <c r="A521" s="8">
        <v>519</v>
      </c>
      <c r="B521" s="14">
        <v>46235</v>
      </c>
      <c r="C521" s="2" t="s">
        <v>1275</v>
      </c>
      <c r="D521" s="2" t="s">
        <v>10</v>
      </c>
      <c r="E521" s="2" t="s">
        <v>935</v>
      </c>
      <c r="F521" s="2">
        <v>1.75</v>
      </c>
      <c r="G521" s="2" t="s">
        <v>891</v>
      </c>
      <c r="H521" s="2" t="s">
        <v>130</v>
      </c>
      <c r="I521" s="2" t="s">
        <v>1066</v>
      </c>
      <c r="J521" s="2" t="s">
        <v>1110</v>
      </c>
      <c r="K521" s="2">
        <v>5019</v>
      </c>
      <c r="L521" s="2">
        <v>5019</v>
      </c>
      <c r="M521" s="2">
        <v>100.38</v>
      </c>
      <c r="N521" s="2">
        <v>100</v>
      </c>
      <c r="O521" s="2">
        <f t="shared" si="8"/>
        <v>1750</v>
      </c>
    </row>
    <row r="522" spans="1:15" x14ac:dyDescent="0.3">
      <c r="A522" s="8">
        <v>520</v>
      </c>
      <c r="B522" s="14">
        <v>46235</v>
      </c>
      <c r="C522" s="2" t="s">
        <v>1276</v>
      </c>
      <c r="D522" s="2" t="s">
        <v>10</v>
      </c>
      <c r="E522" s="2" t="s">
        <v>935</v>
      </c>
      <c r="F522" s="2">
        <v>1.75</v>
      </c>
      <c r="G522" s="2" t="s">
        <v>892</v>
      </c>
      <c r="H522" s="2" t="s">
        <v>138</v>
      </c>
      <c r="I522" s="2" t="s">
        <v>1066</v>
      </c>
      <c r="J522" s="2" t="s">
        <v>1110</v>
      </c>
      <c r="K522" s="2">
        <v>6090</v>
      </c>
      <c r="L522" s="2">
        <v>6090</v>
      </c>
      <c r="M522" s="2">
        <v>121.8</v>
      </c>
      <c r="N522" s="2">
        <v>122</v>
      </c>
      <c r="O522" s="2">
        <f t="shared" si="8"/>
        <v>1750</v>
      </c>
    </row>
    <row r="523" spans="1:15" x14ac:dyDescent="0.3">
      <c r="A523" s="8">
        <v>521</v>
      </c>
      <c r="B523" s="14">
        <v>46235</v>
      </c>
      <c r="C523" s="2" t="s">
        <v>1277</v>
      </c>
      <c r="D523" s="2" t="s">
        <v>10</v>
      </c>
      <c r="E523" s="2" t="s">
        <v>935</v>
      </c>
      <c r="F523" s="2">
        <v>1.75</v>
      </c>
      <c r="G523" s="2" t="s">
        <v>893</v>
      </c>
      <c r="H523" s="2" t="s">
        <v>146</v>
      </c>
      <c r="I523" s="2" t="s">
        <v>1067</v>
      </c>
      <c r="J523" s="2" t="s">
        <v>1110</v>
      </c>
      <c r="K523" s="2">
        <v>7404.25</v>
      </c>
      <c r="L523" s="2">
        <v>7404.25</v>
      </c>
      <c r="M523" s="2">
        <v>148.08500000000001</v>
      </c>
      <c r="N523" s="2">
        <v>148</v>
      </c>
      <c r="O523" s="2">
        <f t="shared" si="8"/>
        <v>1750</v>
      </c>
    </row>
    <row r="524" spans="1:15" x14ac:dyDescent="0.3">
      <c r="A524" s="8">
        <v>522</v>
      </c>
      <c r="B524" s="14">
        <v>46235</v>
      </c>
      <c r="C524" s="2" t="s">
        <v>1278</v>
      </c>
      <c r="D524" s="2" t="s">
        <v>10</v>
      </c>
      <c r="E524" s="2" t="s">
        <v>935</v>
      </c>
      <c r="F524" s="2">
        <v>1.75</v>
      </c>
      <c r="G524" s="2" t="s">
        <v>894</v>
      </c>
      <c r="H524" s="2" t="s">
        <v>154</v>
      </c>
      <c r="I524" s="2" t="s">
        <v>1068</v>
      </c>
      <c r="J524" s="2" t="s">
        <v>1110</v>
      </c>
      <c r="K524" s="2">
        <v>6739.25</v>
      </c>
      <c r="L524" s="2">
        <v>6739.25</v>
      </c>
      <c r="M524" s="2">
        <v>134.785</v>
      </c>
      <c r="N524" s="2">
        <v>135</v>
      </c>
      <c r="O524" s="2">
        <f t="shared" si="8"/>
        <v>1750</v>
      </c>
    </row>
    <row r="525" spans="1:15" x14ac:dyDescent="0.3">
      <c r="A525" s="8">
        <v>523</v>
      </c>
      <c r="B525" s="14">
        <v>46235</v>
      </c>
      <c r="C525" s="2" t="s">
        <v>1279</v>
      </c>
      <c r="D525" s="2" t="s">
        <v>10</v>
      </c>
      <c r="E525" s="2" t="s">
        <v>935</v>
      </c>
      <c r="F525" s="2">
        <v>1.75</v>
      </c>
      <c r="G525" s="2" t="s">
        <v>895</v>
      </c>
      <c r="H525" s="2" t="s">
        <v>162</v>
      </c>
      <c r="I525" s="2" t="s">
        <v>1066</v>
      </c>
      <c r="J525" s="2" t="s">
        <v>1110</v>
      </c>
      <c r="K525" s="2">
        <v>5495</v>
      </c>
      <c r="L525" s="2">
        <v>5495</v>
      </c>
      <c r="M525" s="2">
        <v>109.9</v>
      </c>
      <c r="N525" s="2">
        <v>110</v>
      </c>
      <c r="O525" s="2">
        <f t="shared" si="8"/>
        <v>1750</v>
      </c>
    </row>
    <row r="526" spans="1:15" x14ac:dyDescent="0.3">
      <c r="A526" s="8">
        <v>524</v>
      </c>
      <c r="B526" s="14">
        <v>46235</v>
      </c>
      <c r="C526" s="2" t="s">
        <v>1280</v>
      </c>
      <c r="D526" s="2" t="s">
        <v>10</v>
      </c>
      <c r="E526" s="2" t="s">
        <v>935</v>
      </c>
      <c r="F526" s="2">
        <v>1.75</v>
      </c>
      <c r="G526" s="2" t="s">
        <v>896</v>
      </c>
      <c r="H526" s="2" t="s">
        <v>170</v>
      </c>
      <c r="I526" s="2" t="s">
        <v>1066</v>
      </c>
      <c r="J526" s="2" t="s">
        <v>1110</v>
      </c>
      <c r="K526" s="2">
        <v>6424.25</v>
      </c>
      <c r="L526" s="2">
        <v>6424.25</v>
      </c>
      <c r="M526" s="2">
        <v>128.48500000000001</v>
      </c>
      <c r="N526" s="2">
        <v>128</v>
      </c>
      <c r="O526" s="2">
        <f t="shared" si="8"/>
        <v>1750</v>
      </c>
    </row>
    <row r="527" spans="1:15" x14ac:dyDescent="0.3">
      <c r="A527" s="8">
        <v>525</v>
      </c>
      <c r="B527" s="14">
        <v>46235</v>
      </c>
      <c r="C527" s="2" t="s">
        <v>1281</v>
      </c>
      <c r="D527" s="2" t="s">
        <v>10</v>
      </c>
      <c r="E527" s="2" t="s">
        <v>935</v>
      </c>
      <c r="F527" s="2">
        <v>1.5</v>
      </c>
      <c r="G527" s="2" t="s">
        <v>897</v>
      </c>
      <c r="H527" s="2" t="s">
        <v>178</v>
      </c>
      <c r="I527" s="2" t="s">
        <v>1069</v>
      </c>
      <c r="J527" s="2" t="s">
        <v>1110</v>
      </c>
      <c r="K527" s="2">
        <v>6033</v>
      </c>
      <c r="L527" s="2">
        <v>6033</v>
      </c>
      <c r="M527" s="2">
        <v>120.66</v>
      </c>
      <c r="N527" s="2">
        <v>121</v>
      </c>
      <c r="O527" s="2">
        <f t="shared" si="8"/>
        <v>1500</v>
      </c>
    </row>
    <row r="528" spans="1:15" x14ac:dyDescent="0.3">
      <c r="A528" s="8">
        <v>526</v>
      </c>
      <c r="B528" s="14">
        <v>46235</v>
      </c>
      <c r="C528" s="2" t="s">
        <v>1292</v>
      </c>
      <c r="D528" s="2" t="s">
        <v>10</v>
      </c>
      <c r="E528" s="2" t="s">
        <v>935</v>
      </c>
      <c r="F528" s="2">
        <v>1.75</v>
      </c>
      <c r="G528" s="2" t="s">
        <v>898</v>
      </c>
      <c r="H528" s="2" t="s">
        <v>186</v>
      </c>
      <c r="I528" s="2" t="s">
        <v>1068</v>
      </c>
      <c r="J528" s="2" t="s">
        <v>1110</v>
      </c>
      <c r="K528" s="2">
        <v>6083</v>
      </c>
      <c r="L528" s="2">
        <v>6083</v>
      </c>
      <c r="M528" s="2">
        <v>121.66</v>
      </c>
      <c r="N528" s="2">
        <v>122</v>
      </c>
      <c r="O528" s="2">
        <f t="shared" si="8"/>
        <v>1750</v>
      </c>
    </row>
    <row r="529" spans="1:15" x14ac:dyDescent="0.3">
      <c r="A529" s="8">
        <v>527</v>
      </c>
      <c r="B529" s="14">
        <v>46235</v>
      </c>
      <c r="C529" s="2" t="s">
        <v>1293</v>
      </c>
      <c r="D529" s="2" t="s">
        <v>10</v>
      </c>
      <c r="E529" s="2" t="s">
        <v>935</v>
      </c>
      <c r="F529" s="2">
        <v>1.75</v>
      </c>
      <c r="G529" s="2" t="s">
        <v>899</v>
      </c>
      <c r="H529" s="2" t="s">
        <v>194</v>
      </c>
      <c r="I529" s="2" t="s">
        <v>1068</v>
      </c>
      <c r="J529" s="2" t="s">
        <v>1110</v>
      </c>
      <c r="K529" s="2">
        <v>7222.25</v>
      </c>
      <c r="L529" s="2">
        <v>7222.25</v>
      </c>
      <c r="M529" s="2">
        <v>144.44499999999999</v>
      </c>
      <c r="N529" s="2">
        <v>144</v>
      </c>
      <c r="O529" s="2">
        <f t="shared" si="8"/>
        <v>1750</v>
      </c>
    </row>
    <row r="530" spans="1:15" x14ac:dyDescent="0.3">
      <c r="A530" s="8">
        <v>528</v>
      </c>
      <c r="B530" s="14">
        <v>46235</v>
      </c>
      <c r="C530" s="2" t="s">
        <v>1135</v>
      </c>
      <c r="D530" s="2" t="s">
        <v>10</v>
      </c>
      <c r="E530" s="2" t="s">
        <v>935</v>
      </c>
      <c r="F530" s="2">
        <v>1.5</v>
      </c>
      <c r="G530" s="2" t="s">
        <v>900</v>
      </c>
      <c r="H530" s="2" t="s">
        <v>202</v>
      </c>
      <c r="I530" s="2" t="s">
        <v>1069</v>
      </c>
      <c r="J530" s="2" t="s">
        <v>1110</v>
      </c>
      <c r="K530" s="2">
        <v>6367.5</v>
      </c>
      <c r="L530" s="2">
        <v>6367.5</v>
      </c>
      <c r="M530" s="2">
        <v>127.35</v>
      </c>
      <c r="N530" s="2">
        <v>127</v>
      </c>
      <c r="O530" s="2">
        <f t="shared" si="8"/>
        <v>1500</v>
      </c>
    </row>
    <row r="531" spans="1:15" x14ac:dyDescent="0.3">
      <c r="A531" s="8">
        <v>529</v>
      </c>
      <c r="B531" s="14">
        <v>46235</v>
      </c>
      <c r="C531" s="2" t="s">
        <v>1149</v>
      </c>
      <c r="D531" s="2" t="s">
        <v>10</v>
      </c>
      <c r="E531" s="2" t="s">
        <v>935</v>
      </c>
      <c r="F531" s="2">
        <v>1.75</v>
      </c>
      <c r="G531" s="2" t="s">
        <v>901</v>
      </c>
      <c r="H531" s="2" t="s">
        <v>210</v>
      </c>
      <c r="I531" s="2" t="s">
        <v>1066</v>
      </c>
      <c r="J531" s="2" t="s">
        <v>1110</v>
      </c>
      <c r="K531" s="2">
        <v>5587.75</v>
      </c>
      <c r="L531" s="2">
        <v>5587.75</v>
      </c>
      <c r="M531" s="2">
        <v>111.755</v>
      </c>
      <c r="N531" s="2">
        <v>112</v>
      </c>
      <c r="O531" s="2">
        <f t="shared" si="8"/>
        <v>1750</v>
      </c>
    </row>
    <row r="532" spans="1:15" x14ac:dyDescent="0.3">
      <c r="A532" s="8">
        <v>530</v>
      </c>
      <c r="B532" s="14">
        <v>46235</v>
      </c>
      <c r="C532" s="2" t="s">
        <v>1137</v>
      </c>
      <c r="D532" s="2" t="s">
        <v>10</v>
      </c>
      <c r="E532" s="2" t="s">
        <v>935</v>
      </c>
      <c r="F532" s="2">
        <v>1.75</v>
      </c>
      <c r="G532" s="2" t="s">
        <v>902</v>
      </c>
      <c r="H532" s="2" t="s">
        <v>218</v>
      </c>
      <c r="I532" s="2" t="s">
        <v>1067</v>
      </c>
      <c r="J532" s="2" t="s">
        <v>1110</v>
      </c>
      <c r="K532" s="2">
        <v>7463.75</v>
      </c>
      <c r="L532" s="2">
        <v>7463.75</v>
      </c>
      <c r="M532" s="2">
        <v>149.27500000000001</v>
      </c>
      <c r="N532" s="2">
        <v>149</v>
      </c>
      <c r="O532" s="2">
        <f t="shared" si="8"/>
        <v>1750</v>
      </c>
    </row>
    <row r="533" spans="1:15" x14ac:dyDescent="0.3">
      <c r="A533" s="8">
        <v>531</v>
      </c>
      <c r="B533" s="14">
        <v>46235</v>
      </c>
      <c r="C533" s="2" t="s">
        <v>1131</v>
      </c>
      <c r="D533" s="2" t="s">
        <v>10</v>
      </c>
      <c r="E533" s="2" t="s">
        <v>935</v>
      </c>
      <c r="F533" s="2">
        <v>1.5</v>
      </c>
      <c r="G533" s="2" t="s">
        <v>903</v>
      </c>
      <c r="H533" s="2" t="s">
        <v>226</v>
      </c>
      <c r="I533" s="2" t="s">
        <v>1069</v>
      </c>
      <c r="J533" s="2" t="s">
        <v>1110</v>
      </c>
      <c r="K533" s="2">
        <v>6288</v>
      </c>
      <c r="L533" s="2">
        <v>6288</v>
      </c>
      <c r="M533" s="2">
        <v>125.76</v>
      </c>
      <c r="N533" s="2">
        <v>126</v>
      </c>
      <c r="O533" s="2">
        <f t="shared" si="8"/>
        <v>1500</v>
      </c>
    </row>
    <row r="534" spans="1:15" x14ac:dyDescent="0.3">
      <c r="A534" s="8">
        <v>532</v>
      </c>
      <c r="B534" s="14">
        <v>46235</v>
      </c>
      <c r="C534" s="2" t="s">
        <v>1130</v>
      </c>
      <c r="D534" s="2" t="s">
        <v>10</v>
      </c>
      <c r="E534" s="2" t="s">
        <v>935</v>
      </c>
      <c r="F534" s="2">
        <v>1.5</v>
      </c>
      <c r="G534" s="2" t="s">
        <v>904</v>
      </c>
      <c r="H534" s="2" t="s">
        <v>234</v>
      </c>
      <c r="I534" s="2" t="s">
        <v>1070</v>
      </c>
      <c r="J534" s="2" t="s">
        <v>1110</v>
      </c>
      <c r="K534" s="2">
        <v>189</v>
      </c>
      <c r="L534" s="2">
        <v>189</v>
      </c>
      <c r="M534" s="2">
        <v>3.78</v>
      </c>
      <c r="N534" s="2">
        <v>4</v>
      </c>
      <c r="O534" s="2">
        <f t="shared" si="8"/>
        <v>1500</v>
      </c>
    </row>
    <row r="535" spans="1:15" x14ac:dyDescent="0.3">
      <c r="A535" s="8">
        <v>533</v>
      </c>
      <c r="B535" s="14">
        <v>46235</v>
      </c>
      <c r="C535" s="2" t="s">
        <v>1139</v>
      </c>
      <c r="D535" s="2" t="s">
        <v>10</v>
      </c>
      <c r="E535" s="2" t="s">
        <v>935</v>
      </c>
      <c r="F535" s="2">
        <v>1.75</v>
      </c>
      <c r="G535" s="2" t="s">
        <v>905</v>
      </c>
      <c r="H535" s="2" t="s">
        <v>242</v>
      </c>
      <c r="I535" s="2" t="s">
        <v>1067</v>
      </c>
      <c r="J535" s="2" t="s">
        <v>1110</v>
      </c>
      <c r="K535" s="2">
        <v>2910.25</v>
      </c>
      <c r="L535" s="2">
        <v>2910.25</v>
      </c>
      <c r="M535" s="2">
        <v>58.204999999999998</v>
      </c>
      <c r="N535" s="2">
        <v>58</v>
      </c>
      <c r="O535" s="2">
        <f t="shared" si="8"/>
        <v>1750</v>
      </c>
    </row>
    <row r="536" spans="1:15" x14ac:dyDescent="0.3">
      <c r="A536" s="8">
        <v>534</v>
      </c>
      <c r="B536" s="14">
        <v>46235</v>
      </c>
      <c r="C536" s="2" t="s">
        <v>1294</v>
      </c>
      <c r="D536" s="2" t="s">
        <v>10</v>
      </c>
      <c r="E536" s="2" t="s">
        <v>935</v>
      </c>
      <c r="F536" s="2">
        <v>1.75</v>
      </c>
      <c r="G536" s="2" t="s">
        <v>1071</v>
      </c>
      <c r="H536" s="2" t="s">
        <v>250</v>
      </c>
      <c r="I536" s="2" t="s">
        <v>1072</v>
      </c>
      <c r="J536" s="2" t="s">
        <v>1110</v>
      </c>
      <c r="K536" s="2">
        <v>4737.25</v>
      </c>
      <c r="L536" s="2">
        <v>4737.25</v>
      </c>
      <c r="M536" s="2">
        <v>94.745000000000005</v>
      </c>
      <c r="N536" s="2">
        <v>95</v>
      </c>
      <c r="O536" s="2">
        <f t="shared" si="8"/>
        <v>1750</v>
      </c>
    </row>
    <row r="537" spans="1:15" x14ac:dyDescent="0.3">
      <c r="A537" s="8">
        <v>535</v>
      </c>
      <c r="B537" s="14">
        <v>46235</v>
      </c>
      <c r="C537" s="2" t="s">
        <v>1295</v>
      </c>
      <c r="D537" s="2" t="s">
        <v>10</v>
      </c>
      <c r="E537" s="2" t="s">
        <v>935</v>
      </c>
      <c r="F537" s="2">
        <v>1.75</v>
      </c>
      <c r="G537" s="2" t="s">
        <v>1073</v>
      </c>
      <c r="H537" s="2" t="s">
        <v>258</v>
      </c>
      <c r="I537" s="2" t="s">
        <v>1072</v>
      </c>
      <c r="J537" s="2" t="s">
        <v>1110</v>
      </c>
      <c r="K537" s="2">
        <v>3731</v>
      </c>
      <c r="L537" s="2">
        <v>3731</v>
      </c>
      <c r="M537" s="2">
        <v>74.62</v>
      </c>
      <c r="N537" s="2">
        <v>75</v>
      </c>
      <c r="O537" s="2">
        <f t="shared" si="8"/>
        <v>1750</v>
      </c>
    </row>
    <row r="538" spans="1:15" x14ac:dyDescent="0.3">
      <c r="A538" s="8">
        <v>536</v>
      </c>
      <c r="B538" s="14">
        <v>46235</v>
      </c>
      <c r="C538" s="2" t="s">
        <v>1296</v>
      </c>
      <c r="D538" s="2" t="s">
        <v>10</v>
      </c>
      <c r="E538" s="2" t="s">
        <v>935</v>
      </c>
      <c r="F538" s="2">
        <v>1.75</v>
      </c>
      <c r="G538" s="2" t="s">
        <v>1074</v>
      </c>
      <c r="H538" s="2" t="s">
        <v>266</v>
      </c>
      <c r="I538" s="2" t="s">
        <v>1072</v>
      </c>
      <c r="J538" s="2" t="s">
        <v>1110</v>
      </c>
      <c r="K538" s="2">
        <v>5832.75</v>
      </c>
      <c r="L538" s="2">
        <v>5832.75</v>
      </c>
      <c r="M538" s="2">
        <v>116.655</v>
      </c>
      <c r="N538" s="2">
        <v>117</v>
      </c>
      <c r="O538" s="2">
        <f t="shared" si="8"/>
        <v>1750</v>
      </c>
    </row>
    <row r="539" spans="1:15" x14ac:dyDescent="0.3">
      <c r="A539" s="8">
        <v>537</v>
      </c>
      <c r="B539" s="14">
        <v>46235</v>
      </c>
      <c r="C539" s="2" t="s">
        <v>1297</v>
      </c>
      <c r="D539" s="2" t="s">
        <v>10</v>
      </c>
      <c r="E539" s="2" t="s">
        <v>935</v>
      </c>
      <c r="F539" s="2">
        <v>1.75</v>
      </c>
      <c r="G539" s="2" t="s">
        <v>1075</v>
      </c>
      <c r="H539" s="2" t="s">
        <v>274</v>
      </c>
      <c r="I539" s="2" t="s">
        <v>1072</v>
      </c>
      <c r="J539" s="2" t="s">
        <v>1110</v>
      </c>
      <c r="K539" s="2">
        <v>4418.75</v>
      </c>
      <c r="L539" s="2">
        <v>4418.75</v>
      </c>
      <c r="M539" s="2">
        <v>88.375</v>
      </c>
      <c r="N539" s="2">
        <v>88</v>
      </c>
      <c r="O539" s="2">
        <f t="shared" si="8"/>
        <v>1750</v>
      </c>
    </row>
    <row r="540" spans="1:15" x14ac:dyDescent="0.3">
      <c r="A540" s="8">
        <v>538</v>
      </c>
      <c r="B540" s="14">
        <v>46235</v>
      </c>
      <c r="C540" s="2" t="s">
        <v>1298</v>
      </c>
      <c r="D540" s="2" t="s">
        <v>10</v>
      </c>
      <c r="E540" s="2" t="s">
        <v>935</v>
      </c>
      <c r="F540" s="2">
        <v>1.5</v>
      </c>
      <c r="G540" s="2" t="s">
        <v>864</v>
      </c>
      <c r="H540" s="2" t="s">
        <v>282</v>
      </c>
      <c r="I540" s="2" t="s">
        <v>1076</v>
      </c>
      <c r="J540" s="2" t="s">
        <v>1110</v>
      </c>
      <c r="K540" s="2">
        <v>276</v>
      </c>
      <c r="L540" s="2">
        <v>276</v>
      </c>
      <c r="M540" s="2">
        <v>5.52</v>
      </c>
      <c r="N540" s="2">
        <v>6</v>
      </c>
      <c r="O540" s="2">
        <f t="shared" si="8"/>
        <v>1500</v>
      </c>
    </row>
    <row r="541" spans="1:15" x14ac:dyDescent="0.3">
      <c r="A541" s="8">
        <v>539</v>
      </c>
      <c r="B541" s="14">
        <v>46235</v>
      </c>
      <c r="C541" s="2" t="s">
        <v>1299</v>
      </c>
      <c r="D541" s="2" t="s">
        <v>10</v>
      </c>
      <c r="E541" s="2" t="s">
        <v>935</v>
      </c>
      <c r="F541" s="2">
        <v>1.5</v>
      </c>
      <c r="G541" s="2" t="s">
        <v>865</v>
      </c>
      <c r="H541" s="2" t="s">
        <v>290</v>
      </c>
      <c r="I541" s="2" t="s">
        <v>1077</v>
      </c>
      <c r="J541" s="2" t="s">
        <v>1110</v>
      </c>
      <c r="K541" s="2">
        <v>4188</v>
      </c>
      <c r="L541" s="2">
        <v>4188</v>
      </c>
      <c r="M541" s="2">
        <v>83.76</v>
      </c>
      <c r="N541" s="2">
        <v>84</v>
      </c>
      <c r="O541" s="2">
        <f t="shared" si="8"/>
        <v>1500</v>
      </c>
    </row>
    <row r="542" spans="1:15" x14ac:dyDescent="0.3">
      <c r="A542" s="8">
        <v>540</v>
      </c>
      <c r="B542" s="14">
        <v>46235</v>
      </c>
      <c r="C542" s="2" t="s">
        <v>1300</v>
      </c>
      <c r="D542" s="2" t="s">
        <v>10</v>
      </c>
      <c r="E542" s="2" t="s">
        <v>935</v>
      </c>
      <c r="F542" s="2">
        <v>1.75</v>
      </c>
      <c r="G542" s="2" t="s">
        <v>1078</v>
      </c>
      <c r="H542" s="2" t="s">
        <v>298</v>
      </c>
      <c r="I542" s="2" t="s">
        <v>1072</v>
      </c>
      <c r="J542" s="2" t="s">
        <v>1110</v>
      </c>
      <c r="K542" s="2">
        <v>1260</v>
      </c>
      <c r="L542" s="2">
        <v>1260</v>
      </c>
      <c r="M542" s="2">
        <v>25.2</v>
      </c>
      <c r="N542" s="2">
        <v>25</v>
      </c>
      <c r="O542" s="2">
        <f t="shared" si="8"/>
        <v>1750</v>
      </c>
    </row>
    <row r="543" spans="1:15" x14ac:dyDescent="0.3">
      <c r="A543" s="8">
        <v>541</v>
      </c>
      <c r="B543" s="14">
        <v>46235</v>
      </c>
      <c r="C543" s="2" t="s">
        <v>1301</v>
      </c>
      <c r="D543" s="2" t="s">
        <v>10</v>
      </c>
      <c r="E543" s="2" t="s">
        <v>935</v>
      </c>
      <c r="F543" s="2">
        <v>1.75</v>
      </c>
      <c r="G543" s="2" t="s">
        <v>866</v>
      </c>
      <c r="H543" s="2" t="s">
        <v>306</v>
      </c>
      <c r="I543" s="2" t="s">
        <v>1079</v>
      </c>
      <c r="J543" s="2" t="s">
        <v>1110</v>
      </c>
      <c r="K543" s="2">
        <v>525</v>
      </c>
      <c r="L543" s="2">
        <v>525</v>
      </c>
      <c r="M543" s="2">
        <v>10.5</v>
      </c>
      <c r="N543" s="2">
        <v>11</v>
      </c>
      <c r="O543" s="2">
        <f t="shared" si="8"/>
        <v>1750</v>
      </c>
    </row>
    <row r="544" spans="1:15" x14ac:dyDescent="0.3">
      <c r="A544" s="8">
        <v>542</v>
      </c>
      <c r="B544" s="14">
        <v>46235</v>
      </c>
      <c r="C544" s="2" t="s">
        <v>1302</v>
      </c>
      <c r="D544" s="2" t="s">
        <v>10</v>
      </c>
      <c r="E544" s="2" t="s">
        <v>935</v>
      </c>
      <c r="F544" s="2">
        <v>1.75</v>
      </c>
      <c r="G544" s="2" t="s">
        <v>1080</v>
      </c>
      <c r="H544" s="2" t="s">
        <v>314</v>
      </c>
      <c r="I544" s="2" t="s">
        <v>1081</v>
      </c>
      <c r="J544" s="2" t="s">
        <v>1110</v>
      </c>
      <c r="K544" s="2">
        <v>4366.25</v>
      </c>
      <c r="L544" s="2">
        <v>4366.25</v>
      </c>
      <c r="M544" s="2">
        <v>87.325000000000003</v>
      </c>
      <c r="N544" s="2">
        <v>87</v>
      </c>
      <c r="O544" s="2">
        <f t="shared" si="8"/>
        <v>1750</v>
      </c>
    </row>
    <row r="545" spans="1:15" x14ac:dyDescent="0.3">
      <c r="A545" s="8">
        <v>543</v>
      </c>
      <c r="B545" s="14">
        <v>46235</v>
      </c>
      <c r="C545" s="2" t="s">
        <v>1303</v>
      </c>
      <c r="D545" s="2" t="s">
        <v>10</v>
      </c>
      <c r="E545" s="2" t="s">
        <v>935</v>
      </c>
      <c r="F545" s="2">
        <v>1.5</v>
      </c>
      <c r="G545" s="2" t="s">
        <v>867</v>
      </c>
      <c r="H545" s="2" t="s">
        <v>322</v>
      </c>
      <c r="I545" s="2" t="s">
        <v>1077</v>
      </c>
      <c r="J545" s="2" t="s">
        <v>1110</v>
      </c>
      <c r="K545" s="2">
        <v>6303</v>
      </c>
      <c r="L545" s="2">
        <v>6303</v>
      </c>
      <c r="M545" s="2">
        <v>126.06</v>
      </c>
      <c r="N545" s="2">
        <v>126</v>
      </c>
      <c r="O545" s="2">
        <f t="shared" si="8"/>
        <v>1500</v>
      </c>
    </row>
    <row r="546" spans="1:15" x14ac:dyDescent="0.3">
      <c r="A546" s="8">
        <v>544</v>
      </c>
      <c r="B546" s="14">
        <v>46235</v>
      </c>
      <c r="C546" s="2" t="s">
        <v>1304</v>
      </c>
      <c r="D546" s="2" t="s">
        <v>10</v>
      </c>
      <c r="E546" s="2" t="s">
        <v>935</v>
      </c>
      <c r="F546" s="2">
        <v>1.75</v>
      </c>
      <c r="G546" s="2" t="s">
        <v>1082</v>
      </c>
      <c r="H546" s="2" t="s">
        <v>330</v>
      </c>
      <c r="I546" s="2" t="s">
        <v>1072</v>
      </c>
      <c r="J546" s="2" t="s">
        <v>1110</v>
      </c>
      <c r="K546" s="2">
        <v>5054</v>
      </c>
      <c r="L546" s="2">
        <v>5054</v>
      </c>
      <c r="M546" s="2">
        <v>101.08</v>
      </c>
      <c r="N546" s="2">
        <v>101</v>
      </c>
      <c r="O546" s="2">
        <f t="shared" si="8"/>
        <v>1750</v>
      </c>
    </row>
    <row r="547" spans="1:15" x14ac:dyDescent="0.3">
      <c r="A547" s="8">
        <v>545</v>
      </c>
      <c r="B547" s="14">
        <v>46235</v>
      </c>
      <c r="C547" s="2" t="s">
        <v>1305</v>
      </c>
      <c r="D547" s="2" t="s">
        <v>10</v>
      </c>
      <c r="E547" s="2" t="s">
        <v>935</v>
      </c>
      <c r="F547" s="2">
        <v>1.75</v>
      </c>
      <c r="G547" s="2" t="s">
        <v>1083</v>
      </c>
      <c r="H547" s="2" t="s">
        <v>338</v>
      </c>
      <c r="I547" s="2" t="s">
        <v>1072</v>
      </c>
      <c r="J547" s="2" t="s">
        <v>1110</v>
      </c>
      <c r="K547" s="2">
        <v>3333.75</v>
      </c>
      <c r="L547" s="2">
        <v>3333.75</v>
      </c>
      <c r="M547" s="2">
        <v>66.674999999999997</v>
      </c>
      <c r="N547" s="2">
        <v>67</v>
      </c>
      <c r="O547" s="2">
        <f t="shared" si="8"/>
        <v>1750</v>
      </c>
    </row>
    <row r="548" spans="1:15" x14ac:dyDescent="0.3">
      <c r="A548" s="8">
        <v>546</v>
      </c>
      <c r="B548" s="14">
        <v>46235</v>
      </c>
      <c r="C548" s="2" t="s">
        <v>1306</v>
      </c>
      <c r="D548" s="2" t="s">
        <v>10</v>
      </c>
      <c r="E548" s="2" t="s">
        <v>935</v>
      </c>
      <c r="F548" s="2">
        <v>1.75</v>
      </c>
      <c r="G548" s="2" t="s">
        <v>868</v>
      </c>
      <c r="H548" s="2" t="s">
        <v>346</v>
      </c>
      <c r="I548" s="2" t="s">
        <v>1081</v>
      </c>
      <c r="J548" s="2" t="s">
        <v>1110</v>
      </c>
      <c r="K548" s="2">
        <v>5435.5</v>
      </c>
      <c r="L548" s="2">
        <v>5435.5</v>
      </c>
      <c r="M548" s="2">
        <v>108.71</v>
      </c>
      <c r="N548" s="2">
        <v>109</v>
      </c>
      <c r="O548" s="2">
        <f t="shared" si="8"/>
        <v>1750</v>
      </c>
    </row>
    <row r="549" spans="1:15" x14ac:dyDescent="0.3">
      <c r="A549" s="8">
        <v>547</v>
      </c>
      <c r="B549" s="14">
        <v>46235</v>
      </c>
      <c r="C549" s="2" t="s">
        <v>1307</v>
      </c>
      <c r="D549" s="2" t="s">
        <v>10</v>
      </c>
      <c r="E549" s="2" t="s">
        <v>935</v>
      </c>
      <c r="F549" s="2">
        <v>1.75</v>
      </c>
      <c r="G549" s="2" t="s">
        <v>1084</v>
      </c>
      <c r="H549" s="2" t="s">
        <v>354</v>
      </c>
      <c r="I549" s="2" t="s">
        <v>1072</v>
      </c>
      <c r="J549" s="2" t="s">
        <v>1110</v>
      </c>
      <c r="K549" s="2">
        <v>4009.25</v>
      </c>
      <c r="L549" s="2">
        <v>4009.25</v>
      </c>
      <c r="M549" s="2">
        <v>80.185000000000002</v>
      </c>
      <c r="N549" s="2">
        <v>80</v>
      </c>
      <c r="O549" s="2">
        <f t="shared" si="8"/>
        <v>1750</v>
      </c>
    </row>
    <row r="550" spans="1:15" x14ac:dyDescent="0.3">
      <c r="A550" s="8">
        <v>548</v>
      </c>
      <c r="B550" s="14">
        <v>46235</v>
      </c>
      <c r="C550" s="2" t="s">
        <v>1308</v>
      </c>
      <c r="D550" s="2" t="s">
        <v>10</v>
      </c>
      <c r="E550" s="2" t="s">
        <v>935</v>
      </c>
      <c r="F550" s="2">
        <v>1.75</v>
      </c>
      <c r="G550" s="2" t="s">
        <v>863</v>
      </c>
      <c r="H550" s="2" t="s">
        <v>362</v>
      </c>
      <c r="I550" s="2" t="s">
        <v>1044</v>
      </c>
      <c r="J550" s="2" t="s">
        <v>1110</v>
      </c>
      <c r="K550" s="2">
        <v>4429.25</v>
      </c>
      <c r="L550" s="2">
        <v>4429.25</v>
      </c>
      <c r="M550" s="2">
        <v>88.584999999999994</v>
      </c>
      <c r="N550" s="2">
        <v>89</v>
      </c>
      <c r="O550" s="2">
        <f t="shared" si="8"/>
        <v>1750</v>
      </c>
    </row>
    <row r="551" spans="1:15" x14ac:dyDescent="0.3">
      <c r="A551" s="8">
        <v>549</v>
      </c>
      <c r="B551" s="14">
        <v>46235</v>
      </c>
      <c r="C551" s="2" t="s">
        <v>1309</v>
      </c>
      <c r="D551" s="2" t="s">
        <v>10</v>
      </c>
      <c r="E551" s="2" t="s">
        <v>935</v>
      </c>
      <c r="F551" s="2">
        <v>1.75</v>
      </c>
      <c r="G551" s="2" t="s">
        <v>869</v>
      </c>
      <c r="H551" s="2" t="s">
        <v>370</v>
      </c>
      <c r="I551" s="2" t="s">
        <v>1044</v>
      </c>
      <c r="J551" s="2" t="s">
        <v>1110</v>
      </c>
      <c r="K551" s="2">
        <v>4992.75</v>
      </c>
      <c r="L551" s="2">
        <v>4992.75</v>
      </c>
      <c r="M551" s="2">
        <v>99.855000000000004</v>
      </c>
      <c r="N551" s="2">
        <v>100</v>
      </c>
      <c r="O551" s="2">
        <f t="shared" si="8"/>
        <v>1750</v>
      </c>
    </row>
    <row r="552" spans="1:15" x14ac:dyDescent="0.3">
      <c r="A552" s="8">
        <v>550</v>
      </c>
      <c r="B552" s="14">
        <v>46235</v>
      </c>
      <c r="C552" s="2" t="s">
        <v>1310</v>
      </c>
      <c r="D552" s="2" t="s">
        <v>10</v>
      </c>
      <c r="E552" s="2" t="s">
        <v>935</v>
      </c>
      <c r="F552" s="2">
        <v>1.75</v>
      </c>
      <c r="G552" s="2" t="s">
        <v>870</v>
      </c>
      <c r="H552" s="2" t="s">
        <v>378</v>
      </c>
      <c r="I552" s="2" t="s">
        <v>1044</v>
      </c>
      <c r="J552" s="2" t="s">
        <v>1110</v>
      </c>
      <c r="K552" s="2">
        <v>4905.25</v>
      </c>
      <c r="L552" s="2">
        <v>4905.25</v>
      </c>
      <c r="M552" s="2">
        <v>98.105000000000004</v>
      </c>
      <c r="N552" s="2">
        <v>98</v>
      </c>
      <c r="O552" s="2">
        <f t="shared" si="8"/>
        <v>1750</v>
      </c>
    </row>
    <row r="553" spans="1:15" x14ac:dyDescent="0.3">
      <c r="A553" s="8">
        <v>551</v>
      </c>
      <c r="B553" s="14">
        <v>46235</v>
      </c>
      <c r="C553" s="2" t="s">
        <v>1311</v>
      </c>
      <c r="D553" s="2" t="s">
        <v>10</v>
      </c>
      <c r="E553" s="2" t="s">
        <v>935</v>
      </c>
      <c r="F553" s="2">
        <v>1.75</v>
      </c>
      <c r="G553" s="2" t="s">
        <v>871</v>
      </c>
      <c r="H553" s="2" t="s">
        <v>386</v>
      </c>
      <c r="I553" s="2" t="s">
        <v>1044</v>
      </c>
      <c r="J553" s="2" t="s">
        <v>1110</v>
      </c>
      <c r="K553" s="2">
        <v>4933.25</v>
      </c>
      <c r="L553" s="2">
        <v>4933.25</v>
      </c>
      <c r="M553" s="2">
        <v>98.665000000000006</v>
      </c>
      <c r="N553" s="2">
        <v>99</v>
      </c>
      <c r="O553" s="2">
        <f t="shared" si="8"/>
        <v>1750</v>
      </c>
    </row>
    <row r="554" spans="1:15" x14ac:dyDescent="0.3">
      <c r="A554" s="8">
        <v>552</v>
      </c>
      <c r="B554" s="14">
        <v>46235</v>
      </c>
      <c r="C554" s="2" t="s">
        <v>1268</v>
      </c>
      <c r="D554" s="2" t="s">
        <v>10</v>
      </c>
      <c r="E554" s="2" t="s">
        <v>935</v>
      </c>
      <c r="F554" s="2">
        <v>1.75</v>
      </c>
      <c r="G554" s="2" t="s">
        <v>1042</v>
      </c>
      <c r="H554" s="2" t="s">
        <v>394</v>
      </c>
      <c r="I554" s="2" t="s">
        <v>1044</v>
      </c>
      <c r="J554" s="2" t="s">
        <v>1110</v>
      </c>
      <c r="K554" s="2">
        <v>4702.25</v>
      </c>
      <c r="L554" s="2">
        <v>4702.25</v>
      </c>
      <c r="M554" s="2">
        <v>94.045000000000002</v>
      </c>
      <c r="N554" s="2">
        <v>94</v>
      </c>
      <c r="O554" s="2">
        <f t="shared" si="8"/>
        <v>1750</v>
      </c>
    </row>
    <row r="555" spans="1:15" x14ac:dyDescent="0.3">
      <c r="A555" s="8">
        <v>553</v>
      </c>
      <c r="B555" s="14">
        <v>46235</v>
      </c>
      <c r="C555" s="2" t="s">
        <v>1312</v>
      </c>
      <c r="D555" s="2" t="s">
        <v>10</v>
      </c>
      <c r="E555" s="2" t="s">
        <v>935</v>
      </c>
      <c r="F555" s="2">
        <v>1</v>
      </c>
      <c r="G555" s="2" t="s">
        <v>872</v>
      </c>
      <c r="H555" s="2" t="s">
        <v>401</v>
      </c>
      <c r="I555" s="2" t="s">
        <v>1085</v>
      </c>
      <c r="J555" s="2" t="s">
        <v>1110</v>
      </c>
      <c r="K555" s="2">
        <v>2865</v>
      </c>
      <c r="L555" s="2">
        <v>2865</v>
      </c>
      <c r="M555" s="2">
        <v>57.3</v>
      </c>
      <c r="N555" s="2">
        <v>57</v>
      </c>
      <c r="O555" s="2">
        <f t="shared" si="8"/>
        <v>1000</v>
      </c>
    </row>
    <row r="556" spans="1:15" x14ac:dyDescent="0.3">
      <c r="A556" s="8">
        <v>554</v>
      </c>
      <c r="B556" s="14">
        <v>46235</v>
      </c>
      <c r="C556" s="2" t="s">
        <v>1313</v>
      </c>
      <c r="D556" s="2" t="s">
        <v>10</v>
      </c>
      <c r="E556" s="2" t="s">
        <v>935</v>
      </c>
      <c r="F556" s="2">
        <v>1.75</v>
      </c>
      <c r="G556" s="2" t="s">
        <v>1086</v>
      </c>
      <c r="H556" s="2" t="s">
        <v>411</v>
      </c>
      <c r="I556" s="2" t="s">
        <v>1087</v>
      </c>
      <c r="J556" s="2" t="s">
        <v>1110</v>
      </c>
      <c r="K556" s="2">
        <v>6879.25</v>
      </c>
      <c r="L556" s="2">
        <v>6879.25</v>
      </c>
      <c r="M556" s="2">
        <v>137.58500000000001</v>
      </c>
      <c r="N556" s="2">
        <v>138</v>
      </c>
      <c r="O556" s="2">
        <f t="shared" si="8"/>
        <v>1750</v>
      </c>
    </row>
    <row r="557" spans="1:15" x14ac:dyDescent="0.3">
      <c r="A557" s="8">
        <v>555</v>
      </c>
      <c r="B557" s="14">
        <v>46235</v>
      </c>
      <c r="C557" s="2" t="s">
        <v>1314</v>
      </c>
      <c r="D557" s="2" t="s">
        <v>10</v>
      </c>
      <c r="E557" s="2" t="s">
        <v>935</v>
      </c>
      <c r="F557" s="2">
        <v>1.75</v>
      </c>
      <c r="G557" s="2" t="s">
        <v>1088</v>
      </c>
      <c r="H557" s="2" t="s">
        <v>419</v>
      </c>
      <c r="I557" s="2" t="s">
        <v>1044</v>
      </c>
      <c r="J557" s="2" t="s">
        <v>1110</v>
      </c>
      <c r="K557" s="2">
        <v>4138.75</v>
      </c>
      <c r="L557" s="2">
        <v>4138.75</v>
      </c>
      <c r="M557" s="2">
        <v>82.775000000000006</v>
      </c>
      <c r="N557" s="2">
        <v>83</v>
      </c>
      <c r="O557" s="2">
        <f t="shared" si="8"/>
        <v>1750</v>
      </c>
    </row>
    <row r="558" spans="1:15" x14ac:dyDescent="0.3">
      <c r="A558" s="8">
        <v>556</v>
      </c>
      <c r="B558" s="14">
        <v>46235</v>
      </c>
      <c r="C558" s="2" t="s">
        <v>1315</v>
      </c>
      <c r="D558" s="2" t="s">
        <v>10</v>
      </c>
      <c r="E558" s="2" t="s">
        <v>935</v>
      </c>
      <c r="F558" s="2">
        <v>1.25</v>
      </c>
      <c r="G558" s="2" t="s">
        <v>873</v>
      </c>
      <c r="H558" s="2" t="s">
        <v>427</v>
      </c>
      <c r="I558" s="2" t="s">
        <v>1089</v>
      </c>
      <c r="J558" s="2" t="s">
        <v>1110</v>
      </c>
      <c r="K558" s="2">
        <v>3748.75</v>
      </c>
      <c r="L558" s="2">
        <v>3748.75</v>
      </c>
      <c r="M558" s="2">
        <v>74.974999999999994</v>
      </c>
      <c r="N558" s="2">
        <v>75</v>
      </c>
      <c r="O558" s="2">
        <f t="shared" si="8"/>
        <v>1250</v>
      </c>
    </row>
    <row r="559" spans="1:15" x14ac:dyDescent="0.3">
      <c r="A559" s="8">
        <v>557</v>
      </c>
      <c r="B559" s="14">
        <v>46235</v>
      </c>
      <c r="C559" s="2" t="s">
        <v>1316</v>
      </c>
      <c r="D559" s="2" t="s">
        <v>10</v>
      </c>
      <c r="E559" s="2" t="s">
        <v>935</v>
      </c>
      <c r="F559" s="2">
        <v>1</v>
      </c>
      <c r="G559" s="2" t="s">
        <v>874</v>
      </c>
      <c r="H559" s="2" t="s">
        <v>436</v>
      </c>
      <c r="I559" s="2" t="s">
        <v>1090</v>
      </c>
      <c r="J559" s="2" t="s">
        <v>1110</v>
      </c>
      <c r="K559" s="2">
        <v>2167</v>
      </c>
      <c r="L559" s="2">
        <v>2167</v>
      </c>
      <c r="M559" s="2">
        <v>43.34</v>
      </c>
      <c r="N559" s="2">
        <v>43</v>
      </c>
      <c r="O559" s="2">
        <f t="shared" si="8"/>
        <v>1000</v>
      </c>
    </row>
    <row r="560" spans="1:15" x14ac:dyDescent="0.3">
      <c r="A560" s="8">
        <v>558</v>
      </c>
      <c r="B560" s="14">
        <v>46235</v>
      </c>
      <c r="C560" s="2" t="s">
        <v>1317</v>
      </c>
      <c r="D560" s="2" t="s">
        <v>10</v>
      </c>
      <c r="E560" s="2" t="s">
        <v>935</v>
      </c>
      <c r="F560" s="2">
        <v>1</v>
      </c>
      <c r="G560" s="2" t="s">
        <v>875</v>
      </c>
      <c r="H560" s="2" t="s">
        <v>445</v>
      </c>
      <c r="I560" s="2" t="s">
        <v>1090</v>
      </c>
      <c r="J560" s="2" t="s">
        <v>1110</v>
      </c>
      <c r="K560" s="2">
        <v>2320</v>
      </c>
      <c r="L560" s="2">
        <v>2320</v>
      </c>
      <c r="M560" s="2">
        <v>46.4</v>
      </c>
      <c r="N560" s="2">
        <v>46</v>
      </c>
      <c r="O560" s="2">
        <f t="shared" si="8"/>
        <v>1000</v>
      </c>
    </row>
    <row r="561" spans="1:15" x14ac:dyDescent="0.3">
      <c r="A561" s="8">
        <v>559</v>
      </c>
      <c r="B561" s="14">
        <v>46235</v>
      </c>
      <c r="C561" s="2" t="s">
        <v>1318</v>
      </c>
      <c r="D561" s="2" t="s">
        <v>10</v>
      </c>
      <c r="E561" s="2" t="s">
        <v>935</v>
      </c>
      <c r="F561" s="2">
        <v>1.25</v>
      </c>
      <c r="G561" s="2" t="s">
        <v>876</v>
      </c>
      <c r="H561" s="2" t="s">
        <v>455</v>
      </c>
      <c r="I561" s="2" t="s">
        <v>1091</v>
      </c>
      <c r="J561" s="2" t="s">
        <v>1110</v>
      </c>
      <c r="K561" s="2">
        <v>3187.5</v>
      </c>
      <c r="L561" s="2">
        <v>3187.5</v>
      </c>
      <c r="M561" s="2">
        <v>63.75</v>
      </c>
      <c r="N561" s="2">
        <v>64</v>
      </c>
      <c r="O561" s="2">
        <f t="shared" si="8"/>
        <v>1250</v>
      </c>
    </row>
    <row r="562" spans="1:15" x14ac:dyDescent="0.3">
      <c r="A562" s="8">
        <v>560</v>
      </c>
      <c r="B562" s="14">
        <v>46235</v>
      </c>
      <c r="C562" s="2" t="s">
        <v>1319</v>
      </c>
      <c r="D562" s="2" t="s">
        <v>10</v>
      </c>
      <c r="E562" s="2" t="s">
        <v>935</v>
      </c>
      <c r="F562" s="2">
        <v>1.25</v>
      </c>
      <c r="G562" s="2" t="s">
        <v>877</v>
      </c>
      <c r="H562" s="2" t="s">
        <v>465</v>
      </c>
      <c r="I562" s="2" t="s">
        <v>1091</v>
      </c>
      <c r="J562" s="2" t="s">
        <v>1110</v>
      </c>
      <c r="K562" s="2">
        <v>3567.5</v>
      </c>
      <c r="L562" s="2">
        <v>3567.5</v>
      </c>
      <c r="M562" s="2">
        <v>71.349999999999994</v>
      </c>
      <c r="N562" s="2">
        <v>71</v>
      </c>
      <c r="O562" s="2">
        <f t="shared" si="8"/>
        <v>1250</v>
      </c>
    </row>
    <row r="563" spans="1:15" x14ac:dyDescent="0.3">
      <c r="A563" s="8">
        <v>561</v>
      </c>
      <c r="B563" s="14">
        <v>46235</v>
      </c>
      <c r="C563" s="2" t="s">
        <v>1320</v>
      </c>
      <c r="D563" s="2" t="s">
        <v>10</v>
      </c>
      <c r="E563" s="2" t="s">
        <v>935</v>
      </c>
      <c r="F563" s="2">
        <v>1.25</v>
      </c>
      <c r="G563" s="2" t="s">
        <v>878</v>
      </c>
      <c r="H563" s="2" t="s">
        <v>475</v>
      </c>
      <c r="I563" s="2" t="s">
        <v>1091</v>
      </c>
      <c r="J563" s="2" t="s">
        <v>1110</v>
      </c>
      <c r="K563" s="2">
        <v>3888.75</v>
      </c>
      <c r="L563" s="2">
        <v>3888.75</v>
      </c>
      <c r="M563" s="2">
        <v>77.775000000000006</v>
      </c>
      <c r="N563" s="2">
        <v>78</v>
      </c>
      <c r="O563" s="2">
        <f t="shared" si="8"/>
        <v>1250</v>
      </c>
    </row>
    <row r="564" spans="1:15" x14ac:dyDescent="0.3">
      <c r="A564" s="8">
        <v>562</v>
      </c>
      <c r="B564" s="14">
        <v>46235</v>
      </c>
      <c r="C564" s="2" t="s">
        <v>1321</v>
      </c>
      <c r="D564" s="2" t="s">
        <v>10</v>
      </c>
      <c r="E564" s="2" t="s">
        <v>935</v>
      </c>
      <c r="F564" s="2">
        <v>1.75</v>
      </c>
      <c r="G564" s="2" t="s">
        <v>879</v>
      </c>
      <c r="H564" s="2" t="s">
        <v>485</v>
      </c>
      <c r="I564" s="2" t="s">
        <v>1092</v>
      </c>
      <c r="J564" s="2" t="s">
        <v>1110</v>
      </c>
      <c r="K564" s="2">
        <v>5050.5</v>
      </c>
      <c r="L564" s="2">
        <v>5050.5</v>
      </c>
      <c r="M564" s="2">
        <v>101.01</v>
      </c>
      <c r="N564" s="2">
        <v>101</v>
      </c>
      <c r="O564" s="2">
        <f t="shared" si="8"/>
        <v>1750</v>
      </c>
    </row>
    <row r="565" spans="1:15" x14ac:dyDescent="0.3">
      <c r="A565" s="8">
        <v>563</v>
      </c>
      <c r="B565" s="14">
        <v>46235</v>
      </c>
      <c r="C565" s="2" t="s">
        <v>1322</v>
      </c>
      <c r="D565" s="2" t="s">
        <v>10</v>
      </c>
      <c r="E565" s="2" t="s">
        <v>935</v>
      </c>
      <c r="F565" s="2">
        <v>1.5</v>
      </c>
      <c r="G565" s="2" t="s">
        <v>880</v>
      </c>
      <c r="H565" s="2" t="s">
        <v>493</v>
      </c>
      <c r="I565" s="2" t="s">
        <v>1093</v>
      </c>
      <c r="J565" s="2" t="s">
        <v>1110</v>
      </c>
      <c r="K565" s="2">
        <v>228</v>
      </c>
      <c r="L565" s="2">
        <v>228</v>
      </c>
      <c r="M565" s="2">
        <v>4.5599999999999996</v>
      </c>
      <c r="N565" s="2">
        <v>5</v>
      </c>
      <c r="O565" s="2">
        <f t="shared" si="8"/>
        <v>1500</v>
      </c>
    </row>
    <row r="566" spans="1:15" x14ac:dyDescent="0.3">
      <c r="A566" s="8">
        <v>564</v>
      </c>
      <c r="B566" s="14">
        <v>46235</v>
      </c>
      <c r="C566" s="2" t="s">
        <v>1323</v>
      </c>
      <c r="D566" s="2" t="s">
        <v>10</v>
      </c>
      <c r="E566" s="2" t="s">
        <v>935</v>
      </c>
      <c r="F566" s="2">
        <v>1.5</v>
      </c>
      <c r="G566" s="2" t="s">
        <v>881</v>
      </c>
      <c r="H566" s="2" t="s">
        <v>501</v>
      </c>
      <c r="I566" s="2" t="s">
        <v>1094</v>
      </c>
      <c r="J566" s="2" t="s">
        <v>1110</v>
      </c>
      <c r="K566" s="2">
        <v>601.5</v>
      </c>
      <c r="L566" s="2">
        <v>601.5</v>
      </c>
      <c r="M566" s="2">
        <v>12.03</v>
      </c>
      <c r="N566" s="2">
        <v>12</v>
      </c>
      <c r="O566" s="2">
        <f t="shared" si="8"/>
        <v>1500</v>
      </c>
    </row>
    <row r="567" spans="1:15" x14ac:dyDescent="0.3">
      <c r="A567" s="8">
        <v>565</v>
      </c>
      <c r="B567" s="14">
        <v>46235</v>
      </c>
      <c r="C567" s="2" t="s">
        <v>1324</v>
      </c>
      <c r="D567" s="2" t="s">
        <v>10</v>
      </c>
      <c r="E567" s="2" t="s">
        <v>935</v>
      </c>
      <c r="F567" s="2">
        <v>1.75</v>
      </c>
      <c r="G567" s="2" t="s">
        <v>882</v>
      </c>
      <c r="H567" s="2" t="s">
        <v>509</v>
      </c>
      <c r="I567" s="2" t="s">
        <v>1092</v>
      </c>
      <c r="J567" s="2" t="s">
        <v>1110</v>
      </c>
      <c r="K567" s="2">
        <v>4513.25</v>
      </c>
      <c r="L567" s="2">
        <v>4513.25</v>
      </c>
      <c r="M567" s="2">
        <v>90.265000000000001</v>
      </c>
      <c r="N567" s="2">
        <v>90</v>
      </c>
      <c r="O567" s="2">
        <f t="shared" si="8"/>
        <v>1750</v>
      </c>
    </row>
    <row r="568" spans="1:15" x14ac:dyDescent="0.3">
      <c r="A568" s="8">
        <v>566</v>
      </c>
      <c r="B568" s="14">
        <v>46235</v>
      </c>
      <c r="C568" s="2" t="s">
        <v>1325</v>
      </c>
      <c r="D568" s="2" t="s">
        <v>10</v>
      </c>
      <c r="E568" s="2" t="s">
        <v>935</v>
      </c>
      <c r="F568" s="2">
        <v>1.75</v>
      </c>
      <c r="G568" s="2" t="s">
        <v>883</v>
      </c>
      <c r="H568" s="2" t="s">
        <v>517</v>
      </c>
      <c r="I568" s="2" t="s">
        <v>1092</v>
      </c>
      <c r="J568" s="2" t="s">
        <v>1110</v>
      </c>
      <c r="K568" s="2">
        <v>5953.5</v>
      </c>
      <c r="L568" s="2">
        <v>5953.5</v>
      </c>
      <c r="M568" s="2">
        <v>119.07</v>
      </c>
      <c r="N568" s="2">
        <v>119</v>
      </c>
      <c r="O568" s="2">
        <f t="shared" si="8"/>
        <v>1750</v>
      </c>
    </row>
    <row r="569" spans="1:15" x14ac:dyDescent="0.3">
      <c r="A569" s="8">
        <v>567</v>
      </c>
      <c r="B569" s="14">
        <v>46235</v>
      </c>
      <c r="C569" s="2" t="s">
        <v>1326</v>
      </c>
      <c r="D569" s="2" t="s">
        <v>10</v>
      </c>
      <c r="E569" s="2" t="s">
        <v>935</v>
      </c>
      <c r="F569" s="2">
        <v>1.75</v>
      </c>
      <c r="G569" s="2" t="s">
        <v>884</v>
      </c>
      <c r="H569" s="2" t="s">
        <v>525</v>
      </c>
      <c r="I569" s="2" t="s">
        <v>1092</v>
      </c>
      <c r="J569" s="2" t="s">
        <v>1110</v>
      </c>
      <c r="K569" s="2">
        <v>3836</v>
      </c>
      <c r="L569" s="2">
        <v>3836</v>
      </c>
      <c r="M569" s="2">
        <v>76.72</v>
      </c>
      <c r="N569" s="2">
        <v>77</v>
      </c>
      <c r="O569" s="2">
        <f t="shared" si="8"/>
        <v>1750</v>
      </c>
    </row>
    <row r="570" spans="1:15" x14ac:dyDescent="0.3">
      <c r="A570" s="8">
        <v>568</v>
      </c>
      <c r="B570" s="14">
        <v>46235</v>
      </c>
      <c r="C570" s="2" t="s">
        <v>1240</v>
      </c>
      <c r="D570" s="2" t="s">
        <v>10</v>
      </c>
      <c r="E570" s="2" t="s">
        <v>935</v>
      </c>
      <c r="F570" s="2">
        <v>0.25</v>
      </c>
      <c r="G570" s="2" t="s">
        <v>885</v>
      </c>
      <c r="H570" s="2" t="s">
        <v>533</v>
      </c>
      <c r="I570" s="2" t="s">
        <v>1095</v>
      </c>
      <c r="J570" s="2" t="s">
        <v>1110</v>
      </c>
      <c r="K570" s="2">
        <v>473</v>
      </c>
      <c r="L570" s="2">
        <v>473</v>
      </c>
      <c r="M570" s="2">
        <v>9.4600000000000009</v>
      </c>
      <c r="N570" s="2">
        <v>9</v>
      </c>
      <c r="O570" s="2">
        <f t="shared" si="8"/>
        <v>250</v>
      </c>
    </row>
    <row r="571" spans="1:15" x14ac:dyDescent="0.3">
      <c r="A571" s="8">
        <v>569</v>
      </c>
      <c r="B571" s="14">
        <v>46235</v>
      </c>
      <c r="C571" s="2" t="s">
        <v>1239</v>
      </c>
      <c r="D571" s="2" t="s">
        <v>10</v>
      </c>
      <c r="E571" s="2" t="s">
        <v>935</v>
      </c>
      <c r="F571" s="2">
        <v>1.25</v>
      </c>
      <c r="G571" s="2" t="s">
        <v>886</v>
      </c>
      <c r="H571" s="2" t="s">
        <v>543</v>
      </c>
      <c r="I571" s="2" t="s">
        <v>1096</v>
      </c>
      <c r="J571" s="2" t="s">
        <v>1110</v>
      </c>
      <c r="K571" s="2">
        <v>2462.5</v>
      </c>
      <c r="L571" s="2">
        <v>2462.5</v>
      </c>
      <c r="M571" s="2">
        <v>49.25</v>
      </c>
      <c r="N571" s="2">
        <v>49</v>
      </c>
      <c r="O571" s="2">
        <f t="shared" si="8"/>
        <v>1250</v>
      </c>
    </row>
    <row r="572" spans="1:15" x14ac:dyDescent="0.3">
      <c r="A572" s="8">
        <v>570</v>
      </c>
      <c r="B572" s="14">
        <v>46235</v>
      </c>
      <c r="C572" s="2" t="s">
        <v>1241</v>
      </c>
      <c r="D572" s="2" t="s">
        <v>10</v>
      </c>
      <c r="E572" s="2" t="s">
        <v>935</v>
      </c>
      <c r="F572" s="2">
        <v>0.25</v>
      </c>
      <c r="G572" s="2" t="s">
        <v>887</v>
      </c>
      <c r="H572" s="2" t="s">
        <v>553</v>
      </c>
      <c r="I572" s="2" t="s">
        <v>1095</v>
      </c>
      <c r="J572" s="2" t="s">
        <v>1110</v>
      </c>
      <c r="K572" s="2">
        <v>421.5</v>
      </c>
      <c r="L572" s="2">
        <v>421.5</v>
      </c>
      <c r="M572" s="2">
        <v>8.43</v>
      </c>
      <c r="N572" s="2">
        <v>8</v>
      </c>
      <c r="O572" s="2">
        <f t="shared" si="8"/>
        <v>250</v>
      </c>
    </row>
    <row r="573" spans="1:15" x14ac:dyDescent="0.3">
      <c r="A573" s="8">
        <v>571</v>
      </c>
      <c r="B573" s="14">
        <v>46235</v>
      </c>
      <c r="C573" s="2" t="s">
        <v>1242</v>
      </c>
      <c r="D573" s="2" t="s">
        <v>10</v>
      </c>
      <c r="E573" s="2" t="s">
        <v>935</v>
      </c>
      <c r="F573" s="2">
        <v>0.25</v>
      </c>
      <c r="G573" s="2" t="s">
        <v>888</v>
      </c>
      <c r="H573" s="2" t="s">
        <v>563</v>
      </c>
      <c r="I573" s="2" t="s">
        <v>1095</v>
      </c>
      <c r="J573" s="2" t="s">
        <v>1110</v>
      </c>
      <c r="K573" s="2">
        <v>345</v>
      </c>
      <c r="L573" s="2">
        <v>345</v>
      </c>
      <c r="M573" s="2">
        <v>6.9</v>
      </c>
      <c r="N573" s="2">
        <v>7</v>
      </c>
      <c r="O573" s="2">
        <f t="shared" si="8"/>
        <v>250</v>
      </c>
    </row>
    <row r="574" spans="1:15" x14ac:dyDescent="0.3">
      <c r="A574" s="8">
        <v>572</v>
      </c>
      <c r="B574" s="14">
        <v>46235</v>
      </c>
      <c r="C574" s="2" t="s">
        <v>1243</v>
      </c>
      <c r="D574" s="2" t="s">
        <v>10</v>
      </c>
      <c r="E574" s="2" t="s">
        <v>935</v>
      </c>
      <c r="F574" s="2">
        <v>0.25</v>
      </c>
      <c r="G574" s="2" t="s">
        <v>889</v>
      </c>
      <c r="H574" s="2" t="s">
        <v>573</v>
      </c>
      <c r="I574" s="2" t="s">
        <v>1097</v>
      </c>
      <c r="J574" s="2" t="s">
        <v>1110</v>
      </c>
      <c r="K574" s="2">
        <v>187.75</v>
      </c>
      <c r="L574" s="2">
        <v>187.75</v>
      </c>
      <c r="M574" s="2">
        <v>3.7549999999999999</v>
      </c>
      <c r="N574" s="2">
        <v>4</v>
      </c>
      <c r="O574" s="2">
        <f t="shared" si="8"/>
        <v>250</v>
      </c>
    </row>
    <row r="575" spans="1:15" x14ac:dyDescent="0.3">
      <c r="A575" s="8">
        <v>573</v>
      </c>
      <c r="B575" s="14">
        <v>46235</v>
      </c>
      <c r="C575" s="2" t="s">
        <v>1327</v>
      </c>
      <c r="D575" s="2" t="s">
        <v>10</v>
      </c>
      <c r="E575" s="2" t="s">
        <v>935</v>
      </c>
      <c r="F575" s="2">
        <v>0.25</v>
      </c>
      <c r="G575" s="2" t="s">
        <v>890</v>
      </c>
      <c r="H575" s="2" t="s">
        <v>583</v>
      </c>
      <c r="I575" s="2" t="s">
        <v>1098</v>
      </c>
      <c r="J575" s="2" t="s">
        <v>1110</v>
      </c>
      <c r="K575" s="2">
        <v>292</v>
      </c>
      <c r="L575" s="2">
        <v>292</v>
      </c>
      <c r="M575" s="2">
        <v>5.84</v>
      </c>
      <c r="N575" s="2">
        <v>6</v>
      </c>
      <c r="O575" s="2">
        <f t="shared" si="8"/>
        <v>250</v>
      </c>
    </row>
    <row r="576" spans="1:15" x14ac:dyDescent="0.3">
      <c r="A576" s="8">
        <v>574</v>
      </c>
      <c r="B576" s="14">
        <v>46235</v>
      </c>
      <c r="C576" s="2" t="s">
        <v>1245</v>
      </c>
      <c r="D576" s="2" t="s">
        <v>10</v>
      </c>
      <c r="E576" s="2" t="s">
        <v>935</v>
      </c>
      <c r="F576" s="2">
        <v>0.25</v>
      </c>
      <c r="G576" s="2" t="s">
        <v>1099</v>
      </c>
      <c r="H576" s="2" t="s">
        <v>593</v>
      </c>
      <c r="I576" s="2" t="s">
        <v>1097</v>
      </c>
      <c r="J576" s="2" t="s">
        <v>1110</v>
      </c>
      <c r="K576" s="2">
        <v>36.25</v>
      </c>
      <c r="L576" s="2">
        <v>36.25</v>
      </c>
      <c r="M576" s="2">
        <v>0.72499999999999998</v>
      </c>
      <c r="N576" s="2">
        <v>1</v>
      </c>
      <c r="O576" s="2">
        <f t="shared" si="8"/>
        <v>250</v>
      </c>
    </row>
    <row r="577" spans="1:15" x14ac:dyDescent="0.3">
      <c r="A577" s="8">
        <v>575</v>
      </c>
      <c r="B577" s="14">
        <v>46235</v>
      </c>
      <c r="C577" s="2" t="s">
        <v>1328</v>
      </c>
      <c r="D577" s="2" t="s">
        <v>10</v>
      </c>
      <c r="E577" s="2" t="s">
        <v>935</v>
      </c>
      <c r="F577" s="2">
        <v>0.25</v>
      </c>
      <c r="G577" s="2" t="s">
        <v>1100</v>
      </c>
      <c r="H577" s="2" t="s">
        <v>603</v>
      </c>
      <c r="I577" s="2" t="s">
        <v>1098</v>
      </c>
      <c r="J577" s="2" t="s">
        <v>1110</v>
      </c>
      <c r="K577" s="2">
        <v>386.75</v>
      </c>
      <c r="L577" s="2">
        <v>386.75</v>
      </c>
      <c r="M577" s="2">
        <v>7.7350000000000003</v>
      </c>
      <c r="N577" s="2">
        <v>8</v>
      </c>
      <c r="O577" s="2">
        <f t="shared" si="8"/>
        <v>250</v>
      </c>
    </row>
    <row r="578" spans="1:15" x14ac:dyDescent="0.3">
      <c r="A578" s="8">
        <v>576</v>
      </c>
      <c r="B578" s="14">
        <v>46235</v>
      </c>
      <c r="C578" s="2" t="s">
        <v>1329</v>
      </c>
      <c r="D578" s="2" t="s">
        <v>10</v>
      </c>
      <c r="E578" s="2" t="s">
        <v>935</v>
      </c>
      <c r="F578" s="2">
        <v>0.25</v>
      </c>
      <c r="G578" s="2" t="s">
        <v>1101</v>
      </c>
      <c r="H578" s="2" t="s">
        <v>613</v>
      </c>
      <c r="I578" s="2" t="s">
        <v>1102</v>
      </c>
      <c r="J578" s="2" t="s">
        <v>1110</v>
      </c>
      <c r="K578" s="2">
        <v>792.75</v>
      </c>
      <c r="L578" s="2">
        <v>792.75</v>
      </c>
      <c r="M578" s="2">
        <v>15.855</v>
      </c>
      <c r="N578" s="2">
        <v>16</v>
      </c>
      <c r="O578" s="2">
        <f t="shared" si="8"/>
        <v>250</v>
      </c>
    </row>
    <row r="579" spans="1:15" x14ac:dyDescent="0.3">
      <c r="A579" s="8">
        <v>577</v>
      </c>
      <c r="B579" s="14">
        <v>46235</v>
      </c>
      <c r="C579" s="2" t="s">
        <v>1330</v>
      </c>
      <c r="D579" s="2" t="s">
        <v>10</v>
      </c>
      <c r="E579" s="2" t="s">
        <v>935</v>
      </c>
      <c r="F579" s="2">
        <v>0.25</v>
      </c>
      <c r="G579" s="2" t="s">
        <v>906</v>
      </c>
      <c r="H579" s="2" t="s">
        <v>623</v>
      </c>
      <c r="I579" s="2" t="s">
        <v>1102</v>
      </c>
      <c r="J579" s="2" t="s">
        <v>1110</v>
      </c>
      <c r="K579" s="2">
        <v>737.5</v>
      </c>
      <c r="L579" s="2">
        <v>737.5</v>
      </c>
      <c r="M579" s="2">
        <v>14.75</v>
      </c>
      <c r="N579" s="2">
        <v>15</v>
      </c>
      <c r="O579" s="2">
        <f t="shared" ref="O579:O642" si="9">F579*1000</f>
        <v>250</v>
      </c>
    </row>
    <row r="580" spans="1:15" x14ac:dyDescent="0.3">
      <c r="A580" s="8">
        <v>578</v>
      </c>
      <c r="B580" s="14">
        <v>46235</v>
      </c>
      <c r="C580" s="2" t="s">
        <v>1331</v>
      </c>
      <c r="D580" s="2" t="s">
        <v>10</v>
      </c>
      <c r="E580" s="2" t="s">
        <v>935</v>
      </c>
      <c r="F580" s="2">
        <v>1.25</v>
      </c>
      <c r="G580" s="2" t="s">
        <v>907</v>
      </c>
      <c r="H580" s="2" t="s">
        <v>633</v>
      </c>
      <c r="I580" s="2" t="s">
        <v>1103</v>
      </c>
      <c r="J580" s="2" t="s">
        <v>1110</v>
      </c>
      <c r="K580" s="2">
        <v>3061.25</v>
      </c>
      <c r="L580" s="2">
        <v>3061.25</v>
      </c>
      <c r="M580" s="2">
        <v>61.225000000000001</v>
      </c>
      <c r="N580" s="2">
        <v>61</v>
      </c>
      <c r="O580" s="2">
        <f t="shared" si="9"/>
        <v>1250</v>
      </c>
    </row>
    <row r="581" spans="1:15" x14ac:dyDescent="0.3">
      <c r="A581" s="8">
        <v>579</v>
      </c>
      <c r="B581" s="14">
        <v>46235</v>
      </c>
      <c r="C581" s="2" t="s">
        <v>1332</v>
      </c>
      <c r="D581" s="2" t="s">
        <v>10</v>
      </c>
      <c r="E581" s="2" t="s">
        <v>935</v>
      </c>
      <c r="F581" s="2">
        <v>1.25</v>
      </c>
      <c r="G581" s="2" t="s">
        <v>908</v>
      </c>
      <c r="H581" s="2" t="s">
        <v>643</v>
      </c>
      <c r="I581" s="2" t="s">
        <v>1103</v>
      </c>
      <c r="J581" s="2" t="s">
        <v>1110</v>
      </c>
      <c r="K581" s="2">
        <v>2517.5</v>
      </c>
      <c r="L581" s="2">
        <v>2517.5</v>
      </c>
      <c r="M581" s="2">
        <v>50.35</v>
      </c>
      <c r="N581" s="2">
        <v>50</v>
      </c>
      <c r="O581" s="2">
        <f t="shared" si="9"/>
        <v>1250</v>
      </c>
    </row>
    <row r="582" spans="1:15" x14ac:dyDescent="0.3">
      <c r="A582" s="8">
        <v>580</v>
      </c>
      <c r="B582" s="14">
        <v>46235</v>
      </c>
      <c r="C582" s="2" t="s">
        <v>1333</v>
      </c>
      <c r="D582" s="2" t="s">
        <v>10</v>
      </c>
      <c r="E582" s="2" t="s">
        <v>935</v>
      </c>
      <c r="F582" s="2">
        <v>1.75</v>
      </c>
      <c r="G582" s="2" t="s">
        <v>909</v>
      </c>
      <c r="H582" s="2" t="s">
        <v>653</v>
      </c>
      <c r="I582" s="2" t="s">
        <v>1104</v>
      </c>
      <c r="J582" s="2" t="s">
        <v>1110</v>
      </c>
      <c r="K582" s="2">
        <v>5314.75</v>
      </c>
      <c r="L582" s="2">
        <v>5314.75</v>
      </c>
      <c r="M582" s="2">
        <v>106.295</v>
      </c>
      <c r="N582" s="2">
        <v>106</v>
      </c>
      <c r="O582" s="2">
        <f t="shared" si="9"/>
        <v>1750</v>
      </c>
    </row>
    <row r="583" spans="1:15" x14ac:dyDescent="0.3">
      <c r="A583" s="8">
        <v>581</v>
      </c>
      <c r="B583" s="14">
        <v>46235</v>
      </c>
      <c r="C583" s="2" t="s">
        <v>1334</v>
      </c>
      <c r="D583" s="2" t="s">
        <v>10</v>
      </c>
      <c r="E583" s="2" t="s">
        <v>935</v>
      </c>
      <c r="F583" s="2">
        <v>1.25</v>
      </c>
      <c r="G583" s="2" t="s">
        <v>910</v>
      </c>
      <c r="H583" s="2" t="s">
        <v>661</v>
      </c>
      <c r="I583" s="2" t="s">
        <v>1103</v>
      </c>
      <c r="J583" s="2" t="s">
        <v>1110</v>
      </c>
      <c r="K583" s="2">
        <v>3622.5</v>
      </c>
      <c r="L583" s="2">
        <v>3622.5</v>
      </c>
      <c r="M583" s="2">
        <v>72.45</v>
      </c>
      <c r="N583" s="2">
        <v>72</v>
      </c>
      <c r="O583" s="2">
        <f t="shared" si="9"/>
        <v>1250</v>
      </c>
    </row>
    <row r="584" spans="1:15" x14ac:dyDescent="0.3">
      <c r="A584" s="8">
        <v>582</v>
      </c>
      <c r="B584" s="14">
        <v>46235</v>
      </c>
      <c r="C584" s="2" t="s">
        <v>1335</v>
      </c>
      <c r="D584" s="2" t="s">
        <v>10</v>
      </c>
      <c r="E584" s="2" t="s">
        <v>935</v>
      </c>
      <c r="F584" s="2">
        <v>1.25</v>
      </c>
      <c r="G584" s="2" t="s">
        <v>911</v>
      </c>
      <c r="H584" s="2" t="s">
        <v>671</v>
      </c>
      <c r="I584" s="2" t="s">
        <v>1103</v>
      </c>
      <c r="J584" s="2" t="s">
        <v>1110</v>
      </c>
      <c r="K584" s="2">
        <v>2955</v>
      </c>
      <c r="L584" s="2">
        <v>2955</v>
      </c>
      <c r="M584" s="2">
        <v>59.1</v>
      </c>
      <c r="N584" s="2">
        <v>59</v>
      </c>
      <c r="O584" s="2">
        <f t="shared" si="9"/>
        <v>1250</v>
      </c>
    </row>
    <row r="585" spans="1:15" x14ac:dyDescent="0.3">
      <c r="A585" s="8">
        <v>583</v>
      </c>
      <c r="B585" s="14">
        <v>46235</v>
      </c>
      <c r="C585" s="2" t="s">
        <v>1336</v>
      </c>
      <c r="D585" s="2" t="s">
        <v>10</v>
      </c>
      <c r="E585" s="2" t="s">
        <v>935</v>
      </c>
      <c r="F585" s="2">
        <v>1.75</v>
      </c>
      <c r="G585" s="2" t="s">
        <v>912</v>
      </c>
      <c r="H585" s="2" t="s">
        <v>681</v>
      </c>
      <c r="I585" s="2" t="s">
        <v>1105</v>
      </c>
      <c r="J585" s="2" t="s">
        <v>1110</v>
      </c>
      <c r="K585" s="2">
        <v>372.75</v>
      </c>
      <c r="L585" s="2">
        <v>372.75</v>
      </c>
      <c r="M585" s="2">
        <v>7.4550000000000001</v>
      </c>
      <c r="N585" s="2">
        <v>7</v>
      </c>
      <c r="O585" s="2">
        <f t="shared" si="9"/>
        <v>1750</v>
      </c>
    </row>
    <row r="586" spans="1:15" x14ac:dyDescent="0.3">
      <c r="A586" s="8">
        <v>584</v>
      </c>
      <c r="B586" s="14">
        <v>46235</v>
      </c>
      <c r="C586" s="2" t="s">
        <v>1337</v>
      </c>
      <c r="D586" s="2" t="s">
        <v>10</v>
      </c>
      <c r="E586" s="2" t="s">
        <v>935</v>
      </c>
      <c r="F586" s="2">
        <v>1.75</v>
      </c>
      <c r="G586" s="2" t="s">
        <v>913</v>
      </c>
      <c r="H586" s="2" t="s">
        <v>689</v>
      </c>
      <c r="I586" s="2" t="s">
        <v>1106</v>
      </c>
      <c r="J586" s="2" t="s">
        <v>1110</v>
      </c>
      <c r="K586" s="2">
        <v>4928</v>
      </c>
      <c r="L586" s="2">
        <v>4928</v>
      </c>
      <c r="M586" s="2">
        <v>98.56</v>
      </c>
      <c r="N586" s="2">
        <v>99</v>
      </c>
      <c r="O586" s="2">
        <f t="shared" si="9"/>
        <v>1750</v>
      </c>
    </row>
    <row r="587" spans="1:15" x14ac:dyDescent="0.3">
      <c r="A587" s="8">
        <v>585</v>
      </c>
      <c r="B587" s="14">
        <v>46235</v>
      </c>
      <c r="C587" s="2" t="s">
        <v>1338</v>
      </c>
      <c r="D587" s="2" t="s">
        <v>10</v>
      </c>
      <c r="E587" s="2" t="s">
        <v>935</v>
      </c>
      <c r="F587" s="2">
        <v>1.75</v>
      </c>
      <c r="G587" s="2" t="s">
        <v>914</v>
      </c>
      <c r="H587" s="2" t="s">
        <v>697</v>
      </c>
      <c r="I587" s="2" t="s">
        <v>1106</v>
      </c>
      <c r="J587" s="2" t="s">
        <v>1110</v>
      </c>
      <c r="K587" s="2">
        <v>5134.5</v>
      </c>
      <c r="L587" s="2">
        <v>5134.5</v>
      </c>
      <c r="M587" s="2">
        <v>102.69</v>
      </c>
      <c r="N587" s="2">
        <v>103</v>
      </c>
      <c r="O587" s="2">
        <f t="shared" si="9"/>
        <v>1750</v>
      </c>
    </row>
    <row r="588" spans="1:15" x14ac:dyDescent="0.3">
      <c r="A588" s="8">
        <v>586</v>
      </c>
      <c r="B588" s="14">
        <v>46235</v>
      </c>
      <c r="C588" s="2" t="s">
        <v>1339</v>
      </c>
      <c r="D588" s="2" t="s">
        <v>10</v>
      </c>
      <c r="E588" s="2" t="s">
        <v>935</v>
      </c>
      <c r="F588" s="2">
        <v>1.5</v>
      </c>
      <c r="G588" s="2" t="s">
        <v>915</v>
      </c>
      <c r="H588" s="2" t="s">
        <v>705</v>
      </c>
      <c r="I588" s="2" t="s">
        <v>1107</v>
      </c>
      <c r="J588" s="2" t="s">
        <v>1110</v>
      </c>
      <c r="K588" s="2">
        <v>4308</v>
      </c>
      <c r="L588" s="2">
        <v>4308</v>
      </c>
      <c r="M588" s="2">
        <v>86.16</v>
      </c>
      <c r="N588" s="2">
        <v>86</v>
      </c>
      <c r="O588" s="2">
        <f t="shared" si="9"/>
        <v>1500</v>
      </c>
    </row>
    <row r="589" spans="1:15" x14ac:dyDescent="0.3">
      <c r="A589" s="8">
        <v>587</v>
      </c>
      <c r="B589" s="14">
        <v>46235</v>
      </c>
      <c r="C589" s="2" t="s">
        <v>1173</v>
      </c>
      <c r="D589" s="2" t="s">
        <v>10</v>
      </c>
      <c r="E589" s="2" t="s">
        <v>935</v>
      </c>
      <c r="F589" s="2">
        <v>1</v>
      </c>
      <c r="G589" s="2" t="s">
        <v>916</v>
      </c>
      <c r="H589" s="2" t="s">
        <v>712</v>
      </c>
      <c r="I589" s="2" t="s">
        <v>1108</v>
      </c>
      <c r="J589" s="2" t="s">
        <v>1110</v>
      </c>
      <c r="K589" s="2">
        <v>61</v>
      </c>
      <c r="L589" s="2">
        <v>61</v>
      </c>
      <c r="M589" s="2">
        <v>1.22</v>
      </c>
      <c r="N589" s="2">
        <v>1</v>
      </c>
      <c r="O589" s="2">
        <f t="shared" si="9"/>
        <v>1000</v>
      </c>
    </row>
    <row r="590" spans="1:15" x14ac:dyDescent="0.3">
      <c r="A590" s="8">
        <v>588</v>
      </c>
      <c r="B590" s="14">
        <v>46235</v>
      </c>
      <c r="C590" s="2" t="s">
        <v>1340</v>
      </c>
      <c r="D590" s="2" t="s">
        <v>10</v>
      </c>
      <c r="E590" s="2" t="s">
        <v>935</v>
      </c>
      <c r="F590" s="2">
        <v>1.75</v>
      </c>
      <c r="G590" s="2" t="s">
        <v>917</v>
      </c>
      <c r="H590" s="2" t="s">
        <v>722</v>
      </c>
      <c r="I590" s="2" t="s">
        <v>1106</v>
      </c>
      <c r="J590" s="2" t="s">
        <v>1110</v>
      </c>
      <c r="K590" s="2">
        <v>5080.25</v>
      </c>
      <c r="L590" s="2">
        <v>5080.25</v>
      </c>
      <c r="M590" s="2">
        <v>101.605</v>
      </c>
      <c r="N590" s="2">
        <v>102</v>
      </c>
      <c r="O590" s="2">
        <f t="shared" si="9"/>
        <v>1750</v>
      </c>
    </row>
    <row r="591" spans="1:15" x14ac:dyDescent="0.3">
      <c r="A591" s="8">
        <v>589</v>
      </c>
      <c r="B591" s="14">
        <v>46235</v>
      </c>
      <c r="C591" s="2" t="s">
        <v>1341</v>
      </c>
      <c r="D591" s="2" t="s">
        <v>10</v>
      </c>
      <c r="E591" s="2" t="s">
        <v>935</v>
      </c>
      <c r="F591" s="2">
        <v>1.5</v>
      </c>
      <c r="G591" s="2" t="s">
        <v>918</v>
      </c>
      <c r="H591" s="2" t="s">
        <v>730</v>
      </c>
      <c r="I591" s="2" t="s">
        <v>1107</v>
      </c>
      <c r="J591" s="2" t="s">
        <v>1110</v>
      </c>
      <c r="K591" s="2">
        <v>4545</v>
      </c>
      <c r="L591" s="2">
        <v>4545</v>
      </c>
      <c r="M591" s="2">
        <v>90.9</v>
      </c>
      <c r="N591" s="2">
        <v>91</v>
      </c>
      <c r="O591" s="2">
        <f t="shared" si="9"/>
        <v>1500</v>
      </c>
    </row>
    <row r="592" spans="1:15" x14ac:dyDescent="0.3">
      <c r="A592" s="8">
        <v>590</v>
      </c>
      <c r="B592" s="14">
        <v>46235</v>
      </c>
      <c r="C592" s="2" t="s">
        <v>1342</v>
      </c>
      <c r="D592" s="2" t="s">
        <v>10</v>
      </c>
      <c r="E592" s="2" t="s">
        <v>935</v>
      </c>
      <c r="F592" s="2">
        <v>1.75</v>
      </c>
      <c r="G592" s="2" t="s">
        <v>919</v>
      </c>
      <c r="H592" s="2" t="s">
        <v>738</v>
      </c>
      <c r="I592" s="2" t="s">
        <v>1106</v>
      </c>
      <c r="J592" s="2" t="s">
        <v>1110</v>
      </c>
      <c r="K592" s="2">
        <v>5012</v>
      </c>
      <c r="L592" s="2">
        <v>5012</v>
      </c>
      <c r="M592" s="2">
        <v>100.24</v>
      </c>
      <c r="N592" s="2">
        <v>100</v>
      </c>
      <c r="O592" s="2">
        <f t="shared" si="9"/>
        <v>1750</v>
      </c>
    </row>
    <row r="593" spans="1:15" x14ac:dyDescent="0.3">
      <c r="A593" s="8">
        <v>591</v>
      </c>
      <c r="B593" s="14">
        <v>46235</v>
      </c>
      <c r="C593" s="2" t="s">
        <v>1343</v>
      </c>
      <c r="D593" s="2" t="s">
        <v>10</v>
      </c>
      <c r="E593" s="2" t="s">
        <v>935</v>
      </c>
      <c r="F593" s="2">
        <v>1.5</v>
      </c>
      <c r="G593" s="2" t="s">
        <v>920</v>
      </c>
      <c r="H593" s="2" t="s">
        <v>746</v>
      </c>
      <c r="I593" s="2" t="s">
        <v>1107</v>
      </c>
      <c r="J593" s="2" t="s">
        <v>1110</v>
      </c>
      <c r="K593" s="2">
        <v>168</v>
      </c>
      <c r="L593" s="2">
        <v>168</v>
      </c>
      <c r="M593" s="2">
        <v>3.36</v>
      </c>
      <c r="N593" s="2">
        <v>3</v>
      </c>
      <c r="O593" s="2">
        <f t="shared" si="9"/>
        <v>1500</v>
      </c>
    </row>
    <row r="594" spans="1:15" x14ac:dyDescent="0.3">
      <c r="A594" s="8">
        <v>592</v>
      </c>
      <c r="B594" s="14">
        <v>46235</v>
      </c>
      <c r="C594" s="2" t="s">
        <v>1344</v>
      </c>
      <c r="D594" s="2" t="s">
        <v>10</v>
      </c>
      <c r="E594" s="2" t="s">
        <v>935</v>
      </c>
      <c r="F594" s="2">
        <v>1.75</v>
      </c>
      <c r="G594" s="2" t="s">
        <v>921</v>
      </c>
      <c r="H594" s="2" t="s">
        <v>754</v>
      </c>
      <c r="I594" s="2" t="s">
        <v>1106</v>
      </c>
      <c r="J594" s="2" t="s">
        <v>1110</v>
      </c>
      <c r="K594" s="2">
        <v>4943.75</v>
      </c>
      <c r="L594" s="2">
        <v>4943.75</v>
      </c>
      <c r="M594" s="2">
        <v>98.875</v>
      </c>
      <c r="N594" s="2">
        <v>99</v>
      </c>
      <c r="O594" s="2">
        <f t="shared" si="9"/>
        <v>1750</v>
      </c>
    </row>
    <row r="595" spans="1:15" x14ac:dyDescent="0.3">
      <c r="A595" s="8">
        <v>593</v>
      </c>
      <c r="B595" s="14">
        <v>46235</v>
      </c>
      <c r="C595" s="2" t="s">
        <v>1345</v>
      </c>
      <c r="D595" s="2" t="s">
        <v>10</v>
      </c>
      <c r="E595" s="2" t="s">
        <v>935</v>
      </c>
      <c r="F595" s="2">
        <v>1.75</v>
      </c>
      <c r="G595" s="2" t="s">
        <v>922</v>
      </c>
      <c r="H595" s="2" t="s">
        <v>762</v>
      </c>
      <c r="I595" s="2" t="s">
        <v>1106</v>
      </c>
      <c r="J595" s="2" t="s">
        <v>1110</v>
      </c>
      <c r="K595" s="2">
        <v>4975.25</v>
      </c>
      <c r="L595" s="2">
        <v>4975.25</v>
      </c>
      <c r="M595" s="2">
        <v>99.504999999999995</v>
      </c>
      <c r="N595" s="2">
        <v>100</v>
      </c>
      <c r="O595" s="2">
        <f t="shared" si="9"/>
        <v>1750</v>
      </c>
    </row>
    <row r="596" spans="1:15" x14ac:dyDescent="0.3">
      <c r="A596" s="8">
        <v>594</v>
      </c>
      <c r="B596" s="14">
        <v>46235</v>
      </c>
      <c r="C596" s="2" t="s">
        <v>1174</v>
      </c>
      <c r="D596" s="2" t="s">
        <v>10</v>
      </c>
      <c r="E596" s="2" t="s">
        <v>935</v>
      </c>
      <c r="F596" s="2">
        <v>1</v>
      </c>
      <c r="G596" s="2" t="s">
        <v>923</v>
      </c>
      <c r="H596" s="2" t="s">
        <v>769</v>
      </c>
      <c r="I596" s="2" t="s">
        <v>1108</v>
      </c>
      <c r="J596" s="2" t="s">
        <v>1110</v>
      </c>
      <c r="K596" s="2">
        <v>171</v>
      </c>
      <c r="L596" s="2">
        <v>171</v>
      </c>
      <c r="M596" s="2">
        <v>3.42</v>
      </c>
      <c r="N596" s="2">
        <v>3</v>
      </c>
      <c r="O596" s="2">
        <f t="shared" si="9"/>
        <v>1000</v>
      </c>
    </row>
    <row r="597" spans="1:15" x14ac:dyDescent="0.3">
      <c r="A597" s="8">
        <v>595</v>
      </c>
      <c r="B597" s="14">
        <v>46235</v>
      </c>
      <c r="C597" s="2" t="s">
        <v>1346</v>
      </c>
      <c r="D597" s="2" t="s">
        <v>10</v>
      </c>
      <c r="E597" s="2" t="s">
        <v>935</v>
      </c>
      <c r="F597" s="2">
        <v>1.75</v>
      </c>
      <c r="G597" s="2" t="s">
        <v>924</v>
      </c>
      <c r="H597" s="2" t="s">
        <v>779</v>
      </c>
      <c r="I597" s="2" t="s">
        <v>1106</v>
      </c>
      <c r="J597" s="2" t="s">
        <v>1110</v>
      </c>
      <c r="K597" s="2">
        <v>5598.25</v>
      </c>
      <c r="L597" s="2">
        <v>5598.25</v>
      </c>
      <c r="M597" s="2">
        <v>111.965</v>
      </c>
      <c r="N597" s="2">
        <v>112</v>
      </c>
      <c r="O597" s="2">
        <f t="shared" si="9"/>
        <v>1750</v>
      </c>
    </row>
    <row r="598" spans="1:15" x14ac:dyDescent="0.3">
      <c r="A598" s="8">
        <v>596</v>
      </c>
      <c r="B598" s="14">
        <v>46235</v>
      </c>
      <c r="C598" s="2" t="s">
        <v>1267</v>
      </c>
      <c r="D598" s="2" t="s">
        <v>10</v>
      </c>
      <c r="E598" s="2" t="s">
        <v>935</v>
      </c>
      <c r="F598" s="2">
        <v>1.5</v>
      </c>
      <c r="G598" s="2" t="s">
        <v>925</v>
      </c>
      <c r="H598" s="2" t="s">
        <v>787</v>
      </c>
      <c r="I598" s="2" t="s">
        <v>1107</v>
      </c>
      <c r="J598" s="2" t="s">
        <v>1110</v>
      </c>
      <c r="K598" s="2">
        <v>4249.5</v>
      </c>
      <c r="L598" s="2">
        <v>4249.5</v>
      </c>
      <c r="M598" s="2">
        <v>84.99</v>
      </c>
      <c r="N598" s="2">
        <v>85</v>
      </c>
      <c r="O598" s="2">
        <f t="shared" si="9"/>
        <v>1500</v>
      </c>
    </row>
    <row r="599" spans="1:15" x14ac:dyDescent="0.3">
      <c r="A599" s="8">
        <v>597</v>
      </c>
      <c r="B599" s="14">
        <v>46235</v>
      </c>
      <c r="C599" s="2" t="s">
        <v>1347</v>
      </c>
      <c r="D599" s="2" t="s">
        <v>10</v>
      </c>
      <c r="E599" s="2" t="s">
        <v>935</v>
      </c>
      <c r="F599" s="2">
        <v>1.75</v>
      </c>
      <c r="G599" s="2" t="s">
        <v>926</v>
      </c>
      <c r="H599" s="2" t="s">
        <v>795</v>
      </c>
      <c r="I599" s="2" t="s">
        <v>1106</v>
      </c>
      <c r="J599" s="2" t="s">
        <v>1110</v>
      </c>
      <c r="K599" s="2">
        <v>5276.25</v>
      </c>
      <c r="L599" s="2">
        <v>5276.25</v>
      </c>
      <c r="M599" s="2">
        <v>105.52500000000001</v>
      </c>
      <c r="N599" s="2">
        <v>106</v>
      </c>
      <c r="O599" s="2">
        <f t="shared" si="9"/>
        <v>1750</v>
      </c>
    </row>
    <row r="600" spans="1:15" x14ac:dyDescent="0.3">
      <c r="A600" s="8">
        <v>598</v>
      </c>
      <c r="B600" s="14">
        <v>46235</v>
      </c>
      <c r="C600" s="2" t="s">
        <v>1175</v>
      </c>
      <c r="D600" s="2" t="s">
        <v>10</v>
      </c>
      <c r="E600" s="2" t="s">
        <v>935</v>
      </c>
      <c r="F600" s="2">
        <v>1</v>
      </c>
      <c r="G600" s="2" t="s">
        <v>927</v>
      </c>
      <c r="H600" s="2" t="s">
        <v>802</v>
      </c>
      <c r="I600" s="2" t="s">
        <v>1108</v>
      </c>
      <c r="J600" s="2" t="s">
        <v>1110</v>
      </c>
      <c r="K600" s="2">
        <v>241</v>
      </c>
      <c r="L600" s="2">
        <v>241</v>
      </c>
      <c r="M600" s="2">
        <v>4.82</v>
      </c>
      <c r="N600" s="2">
        <v>5</v>
      </c>
      <c r="O600" s="2">
        <f t="shared" si="9"/>
        <v>1000</v>
      </c>
    </row>
    <row r="601" spans="1:15" x14ac:dyDescent="0.3">
      <c r="A601" s="8">
        <v>599</v>
      </c>
      <c r="B601" s="14">
        <v>46235</v>
      </c>
      <c r="C601" s="2" t="s">
        <v>1348</v>
      </c>
      <c r="D601" s="2" t="s">
        <v>10</v>
      </c>
      <c r="E601" s="2" t="s">
        <v>935</v>
      </c>
      <c r="F601" s="2">
        <v>1.75</v>
      </c>
      <c r="G601" s="2" t="s">
        <v>928</v>
      </c>
      <c r="H601" s="2" t="s">
        <v>812</v>
      </c>
      <c r="I601" s="2" t="s">
        <v>1104</v>
      </c>
      <c r="J601" s="2" t="s">
        <v>1110</v>
      </c>
      <c r="K601" s="2">
        <v>1473.5</v>
      </c>
      <c r="L601" s="2">
        <v>1473.5</v>
      </c>
      <c r="M601" s="2">
        <v>29.47</v>
      </c>
      <c r="N601" s="2">
        <v>29</v>
      </c>
      <c r="O601" s="2">
        <f t="shared" si="9"/>
        <v>1750</v>
      </c>
    </row>
    <row r="602" spans="1:15" x14ac:dyDescent="0.3">
      <c r="A602" s="8">
        <v>600</v>
      </c>
      <c r="B602" s="14">
        <v>46235</v>
      </c>
      <c r="C602" s="2" t="s">
        <v>1349</v>
      </c>
      <c r="D602" s="2" t="s">
        <v>10</v>
      </c>
      <c r="E602" s="2" t="s">
        <v>935</v>
      </c>
      <c r="F602" s="2">
        <v>1.75</v>
      </c>
      <c r="G602" s="2" t="s">
        <v>929</v>
      </c>
      <c r="H602" s="2" t="s">
        <v>820</v>
      </c>
      <c r="I602" s="2" t="s">
        <v>1104</v>
      </c>
      <c r="J602" s="2" t="s">
        <v>1110</v>
      </c>
      <c r="K602" s="2">
        <v>1477</v>
      </c>
      <c r="L602" s="2">
        <v>1477</v>
      </c>
      <c r="M602" s="2">
        <v>29.54</v>
      </c>
      <c r="N602" s="2">
        <v>30</v>
      </c>
      <c r="O602" s="2">
        <f t="shared" si="9"/>
        <v>1750</v>
      </c>
    </row>
    <row r="603" spans="1:15" x14ac:dyDescent="0.3">
      <c r="A603" s="8">
        <v>601</v>
      </c>
      <c r="B603" s="14">
        <v>46235</v>
      </c>
      <c r="C603" s="2" t="s">
        <v>1350</v>
      </c>
      <c r="D603" s="2" t="s">
        <v>10</v>
      </c>
      <c r="E603" s="2" t="s">
        <v>935</v>
      </c>
      <c r="F603" s="2">
        <v>1.5</v>
      </c>
      <c r="G603" s="2" t="s">
        <v>930</v>
      </c>
      <c r="H603" s="2" t="s">
        <v>828</v>
      </c>
      <c r="I603" s="2" t="s">
        <v>1107</v>
      </c>
      <c r="J603" s="2" t="s">
        <v>1110</v>
      </c>
      <c r="K603" s="2">
        <v>138</v>
      </c>
      <c r="L603" s="2">
        <v>138</v>
      </c>
      <c r="M603" s="2">
        <v>2.76</v>
      </c>
      <c r="N603" s="2">
        <v>3</v>
      </c>
      <c r="O603" s="2">
        <f t="shared" si="9"/>
        <v>1500</v>
      </c>
    </row>
    <row r="604" spans="1:15" x14ac:dyDescent="0.3">
      <c r="A604" s="8">
        <v>602</v>
      </c>
      <c r="B604" s="14">
        <v>46235</v>
      </c>
      <c r="C604" s="2" t="s">
        <v>1351</v>
      </c>
      <c r="D604" s="2" t="s">
        <v>10</v>
      </c>
      <c r="E604" s="2" t="s">
        <v>935</v>
      </c>
      <c r="F604" s="2">
        <v>1.75</v>
      </c>
      <c r="G604" s="2" t="s">
        <v>931</v>
      </c>
      <c r="H604" s="2" t="s">
        <v>836</v>
      </c>
      <c r="I604" s="2" t="s">
        <v>1106</v>
      </c>
      <c r="J604" s="2" t="s">
        <v>1110</v>
      </c>
      <c r="K604" s="2">
        <v>2455.25</v>
      </c>
      <c r="L604" s="2">
        <v>2455.25</v>
      </c>
      <c r="M604" s="2">
        <v>49.104999999999997</v>
      </c>
      <c r="N604" s="2">
        <v>49</v>
      </c>
      <c r="O604" s="2">
        <f t="shared" si="9"/>
        <v>1750</v>
      </c>
    </row>
    <row r="605" spans="1:15" x14ac:dyDescent="0.3">
      <c r="A605" s="8">
        <v>603</v>
      </c>
      <c r="B605" s="14">
        <v>46235</v>
      </c>
      <c r="C605" s="2" t="s">
        <v>1176</v>
      </c>
      <c r="D605" s="2" t="s">
        <v>10</v>
      </c>
      <c r="E605" s="2" t="s">
        <v>935</v>
      </c>
      <c r="F605" s="2">
        <v>1</v>
      </c>
      <c r="G605" s="2" t="s">
        <v>932</v>
      </c>
      <c r="H605" s="2" t="s">
        <v>843</v>
      </c>
      <c r="I605" s="2" t="s">
        <v>1109</v>
      </c>
      <c r="J605" s="2" t="s">
        <v>1110</v>
      </c>
      <c r="K605" s="2">
        <v>3070</v>
      </c>
      <c r="L605" s="2">
        <v>3070</v>
      </c>
      <c r="M605" s="2">
        <v>61.4</v>
      </c>
      <c r="N605" s="2">
        <v>61</v>
      </c>
      <c r="O605" s="2">
        <f t="shared" si="9"/>
        <v>1000</v>
      </c>
    </row>
    <row r="606" spans="1:15" x14ac:dyDescent="0.3">
      <c r="A606" s="8">
        <v>604</v>
      </c>
      <c r="B606" s="14">
        <v>46235</v>
      </c>
      <c r="C606" s="2" t="s">
        <v>1177</v>
      </c>
      <c r="D606" s="2" t="s">
        <v>10</v>
      </c>
      <c r="E606" s="2" t="s">
        <v>935</v>
      </c>
      <c r="F606" s="2">
        <v>1</v>
      </c>
      <c r="G606" s="2" t="s">
        <v>933</v>
      </c>
      <c r="H606" s="2" t="s">
        <v>852</v>
      </c>
      <c r="I606" s="2" t="s">
        <v>1109</v>
      </c>
      <c r="J606" s="2" t="s">
        <v>1110</v>
      </c>
      <c r="K606" s="2">
        <v>3270</v>
      </c>
      <c r="L606" s="2">
        <v>3270</v>
      </c>
      <c r="M606" s="2">
        <v>65.400000000000006</v>
      </c>
      <c r="N606" s="2">
        <v>65</v>
      </c>
      <c r="O606" s="2">
        <f t="shared" si="9"/>
        <v>1000</v>
      </c>
    </row>
    <row r="607" spans="1:15" x14ac:dyDescent="0.3">
      <c r="A607" s="8">
        <v>605</v>
      </c>
      <c r="B607" s="14">
        <v>46266</v>
      </c>
      <c r="C607" s="2" t="s">
        <v>1269</v>
      </c>
      <c r="D607" s="2" t="s">
        <v>12</v>
      </c>
      <c r="E607" s="2" t="s">
        <v>935</v>
      </c>
      <c r="F607" s="2">
        <v>1.25</v>
      </c>
      <c r="G607" s="2" t="s">
        <v>1045</v>
      </c>
      <c r="H607" s="2" t="s">
        <v>17</v>
      </c>
      <c r="I607" s="2" t="s">
        <v>1046</v>
      </c>
      <c r="J607" s="2" t="s">
        <v>1110</v>
      </c>
      <c r="K607" s="2">
        <v>2437.5</v>
      </c>
      <c r="L607" s="2">
        <v>2437.5</v>
      </c>
      <c r="M607" s="2">
        <v>48.75</v>
      </c>
      <c r="N607" s="2">
        <v>49</v>
      </c>
      <c r="O607" s="2">
        <f t="shared" si="9"/>
        <v>1250</v>
      </c>
    </row>
    <row r="608" spans="1:15" x14ac:dyDescent="0.3">
      <c r="A608" s="8">
        <v>606</v>
      </c>
      <c r="B608" s="14">
        <v>46266</v>
      </c>
      <c r="C608" s="2" t="s">
        <v>1282</v>
      </c>
      <c r="D608" s="2" t="s">
        <v>12</v>
      </c>
      <c r="E608" s="2" t="s">
        <v>935</v>
      </c>
      <c r="F608" s="2">
        <v>1.25</v>
      </c>
      <c r="G608" s="2" t="s">
        <v>1048</v>
      </c>
      <c r="H608" s="2" t="s">
        <v>936</v>
      </c>
      <c r="I608" s="2" t="s">
        <v>1049</v>
      </c>
      <c r="J608" s="2" t="s">
        <v>1110</v>
      </c>
      <c r="K608" s="2">
        <v>667.5</v>
      </c>
      <c r="L608" s="2">
        <v>667.5</v>
      </c>
      <c r="M608" s="2">
        <v>13.35</v>
      </c>
      <c r="N608" s="2">
        <v>13</v>
      </c>
      <c r="O608" s="2">
        <f t="shared" si="9"/>
        <v>1250</v>
      </c>
    </row>
    <row r="609" spans="1:15" x14ac:dyDescent="0.3">
      <c r="A609" s="8">
        <v>607</v>
      </c>
      <c r="B609" s="14">
        <v>46266</v>
      </c>
      <c r="C609" s="2" t="s">
        <v>1270</v>
      </c>
      <c r="D609" s="2" t="s">
        <v>12</v>
      </c>
      <c r="E609" s="2" t="s">
        <v>935</v>
      </c>
      <c r="F609" s="2">
        <v>1.25</v>
      </c>
      <c r="G609" s="2" t="s">
        <v>1050</v>
      </c>
      <c r="H609" s="2" t="s">
        <v>26</v>
      </c>
      <c r="I609" s="2" t="s">
        <v>1046</v>
      </c>
      <c r="J609" s="2" t="s">
        <v>1110</v>
      </c>
      <c r="K609" s="2">
        <v>4793.75</v>
      </c>
      <c r="L609" s="2">
        <v>4793.75</v>
      </c>
      <c r="M609" s="2">
        <v>95.875</v>
      </c>
      <c r="N609" s="2">
        <v>96</v>
      </c>
      <c r="O609" s="2">
        <f t="shared" si="9"/>
        <v>1250</v>
      </c>
    </row>
    <row r="610" spans="1:15" x14ac:dyDescent="0.3">
      <c r="A610" s="8">
        <v>608</v>
      </c>
      <c r="B610" s="14">
        <v>46266</v>
      </c>
      <c r="C610" s="2" t="s">
        <v>1283</v>
      </c>
      <c r="D610" s="2" t="s">
        <v>12</v>
      </c>
      <c r="E610" s="2" t="s">
        <v>935</v>
      </c>
      <c r="F610" s="2">
        <v>1.25</v>
      </c>
      <c r="G610" s="2" t="s">
        <v>1051</v>
      </c>
      <c r="H610" s="2" t="s">
        <v>34</v>
      </c>
      <c r="I610" s="2" t="s">
        <v>1052</v>
      </c>
      <c r="J610" s="2" t="s">
        <v>1110</v>
      </c>
      <c r="K610" s="2">
        <v>2648.75</v>
      </c>
      <c r="L610" s="2">
        <v>2648.75</v>
      </c>
      <c r="M610" s="2">
        <v>52.975000000000001</v>
      </c>
      <c r="N610" s="2">
        <v>53</v>
      </c>
      <c r="O610" s="2">
        <f t="shared" si="9"/>
        <v>1250</v>
      </c>
    </row>
    <row r="611" spans="1:15" x14ac:dyDescent="0.3">
      <c r="A611" s="8">
        <v>609</v>
      </c>
      <c r="B611" s="14">
        <v>46266</v>
      </c>
      <c r="C611" s="2" t="s">
        <v>1284</v>
      </c>
      <c r="D611" s="2" t="s">
        <v>12</v>
      </c>
      <c r="E611" s="2" t="s">
        <v>935</v>
      </c>
      <c r="F611" s="2">
        <v>1.25</v>
      </c>
      <c r="G611" s="2" t="s">
        <v>1053</v>
      </c>
      <c r="H611" s="2" t="s">
        <v>937</v>
      </c>
      <c r="I611" s="2" t="s">
        <v>1049</v>
      </c>
      <c r="J611" s="2" t="s">
        <v>1110</v>
      </c>
      <c r="K611" s="2">
        <v>1225</v>
      </c>
      <c r="L611" s="2">
        <v>1225</v>
      </c>
      <c r="M611" s="2">
        <v>24.5</v>
      </c>
      <c r="N611" s="2">
        <v>25</v>
      </c>
      <c r="O611" s="2">
        <f t="shared" si="9"/>
        <v>1250</v>
      </c>
    </row>
    <row r="612" spans="1:15" x14ac:dyDescent="0.3">
      <c r="A612" s="8">
        <v>610</v>
      </c>
      <c r="B612" s="14">
        <v>46266</v>
      </c>
      <c r="C612" s="2" t="s">
        <v>1271</v>
      </c>
      <c r="D612" s="2" t="s">
        <v>12</v>
      </c>
      <c r="E612" s="2" t="s">
        <v>935</v>
      </c>
      <c r="F612" s="2">
        <v>1</v>
      </c>
      <c r="G612" s="2" t="s">
        <v>1054</v>
      </c>
      <c r="H612" s="2" t="s">
        <v>43</v>
      </c>
      <c r="I612" s="2" t="s">
        <v>1055</v>
      </c>
      <c r="J612" s="2" t="s">
        <v>1110</v>
      </c>
      <c r="K612" s="2">
        <v>4864</v>
      </c>
      <c r="L612" s="2">
        <v>4864</v>
      </c>
      <c r="M612" s="2">
        <v>97.28</v>
      </c>
      <c r="N612" s="2">
        <v>97</v>
      </c>
      <c r="O612" s="2">
        <f t="shared" si="9"/>
        <v>1000</v>
      </c>
    </row>
    <row r="613" spans="1:15" x14ac:dyDescent="0.3">
      <c r="A613" s="8">
        <v>611</v>
      </c>
      <c r="B613" s="14">
        <v>46266</v>
      </c>
      <c r="C613" s="2" t="s">
        <v>1272</v>
      </c>
      <c r="D613" s="2" t="s">
        <v>12</v>
      </c>
      <c r="E613" s="2" t="s">
        <v>935</v>
      </c>
      <c r="F613" s="2">
        <v>1</v>
      </c>
      <c r="G613" s="2" t="s">
        <v>1056</v>
      </c>
      <c r="H613" s="2" t="s">
        <v>51</v>
      </c>
      <c r="I613" s="2" t="s">
        <v>1055</v>
      </c>
      <c r="J613" s="2" t="s">
        <v>1110</v>
      </c>
      <c r="K613" s="2">
        <v>4608</v>
      </c>
      <c r="L613" s="2">
        <v>4608</v>
      </c>
      <c r="M613" s="2">
        <v>92.16</v>
      </c>
      <c r="N613" s="2">
        <v>92</v>
      </c>
      <c r="O613" s="2">
        <f t="shared" si="9"/>
        <v>1000</v>
      </c>
    </row>
    <row r="614" spans="1:15" x14ac:dyDescent="0.3">
      <c r="A614" s="8">
        <v>612</v>
      </c>
      <c r="B614" s="14">
        <v>46266</v>
      </c>
      <c r="C614" s="2" t="s">
        <v>1273</v>
      </c>
      <c r="D614" s="2" t="s">
        <v>12</v>
      </c>
      <c r="E614" s="2" t="s">
        <v>935</v>
      </c>
      <c r="F614" s="2">
        <v>1.25</v>
      </c>
      <c r="G614" s="2" t="s">
        <v>1057</v>
      </c>
      <c r="H614" s="2" t="s">
        <v>59</v>
      </c>
      <c r="I614" s="2" t="s">
        <v>1058</v>
      </c>
      <c r="J614" s="2" t="s">
        <v>1110</v>
      </c>
      <c r="K614" s="2">
        <v>4073.75</v>
      </c>
      <c r="L614" s="2">
        <v>4073.75</v>
      </c>
      <c r="M614" s="2">
        <v>81.474999999999994</v>
      </c>
      <c r="N614" s="2">
        <v>81</v>
      </c>
      <c r="O614" s="2">
        <f t="shared" si="9"/>
        <v>1250</v>
      </c>
    </row>
    <row r="615" spans="1:15" x14ac:dyDescent="0.3">
      <c r="A615" s="8">
        <v>613</v>
      </c>
      <c r="B615" s="14">
        <v>46266</v>
      </c>
      <c r="C615" s="2" t="s">
        <v>1274</v>
      </c>
      <c r="D615" s="2" t="s">
        <v>12</v>
      </c>
      <c r="E615" s="2" t="s">
        <v>935</v>
      </c>
      <c r="F615" s="2">
        <v>1.25</v>
      </c>
      <c r="G615" s="2" t="s">
        <v>1059</v>
      </c>
      <c r="H615" s="2" t="s">
        <v>67</v>
      </c>
      <c r="I615" s="2" t="s">
        <v>1060</v>
      </c>
      <c r="J615" s="2" t="s">
        <v>1110</v>
      </c>
      <c r="K615" s="2">
        <v>2985</v>
      </c>
      <c r="L615" s="2">
        <v>2985</v>
      </c>
      <c r="M615" s="2">
        <v>59.7</v>
      </c>
      <c r="N615" s="2">
        <v>60</v>
      </c>
      <c r="O615" s="2">
        <f t="shared" si="9"/>
        <v>1250</v>
      </c>
    </row>
    <row r="616" spans="1:15" x14ac:dyDescent="0.3">
      <c r="A616" s="8">
        <v>614</v>
      </c>
      <c r="B616" s="14">
        <v>46266</v>
      </c>
      <c r="C616" s="2" t="s">
        <v>1285</v>
      </c>
      <c r="D616" s="2" t="s">
        <v>12</v>
      </c>
      <c r="E616" s="2" t="s">
        <v>935</v>
      </c>
      <c r="F616" s="2">
        <v>1.25</v>
      </c>
      <c r="G616" s="2" t="s">
        <v>860</v>
      </c>
      <c r="H616" s="2" t="s">
        <v>75</v>
      </c>
      <c r="I616" s="2" t="s">
        <v>1049</v>
      </c>
      <c r="J616" s="2" t="s">
        <v>1110</v>
      </c>
      <c r="K616" s="2">
        <v>386.25</v>
      </c>
      <c r="L616" s="2">
        <v>386.25</v>
      </c>
      <c r="M616" s="2">
        <v>7.7249999999999996</v>
      </c>
      <c r="N616" s="2">
        <v>8</v>
      </c>
      <c r="O616" s="2">
        <f t="shared" si="9"/>
        <v>1250</v>
      </c>
    </row>
    <row r="617" spans="1:15" x14ac:dyDescent="0.3">
      <c r="A617" s="8">
        <v>615</v>
      </c>
      <c r="B617" s="14">
        <v>46266</v>
      </c>
      <c r="C617" s="2" t="s">
        <v>1286</v>
      </c>
      <c r="D617" s="2" t="s">
        <v>12</v>
      </c>
      <c r="E617" s="2" t="s">
        <v>935</v>
      </c>
      <c r="F617" s="2">
        <v>1.25</v>
      </c>
      <c r="G617" s="2" t="s">
        <v>861</v>
      </c>
      <c r="H617" s="2" t="s">
        <v>83</v>
      </c>
      <c r="I617" s="2" t="s">
        <v>1052</v>
      </c>
      <c r="J617" s="2" t="s">
        <v>1110</v>
      </c>
      <c r="K617" s="2">
        <v>5385</v>
      </c>
      <c r="L617" s="2">
        <v>5385</v>
      </c>
      <c r="M617" s="2">
        <v>107.7</v>
      </c>
      <c r="N617" s="2">
        <v>108</v>
      </c>
      <c r="O617" s="2">
        <f t="shared" si="9"/>
        <v>1250</v>
      </c>
    </row>
    <row r="618" spans="1:15" x14ac:dyDescent="0.3">
      <c r="A618" s="8">
        <v>616</v>
      </c>
      <c r="B618" s="14">
        <v>46266</v>
      </c>
      <c r="C618" s="2" t="s">
        <v>1287</v>
      </c>
      <c r="D618" s="2" t="s">
        <v>12</v>
      </c>
      <c r="E618" s="2" t="s">
        <v>935</v>
      </c>
      <c r="F618" s="2">
        <v>1.25</v>
      </c>
      <c r="G618" s="2" t="s">
        <v>862</v>
      </c>
      <c r="H618" s="2" t="s">
        <v>91</v>
      </c>
      <c r="I618" s="2" t="s">
        <v>1052</v>
      </c>
      <c r="J618" s="2" t="s">
        <v>1110</v>
      </c>
      <c r="K618" s="2">
        <v>4826.25</v>
      </c>
      <c r="L618" s="2">
        <v>4826.25</v>
      </c>
      <c r="M618" s="2">
        <v>96.525000000000006</v>
      </c>
      <c r="N618" s="2">
        <v>97</v>
      </c>
      <c r="O618" s="2">
        <f t="shared" si="9"/>
        <v>1250</v>
      </c>
    </row>
    <row r="619" spans="1:15" x14ac:dyDescent="0.3">
      <c r="A619" s="8">
        <v>617</v>
      </c>
      <c r="B619" s="14">
        <v>46266</v>
      </c>
      <c r="C619" s="2" t="s">
        <v>1288</v>
      </c>
      <c r="D619" s="2" t="s">
        <v>12</v>
      </c>
      <c r="E619" s="2" t="s">
        <v>935</v>
      </c>
      <c r="F619" s="2">
        <v>1</v>
      </c>
      <c r="G619" s="2" t="s">
        <v>1061</v>
      </c>
      <c r="H619" s="2" t="s">
        <v>99</v>
      </c>
      <c r="I619" s="2" t="s">
        <v>1062</v>
      </c>
      <c r="J619" s="2" t="s">
        <v>1110</v>
      </c>
      <c r="K619" s="2">
        <v>2785</v>
      </c>
      <c r="L619" s="2">
        <v>2785</v>
      </c>
      <c r="M619" s="2">
        <v>55.7</v>
      </c>
      <c r="N619" s="2">
        <v>56</v>
      </c>
      <c r="O619" s="2">
        <f t="shared" si="9"/>
        <v>1000</v>
      </c>
    </row>
    <row r="620" spans="1:15" x14ac:dyDescent="0.3">
      <c r="A620" s="8">
        <v>618</v>
      </c>
      <c r="B620" s="14">
        <v>46266</v>
      </c>
      <c r="C620" s="2" t="s">
        <v>1289</v>
      </c>
      <c r="D620" s="2" t="s">
        <v>12</v>
      </c>
      <c r="E620" s="2" t="s">
        <v>935</v>
      </c>
      <c r="F620" s="2">
        <v>1</v>
      </c>
      <c r="G620" s="2" t="s">
        <v>1063</v>
      </c>
      <c r="H620" s="2" t="s">
        <v>107</v>
      </c>
      <c r="I620" s="2" t="s">
        <v>1062</v>
      </c>
      <c r="J620" s="2" t="s">
        <v>1110</v>
      </c>
      <c r="K620" s="2">
        <v>2421</v>
      </c>
      <c r="L620" s="2">
        <v>2421</v>
      </c>
      <c r="M620" s="2">
        <v>48.42</v>
      </c>
      <c r="N620" s="2">
        <v>48</v>
      </c>
      <c r="O620" s="2">
        <f t="shared" si="9"/>
        <v>1000</v>
      </c>
    </row>
    <row r="621" spans="1:15" x14ac:dyDescent="0.3">
      <c r="A621" s="8">
        <v>619</v>
      </c>
      <c r="B621" s="14">
        <v>46266</v>
      </c>
      <c r="C621" s="2" t="s">
        <v>1290</v>
      </c>
      <c r="D621" s="2" t="s">
        <v>12</v>
      </c>
      <c r="E621" s="2" t="s">
        <v>935</v>
      </c>
      <c r="F621" s="2">
        <v>1</v>
      </c>
      <c r="G621" s="2" t="s">
        <v>1064</v>
      </c>
      <c r="H621" s="2" t="s">
        <v>115</v>
      </c>
      <c r="I621" s="2" t="s">
        <v>1062</v>
      </c>
      <c r="J621" s="2" t="s">
        <v>1110</v>
      </c>
      <c r="K621" s="2">
        <v>3764</v>
      </c>
      <c r="L621" s="2">
        <v>3764</v>
      </c>
      <c r="M621" s="2">
        <v>75.28</v>
      </c>
      <c r="N621" s="2">
        <v>75</v>
      </c>
      <c r="O621" s="2">
        <f t="shared" si="9"/>
        <v>1000</v>
      </c>
    </row>
    <row r="622" spans="1:15" x14ac:dyDescent="0.3">
      <c r="A622" s="8">
        <v>620</v>
      </c>
      <c r="B622" s="14">
        <v>46266</v>
      </c>
      <c r="C622" s="2" t="s">
        <v>1291</v>
      </c>
      <c r="D622" s="2" t="s">
        <v>12</v>
      </c>
      <c r="E622" s="2" t="s">
        <v>935</v>
      </c>
      <c r="F622" s="2">
        <v>1</v>
      </c>
      <c r="G622" s="2" t="s">
        <v>1065</v>
      </c>
      <c r="H622" s="2" t="s">
        <v>123</v>
      </c>
      <c r="I622" s="2" t="s">
        <v>1062</v>
      </c>
      <c r="J622" s="2" t="s">
        <v>1110</v>
      </c>
      <c r="K622" s="2">
        <v>2893</v>
      </c>
      <c r="L622" s="2">
        <v>2893</v>
      </c>
      <c r="M622" s="2">
        <v>57.86</v>
      </c>
      <c r="N622" s="2">
        <v>58</v>
      </c>
      <c r="O622" s="2">
        <f t="shared" si="9"/>
        <v>1000</v>
      </c>
    </row>
    <row r="623" spans="1:15" x14ac:dyDescent="0.3">
      <c r="A623" s="8">
        <v>621</v>
      </c>
      <c r="B623" s="14">
        <v>46266</v>
      </c>
      <c r="C623" s="2" t="s">
        <v>1275</v>
      </c>
      <c r="D623" s="2" t="s">
        <v>12</v>
      </c>
      <c r="E623" s="2" t="s">
        <v>935</v>
      </c>
      <c r="F623" s="2">
        <v>1.25</v>
      </c>
      <c r="G623" s="2" t="s">
        <v>891</v>
      </c>
      <c r="H623" s="2" t="s">
        <v>131</v>
      </c>
      <c r="I623" s="2" t="s">
        <v>1066</v>
      </c>
      <c r="J623" s="2" t="s">
        <v>1110</v>
      </c>
      <c r="K623" s="2">
        <v>3585</v>
      </c>
      <c r="L623" s="2">
        <v>3585</v>
      </c>
      <c r="M623" s="2">
        <v>71.7</v>
      </c>
      <c r="N623" s="2">
        <v>72</v>
      </c>
      <c r="O623" s="2">
        <f t="shared" si="9"/>
        <v>1250</v>
      </c>
    </row>
    <row r="624" spans="1:15" x14ac:dyDescent="0.3">
      <c r="A624" s="8">
        <v>622</v>
      </c>
      <c r="B624" s="14">
        <v>46266</v>
      </c>
      <c r="C624" s="2" t="s">
        <v>1276</v>
      </c>
      <c r="D624" s="2" t="s">
        <v>12</v>
      </c>
      <c r="E624" s="2" t="s">
        <v>935</v>
      </c>
      <c r="F624" s="2">
        <v>1.25</v>
      </c>
      <c r="G624" s="2" t="s">
        <v>892</v>
      </c>
      <c r="H624" s="2" t="s">
        <v>139</v>
      </c>
      <c r="I624" s="2" t="s">
        <v>1066</v>
      </c>
      <c r="J624" s="2" t="s">
        <v>1110</v>
      </c>
      <c r="K624" s="2">
        <v>4350</v>
      </c>
      <c r="L624" s="2">
        <v>4350</v>
      </c>
      <c r="M624" s="2">
        <v>87</v>
      </c>
      <c r="N624" s="2">
        <v>87</v>
      </c>
      <c r="O624" s="2">
        <f t="shared" si="9"/>
        <v>1250</v>
      </c>
    </row>
    <row r="625" spans="1:15" x14ac:dyDescent="0.3">
      <c r="A625" s="8">
        <v>623</v>
      </c>
      <c r="B625" s="14">
        <v>46266</v>
      </c>
      <c r="C625" s="2" t="s">
        <v>1277</v>
      </c>
      <c r="D625" s="2" t="s">
        <v>12</v>
      </c>
      <c r="E625" s="2" t="s">
        <v>935</v>
      </c>
      <c r="F625" s="2">
        <v>1.25</v>
      </c>
      <c r="G625" s="2" t="s">
        <v>893</v>
      </c>
      <c r="H625" s="2" t="s">
        <v>147</v>
      </c>
      <c r="I625" s="2" t="s">
        <v>1067</v>
      </c>
      <c r="J625" s="2" t="s">
        <v>1110</v>
      </c>
      <c r="K625" s="2">
        <v>5288.75</v>
      </c>
      <c r="L625" s="2">
        <v>5288.75</v>
      </c>
      <c r="M625" s="2">
        <v>105.77500000000001</v>
      </c>
      <c r="N625" s="2">
        <v>106</v>
      </c>
      <c r="O625" s="2">
        <f t="shared" si="9"/>
        <v>1250</v>
      </c>
    </row>
    <row r="626" spans="1:15" x14ac:dyDescent="0.3">
      <c r="A626" s="8">
        <v>624</v>
      </c>
      <c r="B626" s="14">
        <v>46266</v>
      </c>
      <c r="C626" s="2" t="s">
        <v>1278</v>
      </c>
      <c r="D626" s="2" t="s">
        <v>12</v>
      </c>
      <c r="E626" s="2" t="s">
        <v>935</v>
      </c>
      <c r="F626" s="2">
        <v>1.25</v>
      </c>
      <c r="G626" s="2" t="s">
        <v>894</v>
      </c>
      <c r="H626" s="2" t="s">
        <v>155</v>
      </c>
      <c r="I626" s="2" t="s">
        <v>1068</v>
      </c>
      <c r="J626" s="2" t="s">
        <v>1110</v>
      </c>
      <c r="K626" s="2">
        <v>4813.75</v>
      </c>
      <c r="L626" s="2">
        <v>4813.75</v>
      </c>
      <c r="M626" s="2">
        <v>96.275000000000006</v>
      </c>
      <c r="N626" s="2">
        <v>96</v>
      </c>
      <c r="O626" s="2">
        <f t="shared" si="9"/>
        <v>1250</v>
      </c>
    </row>
    <row r="627" spans="1:15" x14ac:dyDescent="0.3">
      <c r="A627" s="8">
        <v>625</v>
      </c>
      <c r="B627" s="14">
        <v>46266</v>
      </c>
      <c r="C627" s="2" t="s">
        <v>1279</v>
      </c>
      <c r="D627" s="2" t="s">
        <v>12</v>
      </c>
      <c r="E627" s="2" t="s">
        <v>935</v>
      </c>
      <c r="F627" s="2">
        <v>1.25</v>
      </c>
      <c r="G627" s="2" t="s">
        <v>895</v>
      </c>
      <c r="H627" s="2" t="s">
        <v>163</v>
      </c>
      <c r="I627" s="2" t="s">
        <v>1066</v>
      </c>
      <c r="J627" s="2" t="s">
        <v>1110</v>
      </c>
      <c r="K627" s="2">
        <v>3925</v>
      </c>
      <c r="L627" s="2">
        <v>3925</v>
      </c>
      <c r="M627" s="2">
        <v>78.5</v>
      </c>
      <c r="N627" s="2">
        <v>79</v>
      </c>
      <c r="O627" s="2">
        <f t="shared" si="9"/>
        <v>1250</v>
      </c>
    </row>
    <row r="628" spans="1:15" x14ac:dyDescent="0.3">
      <c r="A628" s="8">
        <v>626</v>
      </c>
      <c r="B628" s="14">
        <v>46266</v>
      </c>
      <c r="C628" s="2" t="s">
        <v>1280</v>
      </c>
      <c r="D628" s="2" t="s">
        <v>12</v>
      </c>
      <c r="E628" s="2" t="s">
        <v>935</v>
      </c>
      <c r="F628" s="2">
        <v>1.25</v>
      </c>
      <c r="G628" s="2" t="s">
        <v>896</v>
      </c>
      <c r="H628" s="2" t="s">
        <v>171</v>
      </c>
      <c r="I628" s="2" t="s">
        <v>1066</v>
      </c>
      <c r="J628" s="2" t="s">
        <v>1110</v>
      </c>
      <c r="K628" s="2">
        <v>4588.75</v>
      </c>
      <c r="L628" s="2">
        <v>4588.75</v>
      </c>
      <c r="M628" s="2">
        <v>91.775000000000006</v>
      </c>
      <c r="N628" s="2">
        <v>92</v>
      </c>
      <c r="O628" s="2">
        <f t="shared" si="9"/>
        <v>1250</v>
      </c>
    </row>
    <row r="629" spans="1:15" x14ac:dyDescent="0.3">
      <c r="A629" s="8">
        <v>627</v>
      </c>
      <c r="B629" s="14">
        <v>46266</v>
      </c>
      <c r="C629" s="2" t="s">
        <v>1281</v>
      </c>
      <c r="D629" s="2" t="s">
        <v>12</v>
      </c>
      <c r="E629" s="2" t="s">
        <v>935</v>
      </c>
      <c r="F629" s="2">
        <v>1</v>
      </c>
      <c r="G629" s="2" t="s">
        <v>897</v>
      </c>
      <c r="H629" s="2" t="s">
        <v>179</v>
      </c>
      <c r="I629" s="2" t="s">
        <v>1069</v>
      </c>
      <c r="J629" s="2" t="s">
        <v>1110</v>
      </c>
      <c r="K629" s="2">
        <v>4022</v>
      </c>
      <c r="L629" s="2">
        <v>4022</v>
      </c>
      <c r="M629" s="2">
        <v>80.44</v>
      </c>
      <c r="N629" s="2">
        <v>80</v>
      </c>
      <c r="O629" s="2">
        <f t="shared" si="9"/>
        <v>1000</v>
      </c>
    </row>
    <row r="630" spans="1:15" x14ac:dyDescent="0.3">
      <c r="A630" s="8">
        <v>628</v>
      </c>
      <c r="B630" s="14">
        <v>46266</v>
      </c>
      <c r="C630" s="2" t="s">
        <v>1292</v>
      </c>
      <c r="D630" s="2" t="s">
        <v>12</v>
      </c>
      <c r="E630" s="2" t="s">
        <v>935</v>
      </c>
      <c r="F630" s="2">
        <v>1.25</v>
      </c>
      <c r="G630" s="2" t="s">
        <v>898</v>
      </c>
      <c r="H630" s="2" t="s">
        <v>187</v>
      </c>
      <c r="I630" s="2" t="s">
        <v>1068</v>
      </c>
      <c r="J630" s="2" t="s">
        <v>1110</v>
      </c>
      <c r="K630" s="2">
        <v>4345</v>
      </c>
      <c r="L630" s="2">
        <v>4345</v>
      </c>
      <c r="M630" s="2">
        <v>86.9</v>
      </c>
      <c r="N630" s="2">
        <v>87</v>
      </c>
      <c r="O630" s="2">
        <f t="shared" si="9"/>
        <v>1250</v>
      </c>
    </row>
    <row r="631" spans="1:15" x14ac:dyDescent="0.3">
      <c r="A631" s="8">
        <v>629</v>
      </c>
      <c r="B631" s="14">
        <v>46266</v>
      </c>
      <c r="C631" s="2" t="s">
        <v>1293</v>
      </c>
      <c r="D631" s="2" t="s">
        <v>12</v>
      </c>
      <c r="E631" s="2" t="s">
        <v>935</v>
      </c>
      <c r="F631" s="2">
        <v>1.25</v>
      </c>
      <c r="G631" s="2" t="s">
        <v>899</v>
      </c>
      <c r="H631" s="2" t="s">
        <v>195</v>
      </c>
      <c r="I631" s="2" t="s">
        <v>1068</v>
      </c>
      <c r="J631" s="2" t="s">
        <v>1110</v>
      </c>
      <c r="K631" s="2">
        <v>5158.75</v>
      </c>
      <c r="L631" s="2">
        <v>5158.75</v>
      </c>
      <c r="M631" s="2">
        <v>103.175</v>
      </c>
      <c r="N631" s="2">
        <v>103</v>
      </c>
      <c r="O631" s="2">
        <f t="shared" si="9"/>
        <v>1250</v>
      </c>
    </row>
    <row r="632" spans="1:15" x14ac:dyDescent="0.3">
      <c r="A632" s="8">
        <v>630</v>
      </c>
      <c r="B632" s="14">
        <v>46266</v>
      </c>
      <c r="C632" s="2" t="s">
        <v>1135</v>
      </c>
      <c r="D632" s="2" t="s">
        <v>12</v>
      </c>
      <c r="E632" s="2" t="s">
        <v>935</v>
      </c>
      <c r="F632" s="2">
        <v>1</v>
      </c>
      <c r="G632" s="2" t="s">
        <v>900</v>
      </c>
      <c r="H632" s="2" t="s">
        <v>203</v>
      </c>
      <c r="I632" s="2" t="s">
        <v>1069</v>
      </c>
      <c r="J632" s="2" t="s">
        <v>1110</v>
      </c>
      <c r="K632" s="2">
        <v>4245</v>
      </c>
      <c r="L632" s="2">
        <v>4245</v>
      </c>
      <c r="M632" s="2">
        <v>84.9</v>
      </c>
      <c r="N632" s="2">
        <v>85</v>
      </c>
      <c r="O632" s="2">
        <f t="shared" si="9"/>
        <v>1000</v>
      </c>
    </row>
    <row r="633" spans="1:15" x14ac:dyDescent="0.3">
      <c r="A633" s="8">
        <v>631</v>
      </c>
      <c r="B633" s="14">
        <v>46266</v>
      </c>
      <c r="C633" s="2" t="s">
        <v>1149</v>
      </c>
      <c r="D633" s="2" t="s">
        <v>12</v>
      </c>
      <c r="E633" s="2" t="s">
        <v>935</v>
      </c>
      <c r="F633" s="2">
        <v>1.25</v>
      </c>
      <c r="G633" s="2" t="s">
        <v>901</v>
      </c>
      <c r="H633" s="2" t="s">
        <v>211</v>
      </c>
      <c r="I633" s="2" t="s">
        <v>1066</v>
      </c>
      <c r="J633" s="2" t="s">
        <v>1110</v>
      </c>
      <c r="K633" s="2">
        <v>3991.25</v>
      </c>
      <c r="L633" s="2">
        <v>3991.25</v>
      </c>
      <c r="M633" s="2">
        <v>79.825000000000003</v>
      </c>
      <c r="N633" s="2">
        <v>80</v>
      </c>
      <c r="O633" s="2">
        <f t="shared" si="9"/>
        <v>1250</v>
      </c>
    </row>
    <row r="634" spans="1:15" x14ac:dyDescent="0.3">
      <c r="A634" s="8">
        <v>632</v>
      </c>
      <c r="B634" s="14">
        <v>46266</v>
      </c>
      <c r="C634" s="2" t="s">
        <v>1137</v>
      </c>
      <c r="D634" s="2" t="s">
        <v>12</v>
      </c>
      <c r="E634" s="2" t="s">
        <v>935</v>
      </c>
      <c r="F634" s="2">
        <v>1.25</v>
      </c>
      <c r="G634" s="2" t="s">
        <v>902</v>
      </c>
      <c r="H634" s="2" t="s">
        <v>219</v>
      </c>
      <c r="I634" s="2" t="s">
        <v>1067</v>
      </c>
      <c r="J634" s="2" t="s">
        <v>1110</v>
      </c>
      <c r="K634" s="2">
        <v>5331.25</v>
      </c>
      <c r="L634" s="2">
        <v>5331.25</v>
      </c>
      <c r="M634" s="2">
        <v>106.625</v>
      </c>
      <c r="N634" s="2">
        <v>107</v>
      </c>
      <c r="O634" s="2">
        <f t="shared" si="9"/>
        <v>1250</v>
      </c>
    </row>
    <row r="635" spans="1:15" x14ac:dyDescent="0.3">
      <c r="A635" s="8">
        <v>633</v>
      </c>
      <c r="B635" s="14">
        <v>46266</v>
      </c>
      <c r="C635" s="2" t="s">
        <v>1131</v>
      </c>
      <c r="D635" s="2" t="s">
        <v>12</v>
      </c>
      <c r="E635" s="2" t="s">
        <v>935</v>
      </c>
      <c r="F635" s="2">
        <v>1</v>
      </c>
      <c r="G635" s="2" t="s">
        <v>903</v>
      </c>
      <c r="H635" s="2" t="s">
        <v>227</v>
      </c>
      <c r="I635" s="2" t="s">
        <v>1069</v>
      </c>
      <c r="J635" s="2" t="s">
        <v>1110</v>
      </c>
      <c r="K635" s="2">
        <v>4192</v>
      </c>
      <c r="L635" s="2">
        <v>4192</v>
      </c>
      <c r="M635" s="2">
        <v>83.84</v>
      </c>
      <c r="N635" s="2">
        <v>84</v>
      </c>
      <c r="O635" s="2">
        <f t="shared" si="9"/>
        <v>1000</v>
      </c>
    </row>
    <row r="636" spans="1:15" x14ac:dyDescent="0.3">
      <c r="A636" s="8">
        <v>634</v>
      </c>
      <c r="B636" s="14">
        <v>46266</v>
      </c>
      <c r="C636" s="2" t="s">
        <v>1130</v>
      </c>
      <c r="D636" s="2" t="s">
        <v>12</v>
      </c>
      <c r="E636" s="2" t="s">
        <v>935</v>
      </c>
      <c r="F636" s="2">
        <v>1</v>
      </c>
      <c r="G636" s="2" t="s">
        <v>904</v>
      </c>
      <c r="H636" s="2" t="s">
        <v>235</v>
      </c>
      <c r="I636" s="2" t="s">
        <v>1070</v>
      </c>
      <c r="J636" s="2" t="s">
        <v>1110</v>
      </c>
      <c r="K636" s="2">
        <v>126</v>
      </c>
      <c r="L636" s="2">
        <v>126</v>
      </c>
      <c r="M636" s="2">
        <v>2.52</v>
      </c>
      <c r="N636" s="2">
        <v>3</v>
      </c>
      <c r="O636" s="2">
        <f t="shared" si="9"/>
        <v>1000</v>
      </c>
    </row>
    <row r="637" spans="1:15" x14ac:dyDescent="0.3">
      <c r="A637" s="8">
        <v>635</v>
      </c>
      <c r="B637" s="14">
        <v>46266</v>
      </c>
      <c r="C637" s="2" t="s">
        <v>1139</v>
      </c>
      <c r="D637" s="2" t="s">
        <v>12</v>
      </c>
      <c r="E637" s="2" t="s">
        <v>935</v>
      </c>
      <c r="F637" s="2">
        <v>1.25</v>
      </c>
      <c r="G637" s="2" t="s">
        <v>905</v>
      </c>
      <c r="H637" s="2" t="s">
        <v>243</v>
      </c>
      <c r="I637" s="2" t="s">
        <v>1067</v>
      </c>
      <c r="J637" s="2" t="s">
        <v>1110</v>
      </c>
      <c r="K637" s="2">
        <v>2078.75</v>
      </c>
      <c r="L637" s="2">
        <v>2078.75</v>
      </c>
      <c r="M637" s="2">
        <v>41.575000000000003</v>
      </c>
      <c r="N637" s="2">
        <v>42</v>
      </c>
      <c r="O637" s="2">
        <f t="shared" si="9"/>
        <v>1250</v>
      </c>
    </row>
    <row r="638" spans="1:15" x14ac:dyDescent="0.3">
      <c r="A638" s="8">
        <v>636</v>
      </c>
      <c r="B638" s="14">
        <v>46266</v>
      </c>
      <c r="C638" s="2" t="s">
        <v>1294</v>
      </c>
      <c r="D638" s="2" t="s">
        <v>12</v>
      </c>
      <c r="E638" s="2" t="s">
        <v>935</v>
      </c>
      <c r="F638" s="2">
        <v>1.25</v>
      </c>
      <c r="G638" s="2" t="s">
        <v>1071</v>
      </c>
      <c r="H638" s="2" t="s">
        <v>251</v>
      </c>
      <c r="I638" s="2" t="s">
        <v>1072</v>
      </c>
      <c r="J638" s="2" t="s">
        <v>1110</v>
      </c>
      <c r="K638" s="2">
        <v>3383.75</v>
      </c>
      <c r="L638" s="2">
        <v>3383.75</v>
      </c>
      <c r="M638" s="2">
        <v>67.674999999999997</v>
      </c>
      <c r="N638" s="2">
        <v>68</v>
      </c>
      <c r="O638" s="2">
        <f t="shared" si="9"/>
        <v>1250</v>
      </c>
    </row>
    <row r="639" spans="1:15" x14ac:dyDescent="0.3">
      <c r="A639" s="8">
        <v>637</v>
      </c>
      <c r="B639" s="14">
        <v>46266</v>
      </c>
      <c r="C639" s="2" t="s">
        <v>1295</v>
      </c>
      <c r="D639" s="2" t="s">
        <v>12</v>
      </c>
      <c r="E639" s="2" t="s">
        <v>935</v>
      </c>
      <c r="F639" s="2">
        <v>1.25</v>
      </c>
      <c r="G639" s="2" t="s">
        <v>1073</v>
      </c>
      <c r="H639" s="2" t="s">
        <v>259</v>
      </c>
      <c r="I639" s="2" t="s">
        <v>1072</v>
      </c>
      <c r="J639" s="2" t="s">
        <v>1110</v>
      </c>
      <c r="K639" s="2">
        <v>2665</v>
      </c>
      <c r="L639" s="2">
        <v>2665</v>
      </c>
      <c r="M639" s="2">
        <v>53.3</v>
      </c>
      <c r="N639" s="2">
        <v>53</v>
      </c>
      <c r="O639" s="2">
        <f t="shared" si="9"/>
        <v>1250</v>
      </c>
    </row>
    <row r="640" spans="1:15" x14ac:dyDescent="0.3">
      <c r="A640" s="8">
        <v>638</v>
      </c>
      <c r="B640" s="14">
        <v>46266</v>
      </c>
      <c r="C640" s="2" t="s">
        <v>1296</v>
      </c>
      <c r="D640" s="2" t="s">
        <v>12</v>
      </c>
      <c r="E640" s="2" t="s">
        <v>935</v>
      </c>
      <c r="F640" s="2">
        <v>1.25</v>
      </c>
      <c r="G640" s="2" t="s">
        <v>1074</v>
      </c>
      <c r="H640" s="2" t="s">
        <v>267</v>
      </c>
      <c r="I640" s="2" t="s">
        <v>1072</v>
      </c>
      <c r="J640" s="2" t="s">
        <v>1110</v>
      </c>
      <c r="K640" s="2">
        <v>4166.25</v>
      </c>
      <c r="L640" s="2">
        <v>4166.25</v>
      </c>
      <c r="M640" s="2">
        <v>83.325000000000003</v>
      </c>
      <c r="N640" s="2">
        <v>83</v>
      </c>
      <c r="O640" s="2">
        <f t="shared" si="9"/>
        <v>1250</v>
      </c>
    </row>
    <row r="641" spans="1:15" x14ac:dyDescent="0.3">
      <c r="A641" s="8">
        <v>639</v>
      </c>
      <c r="B641" s="14">
        <v>46266</v>
      </c>
      <c r="C641" s="2" t="s">
        <v>1297</v>
      </c>
      <c r="D641" s="2" t="s">
        <v>12</v>
      </c>
      <c r="E641" s="2" t="s">
        <v>935</v>
      </c>
      <c r="F641" s="2">
        <v>1.25</v>
      </c>
      <c r="G641" s="2" t="s">
        <v>1075</v>
      </c>
      <c r="H641" s="2" t="s">
        <v>275</v>
      </c>
      <c r="I641" s="2" t="s">
        <v>1072</v>
      </c>
      <c r="J641" s="2" t="s">
        <v>1110</v>
      </c>
      <c r="K641" s="2">
        <v>3156.25</v>
      </c>
      <c r="L641" s="2">
        <v>3156.25</v>
      </c>
      <c r="M641" s="2">
        <v>63.125</v>
      </c>
      <c r="N641" s="2">
        <v>63</v>
      </c>
      <c r="O641" s="2">
        <f t="shared" si="9"/>
        <v>1250</v>
      </c>
    </row>
    <row r="642" spans="1:15" x14ac:dyDescent="0.3">
      <c r="A642" s="8">
        <v>640</v>
      </c>
      <c r="B642" s="14">
        <v>46266</v>
      </c>
      <c r="C642" s="2" t="s">
        <v>1298</v>
      </c>
      <c r="D642" s="2" t="s">
        <v>12</v>
      </c>
      <c r="E642" s="2" t="s">
        <v>935</v>
      </c>
      <c r="F642" s="2">
        <v>1</v>
      </c>
      <c r="G642" s="2" t="s">
        <v>864</v>
      </c>
      <c r="H642" s="2" t="s">
        <v>283</v>
      </c>
      <c r="I642" s="2" t="s">
        <v>1076</v>
      </c>
      <c r="J642" s="2" t="s">
        <v>1110</v>
      </c>
      <c r="K642" s="2">
        <v>184</v>
      </c>
      <c r="L642" s="2">
        <v>184</v>
      </c>
      <c r="M642" s="2">
        <v>3.68</v>
      </c>
      <c r="N642" s="2">
        <v>4</v>
      </c>
      <c r="O642" s="2">
        <f t="shared" si="9"/>
        <v>1000</v>
      </c>
    </row>
    <row r="643" spans="1:15" x14ac:dyDescent="0.3">
      <c r="A643" s="8">
        <v>641</v>
      </c>
      <c r="B643" s="14">
        <v>46266</v>
      </c>
      <c r="C643" s="2" t="s">
        <v>1299</v>
      </c>
      <c r="D643" s="2" t="s">
        <v>12</v>
      </c>
      <c r="E643" s="2" t="s">
        <v>935</v>
      </c>
      <c r="F643" s="2">
        <v>1</v>
      </c>
      <c r="G643" s="2" t="s">
        <v>865</v>
      </c>
      <c r="H643" s="2" t="s">
        <v>291</v>
      </c>
      <c r="I643" s="2" t="s">
        <v>1077</v>
      </c>
      <c r="J643" s="2" t="s">
        <v>1110</v>
      </c>
      <c r="K643" s="2">
        <v>2792</v>
      </c>
      <c r="L643" s="2">
        <v>2792</v>
      </c>
      <c r="M643" s="2">
        <v>55.84</v>
      </c>
      <c r="N643" s="2">
        <v>56</v>
      </c>
      <c r="O643" s="2">
        <f t="shared" ref="O643:O706" si="10">F643*1000</f>
        <v>1000</v>
      </c>
    </row>
    <row r="644" spans="1:15" x14ac:dyDescent="0.3">
      <c r="A644" s="8">
        <v>642</v>
      </c>
      <c r="B644" s="14">
        <v>46266</v>
      </c>
      <c r="C644" s="2" t="s">
        <v>1300</v>
      </c>
      <c r="D644" s="2" t="s">
        <v>12</v>
      </c>
      <c r="E644" s="2" t="s">
        <v>935</v>
      </c>
      <c r="F644" s="2">
        <v>1.25</v>
      </c>
      <c r="G644" s="2" t="s">
        <v>1078</v>
      </c>
      <c r="H644" s="2" t="s">
        <v>299</v>
      </c>
      <c r="I644" s="2" t="s">
        <v>1072</v>
      </c>
      <c r="J644" s="2" t="s">
        <v>1110</v>
      </c>
      <c r="K644" s="2">
        <v>900</v>
      </c>
      <c r="L644" s="2">
        <v>900</v>
      </c>
      <c r="M644" s="2">
        <v>18</v>
      </c>
      <c r="N644" s="2">
        <v>18</v>
      </c>
      <c r="O644" s="2">
        <f t="shared" si="10"/>
        <v>1250</v>
      </c>
    </row>
    <row r="645" spans="1:15" x14ac:dyDescent="0.3">
      <c r="A645" s="8">
        <v>643</v>
      </c>
      <c r="B645" s="14">
        <v>46266</v>
      </c>
      <c r="C645" s="2" t="s">
        <v>1301</v>
      </c>
      <c r="D645" s="2" t="s">
        <v>12</v>
      </c>
      <c r="E645" s="2" t="s">
        <v>935</v>
      </c>
      <c r="F645" s="2">
        <v>1.25</v>
      </c>
      <c r="G645" s="2" t="s">
        <v>866</v>
      </c>
      <c r="H645" s="2" t="s">
        <v>307</v>
      </c>
      <c r="I645" s="2" t="s">
        <v>1079</v>
      </c>
      <c r="J645" s="2" t="s">
        <v>1110</v>
      </c>
      <c r="K645" s="2">
        <v>375</v>
      </c>
      <c r="L645" s="2">
        <v>375</v>
      </c>
      <c r="M645" s="2">
        <v>7.5</v>
      </c>
      <c r="N645" s="2">
        <v>8</v>
      </c>
      <c r="O645" s="2">
        <f t="shared" si="10"/>
        <v>1250</v>
      </c>
    </row>
    <row r="646" spans="1:15" x14ac:dyDescent="0.3">
      <c r="A646" s="8">
        <v>644</v>
      </c>
      <c r="B646" s="14">
        <v>46266</v>
      </c>
      <c r="C646" s="2" t="s">
        <v>1302</v>
      </c>
      <c r="D646" s="2" t="s">
        <v>12</v>
      </c>
      <c r="E646" s="2" t="s">
        <v>935</v>
      </c>
      <c r="F646" s="2">
        <v>1.25</v>
      </c>
      <c r="G646" s="2" t="s">
        <v>1080</v>
      </c>
      <c r="H646" s="2" t="s">
        <v>315</v>
      </c>
      <c r="I646" s="2" t="s">
        <v>1081</v>
      </c>
      <c r="J646" s="2" t="s">
        <v>1110</v>
      </c>
      <c r="K646" s="2">
        <v>3118.75</v>
      </c>
      <c r="L646" s="2">
        <v>3118.75</v>
      </c>
      <c r="M646" s="2">
        <v>62.375</v>
      </c>
      <c r="N646" s="2">
        <v>62</v>
      </c>
      <c r="O646" s="2">
        <f t="shared" si="10"/>
        <v>1250</v>
      </c>
    </row>
    <row r="647" spans="1:15" x14ac:dyDescent="0.3">
      <c r="A647" s="8">
        <v>645</v>
      </c>
      <c r="B647" s="14">
        <v>46266</v>
      </c>
      <c r="C647" s="2" t="s">
        <v>1303</v>
      </c>
      <c r="D647" s="2" t="s">
        <v>12</v>
      </c>
      <c r="E647" s="2" t="s">
        <v>935</v>
      </c>
      <c r="F647" s="2">
        <v>1</v>
      </c>
      <c r="G647" s="2" t="s">
        <v>867</v>
      </c>
      <c r="H647" s="2" t="s">
        <v>323</v>
      </c>
      <c r="I647" s="2" t="s">
        <v>1077</v>
      </c>
      <c r="J647" s="2" t="s">
        <v>1110</v>
      </c>
      <c r="K647" s="2">
        <v>4202</v>
      </c>
      <c r="L647" s="2">
        <v>4202</v>
      </c>
      <c r="M647" s="2">
        <v>84.04</v>
      </c>
      <c r="N647" s="2">
        <v>84</v>
      </c>
      <c r="O647" s="2">
        <f t="shared" si="10"/>
        <v>1000</v>
      </c>
    </row>
    <row r="648" spans="1:15" x14ac:dyDescent="0.3">
      <c r="A648" s="8">
        <v>646</v>
      </c>
      <c r="B648" s="14">
        <v>46266</v>
      </c>
      <c r="C648" s="2" t="s">
        <v>1304</v>
      </c>
      <c r="D648" s="2" t="s">
        <v>12</v>
      </c>
      <c r="E648" s="2" t="s">
        <v>935</v>
      </c>
      <c r="F648" s="2">
        <v>1.25</v>
      </c>
      <c r="G648" s="2" t="s">
        <v>1082</v>
      </c>
      <c r="H648" s="2" t="s">
        <v>331</v>
      </c>
      <c r="I648" s="2" t="s">
        <v>1072</v>
      </c>
      <c r="J648" s="2" t="s">
        <v>1110</v>
      </c>
      <c r="K648" s="2">
        <v>3610</v>
      </c>
      <c r="L648" s="2">
        <v>3610</v>
      </c>
      <c r="M648" s="2">
        <v>72.2</v>
      </c>
      <c r="N648" s="2">
        <v>72</v>
      </c>
      <c r="O648" s="2">
        <f t="shared" si="10"/>
        <v>1250</v>
      </c>
    </row>
    <row r="649" spans="1:15" x14ac:dyDescent="0.3">
      <c r="A649" s="8">
        <v>647</v>
      </c>
      <c r="B649" s="14">
        <v>46266</v>
      </c>
      <c r="C649" s="2" t="s">
        <v>1305</v>
      </c>
      <c r="D649" s="2" t="s">
        <v>12</v>
      </c>
      <c r="E649" s="2" t="s">
        <v>935</v>
      </c>
      <c r="F649" s="2">
        <v>1.25</v>
      </c>
      <c r="G649" s="2" t="s">
        <v>1083</v>
      </c>
      <c r="H649" s="2" t="s">
        <v>339</v>
      </c>
      <c r="I649" s="2" t="s">
        <v>1072</v>
      </c>
      <c r="J649" s="2" t="s">
        <v>1110</v>
      </c>
      <c r="K649" s="2">
        <v>2381.25</v>
      </c>
      <c r="L649" s="2">
        <v>2381.25</v>
      </c>
      <c r="M649" s="2">
        <v>47.625</v>
      </c>
      <c r="N649" s="2">
        <v>48</v>
      </c>
      <c r="O649" s="2">
        <f t="shared" si="10"/>
        <v>1250</v>
      </c>
    </row>
    <row r="650" spans="1:15" x14ac:dyDescent="0.3">
      <c r="A650" s="8">
        <v>648</v>
      </c>
      <c r="B650" s="14">
        <v>46266</v>
      </c>
      <c r="C650" s="2" t="s">
        <v>1306</v>
      </c>
      <c r="D650" s="2" t="s">
        <v>12</v>
      </c>
      <c r="E650" s="2" t="s">
        <v>935</v>
      </c>
      <c r="F650" s="2">
        <v>1.25</v>
      </c>
      <c r="G650" s="2" t="s">
        <v>868</v>
      </c>
      <c r="H650" s="2" t="s">
        <v>347</v>
      </c>
      <c r="I650" s="2" t="s">
        <v>1081</v>
      </c>
      <c r="J650" s="2" t="s">
        <v>1110</v>
      </c>
      <c r="K650" s="2">
        <v>3882.5</v>
      </c>
      <c r="L650" s="2">
        <v>3882.5</v>
      </c>
      <c r="M650" s="2">
        <v>77.650000000000006</v>
      </c>
      <c r="N650" s="2">
        <v>78</v>
      </c>
      <c r="O650" s="2">
        <f t="shared" si="10"/>
        <v>1250</v>
      </c>
    </row>
    <row r="651" spans="1:15" x14ac:dyDescent="0.3">
      <c r="A651" s="8">
        <v>649</v>
      </c>
      <c r="B651" s="14">
        <v>46266</v>
      </c>
      <c r="C651" s="2" t="s">
        <v>1307</v>
      </c>
      <c r="D651" s="2" t="s">
        <v>12</v>
      </c>
      <c r="E651" s="2" t="s">
        <v>935</v>
      </c>
      <c r="F651" s="2">
        <v>1.25</v>
      </c>
      <c r="G651" s="2" t="s">
        <v>1084</v>
      </c>
      <c r="H651" s="2" t="s">
        <v>355</v>
      </c>
      <c r="I651" s="2" t="s">
        <v>1072</v>
      </c>
      <c r="J651" s="2" t="s">
        <v>1110</v>
      </c>
      <c r="K651" s="2">
        <v>2863.75</v>
      </c>
      <c r="L651" s="2">
        <v>2863.75</v>
      </c>
      <c r="M651" s="2">
        <v>57.274999999999999</v>
      </c>
      <c r="N651" s="2">
        <v>57</v>
      </c>
      <c r="O651" s="2">
        <f t="shared" si="10"/>
        <v>1250</v>
      </c>
    </row>
    <row r="652" spans="1:15" x14ac:dyDescent="0.3">
      <c r="A652" s="8">
        <v>650</v>
      </c>
      <c r="B652" s="14">
        <v>46266</v>
      </c>
      <c r="C652" s="2" t="s">
        <v>1308</v>
      </c>
      <c r="D652" s="2" t="s">
        <v>12</v>
      </c>
      <c r="E652" s="2" t="s">
        <v>935</v>
      </c>
      <c r="F652" s="2">
        <v>1.25</v>
      </c>
      <c r="G652" s="2" t="s">
        <v>863</v>
      </c>
      <c r="H652" s="2" t="s">
        <v>363</v>
      </c>
      <c r="I652" s="2" t="s">
        <v>1044</v>
      </c>
      <c r="J652" s="2" t="s">
        <v>1110</v>
      </c>
      <c r="K652" s="2">
        <v>3163.75</v>
      </c>
      <c r="L652" s="2">
        <v>3163.75</v>
      </c>
      <c r="M652" s="2">
        <v>63.274999999999999</v>
      </c>
      <c r="N652" s="2">
        <v>63</v>
      </c>
      <c r="O652" s="2">
        <f t="shared" si="10"/>
        <v>1250</v>
      </c>
    </row>
    <row r="653" spans="1:15" x14ac:dyDescent="0.3">
      <c r="A653" s="8">
        <v>651</v>
      </c>
      <c r="B653" s="14">
        <v>46266</v>
      </c>
      <c r="C653" s="2" t="s">
        <v>1309</v>
      </c>
      <c r="D653" s="2" t="s">
        <v>12</v>
      </c>
      <c r="E653" s="2" t="s">
        <v>935</v>
      </c>
      <c r="F653" s="2">
        <v>1.25</v>
      </c>
      <c r="G653" s="2" t="s">
        <v>869</v>
      </c>
      <c r="H653" s="2" t="s">
        <v>371</v>
      </c>
      <c r="I653" s="2" t="s">
        <v>1044</v>
      </c>
      <c r="J653" s="2" t="s">
        <v>1110</v>
      </c>
      <c r="K653" s="2">
        <v>3566.25</v>
      </c>
      <c r="L653" s="2">
        <v>3566.25</v>
      </c>
      <c r="M653" s="2">
        <v>71.325000000000003</v>
      </c>
      <c r="N653" s="2">
        <v>71</v>
      </c>
      <c r="O653" s="2">
        <f t="shared" si="10"/>
        <v>1250</v>
      </c>
    </row>
    <row r="654" spans="1:15" x14ac:dyDescent="0.3">
      <c r="A654" s="8">
        <v>652</v>
      </c>
      <c r="B654" s="14">
        <v>46266</v>
      </c>
      <c r="C654" s="2" t="s">
        <v>1310</v>
      </c>
      <c r="D654" s="2" t="s">
        <v>12</v>
      </c>
      <c r="E654" s="2" t="s">
        <v>935</v>
      </c>
      <c r="F654" s="2">
        <v>1.25</v>
      </c>
      <c r="G654" s="2" t="s">
        <v>870</v>
      </c>
      <c r="H654" s="2" t="s">
        <v>379</v>
      </c>
      <c r="I654" s="2" t="s">
        <v>1044</v>
      </c>
      <c r="J654" s="2" t="s">
        <v>1110</v>
      </c>
      <c r="K654" s="2">
        <v>3503.75</v>
      </c>
      <c r="L654" s="2">
        <v>3503.75</v>
      </c>
      <c r="M654" s="2">
        <v>70.075000000000003</v>
      </c>
      <c r="N654" s="2">
        <v>70</v>
      </c>
      <c r="O654" s="2">
        <f t="shared" si="10"/>
        <v>1250</v>
      </c>
    </row>
    <row r="655" spans="1:15" x14ac:dyDescent="0.3">
      <c r="A655" s="8">
        <v>653</v>
      </c>
      <c r="B655" s="14">
        <v>46266</v>
      </c>
      <c r="C655" s="2" t="s">
        <v>1311</v>
      </c>
      <c r="D655" s="2" t="s">
        <v>12</v>
      </c>
      <c r="E655" s="2" t="s">
        <v>935</v>
      </c>
      <c r="F655" s="2">
        <v>1.25</v>
      </c>
      <c r="G655" s="2" t="s">
        <v>871</v>
      </c>
      <c r="H655" s="2" t="s">
        <v>387</v>
      </c>
      <c r="I655" s="2" t="s">
        <v>1044</v>
      </c>
      <c r="J655" s="2" t="s">
        <v>1110</v>
      </c>
      <c r="K655" s="2">
        <v>3523.75</v>
      </c>
      <c r="L655" s="2">
        <v>3523.75</v>
      </c>
      <c r="M655" s="2">
        <v>70.474999999999994</v>
      </c>
      <c r="N655" s="2">
        <v>70</v>
      </c>
      <c r="O655" s="2">
        <f t="shared" si="10"/>
        <v>1250</v>
      </c>
    </row>
    <row r="656" spans="1:15" x14ac:dyDescent="0.3">
      <c r="A656" s="8">
        <v>654</v>
      </c>
      <c r="B656" s="14">
        <v>46266</v>
      </c>
      <c r="C656" s="2" t="s">
        <v>1268</v>
      </c>
      <c r="D656" s="2" t="s">
        <v>12</v>
      </c>
      <c r="E656" s="2" t="s">
        <v>935</v>
      </c>
      <c r="F656" s="2">
        <v>1.25</v>
      </c>
      <c r="G656" s="2" t="s">
        <v>1042</v>
      </c>
      <c r="H656" s="2" t="s">
        <v>395</v>
      </c>
      <c r="I656" s="2" t="s">
        <v>1044</v>
      </c>
      <c r="J656" s="2" t="s">
        <v>1110</v>
      </c>
      <c r="K656" s="2">
        <v>3358.75</v>
      </c>
      <c r="L656" s="2">
        <v>3358.75</v>
      </c>
      <c r="M656" s="2">
        <v>67.174999999999997</v>
      </c>
      <c r="N656" s="2">
        <v>67</v>
      </c>
      <c r="O656" s="2">
        <f t="shared" si="10"/>
        <v>1250</v>
      </c>
    </row>
    <row r="657" spans="1:15" x14ac:dyDescent="0.3">
      <c r="A657" s="8">
        <v>655</v>
      </c>
      <c r="B657" s="14">
        <v>46266</v>
      </c>
      <c r="C657" s="2" t="s">
        <v>1312</v>
      </c>
      <c r="D657" s="2" t="s">
        <v>12</v>
      </c>
      <c r="E657" s="2" t="s">
        <v>935</v>
      </c>
      <c r="F657" s="2">
        <v>0.5</v>
      </c>
      <c r="G657" s="2" t="s">
        <v>872</v>
      </c>
      <c r="H657" s="2" t="s">
        <v>402</v>
      </c>
      <c r="I657" s="2" t="s">
        <v>1085</v>
      </c>
      <c r="J657" s="2" t="s">
        <v>1110</v>
      </c>
      <c r="K657" s="2">
        <v>1432.5</v>
      </c>
      <c r="L657" s="2">
        <v>1432.5</v>
      </c>
      <c r="M657" s="2">
        <v>28.65</v>
      </c>
      <c r="N657" s="2">
        <v>29</v>
      </c>
      <c r="O657" s="2">
        <f t="shared" si="10"/>
        <v>500</v>
      </c>
    </row>
    <row r="658" spans="1:15" x14ac:dyDescent="0.3">
      <c r="A658" s="8">
        <v>656</v>
      </c>
      <c r="B658" s="14">
        <v>46266</v>
      </c>
      <c r="C658" s="2" t="s">
        <v>1313</v>
      </c>
      <c r="D658" s="2" t="s">
        <v>12</v>
      </c>
      <c r="E658" s="2" t="s">
        <v>935</v>
      </c>
      <c r="F658" s="2">
        <v>1.25</v>
      </c>
      <c r="G658" s="2" t="s">
        <v>1086</v>
      </c>
      <c r="H658" s="2" t="s">
        <v>412</v>
      </c>
      <c r="I658" s="2" t="s">
        <v>1087</v>
      </c>
      <c r="J658" s="2" t="s">
        <v>1110</v>
      </c>
      <c r="K658" s="2">
        <v>4913.75</v>
      </c>
      <c r="L658" s="2">
        <v>4913.75</v>
      </c>
      <c r="M658" s="2">
        <v>98.275000000000006</v>
      </c>
      <c r="N658" s="2">
        <v>98</v>
      </c>
      <c r="O658" s="2">
        <f t="shared" si="10"/>
        <v>1250</v>
      </c>
    </row>
    <row r="659" spans="1:15" x14ac:dyDescent="0.3">
      <c r="A659" s="8">
        <v>657</v>
      </c>
      <c r="B659" s="14">
        <v>46266</v>
      </c>
      <c r="C659" s="2" t="s">
        <v>1314</v>
      </c>
      <c r="D659" s="2" t="s">
        <v>12</v>
      </c>
      <c r="E659" s="2" t="s">
        <v>935</v>
      </c>
      <c r="F659" s="2">
        <v>1.25</v>
      </c>
      <c r="G659" s="2" t="s">
        <v>1088</v>
      </c>
      <c r="H659" s="2" t="s">
        <v>420</v>
      </c>
      <c r="I659" s="2" t="s">
        <v>1044</v>
      </c>
      <c r="J659" s="2" t="s">
        <v>1110</v>
      </c>
      <c r="K659" s="2">
        <v>2956.25</v>
      </c>
      <c r="L659" s="2">
        <v>2956.25</v>
      </c>
      <c r="M659" s="2">
        <v>59.125</v>
      </c>
      <c r="N659" s="2">
        <v>59</v>
      </c>
      <c r="O659" s="2">
        <f t="shared" si="10"/>
        <v>1250</v>
      </c>
    </row>
    <row r="660" spans="1:15" x14ac:dyDescent="0.3">
      <c r="A660" s="8">
        <v>658</v>
      </c>
      <c r="B660" s="14">
        <v>46266</v>
      </c>
      <c r="C660" s="2" t="s">
        <v>1315</v>
      </c>
      <c r="D660" s="2" t="s">
        <v>12</v>
      </c>
      <c r="E660" s="2" t="s">
        <v>935</v>
      </c>
      <c r="F660" s="2">
        <v>0.75</v>
      </c>
      <c r="G660" s="2" t="s">
        <v>873</v>
      </c>
      <c r="H660" s="2" t="s">
        <v>428</v>
      </c>
      <c r="I660" s="2" t="s">
        <v>1089</v>
      </c>
      <c r="J660" s="2" t="s">
        <v>1110</v>
      </c>
      <c r="K660" s="2">
        <v>2249.25</v>
      </c>
      <c r="L660" s="2">
        <v>2249.25</v>
      </c>
      <c r="M660" s="2">
        <v>44.984999999999999</v>
      </c>
      <c r="N660" s="2">
        <v>45</v>
      </c>
      <c r="O660" s="2">
        <f t="shared" si="10"/>
        <v>750</v>
      </c>
    </row>
    <row r="661" spans="1:15" x14ac:dyDescent="0.3">
      <c r="A661" s="8">
        <v>659</v>
      </c>
      <c r="B661" s="14">
        <v>46266</v>
      </c>
      <c r="C661" s="2" t="s">
        <v>1316</v>
      </c>
      <c r="D661" s="2" t="s">
        <v>12</v>
      </c>
      <c r="E661" s="2" t="s">
        <v>935</v>
      </c>
      <c r="F661" s="2">
        <v>0.5</v>
      </c>
      <c r="G661" s="2" t="s">
        <v>874</v>
      </c>
      <c r="H661" s="2" t="s">
        <v>437</v>
      </c>
      <c r="I661" s="2" t="s">
        <v>1090</v>
      </c>
      <c r="J661" s="2" t="s">
        <v>1110</v>
      </c>
      <c r="K661" s="2">
        <v>1083.5</v>
      </c>
      <c r="L661" s="2">
        <v>1083.5</v>
      </c>
      <c r="M661" s="2">
        <v>21.67</v>
      </c>
      <c r="N661" s="2">
        <v>22</v>
      </c>
      <c r="O661" s="2">
        <f t="shared" si="10"/>
        <v>500</v>
      </c>
    </row>
    <row r="662" spans="1:15" x14ac:dyDescent="0.3">
      <c r="A662" s="8">
        <v>660</v>
      </c>
      <c r="B662" s="14">
        <v>46266</v>
      </c>
      <c r="C662" s="2" t="s">
        <v>1317</v>
      </c>
      <c r="D662" s="2" t="s">
        <v>12</v>
      </c>
      <c r="E662" s="2" t="s">
        <v>935</v>
      </c>
      <c r="F662" s="2">
        <v>0.5</v>
      </c>
      <c r="G662" s="2" t="s">
        <v>875</v>
      </c>
      <c r="H662" s="2" t="s">
        <v>446</v>
      </c>
      <c r="I662" s="2" t="s">
        <v>1090</v>
      </c>
      <c r="J662" s="2" t="s">
        <v>1110</v>
      </c>
      <c r="K662" s="2">
        <v>1160</v>
      </c>
      <c r="L662" s="2">
        <v>1160</v>
      </c>
      <c r="M662" s="2">
        <v>23.2</v>
      </c>
      <c r="N662" s="2">
        <v>23</v>
      </c>
      <c r="O662" s="2">
        <f t="shared" si="10"/>
        <v>500</v>
      </c>
    </row>
    <row r="663" spans="1:15" x14ac:dyDescent="0.3">
      <c r="A663" s="8">
        <v>661</v>
      </c>
      <c r="B663" s="14">
        <v>46266</v>
      </c>
      <c r="C663" s="2" t="s">
        <v>1318</v>
      </c>
      <c r="D663" s="2" t="s">
        <v>12</v>
      </c>
      <c r="E663" s="2" t="s">
        <v>935</v>
      </c>
      <c r="F663" s="2">
        <v>0.75</v>
      </c>
      <c r="G663" s="2" t="s">
        <v>876</v>
      </c>
      <c r="H663" s="2" t="s">
        <v>456</v>
      </c>
      <c r="I663" s="2" t="s">
        <v>1091</v>
      </c>
      <c r="J663" s="2" t="s">
        <v>1110</v>
      </c>
      <c r="K663" s="2">
        <v>1912.5</v>
      </c>
      <c r="L663" s="2">
        <v>1912.5</v>
      </c>
      <c r="M663" s="2">
        <v>38.25</v>
      </c>
      <c r="N663" s="2">
        <v>38</v>
      </c>
      <c r="O663" s="2">
        <f t="shared" si="10"/>
        <v>750</v>
      </c>
    </row>
    <row r="664" spans="1:15" x14ac:dyDescent="0.3">
      <c r="A664" s="8">
        <v>662</v>
      </c>
      <c r="B664" s="14">
        <v>46266</v>
      </c>
      <c r="C664" s="2" t="s">
        <v>1319</v>
      </c>
      <c r="D664" s="2" t="s">
        <v>12</v>
      </c>
      <c r="E664" s="2" t="s">
        <v>935</v>
      </c>
      <c r="F664" s="2">
        <v>0.75</v>
      </c>
      <c r="G664" s="2" t="s">
        <v>877</v>
      </c>
      <c r="H664" s="2" t="s">
        <v>466</v>
      </c>
      <c r="I664" s="2" t="s">
        <v>1091</v>
      </c>
      <c r="J664" s="2" t="s">
        <v>1110</v>
      </c>
      <c r="K664" s="2">
        <v>2140.5</v>
      </c>
      <c r="L664" s="2">
        <v>2140.5</v>
      </c>
      <c r="M664" s="2">
        <v>42.81</v>
      </c>
      <c r="N664" s="2">
        <v>43</v>
      </c>
      <c r="O664" s="2">
        <f t="shared" si="10"/>
        <v>750</v>
      </c>
    </row>
    <row r="665" spans="1:15" x14ac:dyDescent="0.3">
      <c r="A665" s="8">
        <v>663</v>
      </c>
      <c r="B665" s="14">
        <v>46266</v>
      </c>
      <c r="C665" s="2" t="s">
        <v>1320</v>
      </c>
      <c r="D665" s="2" t="s">
        <v>12</v>
      </c>
      <c r="E665" s="2" t="s">
        <v>935</v>
      </c>
      <c r="F665" s="2">
        <v>0.75</v>
      </c>
      <c r="G665" s="2" t="s">
        <v>878</v>
      </c>
      <c r="H665" s="2" t="s">
        <v>476</v>
      </c>
      <c r="I665" s="2" t="s">
        <v>1091</v>
      </c>
      <c r="J665" s="2" t="s">
        <v>1110</v>
      </c>
      <c r="K665" s="2">
        <v>2333.25</v>
      </c>
      <c r="L665" s="2">
        <v>2333.25</v>
      </c>
      <c r="M665" s="2">
        <v>46.664999999999999</v>
      </c>
      <c r="N665" s="2">
        <v>47</v>
      </c>
      <c r="O665" s="2">
        <f t="shared" si="10"/>
        <v>750</v>
      </c>
    </row>
    <row r="666" spans="1:15" x14ac:dyDescent="0.3">
      <c r="A666" s="8">
        <v>664</v>
      </c>
      <c r="B666" s="14">
        <v>46266</v>
      </c>
      <c r="C666" s="2" t="s">
        <v>1321</v>
      </c>
      <c r="D666" s="2" t="s">
        <v>12</v>
      </c>
      <c r="E666" s="2" t="s">
        <v>935</v>
      </c>
      <c r="F666" s="2">
        <v>1.25</v>
      </c>
      <c r="G666" s="2" t="s">
        <v>879</v>
      </c>
      <c r="H666" s="2" t="s">
        <v>486</v>
      </c>
      <c r="I666" s="2" t="s">
        <v>1092</v>
      </c>
      <c r="J666" s="2" t="s">
        <v>1110</v>
      </c>
      <c r="K666" s="2">
        <v>3607.5</v>
      </c>
      <c r="L666" s="2">
        <v>3607.5</v>
      </c>
      <c r="M666" s="2">
        <v>72.150000000000006</v>
      </c>
      <c r="N666" s="2">
        <v>72</v>
      </c>
      <c r="O666" s="2">
        <f t="shared" si="10"/>
        <v>1250</v>
      </c>
    </row>
    <row r="667" spans="1:15" x14ac:dyDescent="0.3">
      <c r="A667" s="8">
        <v>665</v>
      </c>
      <c r="B667" s="14">
        <v>46266</v>
      </c>
      <c r="C667" s="2" t="s">
        <v>1322</v>
      </c>
      <c r="D667" s="2" t="s">
        <v>12</v>
      </c>
      <c r="E667" s="2" t="s">
        <v>935</v>
      </c>
      <c r="F667" s="2">
        <v>1</v>
      </c>
      <c r="G667" s="2" t="s">
        <v>880</v>
      </c>
      <c r="H667" s="2" t="s">
        <v>494</v>
      </c>
      <c r="I667" s="2" t="s">
        <v>1093</v>
      </c>
      <c r="J667" s="2" t="s">
        <v>1110</v>
      </c>
      <c r="K667" s="2">
        <v>152</v>
      </c>
      <c r="L667" s="2">
        <v>152</v>
      </c>
      <c r="M667" s="2">
        <v>3.04</v>
      </c>
      <c r="N667" s="2">
        <v>3</v>
      </c>
      <c r="O667" s="2">
        <f t="shared" si="10"/>
        <v>1000</v>
      </c>
    </row>
    <row r="668" spans="1:15" x14ac:dyDescent="0.3">
      <c r="A668" s="8">
        <v>666</v>
      </c>
      <c r="B668" s="14">
        <v>46266</v>
      </c>
      <c r="C668" s="2" t="s">
        <v>1323</v>
      </c>
      <c r="D668" s="2" t="s">
        <v>12</v>
      </c>
      <c r="E668" s="2" t="s">
        <v>935</v>
      </c>
      <c r="F668" s="2">
        <v>1</v>
      </c>
      <c r="G668" s="2" t="s">
        <v>881</v>
      </c>
      <c r="H668" s="2" t="s">
        <v>502</v>
      </c>
      <c r="I668" s="2" t="s">
        <v>1094</v>
      </c>
      <c r="J668" s="2" t="s">
        <v>1110</v>
      </c>
      <c r="K668" s="2">
        <v>401</v>
      </c>
      <c r="L668" s="2">
        <v>401</v>
      </c>
      <c r="M668" s="2">
        <v>8.02</v>
      </c>
      <c r="N668" s="2">
        <v>8</v>
      </c>
      <c r="O668" s="2">
        <f t="shared" si="10"/>
        <v>1000</v>
      </c>
    </row>
    <row r="669" spans="1:15" x14ac:dyDescent="0.3">
      <c r="A669" s="8">
        <v>667</v>
      </c>
      <c r="B669" s="14">
        <v>46266</v>
      </c>
      <c r="C669" s="2" t="s">
        <v>1324</v>
      </c>
      <c r="D669" s="2" t="s">
        <v>12</v>
      </c>
      <c r="E669" s="2" t="s">
        <v>935</v>
      </c>
      <c r="F669" s="2">
        <v>1.25</v>
      </c>
      <c r="G669" s="2" t="s">
        <v>882</v>
      </c>
      <c r="H669" s="2" t="s">
        <v>510</v>
      </c>
      <c r="I669" s="2" t="s">
        <v>1092</v>
      </c>
      <c r="J669" s="2" t="s">
        <v>1110</v>
      </c>
      <c r="K669" s="2">
        <v>3223.75</v>
      </c>
      <c r="L669" s="2">
        <v>3223.75</v>
      </c>
      <c r="M669" s="2">
        <v>64.474999999999994</v>
      </c>
      <c r="N669" s="2">
        <v>64</v>
      </c>
      <c r="O669" s="2">
        <f t="shared" si="10"/>
        <v>1250</v>
      </c>
    </row>
    <row r="670" spans="1:15" x14ac:dyDescent="0.3">
      <c r="A670" s="8">
        <v>668</v>
      </c>
      <c r="B670" s="14">
        <v>46266</v>
      </c>
      <c r="C670" s="2" t="s">
        <v>1325</v>
      </c>
      <c r="D670" s="2" t="s">
        <v>12</v>
      </c>
      <c r="E670" s="2" t="s">
        <v>935</v>
      </c>
      <c r="F670" s="2">
        <v>1.25</v>
      </c>
      <c r="G670" s="2" t="s">
        <v>883</v>
      </c>
      <c r="H670" s="2" t="s">
        <v>518</v>
      </c>
      <c r="I670" s="2" t="s">
        <v>1092</v>
      </c>
      <c r="J670" s="2" t="s">
        <v>1110</v>
      </c>
      <c r="K670" s="2">
        <v>4252.5</v>
      </c>
      <c r="L670" s="2">
        <v>4252.5</v>
      </c>
      <c r="M670" s="2">
        <v>85.05</v>
      </c>
      <c r="N670" s="2">
        <v>85</v>
      </c>
      <c r="O670" s="2">
        <f t="shared" si="10"/>
        <v>1250</v>
      </c>
    </row>
    <row r="671" spans="1:15" x14ac:dyDescent="0.3">
      <c r="A671" s="8">
        <v>669</v>
      </c>
      <c r="B671" s="14">
        <v>46266</v>
      </c>
      <c r="C671" s="2" t="s">
        <v>1326</v>
      </c>
      <c r="D671" s="2" t="s">
        <v>12</v>
      </c>
      <c r="E671" s="2" t="s">
        <v>935</v>
      </c>
      <c r="F671" s="2">
        <v>1.25</v>
      </c>
      <c r="G671" s="2" t="s">
        <v>884</v>
      </c>
      <c r="H671" s="2" t="s">
        <v>526</v>
      </c>
      <c r="I671" s="2" t="s">
        <v>1092</v>
      </c>
      <c r="J671" s="2" t="s">
        <v>1110</v>
      </c>
      <c r="K671" s="2">
        <v>2740</v>
      </c>
      <c r="L671" s="2">
        <v>2740</v>
      </c>
      <c r="M671" s="2">
        <v>54.8</v>
      </c>
      <c r="N671" s="2">
        <v>55</v>
      </c>
      <c r="O671" s="2">
        <f t="shared" si="10"/>
        <v>1250</v>
      </c>
    </row>
    <row r="672" spans="1:15" x14ac:dyDescent="0.3">
      <c r="A672" s="8">
        <v>670</v>
      </c>
      <c r="B672" s="14">
        <v>46266</v>
      </c>
      <c r="C672" s="2" t="s">
        <v>1240</v>
      </c>
      <c r="D672" s="2" t="s">
        <v>12</v>
      </c>
      <c r="E672" s="2" t="s">
        <v>935</v>
      </c>
      <c r="F672" s="2">
        <v>0.35</v>
      </c>
      <c r="G672" s="2" t="s">
        <v>885</v>
      </c>
      <c r="H672" s="2" t="s">
        <v>534</v>
      </c>
      <c r="I672" s="2" t="s">
        <v>1095</v>
      </c>
      <c r="J672" s="2" t="s">
        <v>1110</v>
      </c>
      <c r="K672" s="2">
        <v>662.2</v>
      </c>
      <c r="L672" s="2">
        <v>662.2</v>
      </c>
      <c r="M672" s="2">
        <v>13.244</v>
      </c>
      <c r="N672" s="2">
        <v>13</v>
      </c>
      <c r="O672" s="2">
        <f t="shared" si="10"/>
        <v>350</v>
      </c>
    </row>
    <row r="673" spans="1:15" x14ac:dyDescent="0.3">
      <c r="A673" s="8">
        <v>671</v>
      </c>
      <c r="B673" s="14">
        <v>46266</v>
      </c>
      <c r="C673" s="2" t="s">
        <v>1239</v>
      </c>
      <c r="D673" s="2" t="s">
        <v>12</v>
      </c>
      <c r="E673" s="2" t="s">
        <v>935</v>
      </c>
      <c r="F673" s="2">
        <v>0.75</v>
      </c>
      <c r="G673" s="2" t="s">
        <v>886</v>
      </c>
      <c r="H673" s="2" t="s">
        <v>544</v>
      </c>
      <c r="I673" s="2" t="s">
        <v>1096</v>
      </c>
      <c r="J673" s="2" t="s">
        <v>1110</v>
      </c>
      <c r="K673" s="2">
        <v>1477.5</v>
      </c>
      <c r="L673" s="2">
        <v>1477.5</v>
      </c>
      <c r="M673" s="2">
        <v>29.55</v>
      </c>
      <c r="N673" s="2">
        <v>30</v>
      </c>
      <c r="O673" s="2">
        <f t="shared" si="10"/>
        <v>750</v>
      </c>
    </row>
    <row r="674" spans="1:15" x14ac:dyDescent="0.3">
      <c r="A674" s="8">
        <v>672</v>
      </c>
      <c r="B674" s="14">
        <v>46266</v>
      </c>
      <c r="C674" s="2" t="s">
        <v>1241</v>
      </c>
      <c r="D674" s="2" t="s">
        <v>12</v>
      </c>
      <c r="E674" s="2" t="s">
        <v>935</v>
      </c>
      <c r="F674" s="2">
        <v>0.35</v>
      </c>
      <c r="G674" s="2" t="s">
        <v>887</v>
      </c>
      <c r="H674" s="2" t="s">
        <v>554</v>
      </c>
      <c r="I674" s="2" t="s">
        <v>1095</v>
      </c>
      <c r="J674" s="2" t="s">
        <v>1110</v>
      </c>
      <c r="K674" s="2">
        <v>590.1</v>
      </c>
      <c r="L674" s="2">
        <v>590.1</v>
      </c>
      <c r="M674" s="2">
        <v>11.802</v>
      </c>
      <c r="N674" s="2">
        <v>12</v>
      </c>
      <c r="O674" s="2">
        <f t="shared" si="10"/>
        <v>350</v>
      </c>
    </row>
    <row r="675" spans="1:15" x14ac:dyDescent="0.3">
      <c r="A675" s="8">
        <v>673</v>
      </c>
      <c r="B675" s="14">
        <v>46266</v>
      </c>
      <c r="C675" s="2" t="s">
        <v>1242</v>
      </c>
      <c r="D675" s="2" t="s">
        <v>12</v>
      </c>
      <c r="E675" s="2" t="s">
        <v>935</v>
      </c>
      <c r="F675" s="2">
        <v>0.35</v>
      </c>
      <c r="G675" s="2" t="s">
        <v>888</v>
      </c>
      <c r="H675" s="2" t="s">
        <v>564</v>
      </c>
      <c r="I675" s="2" t="s">
        <v>1095</v>
      </c>
      <c r="J675" s="2" t="s">
        <v>1110</v>
      </c>
      <c r="K675" s="2">
        <v>483</v>
      </c>
      <c r="L675" s="2">
        <v>483</v>
      </c>
      <c r="M675" s="2">
        <v>9.66</v>
      </c>
      <c r="N675" s="2">
        <v>10</v>
      </c>
      <c r="O675" s="2">
        <f t="shared" si="10"/>
        <v>350</v>
      </c>
    </row>
    <row r="676" spans="1:15" x14ac:dyDescent="0.3">
      <c r="A676" s="8">
        <v>674</v>
      </c>
      <c r="B676" s="14">
        <v>46266</v>
      </c>
      <c r="C676" s="2" t="s">
        <v>1243</v>
      </c>
      <c r="D676" s="2" t="s">
        <v>12</v>
      </c>
      <c r="E676" s="2" t="s">
        <v>935</v>
      </c>
      <c r="F676" s="2">
        <v>0.35</v>
      </c>
      <c r="G676" s="2" t="s">
        <v>889</v>
      </c>
      <c r="H676" s="2" t="s">
        <v>574</v>
      </c>
      <c r="I676" s="2" t="s">
        <v>1097</v>
      </c>
      <c r="J676" s="2" t="s">
        <v>1110</v>
      </c>
      <c r="K676" s="2">
        <v>262.85000000000002</v>
      </c>
      <c r="L676" s="2">
        <v>262.85000000000002</v>
      </c>
      <c r="M676" s="2">
        <v>5.2569999999999997</v>
      </c>
      <c r="N676" s="2">
        <v>5</v>
      </c>
      <c r="O676" s="2">
        <f t="shared" si="10"/>
        <v>350</v>
      </c>
    </row>
    <row r="677" spans="1:15" x14ac:dyDescent="0.3">
      <c r="A677" s="8">
        <v>675</v>
      </c>
      <c r="B677" s="14">
        <v>46266</v>
      </c>
      <c r="C677" s="2" t="s">
        <v>1327</v>
      </c>
      <c r="D677" s="2" t="s">
        <v>12</v>
      </c>
      <c r="E677" s="2" t="s">
        <v>935</v>
      </c>
      <c r="F677" s="2">
        <v>0.35</v>
      </c>
      <c r="G677" s="2" t="s">
        <v>890</v>
      </c>
      <c r="H677" s="2" t="s">
        <v>584</v>
      </c>
      <c r="I677" s="2" t="s">
        <v>1098</v>
      </c>
      <c r="J677" s="2" t="s">
        <v>1110</v>
      </c>
      <c r="K677" s="2">
        <v>408.8</v>
      </c>
      <c r="L677" s="2">
        <v>408.8</v>
      </c>
      <c r="M677" s="2">
        <v>8.1760000000000002</v>
      </c>
      <c r="N677" s="2">
        <v>8</v>
      </c>
      <c r="O677" s="2">
        <f t="shared" si="10"/>
        <v>350</v>
      </c>
    </row>
    <row r="678" spans="1:15" x14ac:dyDescent="0.3">
      <c r="A678" s="8">
        <v>676</v>
      </c>
      <c r="B678" s="14">
        <v>46266</v>
      </c>
      <c r="C678" s="2" t="s">
        <v>1245</v>
      </c>
      <c r="D678" s="2" t="s">
        <v>12</v>
      </c>
      <c r="E678" s="2" t="s">
        <v>935</v>
      </c>
      <c r="F678" s="2">
        <v>0.35</v>
      </c>
      <c r="G678" s="2" t="s">
        <v>1099</v>
      </c>
      <c r="H678" s="2" t="s">
        <v>594</v>
      </c>
      <c r="I678" s="2" t="s">
        <v>1097</v>
      </c>
      <c r="J678" s="2" t="s">
        <v>1110</v>
      </c>
      <c r="K678" s="2">
        <v>50.75</v>
      </c>
      <c r="L678" s="2">
        <v>50.75</v>
      </c>
      <c r="M678" s="2">
        <v>1.0149999999999999</v>
      </c>
      <c r="N678" s="2">
        <v>1</v>
      </c>
      <c r="O678" s="2">
        <f t="shared" si="10"/>
        <v>350</v>
      </c>
    </row>
    <row r="679" spans="1:15" x14ac:dyDescent="0.3">
      <c r="A679" s="8">
        <v>677</v>
      </c>
      <c r="B679" s="14">
        <v>46266</v>
      </c>
      <c r="C679" s="2" t="s">
        <v>1328</v>
      </c>
      <c r="D679" s="2" t="s">
        <v>12</v>
      </c>
      <c r="E679" s="2" t="s">
        <v>935</v>
      </c>
      <c r="F679" s="2">
        <v>0.35</v>
      </c>
      <c r="G679" s="2" t="s">
        <v>1100</v>
      </c>
      <c r="H679" s="2" t="s">
        <v>604</v>
      </c>
      <c r="I679" s="2" t="s">
        <v>1098</v>
      </c>
      <c r="J679" s="2" t="s">
        <v>1110</v>
      </c>
      <c r="K679" s="2">
        <v>541.45000000000005</v>
      </c>
      <c r="L679" s="2">
        <v>541.45000000000005</v>
      </c>
      <c r="M679" s="2">
        <v>10.829000000000001</v>
      </c>
      <c r="N679" s="2">
        <v>11</v>
      </c>
      <c r="O679" s="2">
        <f t="shared" si="10"/>
        <v>350</v>
      </c>
    </row>
    <row r="680" spans="1:15" x14ac:dyDescent="0.3">
      <c r="A680" s="8">
        <v>678</v>
      </c>
      <c r="B680" s="14">
        <v>46266</v>
      </c>
      <c r="C680" s="2" t="s">
        <v>1329</v>
      </c>
      <c r="D680" s="2" t="s">
        <v>12</v>
      </c>
      <c r="E680" s="2" t="s">
        <v>935</v>
      </c>
      <c r="F680" s="2">
        <v>0.35</v>
      </c>
      <c r="G680" s="2" t="s">
        <v>1101</v>
      </c>
      <c r="H680" s="2" t="s">
        <v>614</v>
      </c>
      <c r="I680" s="2" t="s">
        <v>1102</v>
      </c>
      <c r="J680" s="2" t="s">
        <v>1110</v>
      </c>
      <c r="K680" s="2">
        <v>1109.8499999999999</v>
      </c>
      <c r="L680" s="2">
        <v>1109.8499999999999</v>
      </c>
      <c r="M680" s="2">
        <v>22.196999999999999</v>
      </c>
      <c r="N680" s="2">
        <v>22</v>
      </c>
      <c r="O680" s="2">
        <f t="shared" si="10"/>
        <v>350</v>
      </c>
    </row>
    <row r="681" spans="1:15" x14ac:dyDescent="0.3">
      <c r="A681" s="8">
        <v>679</v>
      </c>
      <c r="B681" s="14">
        <v>46266</v>
      </c>
      <c r="C681" s="2" t="s">
        <v>1330</v>
      </c>
      <c r="D681" s="2" t="s">
        <v>12</v>
      </c>
      <c r="E681" s="2" t="s">
        <v>935</v>
      </c>
      <c r="F681" s="2">
        <v>0.35</v>
      </c>
      <c r="G681" s="2" t="s">
        <v>906</v>
      </c>
      <c r="H681" s="2" t="s">
        <v>624</v>
      </c>
      <c r="I681" s="2" t="s">
        <v>1102</v>
      </c>
      <c r="J681" s="2" t="s">
        <v>1110</v>
      </c>
      <c r="K681" s="2">
        <v>1032.5</v>
      </c>
      <c r="L681" s="2">
        <v>1032.5</v>
      </c>
      <c r="M681" s="2">
        <v>20.65</v>
      </c>
      <c r="N681" s="2">
        <v>21</v>
      </c>
      <c r="O681" s="2">
        <f t="shared" si="10"/>
        <v>350</v>
      </c>
    </row>
    <row r="682" spans="1:15" x14ac:dyDescent="0.3">
      <c r="A682" s="8">
        <v>680</v>
      </c>
      <c r="B682" s="14">
        <v>46266</v>
      </c>
      <c r="C682" s="2" t="s">
        <v>1331</v>
      </c>
      <c r="D682" s="2" t="s">
        <v>12</v>
      </c>
      <c r="E682" s="2" t="s">
        <v>935</v>
      </c>
      <c r="F682" s="2">
        <v>0.75</v>
      </c>
      <c r="G682" s="2" t="s">
        <v>907</v>
      </c>
      <c r="H682" s="2" t="s">
        <v>634</v>
      </c>
      <c r="I682" s="2" t="s">
        <v>1103</v>
      </c>
      <c r="J682" s="2" t="s">
        <v>1110</v>
      </c>
      <c r="K682" s="2">
        <v>1836.75</v>
      </c>
      <c r="L682" s="2">
        <v>1836.75</v>
      </c>
      <c r="M682" s="2">
        <v>36.734999999999999</v>
      </c>
      <c r="N682" s="2">
        <v>37</v>
      </c>
      <c r="O682" s="2">
        <f t="shared" si="10"/>
        <v>750</v>
      </c>
    </row>
    <row r="683" spans="1:15" x14ac:dyDescent="0.3">
      <c r="A683" s="8">
        <v>681</v>
      </c>
      <c r="B683" s="14">
        <v>46266</v>
      </c>
      <c r="C683" s="2" t="s">
        <v>1332</v>
      </c>
      <c r="D683" s="2" t="s">
        <v>12</v>
      </c>
      <c r="E683" s="2" t="s">
        <v>935</v>
      </c>
      <c r="F683" s="2">
        <v>0.75</v>
      </c>
      <c r="G683" s="2" t="s">
        <v>908</v>
      </c>
      <c r="H683" s="2" t="s">
        <v>644</v>
      </c>
      <c r="I683" s="2" t="s">
        <v>1103</v>
      </c>
      <c r="J683" s="2" t="s">
        <v>1110</v>
      </c>
      <c r="K683" s="2">
        <v>1510.5</v>
      </c>
      <c r="L683" s="2">
        <v>1510.5</v>
      </c>
      <c r="M683" s="2">
        <v>30.21</v>
      </c>
      <c r="N683" s="2">
        <v>30</v>
      </c>
      <c r="O683" s="2">
        <f t="shared" si="10"/>
        <v>750</v>
      </c>
    </row>
    <row r="684" spans="1:15" x14ac:dyDescent="0.3">
      <c r="A684" s="8">
        <v>682</v>
      </c>
      <c r="B684" s="14">
        <v>46266</v>
      </c>
      <c r="C684" s="2" t="s">
        <v>1333</v>
      </c>
      <c r="D684" s="2" t="s">
        <v>12</v>
      </c>
      <c r="E684" s="2" t="s">
        <v>935</v>
      </c>
      <c r="F684" s="2">
        <v>1.25</v>
      </c>
      <c r="G684" s="2" t="s">
        <v>909</v>
      </c>
      <c r="H684" s="2" t="s">
        <v>654</v>
      </c>
      <c r="I684" s="2" t="s">
        <v>1104</v>
      </c>
      <c r="J684" s="2" t="s">
        <v>1110</v>
      </c>
      <c r="K684" s="2">
        <v>3796.25</v>
      </c>
      <c r="L684" s="2">
        <v>3796.25</v>
      </c>
      <c r="M684" s="2">
        <v>75.924999999999997</v>
      </c>
      <c r="N684" s="2">
        <v>76</v>
      </c>
      <c r="O684" s="2">
        <f t="shared" si="10"/>
        <v>1250</v>
      </c>
    </row>
    <row r="685" spans="1:15" x14ac:dyDescent="0.3">
      <c r="A685" s="8">
        <v>683</v>
      </c>
      <c r="B685" s="14">
        <v>46266</v>
      </c>
      <c r="C685" s="2" t="s">
        <v>1334</v>
      </c>
      <c r="D685" s="2" t="s">
        <v>12</v>
      </c>
      <c r="E685" s="2" t="s">
        <v>935</v>
      </c>
      <c r="F685" s="2">
        <v>0.75</v>
      </c>
      <c r="G685" s="2" t="s">
        <v>910</v>
      </c>
      <c r="H685" s="2" t="s">
        <v>662</v>
      </c>
      <c r="I685" s="2" t="s">
        <v>1103</v>
      </c>
      <c r="J685" s="2" t="s">
        <v>1110</v>
      </c>
      <c r="K685" s="2">
        <v>2173.5</v>
      </c>
      <c r="L685" s="2">
        <v>2173.5</v>
      </c>
      <c r="M685" s="2">
        <v>43.47</v>
      </c>
      <c r="N685" s="2">
        <v>43</v>
      </c>
      <c r="O685" s="2">
        <f t="shared" si="10"/>
        <v>750</v>
      </c>
    </row>
    <row r="686" spans="1:15" x14ac:dyDescent="0.3">
      <c r="A686" s="8">
        <v>684</v>
      </c>
      <c r="B686" s="14">
        <v>46266</v>
      </c>
      <c r="C686" s="2" t="s">
        <v>1335</v>
      </c>
      <c r="D686" s="2" t="s">
        <v>12</v>
      </c>
      <c r="E686" s="2" t="s">
        <v>935</v>
      </c>
      <c r="F686" s="2">
        <v>0.75</v>
      </c>
      <c r="G686" s="2" t="s">
        <v>911</v>
      </c>
      <c r="H686" s="2" t="s">
        <v>672</v>
      </c>
      <c r="I686" s="2" t="s">
        <v>1103</v>
      </c>
      <c r="J686" s="2" t="s">
        <v>1110</v>
      </c>
      <c r="K686" s="2">
        <v>1773</v>
      </c>
      <c r="L686" s="2">
        <v>1773</v>
      </c>
      <c r="M686" s="2">
        <v>35.46</v>
      </c>
      <c r="N686" s="2">
        <v>35</v>
      </c>
      <c r="O686" s="2">
        <f t="shared" si="10"/>
        <v>750</v>
      </c>
    </row>
    <row r="687" spans="1:15" x14ac:dyDescent="0.3">
      <c r="A687" s="8">
        <v>685</v>
      </c>
      <c r="B687" s="14">
        <v>46266</v>
      </c>
      <c r="C687" s="2" t="s">
        <v>1336</v>
      </c>
      <c r="D687" s="2" t="s">
        <v>12</v>
      </c>
      <c r="E687" s="2" t="s">
        <v>935</v>
      </c>
      <c r="F687" s="2">
        <v>1.25</v>
      </c>
      <c r="G687" s="2" t="s">
        <v>912</v>
      </c>
      <c r="H687" s="2" t="s">
        <v>682</v>
      </c>
      <c r="I687" s="2" t="s">
        <v>1105</v>
      </c>
      <c r="J687" s="2" t="s">
        <v>1110</v>
      </c>
      <c r="K687" s="2">
        <v>266.25</v>
      </c>
      <c r="L687" s="2">
        <v>266.25</v>
      </c>
      <c r="M687" s="2">
        <v>5.3250000000000002</v>
      </c>
      <c r="N687" s="2">
        <v>5</v>
      </c>
      <c r="O687" s="2">
        <f t="shared" si="10"/>
        <v>1250</v>
      </c>
    </row>
    <row r="688" spans="1:15" x14ac:dyDescent="0.3">
      <c r="A688" s="8">
        <v>686</v>
      </c>
      <c r="B688" s="14">
        <v>46266</v>
      </c>
      <c r="C688" s="2" t="s">
        <v>1337</v>
      </c>
      <c r="D688" s="2" t="s">
        <v>12</v>
      </c>
      <c r="E688" s="2" t="s">
        <v>935</v>
      </c>
      <c r="F688" s="2">
        <v>1.25</v>
      </c>
      <c r="G688" s="2" t="s">
        <v>913</v>
      </c>
      <c r="H688" s="2" t="s">
        <v>690</v>
      </c>
      <c r="I688" s="2" t="s">
        <v>1106</v>
      </c>
      <c r="J688" s="2" t="s">
        <v>1110</v>
      </c>
      <c r="K688" s="2">
        <v>3520</v>
      </c>
      <c r="L688" s="2">
        <v>3520</v>
      </c>
      <c r="M688" s="2">
        <v>70.400000000000006</v>
      </c>
      <c r="N688" s="2">
        <v>70</v>
      </c>
      <c r="O688" s="2">
        <f t="shared" si="10"/>
        <v>1250</v>
      </c>
    </row>
    <row r="689" spans="1:15" x14ac:dyDescent="0.3">
      <c r="A689" s="8">
        <v>687</v>
      </c>
      <c r="B689" s="14">
        <v>46266</v>
      </c>
      <c r="C689" s="2" t="s">
        <v>1338</v>
      </c>
      <c r="D689" s="2" t="s">
        <v>12</v>
      </c>
      <c r="E689" s="2" t="s">
        <v>935</v>
      </c>
      <c r="F689" s="2">
        <v>1.25</v>
      </c>
      <c r="G689" s="2" t="s">
        <v>914</v>
      </c>
      <c r="H689" s="2" t="s">
        <v>698</v>
      </c>
      <c r="I689" s="2" t="s">
        <v>1106</v>
      </c>
      <c r="J689" s="2" t="s">
        <v>1110</v>
      </c>
      <c r="K689" s="2">
        <v>3667.5</v>
      </c>
      <c r="L689" s="2">
        <v>3667.5</v>
      </c>
      <c r="M689" s="2">
        <v>73.349999999999994</v>
      </c>
      <c r="N689" s="2">
        <v>73</v>
      </c>
      <c r="O689" s="2">
        <f t="shared" si="10"/>
        <v>1250</v>
      </c>
    </row>
    <row r="690" spans="1:15" x14ac:dyDescent="0.3">
      <c r="A690" s="8">
        <v>688</v>
      </c>
      <c r="B690" s="14">
        <v>46266</v>
      </c>
      <c r="C690" s="2" t="s">
        <v>1339</v>
      </c>
      <c r="D690" s="2" t="s">
        <v>12</v>
      </c>
      <c r="E690" s="2" t="s">
        <v>935</v>
      </c>
      <c r="F690" s="2">
        <v>1</v>
      </c>
      <c r="G690" s="2" t="s">
        <v>915</v>
      </c>
      <c r="H690" s="2" t="s">
        <v>706</v>
      </c>
      <c r="I690" s="2" t="s">
        <v>1107</v>
      </c>
      <c r="J690" s="2" t="s">
        <v>1110</v>
      </c>
      <c r="K690" s="2">
        <v>2872</v>
      </c>
      <c r="L690" s="2">
        <v>2872</v>
      </c>
      <c r="M690" s="2">
        <v>57.44</v>
      </c>
      <c r="N690" s="2">
        <v>57</v>
      </c>
      <c r="O690" s="2">
        <f t="shared" si="10"/>
        <v>1000</v>
      </c>
    </row>
    <row r="691" spans="1:15" x14ac:dyDescent="0.3">
      <c r="A691" s="8">
        <v>689</v>
      </c>
      <c r="B691" s="14">
        <v>46266</v>
      </c>
      <c r="C691" s="2" t="s">
        <v>1173</v>
      </c>
      <c r="D691" s="2" t="s">
        <v>12</v>
      </c>
      <c r="E691" s="2" t="s">
        <v>935</v>
      </c>
      <c r="F691" s="2">
        <v>0.5</v>
      </c>
      <c r="G691" s="2" t="s">
        <v>916</v>
      </c>
      <c r="H691" s="2" t="s">
        <v>713</v>
      </c>
      <c r="I691" s="2" t="s">
        <v>1108</v>
      </c>
      <c r="J691" s="2" t="s">
        <v>1110</v>
      </c>
      <c r="K691" s="2">
        <v>30.5</v>
      </c>
      <c r="L691" s="2">
        <v>30.5</v>
      </c>
      <c r="M691" s="2">
        <v>0.61</v>
      </c>
      <c r="N691" s="2">
        <v>1</v>
      </c>
      <c r="O691" s="2">
        <f t="shared" si="10"/>
        <v>500</v>
      </c>
    </row>
    <row r="692" spans="1:15" x14ac:dyDescent="0.3">
      <c r="A692" s="8">
        <v>690</v>
      </c>
      <c r="B692" s="14">
        <v>46266</v>
      </c>
      <c r="C692" s="2" t="s">
        <v>1340</v>
      </c>
      <c r="D692" s="2" t="s">
        <v>12</v>
      </c>
      <c r="E692" s="2" t="s">
        <v>935</v>
      </c>
      <c r="F692" s="2">
        <v>1.25</v>
      </c>
      <c r="G692" s="2" t="s">
        <v>917</v>
      </c>
      <c r="H692" s="2" t="s">
        <v>723</v>
      </c>
      <c r="I692" s="2" t="s">
        <v>1106</v>
      </c>
      <c r="J692" s="2" t="s">
        <v>1110</v>
      </c>
      <c r="K692" s="2">
        <v>3628.75</v>
      </c>
      <c r="L692" s="2">
        <v>3628.75</v>
      </c>
      <c r="M692" s="2">
        <v>72.575000000000003</v>
      </c>
      <c r="N692" s="2">
        <v>73</v>
      </c>
      <c r="O692" s="2">
        <f t="shared" si="10"/>
        <v>1250</v>
      </c>
    </row>
    <row r="693" spans="1:15" x14ac:dyDescent="0.3">
      <c r="A693" s="8">
        <v>691</v>
      </c>
      <c r="B693" s="14">
        <v>46266</v>
      </c>
      <c r="C693" s="2" t="s">
        <v>1341</v>
      </c>
      <c r="D693" s="2" t="s">
        <v>12</v>
      </c>
      <c r="E693" s="2" t="s">
        <v>935</v>
      </c>
      <c r="F693" s="2">
        <v>1</v>
      </c>
      <c r="G693" s="2" t="s">
        <v>918</v>
      </c>
      <c r="H693" s="2" t="s">
        <v>731</v>
      </c>
      <c r="I693" s="2" t="s">
        <v>1107</v>
      </c>
      <c r="J693" s="2" t="s">
        <v>1110</v>
      </c>
      <c r="K693" s="2">
        <v>3030</v>
      </c>
      <c r="L693" s="2">
        <v>3030</v>
      </c>
      <c r="M693" s="2">
        <v>60.6</v>
      </c>
      <c r="N693" s="2">
        <v>61</v>
      </c>
      <c r="O693" s="2">
        <f t="shared" si="10"/>
        <v>1000</v>
      </c>
    </row>
    <row r="694" spans="1:15" x14ac:dyDescent="0.3">
      <c r="A694" s="8">
        <v>692</v>
      </c>
      <c r="B694" s="14">
        <v>46266</v>
      </c>
      <c r="C694" s="2" t="s">
        <v>1342</v>
      </c>
      <c r="D694" s="2" t="s">
        <v>12</v>
      </c>
      <c r="E694" s="2" t="s">
        <v>935</v>
      </c>
      <c r="F694" s="2">
        <v>1.25</v>
      </c>
      <c r="G694" s="2" t="s">
        <v>919</v>
      </c>
      <c r="H694" s="2" t="s">
        <v>739</v>
      </c>
      <c r="I694" s="2" t="s">
        <v>1106</v>
      </c>
      <c r="J694" s="2" t="s">
        <v>1110</v>
      </c>
      <c r="K694" s="2">
        <v>3580</v>
      </c>
      <c r="L694" s="2">
        <v>3580</v>
      </c>
      <c r="M694" s="2">
        <v>71.599999999999994</v>
      </c>
      <c r="N694" s="2">
        <v>72</v>
      </c>
      <c r="O694" s="2">
        <f t="shared" si="10"/>
        <v>1250</v>
      </c>
    </row>
    <row r="695" spans="1:15" x14ac:dyDescent="0.3">
      <c r="A695" s="8">
        <v>693</v>
      </c>
      <c r="B695" s="14">
        <v>46266</v>
      </c>
      <c r="C695" s="2" t="s">
        <v>1343</v>
      </c>
      <c r="D695" s="2" t="s">
        <v>12</v>
      </c>
      <c r="E695" s="2" t="s">
        <v>935</v>
      </c>
      <c r="F695" s="2">
        <v>1</v>
      </c>
      <c r="G695" s="2" t="s">
        <v>920</v>
      </c>
      <c r="H695" s="2" t="s">
        <v>747</v>
      </c>
      <c r="I695" s="2" t="s">
        <v>1107</v>
      </c>
      <c r="J695" s="2" t="s">
        <v>1110</v>
      </c>
      <c r="K695" s="2">
        <v>112</v>
      </c>
      <c r="L695" s="2">
        <v>112</v>
      </c>
      <c r="M695" s="2">
        <v>2.2400000000000002</v>
      </c>
      <c r="N695" s="2">
        <v>2</v>
      </c>
      <c r="O695" s="2">
        <f t="shared" si="10"/>
        <v>1000</v>
      </c>
    </row>
    <row r="696" spans="1:15" x14ac:dyDescent="0.3">
      <c r="A696" s="8">
        <v>694</v>
      </c>
      <c r="B696" s="14">
        <v>46266</v>
      </c>
      <c r="C696" s="2" t="s">
        <v>1344</v>
      </c>
      <c r="D696" s="2" t="s">
        <v>12</v>
      </c>
      <c r="E696" s="2" t="s">
        <v>935</v>
      </c>
      <c r="F696" s="2">
        <v>1.25</v>
      </c>
      <c r="G696" s="2" t="s">
        <v>921</v>
      </c>
      <c r="H696" s="2" t="s">
        <v>755</v>
      </c>
      <c r="I696" s="2" t="s">
        <v>1106</v>
      </c>
      <c r="J696" s="2" t="s">
        <v>1110</v>
      </c>
      <c r="K696" s="2">
        <v>3531.25</v>
      </c>
      <c r="L696" s="2">
        <v>3531.25</v>
      </c>
      <c r="M696" s="2">
        <v>70.625</v>
      </c>
      <c r="N696" s="2">
        <v>71</v>
      </c>
      <c r="O696" s="2">
        <f t="shared" si="10"/>
        <v>1250</v>
      </c>
    </row>
    <row r="697" spans="1:15" x14ac:dyDescent="0.3">
      <c r="A697" s="8">
        <v>695</v>
      </c>
      <c r="B697" s="14">
        <v>46266</v>
      </c>
      <c r="C697" s="2" t="s">
        <v>1345</v>
      </c>
      <c r="D697" s="2" t="s">
        <v>12</v>
      </c>
      <c r="E697" s="2" t="s">
        <v>935</v>
      </c>
      <c r="F697" s="2">
        <v>1.25</v>
      </c>
      <c r="G697" s="2" t="s">
        <v>922</v>
      </c>
      <c r="H697" s="2" t="s">
        <v>763</v>
      </c>
      <c r="I697" s="2" t="s">
        <v>1106</v>
      </c>
      <c r="J697" s="2" t="s">
        <v>1110</v>
      </c>
      <c r="K697" s="2">
        <v>3553.75</v>
      </c>
      <c r="L697" s="2">
        <v>3553.75</v>
      </c>
      <c r="M697" s="2">
        <v>71.075000000000003</v>
      </c>
      <c r="N697" s="2">
        <v>71</v>
      </c>
      <c r="O697" s="2">
        <f t="shared" si="10"/>
        <v>1250</v>
      </c>
    </row>
    <row r="698" spans="1:15" x14ac:dyDescent="0.3">
      <c r="A698" s="8">
        <v>696</v>
      </c>
      <c r="B698" s="14">
        <v>46266</v>
      </c>
      <c r="C698" s="2" t="s">
        <v>1174</v>
      </c>
      <c r="D698" s="2" t="s">
        <v>12</v>
      </c>
      <c r="E698" s="2" t="s">
        <v>935</v>
      </c>
      <c r="F698" s="2">
        <v>0.5</v>
      </c>
      <c r="G698" s="2" t="s">
        <v>923</v>
      </c>
      <c r="H698" s="2" t="s">
        <v>770</v>
      </c>
      <c r="I698" s="2" t="s">
        <v>1108</v>
      </c>
      <c r="J698" s="2" t="s">
        <v>1110</v>
      </c>
      <c r="K698" s="2">
        <v>85.5</v>
      </c>
      <c r="L698" s="2">
        <v>85.5</v>
      </c>
      <c r="M698" s="2">
        <v>1.71</v>
      </c>
      <c r="N698" s="2">
        <v>2</v>
      </c>
      <c r="O698" s="2">
        <f t="shared" si="10"/>
        <v>500</v>
      </c>
    </row>
    <row r="699" spans="1:15" x14ac:dyDescent="0.3">
      <c r="A699" s="8">
        <v>697</v>
      </c>
      <c r="B699" s="14">
        <v>46266</v>
      </c>
      <c r="C699" s="2" t="s">
        <v>1346</v>
      </c>
      <c r="D699" s="2" t="s">
        <v>12</v>
      </c>
      <c r="E699" s="2" t="s">
        <v>935</v>
      </c>
      <c r="F699" s="2">
        <v>1.25</v>
      </c>
      <c r="G699" s="2" t="s">
        <v>924</v>
      </c>
      <c r="H699" s="2" t="s">
        <v>780</v>
      </c>
      <c r="I699" s="2" t="s">
        <v>1106</v>
      </c>
      <c r="J699" s="2" t="s">
        <v>1110</v>
      </c>
      <c r="K699" s="2">
        <v>3998.75</v>
      </c>
      <c r="L699" s="2">
        <v>3998.75</v>
      </c>
      <c r="M699" s="2">
        <v>79.974999999999994</v>
      </c>
      <c r="N699" s="2">
        <v>80</v>
      </c>
      <c r="O699" s="2">
        <f t="shared" si="10"/>
        <v>1250</v>
      </c>
    </row>
    <row r="700" spans="1:15" x14ac:dyDescent="0.3">
      <c r="A700" s="8">
        <v>698</v>
      </c>
      <c r="B700" s="14">
        <v>46266</v>
      </c>
      <c r="C700" s="2" t="s">
        <v>1267</v>
      </c>
      <c r="D700" s="2" t="s">
        <v>12</v>
      </c>
      <c r="E700" s="2" t="s">
        <v>935</v>
      </c>
      <c r="F700" s="2">
        <v>1</v>
      </c>
      <c r="G700" s="2" t="s">
        <v>925</v>
      </c>
      <c r="H700" s="2" t="s">
        <v>788</v>
      </c>
      <c r="I700" s="2" t="s">
        <v>1107</v>
      </c>
      <c r="J700" s="2" t="s">
        <v>1110</v>
      </c>
      <c r="K700" s="2">
        <v>2833</v>
      </c>
      <c r="L700" s="2">
        <v>2833</v>
      </c>
      <c r="M700" s="2">
        <v>56.66</v>
      </c>
      <c r="N700" s="2">
        <v>57</v>
      </c>
      <c r="O700" s="2">
        <f t="shared" si="10"/>
        <v>1000</v>
      </c>
    </row>
    <row r="701" spans="1:15" x14ac:dyDescent="0.3">
      <c r="A701" s="8">
        <v>699</v>
      </c>
      <c r="B701" s="14">
        <v>46266</v>
      </c>
      <c r="C701" s="2" t="s">
        <v>1347</v>
      </c>
      <c r="D701" s="2" t="s">
        <v>12</v>
      </c>
      <c r="E701" s="2" t="s">
        <v>935</v>
      </c>
      <c r="F701" s="2">
        <v>1.25</v>
      </c>
      <c r="G701" s="2" t="s">
        <v>926</v>
      </c>
      <c r="H701" s="2" t="s">
        <v>796</v>
      </c>
      <c r="I701" s="2" t="s">
        <v>1106</v>
      </c>
      <c r="J701" s="2" t="s">
        <v>1110</v>
      </c>
      <c r="K701" s="2">
        <v>3768.75</v>
      </c>
      <c r="L701" s="2">
        <v>3768.75</v>
      </c>
      <c r="M701" s="2">
        <v>75.375</v>
      </c>
      <c r="N701" s="2">
        <v>75</v>
      </c>
      <c r="O701" s="2">
        <f t="shared" si="10"/>
        <v>1250</v>
      </c>
    </row>
    <row r="702" spans="1:15" x14ac:dyDescent="0.3">
      <c r="A702" s="8">
        <v>700</v>
      </c>
      <c r="B702" s="14">
        <v>46266</v>
      </c>
      <c r="C702" s="2" t="s">
        <v>1175</v>
      </c>
      <c r="D702" s="2" t="s">
        <v>12</v>
      </c>
      <c r="E702" s="2" t="s">
        <v>935</v>
      </c>
      <c r="F702" s="2">
        <v>0.5</v>
      </c>
      <c r="G702" s="2" t="s">
        <v>927</v>
      </c>
      <c r="H702" s="2" t="s">
        <v>803</v>
      </c>
      <c r="I702" s="2" t="s">
        <v>1108</v>
      </c>
      <c r="J702" s="2" t="s">
        <v>1110</v>
      </c>
      <c r="K702" s="2">
        <v>120.5</v>
      </c>
      <c r="L702" s="2">
        <v>120.5</v>
      </c>
      <c r="M702" s="2">
        <v>2.41</v>
      </c>
      <c r="N702" s="2">
        <v>2</v>
      </c>
      <c r="O702" s="2">
        <f t="shared" si="10"/>
        <v>500</v>
      </c>
    </row>
    <row r="703" spans="1:15" x14ac:dyDescent="0.3">
      <c r="A703" s="8">
        <v>701</v>
      </c>
      <c r="B703" s="14">
        <v>46266</v>
      </c>
      <c r="C703" s="2" t="s">
        <v>1348</v>
      </c>
      <c r="D703" s="2" t="s">
        <v>12</v>
      </c>
      <c r="E703" s="2" t="s">
        <v>935</v>
      </c>
      <c r="F703" s="2">
        <v>1.25</v>
      </c>
      <c r="G703" s="2" t="s">
        <v>928</v>
      </c>
      <c r="H703" s="2" t="s">
        <v>813</v>
      </c>
      <c r="I703" s="2" t="s">
        <v>1104</v>
      </c>
      <c r="J703" s="2" t="s">
        <v>1110</v>
      </c>
      <c r="K703" s="2">
        <v>1052.5</v>
      </c>
      <c r="L703" s="2">
        <v>1052.5</v>
      </c>
      <c r="M703" s="2">
        <v>21.05</v>
      </c>
      <c r="N703" s="2">
        <v>21</v>
      </c>
      <c r="O703" s="2">
        <f t="shared" si="10"/>
        <v>1250</v>
      </c>
    </row>
    <row r="704" spans="1:15" x14ac:dyDescent="0.3">
      <c r="A704" s="8">
        <v>702</v>
      </c>
      <c r="B704" s="14">
        <v>46266</v>
      </c>
      <c r="C704" s="2" t="s">
        <v>1349</v>
      </c>
      <c r="D704" s="2" t="s">
        <v>12</v>
      </c>
      <c r="E704" s="2" t="s">
        <v>935</v>
      </c>
      <c r="F704" s="2">
        <v>1.25</v>
      </c>
      <c r="G704" s="2" t="s">
        <v>929</v>
      </c>
      <c r="H704" s="2" t="s">
        <v>821</v>
      </c>
      <c r="I704" s="2" t="s">
        <v>1104</v>
      </c>
      <c r="J704" s="2" t="s">
        <v>1110</v>
      </c>
      <c r="K704" s="2">
        <v>1055</v>
      </c>
      <c r="L704" s="2">
        <v>1055</v>
      </c>
      <c r="M704" s="2">
        <v>21.1</v>
      </c>
      <c r="N704" s="2">
        <v>21</v>
      </c>
      <c r="O704" s="2">
        <f t="shared" si="10"/>
        <v>1250</v>
      </c>
    </row>
    <row r="705" spans="1:15" x14ac:dyDescent="0.3">
      <c r="A705" s="8">
        <v>703</v>
      </c>
      <c r="B705" s="14">
        <v>46266</v>
      </c>
      <c r="C705" s="2" t="s">
        <v>1350</v>
      </c>
      <c r="D705" s="2" t="s">
        <v>12</v>
      </c>
      <c r="E705" s="2" t="s">
        <v>935</v>
      </c>
      <c r="F705" s="2">
        <v>1</v>
      </c>
      <c r="G705" s="2" t="s">
        <v>930</v>
      </c>
      <c r="H705" s="2" t="s">
        <v>829</v>
      </c>
      <c r="I705" s="2" t="s">
        <v>1107</v>
      </c>
      <c r="J705" s="2" t="s">
        <v>1110</v>
      </c>
      <c r="K705" s="2">
        <v>92</v>
      </c>
      <c r="L705" s="2">
        <v>92</v>
      </c>
      <c r="M705" s="2">
        <v>1.84</v>
      </c>
      <c r="N705" s="2">
        <v>2</v>
      </c>
      <c r="O705" s="2">
        <f t="shared" si="10"/>
        <v>1000</v>
      </c>
    </row>
    <row r="706" spans="1:15" x14ac:dyDescent="0.3">
      <c r="A706" s="8">
        <v>704</v>
      </c>
      <c r="B706" s="14">
        <v>46266</v>
      </c>
      <c r="C706" s="2" t="s">
        <v>1351</v>
      </c>
      <c r="D706" s="2" t="s">
        <v>12</v>
      </c>
      <c r="E706" s="2" t="s">
        <v>935</v>
      </c>
      <c r="F706" s="2">
        <v>1.25</v>
      </c>
      <c r="G706" s="2" t="s">
        <v>931</v>
      </c>
      <c r="H706" s="2" t="s">
        <v>837</v>
      </c>
      <c r="I706" s="2" t="s">
        <v>1106</v>
      </c>
      <c r="J706" s="2" t="s">
        <v>1110</v>
      </c>
      <c r="K706" s="2">
        <v>1753.75</v>
      </c>
      <c r="L706" s="2">
        <v>1753.75</v>
      </c>
      <c r="M706" s="2">
        <v>35.075000000000003</v>
      </c>
      <c r="N706" s="2">
        <v>35</v>
      </c>
      <c r="O706" s="2">
        <f t="shared" si="10"/>
        <v>1250</v>
      </c>
    </row>
    <row r="707" spans="1:15" x14ac:dyDescent="0.3">
      <c r="A707" s="8">
        <v>705</v>
      </c>
      <c r="B707" s="14">
        <v>46266</v>
      </c>
      <c r="C707" s="2" t="s">
        <v>1176</v>
      </c>
      <c r="D707" s="2" t="s">
        <v>12</v>
      </c>
      <c r="E707" s="2" t="s">
        <v>935</v>
      </c>
      <c r="F707" s="2">
        <v>0.5</v>
      </c>
      <c r="G707" s="2" t="s">
        <v>932</v>
      </c>
      <c r="H707" s="2" t="s">
        <v>844</v>
      </c>
      <c r="I707" s="2" t="s">
        <v>1109</v>
      </c>
      <c r="J707" s="2" t="s">
        <v>1110</v>
      </c>
      <c r="K707" s="2">
        <v>1535</v>
      </c>
      <c r="L707" s="2">
        <v>1535</v>
      </c>
      <c r="M707" s="2">
        <v>30.7</v>
      </c>
      <c r="N707" s="2">
        <v>31</v>
      </c>
      <c r="O707" s="2">
        <f t="shared" ref="O707:O760" si="11">F707*1000</f>
        <v>500</v>
      </c>
    </row>
    <row r="708" spans="1:15" x14ac:dyDescent="0.3">
      <c r="A708" s="8">
        <v>706</v>
      </c>
      <c r="B708" s="14">
        <v>46266</v>
      </c>
      <c r="C708" s="2" t="s">
        <v>1177</v>
      </c>
      <c r="D708" s="2" t="s">
        <v>12</v>
      </c>
      <c r="E708" s="2" t="s">
        <v>935</v>
      </c>
      <c r="F708" s="2">
        <v>0.5</v>
      </c>
      <c r="G708" s="2" t="s">
        <v>933</v>
      </c>
      <c r="H708" s="2" t="s">
        <v>853</v>
      </c>
      <c r="I708" s="2" t="s">
        <v>1109</v>
      </c>
      <c r="J708" s="2" t="s">
        <v>1110</v>
      </c>
      <c r="K708" s="2">
        <v>1635</v>
      </c>
      <c r="L708" s="2">
        <v>1635</v>
      </c>
      <c r="M708" s="2">
        <v>32.700000000000003</v>
      </c>
      <c r="N708" s="2">
        <v>33</v>
      </c>
      <c r="O708" s="2">
        <f t="shared" si="11"/>
        <v>500</v>
      </c>
    </row>
    <row r="709" spans="1:15" x14ac:dyDescent="0.3">
      <c r="A709" s="8">
        <v>707</v>
      </c>
      <c r="B709" s="14">
        <v>46296</v>
      </c>
      <c r="C709" s="2" t="s">
        <v>1312</v>
      </c>
      <c r="D709" s="2" t="s">
        <v>10</v>
      </c>
      <c r="E709" s="2" t="s">
        <v>935</v>
      </c>
      <c r="F709" s="2">
        <v>1.25</v>
      </c>
      <c r="G709" s="2" t="s">
        <v>872</v>
      </c>
      <c r="H709" s="2" t="s">
        <v>403</v>
      </c>
      <c r="I709" s="2" t="s">
        <v>1085</v>
      </c>
      <c r="J709" s="2" t="s">
        <v>1110</v>
      </c>
      <c r="K709" s="2">
        <v>3581.25</v>
      </c>
      <c r="L709" s="2">
        <v>3581.25</v>
      </c>
      <c r="M709" s="2">
        <v>71.625</v>
      </c>
      <c r="N709" s="2">
        <v>72</v>
      </c>
      <c r="O709" s="2">
        <f t="shared" si="11"/>
        <v>1250</v>
      </c>
    </row>
    <row r="710" spans="1:15" x14ac:dyDescent="0.3">
      <c r="A710" s="8">
        <v>708</v>
      </c>
      <c r="B710" s="14">
        <v>46296</v>
      </c>
      <c r="C710" s="2" t="s">
        <v>1315</v>
      </c>
      <c r="D710" s="2" t="s">
        <v>10</v>
      </c>
      <c r="E710" s="2" t="s">
        <v>935</v>
      </c>
      <c r="F710" s="2">
        <v>1.25</v>
      </c>
      <c r="G710" s="2" t="s">
        <v>873</v>
      </c>
      <c r="H710" s="2" t="s">
        <v>429</v>
      </c>
      <c r="I710" s="2" t="s">
        <v>1089</v>
      </c>
      <c r="J710" s="2" t="s">
        <v>1110</v>
      </c>
      <c r="K710" s="2">
        <v>3748.75</v>
      </c>
      <c r="L710" s="2">
        <v>3748.75</v>
      </c>
      <c r="M710" s="2">
        <v>74.974999999999994</v>
      </c>
      <c r="N710" s="2">
        <v>75</v>
      </c>
      <c r="O710" s="2">
        <f t="shared" si="11"/>
        <v>1250</v>
      </c>
    </row>
    <row r="711" spans="1:15" x14ac:dyDescent="0.3">
      <c r="A711" s="8">
        <v>709</v>
      </c>
      <c r="B711" s="14">
        <v>46296</v>
      </c>
      <c r="C711" s="2" t="s">
        <v>1316</v>
      </c>
      <c r="D711" s="2" t="s">
        <v>10</v>
      </c>
      <c r="E711" s="2" t="s">
        <v>935</v>
      </c>
      <c r="F711" s="2">
        <v>1.25</v>
      </c>
      <c r="G711" s="2" t="s">
        <v>874</v>
      </c>
      <c r="H711" s="2" t="s">
        <v>438</v>
      </c>
      <c r="I711" s="2" t="s">
        <v>1090</v>
      </c>
      <c r="J711" s="2" t="s">
        <v>1110</v>
      </c>
      <c r="K711" s="2">
        <v>2708.75</v>
      </c>
      <c r="L711" s="2">
        <v>2708.75</v>
      </c>
      <c r="M711" s="2">
        <v>54.174999999999997</v>
      </c>
      <c r="N711" s="2">
        <v>54</v>
      </c>
      <c r="O711" s="2">
        <f t="shared" si="11"/>
        <v>1250</v>
      </c>
    </row>
    <row r="712" spans="1:15" x14ac:dyDescent="0.3">
      <c r="A712" s="8">
        <v>710</v>
      </c>
      <c r="B712" s="14">
        <v>46296</v>
      </c>
      <c r="C712" s="2" t="s">
        <v>1317</v>
      </c>
      <c r="D712" s="2" t="s">
        <v>10</v>
      </c>
      <c r="E712" s="2" t="s">
        <v>935</v>
      </c>
      <c r="F712" s="2">
        <v>1.25</v>
      </c>
      <c r="G712" s="2" t="s">
        <v>875</v>
      </c>
      <c r="H712" s="2" t="s">
        <v>447</v>
      </c>
      <c r="I712" s="2" t="s">
        <v>1090</v>
      </c>
      <c r="J712" s="2" t="s">
        <v>1110</v>
      </c>
      <c r="K712" s="2">
        <v>2900</v>
      </c>
      <c r="L712" s="2">
        <v>2900</v>
      </c>
      <c r="M712" s="2">
        <v>58</v>
      </c>
      <c r="N712" s="2">
        <v>58</v>
      </c>
      <c r="O712" s="2">
        <f t="shared" si="11"/>
        <v>1250</v>
      </c>
    </row>
    <row r="713" spans="1:15" x14ac:dyDescent="0.3">
      <c r="A713" s="8">
        <v>711</v>
      </c>
      <c r="B713" s="14">
        <v>46296</v>
      </c>
      <c r="C713" s="2" t="s">
        <v>1318</v>
      </c>
      <c r="D713" s="2" t="s">
        <v>10</v>
      </c>
      <c r="E713" s="2" t="s">
        <v>935</v>
      </c>
      <c r="F713" s="2">
        <v>1.25</v>
      </c>
      <c r="G713" s="2" t="s">
        <v>876</v>
      </c>
      <c r="H713" s="2" t="s">
        <v>457</v>
      </c>
      <c r="I713" s="2" t="s">
        <v>1091</v>
      </c>
      <c r="J713" s="2" t="s">
        <v>1110</v>
      </c>
      <c r="K713" s="2">
        <v>3187.5</v>
      </c>
      <c r="L713" s="2">
        <v>3187.5</v>
      </c>
      <c r="M713" s="2">
        <v>63.75</v>
      </c>
      <c r="N713" s="2">
        <v>64</v>
      </c>
      <c r="O713" s="2">
        <f t="shared" si="11"/>
        <v>1250</v>
      </c>
    </row>
    <row r="714" spans="1:15" x14ac:dyDescent="0.3">
      <c r="A714" s="8">
        <v>712</v>
      </c>
      <c r="B714" s="14">
        <v>46296</v>
      </c>
      <c r="C714" s="2" t="s">
        <v>1319</v>
      </c>
      <c r="D714" s="2" t="s">
        <v>10</v>
      </c>
      <c r="E714" s="2" t="s">
        <v>935</v>
      </c>
      <c r="F714" s="2">
        <v>1.25</v>
      </c>
      <c r="G714" s="2" t="s">
        <v>877</v>
      </c>
      <c r="H714" s="2" t="s">
        <v>467</v>
      </c>
      <c r="I714" s="2" t="s">
        <v>1091</v>
      </c>
      <c r="J714" s="2" t="s">
        <v>1110</v>
      </c>
      <c r="K714" s="2">
        <v>3567.5</v>
      </c>
      <c r="L714" s="2">
        <v>3567.5</v>
      </c>
      <c r="M714" s="2">
        <v>71.349999999999994</v>
      </c>
      <c r="N714" s="2">
        <v>71</v>
      </c>
      <c r="O714" s="2">
        <f t="shared" si="11"/>
        <v>1250</v>
      </c>
    </row>
    <row r="715" spans="1:15" x14ac:dyDescent="0.3">
      <c r="A715" s="8">
        <v>713</v>
      </c>
      <c r="B715" s="14">
        <v>46296</v>
      </c>
      <c r="C715" s="2" t="s">
        <v>1320</v>
      </c>
      <c r="D715" s="2" t="s">
        <v>10</v>
      </c>
      <c r="E715" s="2" t="s">
        <v>935</v>
      </c>
      <c r="F715" s="2">
        <v>1.25</v>
      </c>
      <c r="G715" s="2" t="s">
        <v>878</v>
      </c>
      <c r="H715" s="2" t="s">
        <v>477</v>
      </c>
      <c r="I715" s="2" t="s">
        <v>1091</v>
      </c>
      <c r="J715" s="2" t="s">
        <v>1110</v>
      </c>
      <c r="K715" s="2">
        <v>3888.75</v>
      </c>
      <c r="L715" s="2">
        <v>3888.75</v>
      </c>
      <c r="M715" s="2">
        <v>77.775000000000006</v>
      </c>
      <c r="N715" s="2">
        <v>78</v>
      </c>
      <c r="O715" s="2">
        <f t="shared" si="11"/>
        <v>1250</v>
      </c>
    </row>
    <row r="716" spans="1:15" x14ac:dyDescent="0.3">
      <c r="A716" s="8">
        <v>714</v>
      </c>
      <c r="B716" s="14">
        <v>46296</v>
      </c>
      <c r="C716" s="2" t="s">
        <v>1240</v>
      </c>
      <c r="D716" s="2" t="s">
        <v>10</v>
      </c>
      <c r="E716" s="2" t="s">
        <v>935</v>
      </c>
      <c r="F716" s="2">
        <v>0.5</v>
      </c>
      <c r="G716" s="2" t="s">
        <v>885</v>
      </c>
      <c r="H716" s="2" t="s">
        <v>535</v>
      </c>
      <c r="I716" s="2" t="s">
        <v>1095</v>
      </c>
      <c r="J716" s="2" t="s">
        <v>1110</v>
      </c>
      <c r="K716" s="2">
        <v>946</v>
      </c>
      <c r="L716" s="2">
        <v>946</v>
      </c>
      <c r="M716" s="2">
        <v>18.920000000000002</v>
      </c>
      <c r="N716" s="2">
        <v>19</v>
      </c>
      <c r="O716" s="2">
        <f t="shared" si="11"/>
        <v>500</v>
      </c>
    </row>
    <row r="717" spans="1:15" x14ac:dyDescent="0.3">
      <c r="A717" s="8">
        <v>715</v>
      </c>
      <c r="B717" s="14">
        <v>46296</v>
      </c>
      <c r="C717" s="2" t="s">
        <v>1239</v>
      </c>
      <c r="D717" s="2" t="s">
        <v>10</v>
      </c>
      <c r="E717" s="2" t="s">
        <v>935</v>
      </c>
      <c r="F717" s="2">
        <v>1.25</v>
      </c>
      <c r="G717" s="2" t="s">
        <v>886</v>
      </c>
      <c r="H717" s="2" t="s">
        <v>545</v>
      </c>
      <c r="I717" s="2" t="s">
        <v>1096</v>
      </c>
      <c r="J717" s="2" t="s">
        <v>1110</v>
      </c>
      <c r="K717" s="2">
        <v>2462.5</v>
      </c>
      <c r="L717" s="2">
        <v>2462.5</v>
      </c>
      <c r="M717" s="2">
        <v>49.25</v>
      </c>
      <c r="N717" s="2">
        <v>49</v>
      </c>
      <c r="O717" s="2">
        <f t="shared" si="11"/>
        <v>1250</v>
      </c>
    </row>
    <row r="718" spans="1:15" x14ac:dyDescent="0.3">
      <c r="A718" s="8">
        <v>716</v>
      </c>
      <c r="B718" s="14">
        <v>46296</v>
      </c>
      <c r="C718" s="2" t="s">
        <v>1241</v>
      </c>
      <c r="D718" s="2" t="s">
        <v>10</v>
      </c>
      <c r="E718" s="2" t="s">
        <v>935</v>
      </c>
      <c r="F718" s="2">
        <v>0.5</v>
      </c>
      <c r="G718" s="2" t="s">
        <v>887</v>
      </c>
      <c r="H718" s="2" t="s">
        <v>555</v>
      </c>
      <c r="I718" s="2" t="s">
        <v>1095</v>
      </c>
      <c r="J718" s="2" t="s">
        <v>1110</v>
      </c>
      <c r="K718" s="2">
        <v>843</v>
      </c>
      <c r="L718" s="2">
        <v>843</v>
      </c>
      <c r="M718" s="2">
        <v>16.86</v>
      </c>
      <c r="N718" s="2">
        <v>17</v>
      </c>
      <c r="O718" s="2">
        <f t="shared" si="11"/>
        <v>500</v>
      </c>
    </row>
    <row r="719" spans="1:15" x14ac:dyDescent="0.3">
      <c r="A719" s="8">
        <v>717</v>
      </c>
      <c r="B719" s="14">
        <v>46296</v>
      </c>
      <c r="C719" s="2" t="s">
        <v>1242</v>
      </c>
      <c r="D719" s="2" t="s">
        <v>10</v>
      </c>
      <c r="E719" s="2" t="s">
        <v>935</v>
      </c>
      <c r="F719" s="2">
        <v>0.5</v>
      </c>
      <c r="G719" s="2" t="s">
        <v>888</v>
      </c>
      <c r="H719" s="2" t="s">
        <v>565</v>
      </c>
      <c r="I719" s="2" t="s">
        <v>1095</v>
      </c>
      <c r="J719" s="2" t="s">
        <v>1110</v>
      </c>
      <c r="K719" s="2">
        <v>690</v>
      </c>
      <c r="L719" s="2">
        <v>690</v>
      </c>
      <c r="M719" s="2">
        <v>13.8</v>
      </c>
      <c r="N719" s="2">
        <v>14</v>
      </c>
      <c r="O719" s="2">
        <f t="shared" si="11"/>
        <v>500</v>
      </c>
    </row>
    <row r="720" spans="1:15" x14ac:dyDescent="0.3">
      <c r="A720" s="8">
        <v>718</v>
      </c>
      <c r="B720" s="14">
        <v>46296</v>
      </c>
      <c r="C720" s="2" t="s">
        <v>1243</v>
      </c>
      <c r="D720" s="2" t="s">
        <v>10</v>
      </c>
      <c r="E720" s="2" t="s">
        <v>935</v>
      </c>
      <c r="F720" s="2">
        <v>0.5</v>
      </c>
      <c r="G720" s="2" t="s">
        <v>889</v>
      </c>
      <c r="H720" s="2" t="s">
        <v>575</v>
      </c>
      <c r="I720" s="2" t="s">
        <v>1097</v>
      </c>
      <c r="J720" s="2" t="s">
        <v>1110</v>
      </c>
      <c r="K720" s="2">
        <v>375.5</v>
      </c>
      <c r="L720" s="2">
        <v>375.5</v>
      </c>
      <c r="M720" s="2">
        <v>7.51</v>
      </c>
      <c r="N720" s="2">
        <v>8</v>
      </c>
      <c r="O720" s="2">
        <f t="shared" si="11"/>
        <v>500</v>
      </c>
    </row>
    <row r="721" spans="1:15" x14ac:dyDescent="0.3">
      <c r="A721" s="8">
        <v>719</v>
      </c>
      <c r="B721" s="14">
        <v>46296</v>
      </c>
      <c r="C721" s="2" t="s">
        <v>1327</v>
      </c>
      <c r="D721" s="2" t="s">
        <v>10</v>
      </c>
      <c r="E721" s="2" t="s">
        <v>935</v>
      </c>
      <c r="F721" s="2">
        <v>0.5</v>
      </c>
      <c r="G721" s="2" t="s">
        <v>890</v>
      </c>
      <c r="H721" s="2" t="s">
        <v>585</v>
      </c>
      <c r="I721" s="2" t="s">
        <v>1098</v>
      </c>
      <c r="J721" s="2" t="s">
        <v>1110</v>
      </c>
      <c r="K721" s="2">
        <v>584</v>
      </c>
      <c r="L721" s="2">
        <v>584</v>
      </c>
      <c r="M721" s="2">
        <v>11.68</v>
      </c>
      <c r="N721" s="2">
        <v>12</v>
      </c>
      <c r="O721" s="2">
        <f t="shared" si="11"/>
        <v>500</v>
      </c>
    </row>
    <row r="722" spans="1:15" x14ac:dyDescent="0.3">
      <c r="A722" s="8">
        <v>720</v>
      </c>
      <c r="B722" s="14">
        <v>46296</v>
      </c>
      <c r="C722" s="2" t="s">
        <v>1245</v>
      </c>
      <c r="D722" s="2" t="s">
        <v>10</v>
      </c>
      <c r="E722" s="2" t="s">
        <v>935</v>
      </c>
      <c r="F722" s="2">
        <v>0.5</v>
      </c>
      <c r="G722" s="2" t="s">
        <v>1099</v>
      </c>
      <c r="H722" s="2" t="s">
        <v>595</v>
      </c>
      <c r="I722" s="2" t="s">
        <v>1097</v>
      </c>
      <c r="J722" s="2" t="s">
        <v>1110</v>
      </c>
      <c r="K722" s="2">
        <v>72.5</v>
      </c>
      <c r="L722" s="2">
        <v>72.5</v>
      </c>
      <c r="M722" s="2">
        <v>1.45</v>
      </c>
      <c r="N722" s="2">
        <v>1</v>
      </c>
      <c r="O722" s="2">
        <f t="shared" si="11"/>
        <v>500</v>
      </c>
    </row>
    <row r="723" spans="1:15" x14ac:dyDescent="0.3">
      <c r="A723" s="8">
        <v>721</v>
      </c>
      <c r="B723" s="14">
        <v>46296</v>
      </c>
      <c r="C723" s="2" t="s">
        <v>1328</v>
      </c>
      <c r="D723" s="2" t="s">
        <v>10</v>
      </c>
      <c r="E723" s="2" t="s">
        <v>935</v>
      </c>
      <c r="F723" s="2">
        <v>0.5</v>
      </c>
      <c r="G723" s="2" t="s">
        <v>1100</v>
      </c>
      <c r="H723" s="2" t="s">
        <v>605</v>
      </c>
      <c r="I723" s="2" t="s">
        <v>1098</v>
      </c>
      <c r="J723" s="2" t="s">
        <v>1110</v>
      </c>
      <c r="K723" s="2">
        <v>773.5</v>
      </c>
      <c r="L723" s="2">
        <v>773.5</v>
      </c>
      <c r="M723" s="2">
        <v>15.47</v>
      </c>
      <c r="N723" s="2">
        <v>15</v>
      </c>
      <c r="O723" s="2">
        <f t="shared" si="11"/>
        <v>500</v>
      </c>
    </row>
    <row r="724" spans="1:15" x14ac:dyDescent="0.3">
      <c r="A724" s="8">
        <v>722</v>
      </c>
      <c r="B724" s="14">
        <v>46296</v>
      </c>
      <c r="C724" s="2" t="s">
        <v>1329</v>
      </c>
      <c r="D724" s="2" t="s">
        <v>10</v>
      </c>
      <c r="E724" s="2" t="s">
        <v>935</v>
      </c>
      <c r="F724" s="2">
        <v>0.5</v>
      </c>
      <c r="G724" s="2" t="s">
        <v>1101</v>
      </c>
      <c r="H724" s="2" t="s">
        <v>615</v>
      </c>
      <c r="I724" s="2" t="s">
        <v>1102</v>
      </c>
      <c r="J724" s="2" t="s">
        <v>1110</v>
      </c>
      <c r="K724" s="2">
        <v>1585.5</v>
      </c>
      <c r="L724" s="2">
        <v>1585.5</v>
      </c>
      <c r="M724" s="2">
        <v>31.71</v>
      </c>
      <c r="N724" s="2">
        <v>32</v>
      </c>
      <c r="O724" s="2">
        <f t="shared" si="11"/>
        <v>500</v>
      </c>
    </row>
    <row r="725" spans="1:15" x14ac:dyDescent="0.3">
      <c r="A725" s="8">
        <v>723</v>
      </c>
      <c r="B725" s="14">
        <v>46296</v>
      </c>
      <c r="C725" s="2" t="s">
        <v>1330</v>
      </c>
      <c r="D725" s="2" t="s">
        <v>10</v>
      </c>
      <c r="E725" s="2" t="s">
        <v>935</v>
      </c>
      <c r="F725" s="2">
        <v>0.5</v>
      </c>
      <c r="G725" s="2" t="s">
        <v>906</v>
      </c>
      <c r="H725" s="2" t="s">
        <v>625</v>
      </c>
      <c r="I725" s="2" t="s">
        <v>1102</v>
      </c>
      <c r="J725" s="2" t="s">
        <v>1110</v>
      </c>
      <c r="K725" s="2">
        <v>1475</v>
      </c>
      <c r="L725" s="2">
        <v>1475</v>
      </c>
      <c r="M725" s="2">
        <v>29.5</v>
      </c>
      <c r="N725" s="2">
        <v>30</v>
      </c>
      <c r="O725" s="2">
        <f t="shared" si="11"/>
        <v>500</v>
      </c>
    </row>
    <row r="726" spans="1:15" x14ac:dyDescent="0.3">
      <c r="A726" s="8">
        <v>724</v>
      </c>
      <c r="B726" s="14">
        <v>46296</v>
      </c>
      <c r="C726" s="2" t="s">
        <v>1331</v>
      </c>
      <c r="D726" s="2" t="s">
        <v>10</v>
      </c>
      <c r="E726" s="2" t="s">
        <v>935</v>
      </c>
      <c r="F726" s="2">
        <v>1.25</v>
      </c>
      <c r="G726" s="2" t="s">
        <v>907</v>
      </c>
      <c r="H726" s="2" t="s">
        <v>635</v>
      </c>
      <c r="I726" s="2" t="s">
        <v>1103</v>
      </c>
      <c r="J726" s="2" t="s">
        <v>1110</v>
      </c>
      <c r="K726" s="2">
        <v>3061.25</v>
      </c>
      <c r="L726" s="2">
        <v>3061.25</v>
      </c>
      <c r="M726" s="2">
        <v>61.225000000000001</v>
      </c>
      <c r="N726" s="2">
        <v>61</v>
      </c>
      <c r="O726" s="2">
        <f t="shared" si="11"/>
        <v>1250</v>
      </c>
    </row>
    <row r="727" spans="1:15" x14ac:dyDescent="0.3">
      <c r="A727" s="8">
        <v>725</v>
      </c>
      <c r="B727" s="14">
        <v>46296</v>
      </c>
      <c r="C727" s="2" t="s">
        <v>1332</v>
      </c>
      <c r="D727" s="2" t="s">
        <v>10</v>
      </c>
      <c r="E727" s="2" t="s">
        <v>935</v>
      </c>
      <c r="F727" s="2">
        <v>1.25</v>
      </c>
      <c r="G727" s="2" t="s">
        <v>908</v>
      </c>
      <c r="H727" s="2" t="s">
        <v>645</v>
      </c>
      <c r="I727" s="2" t="s">
        <v>1103</v>
      </c>
      <c r="J727" s="2" t="s">
        <v>1110</v>
      </c>
      <c r="K727" s="2">
        <v>2517.5</v>
      </c>
      <c r="L727" s="2">
        <v>2517.5</v>
      </c>
      <c r="M727" s="2">
        <v>50.35</v>
      </c>
      <c r="N727" s="2">
        <v>50</v>
      </c>
      <c r="O727" s="2">
        <f t="shared" si="11"/>
        <v>1250</v>
      </c>
    </row>
    <row r="728" spans="1:15" x14ac:dyDescent="0.3">
      <c r="A728" s="8">
        <v>726</v>
      </c>
      <c r="B728" s="14">
        <v>46296</v>
      </c>
      <c r="C728" s="2" t="s">
        <v>1334</v>
      </c>
      <c r="D728" s="2" t="s">
        <v>10</v>
      </c>
      <c r="E728" s="2" t="s">
        <v>935</v>
      </c>
      <c r="F728" s="2">
        <v>1.25</v>
      </c>
      <c r="G728" s="2" t="s">
        <v>910</v>
      </c>
      <c r="H728" s="2" t="s">
        <v>663</v>
      </c>
      <c r="I728" s="2" t="s">
        <v>1103</v>
      </c>
      <c r="J728" s="2" t="s">
        <v>1110</v>
      </c>
      <c r="K728" s="2">
        <v>3622.5</v>
      </c>
      <c r="L728" s="2">
        <v>3622.5</v>
      </c>
      <c r="M728" s="2">
        <v>72.45</v>
      </c>
      <c r="N728" s="2">
        <v>72</v>
      </c>
      <c r="O728" s="2">
        <f t="shared" si="11"/>
        <v>1250</v>
      </c>
    </row>
    <row r="729" spans="1:15" x14ac:dyDescent="0.3">
      <c r="A729" s="8">
        <v>727</v>
      </c>
      <c r="B729" s="14">
        <v>46296</v>
      </c>
      <c r="C729" s="2" t="s">
        <v>1335</v>
      </c>
      <c r="D729" s="2" t="s">
        <v>10</v>
      </c>
      <c r="E729" s="2" t="s">
        <v>935</v>
      </c>
      <c r="F729" s="2">
        <v>1.25</v>
      </c>
      <c r="G729" s="2" t="s">
        <v>911</v>
      </c>
      <c r="H729" s="2" t="s">
        <v>673</v>
      </c>
      <c r="I729" s="2" t="s">
        <v>1103</v>
      </c>
      <c r="J729" s="2" t="s">
        <v>1110</v>
      </c>
      <c r="K729" s="2">
        <v>2955</v>
      </c>
      <c r="L729" s="2">
        <v>2955</v>
      </c>
      <c r="M729" s="2">
        <v>59.1</v>
      </c>
      <c r="N729" s="2">
        <v>59</v>
      </c>
      <c r="O729" s="2">
        <f t="shared" si="11"/>
        <v>1250</v>
      </c>
    </row>
    <row r="730" spans="1:15" x14ac:dyDescent="0.3">
      <c r="A730" s="8">
        <v>728</v>
      </c>
      <c r="B730" s="14">
        <v>46296</v>
      </c>
      <c r="C730" s="2" t="s">
        <v>1173</v>
      </c>
      <c r="D730" s="2" t="s">
        <v>10</v>
      </c>
      <c r="E730" s="2" t="s">
        <v>935</v>
      </c>
      <c r="F730" s="2">
        <v>1.25</v>
      </c>
      <c r="G730" s="2" t="s">
        <v>916</v>
      </c>
      <c r="H730" s="2" t="s">
        <v>714</v>
      </c>
      <c r="I730" s="2" t="s">
        <v>1108</v>
      </c>
      <c r="J730" s="2" t="s">
        <v>1110</v>
      </c>
      <c r="K730" s="2">
        <v>76.25</v>
      </c>
      <c r="L730" s="2">
        <v>76.25</v>
      </c>
      <c r="M730" s="2">
        <v>1.5249999999999999</v>
      </c>
      <c r="N730" s="2">
        <v>2</v>
      </c>
      <c r="O730" s="2">
        <f t="shared" si="11"/>
        <v>1250</v>
      </c>
    </row>
    <row r="731" spans="1:15" x14ac:dyDescent="0.3">
      <c r="A731" s="8">
        <v>729</v>
      </c>
      <c r="B731" s="14">
        <v>46296</v>
      </c>
      <c r="C731" s="2" t="s">
        <v>1174</v>
      </c>
      <c r="D731" s="2" t="s">
        <v>10</v>
      </c>
      <c r="E731" s="2" t="s">
        <v>935</v>
      </c>
      <c r="F731" s="2">
        <v>1.25</v>
      </c>
      <c r="G731" s="2" t="s">
        <v>923</v>
      </c>
      <c r="H731" s="2" t="s">
        <v>771</v>
      </c>
      <c r="I731" s="2" t="s">
        <v>1108</v>
      </c>
      <c r="J731" s="2" t="s">
        <v>1110</v>
      </c>
      <c r="K731" s="2">
        <v>213.75</v>
      </c>
      <c r="L731" s="2">
        <v>213.75</v>
      </c>
      <c r="M731" s="2">
        <v>4.2750000000000004</v>
      </c>
      <c r="N731" s="2">
        <v>4</v>
      </c>
      <c r="O731" s="2">
        <f t="shared" si="11"/>
        <v>1250</v>
      </c>
    </row>
    <row r="732" spans="1:15" x14ac:dyDescent="0.3">
      <c r="A732" s="8">
        <v>730</v>
      </c>
      <c r="B732" s="14">
        <v>46296</v>
      </c>
      <c r="C732" s="2" t="s">
        <v>1175</v>
      </c>
      <c r="D732" s="2" t="s">
        <v>10</v>
      </c>
      <c r="E732" s="2" t="s">
        <v>935</v>
      </c>
      <c r="F732" s="2">
        <v>1.25</v>
      </c>
      <c r="G732" s="2" t="s">
        <v>927</v>
      </c>
      <c r="H732" s="2" t="s">
        <v>804</v>
      </c>
      <c r="I732" s="2" t="s">
        <v>1108</v>
      </c>
      <c r="J732" s="2" t="s">
        <v>1110</v>
      </c>
      <c r="K732" s="2">
        <v>301.25</v>
      </c>
      <c r="L732" s="2">
        <v>301.25</v>
      </c>
      <c r="M732" s="2">
        <v>6.0250000000000004</v>
      </c>
      <c r="N732" s="2">
        <v>6</v>
      </c>
      <c r="O732" s="2">
        <f t="shared" si="11"/>
        <v>1250</v>
      </c>
    </row>
    <row r="733" spans="1:15" x14ac:dyDescent="0.3">
      <c r="A733" s="8">
        <v>731</v>
      </c>
      <c r="B733" s="14">
        <v>46296</v>
      </c>
      <c r="C733" s="2" t="s">
        <v>1176</v>
      </c>
      <c r="D733" s="2" t="s">
        <v>10</v>
      </c>
      <c r="E733" s="2" t="s">
        <v>935</v>
      </c>
      <c r="F733" s="2">
        <v>1.25</v>
      </c>
      <c r="G733" s="2" t="s">
        <v>932</v>
      </c>
      <c r="H733" s="2" t="s">
        <v>845</v>
      </c>
      <c r="I733" s="2" t="s">
        <v>1109</v>
      </c>
      <c r="J733" s="2" t="s">
        <v>1110</v>
      </c>
      <c r="K733" s="2">
        <v>3837.5</v>
      </c>
      <c r="L733" s="2">
        <v>3837.5</v>
      </c>
      <c r="M733" s="2">
        <v>76.75</v>
      </c>
      <c r="N733" s="2">
        <v>77</v>
      </c>
      <c r="O733" s="2">
        <f t="shared" si="11"/>
        <v>1250</v>
      </c>
    </row>
    <row r="734" spans="1:15" x14ac:dyDescent="0.3">
      <c r="A734" s="8">
        <v>732</v>
      </c>
      <c r="B734" s="14">
        <v>46296</v>
      </c>
      <c r="C734" s="2" t="s">
        <v>1177</v>
      </c>
      <c r="D734" s="2" t="s">
        <v>10</v>
      </c>
      <c r="E734" s="2" t="s">
        <v>935</v>
      </c>
      <c r="F734" s="2">
        <v>1.25</v>
      </c>
      <c r="G734" s="2" t="s">
        <v>933</v>
      </c>
      <c r="H734" s="2" t="s">
        <v>854</v>
      </c>
      <c r="I734" s="2" t="s">
        <v>1109</v>
      </c>
      <c r="J734" s="2" t="s">
        <v>1110</v>
      </c>
      <c r="K734" s="2">
        <v>4087.5</v>
      </c>
      <c r="L734" s="2">
        <v>4087.5</v>
      </c>
      <c r="M734" s="2">
        <v>81.75</v>
      </c>
      <c r="N734" s="2">
        <v>82</v>
      </c>
      <c r="O734" s="2">
        <f t="shared" si="11"/>
        <v>1250</v>
      </c>
    </row>
    <row r="735" spans="1:15" x14ac:dyDescent="0.3">
      <c r="A735" s="8">
        <v>733</v>
      </c>
      <c r="B735" s="14">
        <v>46327</v>
      </c>
      <c r="C735" s="2" t="s">
        <v>1312</v>
      </c>
      <c r="D735" s="2" t="s">
        <v>12</v>
      </c>
      <c r="E735" s="2" t="s">
        <v>935</v>
      </c>
      <c r="F735" s="2">
        <v>0.75</v>
      </c>
      <c r="G735" s="2" t="s">
        <v>872</v>
      </c>
      <c r="H735" s="2" t="s">
        <v>404</v>
      </c>
      <c r="I735" s="2" t="s">
        <v>1085</v>
      </c>
      <c r="J735" s="2" t="s">
        <v>1110</v>
      </c>
      <c r="K735" s="2">
        <v>2148.75</v>
      </c>
      <c r="L735" s="2">
        <v>2148.75</v>
      </c>
      <c r="M735" s="2">
        <v>42.975000000000001</v>
      </c>
      <c r="N735" s="2">
        <v>43</v>
      </c>
      <c r="O735" s="2">
        <f t="shared" si="11"/>
        <v>750</v>
      </c>
    </row>
    <row r="736" spans="1:15" x14ac:dyDescent="0.3">
      <c r="A736" s="8">
        <v>734</v>
      </c>
      <c r="B736" s="14">
        <v>46327</v>
      </c>
      <c r="C736" s="2" t="s">
        <v>1315</v>
      </c>
      <c r="D736" s="2" t="s">
        <v>12</v>
      </c>
      <c r="E736" s="2" t="s">
        <v>935</v>
      </c>
      <c r="F736" s="2">
        <v>0.75</v>
      </c>
      <c r="G736" s="2" t="s">
        <v>873</v>
      </c>
      <c r="H736" s="2" t="s">
        <v>430</v>
      </c>
      <c r="I736" s="2" t="s">
        <v>1089</v>
      </c>
      <c r="J736" s="2" t="s">
        <v>1110</v>
      </c>
      <c r="K736" s="2">
        <v>2249.25</v>
      </c>
      <c r="L736" s="2">
        <v>2249.25</v>
      </c>
      <c r="M736" s="2">
        <v>44.984999999999999</v>
      </c>
      <c r="N736" s="2">
        <v>45</v>
      </c>
      <c r="O736" s="2">
        <f t="shared" si="11"/>
        <v>750</v>
      </c>
    </row>
    <row r="737" spans="1:15" x14ac:dyDescent="0.3">
      <c r="A737" s="8">
        <v>735</v>
      </c>
      <c r="B737" s="14">
        <v>46327</v>
      </c>
      <c r="C737" s="2" t="s">
        <v>1316</v>
      </c>
      <c r="D737" s="2" t="s">
        <v>12</v>
      </c>
      <c r="E737" s="2" t="s">
        <v>935</v>
      </c>
      <c r="F737" s="2">
        <v>0.75</v>
      </c>
      <c r="G737" s="2" t="s">
        <v>874</v>
      </c>
      <c r="H737" s="2" t="s">
        <v>439</v>
      </c>
      <c r="I737" s="2" t="s">
        <v>1090</v>
      </c>
      <c r="J737" s="2" t="s">
        <v>1110</v>
      </c>
      <c r="K737" s="2">
        <v>1625.25</v>
      </c>
      <c r="L737" s="2">
        <v>1625.25</v>
      </c>
      <c r="M737" s="2">
        <v>32.505000000000003</v>
      </c>
      <c r="N737" s="2">
        <v>33</v>
      </c>
      <c r="O737" s="2">
        <f t="shared" si="11"/>
        <v>750</v>
      </c>
    </row>
    <row r="738" spans="1:15" x14ac:dyDescent="0.3">
      <c r="A738" s="8">
        <v>736</v>
      </c>
      <c r="B738" s="14">
        <v>46327</v>
      </c>
      <c r="C738" s="2" t="s">
        <v>1317</v>
      </c>
      <c r="D738" s="2" t="s">
        <v>12</v>
      </c>
      <c r="E738" s="2" t="s">
        <v>935</v>
      </c>
      <c r="F738" s="2">
        <v>0.75</v>
      </c>
      <c r="G738" s="2" t="s">
        <v>875</v>
      </c>
      <c r="H738" s="2" t="s">
        <v>448</v>
      </c>
      <c r="I738" s="2" t="s">
        <v>1090</v>
      </c>
      <c r="J738" s="2" t="s">
        <v>1110</v>
      </c>
      <c r="K738" s="2">
        <v>1740</v>
      </c>
      <c r="L738" s="2">
        <v>1740</v>
      </c>
      <c r="M738" s="2">
        <v>34.799999999999997</v>
      </c>
      <c r="N738" s="2">
        <v>35</v>
      </c>
      <c r="O738" s="2">
        <f t="shared" si="11"/>
        <v>750</v>
      </c>
    </row>
    <row r="739" spans="1:15" x14ac:dyDescent="0.3">
      <c r="A739" s="8">
        <v>737</v>
      </c>
      <c r="B739" s="14">
        <v>46327</v>
      </c>
      <c r="C739" s="2" t="s">
        <v>1318</v>
      </c>
      <c r="D739" s="2" t="s">
        <v>12</v>
      </c>
      <c r="E739" s="2" t="s">
        <v>935</v>
      </c>
      <c r="F739" s="2">
        <v>0.75</v>
      </c>
      <c r="G739" s="2" t="s">
        <v>876</v>
      </c>
      <c r="H739" s="2" t="s">
        <v>458</v>
      </c>
      <c r="I739" s="2" t="s">
        <v>1091</v>
      </c>
      <c r="J739" s="2" t="s">
        <v>1110</v>
      </c>
      <c r="K739" s="2">
        <v>1912.5</v>
      </c>
      <c r="L739" s="2">
        <v>1912.5</v>
      </c>
      <c r="M739" s="2">
        <v>38.25</v>
      </c>
      <c r="N739" s="2">
        <v>38</v>
      </c>
      <c r="O739" s="2">
        <f t="shared" si="11"/>
        <v>750</v>
      </c>
    </row>
    <row r="740" spans="1:15" x14ac:dyDescent="0.3">
      <c r="A740" s="8">
        <v>738</v>
      </c>
      <c r="B740" s="14">
        <v>46327</v>
      </c>
      <c r="C740" s="2" t="s">
        <v>1319</v>
      </c>
      <c r="D740" s="2" t="s">
        <v>12</v>
      </c>
      <c r="E740" s="2" t="s">
        <v>935</v>
      </c>
      <c r="F740" s="2">
        <v>0.75</v>
      </c>
      <c r="G740" s="2" t="s">
        <v>877</v>
      </c>
      <c r="H740" s="2" t="s">
        <v>468</v>
      </c>
      <c r="I740" s="2" t="s">
        <v>1091</v>
      </c>
      <c r="J740" s="2" t="s">
        <v>1110</v>
      </c>
      <c r="K740" s="2">
        <v>2140.5</v>
      </c>
      <c r="L740" s="2">
        <v>2140.5</v>
      </c>
      <c r="M740" s="2">
        <v>42.81</v>
      </c>
      <c r="N740" s="2">
        <v>43</v>
      </c>
      <c r="O740" s="2">
        <f t="shared" si="11"/>
        <v>750</v>
      </c>
    </row>
    <row r="741" spans="1:15" x14ac:dyDescent="0.3">
      <c r="A741" s="8">
        <v>739</v>
      </c>
      <c r="B741" s="14">
        <v>46327</v>
      </c>
      <c r="C741" s="2" t="s">
        <v>1320</v>
      </c>
      <c r="D741" s="2" t="s">
        <v>12</v>
      </c>
      <c r="E741" s="2" t="s">
        <v>935</v>
      </c>
      <c r="F741" s="2">
        <v>0.75</v>
      </c>
      <c r="G741" s="2" t="s">
        <v>878</v>
      </c>
      <c r="H741" s="2" t="s">
        <v>478</v>
      </c>
      <c r="I741" s="2" t="s">
        <v>1091</v>
      </c>
      <c r="J741" s="2" t="s">
        <v>1110</v>
      </c>
      <c r="K741" s="2">
        <v>2333.25</v>
      </c>
      <c r="L741" s="2">
        <v>2333.25</v>
      </c>
      <c r="M741" s="2">
        <v>46.664999999999999</v>
      </c>
      <c r="N741" s="2">
        <v>47</v>
      </c>
      <c r="O741" s="2">
        <f t="shared" si="11"/>
        <v>750</v>
      </c>
    </row>
    <row r="742" spans="1:15" x14ac:dyDescent="0.3">
      <c r="A742" s="8">
        <v>740</v>
      </c>
      <c r="B742" s="14">
        <v>46327</v>
      </c>
      <c r="C742" s="2" t="s">
        <v>1240</v>
      </c>
      <c r="D742" s="2" t="s">
        <v>12</v>
      </c>
      <c r="E742" s="2" t="s">
        <v>935</v>
      </c>
      <c r="F742" s="2">
        <v>0.5</v>
      </c>
      <c r="G742" s="2" t="s">
        <v>885</v>
      </c>
      <c r="H742" s="2" t="s">
        <v>536</v>
      </c>
      <c r="I742" s="2" t="s">
        <v>1095</v>
      </c>
      <c r="J742" s="2" t="s">
        <v>1110</v>
      </c>
      <c r="K742" s="2">
        <v>946</v>
      </c>
      <c r="L742" s="2">
        <v>946</v>
      </c>
      <c r="M742" s="2">
        <v>18.920000000000002</v>
      </c>
      <c r="N742" s="2">
        <v>19</v>
      </c>
      <c r="O742" s="2">
        <f t="shared" si="11"/>
        <v>500</v>
      </c>
    </row>
    <row r="743" spans="1:15" x14ac:dyDescent="0.3">
      <c r="A743" s="8">
        <v>741</v>
      </c>
      <c r="B743" s="14">
        <v>46327</v>
      </c>
      <c r="C743" s="2" t="s">
        <v>1239</v>
      </c>
      <c r="D743" s="2" t="s">
        <v>12</v>
      </c>
      <c r="E743" s="2" t="s">
        <v>935</v>
      </c>
      <c r="F743" s="2">
        <v>0.75</v>
      </c>
      <c r="G743" s="2" t="s">
        <v>886</v>
      </c>
      <c r="H743" s="2" t="s">
        <v>546</v>
      </c>
      <c r="I743" s="2" t="s">
        <v>1096</v>
      </c>
      <c r="J743" s="2" t="s">
        <v>1110</v>
      </c>
      <c r="K743" s="2">
        <v>1477.5</v>
      </c>
      <c r="L743" s="2">
        <v>1477.5</v>
      </c>
      <c r="M743" s="2">
        <v>29.55</v>
      </c>
      <c r="N743" s="2">
        <v>30</v>
      </c>
      <c r="O743" s="2">
        <f t="shared" si="11"/>
        <v>750</v>
      </c>
    </row>
    <row r="744" spans="1:15" x14ac:dyDescent="0.3">
      <c r="A744" s="8">
        <v>742</v>
      </c>
      <c r="B744" s="14">
        <v>46327</v>
      </c>
      <c r="C744" s="2" t="s">
        <v>1241</v>
      </c>
      <c r="D744" s="2" t="s">
        <v>12</v>
      </c>
      <c r="E744" s="2" t="s">
        <v>935</v>
      </c>
      <c r="F744" s="2">
        <v>0.5</v>
      </c>
      <c r="G744" s="2" t="s">
        <v>887</v>
      </c>
      <c r="H744" s="2" t="s">
        <v>556</v>
      </c>
      <c r="I744" s="2" t="s">
        <v>1095</v>
      </c>
      <c r="J744" s="2" t="s">
        <v>1110</v>
      </c>
      <c r="K744" s="2">
        <v>843</v>
      </c>
      <c r="L744" s="2">
        <v>843</v>
      </c>
      <c r="M744" s="2">
        <v>16.86</v>
      </c>
      <c r="N744" s="2">
        <v>17</v>
      </c>
      <c r="O744" s="2">
        <f t="shared" si="11"/>
        <v>500</v>
      </c>
    </row>
    <row r="745" spans="1:15" x14ac:dyDescent="0.3">
      <c r="A745" s="8">
        <v>743</v>
      </c>
      <c r="B745" s="14">
        <v>46327</v>
      </c>
      <c r="C745" s="2" t="s">
        <v>1242</v>
      </c>
      <c r="D745" s="2" t="s">
        <v>12</v>
      </c>
      <c r="E745" s="2" t="s">
        <v>935</v>
      </c>
      <c r="F745" s="2">
        <v>0.5</v>
      </c>
      <c r="G745" s="2" t="s">
        <v>888</v>
      </c>
      <c r="H745" s="2" t="s">
        <v>566</v>
      </c>
      <c r="I745" s="2" t="s">
        <v>1095</v>
      </c>
      <c r="J745" s="2" t="s">
        <v>1110</v>
      </c>
      <c r="K745" s="2">
        <v>690</v>
      </c>
      <c r="L745" s="2">
        <v>690</v>
      </c>
      <c r="M745" s="2">
        <v>13.8</v>
      </c>
      <c r="N745" s="2">
        <v>14</v>
      </c>
      <c r="O745" s="2">
        <f t="shared" si="11"/>
        <v>500</v>
      </c>
    </row>
    <row r="746" spans="1:15" x14ac:dyDescent="0.3">
      <c r="A746" s="8">
        <v>744</v>
      </c>
      <c r="B746" s="14">
        <v>46327</v>
      </c>
      <c r="C746" s="2" t="s">
        <v>1243</v>
      </c>
      <c r="D746" s="2" t="s">
        <v>12</v>
      </c>
      <c r="E746" s="2" t="s">
        <v>935</v>
      </c>
      <c r="F746" s="2">
        <v>0.5</v>
      </c>
      <c r="G746" s="2" t="s">
        <v>889</v>
      </c>
      <c r="H746" s="2" t="s">
        <v>576</v>
      </c>
      <c r="I746" s="2" t="s">
        <v>1097</v>
      </c>
      <c r="J746" s="2" t="s">
        <v>1110</v>
      </c>
      <c r="K746" s="2">
        <v>375.5</v>
      </c>
      <c r="L746" s="2">
        <v>375.5</v>
      </c>
      <c r="M746" s="2">
        <v>7.51</v>
      </c>
      <c r="N746" s="2">
        <v>8</v>
      </c>
      <c r="O746" s="2">
        <f t="shared" si="11"/>
        <v>500</v>
      </c>
    </row>
    <row r="747" spans="1:15" x14ac:dyDescent="0.3">
      <c r="A747" s="8">
        <v>745</v>
      </c>
      <c r="B747" s="14">
        <v>46327</v>
      </c>
      <c r="C747" s="2" t="s">
        <v>1327</v>
      </c>
      <c r="D747" s="2" t="s">
        <v>12</v>
      </c>
      <c r="E747" s="2" t="s">
        <v>935</v>
      </c>
      <c r="F747" s="2">
        <v>0.5</v>
      </c>
      <c r="G747" s="2" t="s">
        <v>890</v>
      </c>
      <c r="H747" s="2" t="s">
        <v>586</v>
      </c>
      <c r="I747" s="2" t="s">
        <v>1098</v>
      </c>
      <c r="J747" s="2" t="s">
        <v>1110</v>
      </c>
      <c r="K747" s="2">
        <v>584</v>
      </c>
      <c r="L747" s="2">
        <v>584</v>
      </c>
      <c r="M747" s="2">
        <v>11.68</v>
      </c>
      <c r="N747" s="2">
        <v>12</v>
      </c>
      <c r="O747" s="2">
        <f t="shared" si="11"/>
        <v>500</v>
      </c>
    </row>
    <row r="748" spans="1:15" x14ac:dyDescent="0.3">
      <c r="A748" s="8">
        <v>746</v>
      </c>
      <c r="B748" s="14">
        <v>46327</v>
      </c>
      <c r="C748" s="2" t="s">
        <v>1245</v>
      </c>
      <c r="D748" s="2" t="s">
        <v>12</v>
      </c>
      <c r="E748" s="2" t="s">
        <v>935</v>
      </c>
      <c r="F748" s="2">
        <v>0.5</v>
      </c>
      <c r="G748" s="2" t="s">
        <v>1099</v>
      </c>
      <c r="H748" s="2" t="s">
        <v>596</v>
      </c>
      <c r="I748" s="2" t="s">
        <v>1097</v>
      </c>
      <c r="J748" s="2" t="s">
        <v>1110</v>
      </c>
      <c r="K748" s="2">
        <v>72.5</v>
      </c>
      <c r="L748" s="2">
        <v>72.5</v>
      </c>
      <c r="M748" s="2">
        <v>1.45</v>
      </c>
      <c r="N748" s="2">
        <v>1</v>
      </c>
      <c r="O748" s="2">
        <f t="shared" si="11"/>
        <v>500</v>
      </c>
    </row>
    <row r="749" spans="1:15" x14ac:dyDescent="0.3">
      <c r="A749" s="8">
        <v>747</v>
      </c>
      <c r="B749" s="14">
        <v>46327</v>
      </c>
      <c r="C749" s="2" t="s">
        <v>1328</v>
      </c>
      <c r="D749" s="2" t="s">
        <v>12</v>
      </c>
      <c r="E749" s="2" t="s">
        <v>935</v>
      </c>
      <c r="F749" s="2">
        <v>0.5</v>
      </c>
      <c r="G749" s="2" t="s">
        <v>1100</v>
      </c>
      <c r="H749" s="2" t="s">
        <v>606</v>
      </c>
      <c r="I749" s="2" t="s">
        <v>1098</v>
      </c>
      <c r="J749" s="2" t="s">
        <v>1110</v>
      </c>
      <c r="K749" s="2">
        <v>773.5</v>
      </c>
      <c r="L749" s="2">
        <v>773.5</v>
      </c>
      <c r="M749" s="2">
        <v>15.47</v>
      </c>
      <c r="N749" s="2">
        <v>15</v>
      </c>
      <c r="O749" s="2">
        <f t="shared" si="11"/>
        <v>500</v>
      </c>
    </row>
    <row r="750" spans="1:15" x14ac:dyDescent="0.3">
      <c r="A750" s="8">
        <v>748</v>
      </c>
      <c r="B750" s="14">
        <v>46327</v>
      </c>
      <c r="C750" s="2" t="s">
        <v>1329</v>
      </c>
      <c r="D750" s="2" t="s">
        <v>12</v>
      </c>
      <c r="E750" s="2" t="s">
        <v>935</v>
      </c>
      <c r="F750" s="2">
        <v>0.5</v>
      </c>
      <c r="G750" s="2" t="s">
        <v>1101</v>
      </c>
      <c r="H750" s="2" t="s">
        <v>616</v>
      </c>
      <c r="I750" s="2" t="s">
        <v>1102</v>
      </c>
      <c r="J750" s="2" t="s">
        <v>1110</v>
      </c>
      <c r="K750" s="2">
        <v>1585.5</v>
      </c>
      <c r="L750" s="2">
        <v>1585.5</v>
      </c>
      <c r="M750" s="2">
        <v>31.71</v>
      </c>
      <c r="N750" s="2">
        <v>32</v>
      </c>
      <c r="O750" s="2">
        <f t="shared" si="11"/>
        <v>500</v>
      </c>
    </row>
    <row r="751" spans="1:15" x14ac:dyDescent="0.3">
      <c r="A751" s="8">
        <v>749</v>
      </c>
      <c r="B751" s="14">
        <v>46327</v>
      </c>
      <c r="C751" s="2" t="s">
        <v>1330</v>
      </c>
      <c r="D751" s="2" t="s">
        <v>12</v>
      </c>
      <c r="E751" s="2" t="s">
        <v>935</v>
      </c>
      <c r="F751" s="2">
        <v>0.5</v>
      </c>
      <c r="G751" s="2" t="s">
        <v>906</v>
      </c>
      <c r="H751" s="2" t="s">
        <v>626</v>
      </c>
      <c r="I751" s="2" t="s">
        <v>1102</v>
      </c>
      <c r="J751" s="2" t="s">
        <v>1110</v>
      </c>
      <c r="K751" s="2">
        <v>1475</v>
      </c>
      <c r="L751" s="2">
        <v>1475</v>
      </c>
      <c r="M751" s="2">
        <v>29.5</v>
      </c>
      <c r="N751" s="2">
        <v>30</v>
      </c>
      <c r="O751" s="2">
        <f t="shared" si="11"/>
        <v>500</v>
      </c>
    </row>
    <row r="752" spans="1:15" x14ac:dyDescent="0.3">
      <c r="A752" s="8">
        <v>750</v>
      </c>
      <c r="B752" s="14">
        <v>46327</v>
      </c>
      <c r="C752" s="2" t="s">
        <v>1331</v>
      </c>
      <c r="D752" s="2" t="s">
        <v>12</v>
      </c>
      <c r="E752" s="2" t="s">
        <v>935</v>
      </c>
      <c r="F752" s="2">
        <v>0.75</v>
      </c>
      <c r="G752" s="2" t="s">
        <v>907</v>
      </c>
      <c r="H752" s="2" t="s">
        <v>636</v>
      </c>
      <c r="I752" s="2" t="s">
        <v>1103</v>
      </c>
      <c r="J752" s="2" t="s">
        <v>1110</v>
      </c>
      <c r="K752" s="2">
        <v>1836.75</v>
      </c>
      <c r="L752" s="2">
        <v>1836.75</v>
      </c>
      <c r="M752" s="2">
        <v>36.734999999999999</v>
      </c>
      <c r="N752" s="2">
        <v>37</v>
      </c>
      <c r="O752" s="2">
        <f t="shared" si="11"/>
        <v>750</v>
      </c>
    </row>
    <row r="753" spans="1:15" x14ac:dyDescent="0.3">
      <c r="A753" s="8">
        <v>751</v>
      </c>
      <c r="B753" s="14">
        <v>46327</v>
      </c>
      <c r="C753" s="2" t="s">
        <v>1332</v>
      </c>
      <c r="D753" s="2" t="s">
        <v>12</v>
      </c>
      <c r="E753" s="2" t="s">
        <v>935</v>
      </c>
      <c r="F753" s="2">
        <v>0.75</v>
      </c>
      <c r="G753" s="2" t="s">
        <v>908</v>
      </c>
      <c r="H753" s="2" t="s">
        <v>646</v>
      </c>
      <c r="I753" s="2" t="s">
        <v>1103</v>
      </c>
      <c r="J753" s="2" t="s">
        <v>1110</v>
      </c>
      <c r="K753" s="2">
        <v>1510.5</v>
      </c>
      <c r="L753" s="2">
        <v>1510.5</v>
      </c>
      <c r="M753" s="2">
        <v>30.21</v>
      </c>
      <c r="N753" s="2">
        <v>30</v>
      </c>
      <c r="O753" s="2">
        <f t="shared" si="11"/>
        <v>750</v>
      </c>
    </row>
    <row r="754" spans="1:15" x14ac:dyDescent="0.3">
      <c r="A754" s="8">
        <v>752</v>
      </c>
      <c r="B754" s="14">
        <v>46327</v>
      </c>
      <c r="C754" s="2" t="s">
        <v>1334</v>
      </c>
      <c r="D754" s="2" t="s">
        <v>12</v>
      </c>
      <c r="E754" s="2" t="s">
        <v>935</v>
      </c>
      <c r="F754" s="2">
        <v>0.75</v>
      </c>
      <c r="G754" s="2" t="s">
        <v>910</v>
      </c>
      <c r="H754" s="2" t="s">
        <v>664</v>
      </c>
      <c r="I754" s="2" t="s">
        <v>1103</v>
      </c>
      <c r="J754" s="2" t="s">
        <v>1110</v>
      </c>
      <c r="K754" s="2">
        <v>2173.5</v>
      </c>
      <c r="L754" s="2">
        <v>2173.5</v>
      </c>
      <c r="M754" s="2">
        <v>43.47</v>
      </c>
      <c r="N754" s="2">
        <v>43</v>
      </c>
      <c r="O754" s="2">
        <f t="shared" si="11"/>
        <v>750</v>
      </c>
    </row>
    <row r="755" spans="1:15" x14ac:dyDescent="0.3">
      <c r="A755" s="8">
        <v>753</v>
      </c>
      <c r="B755" s="14">
        <v>46327</v>
      </c>
      <c r="C755" s="2" t="s">
        <v>1335</v>
      </c>
      <c r="D755" s="2" t="s">
        <v>12</v>
      </c>
      <c r="E755" s="2" t="s">
        <v>935</v>
      </c>
      <c r="F755" s="2">
        <v>0.75</v>
      </c>
      <c r="G755" s="2" t="s">
        <v>911</v>
      </c>
      <c r="H755" s="2" t="s">
        <v>674</v>
      </c>
      <c r="I755" s="2" t="s">
        <v>1103</v>
      </c>
      <c r="J755" s="2" t="s">
        <v>1110</v>
      </c>
      <c r="K755" s="2">
        <v>1773</v>
      </c>
      <c r="L755" s="2">
        <v>1773</v>
      </c>
      <c r="M755" s="2">
        <v>35.46</v>
      </c>
      <c r="N755" s="2">
        <v>35</v>
      </c>
      <c r="O755" s="2">
        <f t="shared" si="11"/>
        <v>750</v>
      </c>
    </row>
    <row r="756" spans="1:15" x14ac:dyDescent="0.3">
      <c r="A756" s="8">
        <v>754</v>
      </c>
      <c r="B756" s="14">
        <v>46327</v>
      </c>
      <c r="C756" s="2" t="s">
        <v>1173</v>
      </c>
      <c r="D756" s="2" t="s">
        <v>12</v>
      </c>
      <c r="E756" s="2" t="s">
        <v>935</v>
      </c>
      <c r="F756" s="2">
        <v>0.75</v>
      </c>
      <c r="G756" s="2" t="s">
        <v>916</v>
      </c>
      <c r="H756" s="2" t="s">
        <v>715</v>
      </c>
      <c r="I756" s="2" t="s">
        <v>1108</v>
      </c>
      <c r="J756" s="2" t="s">
        <v>1110</v>
      </c>
      <c r="K756" s="2">
        <v>45.75</v>
      </c>
      <c r="L756" s="2">
        <v>45.75</v>
      </c>
      <c r="M756" s="2">
        <v>0.91500000000000004</v>
      </c>
      <c r="N756" s="2">
        <v>1</v>
      </c>
      <c r="O756" s="2">
        <f t="shared" si="11"/>
        <v>750</v>
      </c>
    </row>
    <row r="757" spans="1:15" x14ac:dyDescent="0.3">
      <c r="A757" s="8">
        <v>755</v>
      </c>
      <c r="B757" s="14">
        <v>46327</v>
      </c>
      <c r="C757" s="2" t="s">
        <v>1174</v>
      </c>
      <c r="D757" s="2" t="s">
        <v>12</v>
      </c>
      <c r="E757" s="2" t="s">
        <v>935</v>
      </c>
      <c r="F757" s="2">
        <v>0.75</v>
      </c>
      <c r="G757" s="2" t="s">
        <v>923</v>
      </c>
      <c r="H757" s="2" t="s">
        <v>772</v>
      </c>
      <c r="I757" s="2" t="s">
        <v>1108</v>
      </c>
      <c r="J757" s="2" t="s">
        <v>1110</v>
      </c>
      <c r="K757" s="2">
        <v>128.25</v>
      </c>
      <c r="L757" s="2">
        <v>128.25</v>
      </c>
      <c r="M757" s="2">
        <v>2.5649999999999999</v>
      </c>
      <c r="N757" s="2">
        <v>3</v>
      </c>
      <c r="O757" s="2">
        <f t="shared" si="11"/>
        <v>750</v>
      </c>
    </row>
    <row r="758" spans="1:15" x14ac:dyDescent="0.3">
      <c r="A758" s="8">
        <v>756</v>
      </c>
      <c r="B758" s="14">
        <v>46327</v>
      </c>
      <c r="C758" s="2" t="s">
        <v>1175</v>
      </c>
      <c r="D758" s="2" t="s">
        <v>12</v>
      </c>
      <c r="E758" s="2" t="s">
        <v>935</v>
      </c>
      <c r="F758" s="2">
        <v>0.75</v>
      </c>
      <c r="G758" s="2" t="s">
        <v>927</v>
      </c>
      <c r="H758" s="2" t="s">
        <v>805</v>
      </c>
      <c r="I758" s="2" t="s">
        <v>1108</v>
      </c>
      <c r="J758" s="2" t="s">
        <v>1110</v>
      </c>
      <c r="K758" s="2">
        <v>180.75</v>
      </c>
      <c r="L758" s="2">
        <v>180.75</v>
      </c>
      <c r="M758" s="2">
        <v>3.6150000000000002</v>
      </c>
      <c r="N758" s="2">
        <v>4</v>
      </c>
      <c r="O758" s="2">
        <f t="shared" si="11"/>
        <v>750</v>
      </c>
    </row>
    <row r="759" spans="1:15" x14ac:dyDescent="0.3">
      <c r="A759" s="8">
        <v>757</v>
      </c>
      <c r="B759" s="14">
        <v>46327</v>
      </c>
      <c r="C759" s="2" t="s">
        <v>1176</v>
      </c>
      <c r="D759" s="2" t="s">
        <v>12</v>
      </c>
      <c r="E759" s="2" t="s">
        <v>935</v>
      </c>
      <c r="F759" s="2">
        <v>0.75</v>
      </c>
      <c r="G759" s="2" t="s">
        <v>932</v>
      </c>
      <c r="H759" s="2" t="s">
        <v>846</v>
      </c>
      <c r="I759" s="2" t="s">
        <v>1109</v>
      </c>
      <c r="J759" s="2" t="s">
        <v>1110</v>
      </c>
      <c r="K759" s="2">
        <v>2302.5</v>
      </c>
      <c r="L759" s="2">
        <v>2302.5</v>
      </c>
      <c r="M759" s="2">
        <v>46.05</v>
      </c>
      <c r="N759" s="2">
        <v>46</v>
      </c>
      <c r="O759" s="2">
        <f t="shared" si="11"/>
        <v>750</v>
      </c>
    </row>
    <row r="760" spans="1:15" x14ac:dyDescent="0.3">
      <c r="A760" s="8">
        <v>758</v>
      </c>
      <c r="B760" s="14">
        <v>46327</v>
      </c>
      <c r="C760" s="2" t="s">
        <v>1177</v>
      </c>
      <c r="D760" s="2" t="s">
        <v>12</v>
      </c>
      <c r="E760" s="2" t="s">
        <v>935</v>
      </c>
      <c r="F760" s="2">
        <v>0.75</v>
      </c>
      <c r="G760" s="2" t="s">
        <v>933</v>
      </c>
      <c r="H760" s="2" t="s">
        <v>855</v>
      </c>
      <c r="I760" s="2" t="s">
        <v>1109</v>
      </c>
      <c r="J760" s="2" t="s">
        <v>1110</v>
      </c>
      <c r="K760" s="2">
        <v>2452.5</v>
      </c>
      <c r="L760" s="2">
        <v>2452.5</v>
      </c>
      <c r="M760" s="2">
        <v>49.05</v>
      </c>
      <c r="N760" s="2">
        <v>49</v>
      </c>
      <c r="O760" s="2">
        <f t="shared" si="11"/>
        <v>750</v>
      </c>
    </row>
  </sheetData>
  <autoFilter ref="A1:O760" xr:uid="{AE8795C5-8F7F-4142-B7B9-2E53DAF50097}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3"/>
  <sheetViews>
    <sheetView topLeftCell="A70" workbookViewId="0">
      <selection activeCell="P15" sqref="P15"/>
    </sheetView>
  </sheetViews>
  <sheetFormatPr defaultRowHeight="14.4" x14ac:dyDescent="0.3"/>
  <cols>
    <col min="1" max="1" width="10.5546875" style="43" bestFit="1" customWidth="1"/>
    <col min="2" max="2" width="9.77734375" customWidth="1"/>
    <col min="3" max="3" width="11.88671875" style="2" customWidth="1"/>
    <col min="4" max="4" width="13.109375" customWidth="1"/>
    <col min="5" max="5" width="11.21875" style="2" customWidth="1"/>
    <col min="6" max="6" width="11" bestFit="1" customWidth="1"/>
    <col min="7" max="7" width="13.5546875" style="2" bestFit="1" customWidth="1"/>
    <col min="8" max="8" width="16.21875" style="2" bestFit="1" customWidth="1"/>
    <col min="9" max="9" width="14.21875" style="2" bestFit="1" customWidth="1"/>
    <col min="10" max="10" width="12.88671875" customWidth="1"/>
    <col min="11" max="11" width="12.6640625" customWidth="1"/>
    <col min="12" max="12" width="8.109375" style="2" bestFit="1" customWidth="1"/>
    <col min="13" max="13" width="10" style="2" customWidth="1"/>
    <col min="14" max="14" width="13.44140625" style="41" customWidth="1"/>
    <col min="15" max="15" width="21.5546875" bestFit="1" customWidth="1"/>
    <col min="16" max="17" width="12.5546875" bestFit="1" customWidth="1"/>
    <col min="18" max="18" width="9.88671875" bestFit="1" customWidth="1"/>
    <col min="19" max="19" width="12.5546875" bestFit="1" customWidth="1"/>
    <col min="20" max="20" width="10.77734375" bestFit="1" customWidth="1"/>
    <col min="21" max="79" width="15.5546875" bestFit="1" customWidth="1"/>
    <col min="80" max="80" width="12.5546875" bestFit="1" customWidth="1"/>
    <col min="81" max="174" width="9.88671875" bestFit="1" customWidth="1"/>
    <col min="175" max="175" width="12.5546875" bestFit="1" customWidth="1"/>
    <col min="176" max="277" width="9.88671875" bestFit="1" customWidth="1"/>
    <col min="278" max="278" width="12.5546875" bestFit="1" customWidth="1"/>
    <col min="279" max="380" width="9.88671875" bestFit="1" customWidth="1"/>
    <col min="381" max="381" width="12.5546875" bestFit="1" customWidth="1"/>
    <col min="382" max="483" width="9.88671875" bestFit="1" customWidth="1"/>
    <col min="484" max="484" width="12.5546875" bestFit="1" customWidth="1"/>
    <col min="485" max="586" width="9.88671875" bestFit="1" customWidth="1"/>
    <col min="587" max="587" width="12.5546875" bestFit="1" customWidth="1"/>
    <col min="588" max="689" width="9.88671875" bestFit="1" customWidth="1"/>
    <col min="690" max="690" width="12.5546875" bestFit="1" customWidth="1"/>
    <col min="691" max="716" width="9.88671875" bestFit="1" customWidth="1"/>
    <col min="717" max="717" width="12.5546875" bestFit="1" customWidth="1"/>
    <col min="718" max="743" width="9.88671875" bestFit="1" customWidth="1"/>
    <col min="744" max="744" width="12.5546875" bestFit="1" customWidth="1"/>
    <col min="745" max="745" width="9" bestFit="1" customWidth="1"/>
    <col min="746" max="746" width="11.6640625" bestFit="1" customWidth="1"/>
    <col min="747" max="747" width="10.77734375" bestFit="1" customWidth="1"/>
  </cols>
  <sheetData>
    <row r="1" spans="1:15" x14ac:dyDescent="0.3">
      <c r="A1" s="42" t="s">
        <v>4</v>
      </c>
      <c r="B1" s="1" t="s">
        <v>0</v>
      </c>
      <c r="C1" s="1" t="s">
        <v>1249</v>
      </c>
      <c r="D1" s="1" t="s">
        <v>1</v>
      </c>
      <c r="E1" s="1" t="s">
        <v>1255</v>
      </c>
      <c r="F1" s="1" t="s">
        <v>2</v>
      </c>
      <c r="G1" s="1" t="s">
        <v>858</v>
      </c>
      <c r="H1" s="1" t="s">
        <v>859</v>
      </c>
      <c r="I1" s="1" t="s">
        <v>1031</v>
      </c>
      <c r="J1" s="1" t="s">
        <v>1032</v>
      </c>
      <c r="K1" s="1" t="s">
        <v>3</v>
      </c>
      <c r="L1" s="9" t="s">
        <v>1028</v>
      </c>
      <c r="M1" s="8" t="s">
        <v>1036</v>
      </c>
      <c r="N1" s="39" t="s">
        <v>1247</v>
      </c>
      <c r="O1" t="s">
        <v>1265</v>
      </c>
    </row>
    <row r="2" spans="1:15" x14ac:dyDescent="0.3">
      <c r="A2" s="43">
        <v>46054</v>
      </c>
      <c r="B2" s="2" t="s">
        <v>7</v>
      </c>
      <c r="C2" s="2" t="s">
        <v>1254</v>
      </c>
      <c r="D2" s="2" t="s">
        <v>8</v>
      </c>
      <c r="E2" s="2" t="str">
        <f>_xlfn.XLOOKUP(F2,Terrain!D:D,Terrain!A:A,"")</f>
        <v>Lower</v>
      </c>
      <c r="F2" s="2" t="s">
        <v>1269</v>
      </c>
      <c r="G2" s="2" t="s">
        <v>1045</v>
      </c>
      <c r="H2" s="2">
        <f t="shared" ref="H2:H65" si="0">2500+VALUE(MID(F2,1,2))</f>
        <v>2556</v>
      </c>
      <c r="I2" s="2">
        <v>3900</v>
      </c>
      <c r="J2" s="2">
        <v>156</v>
      </c>
      <c r="K2" s="2">
        <v>156</v>
      </c>
      <c r="L2" s="2">
        <f t="shared" ref="L2:L65" si="1">I2*1000/G2</f>
        <v>2000</v>
      </c>
      <c r="M2" s="2" t="s">
        <v>1046</v>
      </c>
      <c r="N2" s="40" t="str">
        <f>_xlfn.XLOOKUP(F2,Terrain!D:D,Terrain!H:H,"")</f>
        <v>2555 - 2558</v>
      </c>
      <c r="O2" t="str">
        <f t="shared" ref="O2:O64" si="2">F2 &amp; " | " &amp; G2 &amp; " | " &amp; D2</f>
        <v>56-A01 | 1950 | 172|0</v>
      </c>
    </row>
    <row r="3" spans="1:15" x14ac:dyDescent="0.3">
      <c r="A3" s="43">
        <v>46054</v>
      </c>
      <c r="B3" s="2" t="s">
        <v>7</v>
      </c>
      <c r="C3" s="2" t="s">
        <v>1254</v>
      </c>
      <c r="D3" s="2" t="s">
        <v>948</v>
      </c>
      <c r="E3" s="2" t="str">
        <f>_xlfn.XLOOKUP(F3,Terrain!D:D,Terrain!A:A,"")</f>
        <v>Lower</v>
      </c>
      <c r="F3" s="2" t="s">
        <v>1282</v>
      </c>
      <c r="G3" s="2" t="s">
        <v>1048</v>
      </c>
      <c r="H3" s="2">
        <f t="shared" si="0"/>
        <v>2563</v>
      </c>
      <c r="I3" s="2">
        <v>1068</v>
      </c>
      <c r="J3" s="2">
        <v>42.72</v>
      </c>
      <c r="K3" s="2">
        <v>43</v>
      </c>
      <c r="L3" s="2">
        <f t="shared" si="1"/>
        <v>2000</v>
      </c>
      <c r="M3" s="2" t="s">
        <v>1049</v>
      </c>
      <c r="N3" s="40" t="str">
        <f>_xlfn.XLOOKUP(F3,Terrain!D:D,Terrain!H:H,"")</f>
        <v>2563 - 2565</v>
      </c>
      <c r="O3" t="str">
        <f t="shared" si="2"/>
        <v>63-A01-R | 534 | 684|0</v>
      </c>
    </row>
    <row r="4" spans="1:15" x14ac:dyDescent="0.3">
      <c r="A4" s="43">
        <v>46054</v>
      </c>
      <c r="B4" s="2" t="s">
        <v>7</v>
      </c>
      <c r="C4" s="2" t="s">
        <v>1254</v>
      </c>
      <c r="D4" s="2" t="s">
        <v>19</v>
      </c>
      <c r="E4" s="2" t="str">
        <f>_xlfn.XLOOKUP(F4,Terrain!D:D,Terrain!A:A,"")</f>
        <v>Lower</v>
      </c>
      <c r="F4" s="2" t="s">
        <v>1270</v>
      </c>
      <c r="G4" s="2" t="s">
        <v>1050</v>
      </c>
      <c r="H4" s="2">
        <f t="shared" si="0"/>
        <v>2556</v>
      </c>
      <c r="I4" s="2">
        <v>7670</v>
      </c>
      <c r="J4" s="2">
        <v>306.8</v>
      </c>
      <c r="K4" s="2">
        <v>307</v>
      </c>
      <c r="L4" s="2">
        <f t="shared" si="1"/>
        <v>2000</v>
      </c>
      <c r="M4" s="2" t="s">
        <v>1046</v>
      </c>
      <c r="N4" s="40" t="str">
        <f>_xlfn.XLOOKUP(F4,Terrain!D:D,Terrain!H:H,"")</f>
        <v>2555 - 2558</v>
      </c>
      <c r="O4" t="str">
        <f t="shared" si="2"/>
        <v>56-A02 | 3835 | 162|0</v>
      </c>
    </row>
    <row r="5" spans="1:15" x14ac:dyDescent="0.3">
      <c r="A5" s="43">
        <v>46054</v>
      </c>
      <c r="B5" s="2" t="s">
        <v>7</v>
      </c>
      <c r="C5" s="2" t="s">
        <v>1254</v>
      </c>
      <c r="D5" s="2" t="s">
        <v>27</v>
      </c>
      <c r="E5" s="2" t="str">
        <f>_xlfn.XLOOKUP(F5,Terrain!D:D,Terrain!A:A,"")</f>
        <v>Lower</v>
      </c>
      <c r="F5" s="2" t="s">
        <v>1283</v>
      </c>
      <c r="G5" s="2" t="s">
        <v>1051</v>
      </c>
      <c r="H5" s="2">
        <f t="shared" si="0"/>
        <v>2556</v>
      </c>
      <c r="I5" s="2">
        <v>4238</v>
      </c>
      <c r="J5" s="2">
        <v>169.52</v>
      </c>
      <c r="K5" s="2">
        <v>170</v>
      </c>
      <c r="L5" s="2">
        <f t="shared" si="1"/>
        <v>2000</v>
      </c>
      <c r="M5" s="2" t="s">
        <v>1052</v>
      </c>
      <c r="N5" s="40" t="str">
        <f>_xlfn.XLOOKUP(F5,Terrain!D:D,Terrain!H:H,"")</f>
        <v>2555 - 2558</v>
      </c>
      <c r="O5" t="str">
        <f t="shared" si="2"/>
        <v>56-A03-R | 2119 | 156|0</v>
      </c>
    </row>
    <row r="6" spans="1:15" x14ac:dyDescent="0.3">
      <c r="A6" s="43">
        <v>46054</v>
      </c>
      <c r="B6" s="2" t="s">
        <v>7</v>
      </c>
      <c r="C6" s="2" t="s">
        <v>1254</v>
      </c>
      <c r="D6" s="2" t="s">
        <v>949</v>
      </c>
      <c r="E6" s="2" t="str">
        <f>_xlfn.XLOOKUP(F6,Terrain!D:D,Terrain!A:A,"")</f>
        <v>Lower</v>
      </c>
      <c r="F6" s="2" t="s">
        <v>1284</v>
      </c>
      <c r="G6" s="2" t="s">
        <v>1053</v>
      </c>
      <c r="H6" s="2">
        <f t="shared" si="0"/>
        <v>2563</v>
      </c>
      <c r="I6" s="2">
        <v>1960</v>
      </c>
      <c r="J6" s="2">
        <v>78.400000000000006</v>
      </c>
      <c r="K6" s="2">
        <v>78</v>
      </c>
      <c r="L6" s="2">
        <f t="shared" si="1"/>
        <v>2000</v>
      </c>
      <c r="M6" s="2" t="s">
        <v>1049</v>
      </c>
      <c r="N6" s="40" t="str">
        <f>_xlfn.XLOOKUP(F6,Terrain!D:D,Terrain!H:H,"")</f>
        <v>2563 - 2565</v>
      </c>
      <c r="O6" t="str">
        <f t="shared" si="2"/>
        <v>63-A03-R | 980 | 685|0</v>
      </c>
    </row>
    <row r="7" spans="1:15" x14ac:dyDescent="0.3">
      <c r="A7" s="43">
        <v>46054</v>
      </c>
      <c r="B7" s="2" t="s">
        <v>7</v>
      </c>
      <c r="C7" s="2" t="s">
        <v>1254</v>
      </c>
      <c r="D7" s="2" t="s">
        <v>36</v>
      </c>
      <c r="E7" s="2" t="str">
        <f>_xlfn.XLOOKUP(F7,Terrain!D:D,Terrain!A:A,"")</f>
        <v>Lower</v>
      </c>
      <c r="F7" s="2" t="s">
        <v>1271</v>
      </c>
      <c r="G7" s="2" t="s">
        <v>1054</v>
      </c>
      <c r="H7" s="2">
        <f t="shared" si="0"/>
        <v>2550</v>
      </c>
      <c r="I7" s="2">
        <v>7296</v>
      </c>
      <c r="J7" s="2">
        <v>291.83999999999997</v>
      </c>
      <c r="K7" s="2">
        <v>292</v>
      </c>
      <c r="L7" s="2">
        <f t="shared" si="1"/>
        <v>1500</v>
      </c>
      <c r="M7" s="2" t="s">
        <v>1055</v>
      </c>
      <c r="N7" s="40" t="str">
        <f>_xlfn.XLOOKUP(F7,Terrain!D:D,Terrain!H:H,"")</f>
        <v>2549 - 2552</v>
      </c>
      <c r="O7" t="str">
        <f t="shared" si="2"/>
        <v>50-A04 | 4864 | 71|0</v>
      </c>
    </row>
    <row r="8" spans="1:15" x14ac:dyDescent="0.3">
      <c r="A8" s="43">
        <v>46054</v>
      </c>
      <c r="B8" s="2" t="s">
        <v>7</v>
      </c>
      <c r="C8" s="2" t="s">
        <v>1254</v>
      </c>
      <c r="D8" s="2" t="s">
        <v>44</v>
      </c>
      <c r="E8" s="2" t="str">
        <f>_xlfn.XLOOKUP(F8,Terrain!D:D,Terrain!A:A,"")</f>
        <v>Lower</v>
      </c>
      <c r="F8" s="2" t="s">
        <v>1272</v>
      </c>
      <c r="G8" s="2" t="s">
        <v>1056</v>
      </c>
      <c r="H8" s="2">
        <f t="shared" si="0"/>
        <v>2550</v>
      </c>
      <c r="I8" s="2">
        <v>6912</v>
      </c>
      <c r="J8" s="2">
        <v>276.48</v>
      </c>
      <c r="K8" s="2">
        <v>276</v>
      </c>
      <c r="L8" s="2">
        <f t="shared" si="1"/>
        <v>1500</v>
      </c>
      <c r="M8" s="2" t="s">
        <v>1055</v>
      </c>
      <c r="N8" s="40" t="str">
        <f>_xlfn.XLOOKUP(F8,Terrain!D:D,Terrain!H:H,"")</f>
        <v>2549 - 2552</v>
      </c>
      <c r="O8" t="str">
        <f t="shared" si="2"/>
        <v>50-A05 | 4608 | 67|0</v>
      </c>
    </row>
    <row r="9" spans="1:15" x14ac:dyDescent="0.3">
      <c r="A9" s="43">
        <v>46054</v>
      </c>
      <c r="B9" s="2" t="s">
        <v>7</v>
      </c>
      <c r="C9" s="2" t="s">
        <v>1254</v>
      </c>
      <c r="D9" s="2" t="s">
        <v>52</v>
      </c>
      <c r="E9" s="2" t="str">
        <f>_xlfn.XLOOKUP(F9,Terrain!D:D,Terrain!A:A,"")</f>
        <v>Lower</v>
      </c>
      <c r="F9" s="2" t="s">
        <v>1273</v>
      </c>
      <c r="G9" s="2" t="s">
        <v>1057</v>
      </c>
      <c r="H9" s="2">
        <f t="shared" si="0"/>
        <v>2560</v>
      </c>
      <c r="I9" s="2">
        <v>6518</v>
      </c>
      <c r="J9" s="2">
        <v>260.72000000000003</v>
      </c>
      <c r="K9" s="2">
        <v>261</v>
      </c>
      <c r="L9" s="2">
        <f t="shared" si="1"/>
        <v>2000</v>
      </c>
      <c r="M9" s="2" t="s">
        <v>1058</v>
      </c>
      <c r="N9" s="40" t="str">
        <f>_xlfn.XLOOKUP(F9,Terrain!D:D,Terrain!H:H,"")</f>
        <v>2559 - 2560</v>
      </c>
      <c r="O9" t="str">
        <f t="shared" si="2"/>
        <v>60-A06 | 3259 | 158|0</v>
      </c>
    </row>
    <row r="10" spans="1:15" x14ac:dyDescent="0.3">
      <c r="A10" s="43">
        <v>46054</v>
      </c>
      <c r="B10" s="2" t="s">
        <v>7</v>
      </c>
      <c r="C10" s="2" t="s">
        <v>1254</v>
      </c>
      <c r="D10" s="2" t="s">
        <v>60</v>
      </c>
      <c r="E10" s="2" t="str">
        <f>_xlfn.XLOOKUP(F10,Terrain!D:D,Terrain!A:A,"")</f>
        <v>Lower</v>
      </c>
      <c r="F10" s="2" t="s">
        <v>1274</v>
      </c>
      <c r="G10" s="2" t="s">
        <v>1059</v>
      </c>
      <c r="H10" s="2">
        <f t="shared" si="0"/>
        <v>2563</v>
      </c>
      <c r="I10" s="2">
        <v>4776</v>
      </c>
      <c r="J10" s="2">
        <v>191.04</v>
      </c>
      <c r="K10" s="2">
        <v>191</v>
      </c>
      <c r="L10" s="2">
        <f t="shared" si="1"/>
        <v>2000</v>
      </c>
      <c r="M10" s="2" t="s">
        <v>1060</v>
      </c>
      <c r="N10" s="40" t="str">
        <f>_xlfn.XLOOKUP(F10,Terrain!D:D,Terrain!H:H,"")</f>
        <v>2563 - 2565</v>
      </c>
      <c r="O10" t="str">
        <f t="shared" si="2"/>
        <v>63-A07 | 2388 | 252|0</v>
      </c>
    </row>
    <row r="11" spans="1:15" x14ac:dyDescent="0.3">
      <c r="A11" s="43">
        <v>46054</v>
      </c>
      <c r="B11" s="2" t="s">
        <v>7</v>
      </c>
      <c r="C11" s="2" t="s">
        <v>1254</v>
      </c>
      <c r="D11" s="2" t="s">
        <v>68</v>
      </c>
      <c r="E11" s="2" t="str">
        <f>_xlfn.XLOOKUP(F11,Terrain!D:D,Terrain!A:A,"")</f>
        <v>Lower</v>
      </c>
      <c r="F11" s="2" t="s">
        <v>1285</v>
      </c>
      <c r="G11" s="2" t="s">
        <v>860</v>
      </c>
      <c r="H11" s="2">
        <f t="shared" si="0"/>
        <v>2563</v>
      </c>
      <c r="I11" s="2">
        <v>618</v>
      </c>
      <c r="J11" s="2">
        <v>24.72</v>
      </c>
      <c r="K11" s="2">
        <v>25</v>
      </c>
      <c r="L11" s="2">
        <f t="shared" si="1"/>
        <v>2000</v>
      </c>
      <c r="M11" s="2" t="s">
        <v>1049</v>
      </c>
      <c r="N11" s="40" t="str">
        <f>_xlfn.XLOOKUP(F11,Terrain!D:D,Terrain!H:H,"")</f>
        <v>2563 - 2565</v>
      </c>
      <c r="O11" t="str">
        <f t="shared" si="2"/>
        <v>63-A07-R | 309 | 247|0</v>
      </c>
    </row>
    <row r="12" spans="1:15" x14ac:dyDescent="0.3">
      <c r="A12" s="43">
        <v>46054</v>
      </c>
      <c r="B12" s="2" t="s">
        <v>7</v>
      </c>
      <c r="C12" s="2" t="s">
        <v>1254</v>
      </c>
      <c r="D12" s="2" t="s">
        <v>76</v>
      </c>
      <c r="E12" s="2" t="str">
        <f>_xlfn.XLOOKUP(F12,Terrain!D:D,Terrain!A:A,"")</f>
        <v>Lower</v>
      </c>
      <c r="F12" s="2" t="s">
        <v>1286</v>
      </c>
      <c r="G12" s="2" t="s">
        <v>861</v>
      </c>
      <c r="H12" s="2">
        <f t="shared" si="0"/>
        <v>2557</v>
      </c>
      <c r="I12" s="2">
        <v>8616</v>
      </c>
      <c r="J12" s="2">
        <v>344.64</v>
      </c>
      <c r="K12" s="2">
        <v>345</v>
      </c>
      <c r="L12" s="2">
        <f t="shared" si="1"/>
        <v>2000</v>
      </c>
      <c r="M12" s="2" t="s">
        <v>1052</v>
      </c>
      <c r="N12" s="40" t="str">
        <f>_xlfn.XLOOKUP(F12,Terrain!D:D,Terrain!H:H,"")</f>
        <v>2555 - 2558</v>
      </c>
      <c r="O12" t="str">
        <f t="shared" si="2"/>
        <v>57-A08-R | 4308 | 157|0</v>
      </c>
    </row>
    <row r="13" spans="1:15" x14ac:dyDescent="0.3">
      <c r="A13" s="43">
        <v>46054</v>
      </c>
      <c r="B13" s="2" t="s">
        <v>7</v>
      </c>
      <c r="C13" s="2" t="s">
        <v>1254</v>
      </c>
      <c r="D13" s="2" t="s">
        <v>84</v>
      </c>
      <c r="E13" s="2" t="str">
        <f>_xlfn.XLOOKUP(F13,Terrain!D:D,Terrain!A:A,"")</f>
        <v>Lower</v>
      </c>
      <c r="F13" s="2" t="s">
        <v>1287</v>
      </c>
      <c r="G13" s="2" t="s">
        <v>862</v>
      </c>
      <c r="H13" s="2">
        <f t="shared" si="0"/>
        <v>2557</v>
      </c>
      <c r="I13" s="2">
        <v>7722</v>
      </c>
      <c r="J13" s="2">
        <v>308.88</v>
      </c>
      <c r="K13" s="2">
        <v>309</v>
      </c>
      <c r="L13" s="2">
        <f t="shared" si="1"/>
        <v>2000</v>
      </c>
      <c r="M13" s="2" t="s">
        <v>1052</v>
      </c>
      <c r="N13" s="40" t="str">
        <f>_xlfn.XLOOKUP(F13,Terrain!D:D,Terrain!H:H,"")</f>
        <v>2555 - 2558</v>
      </c>
      <c r="O13" t="str">
        <f t="shared" si="2"/>
        <v>57-A09-R | 3861 | 169|0</v>
      </c>
    </row>
    <row r="14" spans="1:15" x14ac:dyDescent="0.3">
      <c r="A14" s="43">
        <v>46054</v>
      </c>
      <c r="B14" s="2" t="s">
        <v>7</v>
      </c>
      <c r="C14" s="2" t="s">
        <v>1254</v>
      </c>
      <c r="D14" s="2" t="s">
        <v>92</v>
      </c>
      <c r="E14" s="2" t="str">
        <f>_xlfn.XLOOKUP(F14,Terrain!D:D,Terrain!A:A,"")</f>
        <v>Lower</v>
      </c>
      <c r="F14" s="2" t="s">
        <v>1288</v>
      </c>
      <c r="G14" s="2" t="s">
        <v>1061</v>
      </c>
      <c r="H14" s="2">
        <f t="shared" si="0"/>
        <v>2549</v>
      </c>
      <c r="I14" s="2">
        <v>4177.5</v>
      </c>
      <c r="J14" s="2">
        <v>167.1</v>
      </c>
      <c r="K14" s="2">
        <v>167</v>
      </c>
      <c r="L14" s="2">
        <f t="shared" si="1"/>
        <v>1500</v>
      </c>
      <c r="M14" s="2" t="s">
        <v>1062</v>
      </c>
      <c r="N14" s="40" t="str">
        <f>_xlfn.XLOOKUP(F14,Terrain!D:D,Terrain!H:H,"")</f>
        <v>2549 - 2552</v>
      </c>
      <c r="O14" t="str">
        <f t="shared" si="2"/>
        <v>49-A10-R | 2785 | 72|0</v>
      </c>
    </row>
    <row r="15" spans="1:15" x14ac:dyDescent="0.3">
      <c r="A15" s="43">
        <v>46054</v>
      </c>
      <c r="B15" s="2" t="s">
        <v>7</v>
      </c>
      <c r="C15" s="2" t="s">
        <v>1254</v>
      </c>
      <c r="D15" s="2" t="s">
        <v>100</v>
      </c>
      <c r="E15" s="2" t="str">
        <f>_xlfn.XLOOKUP(F15,Terrain!D:D,Terrain!A:A,"")</f>
        <v>Lower</v>
      </c>
      <c r="F15" s="2" t="s">
        <v>1289</v>
      </c>
      <c r="G15" s="2" t="s">
        <v>1063</v>
      </c>
      <c r="H15" s="2">
        <f t="shared" si="0"/>
        <v>2549</v>
      </c>
      <c r="I15" s="2">
        <v>3631.5</v>
      </c>
      <c r="J15" s="2">
        <v>145.26</v>
      </c>
      <c r="K15" s="2">
        <v>145</v>
      </c>
      <c r="L15" s="2">
        <f t="shared" si="1"/>
        <v>1500</v>
      </c>
      <c r="M15" s="2" t="s">
        <v>1062</v>
      </c>
      <c r="N15" s="40" t="str">
        <f>_xlfn.XLOOKUP(F15,Terrain!D:D,Terrain!H:H,"")</f>
        <v>2549 - 2552</v>
      </c>
      <c r="O15" t="str">
        <f t="shared" si="2"/>
        <v>49-A11-R | 2421 | 69|0</v>
      </c>
    </row>
    <row r="16" spans="1:15" x14ac:dyDescent="0.3">
      <c r="A16" s="43">
        <v>46054</v>
      </c>
      <c r="B16" s="2" t="s">
        <v>7</v>
      </c>
      <c r="C16" s="2" t="s">
        <v>1254</v>
      </c>
      <c r="D16" s="2" t="s">
        <v>108</v>
      </c>
      <c r="E16" s="2" t="str">
        <f>_xlfn.XLOOKUP(F16,Terrain!D:D,Terrain!A:A,"")</f>
        <v>Lower</v>
      </c>
      <c r="F16" s="2" t="s">
        <v>1290</v>
      </c>
      <c r="G16" s="2" t="s">
        <v>1064</v>
      </c>
      <c r="H16" s="2">
        <f t="shared" si="0"/>
        <v>2549</v>
      </c>
      <c r="I16" s="2">
        <v>5646</v>
      </c>
      <c r="J16" s="2">
        <v>225.84</v>
      </c>
      <c r="K16" s="2">
        <v>226</v>
      </c>
      <c r="L16" s="2">
        <f t="shared" si="1"/>
        <v>1500</v>
      </c>
      <c r="M16" s="2" t="s">
        <v>1062</v>
      </c>
      <c r="N16" s="40" t="str">
        <f>_xlfn.XLOOKUP(F16,Terrain!D:D,Terrain!H:H,"")</f>
        <v>2549 - 2552</v>
      </c>
      <c r="O16" t="str">
        <f t="shared" si="2"/>
        <v>49-A12-R | 3764 | 74|0</v>
      </c>
    </row>
    <row r="17" spans="1:15" x14ac:dyDescent="0.3">
      <c r="A17" s="43">
        <v>46054</v>
      </c>
      <c r="B17" s="2" t="s">
        <v>7</v>
      </c>
      <c r="C17" s="2" t="s">
        <v>1254</v>
      </c>
      <c r="D17" s="2" t="s">
        <v>116</v>
      </c>
      <c r="E17" s="2" t="str">
        <f>_xlfn.XLOOKUP(F17,Terrain!D:D,Terrain!A:A,"")</f>
        <v>Lower</v>
      </c>
      <c r="F17" s="2" t="s">
        <v>1291</v>
      </c>
      <c r="G17" s="2" t="s">
        <v>1065</v>
      </c>
      <c r="H17" s="2">
        <f t="shared" si="0"/>
        <v>2549</v>
      </c>
      <c r="I17" s="2">
        <v>4339.5</v>
      </c>
      <c r="J17" s="2">
        <v>173.58</v>
      </c>
      <c r="K17" s="2">
        <v>174</v>
      </c>
      <c r="L17" s="2">
        <f t="shared" si="1"/>
        <v>1500</v>
      </c>
      <c r="M17" s="2" t="s">
        <v>1062</v>
      </c>
      <c r="N17" s="40" t="str">
        <f>_xlfn.XLOOKUP(F17,Terrain!D:D,Terrain!H:H,"")</f>
        <v>2549 - 2552</v>
      </c>
      <c r="O17" t="str">
        <f t="shared" si="2"/>
        <v>49-A13-R | 2893 | 75|0</v>
      </c>
    </row>
    <row r="18" spans="1:15" x14ac:dyDescent="0.3">
      <c r="A18" s="43">
        <v>46054</v>
      </c>
      <c r="B18" s="2" t="s">
        <v>7</v>
      </c>
      <c r="C18" s="2" t="s">
        <v>1254</v>
      </c>
      <c r="D18" s="2" t="s">
        <v>124</v>
      </c>
      <c r="E18" s="2" t="str">
        <f>_xlfn.XLOOKUP(F18,Terrain!D:D,Terrain!A:A,"")</f>
        <v>Upper</v>
      </c>
      <c r="F18" s="2" t="s">
        <v>1275</v>
      </c>
      <c r="G18" s="2" t="s">
        <v>891</v>
      </c>
      <c r="H18" s="2">
        <f t="shared" si="0"/>
        <v>2565</v>
      </c>
      <c r="I18" s="2">
        <v>5736</v>
      </c>
      <c r="J18" s="2">
        <v>229.44</v>
      </c>
      <c r="K18" s="2">
        <v>229</v>
      </c>
      <c r="L18" s="2">
        <f t="shared" si="1"/>
        <v>2000</v>
      </c>
      <c r="M18" s="2" t="s">
        <v>1066</v>
      </c>
      <c r="N18" s="40" t="str">
        <f>_xlfn.XLOOKUP(F18,Terrain!D:D,Terrain!H:H,"")</f>
        <v>2563 - 2565</v>
      </c>
      <c r="O18" t="str">
        <f t="shared" si="2"/>
        <v>65-B01 | 2868 | 549|0</v>
      </c>
    </row>
    <row r="19" spans="1:15" x14ac:dyDescent="0.3">
      <c r="A19" s="43">
        <v>46054</v>
      </c>
      <c r="B19" s="2" t="s">
        <v>7</v>
      </c>
      <c r="C19" s="2" t="s">
        <v>1254</v>
      </c>
      <c r="D19" s="2" t="s">
        <v>132</v>
      </c>
      <c r="E19" s="2" t="str">
        <f>_xlfn.XLOOKUP(F19,Terrain!D:D,Terrain!A:A,"")</f>
        <v>Upper</v>
      </c>
      <c r="F19" s="2" t="s">
        <v>1276</v>
      </c>
      <c r="G19" s="2" t="s">
        <v>892</v>
      </c>
      <c r="H19" s="2">
        <f t="shared" si="0"/>
        <v>2564</v>
      </c>
      <c r="I19" s="2">
        <v>6960</v>
      </c>
      <c r="J19" s="2">
        <v>278.39999999999998</v>
      </c>
      <c r="K19" s="2">
        <v>278</v>
      </c>
      <c r="L19" s="2">
        <f t="shared" si="1"/>
        <v>2000</v>
      </c>
      <c r="M19" s="2" t="s">
        <v>1066</v>
      </c>
      <c r="N19" s="40" t="str">
        <f>_xlfn.XLOOKUP(F19,Terrain!D:D,Terrain!H:H,"")</f>
        <v>2563 - 2564</v>
      </c>
      <c r="O19" t="str">
        <f t="shared" si="2"/>
        <v>64-B02 | 3480 | 554|0</v>
      </c>
    </row>
    <row r="20" spans="1:15" x14ac:dyDescent="0.3">
      <c r="A20" s="43">
        <v>46054</v>
      </c>
      <c r="B20" s="2" t="s">
        <v>7</v>
      </c>
      <c r="C20" s="2" t="s">
        <v>1254</v>
      </c>
      <c r="D20" s="2" t="s">
        <v>140</v>
      </c>
      <c r="E20" s="2" t="str">
        <f>_xlfn.XLOOKUP(F20,Terrain!D:D,Terrain!A:A,"")</f>
        <v>Upper</v>
      </c>
      <c r="F20" s="2" t="s">
        <v>1277</v>
      </c>
      <c r="G20" s="2" t="s">
        <v>893</v>
      </c>
      <c r="H20" s="2">
        <f t="shared" si="0"/>
        <v>2557</v>
      </c>
      <c r="I20" s="2">
        <v>8462</v>
      </c>
      <c r="J20" s="2">
        <v>338.48</v>
      </c>
      <c r="K20" s="2">
        <v>338</v>
      </c>
      <c r="L20" s="2">
        <f t="shared" si="1"/>
        <v>2000</v>
      </c>
      <c r="M20" s="2" t="s">
        <v>1067</v>
      </c>
      <c r="N20" s="40" t="str">
        <f>_xlfn.XLOOKUP(F20,Terrain!D:D,Terrain!H:H,"")</f>
        <v>2555 - 2558</v>
      </c>
      <c r="O20" t="str">
        <f t="shared" si="2"/>
        <v>57-B03 | 4231 | 476|0</v>
      </c>
    </row>
    <row r="21" spans="1:15" x14ac:dyDescent="0.3">
      <c r="A21" s="43">
        <v>46054</v>
      </c>
      <c r="B21" s="2" t="s">
        <v>7</v>
      </c>
      <c r="C21" s="2" t="s">
        <v>1254</v>
      </c>
      <c r="D21" s="2" t="s">
        <v>148</v>
      </c>
      <c r="E21" s="2" t="str">
        <f>_xlfn.XLOOKUP(F21,Terrain!D:D,Terrain!A:A,"")</f>
        <v>Upper</v>
      </c>
      <c r="F21" s="2" t="s">
        <v>1278</v>
      </c>
      <c r="G21" s="2" t="s">
        <v>894</v>
      </c>
      <c r="H21" s="2">
        <f t="shared" si="0"/>
        <v>2560</v>
      </c>
      <c r="I21" s="2">
        <v>7702</v>
      </c>
      <c r="J21" s="2">
        <v>308.08</v>
      </c>
      <c r="K21" s="2">
        <v>308</v>
      </c>
      <c r="L21" s="2">
        <f t="shared" si="1"/>
        <v>2000</v>
      </c>
      <c r="M21" s="2" t="s">
        <v>1068</v>
      </c>
      <c r="N21" s="40" t="str">
        <f>_xlfn.XLOOKUP(F21,Terrain!D:D,Terrain!H:H,"")</f>
        <v>2559 - 2560</v>
      </c>
      <c r="O21" t="str">
        <f t="shared" si="2"/>
        <v>60-B04 | 3851 | 483|0</v>
      </c>
    </row>
    <row r="22" spans="1:15" x14ac:dyDescent="0.3">
      <c r="A22" s="43">
        <v>46054</v>
      </c>
      <c r="B22" s="2" t="s">
        <v>7</v>
      </c>
      <c r="C22" s="2" t="s">
        <v>1254</v>
      </c>
      <c r="D22" s="2" t="s">
        <v>156</v>
      </c>
      <c r="E22" s="2" t="str">
        <f>_xlfn.XLOOKUP(F22,Terrain!D:D,Terrain!A:A,"")</f>
        <v>Upper</v>
      </c>
      <c r="F22" s="2" t="s">
        <v>1279</v>
      </c>
      <c r="G22" s="2" t="s">
        <v>895</v>
      </c>
      <c r="H22" s="2">
        <f t="shared" si="0"/>
        <v>2564</v>
      </c>
      <c r="I22" s="2">
        <v>6280</v>
      </c>
      <c r="J22" s="2">
        <v>251.2</v>
      </c>
      <c r="K22" s="2">
        <v>251</v>
      </c>
      <c r="L22" s="2">
        <f t="shared" si="1"/>
        <v>2000</v>
      </c>
      <c r="M22" s="2" t="s">
        <v>1066</v>
      </c>
      <c r="N22" s="40" t="str">
        <f>_xlfn.XLOOKUP(F22,Terrain!D:D,Terrain!H:H,"")</f>
        <v>2563 - 2564</v>
      </c>
      <c r="O22" t="str">
        <f t="shared" si="2"/>
        <v>64-B05 | 3140 | 550|0</v>
      </c>
    </row>
    <row r="23" spans="1:15" x14ac:dyDescent="0.3">
      <c r="A23" s="43">
        <v>46054</v>
      </c>
      <c r="B23" s="2" t="s">
        <v>7</v>
      </c>
      <c r="C23" s="2" t="s">
        <v>1254</v>
      </c>
      <c r="D23" s="2" t="s">
        <v>164</v>
      </c>
      <c r="E23" s="2" t="str">
        <f>_xlfn.XLOOKUP(F23,Terrain!D:D,Terrain!A:A,"")</f>
        <v>Upper</v>
      </c>
      <c r="F23" s="2" t="s">
        <v>1280</v>
      </c>
      <c r="G23" s="2" t="s">
        <v>896</v>
      </c>
      <c r="H23" s="2">
        <f t="shared" si="0"/>
        <v>2564</v>
      </c>
      <c r="I23" s="2">
        <v>7342</v>
      </c>
      <c r="J23" s="2">
        <v>293.68</v>
      </c>
      <c r="K23" s="2">
        <v>294</v>
      </c>
      <c r="L23" s="2">
        <f t="shared" si="1"/>
        <v>2000</v>
      </c>
      <c r="M23" s="2" t="s">
        <v>1066</v>
      </c>
      <c r="N23" s="40" t="str">
        <f>_xlfn.XLOOKUP(F23,Terrain!D:D,Terrain!H:H,"")</f>
        <v>2563 - 2564</v>
      </c>
      <c r="O23" t="str">
        <f t="shared" si="2"/>
        <v>64-B06 | 3671 | 553|0</v>
      </c>
    </row>
    <row r="24" spans="1:15" x14ac:dyDescent="0.3">
      <c r="A24" s="43">
        <v>46054</v>
      </c>
      <c r="B24" s="2" t="s">
        <v>7</v>
      </c>
      <c r="C24" s="2" t="s">
        <v>1254</v>
      </c>
      <c r="D24" s="2" t="s">
        <v>172</v>
      </c>
      <c r="E24" s="2" t="str">
        <f>_xlfn.XLOOKUP(F24,Terrain!D:D,Terrain!A:A,"")</f>
        <v>Upper</v>
      </c>
      <c r="F24" s="2" t="s">
        <v>1281</v>
      </c>
      <c r="G24" s="2" t="s">
        <v>897</v>
      </c>
      <c r="H24" s="2">
        <f t="shared" si="0"/>
        <v>2550</v>
      </c>
      <c r="I24" s="2">
        <v>6033</v>
      </c>
      <c r="J24" s="2">
        <v>241.32</v>
      </c>
      <c r="K24" s="2">
        <v>241</v>
      </c>
      <c r="L24" s="2">
        <f t="shared" si="1"/>
        <v>1500</v>
      </c>
      <c r="M24" s="2" t="s">
        <v>1069</v>
      </c>
      <c r="N24" s="40" t="str">
        <f>_xlfn.XLOOKUP(F24,Terrain!D:D,Terrain!H:H,"")</f>
        <v>2549 - 2552</v>
      </c>
      <c r="O24" t="str">
        <f t="shared" si="2"/>
        <v>50-B07 | 4022 | 429|0</v>
      </c>
    </row>
    <row r="25" spans="1:15" x14ac:dyDescent="0.3">
      <c r="A25" s="43">
        <v>46054</v>
      </c>
      <c r="B25" s="2" t="s">
        <v>7</v>
      </c>
      <c r="C25" s="2" t="s">
        <v>1254</v>
      </c>
      <c r="D25" s="2" t="s">
        <v>180</v>
      </c>
      <c r="E25" s="2" t="str">
        <f>_xlfn.XLOOKUP(F25,Terrain!D:D,Terrain!A:A,"")</f>
        <v>Upper</v>
      </c>
      <c r="F25" s="2" t="s">
        <v>1292</v>
      </c>
      <c r="G25" s="2" t="s">
        <v>898</v>
      </c>
      <c r="H25" s="2">
        <f t="shared" si="0"/>
        <v>2560</v>
      </c>
      <c r="I25" s="2">
        <v>6952</v>
      </c>
      <c r="J25" s="2">
        <v>278.08</v>
      </c>
      <c r="K25" s="2">
        <v>278</v>
      </c>
      <c r="L25" s="2">
        <f t="shared" si="1"/>
        <v>2000</v>
      </c>
      <c r="M25" s="2" t="s">
        <v>1068</v>
      </c>
      <c r="N25" s="40" t="str">
        <f>_xlfn.XLOOKUP(F25,Terrain!D:D,Terrain!H:H,"")</f>
        <v>2559 - 2560</v>
      </c>
      <c r="O25" t="str">
        <f t="shared" si="2"/>
        <v>60-B08 | 3476 | 480|0</v>
      </c>
    </row>
    <row r="26" spans="1:15" x14ac:dyDescent="0.3">
      <c r="A26" s="43">
        <v>46054</v>
      </c>
      <c r="B26" s="2" t="s">
        <v>7</v>
      </c>
      <c r="C26" s="2" t="s">
        <v>1254</v>
      </c>
      <c r="D26" s="2" t="s">
        <v>188</v>
      </c>
      <c r="E26" s="2" t="str">
        <f>_xlfn.XLOOKUP(F26,Terrain!D:D,Terrain!A:A,"")</f>
        <v>Upper</v>
      </c>
      <c r="F26" s="2" t="s">
        <v>1293</v>
      </c>
      <c r="G26" s="2" t="s">
        <v>899</v>
      </c>
      <c r="H26" s="2">
        <f t="shared" si="0"/>
        <v>2560</v>
      </c>
      <c r="I26" s="2">
        <v>8254</v>
      </c>
      <c r="J26" s="2">
        <v>330.16</v>
      </c>
      <c r="K26" s="2">
        <v>330</v>
      </c>
      <c r="L26" s="2">
        <f t="shared" si="1"/>
        <v>2000</v>
      </c>
      <c r="M26" s="2" t="s">
        <v>1068</v>
      </c>
      <c r="N26" s="40" t="str">
        <f>_xlfn.XLOOKUP(F26,Terrain!D:D,Terrain!H:H,"")</f>
        <v>2559 - 2560</v>
      </c>
      <c r="O26" t="str">
        <f t="shared" si="2"/>
        <v>60-B09 | 4127 | 469|0</v>
      </c>
    </row>
    <row r="27" spans="1:15" x14ac:dyDescent="0.3">
      <c r="A27" s="43">
        <v>46054</v>
      </c>
      <c r="B27" s="2" t="s">
        <v>7</v>
      </c>
      <c r="C27" s="2" t="s">
        <v>1254</v>
      </c>
      <c r="D27" s="2" t="s">
        <v>196</v>
      </c>
      <c r="E27" s="2" t="str">
        <f>_xlfn.XLOOKUP(F27,Terrain!D:D,Terrain!A:A,"")</f>
        <v>Upper</v>
      </c>
      <c r="F27" s="2" t="s">
        <v>1135</v>
      </c>
      <c r="G27" s="2" t="s">
        <v>900</v>
      </c>
      <c r="H27" s="2">
        <f t="shared" si="0"/>
        <v>2550</v>
      </c>
      <c r="I27" s="2">
        <v>6367.5</v>
      </c>
      <c r="J27" s="2">
        <v>254.7</v>
      </c>
      <c r="K27" s="2">
        <v>255</v>
      </c>
      <c r="L27" s="2">
        <f t="shared" si="1"/>
        <v>1500</v>
      </c>
      <c r="M27" s="2" t="s">
        <v>1069</v>
      </c>
      <c r="N27" s="40" t="str">
        <f>_xlfn.XLOOKUP(F27,Terrain!D:D,Terrain!H:H,"")</f>
        <v>2549 - 2552</v>
      </c>
      <c r="O27" t="str">
        <f t="shared" si="2"/>
        <v>50-B10 | 4245 | 426|0</v>
      </c>
    </row>
    <row r="28" spans="1:15" x14ac:dyDescent="0.3">
      <c r="A28" s="43">
        <v>46054</v>
      </c>
      <c r="B28" s="2" t="s">
        <v>7</v>
      </c>
      <c r="C28" s="2" t="s">
        <v>1254</v>
      </c>
      <c r="D28" s="2" t="s">
        <v>204</v>
      </c>
      <c r="E28" s="2" t="str">
        <f>_xlfn.XLOOKUP(F28,Terrain!D:D,Terrain!A:A,"")</f>
        <v>Upper</v>
      </c>
      <c r="F28" s="2" t="s">
        <v>1149</v>
      </c>
      <c r="G28" s="2" t="s">
        <v>901</v>
      </c>
      <c r="H28" s="2">
        <f t="shared" si="0"/>
        <v>2565</v>
      </c>
      <c r="I28" s="2">
        <v>6386</v>
      </c>
      <c r="J28" s="2">
        <v>255.44</v>
      </c>
      <c r="K28" s="2">
        <v>255</v>
      </c>
      <c r="L28" s="2">
        <f t="shared" si="1"/>
        <v>2000</v>
      </c>
      <c r="M28" s="2" t="s">
        <v>1066</v>
      </c>
      <c r="N28" s="40" t="str">
        <f>_xlfn.XLOOKUP(F28,Terrain!D:D,Terrain!H:H,"")</f>
        <v>2563 - 2565</v>
      </c>
      <c r="O28" t="str">
        <f t="shared" si="2"/>
        <v>65-B11 | 3193 | 555|0</v>
      </c>
    </row>
    <row r="29" spans="1:15" x14ac:dyDescent="0.3">
      <c r="A29" s="43">
        <v>46054</v>
      </c>
      <c r="B29" s="2" t="s">
        <v>7</v>
      </c>
      <c r="C29" s="2" t="s">
        <v>1254</v>
      </c>
      <c r="D29" s="2" t="s">
        <v>212</v>
      </c>
      <c r="E29" s="2" t="str">
        <f>_xlfn.XLOOKUP(F29,Terrain!D:D,Terrain!A:A,"")</f>
        <v>Upper</v>
      </c>
      <c r="F29" s="2" t="s">
        <v>1137</v>
      </c>
      <c r="G29" s="2" t="s">
        <v>902</v>
      </c>
      <c r="H29" s="2">
        <f t="shared" si="0"/>
        <v>2557</v>
      </c>
      <c r="I29" s="2">
        <v>8530</v>
      </c>
      <c r="J29" s="2">
        <v>341.2</v>
      </c>
      <c r="K29" s="2">
        <v>341</v>
      </c>
      <c r="L29" s="2">
        <f t="shared" si="1"/>
        <v>2000</v>
      </c>
      <c r="M29" s="2" t="s">
        <v>1067</v>
      </c>
      <c r="N29" s="40" t="str">
        <f>_xlfn.XLOOKUP(F29,Terrain!D:D,Terrain!H:H,"")</f>
        <v>2555 - 2558</v>
      </c>
      <c r="O29" t="str">
        <f t="shared" si="2"/>
        <v>57-B12 | 4265 | 477|0</v>
      </c>
    </row>
    <row r="30" spans="1:15" x14ac:dyDescent="0.3">
      <c r="A30" s="43">
        <v>46054</v>
      </c>
      <c r="B30" s="2" t="s">
        <v>7</v>
      </c>
      <c r="C30" s="2" t="s">
        <v>1254</v>
      </c>
      <c r="D30" s="2" t="s">
        <v>220</v>
      </c>
      <c r="E30" s="2" t="str">
        <f>_xlfn.XLOOKUP(F30,Terrain!D:D,Terrain!A:A,"")</f>
        <v>Upper</v>
      </c>
      <c r="F30" s="2" t="s">
        <v>1131</v>
      </c>
      <c r="G30" s="2" t="s">
        <v>903</v>
      </c>
      <c r="H30" s="2">
        <f t="shared" si="0"/>
        <v>2549</v>
      </c>
      <c r="I30" s="2">
        <v>6288</v>
      </c>
      <c r="J30" s="2">
        <v>251.52</v>
      </c>
      <c r="K30" s="2">
        <v>252</v>
      </c>
      <c r="L30" s="2">
        <f t="shared" si="1"/>
        <v>1500</v>
      </c>
      <c r="M30" s="2" t="s">
        <v>1069</v>
      </c>
      <c r="N30" s="40" t="str">
        <f>_xlfn.XLOOKUP(F30,Terrain!D:D,Terrain!H:H,"")</f>
        <v>ปาล์มใหญ่</v>
      </c>
      <c r="O30" t="str">
        <f t="shared" si="2"/>
        <v>49-B13 | 4192 | 425|0</v>
      </c>
    </row>
    <row r="31" spans="1:15" x14ac:dyDescent="0.3">
      <c r="A31" s="43">
        <v>46054</v>
      </c>
      <c r="B31" s="2" t="s">
        <v>7</v>
      </c>
      <c r="C31" s="2" t="s">
        <v>1254</v>
      </c>
      <c r="D31" s="2" t="s">
        <v>228</v>
      </c>
      <c r="E31" s="2" t="str">
        <f>_xlfn.XLOOKUP(F31,Terrain!D:D,Terrain!A:A,"")</f>
        <v>Upper</v>
      </c>
      <c r="F31" s="2" t="s">
        <v>1130</v>
      </c>
      <c r="G31" s="2" t="s">
        <v>904</v>
      </c>
      <c r="H31" s="2">
        <f t="shared" si="0"/>
        <v>2530</v>
      </c>
      <c r="I31" s="2">
        <v>189</v>
      </c>
      <c r="J31" s="2">
        <v>7.56</v>
      </c>
      <c r="K31" s="2">
        <v>8</v>
      </c>
      <c r="L31" s="2">
        <f t="shared" si="1"/>
        <v>1500</v>
      </c>
      <c r="M31" s="2" t="s">
        <v>1070</v>
      </c>
      <c r="N31" s="40" t="str">
        <f>_xlfn.XLOOKUP(F31,Terrain!D:D,Terrain!H:H,"")</f>
        <v>ปาล์มใหญ่</v>
      </c>
      <c r="O31" t="str">
        <f t="shared" si="2"/>
        <v>30-B14 | 126 | 430|0</v>
      </c>
    </row>
    <row r="32" spans="1:15" x14ac:dyDescent="0.3">
      <c r="A32" s="43">
        <v>46054</v>
      </c>
      <c r="B32" s="2" t="s">
        <v>7</v>
      </c>
      <c r="C32" s="2" t="s">
        <v>1254</v>
      </c>
      <c r="D32" s="2" t="s">
        <v>236</v>
      </c>
      <c r="E32" s="2" t="str">
        <f>_xlfn.XLOOKUP(F32,Terrain!D:D,Terrain!A:A,"")</f>
        <v>Upper</v>
      </c>
      <c r="F32" s="2" t="s">
        <v>1139</v>
      </c>
      <c r="G32" s="2" t="s">
        <v>905</v>
      </c>
      <c r="H32" s="2">
        <f t="shared" si="0"/>
        <v>2557</v>
      </c>
      <c r="I32" s="2">
        <v>3326</v>
      </c>
      <c r="J32" s="2">
        <v>133.04</v>
      </c>
      <c r="K32" s="2">
        <v>133</v>
      </c>
      <c r="L32" s="2">
        <f t="shared" si="1"/>
        <v>2000</v>
      </c>
      <c r="M32" s="2" t="s">
        <v>1067</v>
      </c>
      <c r="N32" s="40" t="str">
        <f>_xlfn.XLOOKUP(F32,Terrain!D:D,Terrain!H:H,"")</f>
        <v>2555 - 2558</v>
      </c>
      <c r="O32" t="str">
        <f t="shared" si="2"/>
        <v>57-B14 | 1663 | 471|0</v>
      </c>
    </row>
    <row r="33" spans="1:15" x14ac:dyDescent="0.3">
      <c r="A33" s="43">
        <v>46054</v>
      </c>
      <c r="B33" s="2" t="s">
        <v>7</v>
      </c>
      <c r="C33" s="2" t="s">
        <v>1254</v>
      </c>
      <c r="D33" s="2" t="s">
        <v>244</v>
      </c>
      <c r="E33" s="2" t="str">
        <f>_xlfn.XLOOKUP(F33,Terrain!D:D,Terrain!A:A,"")</f>
        <v>Lower</v>
      </c>
      <c r="F33" s="2" t="s">
        <v>1294</v>
      </c>
      <c r="G33" s="2" t="s">
        <v>1071</v>
      </c>
      <c r="H33" s="2">
        <f t="shared" si="0"/>
        <v>2560</v>
      </c>
      <c r="I33" s="2">
        <v>5414</v>
      </c>
      <c r="J33" s="2">
        <v>216.56</v>
      </c>
      <c r="K33" s="2">
        <v>217</v>
      </c>
      <c r="L33" s="2">
        <f t="shared" si="1"/>
        <v>2000</v>
      </c>
      <c r="M33" s="2" t="s">
        <v>1072</v>
      </c>
      <c r="N33" s="40" t="str">
        <f>_xlfn.XLOOKUP(F33,Terrain!D:D,Terrain!H:H,"")</f>
        <v>2559 - 2560</v>
      </c>
      <c r="O33" t="str">
        <f t="shared" si="2"/>
        <v>60-C01-R | 2707 | 171|0</v>
      </c>
    </row>
    <row r="34" spans="1:15" x14ac:dyDescent="0.3">
      <c r="A34" s="43">
        <v>46054</v>
      </c>
      <c r="B34" s="2" t="s">
        <v>7</v>
      </c>
      <c r="C34" s="2" t="s">
        <v>1254</v>
      </c>
      <c r="D34" s="2" t="s">
        <v>252</v>
      </c>
      <c r="E34" s="2" t="str">
        <f>_xlfn.XLOOKUP(F34,Terrain!D:D,Terrain!A:A,"")</f>
        <v>Lower</v>
      </c>
      <c r="F34" s="2" t="s">
        <v>1295</v>
      </c>
      <c r="G34" s="2" t="s">
        <v>1073</v>
      </c>
      <c r="H34" s="2">
        <f t="shared" si="0"/>
        <v>2560</v>
      </c>
      <c r="I34" s="2">
        <v>4264</v>
      </c>
      <c r="J34" s="2">
        <v>170.56</v>
      </c>
      <c r="K34" s="2">
        <v>171</v>
      </c>
      <c r="L34" s="2">
        <f t="shared" si="1"/>
        <v>2000</v>
      </c>
      <c r="M34" s="2" t="s">
        <v>1072</v>
      </c>
      <c r="N34" s="40" t="str">
        <f>_xlfn.XLOOKUP(F34,Terrain!D:D,Terrain!H:H,"")</f>
        <v>2559 - 2560</v>
      </c>
      <c r="O34" t="str">
        <f t="shared" si="2"/>
        <v>60-C02-R | 2132 | 168|0</v>
      </c>
    </row>
    <row r="35" spans="1:15" x14ac:dyDescent="0.3">
      <c r="A35" s="43">
        <v>46054</v>
      </c>
      <c r="B35" s="2" t="s">
        <v>7</v>
      </c>
      <c r="C35" s="2" t="s">
        <v>1254</v>
      </c>
      <c r="D35" s="2" t="s">
        <v>260</v>
      </c>
      <c r="E35" s="2" t="str">
        <f>_xlfn.XLOOKUP(F35,Terrain!D:D,Terrain!A:A,"")</f>
        <v>Lower</v>
      </c>
      <c r="F35" s="2" t="s">
        <v>1296</v>
      </c>
      <c r="G35" s="2" t="s">
        <v>1074</v>
      </c>
      <c r="H35" s="2">
        <f t="shared" si="0"/>
        <v>2559</v>
      </c>
      <c r="I35" s="2">
        <v>6666</v>
      </c>
      <c r="J35" s="2">
        <v>266.64</v>
      </c>
      <c r="K35" s="2">
        <v>267</v>
      </c>
      <c r="L35" s="2">
        <f t="shared" si="1"/>
        <v>2000</v>
      </c>
      <c r="M35" s="2" t="s">
        <v>1072</v>
      </c>
      <c r="N35" s="40" t="str">
        <f>_xlfn.XLOOKUP(F35,Terrain!D:D,Terrain!H:H,"")</f>
        <v>2559 - 2560</v>
      </c>
      <c r="O35" t="str">
        <f t="shared" si="2"/>
        <v>59-C03-R | 3333 | 166|0</v>
      </c>
    </row>
    <row r="36" spans="1:15" x14ac:dyDescent="0.3">
      <c r="A36" s="43">
        <v>46054</v>
      </c>
      <c r="B36" s="2" t="s">
        <v>7</v>
      </c>
      <c r="C36" s="2" t="s">
        <v>1254</v>
      </c>
      <c r="D36" s="2" t="s">
        <v>268</v>
      </c>
      <c r="E36" s="2" t="str">
        <f>_xlfn.XLOOKUP(F36,Terrain!D:D,Terrain!A:A,"")</f>
        <v>Lower</v>
      </c>
      <c r="F36" s="2" t="s">
        <v>1297</v>
      </c>
      <c r="G36" s="2" t="s">
        <v>1075</v>
      </c>
      <c r="H36" s="2">
        <f t="shared" si="0"/>
        <v>2559</v>
      </c>
      <c r="I36" s="2">
        <v>5050</v>
      </c>
      <c r="J36" s="2">
        <v>202</v>
      </c>
      <c r="K36" s="2">
        <v>202</v>
      </c>
      <c r="L36" s="2">
        <f t="shared" si="1"/>
        <v>2000</v>
      </c>
      <c r="M36" s="2" t="s">
        <v>1072</v>
      </c>
      <c r="N36" s="40" t="str">
        <f>_xlfn.XLOOKUP(F36,Terrain!D:D,Terrain!H:H,"")</f>
        <v>2559 - 2560</v>
      </c>
      <c r="O36" t="str">
        <f t="shared" si="2"/>
        <v>59-C04-R | 2525 | 161|0</v>
      </c>
    </row>
    <row r="37" spans="1:15" x14ac:dyDescent="0.3">
      <c r="A37" s="43">
        <v>46054</v>
      </c>
      <c r="B37" s="2" t="s">
        <v>7</v>
      </c>
      <c r="C37" s="2" t="s">
        <v>1254</v>
      </c>
      <c r="D37" s="2" t="s">
        <v>276</v>
      </c>
      <c r="E37" s="2" t="str">
        <f>_xlfn.XLOOKUP(F37,Terrain!D:D,Terrain!A:A,"")</f>
        <v>Lower</v>
      </c>
      <c r="F37" s="2" t="s">
        <v>1298</v>
      </c>
      <c r="G37" s="2" t="s">
        <v>864</v>
      </c>
      <c r="H37" s="2">
        <f t="shared" si="0"/>
        <v>2522</v>
      </c>
      <c r="I37" s="2">
        <v>276</v>
      </c>
      <c r="J37" s="2">
        <v>11.04</v>
      </c>
      <c r="K37" s="2">
        <v>11</v>
      </c>
      <c r="L37" s="2">
        <f t="shared" si="1"/>
        <v>1500</v>
      </c>
      <c r="M37" s="2" t="s">
        <v>1076</v>
      </c>
      <c r="N37" s="40" t="str">
        <f>_xlfn.XLOOKUP(F37,Terrain!D:D,Terrain!H:H,"")</f>
        <v>ปาล์มใหญ่</v>
      </c>
      <c r="O37" t="str">
        <f t="shared" si="2"/>
        <v>22-C05-R | 184 | 77|0</v>
      </c>
    </row>
    <row r="38" spans="1:15" x14ac:dyDescent="0.3">
      <c r="A38" s="43">
        <v>46054</v>
      </c>
      <c r="B38" s="2" t="s">
        <v>7</v>
      </c>
      <c r="C38" s="2" t="s">
        <v>1254</v>
      </c>
      <c r="D38" s="2" t="s">
        <v>284</v>
      </c>
      <c r="E38" s="2" t="str">
        <f>_xlfn.XLOOKUP(F38,Terrain!D:D,Terrain!A:A,"")</f>
        <v>Lower</v>
      </c>
      <c r="F38" s="2" t="s">
        <v>1299</v>
      </c>
      <c r="G38" s="2" t="s">
        <v>865</v>
      </c>
      <c r="H38" s="2">
        <f t="shared" si="0"/>
        <v>2550</v>
      </c>
      <c r="I38" s="2">
        <v>4188</v>
      </c>
      <c r="J38" s="2">
        <v>167.52</v>
      </c>
      <c r="K38" s="2">
        <v>168</v>
      </c>
      <c r="L38" s="2">
        <f t="shared" si="1"/>
        <v>1500</v>
      </c>
      <c r="M38" s="2" t="s">
        <v>1077</v>
      </c>
      <c r="N38" s="40" t="str">
        <f>_xlfn.XLOOKUP(F38,Terrain!D:D,Terrain!H:H,"")</f>
        <v>2549 - 2552</v>
      </c>
      <c r="O38" t="str">
        <f t="shared" si="2"/>
        <v>50-C05-R | 2792 | 70|0</v>
      </c>
    </row>
    <row r="39" spans="1:15" x14ac:dyDescent="0.3">
      <c r="A39" s="43">
        <v>46054</v>
      </c>
      <c r="B39" s="2" t="s">
        <v>7</v>
      </c>
      <c r="C39" s="2" t="s">
        <v>1254</v>
      </c>
      <c r="D39" s="2" t="s">
        <v>292</v>
      </c>
      <c r="E39" s="2" t="str">
        <f>_xlfn.XLOOKUP(F39,Terrain!D:D,Terrain!A:A,"")</f>
        <v>Lower</v>
      </c>
      <c r="F39" s="2" t="s">
        <v>1300</v>
      </c>
      <c r="G39" s="2" t="s">
        <v>1078</v>
      </c>
      <c r="H39" s="2">
        <f t="shared" si="0"/>
        <v>2560</v>
      </c>
      <c r="I39" s="2">
        <v>1440</v>
      </c>
      <c r="J39" s="2">
        <v>57.6</v>
      </c>
      <c r="K39" s="2">
        <v>58</v>
      </c>
      <c r="L39" s="2">
        <f t="shared" si="1"/>
        <v>2000</v>
      </c>
      <c r="M39" s="2" t="s">
        <v>1072</v>
      </c>
      <c r="N39" s="40" t="str">
        <f>_xlfn.XLOOKUP(F39,Terrain!D:D,Terrain!H:H,"")</f>
        <v>2559 - 2560</v>
      </c>
      <c r="O39" t="str">
        <f t="shared" si="2"/>
        <v>60-C05-R | 720 | 165|0</v>
      </c>
    </row>
    <row r="40" spans="1:15" x14ac:dyDescent="0.3">
      <c r="A40" s="43">
        <v>46054</v>
      </c>
      <c r="B40" s="2" t="s">
        <v>7</v>
      </c>
      <c r="C40" s="2" t="s">
        <v>1254</v>
      </c>
      <c r="D40" s="2" t="s">
        <v>300</v>
      </c>
      <c r="E40" s="2" t="str">
        <f>_xlfn.XLOOKUP(F40,Terrain!D:D,Terrain!A:A,"")</f>
        <v>Lower</v>
      </c>
      <c r="F40" s="2" t="s">
        <v>1301</v>
      </c>
      <c r="G40" s="2" t="s">
        <v>866</v>
      </c>
      <c r="H40" s="2">
        <f t="shared" si="0"/>
        <v>2557</v>
      </c>
      <c r="I40" s="2">
        <v>600</v>
      </c>
      <c r="J40" s="2">
        <v>24</v>
      </c>
      <c r="K40" s="2">
        <v>24</v>
      </c>
      <c r="L40" s="2">
        <f t="shared" si="1"/>
        <v>2000</v>
      </c>
      <c r="M40" s="2" t="s">
        <v>1079</v>
      </c>
      <c r="N40" s="40" t="str">
        <f>_xlfn.XLOOKUP(F40,Terrain!D:D,Terrain!H:H,"")</f>
        <v>2555 - 2558</v>
      </c>
      <c r="O40" t="str">
        <f t="shared" si="2"/>
        <v>57-C06 | 300 | 155|0</v>
      </c>
    </row>
    <row r="41" spans="1:15" x14ac:dyDescent="0.3">
      <c r="A41" s="43">
        <v>46054</v>
      </c>
      <c r="B41" s="2" t="s">
        <v>7</v>
      </c>
      <c r="C41" s="2" t="s">
        <v>1254</v>
      </c>
      <c r="D41" s="2" t="s">
        <v>308</v>
      </c>
      <c r="E41" s="2" t="str">
        <f>_xlfn.XLOOKUP(F41,Terrain!D:D,Terrain!A:A,"")</f>
        <v>Lower</v>
      </c>
      <c r="F41" s="2" t="s">
        <v>1302</v>
      </c>
      <c r="G41" s="2" t="s">
        <v>1080</v>
      </c>
      <c r="H41" s="2">
        <f t="shared" si="0"/>
        <v>2557</v>
      </c>
      <c r="I41" s="2">
        <v>4990</v>
      </c>
      <c r="J41" s="2">
        <v>199.6</v>
      </c>
      <c r="K41" s="2">
        <v>200</v>
      </c>
      <c r="L41" s="2">
        <f t="shared" si="1"/>
        <v>2000</v>
      </c>
      <c r="M41" s="2" t="s">
        <v>1081</v>
      </c>
      <c r="N41" s="40" t="str">
        <f>_xlfn.XLOOKUP(F41,Terrain!D:D,Terrain!H:H,"")</f>
        <v>2555 - 2558</v>
      </c>
      <c r="O41" t="str">
        <f t="shared" si="2"/>
        <v>57-C06-R | 2495 | 160|0</v>
      </c>
    </row>
    <row r="42" spans="1:15" x14ac:dyDescent="0.3">
      <c r="A42" s="43">
        <v>46054</v>
      </c>
      <c r="B42" s="2" t="s">
        <v>7</v>
      </c>
      <c r="C42" s="2" t="s">
        <v>1254</v>
      </c>
      <c r="D42" s="2" t="s">
        <v>316</v>
      </c>
      <c r="E42" s="2" t="str">
        <f>_xlfn.XLOOKUP(F42,Terrain!D:D,Terrain!A:A,"")</f>
        <v>Lower</v>
      </c>
      <c r="F42" s="2" t="s">
        <v>1303</v>
      </c>
      <c r="G42" s="2" t="s">
        <v>867</v>
      </c>
      <c r="H42" s="2">
        <f t="shared" si="0"/>
        <v>2550</v>
      </c>
      <c r="I42" s="2">
        <v>6303</v>
      </c>
      <c r="J42" s="2">
        <v>252.12</v>
      </c>
      <c r="K42" s="2">
        <v>252</v>
      </c>
      <c r="L42" s="2">
        <f t="shared" si="1"/>
        <v>1500</v>
      </c>
      <c r="M42" s="2" t="s">
        <v>1077</v>
      </c>
      <c r="N42" s="40" t="str">
        <f>_xlfn.XLOOKUP(F42,Terrain!D:D,Terrain!H:H,"")</f>
        <v>2549 - 2552</v>
      </c>
      <c r="O42" t="str">
        <f t="shared" si="2"/>
        <v>50-C07-R | 4202 | 73|0</v>
      </c>
    </row>
    <row r="43" spans="1:15" x14ac:dyDescent="0.3">
      <c r="A43" s="43">
        <v>46054</v>
      </c>
      <c r="B43" s="2" t="s">
        <v>7</v>
      </c>
      <c r="C43" s="2" t="s">
        <v>1254</v>
      </c>
      <c r="D43" s="2" t="s">
        <v>324</v>
      </c>
      <c r="E43" s="2" t="str">
        <f>_xlfn.XLOOKUP(F43,Terrain!D:D,Terrain!A:A,"")</f>
        <v>Lower</v>
      </c>
      <c r="F43" s="2" t="s">
        <v>1304</v>
      </c>
      <c r="G43" s="2" t="s">
        <v>1082</v>
      </c>
      <c r="H43" s="2">
        <f t="shared" si="0"/>
        <v>2559</v>
      </c>
      <c r="I43" s="2">
        <v>5776</v>
      </c>
      <c r="J43" s="2">
        <v>231.04</v>
      </c>
      <c r="K43" s="2">
        <v>231</v>
      </c>
      <c r="L43" s="2">
        <f t="shared" si="1"/>
        <v>2000</v>
      </c>
      <c r="M43" s="2" t="s">
        <v>1072</v>
      </c>
      <c r="N43" s="40" t="str">
        <f>_xlfn.XLOOKUP(F43,Terrain!D:D,Terrain!H:H,"")</f>
        <v>2559 - 2560</v>
      </c>
      <c r="O43" t="str">
        <f t="shared" si="2"/>
        <v>59-C08-R | 2888 | 167|0</v>
      </c>
    </row>
    <row r="44" spans="1:15" x14ac:dyDescent="0.3">
      <c r="A44" s="43">
        <v>46054</v>
      </c>
      <c r="B44" s="2" t="s">
        <v>7</v>
      </c>
      <c r="C44" s="2" t="s">
        <v>1254</v>
      </c>
      <c r="D44" s="2" t="s">
        <v>332</v>
      </c>
      <c r="E44" s="2" t="str">
        <f>_xlfn.XLOOKUP(F44,Terrain!D:D,Terrain!A:A,"")</f>
        <v>Lower</v>
      </c>
      <c r="F44" s="2" t="s">
        <v>1305</v>
      </c>
      <c r="G44" s="2" t="s">
        <v>1083</v>
      </c>
      <c r="H44" s="2">
        <f t="shared" si="0"/>
        <v>2559</v>
      </c>
      <c r="I44" s="2">
        <v>3810</v>
      </c>
      <c r="J44" s="2">
        <v>152.4</v>
      </c>
      <c r="K44" s="2">
        <v>152</v>
      </c>
      <c r="L44" s="2">
        <f t="shared" si="1"/>
        <v>2000</v>
      </c>
      <c r="M44" s="2" t="s">
        <v>1072</v>
      </c>
      <c r="N44" s="40" t="str">
        <f>_xlfn.XLOOKUP(F44,Terrain!D:D,Terrain!H:H,"")</f>
        <v>2559 - 2560</v>
      </c>
      <c r="O44" t="str">
        <f t="shared" si="2"/>
        <v>59-C09-R | 1905 | 159|0</v>
      </c>
    </row>
    <row r="45" spans="1:15" x14ac:dyDescent="0.3">
      <c r="A45" s="43">
        <v>46054</v>
      </c>
      <c r="B45" s="2" t="s">
        <v>7</v>
      </c>
      <c r="C45" s="2" t="s">
        <v>1254</v>
      </c>
      <c r="D45" s="2" t="s">
        <v>340</v>
      </c>
      <c r="E45" s="2" t="str">
        <f>_xlfn.XLOOKUP(F45,Terrain!D:D,Terrain!A:A,"")</f>
        <v>Lower</v>
      </c>
      <c r="F45" s="2" t="s">
        <v>1306</v>
      </c>
      <c r="G45" s="2" t="s">
        <v>868</v>
      </c>
      <c r="H45" s="2">
        <f t="shared" si="0"/>
        <v>2556</v>
      </c>
      <c r="I45" s="2">
        <v>6212</v>
      </c>
      <c r="J45" s="2">
        <v>248.48</v>
      </c>
      <c r="K45" s="2">
        <v>248</v>
      </c>
      <c r="L45" s="2">
        <f t="shared" si="1"/>
        <v>2000</v>
      </c>
      <c r="M45" s="2" t="s">
        <v>1081</v>
      </c>
      <c r="N45" s="40" t="str">
        <f>_xlfn.XLOOKUP(F45,Terrain!D:D,Terrain!H:H,"")</f>
        <v>2555 - 2558</v>
      </c>
      <c r="O45" t="str">
        <f t="shared" si="2"/>
        <v>56-C10-R | 3106 | 164|0</v>
      </c>
    </row>
    <row r="46" spans="1:15" x14ac:dyDescent="0.3">
      <c r="A46" s="43">
        <v>46054</v>
      </c>
      <c r="B46" s="2" t="s">
        <v>7</v>
      </c>
      <c r="C46" s="2" t="s">
        <v>1254</v>
      </c>
      <c r="D46" s="2" t="s">
        <v>348</v>
      </c>
      <c r="E46" s="2" t="str">
        <f>_xlfn.XLOOKUP(F46,Terrain!D:D,Terrain!A:A,"")</f>
        <v>Lower</v>
      </c>
      <c r="F46" s="2" t="s">
        <v>1307</v>
      </c>
      <c r="G46" s="2" t="s">
        <v>1084</v>
      </c>
      <c r="H46" s="2">
        <f t="shared" si="0"/>
        <v>2559</v>
      </c>
      <c r="I46" s="2">
        <v>4582</v>
      </c>
      <c r="J46" s="2">
        <v>183.28</v>
      </c>
      <c r="K46" s="2">
        <v>183</v>
      </c>
      <c r="L46" s="2">
        <f t="shared" si="1"/>
        <v>2000</v>
      </c>
      <c r="M46" s="2" t="s">
        <v>1072</v>
      </c>
      <c r="N46" s="40" t="str">
        <f>_xlfn.XLOOKUP(F46,Terrain!D:D,Terrain!H:H,"")</f>
        <v>2559 - 2560</v>
      </c>
      <c r="O46" t="str">
        <f t="shared" si="2"/>
        <v>59-C11-R | 2291 | 170|0</v>
      </c>
    </row>
    <row r="47" spans="1:15" x14ac:dyDescent="0.3">
      <c r="A47" s="43">
        <v>46054</v>
      </c>
      <c r="B47" s="2" t="s">
        <v>7</v>
      </c>
      <c r="C47" s="2" t="s">
        <v>1254</v>
      </c>
      <c r="D47" s="2" t="s">
        <v>356</v>
      </c>
      <c r="E47" s="2" t="str">
        <f>_xlfn.XLOOKUP(F47,Terrain!D:D,Terrain!A:A,"")</f>
        <v>Lower</v>
      </c>
      <c r="F47" s="2" t="s">
        <v>1308</v>
      </c>
      <c r="G47" s="2" t="s">
        <v>863</v>
      </c>
      <c r="H47" s="2">
        <f t="shared" si="0"/>
        <v>2565</v>
      </c>
      <c r="I47" s="2">
        <v>5062</v>
      </c>
      <c r="J47" s="2">
        <v>202.48</v>
      </c>
      <c r="K47" s="2">
        <v>202</v>
      </c>
      <c r="L47" s="2">
        <f t="shared" si="1"/>
        <v>2000</v>
      </c>
      <c r="M47" s="2" t="s">
        <v>1044</v>
      </c>
      <c r="N47" s="40" t="str">
        <f>_xlfn.XLOOKUP(F47,Terrain!D:D,Terrain!H:H,"")</f>
        <v>2563 - 2565</v>
      </c>
      <c r="O47" t="str">
        <f t="shared" si="2"/>
        <v>65-D01-R | 2531 | 254|0</v>
      </c>
    </row>
    <row r="48" spans="1:15" x14ac:dyDescent="0.3">
      <c r="A48" s="43">
        <v>46054</v>
      </c>
      <c r="B48" s="2" t="s">
        <v>7</v>
      </c>
      <c r="C48" s="2" t="s">
        <v>1254</v>
      </c>
      <c r="D48" s="2" t="s">
        <v>364</v>
      </c>
      <c r="E48" s="2" t="str">
        <f>_xlfn.XLOOKUP(F48,Terrain!D:D,Terrain!A:A,"")</f>
        <v>Lower</v>
      </c>
      <c r="F48" s="2" t="s">
        <v>1309</v>
      </c>
      <c r="G48" s="2" t="s">
        <v>869</v>
      </c>
      <c r="H48" s="2">
        <f t="shared" si="0"/>
        <v>2564</v>
      </c>
      <c r="I48" s="2">
        <v>5706</v>
      </c>
      <c r="J48" s="2">
        <v>228.24</v>
      </c>
      <c r="K48" s="2">
        <v>228</v>
      </c>
      <c r="L48" s="2">
        <f t="shared" si="1"/>
        <v>2000</v>
      </c>
      <c r="M48" s="2" t="s">
        <v>1044</v>
      </c>
      <c r="N48" s="40" t="str">
        <f>_xlfn.XLOOKUP(F48,Terrain!D:D,Terrain!H:H,"")</f>
        <v>2563 - 2565</v>
      </c>
      <c r="O48" t="str">
        <f t="shared" si="2"/>
        <v>64-D02-R | 2853 | 248|0</v>
      </c>
    </row>
    <row r="49" spans="1:15" x14ac:dyDescent="0.3">
      <c r="A49" s="43">
        <v>46054</v>
      </c>
      <c r="B49" s="2" t="s">
        <v>7</v>
      </c>
      <c r="C49" s="2" t="s">
        <v>1254</v>
      </c>
      <c r="D49" s="2" t="s">
        <v>372</v>
      </c>
      <c r="E49" s="2" t="str">
        <f>_xlfn.XLOOKUP(F49,Terrain!D:D,Terrain!A:A,"")</f>
        <v>Lower</v>
      </c>
      <c r="F49" s="2" t="s">
        <v>1310</v>
      </c>
      <c r="G49" s="2" t="s">
        <v>870</v>
      </c>
      <c r="H49" s="2">
        <f t="shared" si="0"/>
        <v>2565</v>
      </c>
      <c r="I49" s="2">
        <v>5606</v>
      </c>
      <c r="J49" s="2">
        <v>224.24</v>
      </c>
      <c r="K49" s="2">
        <v>224</v>
      </c>
      <c r="L49" s="2">
        <f t="shared" si="1"/>
        <v>2000</v>
      </c>
      <c r="M49" s="2" t="s">
        <v>1044</v>
      </c>
      <c r="N49" s="40" t="str">
        <f>_xlfn.XLOOKUP(F49,Terrain!D:D,Terrain!H:H,"")</f>
        <v>2563 - 2565</v>
      </c>
      <c r="O49" t="str">
        <f t="shared" si="2"/>
        <v>65-D03-R | 2803 | 251|0</v>
      </c>
    </row>
    <row r="50" spans="1:15" x14ac:dyDescent="0.3">
      <c r="A50" s="43">
        <v>46054</v>
      </c>
      <c r="B50" s="2" t="s">
        <v>7</v>
      </c>
      <c r="C50" s="2" t="s">
        <v>1254</v>
      </c>
      <c r="D50" s="2" t="s">
        <v>380</v>
      </c>
      <c r="E50" s="2" t="str">
        <f>_xlfn.XLOOKUP(F50,Terrain!D:D,Terrain!A:A,"")</f>
        <v>Lower</v>
      </c>
      <c r="F50" s="2" t="s">
        <v>1311</v>
      </c>
      <c r="G50" s="2" t="s">
        <v>871</v>
      </c>
      <c r="H50" s="2">
        <f t="shared" si="0"/>
        <v>2565</v>
      </c>
      <c r="I50" s="2">
        <v>5638</v>
      </c>
      <c r="J50" s="2">
        <v>225.52</v>
      </c>
      <c r="K50" s="2">
        <v>226</v>
      </c>
      <c r="L50" s="2">
        <f t="shared" si="1"/>
        <v>2000</v>
      </c>
      <c r="M50" s="2" t="s">
        <v>1044</v>
      </c>
      <c r="N50" s="40" t="str">
        <f>_xlfn.XLOOKUP(F50,Terrain!D:D,Terrain!H:H,"")</f>
        <v>2563 - 2565</v>
      </c>
      <c r="O50" t="str">
        <f t="shared" si="2"/>
        <v>65-D04-R | 2819 | 253|0</v>
      </c>
    </row>
    <row r="51" spans="1:15" x14ac:dyDescent="0.3">
      <c r="A51" s="43">
        <v>46054</v>
      </c>
      <c r="B51" s="2" t="s">
        <v>7</v>
      </c>
      <c r="C51" s="2" t="s">
        <v>1254</v>
      </c>
      <c r="D51" s="2" t="s">
        <v>388</v>
      </c>
      <c r="E51" s="2" t="str">
        <f>_xlfn.XLOOKUP(F51,Terrain!D:D,Terrain!A:A,"")</f>
        <v>Lower</v>
      </c>
      <c r="F51" s="2" t="s">
        <v>1268</v>
      </c>
      <c r="G51" s="2" t="s">
        <v>1042</v>
      </c>
      <c r="H51" s="2">
        <f t="shared" si="0"/>
        <v>2565</v>
      </c>
      <c r="I51" s="2">
        <v>5374</v>
      </c>
      <c r="J51" s="2">
        <v>214.96</v>
      </c>
      <c r="K51" s="2">
        <v>215</v>
      </c>
      <c r="L51" s="2">
        <f t="shared" si="1"/>
        <v>2000</v>
      </c>
      <c r="M51" s="2" t="s">
        <v>1044</v>
      </c>
      <c r="N51" s="40" t="str">
        <f>_xlfn.XLOOKUP(F51,Terrain!D:D,Terrain!H:H,"")</f>
        <v>2563 - 2565</v>
      </c>
      <c r="O51" t="str">
        <f t="shared" si="2"/>
        <v>65-D05-R | 2687 | 249|0</v>
      </c>
    </row>
    <row r="52" spans="1:15" x14ac:dyDescent="0.3">
      <c r="A52" s="43">
        <v>46054</v>
      </c>
      <c r="B52" s="2" t="s">
        <v>7</v>
      </c>
      <c r="C52" s="2" t="s">
        <v>1254</v>
      </c>
      <c r="D52" s="2" t="s">
        <v>396</v>
      </c>
      <c r="E52" s="2" t="str">
        <f>_xlfn.XLOOKUP(F52,Terrain!D:D,Terrain!A:A,"")</f>
        <v>Lower</v>
      </c>
      <c r="F52" s="2" t="s">
        <v>1312</v>
      </c>
      <c r="G52" s="2" t="s">
        <v>872</v>
      </c>
      <c r="H52" s="2">
        <f t="shared" si="0"/>
        <v>2567</v>
      </c>
      <c r="I52" s="2">
        <v>2865</v>
      </c>
      <c r="J52" s="2">
        <v>114.6</v>
      </c>
      <c r="K52" s="2">
        <v>115</v>
      </c>
      <c r="L52" s="2">
        <f t="shared" si="1"/>
        <v>1000</v>
      </c>
      <c r="M52" s="2" t="s">
        <v>1085</v>
      </c>
      <c r="N52" s="40">
        <f>_xlfn.XLOOKUP(F52,Terrain!D:D,Terrain!H:H,"")</f>
        <v>2567</v>
      </c>
      <c r="O52" t="str">
        <f t="shared" si="2"/>
        <v>67-D06-R | 2865 | 350|0</v>
      </c>
    </row>
    <row r="53" spans="1:15" x14ac:dyDescent="0.3">
      <c r="A53" s="43">
        <v>46054</v>
      </c>
      <c r="B53" s="2" t="s">
        <v>7</v>
      </c>
      <c r="C53" s="2" t="s">
        <v>1254</v>
      </c>
      <c r="D53" s="2" t="s">
        <v>405</v>
      </c>
      <c r="E53" s="2" t="str">
        <f>_xlfn.XLOOKUP(F53,Terrain!D:D,Terrain!A:A,"")</f>
        <v>Lower</v>
      </c>
      <c r="F53" s="2" t="s">
        <v>1313</v>
      </c>
      <c r="G53" s="2" t="s">
        <v>1086</v>
      </c>
      <c r="H53" s="2">
        <f t="shared" si="0"/>
        <v>2556</v>
      </c>
      <c r="I53" s="2">
        <v>7862</v>
      </c>
      <c r="J53" s="2">
        <v>314.48</v>
      </c>
      <c r="K53" s="2">
        <v>314</v>
      </c>
      <c r="L53" s="2">
        <f t="shared" si="1"/>
        <v>2000</v>
      </c>
      <c r="M53" s="2" t="s">
        <v>1087</v>
      </c>
      <c r="N53" s="40" t="str">
        <f>_xlfn.XLOOKUP(F53,Terrain!D:D,Terrain!H:H,"")</f>
        <v>2555 - 2558</v>
      </c>
      <c r="O53" t="str">
        <f t="shared" si="2"/>
        <v>56-D07-R | 3931 | 163|0</v>
      </c>
    </row>
    <row r="54" spans="1:15" x14ac:dyDescent="0.3">
      <c r="A54" s="43">
        <v>46054</v>
      </c>
      <c r="B54" s="2" t="s">
        <v>7</v>
      </c>
      <c r="C54" s="2" t="s">
        <v>1254</v>
      </c>
      <c r="D54" s="2" t="s">
        <v>413</v>
      </c>
      <c r="E54" s="2" t="str">
        <f>_xlfn.XLOOKUP(F54,Terrain!D:D,Terrain!A:A,"")</f>
        <v>Lower</v>
      </c>
      <c r="F54" s="2" t="s">
        <v>1314</v>
      </c>
      <c r="G54" s="2" t="s">
        <v>1088</v>
      </c>
      <c r="H54" s="2">
        <f t="shared" si="0"/>
        <v>2563</v>
      </c>
      <c r="I54" s="2">
        <v>4730</v>
      </c>
      <c r="J54" s="2">
        <v>189.2</v>
      </c>
      <c r="K54" s="2">
        <v>189</v>
      </c>
      <c r="L54" s="2">
        <f t="shared" si="1"/>
        <v>2000</v>
      </c>
      <c r="M54" s="2" t="s">
        <v>1044</v>
      </c>
      <c r="N54" s="40" t="str">
        <f>_xlfn.XLOOKUP(F54,Terrain!D:D,Terrain!H:H,"")</f>
        <v>2563 - 2565</v>
      </c>
      <c r="O54" t="str">
        <f t="shared" si="2"/>
        <v>63-D08-R | 2365 | 255|0</v>
      </c>
    </row>
    <row r="55" spans="1:15" x14ac:dyDescent="0.3">
      <c r="A55" s="43">
        <v>46054</v>
      </c>
      <c r="B55" s="2" t="s">
        <v>7</v>
      </c>
      <c r="C55" s="2" t="s">
        <v>1254</v>
      </c>
      <c r="D55" s="2" t="s">
        <v>421</v>
      </c>
      <c r="E55" s="2" t="str">
        <f>_xlfn.XLOOKUP(F55,Terrain!D:D,Terrain!A:A,"")</f>
        <v>Lower</v>
      </c>
      <c r="F55" s="2" t="s">
        <v>1315</v>
      </c>
      <c r="G55" s="2" t="s">
        <v>873</v>
      </c>
      <c r="H55" s="2">
        <f t="shared" si="0"/>
        <v>2566</v>
      </c>
      <c r="I55" s="2">
        <v>2999</v>
      </c>
      <c r="J55" s="2">
        <v>119.96</v>
      </c>
      <c r="K55" s="2">
        <v>120</v>
      </c>
      <c r="L55" s="2">
        <f t="shared" si="1"/>
        <v>1000</v>
      </c>
      <c r="M55" s="2" t="s">
        <v>1089</v>
      </c>
      <c r="N55" s="40">
        <f>_xlfn.XLOOKUP(F55,Terrain!D:D,Terrain!H:H,"")</f>
        <v>2566</v>
      </c>
      <c r="O55" t="str">
        <f t="shared" si="2"/>
        <v>66-D09-R | 2999 | 318|0</v>
      </c>
    </row>
    <row r="56" spans="1:15" x14ac:dyDescent="0.3">
      <c r="A56" s="43">
        <v>46054</v>
      </c>
      <c r="B56" s="2" t="s">
        <v>7</v>
      </c>
      <c r="C56" s="2" t="s">
        <v>1254</v>
      </c>
      <c r="D56" s="2" t="s">
        <v>431</v>
      </c>
      <c r="E56" s="2" t="str">
        <f>_xlfn.XLOOKUP(F56,Terrain!D:D,Terrain!A:A,"")</f>
        <v>Lower</v>
      </c>
      <c r="F56" s="2" t="s">
        <v>1316</v>
      </c>
      <c r="G56" s="2" t="s">
        <v>874</v>
      </c>
      <c r="H56" s="2">
        <f t="shared" si="0"/>
        <v>2567</v>
      </c>
      <c r="I56" s="2">
        <v>2167</v>
      </c>
      <c r="J56" s="2">
        <v>86.68</v>
      </c>
      <c r="K56" s="2">
        <v>87</v>
      </c>
      <c r="L56" s="2">
        <f t="shared" si="1"/>
        <v>1000</v>
      </c>
      <c r="M56" s="2" t="s">
        <v>1090</v>
      </c>
      <c r="N56" s="40">
        <f>_xlfn.XLOOKUP(F56,Terrain!D:D,Terrain!H:H,"")</f>
        <v>2567</v>
      </c>
      <c r="O56" t="str">
        <f t="shared" si="2"/>
        <v>67-P01-R | 2167 | 351|0</v>
      </c>
    </row>
    <row r="57" spans="1:15" x14ac:dyDescent="0.3">
      <c r="A57" s="43">
        <v>46054</v>
      </c>
      <c r="B57" s="2" t="s">
        <v>7</v>
      </c>
      <c r="C57" s="2" t="s">
        <v>1254</v>
      </c>
      <c r="D57" s="2" t="s">
        <v>440</v>
      </c>
      <c r="E57" s="2" t="str">
        <f>_xlfn.XLOOKUP(F57,Terrain!D:D,Terrain!A:A,"")</f>
        <v>Lower</v>
      </c>
      <c r="F57" s="2" t="s">
        <v>1317</v>
      </c>
      <c r="G57" s="2" t="s">
        <v>875</v>
      </c>
      <c r="H57" s="2">
        <f t="shared" si="0"/>
        <v>2567</v>
      </c>
      <c r="I57" s="2">
        <v>2320</v>
      </c>
      <c r="J57" s="2">
        <v>92.8</v>
      </c>
      <c r="K57" s="2">
        <v>93</v>
      </c>
      <c r="L57" s="2">
        <f t="shared" si="1"/>
        <v>1000</v>
      </c>
      <c r="M57" s="2" t="s">
        <v>1090</v>
      </c>
      <c r="N57" s="40">
        <f>_xlfn.XLOOKUP(F57,Terrain!D:D,Terrain!H:H,"")</f>
        <v>2567</v>
      </c>
      <c r="O57" t="str">
        <f t="shared" si="2"/>
        <v>67-P02-R | 2320 | 352|0</v>
      </c>
    </row>
    <row r="58" spans="1:15" x14ac:dyDescent="0.3">
      <c r="A58" s="43">
        <v>46054</v>
      </c>
      <c r="B58" s="2" t="s">
        <v>7</v>
      </c>
      <c r="C58" s="2" t="s">
        <v>1254</v>
      </c>
      <c r="D58" s="2" t="s">
        <v>449</v>
      </c>
      <c r="E58" s="2" t="str">
        <f>_xlfn.XLOOKUP(F58,Terrain!D:D,Terrain!A:A,"")</f>
        <v>Lower</v>
      </c>
      <c r="F58" s="2" t="s">
        <v>1318</v>
      </c>
      <c r="G58" s="2" t="s">
        <v>876</v>
      </c>
      <c r="H58" s="2">
        <f t="shared" si="0"/>
        <v>2566</v>
      </c>
      <c r="I58" s="2">
        <v>2550</v>
      </c>
      <c r="J58" s="2">
        <v>102</v>
      </c>
      <c r="K58" s="2">
        <v>102</v>
      </c>
      <c r="L58" s="2">
        <f t="shared" si="1"/>
        <v>1000</v>
      </c>
      <c r="M58" s="2" t="s">
        <v>1091</v>
      </c>
      <c r="N58" s="40">
        <f>_xlfn.XLOOKUP(F58,Terrain!D:D,Terrain!H:H,"")</f>
        <v>2566</v>
      </c>
      <c r="O58" t="str">
        <f t="shared" si="2"/>
        <v>66-P03-R | 2550 | 315|0</v>
      </c>
    </row>
    <row r="59" spans="1:15" x14ac:dyDescent="0.3">
      <c r="A59" s="43">
        <v>46054</v>
      </c>
      <c r="B59" s="2" t="s">
        <v>7</v>
      </c>
      <c r="C59" s="2" t="s">
        <v>1254</v>
      </c>
      <c r="D59" s="2" t="s">
        <v>459</v>
      </c>
      <c r="E59" s="2" t="str">
        <f>_xlfn.XLOOKUP(F59,Terrain!D:D,Terrain!A:A,"")</f>
        <v>Lower</v>
      </c>
      <c r="F59" s="2" t="s">
        <v>1319</v>
      </c>
      <c r="G59" s="2" t="s">
        <v>877</v>
      </c>
      <c r="H59" s="2">
        <f t="shared" si="0"/>
        <v>2566</v>
      </c>
      <c r="I59" s="2">
        <v>2854</v>
      </c>
      <c r="J59" s="2">
        <v>114.16</v>
      </c>
      <c r="K59" s="2">
        <v>114</v>
      </c>
      <c r="L59" s="2">
        <f t="shared" si="1"/>
        <v>1000</v>
      </c>
      <c r="M59" s="2" t="s">
        <v>1091</v>
      </c>
      <c r="N59" s="40">
        <f>_xlfn.XLOOKUP(F59,Terrain!D:D,Terrain!H:H,"")</f>
        <v>2566</v>
      </c>
      <c r="O59" t="str">
        <f t="shared" si="2"/>
        <v>66-P04-R | 2854 | 319|0</v>
      </c>
    </row>
    <row r="60" spans="1:15" x14ac:dyDescent="0.3">
      <c r="A60" s="43">
        <v>46054</v>
      </c>
      <c r="B60" s="2" t="s">
        <v>7</v>
      </c>
      <c r="C60" s="2" t="s">
        <v>1254</v>
      </c>
      <c r="D60" s="2" t="s">
        <v>469</v>
      </c>
      <c r="E60" s="2" t="str">
        <f>_xlfn.XLOOKUP(F60,Terrain!D:D,Terrain!A:A,"")</f>
        <v>Lower</v>
      </c>
      <c r="F60" s="2" t="s">
        <v>1320</v>
      </c>
      <c r="G60" s="2" t="s">
        <v>878</v>
      </c>
      <c r="H60" s="2">
        <f t="shared" si="0"/>
        <v>2566</v>
      </c>
      <c r="I60" s="2">
        <v>3111</v>
      </c>
      <c r="J60" s="2">
        <v>124.44</v>
      </c>
      <c r="K60" s="2">
        <v>124</v>
      </c>
      <c r="L60" s="2">
        <f t="shared" si="1"/>
        <v>1000</v>
      </c>
      <c r="M60" s="2" t="s">
        <v>1091</v>
      </c>
      <c r="N60" s="40">
        <f>_xlfn.XLOOKUP(F60,Terrain!D:D,Terrain!H:H,"")</f>
        <v>2566</v>
      </c>
      <c r="O60" t="str">
        <f t="shared" si="2"/>
        <v>66-P05-R | 3111 | 317|0</v>
      </c>
    </row>
    <row r="61" spans="1:15" x14ac:dyDescent="0.3">
      <c r="A61" s="43">
        <v>46054</v>
      </c>
      <c r="B61" s="2" t="s">
        <v>7</v>
      </c>
      <c r="C61" s="2" t="s">
        <v>1254</v>
      </c>
      <c r="D61" s="2" t="s">
        <v>479</v>
      </c>
      <c r="E61" s="2" t="str">
        <f>_xlfn.XLOOKUP(F61,Terrain!D:D,Terrain!A:A,"")</f>
        <v>Lower</v>
      </c>
      <c r="F61" s="2" t="s">
        <v>1321</v>
      </c>
      <c r="G61" s="2" t="s">
        <v>879</v>
      </c>
      <c r="H61" s="2">
        <f t="shared" si="0"/>
        <v>2564</v>
      </c>
      <c r="I61" s="2">
        <v>5772</v>
      </c>
      <c r="J61" s="2">
        <v>230.88</v>
      </c>
      <c r="K61" s="2">
        <v>231</v>
      </c>
      <c r="L61" s="2">
        <f t="shared" si="1"/>
        <v>2000</v>
      </c>
      <c r="M61" s="2" t="s">
        <v>1092</v>
      </c>
      <c r="N61" s="40" t="str">
        <f>_xlfn.XLOOKUP(F61,Terrain!D:D,Terrain!H:H,"")</f>
        <v>2563 - 2565</v>
      </c>
      <c r="O61" t="str">
        <f t="shared" si="2"/>
        <v>64-P06-R | 2886 | 256|0</v>
      </c>
    </row>
    <row r="62" spans="1:15" x14ac:dyDescent="0.3">
      <c r="A62" s="43">
        <v>46054</v>
      </c>
      <c r="B62" s="2" t="s">
        <v>7</v>
      </c>
      <c r="C62" s="2" t="s">
        <v>1254</v>
      </c>
      <c r="D62" s="2" t="s">
        <v>487</v>
      </c>
      <c r="E62" s="2" t="str">
        <f>_xlfn.XLOOKUP(F62,Terrain!D:D,Terrain!A:A,"")</f>
        <v>Lower</v>
      </c>
      <c r="F62" s="2" t="s">
        <v>1322</v>
      </c>
      <c r="G62" s="2" t="s">
        <v>880</v>
      </c>
      <c r="H62" s="2">
        <f t="shared" si="0"/>
        <v>2551</v>
      </c>
      <c r="I62" s="2">
        <v>228</v>
      </c>
      <c r="J62" s="2">
        <v>9.1199999999999992</v>
      </c>
      <c r="K62" s="2">
        <v>9</v>
      </c>
      <c r="L62" s="2">
        <f t="shared" si="1"/>
        <v>1500</v>
      </c>
      <c r="M62" s="2" t="s">
        <v>1093</v>
      </c>
      <c r="N62" s="40" t="str">
        <f>_xlfn.XLOOKUP(F62,Terrain!D:D,Terrain!H:H,"")</f>
        <v>2549 - 2552</v>
      </c>
      <c r="O62" t="str">
        <f t="shared" si="2"/>
        <v>51-P07 | 152 | 76|0</v>
      </c>
    </row>
    <row r="63" spans="1:15" x14ac:dyDescent="0.3">
      <c r="A63" s="43">
        <v>46054</v>
      </c>
      <c r="B63" s="2" t="s">
        <v>7</v>
      </c>
      <c r="C63" s="2" t="s">
        <v>1254</v>
      </c>
      <c r="D63" s="2" t="s">
        <v>495</v>
      </c>
      <c r="E63" s="2" t="str">
        <f>_xlfn.XLOOKUP(F63,Terrain!D:D,Terrain!A:A,"")</f>
        <v>Lower</v>
      </c>
      <c r="F63" s="2" t="s">
        <v>1323</v>
      </c>
      <c r="G63" s="2" t="s">
        <v>881</v>
      </c>
      <c r="H63" s="2">
        <f t="shared" si="0"/>
        <v>2551</v>
      </c>
      <c r="I63" s="2">
        <v>601.5</v>
      </c>
      <c r="J63" s="2">
        <v>24.06</v>
      </c>
      <c r="K63" s="2">
        <v>24</v>
      </c>
      <c r="L63" s="2">
        <f t="shared" si="1"/>
        <v>1500</v>
      </c>
      <c r="M63" s="2" t="s">
        <v>1094</v>
      </c>
      <c r="N63" s="40" t="str">
        <f>_xlfn.XLOOKUP(F63,Terrain!D:D,Terrain!H:H,"")</f>
        <v>2549 - 2552</v>
      </c>
      <c r="O63" t="str">
        <f t="shared" si="2"/>
        <v>51-P07-R | 401 | 68|0</v>
      </c>
    </row>
    <row r="64" spans="1:15" x14ac:dyDescent="0.3">
      <c r="A64" s="43">
        <v>46054</v>
      </c>
      <c r="B64" s="2" t="s">
        <v>7</v>
      </c>
      <c r="C64" s="2" t="s">
        <v>1254</v>
      </c>
      <c r="D64" s="2" t="s">
        <v>503</v>
      </c>
      <c r="E64" s="2" t="str">
        <f>_xlfn.XLOOKUP(F64,Terrain!D:D,Terrain!A:A,"")</f>
        <v>Lower</v>
      </c>
      <c r="F64" s="2" t="s">
        <v>1324</v>
      </c>
      <c r="G64" s="2" t="s">
        <v>882</v>
      </c>
      <c r="H64" s="2">
        <f t="shared" si="0"/>
        <v>2564</v>
      </c>
      <c r="I64" s="2">
        <v>5158</v>
      </c>
      <c r="J64" s="2">
        <v>206.32</v>
      </c>
      <c r="K64" s="2">
        <v>206</v>
      </c>
      <c r="L64" s="2">
        <f t="shared" si="1"/>
        <v>2000</v>
      </c>
      <c r="M64" s="2" t="s">
        <v>1092</v>
      </c>
      <c r="N64" s="40" t="str">
        <f>_xlfn.XLOOKUP(F64,Terrain!D:D,Terrain!H:H,"")</f>
        <v>2563 - 2565</v>
      </c>
      <c r="O64" t="str">
        <f t="shared" si="2"/>
        <v>64-P07-R | 2579 | 246|0</v>
      </c>
    </row>
    <row r="65" spans="1:15" x14ac:dyDescent="0.3">
      <c r="A65" s="43">
        <v>46054</v>
      </c>
      <c r="B65" s="2" t="s">
        <v>7</v>
      </c>
      <c r="C65" s="2" t="s">
        <v>1254</v>
      </c>
      <c r="D65" s="2" t="s">
        <v>511</v>
      </c>
      <c r="E65" s="2" t="str">
        <f>_xlfn.XLOOKUP(F65,Terrain!D:D,Terrain!A:A,"")</f>
        <v>Lower</v>
      </c>
      <c r="F65" s="2" t="s">
        <v>1325</v>
      </c>
      <c r="G65" s="2" t="s">
        <v>883</v>
      </c>
      <c r="H65" s="2">
        <f t="shared" si="0"/>
        <v>2564</v>
      </c>
      <c r="I65" s="2">
        <v>6804</v>
      </c>
      <c r="J65" s="2">
        <v>272.16000000000003</v>
      </c>
      <c r="K65" s="2">
        <v>272</v>
      </c>
      <c r="L65" s="2">
        <f t="shared" si="1"/>
        <v>2000</v>
      </c>
      <c r="M65" s="2" t="s">
        <v>1092</v>
      </c>
      <c r="N65" s="40" t="str">
        <f>_xlfn.XLOOKUP(F65,Terrain!D:D,Terrain!H:H,"")</f>
        <v>2563 - 2565</v>
      </c>
      <c r="O65" t="str">
        <f t="shared" ref="O65:O128" si="3">F65 &amp; " | " &amp; G65 &amp; " | " &amp; D65</f>
        <v>64-P08-R | 3402 | 250|0</v>
      </c>
    </row>
    <row r="66" spans="1:15" x14ac:dyDescent="0.3">
      <c r="A66" s="43">
        <v>46054</v>
      </c>
      <c r="B66" s="2" t="s">
        <v>7</v>
      </c>
      <c r="C66" s="2" t="s">
        <v>1254</v>
      </c>
      <c r="D66" s="2" t="s">
        <v>519</v>
      </c>
      <c r="E66" s="2" t="str">
        <f>_xlfn.XLOOKUP(F66,Terrain!D:D,Terrain!A:A,"")</f>
        <v>Lower</v>
      </c>
      <c r="F66" s="2" t="s">
        <v>1326</v>
      </c>
      <c r="G66" s="2" t="s">
        <v>884</v>
      </c>
      <c r="H66" s="2">
        <f t="shared" ref="H66:H129" si="4">2500+VALUE(MID(F66,1,2))</f>
        <v>2564</v>
      </c>
      <c r="I66" s="2">
        <v>4384</v>
      </c>
      <c r="J66" s="2">
        <v>175.36</v>
      </c>
      <c r="K66" s="2">
        <v>175</v>
      </c>
      <c r="L66" s="2">
        <f t="shared" ref="L66:L129" si="5">I66*1000/G66</f>
        <v>2000</v>
      </c>
      <c r="M66" s="2" t="s">
        <v>1092</v>
      </c>
      <c r="N66" s="40" t="str">
        <f>_xlfn.XLOOKUP(F66,Terrain!D:D,Terrain!H:H,"")</f>
        <v>2563 - 2565</v>
      </c>
      <c r="O66" t="str">
        <f t="shared" si="3"/>
        <v>64-P09-R | 2192 | 258|0</v>
      </c>
    </row>
    <row r="67" spans="1:15" x14ac:dyDescent="0.3">
      <c r="A67" s="43">
        <v>46054</v>
      </c>
      <c r="B67" s="2" t="s">
        <v>7</v>
      </c>
      <c r="C67" s="2" t="s">
        <v>1254</v>
      </c>
      <c r="D67" s="2" t="s">
        <v>527</v>
      </c>
      <c r="E67" s="2" t="str">
        <f>_xlfn.XLOOKUP(F67,Terrain!D:D,Terrain!A:A,"")</f>
        <v>Lower</v>
      </c>
      <c r="F67" s="2" t="s">
        <v>1240</v>
      </c>
      <c r="G67" s="2" t="s">
        <v>885</v>
      </c>
      <c r="H67" s="2">
        <f t="shared" si="4"/>
        <v>2568</v>
      </c>
      <c r="I67" s="2">
        <v>946</v>
      </c>
      <c r="J67" s="2">
        <v>37.840000000000003</v>
      </c>
      <c r="K67" s="2">
        <v>38</v>
      </c>
      <c r="L67" s="2">
        <f t="shared" si="5"/>
        <v>500</v>
      </c>
      <c r="M67" s="2" t="s">
        <v>1095</v>
      </c>
      <c r="N67" s="40">
        <f>_xlfn.XLOOKUP(F67,Terrain!D:D,Terrain!H:H,"")</f>
        <v>2568</v>
      </c>
      <c r="O67" t="str">
        <f t="shared" si="3"/>
        <v>68-PU1 | 1892 | 376|0</v>
      </c>
    </row>
    <row r="68" spans="1:15" x14ac:dyDescent="0.3">
      <c r="A68" s="43">
        <v>46054</v>
      </c>
      <c r="B68" s="2" t="s">
        <v>7</v>
      </c>
      <c r="C68" s="2" t="s">
        <v>1254</v>
      </c>
      <c r="D68" s="2" t="s">
        <v>537</v>
      </c>
      <c r="E68" s="2" t="str">
        <f>_xlfn.XLOOKUP(F68,Terrain!D:D,Terrain!A:A,"")</f>
        <v>Lower</v>
      </c>
      <c r="F68" s="2" t="s">
        <v>1239</v>
      </c>
      <c r="G68" s="2" t="s">
        <v>886</v>
      </c>
      <c r="H68" s="2">
        <f t="shared" si="4"/>
        <v>2566</v>
      </c>
      <c r="I68" s="2">
        <v>1970</v>
      </c>
      <c r="J68" s="2">
        <v>78.8</v>
      </c>
      <c r="K68" s="2">
        <v>79</v>
      </c>
      <c r="L68" s="2">
        <f t="shared" si="5"/>
        <v>1000</v>
      </c>
      <c r="M68" s="2" t="s">
        <v>1096</v>
      </c>
      <c r="N68" s="40">
        <f>_xlfn.XLOOKUP(F68,Terrain!D:D,Terrain!H:H,"")</f>
        <v>2566</v>
      </c>
      <c r="O68" t="str">
        <f t="shared" si="3"/>
        <v>66-PU2 | 1970 | 316|0</v>
      </c>
    </row>
    <row r="69" spans="1:15" x14ac:dyDescent="0.3">
      <c r="A69" s="43">
        <v>46054</v>
      </c>
      <c r="B69" s="2" t="s">
        <v>7</v>
      </c>
      <c r="C69" s="2" t="s">
        <v>1254</v>
      </c>
      <c r="D69" s="2" t="s">
        <v>547</v>
      </c>
      <c r="E69" s="2" t="str">
        <f>_xlfn.XLOOKUP(F69,Terrain!D:D,Terrain!A:A,"")</f>
        <v>Lower</v>
      </c>
      <c r="F69" s="2" t="s">
        <v>1241</v>
      </c>
      <c r="G69" s="2" t="s">
        <v>887</v>
      </c>
      <c r="H69" s="2">
        <f t="shared" si="4"/>
        <v>2568</v>
      </c>
      <c r="I69" s="2">
        <v>843</v>
      </c>
      <c r="J69" s="2">
        <v>33.72</v>
      </c>
      <c r="K69" s="2">
        <v>34</v>
      </c>
      <c r="L69" s="2">
        <f t="shared" si="5"/>
        <v>500</v>
      </c>
      <c r="M69" s="2" t="s">
        <v>1095</v>
      </c>
      <c r="N69" s="40">
        <f>_xlfn.XLOOKUP(F69,Terrain!D:D,Terrain!H:H,"")</f>
        <v>2568</v>
      </c>
      <c r="O69" t="str">
        <f t="shared" si="3"/>
        <v>68-PU3 | 1686 | 374|0</v>
      </c>
    </row>
    <row r="70" spans="1:15" x14ac:dyDescent="0.3">
      <c r="A70" s="43">
        <v>46054</v>
      </c>
      <c r="B70" s="2" t="s">
        <v>7</v>
      </c>
      <c r="C70" s="2" t="s">
        <v>1254</v>
      </c>
      <c r="D70" s="2" t="s">
        <v>557</v>
      </c>
      <c r="E70" s="2" t="str">
        <f>_xlfn.XLOOKUP(F70,Terrain!D:D,Terrain!A:A,"")</f>
        <v>Lower</v>
      </c>
      <c r="F70" s="2" t="s">
        <v>1242</v>
      </c>
      <c r="G70" s="2" t="s">
        <v>888</v>
      </c>
      <c r="H70" s="2">
        <f t="shared" si="4"/>
        <v>2568</v>
      </c>
      <c r="I70" s="2">
        <v>690</v>
      </c>
      <c r="J70" s="2">
        <v>27.6</v>
      </c>
      <c r="K70" s="2">
        <v>28</v>
      </c>
      <c r="L70" s="2">
        <f t="shared" si="5"/>
        <v>500</v>
      </c>
      <c r="M70" s="2" t="s">
        <v>1095</v>
      </c>
      <c r="N70" s="40">
        <f>_xlfn.XLOOKUP(F70,Terrain!D:D,Terrain!H:H,"")</f>
        <v>2568</v>
      </c>
      <c r="O70" t="str">
        <f t="shared" si="3"/>
        <v>68-PU4 | 1380 | 375|0</v>
      </c>
    </row>
    <row r="71" spans="1:15" x14ac:dyDescent="0.3">
      <c r="A71" s="43">
        <v>46054</v>
      </c>
      <c r="B71" s="2" t="s">
        <v>7</v>
      </c>
      <c r="C71" s="2" t="s">
        <v>1254</v>
      </c>
      <c r="D71" s="2" t="s">
        <v>567</v>
      </c>
      <c r="E71" s="2" t="str">
        <f>_xlfn.XLOOKUP(F71,Terrain!D:D,Terrain!A:A,"")</f>
        <v>Lower</v>
      </c>
      <c r="F71" s="2" t="s">
        <v>1243</v>
      </c>
      <c r="G71" s="2" t="s">
        <v>889</v>
      </c>
      <c r="H71" s="2">
        <f t="shared" si="4"/>
        <v>2568</v>
      </c>
      <c r="I71" s="2">
        <v>375.5</v>
      </c>
      <c r="J71" s="2">
        <v>15.02</v>
      </c>
      <c r="K71" s="2">
        <v>15</v>
      </c>
      <c r="L71" s="2">
        <f t="shared" si="5"/>
        <v>500</v>
      </c>
      <c r="M71" s="2" t="s">
        <v>1097</v>
      </c>
      <c r="N71" s="40">
        <f>_xlfn.XLOOKUP(F71,Terrain!D:D,Terrain!H:H,"")</f>
        <v>2568</v>
      </c>
      <c r="O71" t="str">
        <f t="shared" si="3"/>
        <v>68-PU5 | 751 | 380|0</v>
      </c>
    </row>
    <row r="72" spans="1:15" x14ac:dyDescent="0.3">
      <c r="A72" s="43">
        <v>46054</v>
      </c>
      <c r="B72" s="2" t="s">
        <v>7</v>
      </c>
      <c r="C72" s="2" t="s">
        <v>1254</v>
      </c>
      <c r="D72" s="2" t="s">
        <v>577</v>
      </c>
      <c r="E72" s="2" t="str">
        <f>_xlfn.XLOOKUP(F72,Terrain!D:D,Terrain!A:A,"")</f>
        <v>Lower</v>
      </c>
      <c r="F72" s="2" t="s">
        <v>1327</v>
      </c>
      <c r="G72" s="2" t="s">
        <v>890</v>
      </c>
      <c r="H72" s="2">
        <f t="shared" si="4"/>
        <v>2568</v>
      </c>
      <c r="I72" s="2">
        <v>584</v>
      </c>
      <c r="J72" s="2">
        <v>23.36</v>
      </c>
      <c r="K72" s="2">
        <v>23</v>
      </c>
      <c r="L72" s="2">
        <f t="shared" si="5"/>
        <v>500</v>
      </c>
      <c r="M72" s="2" t="s">
        <v>1098</v>
      </c>
      <c r="N72" s="40">
        <f>_xlfn.XLOOKUP(F72,Terrain!D:D,Terrain!H:H,"")</f>
        <v>2568</v>
      </c>
      <c r="O72" t="str">
        <f t="shared" si="3"/>
        <v>68-PU5-R | 1168 | 378|0</v>
      </c>
    </row>
    <row r="73" spans="1:15" x14ac:dyDescent="0.3">
      <c r="A73" s="43">
        <v>46054</v>
      </c>
      <c r="B73" s="2" t="s">
        <v>7</v>
      </c>
      <c r="C73" s="2" t="s">
        <v>1254</v>
      </c>
      <c r="D73" s="2" t="s">
        <v>587</v>
      </c>
      <c r="E73" s="2" t="str">
        <f>_xlfn.XLOOKUP(F73,Terrain!D:D,Terrain!A:A,"")</f>
        <v>Lower</v>
      </c>
      <c r="F73" s="2" t="s">
        <v>1245</v>
      </c>
      <c r="G73" s="2" t="s">
        <v>1099</v>
      </c>
      <c r="H73" s="2">
        <f t="shared" si="4"/>
        <v>2568</v>
      </c>
      <c r="I73" s="2">
        <v>72.5</v>
      </c>
      <c r="J73" s="2">
        <v>2.9</v>
      </c>
      <c r="K73" s="2">
        <v>3</v>
      </c>
      <c r="L73" s="2">
        <f t="shared" si="5"/>
        <v>500</v>
      </c>
      <c r="M73" s="2" t="s">
        <v>1097</v>
      </c>
      <c r="N73" s="40">
        <f>_xlfn.XLOOKUP(F73,Terrain!D:D,Terrain!H:H,"")</f>
        <v>2568</v>
      </c>
      <c r="O73" t="str">
        <f t="shared" si="3"/>
        <v>68-PU6 | 145 | 379|0</v>
      </c>
    </row>
    <row r="74" spans="1:15" x14ac:dyDescent="0.3">
      <c r="A74" s="43">
        <v>46054</v>
      </c>
      <c r="B74" s="2" t="s">
        <v>7</v>
      </c>
      <c r="C74" s="2" t="s">
        <v>1254</v>
      </c>
      <c r="D74" s="2" t="s">
        <v>597</v>
      </c>
      <c r="E74" s="2" t="str">
        <f>_xlfn.XLOOKUP(F74,Terrain!D:D,Terrain!A:A,"")</f>
        <v>Lower</v>
      </c>
      <c r="F74" s="2" t="s">
        <v>1328</v>
      </c>
      <c r="G74" s="2" t="s">
        <v>1100</v>
      </c>
      <c r="H74" s="2">
        <f t="shared" si="4"/>
        <v>2568</v>
      </c>
      <c r="I74" s="2">
        <v>773.5</v>
      </c>
      <c r="J74" s="2">
        <v>30.94</v>
      </c>
      <c r="K74" s="2">
        <v>31</v>
      </c>
      <c r="L74" s="2">
        <f t="shared" si="5"/>
        <v>500</v>
      </c>
      <c r="M74" s="2" t="s">
        <v>1098</v>
      </c>
      <c r="N74" s="40">
        <f>_xlfn.XLOOKUP(F74,Terrain!D:D,Terrain!H:H,"")</f>
        <v>2568</v>
      </c>
      <c r="O74" t="str">
        <f t="shared" si="3"/>
        <v>68-PU6-R | 1547 | 377|0</v>
      </c>
    </row>
    <row r="75" spans="1:15" x14ac:dyDescent="0.3">
      <c r="A75" s="43">
        <v>46054</v>
      </c>
      <c r="B75" s="2" t="s">
        <v>7</v>
      </c>
      <c r="C75" s="2" t="s">
        <v>1254</v>
      </c>
      <c r="D75" s="2" t="s">
        <v>607</v>
      </c>
      <c r="E75" s="2" t="str">
        <f>_xlfn.XLOOKUP(F75,Terrain!D:D,Terrain!A:A,"")</f>
        <v>Upper</v>
      </c>
      <c r="F75" s="2" t="s">
        <v>1329</v>
      </c>
      <c r="G75" s="2" t="s">
        <v>1101</v>
      </c>
      <c r="H75" s="2">
        <f t="shared" si="4"/>
        <v>2568</v>
      </c>
      <c r="I75" s="2">
        <v>1585.5</v>
      </c>
      <c r="J75" s="2">
        <v>63.42</v>
      </c>
      <c r="K75" s="2">
        <v>63</v>
      </c>
      <c r="L75" s="2">
        <f t="shared" si="5"/>
        <v>500</v>
      </c>
      <c r="M75" s="2" t="s">
        <v>1102</v>
      </c>
      <c r="N75" s="40">
        <f>_xlfn.XLOOKUP(F75,Terrain!D:D,Terrain!H:H,"")</f>
        <v>2568</v>
      </c>
      <c r="O75" t="str">
        <f t="shared" si="3"/>
        <v>68-T01 | 3171 | 657|0</v>
      </c>
    </row>
    <row r="76" spans="1:15" x14ac:dyDescent="0.3">
      <c r="A76" s="43">
        <v>46054</v>
      </c>
      <c r="B76" s="2" t="s">
        <v>7</v>
      </c>
      <c r="C76" s="2" t="s">
        <v>1254</v>
      </c>
      <c r="D76" s="2" t="s">
        <v>617</v>
      </c>
      <c r="E76" s="2" t="str">
        <f>_xlfn.XLOOKUP(F76,Terrain!D:D,Terrain!A:A,"")</f>
        <v>Upper</v>
      </c>
      <c r="F76" s="2" t="s">
        <v>1330</v>
      </c>
      <c r="G76" s="2" t="s">
        <v>906</v>
      </c>
      <c r="H76" s="2">
        <f t="shared" si="4"/>
        <v>2568</v>
      </c>
      <c r="I76" s="2">
        <v>1475</v>
      </c>
      <c r="J76" s="2">
        <v>59</v>
      </c>
      <c r="K76" s="2">
        <v>59</v>
      </c>
      <c r="L76" s="2">
        <f t="shared" si="5"/>
        <v>500</v>
      </c>
      <c r="M76" s="2" t="s">
        <v>1102</v>
      </c>
      <c r="N76" s="40">
        <f>_xlfn.XLOOKUP(F76,Terrain!D:D,Terrain!H:H,"")</f>
        <v>2568</v>
      </c>
      <c r="O76" t="str">
        <f t="shared" si="3"/>
        <v>68-T02 | 2950 | 656|0</v>
      </c>
    </row>
    <row r="77" spans="1:15" x14ac:dyDescent="0.3">
      <c r="A77" s="43">
        <v>46054</v>
      </c>
      <c r="B77" s="2" t="s">
        <v>7</v>
      </c>
      <c r="C77" s="2" t="s">
        <v>1254</v>
      </c>
      <c r="D77" s="2" t="s">
        <v>627</v>
      </c>
      <c r="E77" s="2" t="str">
        <f>_xlfn.XLOOKUP(F77,Terrain!D:D,Terrain!A:A,"")</f>
        <v>Upper</v>
      </c>
      <c r="F77" s="2" t="s">
        <v>1331</v>
      </c>
      <c r="G77" s="2" t="s">
        <v>907</v>
      </c>
      <c r="H77" s="2">
        <f t="shared" si="4"/>
        <v>2566</v>
      </c>
      <c r="I77" s="2">
        <v>2449</v>
      </c>
      <c r="J77" s="2">
        <v>97.96</v>
      </c>
      <c r="K77" s="2">
        <v>98</v>
      </c>
      <c r="L77" s="2">
        <f t="shared" si="5"/>
        <v>1000</v>
      </c>
      <c r="M77" s="2" t="s">
        <v>1103</v>
      </c>
      <c r="N77" s="40">
        <f>_xlfn.XLOOKUP(F77,Terrain!D:D,Terrain!H:H,"")</f>
        <v>2566</v>
      </c>
      <c r="O77" t="str">
        <f t="shared" si="3"/>
        <v>66-T03 | 2449 | 588|0</v>
      </c>
    </row>
    <row r="78" spans="1:15" x14ac:dyDescent="0.3">
      <c r="A78" s="43">
        <v>46054</v>
      </c>
      <c r="B78" s="2" t="s">
        <v>7</v>
      </c>
      <c r="C78" s="2" t="s">
        <v>1254</v>
      </c>
      <c r="D78" s="2" t="s">
        <v>637</v>
      </c>
      <c r="E78" s="2" t="str">
        <f>_xlfn.XLOOKUP(F78,Terrain!D:D,Terrain!A:A,"")</f>
        <v>Upper</v>
      </c>
      <c r="F78" s="2" t="s">
        <v>1332</v>
      </c>
      <c r="G78" s="2" t="s">
        <v>908</v>
      </c>
      <c r="H78" s="2">
        <f t="shared" si="4"/>
        <v>2566</v>
      </c>
      <c r="I78" s="2">
        <v>2014</v>
      </c>
      <c r="J78" s="2">
        <v>80.56</v>
      </c>
      <c r="K78" s="2">
        <v>81</v>
      </c>
      <c r="L78" s="2">
        <f t="shared" si="5"/>
        <v>1000</v>
      </c>
      <c r="M78" s="2" t="s">
        <v>1103</v>
      </c>
      <c r="N78" s="40">
        <f>_xlfn.XLOOKUP(F78,Terrain!D:D,Terrain!H:H,"")</f>
        <v>2566</v>
      </c>
      <c r="O78" t="str">
        <f t="shared" si="3"/>
        <v>66-T04 | 2014 | 591|0</v>
      </c>
    </row>
    <row r="79" spans="1:15" x14ac:dyDescent="0.3">
      <c r="A79" s="43">
        <v>46054</v>
      </c>
      <c r="B79" s="2" t="s">
        <v>7</v>
      </c>
      <c r="C79" s="2" t="s">
        <v>1254</v>
      </c>
      <c r="D79" s="2" t="s">
        <v>647</v>
      </c>
      <c r="E79" s="2" t="str">
        <f>_xlfn.XLOOKUP(F79,Terrain!D:D,Terrain!A:A,"")</f>
        <v>Upper</v>
      </c>
      <c r="F79" s="2" t="s">
        <v>1333</v>
      </c>
      <c r="G79" s="2" t="s">
        <v>909</v>
      </c>
      <c r="H79" s="2">
        <f t="shared" si="4"/>
        <v>2563</v>
      </c>
      <c r="I79" s="2">
        <v>6074</v>
      </c>
      <c r="J79" s="2">
        <v>242.96</v>
      </c>
      <c r="K79" s="2">
        <v>243</v>
      </c>
      <c r="L79" s="2">
        <f t="shared" si="5"/>
        <v>2000</v>
      </c>
      <c r="M79" s="2" t="s">
        <v>1104</v>
      </c>
      <c r="N79" s="40" t="str">
        <f>_xlfn.XLOOKUP(F79,Terrain!D:D,Terrain!H:H,"")</f>
        <v>2563 - 2565</v>
      </c>
      <c r="O79" t="str">
        <f t="shared" si="3"/>
        <v>63-T05-R | 3037 | 548|0</v>
      </c>
    </row>
    <row r="80" spans="1:15" x14ac:dyDescent="0.3">
      <c r="A80" s="43">
        <v>46054</v>
      </c>
      <c r="B80" s="2" t="s">
        <v>7</v>
      </c>
      <c r="C80" s="2" t="s">
        <v>1254</v>
      </c>
      <c r="D80" s="2" t="s">
        <v>655</v>
      </c>
      <c r="E80" s="2" t="str">
        <f>_xlfn.XLOOKUP(F80,Terrain!D:D,Terrain!A:A,"")</f>
        <v>Upper</v>
      </c>
      <c r="F80" s="2" t="s">
        <v>1334</v>
      </c>
      <c r="G80" s="2" t="s">
        <v>910</v>
      </c>
      <c r="H80" s="2">
        <f t="shared" si="4"/>
        <v>2566</v>
      </c>
      <c r="I80" s="2">
        <v>2898</v>
      </c>
      <c r="J80" s="2">
        <v>115.92</v>
      </c>
      <c r="K80" s="2">
        <v>116</v>
      </c>
      <c r="L80" s="2">
        <f t="shared" si="5"/>
        <v>1000</v>
      </c>
      <c r="M80" s="2" t="s">
        <v>1103</v>
      </c>
      <c r="N80" s="40">
        <f>_xlfn.XLOOKUP(F80,Terrain!D:D,Terrain!H:H,"")</f>
        <v>2566</v>
      </c>
      <c r="O80" t="str">
        <f t="shared" si="3"/>
        <v>66-T06 | 2898 | 589|0</v>
      </c>
    </row>
    <row r="81" spans="1:15" x14ac:dyDescent="0.3">
      <c r="A81" s="43">
        <v>46054</v>
      </c>
      <c r="B81" s="2" t="s">
        <v>7</v>
      </c>
      <c r="C81" s="2" t="s">
        <v>1254</v>
      </c>
      <c r="D81" s="2" t="s">
        <v>665</v>
      </c>
      <c r="E81" s="2" t="str">
        <f>_xlfn.XLOOKUP(F81,Terrain!D:D,Terrain!A:A,"")</f>
        <v>Upper</v>
      </c>
      <c r="F81" s="2" t="s">
        <v>1335</v>
      </c>
      <c r="G81" s="2" t="s">
        <v>911</v>
      </c>
      <c r="H81" s="2">
        <f t="shared" si="4"/>
        <v>2566</v>
      </c>
      <c r="I81" s="2">
        <v>2364</v>
      </c>
      <c r="J81" s="2">
        <v>94.56</v>
      </c>
      <c r="K81" s="2">
        <v>95</v>
      </c>
      <c r="L81" s="2">
        <f t="shared" si="5"/>
        <v>1000</v>
      </c>
      <c r="M81" s="2" t="s">
        <v>1103</v>
      </c>
      <c r="N81" s="40">
        <f>_xlfn.XLOOKUP(F81,Terrain!D:D,Terrain!H:H,"")</f>
        <v>2566</v>
      </c>
      <c r="O81" t="str">
        <f t="shared" si="3"/>
        <v>66-T07 | 2364 | 590|0</v>
      </c>
    </row>
    <row r="82" spans="1:15" x14ac:dyDescent="0.3">
      <c r="A82" s="43">
        <v>46054</v>
      </c>
      <c r="B82" s="2" t="s">
        <v>7</v>
      </c>
      <c r="C82" s="2" t="s">
        <v>1254</v>
      </c>
      <c r="D82" s="2" t="s">
        <v>675</v>
      </c>
      <c r="E82" s="2" t="str">
        <f>_xlfn.XLOOKUP(F82,Terrain!D:D,Terrain!A:A,"")</f>
        <v>Upper</v>
      </c>
      <c r="F82" s="2" t="s">
        <v>1336</v>
      </c>
      <c r="G82" s="2" t="s">
        <v>912</v>
      </c>
      <c r="H82" s="2">
        <f t="shared" si="4"/>
        <v>2556</v>
      </c>
      <c r="I82" s="2">
        <v>426</v>
      </c>
      <c r="J82" s="2">
        <v>17.04</v>
      </c>
      <c r="K82" s="2">
        <v>17</v>
      </c>
      <c r="L82" s="2">
        <f t="shared" si="5"/>
        <v>2000</v>
      </c>
      <c r="M82" s="2" t="s">
        <v>1105</v>
      </c>
      <c r="N82" s="40" t="str">
        <f>_xlfn.XLOOKUP(F82,Terrain!D:D,Terrain!H:H,"")</f>
        <v>2555 - 2558</v>
      </c>
      <c r="O82" t="str">
        <f t="shared" si="3"/>
        <v>56-T08 | 213 | 470|0</v>
      </c>
    </row>
    <row r="83" spans="1:15" x14ac:dyDescent="0.3">
      <c r="A83" s="43">
        <v>46054</v>
      </c>
      <c r="B83" s="2" t="s">
        <v>7</v>
      </c>
      <c r="C83" s="2" t="s">
        <v>1254</v>
      </c>
      <c r="D83" s="2" t="s">
        <v>683</v>
      </c>
      <c r="E83" s="2" t="str">
        <f>_xlfn.XLOOKUP(F83,Terrain!D:D,Terrain!A:A,"")</f>
        <v>Upper</v>
      </c>
      <c r="F83" s="2" t="s">
        <v>1337</v>
      </c>
      <c r="G83" s="2" t="s">
        <v>913</v>
      </c>
      <c r="H83" s="2">
        <f t="shared" si="4"/>
        <v>2556</v>
      </c>
      <c r="I83" s="2">
        <v>5632</v>
      </c>
      <c r="J83" s="2">
        <v>225.28</v>
      </c>
      <c r="K83" s="2">
        <v>225</v>
      </c>
      <c r="L83" s="2">
        <f t="shared" si="5"/>
        <v>2000</v>
      </c>
      <c r="M83" s="2" t="s">
        <v>1106</v>
      </c>
      <c r="N83" s="40" t="str">
        <f>_xlfn.XLOOKUP(F83,Terrain!D:D,Terrain!H:H,"")</f>
        <v>2555 - 2558</v>
      </c>
      <c r="O83" t="str">
        <f t="shared" si="3"/>
        <v>56-T08-R | 2816 | 468|0</v>
      </c>
    </row>
    <row r="84" spans="1:15" x14ac:dyDescent="0.3">
      <c r="A84" s="43">
        <v>46054</v>
      </c>
      <c r="B84" s="2" t="s">
        <v>7</v>
      </c>
      <c r="C84" s="2" t="s">
        <v>1254</v>
      </c>
      <c r="D84" s="2" t="s">
        <v>691</v>
      </c>
      <c r="E84" s="2" t="str">
        <f>_xlfn.XLOOKUP(F84,Terrain!D:D,Terrain!A:A,"")</f>
        <v>Upper</v>
      </c>
      <c r="F84" s="2" t="s">
        <v>1338</v>
      </c>
      <c r="G84" s="2" t="s">
        <v>914</v>
      </c>
      <c r="H84" s="2">
        <f t="shared" si="4"/>
        <v>2558</v>
      </c>
      <c r="I84" s="2">
        <v>5868</v>
      </c>
      <c r="J84" s="2">
        <v>234.72</v>
      </c>
      <c r="K84" s="2">
        <v>235</v>
      </c>
      <c r="L84" s="2">
        <f t="shared" si="5"/>
        <v>2000</v>
      </c>
      <c r="M84" s="2" t="s">
        <v>1106</v>
      </c>
      <c r="N84" s="40" t="str">
        <f>_xlfn.XLOOKUP(F84,Terrain!D:D,Terrain!H:H,"")</f>
        <v>2555 - 2558</v>
      </c>
      <c r="O84" t="str">
        <f t="shared" si="3"/>
        <v>58-T09-R | 2934 | 475|0</v>
      </c>
    </row>
    <row r="85" spans="1:15" x14ac:dyDescent="0.3">
      <c r="A85" s="43">
        <v>46054</v>
      </c>
      <c r="B85" s="2" t="s">
        <v>7</v>
      </c>
      <c r="C85" s="2" t="s">
        <v>1254</v>
      </c>
      <c r="D85" s="2" t="s">
        <v>699</v>
      </c>
      <c r="E85" s="2" t="str">
        <f>_xlfn.XLOOKUP(F85,Terrain!D:D,Terrain!A:A,"")</f>
        <v>Upper</v>
      </c>
      <c r="F85" s="2" t="s">
        <v>1339</v>
      </c>
      <c r="G85" s="2" t="s">
        <v>915</v>
      </c>
      <c r="H85" s="2">
        <f t="shared" si="4"/>
        <v>2550</v>
      </c>
      <c r="I85" s="2">
        <v>4308</v>
      </c>
      <c r="J85" s="2">
        <v>172.32</v>
      </c>
      <c r="K85" s="2">
        <v>172</v>
      </c>
      <c r="L85" s="2">
        <f t="shared" si="5"/>
        <v>1500</v>
      </c>
      <c r="M85" s="2" t="s">
        <v>1107</v>
      </c>
      <c r="N85" s="40" t="str">
        <f>_xlfn.XLOOKUP(F85,Terrain!D:D,Terrain!H:H,"")</f>
        <v>2549 - 2552</v>
      </c>
      <c r="O85" t="str">
        <f t="shared" si="3"/>
        <v>50-T10-R | 2872 | 424|0</v>
      </c>
    </row>
    <row r="86" spans="1:15" x14ac:dyDescent="0.3">
      <c r="A86" s="43">
        <v>46054</v>
      </c>
      <c r="B86" s="2" t="s">
        <v>7</v>
      </c>
      <c r="C86" s="2" t="s">
        <v>1254</v>
      </c>
      <c r="D86" s="2" t="s">
        <v>707</v>
      </c>
      <c r="E86" s="2" t="str">
        <f>_xlfn.XLOOKUP(F86,Terrain!D:D,Terrain!A:A,"")</f>
        <v>Upper</v>
      </c>
      <c r="F86" s="2" t="s">
        <v>1173</v>
      </c>
      <c r="G86" s="2" t="s">
        <v>916</v>
      </c>
      <c r="H86" s="2">
        <f t="shared" si="4"/>
        <v>2567</v>
      </c>
      <c r="I86" s="2">
        <v>61</v>
      </c>
      <c r="J86" s="2">
        <v>2.44</v>
      </c>
      <c r="K86" s="2">
        <v>2</v>
      </c>
      <c r="L86" s="2">
        <f t="shared" si="5"/>
        <v>1000</v>
      </c>
      <c r="M86" s="2" t="s">
        <v>1108</v>
      </c>
      <c r="N86" s="40">
        <f>_xlfn.XLOOKUP(F86,Terrain!D:D,Terrain!H:H,"")</f>
        <v>2567</v>
      </c>
      <c r="O86" t="str">
        <f t="shared" si="3"/>
        <v>67-T10 | 61 | 618|0</v>
      </c>
    </row>
    <row r="87" spans="1:15" x14ac:dyDescent="0.3">
      <c r="A87" s="43">
        <v>46054</v>
      </c>
      <c r="B87" s="2" t="s">
        <v>7</v>
      </c>
      <c r="C87" s="2" t="s">
        <v>1254</v>
      </c>
      <c r="D87" s="2" t="s">
        <v>716</v>
      </c>
      <c r="E87" s="2" t="str">
        <f>_xlfn.XLOOKUP(F87,Terrain!D:D,Terrain!A:A,"")</f>
        <v>Upper</v>
      </c>
      <c r="F87" s="2" t="s">
        <v>1340</v>
      </c>
      <c r="G87" s="2" t="s">
        <v>917</v>
      </c>
      <c r="H87" s="2">
        <f t="shared" si="4"/>
        <v>2558</v>
      </c>
      <c r="I87" s="2">
        <v>5806</v>
      </c>
      <c r="J87" s="2">
        <v>232.24</v>
      </c>
      <c r="K87" s="2">
        <v>232</v>
      </c>
      <c r="L87" s="2">
        <f t="shared" si="5"/>
        <v>2000</v>
      </c>
      <c r="M87" s="2" t="s">
        <v>1106</v>
      </c>
      <c r="N87" s="40" t="str">
        <f>_xlfn.XLOOKUP(F87,Terrain!D:D,Terrain!H:H,"")</f>
        <v>2555 - 2558</v>
      </c>
      <c r="O87" t="str">
        <f t="shared" si="3"/>
        <v>58-T11-R | 2903 | 474|0</v>
      </c>
    </row>
    <row r="88" spans="1:15" x14ac:dyDescent="0.3">
      <c r="A88" s="43">
        <v>46054</v>
      </c>
      <c r="B88" s="2" t="s">
        <v>7</v>
      </c>
      <c r="C88" s="2" t="s">
        <v>1254</v>
      </c>
      <c r="D88" s="2" t="s">
        <v>724</v>
      </c>
      <c r="E88" s="2" t="str">
        <f>_xlfn.XLOOKUP(F88,Terrain!D:D,Terrain!A:A,"")</f>
        <v>Upper</v>
      </c>
      <c r="F88" s="2" t="s">
        <v>1341</v>
      </c>
      <c r="G88" s="2" t="s">
        <v>918</v>
      </c>
      <c r="H88" s="2">
        <f t="shared" si="4"/>
        <v>2550</v>
      </c>
      <c r="I88" s="2">
        <v>4545</v>
      </c>
      <c r="J88" s="2">
        <v>181.8</v>
      </c>
      <c r="K88" s="2">
        <v>182</v>
      </c>
      <c r="L88" s="2">
        <f t="shared" si="5"/>
        <v>1500</v>
      </c>
      <c r="M88" s="2" t="s">
        <v>1107</v>
      </c>
      <c r="N88" s="40" t="str">
        <f>_xlfn.XLOOKUP(F88,Terrain!D:D,Terrain!H:H,"")</f>
        <v>2549 - 2552</v>
      </c>
      <c r="O88" t="str">
        <f t="shared" si="3"/>
        <v>50-T12-R | 3030 | 431|0</v>
      </c>
    </row>
    <row r="89" spans="1:15" x14ac:dyDescent="0.3">
      <c r="A89" s="43">
        <v>46054</v>
      </c>
      <c r="B89" s="2" t="s">
        <v>7</v>
      </c>
      <c r="C89" s="2" t="s">
        <v>1254</v>
      </c>
      <c r="D89" s="2" t="s">
        <v>732</v>
      </c>
      <c r="E89" s="2" t="str">
        <f>_xlfn.XLOOKUP(F89,Terrain!D:D,Terrain!A:A,"")</f>
        <v>Upper</v>
      </c>
      <c r="F89" s="2" t="s">
        <v>1342</v>
      </c>
      <c r="G89" s="2" t="s">
        <v>919</v>
      </c>
      <c r="H89" s="2">
        <f t="shared" si="4"/>
        <v>2558</v>
      </c>
      <c r="I89" s="2">
        <v>5728</v>
      </c>
      <c r="J89" s="2">
        <v>229.12</v>
      </c>
      <c r="K89" s="2">
        <v>229</v>
      </c>
      <c r="L89" s="2">
        <f t="shared" si="5"/>
        <v>2000</v>
      </c>
      <c r="M89" s="2" t="s">
        <v>1106</v>
      </c>
      <c r="N89" s="40" t="str">
        <f>_xlfn.XLOOKUP(F89,Terrain!D:D,Terrain!H:H,"")</f>
        <v>2555 - 2558</v>
      </c>
      <c r="O89" t="str">
        <f t="shared" si="3"/>
        <v>58-T13-R | 2864 | 479|0</v>
      </c>
    </row>
    <row r="90" spans="1:15" x14ac:dyDescent="0.3">
      <c r="A90" s="43">
        <v>46054</v>
      </c>
      <c r="B90" s="2" t="s">
        <v>7</v>
      </c>
      <c r="C90" s="2" t="s">
        <v>1254</v>
      </c>
      <c r="D90" s="2" t="s">
        <v>740</v>
      </c>
      <c r="E90" s="2" t="str">
        <f>_xlfn.XLOOKUP(F90,Terrain!D:D,Terrain!A:A,"")</f>
        <v>Upper</v>
      </c>
      <c r="F90" s="2" t="s">
        <v>1343</v>
      </c>
      <c r="G90" s="2" t="s">
        <v>920</v>
      </c>
      <c r="H90" s="2">
        <f t="shared" si="4"/>
        <v>2549</v>
      </c>
      <c r="I90" s="2">
        <v>168</v>
      </c>
      <c r="J90" s="2">
        <v>6.72</v>
      </c>
      <c r="K90" s="2">
        <v>7</v>
      </c>
      <c r="L90" s="2">
        <f t="shared" si="5"/>
        <v>1500</v>
      </c>
      <c r="M90" s="2" t="s">
        <v>1107</v>
      </c>
      <c r="N90" s="40" t="str">
        <f>_xlfn.XLOOKUP(F90,Terrain!D:D,Terrain!H:H,"")</f>
        <v>2549 - 2552</v>
      </c>
      <c r="O90" t="str">
        <f t="shared" si="3"/>
        <v>49-T16-R | 112 | 427|0</v>
      </c>
    </row>
    <row r="91" spans="1:15" x14ac:dyDescent="0.3">
      <c r="A91" s="43">
        <v>46054</v>
      </c>
      <c r="B91" s="2" t="s">
        <v>7</v>
      </c>
      <c r="C91" s="2" t="s">
        <v>1254</v>
      </c>
      <c r="D91" s="2" t="s">
        <v>748</v>
      </c>
      <c r="E91" s="2" t="str">
        <f>_xlfn.XLOOKUP(F91,Terrain!D:D,Terrain!A:A,"")</f>
        <v>Upper</v>
      </c>
      <c r="F91" s="2" t="s">
        <v>1344</v>
      </c>
      <c r="G91" s="2" t="s">
        <v>921</v>
      </c>
      <c r="H91" s="2">
        <f t="shared" si="4"/>
        <v>2558</v>
      </c>
      <c r="I91" s="2">
        <v>5650</v>
      </c>
      <c r="J91" s="2">
        <v>226</v>
      </c>
      <c r="K91" s="2">
        <v>226</v>
      </c>
      <c r="L91" s="2">
        <f t="shared" si="5"/>
        <v>2000</v>
      </c>
      <c r="M91" s="2" t="s">
        <v>1106</v>
      </c>
      <c r="N91" s="40" t="str">
        <f>_xlfn.XLOOKUP(F91,Terrain!D:D,Terrain!H:H,"")</f>
        <v>2555 - 2558</v>
      </c>
      <c r="O91" t="str">
        <f t="shared" si="3"/>
        <v>58-T17-R | 2825 | 482|0</v>
      </c>
    </row>
    <row r="92" spans="1:15" x14ac:dyDescent="0.3">
      <c r="A92" s="43">
        <v>46054</v>
      </c>
      <c r="B92" s="2" t="s">
        <v>7</v>
      </c>
      <c r="C92" s="2" t="s">
        <v>1254</v>
      </c>
      <c r="D92" s="2" t="s">
        <v>756</v>
      </c>
      <c r="E92" s="2" t="str">
        <f>_xlfn.XLOOKUP(F92,Terrain!D:D,Terrain!A:A,"")</f>
        <v>Upper</v>
      </c>
      <c r="F92" s="2" t="s">
        <v>1345</v>
      </c>
      <c r="G92" s="2" t="s">
        <v>922</v>
      </c>
      <c r="H92" s="2">
        <f t="shared" si="4"/>
        <v>2558</v>
      </c>
      <c r="I92" s="2">
        <v>5686</v>
      </c>
      <c r="J92" s="2">
        <v>227.44</v>
      </c>
      <c r="K92" s="2">
        <v>227</v>
      </c>
      <c r="L92" s="2">
        <f t="shared" si="5"/>
        <v>2000</v>
      </c>
      <c r="M92" s="2" t="s">
        <v>1106</v>
      </c>
      <c r="N92" s="40" t="str">
        <f>_xlfn.XLOOKUP(F92,Terrain!D:D,Terrain!H:H,"")</f>
        <v>2555 - 2558</v>
      </c>
      <c r="O92" t="str">
        <f t="shared" si="3"/>
        <v>58-T18-R | 2843 | 473|0</v>
      </c>
    </row>
    <row r="93" spans="1:15" x14ac:dyDescent="0.3">
      <c r="A93" s="43">
        <v>46054</v>
      </c>
      <c r="B93" s="2" t="s">
        <v>7</v>
      </c>
      <c r="C93" s="2" t="s">
        <v>1254</v>
      </c>
      <c r="D93" s="2" t="s">
        <v>764</v>
      </c>
      <c r="E93" s="2" t="str">
        <f>_xlfn.XLOOKUP(F93,Terrain!D:D,Terrain!A:A,"")</f>
        <v>Upper</v>
      </c>
      <c r="F93" s="2" t="s">
        <v>1174</v>
      </c>
      <c r="G93" s="2" t="s">
        <v>923</v>
      </c>
      <c r="H93" s="2">
        <f t="shared" si="4"/>
        <v>2567</v>
      </c>
      <c r="I93" s="2">
        <v>171</v>
      </c>
      <c r="J93" s="2">
        <v>6.84</v>
      </c>
      <c r="K93" s="2">
        <v>7</v>
      </c>
      <c r="L93" s="2">
        <f t="shared" si="5"/>
        <v>1000</v>
      </c>
      <c r="M93" s="2" t="s">
        <v>1108</v>
      </c>
      <c r="N93" s="40">
        <f>_xlfn.XLOOKUP(F93,Terrain!D:D,Terrain!H:H,"")</f>
        <v>2567</v>
      </c>
      <c r="O93" t="str">
        <f t="shared" si="3"/>
        <v>67-T18 | 171 | 619|0</v>
      </c>
    </row>
    <row r="94" spans="1:15" x14ac:dyDescent="0.3">
      <c r="A94" s="43">
        <v>46054</v>
      </c>
      <c r="B94" s="2" t="s">
        <v>7</v>
      </c>
      <c r="C94" s="2" t="s">
        <v>1254</v>
      </c>
      <c r="D94" s="2" t="s">
        <v>773</v>
      </c>
      <c r="E94" s="2" t="str">
        <f>_xlfn.XLOOKUP(F94,Terrain!D:D,Terrain!A:A,"")</f>
        <v>Upper</v>
      </c>
      <c r="F94" s="2" t="s">
        <v>1346</v>
      </c>
      <c r="G94" s="2" t="s">
        <v>924</v>
      </c>
      <c r="H94" s="2">
        <f t="shared" si="4"/>
        <v>2556</v>
      </c>
      <c r="I94" s="2">
        <v>6398</v>
      </c>
      <c r="J94" s="2">
        <v>255.92</v>
      </c>
      <c r="K94" s="2">
        <v>256</v>
      </c>
      <c r="L94" s="2">
        <f t="shared" si="5"/>
        <v>2000</v>
      </c>
      <c r="M94" s="2" t="s">
        <v>1106</v>
      </c>
      <c r="N94" s="40" t="str">
        <f>_xlfn.XLOOKUP(F94,Terrain!D:D,Terrain!H:H,"")</f>
        <v>2555 - 2558</v>
      </c>
      <c r="O94" t="str">
        <f t="shared" si="3"/>
        <v>56-T19-R | 3199 | 472|0</v>
      </c>
    </row>
    <row r="95" spans="1:15" x14ac:dyDescent="0.3">
      <c r="A95" s="43">
        <v>46054</v>
      </c>
      <c r="B95" s="2" t="s">
        <v>7</v>
      </c>
      <c r="C95" s="2" t="s">
        <v>1254</v>
      </c>
      <c r="D95" s="2" t="s">
        <v>781</v>
      </c>
      <c r="E95" s="2" t="str">
        <f>_xlfn.XLOOKUP(F95,Terrain!D:D,Terrain!A:A,"")</f>
        <v>Upper</v>
      </c>
      <c r="F95" s="2" t="s">
        <v>1267</v>
      </c>
      <c r="G95" s="2" t="s">
        <v>925</v>
      </c>
      <c r="H95" s="2">
        <f t="shared" si="4"/>
        <v>2549</v>
      </c>
      <c r="I95" s="2">
        <v>4249.5</v>
      </c>
      <c r="J95" s="2">
        <v>169.98</v>
      </c>
      <c r="K95" s="2">
        <v>170</v>
      </c>
      <c r="L95" s="2">
        <f t="shared" si="5"/>
        <v>1500</v>
      </c>
      <c r="M95" s="2" t="s">
        <v>1107</v>
      </c>
      <c r="N95" s="40" t="str">
        <f>_xlfn.XLOOKUP(F95,Terrain!D:D,Terrain!H:H,"")</f>
        <v>2549 - 2552</v>
      </c>
      <c r="O95" t="str">
        <f t="shared" si="3"/>
        <v>49-T20-R | 2833 | 428|0</v>
      </c>
    </row>
    <row r="96" spans="1:15" x14ac:dyDescent="0.3">
      <c r="A96" s="43">
        <v>46054</v>
      </c>
      <c r="B96" s="2" t="s">
        <v>7</v>
      </c>
      <c r="C96" s="2" t="s">
        <v>1254</v>
      </c>
      <c r="D96" s="2" t="s">
        <v>789</v>
      </c>
      <c r="E96" s="2" t="str">
        <f>_xlfn.XLOOKUP(F96,Terrain!D:D,Terrain!A:A,"")</f>
        <v>Upper</v>
      </c>
      <c r="F96" s="2" t="s">
        <v>1347</v>
      </c>
      <c r="G96" s="2" t="s">
        <v>926</v>
      </c>
      <c r="H96" s="2">
        <f t="shared" si="4"/>
        <v>2556</v>
      </c>
      <c r="I96" s="2">
        <v>6030</v>
      </c>
      <c r="J96" s="2">
        <v>241.2</v>
      </c>
      <c r="K96" s="2">
        <v>241</v>
      </c>
      <c r="L96" s="2">
        <f t="shared" si="5"/>
        <v>2000</v>
      </c>
      <c r="M96" s="2" t="s">
        <v>1106</v>
      </c>
      <c r="N96" s="40" t="str">
        <f>_xlfn.XLOOKUP(F96,Terrain!D:D,Terrain!H:H,"")</f>
        <v>2555 - 2558</v>
      </c>
      <c r="O96" t="str">
        <f t="shared" si="3"/>
        <v>56-T21-R | 3015 | 478|0</v>
      </c>
    </row>
    <row r="97" spans="1:15" x14ac:dyDescent="0.3">
      <c r="A97" s="43">
        <v>46054</v>
      </c>
      <c r="B97" s="2" t="s">
        <v>7</v>
      </c>
      <c r="C97" s="2" t="s">
        <v>1254</v>
      </c>
      <c r="D97" s="2" t="s">
        <v>797</v>
      </c>
      <c r="E97" s="2" t="str">
        <f>_xlfn.XLOOKUP(F97,Terrain!D:D,Terrain!A:A,"")</f>
        <v>Upper</v>
      </c>
      <c r="F97" s="2" t="s">
        <v>1175</v>
      </c>
      <c r="G97" s="2" t="s">
        <v>927</v>
      </c>
      <c r="H97" s="2">
        <f t="shared" si="4"/>
        <v>2567</v>
      </c>
      <c r="I97" s="2">
        <v>241</v>
      </c>
      <c r="J97" s="2">
        <v>9.64</v>
      </c>
      <c r="K97" s="2">
        <v>10</v>
      </c>
      <c r="L97" s="2">
        <f t="shared" si="5"/>
        <v>1000</v>
      </c>
      <c r="M97" s="2" t="s">
        <v>1108</v>
      </c>
      <c r="N97" s="40">
        <f>_xlfn.XLOOKUP(F97,Terrain!D:D,Terrain!H:H,"")</f>
        <v>2567</v>
      </c>
      <c r="O97" t="str">
        <f t="shared" si="3"/>
        <v>67-T21 | 241 | 616|0</v>
      </c>
    </row>
    <row r="98" spans="1:15" x14ac:dyDescent="0.3">
      <c r="A98" s="43">
        <v>46054</v>
      </c>
      <c r="B98" s="2" t="s">
        <v>7</v>
      </c>
      <c r="C98" s="2" t="s">
        <v>1254</v>
      </c>
      <c r="D98" s="2" t="s">
        <v>806</v>
      </c>
      <c r="E98" s="2" t="str">
        <f>_xlfn.XLOOKUP(F98,Terrain!D:D,Terrain!A:A,"")</f>
        <v>Upper</v>
      </c>
      <c r="F98" s="2" t="s">
        <v>1348</v>
      </c>
      <c r="G98" s="2" t="s">
        <v>928</v>
      </c>
      <c r="H98" s="2">
        <f t="shared" si="4"/>
        <v>2563</v>
      </c>
      <c r="I98" s="2">
        <v>1684</v>
      </c>
      <c r="J98" s="2">
        <v>67.36</v>
      </c>
      <c r="K98" s="2">
        <v>67</v>
      </c>
      <c r="L98" s="2">
        <f t="shared" si="5"/>
        <v>2000</v>
      </c>
      <c r="M98" s="2" t="s">
        <v>1104</v>
      </c>
      <c r="N98" s="40" t="str">
        <f>_xlfn.XLOOKUP(F98,Terrain!D:D,Terrain!H:H,"")</f>
        <v>2563 - 2565</v>
      </c>
      <c r="O98" t="str">
        <f t="shared" si="3"/>
        <v>63-T22-R | 842 | 551|0</v>
      </c>
    </row>
    <row r="99" spans="1:15" x14ac:dyDescent="0.3">
      <c r="A99" s="43">
        <v>46054</v>
      </c>
      <c r="B99" s="2" t="s">
        <v>7</v>
      </c>
      <c r="C99" s="2" t="s">
        <v>1254</v>
      </c>
      <c r="D99" s="2" t="s">
        <v>814</v>
      </c>
      <c r="E99" s="2" t="str">
        <f>_xlfn.XLOOKUP(F99,Terrain!D:D,Terrain!A:A,"")</f>
        <v>Upper</v>
      </c>
      <c r="F99" s="2" t="s">
        <v>1349</v>
      </c>
      <c r="G99" s="2" t="s">
        <v>929</v>
      </c>
      <c r="H99" s="2">
        <f t="shared" si="4"/>
        <v>2563</v>
      </c>
      <c r="I99" s="2">
        <v>1688</v>
      </c>
      <c r="J99" s="2">
        <v>67.52</v>
      </c>
      <c r="K99" s="2">
        <v>68</v>
      </c>
      <c r="L99" s="2">
        <f t="shared" si="5"/>
        <v>2000</v>
      </c>
      <c r="M99" s="2" t="s">
        <v>1104</v>
      </c>
      <c r="N99" s="40" t="str">
        <f>_xlfn.XLOOKUP(F99,Terrain!D:D,Terrain!H:H,"")</f>
        <v>2563 - 2565</v>
      </c>
      <c r="O99" t="str">
        <f t="shared" si="3"/>
        <v>63-T23-R | 844 | 552|0</v>
      </c>
    </row>
    <row r="100" spans="1:15" x14ac:dyDescent="0.3">
      <c r="A100" s="43">
        <v>46054</v>
      </c>
      <c r="B100" s="2" t="s">
        <v>7</v>
      </c>
      <c r="C100" s="2" t="s">
        <v>1254</v>
      </c>
      <c r="D100" s="2" t="s">
        <v>822</v>
      </c>
      <c r="E100" s="2" t="str">
        <f>_xlfn.XLOOKUP(F100,Terrain!D:D,Terrain!A:A,"")</f>
        <v>Upper</v>
      </c>
      <c r="F100" s="2" t="s">
        <v>1350</v>
      </c>
      <c r="G100" s="2" t="s">
        <v>930</v>
      </c>
      <c r="H100" s="2">
        <f t="shared" si="4"/>
        <v>2552</v>
      </c>
      <c r="I100" s="2">
        <v>138</v>
      </c>
      <c r="J100" s="2">
        <v>5.52</v>
      </c>
      <c r="K100" s="2">
        <v>6</v>
      </c>
      <c r="L100" s="2">
        <f t="shared" si="5"/>
        <v>1500</v>
      </c>
      <c r="M100" s="2" t="s">
        <v>1107</v>
      </c>
      <c r="N100" s="40" t="str">
        <f>_xlfn.XLOOKUP(F100,Terrain!D:D,Terrain!H:H,"")</f>
        <v>2549 - 2552</v>
      </c>
      <c r="O100" t="str">
        <f t="shared" si="3"/>
        <v>52-T28-R | 92 | 423|0</v>
      </c>
    </row>
    <row r="101" spans="1:15" x14ac:dyDescent="0.3">
      <c r="A101" s="43">
        <v>46054</v>
      </c>
      <c r="B101" s="2" t="s">
        <v>7</v>
      </c>
      <c r="C101" s="2" t="s">
        <v>1254</v>
      </c>
      <c r="D101" s="2" t="s">
        <v>830</v>
      </c>
      <c r="E101" s="2" t="str">
        <f>_xlfn.XLOOKUP(F101,Terrain!D:D,Terrain!A:A,"")</f>
        <v>Upper</v>
      </c>
      <c r="F101" s="2" t="s">
        <v>1351</v>
      </c>
      <c r="G101" s="2" t="s">
        <v>931</v>
      </c>
      <c r="H101" s="2">
        <f t="shared" si="4"/>
        <v>2556</v>
      </c>
      <c r="I101" s="2">
        <v>2806</v>
      </c>
      <c r="J101" s="2">
        <v>112.24</v>
      </c>
      <c r="K101" s="2">
        <v>112</v>
      </c>
      <c r="L101" s="2">
        <f t="shared" si="5"/>
        <v>2000</v>
      </c>
      <c r="M101" s="2" t="s">
        <v>1106</v>
      </c>
      <c r="N101" s="40" t="str">
        <f>_xlfn.XLOOKUP(F101,Terrain!D:D,Terrain!H:H,"")</f>
        <v>2555 - 2558</v>
      </c>
      <c r="O101" t="str">
        <f t="shared" si="3"/>
        <v>56-T28-R | 1403 | 481|0</v>
      </c>
    </row>
    <row r="102" spans="1:15" x14ac:dyDescent="0.3">
      <c r="A102" s="43">
        <v>46054</v>
      </c>
      <c r="B102" s="2" t="s">
        <v>7</v>
      </c>
      <c r="C102" s="2" t="s">
        <v>1254</v>
      </c>
      <c r="D102" s="2" t="s">
        <v>838</v>
      </c>
      <c r="E102" s="2" t="str">
        <f>_xlfn.XLOOKUP(F102,Terrain!D:D,Terrain!A:A,"")</f>
        <v>Upper</v>
      </c>
      <c r="F102" s="2" t="s">
        <v>1176</v>
      </c>
      <c r="G102" s="2" t="s">
        <v>932</v>
      </c>
      <c r="H102" s="2">
        <f t="shared" si="4"/>
        <v>2567</v>
      </c>
      <c r="I102" s="2">
        <v>3070</v>
      </c>
      <c r="J102" s="2">
        <v>122.8</v>
      </c>
      <c r="K102" s="2">
        <v>123</v>
      </c>
      <c r="L102" s="2">
        <f t="shared" si="5"/>
        <v>1000</v>
      </c>
      <c r="M102" s="2" t="s">
        <v>1109</v>
      </c>
      <c r="N102" s="40">
        <f>_xlfn.XLOOKUP(F102,Terrain!D:D,Terrain!H:H,"")</f>
        <v>2567</v>
      </c>
      <c r="O102" t="str">
        <f t="shared" si="3"/>
        <v>67-T29 | 3070 | 620|0</v>
      </c>
    </row>
    <row r="103" spans="1:15" x14ac:dyDescent="0.3">
      <c r="A103" s="43">
        <v>46054</v>
      </c>
      <c r="B103" s="2" t="s">
        <v>7</v>
      </c>
      <c r="C103" s="2" t="s">
        <v>1254</v>
      </c>
      <c r="D103" s="2" t="s">
        <v>847</v>
      </c>
      <c r="E103" s="2" t="str">
        <f>_xlfn.XLOOKUP(F103,Terrain!D:D,Terrain!A:A,"")</f>
        <v>Upper</v>
      </c>
      <c r="F103" s="2" t="s">
        <v>1177</v>
      </c>
      <c r="G103" s="2" t="s">
        <v>933</v>
      </c>
      <c r="H103" s="2">
        <f t="shared" si="4"/>
        <v>2567</v>
      </c>
      <c r="I103" s="2">
        <v>3270</v>
      </c>
      <c r="J103" s="2">
        <v>130.80000000000001</v>
      </c>
      <c r="K103" s="2">
        <v>131</v>
      </c>
      <c r="L103" s="2">
        <f t="shared" si="5"/>
        <v>1000</v>
      </c>
      <c r="M103" s="2" t="s">
        <v>1109</v>
      </c>
      <c r="N103" s="40">
        <f>_xlfn.XLOOKUP(F103,Terrain!D:D,Terrain!H:H,"")</f>
        <v>2567</v>
      </c>
      <c r="O103" t="str">
        <f t="shared" si="3"/>
        <v>67-T30 | 3270 | 617|0</v>
      </c>
    </row>
    <row r="104" spans="1:15" x14ac:dyDescent="0.3">
      <c r="A104" s="43">
        <v>46082</v>
      </c>
      <c r="B104" s="2" t="s">
        <v>5</v>
      </c>
      <c r="C104" s="2" t="s">
        <v>1256</v>
      </c>
      <c r="D104" s="2" t="s">
        <v>9</v>
      </c>
      <c r="E104" s="2" t="str">
        <f>_xlfn.XLOOKUP(F104,Terrain!D:D,Terrain!A:A,"")</f>
        <v>Lower</v>
      </c>
      <c r="F104" s="2" t="s">
        <v>1269</v>
      </c>
      <c r="G104" s="2" t="s">
        <v>1045</v>
      </c>
      <c r="H104" s="2">
        <f t="shared" si="4"/>
        <v>2556</v>
      </c>
      <c r="I104" s="2">
        <v>3900</v>
      </c>
      <c r="J104" s="2">
        <v>78</v>
      </c>
      <c r="K104" s="2">
        <v>78</v>
      </c>
      <c r="L104" s="2">
        <f t="shared" si="5"/>
        <v>2000</v>
      </c>
      <c r="M104" s="2" t="s">
        <v>1046</v>
      </c>
      <c r="N104" s="40" t="str">
        <f>_xlfn.XLOOKUP(F104,Terrain!D:D,Terrain!H:H,"")</f>
        <v>2555 - 2558</v>
      </c>
      <c r="O104" t="str">
        <f t="shared" si="3"/>
        <v>56-A01 | 1950 | 190|0</v>
      </c>
    </row>
    <row r="105" spans="1:15" x14ac:dyDescent="0.3">
      <c r="A105" s="43">
        <v>46082</v>
      </c>
      <c r="B105" s="2" t="s">
        <v>5</v>
      </c>
      <c r="C105" s="2" t="s">
        <v>1256</v>
      </c>
      <c r="D105" s="2" t="s">
        <v>946</v>
      </c>
      <c r="E105" s="2" t="str">
        <f>_xlfn.XLOOKUP(F105,Terrain!D:D,Terrain!A:A,"")</f>
        <v>Lower</v>
      </c>
      <c r="F105" s="2" t="s">
        <v>1282</v>
      </c>
      <c r="G105" s="2" t="s">
        <v>1048</v>
      </c>
      <c r="H105" s="2">
        <f t="shared" si="4"/>
        <v>2563</v>
      </c>
      <c r="I105" s="2">
        <v>1068</v>
      </c>
      <c r="J105" s="2">
        <v>21.36</v>
      </c>
      <c r="K105" s="2">
        <v>21</v>
      </c>
      <c r="L105" s="2">
        <f t="shared" si="5"/>
        <v>2000</v>
      </c>
      <c r="M105" s="2" t="s">
        <v>1049</v>
      </c>
      <c r="N105" s="40" t="str">
        <f>_xlfn.XLOOKUP(F105,Terrain!D:D,Terrain!H:H,"")</f>
        <v>2563 - 2565</v>
      </c>
      <c r="O105" t="str">
        <f t="shared" si="3"/>
        <v>63-A01-R | 534 | 688|0</v>
      </c>
    </row>
    <row r="106" spans="1:15" x14ac:dyDescent="0.3">
      <c r="A106" s="43">
        <v>46082</v>
      </c>
      <c r="B106" s="2" t="s">
        <v>5</v>
      </c>
      <c r="C106" s="2" t="s">
        <v>1256</v>
      </c>
      <c r="D106" s="2" t="s">
        <v>21</v>
      </c>
      <c r="E106" s="2" t="str">
        <f>_xlfn.XLOOKUP(F106,Terrain!D:D,Terrain!A:A,"")</f>
        <v>Lower</v>
      </c>
      <c r="F106" s="2" t="s">
        <v>1270</v>
      </c>
      <c r="G106" s="2" t="s">
        <v>1050</v>
      </c>
      <c r="H106" s="2">
        <f t="shared" si="4"/>
        <v>2556</v>
      </c>
      <c r="I106" s="2">
        <v>7670</v>
      </c>
      <c r="J106" s="2">
        <v>153.4</v>
      </c>
      <c r="K106" s="2">
        <v>153</v>
      </c>
      <c r="L106" s="2">
        <f t="shared" si="5"/>
        <v>2000</v>
      </c>
      <c r="M106" s="2" t="s">
        <v>1046</v>
      </c>
      <c r="N106" s="40" t="str">
        <f>_xlfn.XLOOKUP(F106,Terrain!D:D,Terrain!H:H,"")</f>
        <v>2555 - 2558</v>
      </c>
      <c r="O106" t="str">
        <f t="shared" si="3"/>
        <v>56-A02 | 3835 | 180|0</v>
      </c>
    </row>
    <row r="107" spans="1:15" x14ac:dyDescent="0.3">
      <c r="A107" s="43">
        <v>46082</v>
      </c>
      <c r="B107" s="2" t="s">
        <v>5</v>
      </c>
      <c r="C107" s="2" t="s">
        <v>1256</v>
      </c>
      <c r="D107" s="2" t="s">
        <v>29</v>
      </c>
      <c r="E107" s="2" t="str">
        <f>_xlfn.XLOOKUP(F107,Terrain!D:D,Terrain!A:A,"")</f>
        <v>Lower</v>
      </c>
      <c r="F107" s="2" t="s">
        <v>1283</v>
      </c>
      <c r="G107" s="2" t="s">
        <v>1051</v>
      </c>
      <c r="H107" s="2">
        <f t="shared" si="4"/>
        <v>2556</v>
      </c>
      <c r="I107" s="2">
        <v>4238</v>
      </c>
      <c r="J107" s="2">
        <v>84.76</v>
      </c>
      <c r="K107" s="2">
        <v>85</v>
      </c>
      <c r="L107" s="2">
        <f t="shared" si="5"/>
        <v>2000</v>
      </c>
      <c r="M107" s="2" t="s">
        <v>1052</v>
      </c>
      <c r="N107" s="40" t="str">
        <f>_xlfn.XLOOKUP(F107,Terrain!D:D,Terrain!H:H,"")</f>
        <v>2555 - 2558</v>
      </c>
      <c r="O107" t="str">
        <f t="shared" si="3"/>
        <v>56-A03-R | 2119 | 174|0</v>
      </c>
    </row>
    <row r="108" spans="1:15" x14ac:dyDescent="0.3">
      <c r="A108" s="43">
        <v>46082</v>
      </c>
      <c r="B108" s="2" t="s">
        <v>5</v>
      </c>
      <c r="C108" s="2" t="s">
        <v>1256</v>
      </c>
      <c r="D108" s="2" t="s">
        <v>947</v>
      </c>
      <c r="E108" s="2" t="str">
        <f>_xlfn.XLOOKUP(F108,Terrain!D:D,Terrain!A:A,"")</f>
        <v>Lower</v>
      </c>
      <c r="F108" s="2" t="s">
        <v>1284</v>
      </c>
      <c r="G108" s="2" t="s">
        <v>1053</v>
      </c>
      <c r="H108" s="2">
        <f t="shared" si="4"/>
        <v>2563</v>
      </c>
      <c r="I108" s="2">
        <v>1960</v>
      </c>
      <c r="J108" s="2">
        <v>39.200000000000003</v>
      </c>
      <c r="K108" s="2">
        <v>39</v>
      </c>
      <c r="L108" s="2">
        <f t="shared" si="5"/>
        <v>2000</v>
      </c>
      <c r="M108" s="2" t="s">
        <v>1049</v>
      </c>
      <c r="N108" s="40" t="str">
        <f>_xlfn.XLOOKUP(F108,Terrain!D:D,Terrain!H:H,"")</f>
        <v>2563 - 2565</v>
      </c>
      <c r="O108" t="str">
        <f t="shared" si="3"/>
        <v>63-A03-R | 980 | 689|0</v>
      </c>
    </row>
    <row r="109" spans="1:15" x14ac:dyDescent="0.3">
      <c r="A109" s="43">
        <v>46082</v>
      </c>
      <c r="B109" s="2" t="s">
        <v>5</v>
      </c>
      <c r="C109" s="2" t="s">
        <v>1256</v>
      </c>
      <c r="D109" s="2" t="s">
        <v>38</v>
      </c>
      <c r="E109" s="2" t="str">
        <f>_xlfn.XLOOKUP(F109,Terrain!D:D,Terrain!A:A,"")</f>
        <v>Lower</v>
      </c>
      <c r="F109" s="2" t="s">
        <v>1271</v>
      </c>
      <c r="G109" s="2" t="s">
        <v>1054</v>
      </c>
      <c r="H109" s="2">
        <f t="shared" si="4"/>
        <v>2550</v>
      </c>
      <c r="I109" s="2">
        <v>7296</v>
      </c>
      <c r="J109" s="2">
        <v>145.91999999999999</v>
      </c>
      <c r="K109" s="2">
        <v>146</v>
      </c>
      <c r="L109" s="2">
        <f t="shared" si="5"/>
        <v>1500</v>
      </c>
      <c r="M109" s="2" t="s">
        <v>1055</v>
      </c>
      <c r="N109" s="40" t="str">
        <f>_xlfn.XLOOKUP(F109,Terrain!D:D,Terrain!H:H,"")</f>
        <v>2549 - 2552</v>
      </c>
      <c r="O109" t="str">
        <f t="shared" si="3"/>
        <v>50-A04 | 4864 | 93|0</v>
      </c>
    </row>
    <row r="110" spans="1:15" x14ac:dyDescent="0.3">
      <c r="A110" s="43">
        <v>46082</v>
      </c>
      <c r="B110" s="2" t="s">
        <v>5</v>
      </c>
      <c r="C110" s="2" t="s">
        <v>1256</v>
      </c>
      <c r="D110" s="2" t="s">
        <v>46</v>
      </c>
      <c r="E110" s="2" t="str">
        <f>_xlfn.XLOOKUP(F110,Terrain!D:D,Terrain!A:A,"")</f>
        <v>Lower</v>
      </c>
      <c r="F110" s="2" t="s">
        <v>1272</v>
      </c>
      <c r="G110" s="2" t="s">
        <v>1056</v>
      </c>
      <c r="H110" s="2">
        <f t="shared" si="4"/>
        <v>2550</v>
      </c>
      <c r="I110" s="2">
        <v>6912</v>
      </c>
      <c r="J110" s="2">
        <v>138.24</v>
      </c>
      <c r="K110" s="2">
        <v>138</v>
      </c>
      <c r="L110" s="2">
        <f t="shared" si="5"/>
        <v>1500</v>
      </c>
      <c r="M110" s="2" t="s">
        <v>1055</v>
      </c>
      <c r="N110" s="40" t="str">
        <f>_xlfn.XLOOKUP(F110,Terrain!D:D,Terrain!H:H,"")</f>
        <v>2549 - 2552</v>
      </c>
      <c r="O110" t="str">
        <f t="shared" si="3"/>
        <v>50-A05 | 4608 | 89|0</v>
      </c>
    </row>
    <row r="111" spans="1:15" x14ac:dyDescent="0.3">
      <c r="A111" s="43">
        <v>46082</v>
      </c>
      <c r="B111" s="2" t="s">
        <v>5</v>
      </c>
      <c r="C111" s="2" t="s">
        <v>1256</v>
      </c>
      <c r="D111" s="2" t="s">
        <v>54</v>
      </c>
      <c r="E111" s="2" t="str">
        <f>_xlfn.XLOOKUP(F111,Terrain!D:D,Terrain!A:A,"")</f>
        <v>Lower</v>
      </c>
      <c r="F111" s="2" t="s">
        <v>1273</v>
      </c>
      <c r="G111" s="2" t="s">
        <v>1057</v>
      </c>
      <c r="H111" s="2">
        <f t="shared" si="4"/>
        <v>2560</v>
      </c>
      <c r="I111" s="2">
        <v>6518</v>
      </c>
      <c r="J111" s="2">
        <v>130.36000000000001</v>
      </c>
      <c r="K111" s="2">
        <v>130</v>
      </c>
      <c r="L111" s="2">
        <f t="shared" si="5"/>
        <v>2000</v>
      </c>
      <c r="M111" s="2" t="s">
        <v>1058</v>
      </c>
      <c r="N111" s="40" t="str">
        <f>_xlfn.XLOOKUP(F111,Terrain!D:D,Terrain!H:H,"")</f>
        <v>2559 - 2560</v>
      </c>
      <c r="O111" t="str">
        <f t="shared" si="3"/>
        <v>60-A06 | 3259 | 176|0</v>
      </c>
    </row>
    <row r="112" spans="1:15" x14ac:dyDescent="0.3">
      <c r="A112" s="43">
        <v>46082</v>
      </c>
      <c r="B112" s="2" t="s">
        <v>5</v>
      </c>
      <c r="C112" s="2" t="s">
        <v>1256</v>
      </c>
      <c r="D112" s="2" t="s">
        <v>62</v>
      </c>
      <c r="E112" s="2" t="str">
        <f>_xlfn.XLOOKUP(F112,Terrain!D:D,Terrain!A:A,"")</f>
        <v>Lower</v>
      </c>
      <c r="F112" s="2" t="s">
        <v>1274</v>
      </c>
      <c r="G112" s="2" t="s">
        <v>1059</v>
      </c>
      <c r="H112" s="2">
        <f t="shared" si="4"/>
        <v>2563</v>
      </c>
      <c r="I112" s="2">
        <v>4776</v>
      </c>
      <c r="J112" s="2">
        <v>95.52</v>
      </c>
      <c r="K112" s="2">
        <v>96</v>
      </c>
      <c r="L112" s="2">
        <f t="shared" si="5"/>
        <v>2000</v>
      </c>
      <c r="M112" s="2" t="s">
        <v>1060</v>
      </c>
      <c r="N112" s="40" t="str">
        <f>_xlfn.XLOOKUP(F112,Terrain!D:D,Terrain!H:H,"")</f>
        <v>2563 - 2565</v>
      </c>
      <c r="O112" t="str">
        <f t="shared" si="3"/>
        <v>63-A07 | 2388 | 266|0</v>
      </c>
    </row>
    <row r="113" spans="1:15" x14ac:dyDescent="0.3">
      <c r="A113" s="43">
        <v>46082</v>
      </c>
      <c r="B113" s="2" t="s">
        <v>5</v>
      </c>
      <c r="C113" s="2" t="s">
        <v>1256</v>
      </c>
      <c r="D113" s="2" t="s">
        <v>70</v>
      </c>
      <c r="E113" s="2" t="str">
        <f>_xlfn.XLOOKUP(F113,Terrain!D:D,Terrain!A:A,"")</f>
        <v>Lower</v>
      </c>
      <c r="F113" s="2" t="s">
        <v>1285</v>
      </c>
      <c r="G113" s="2" t="s">
        <v>860</v>
      </c>
      <c r="H113" s="2">
        <f t="shared" si="4"/>
        <v>2563</v>
      </c>
      <c r="I113" s="2">
        <v>618</v>
      </c>
      <c r="J113" s="2">
        <v>12.36</v>
      </c>
      <c r="K113" s="2">
        <v>12</v>
      </c>
      <c r="L113" s="2">
        <f t="shared" si="5"/>
        <v>2000</v>
      </c>
      <c r="M113" s="2" t="s">
        <v>1049</v>
      </c>
      <c r="N113" s="40" t="str">
        <f>_xlfn.XLOOKUP(F113,Terrain!D:D,Terrain!H:H,"")</f>
        <v>2563 - 2565</v>
      </c>
      <c r="O113" t="str">
        <f t="shared" si="3"/>
        <v>63-A07-R | 309 | 261|0</v>
      </c>
    </row>
    <row r="114" spans="1:15" x14ac:dyDescent="0.3">
      <c r="A114" s="43">
        <v>46082</v>
      </c>
      <c r="B114" s="2" t="s">
        <v>5</v>
      </c>
      <c r="C114" s="2" t="s">
        <v>1256</v>
      </c>
      <c r="D114" s="2" t="s">
        <v>78</v>
      </c>
      <c r="E114" s="2" t="str">
        <f>_xlfn.XLOOKUP(F114,Terrain!D:D,Terrain!A:A,"")</f>
        <v>Lower</v>
      </c>
      <c r="F114" s="2" t="s">
        <v>1286</v>
      </c>
      <c r="G114" s="2" t="s">
        <v>861</v>
      </c>
      <c r="H114" s="2">
        <f t="shared" si="4"/>
        <v>2557</v>
      </c>
      <c r="I114" s="2">
        <v>8616</v>
      </c>
      <c r="J114" s="2">
        <v>172.32</v>
      </c>
      <c r="K114" s="2">
        <v>172</v>
      </c>
      <c r="L114" s="2">
        <f t="shared" si="5"/>
        <v>2000</v>
      </c>
      <c r="M114" s="2" t="s">
        <v>1052</v>
      </c>
      <c r="N114" s="40" t="str">
        <f>_xlfn.XLOOKUP(F114,Terrain!D:D,Terrain!H:H,"")</f>
        <v>2555 - 2558</v>
      </c>
      <c r="O114" t="str">
        <f t="shared" si="3"/>
        <v>57-A08-R | 4308 | 175|0</v>
      </c>
    </row>
    <row r="115" spans="1:15" x14ac:dyDescent="0.3">
      <c r="A115" s="43">
        <v>46082</v>
      </c>
      <c r="B115" s="2" t="s">
        <v>5</v>
      </c>
      <c r="C115" s="2" t="s">
        <v>1256</v>
      </c>
      <c r="D115" s="2" t="s">
        <v>86</v>
      </c>
      <c r="E115" s="2" t="str">
        <f>_xlfn.XLOOKUP(F115,Terrain!D:D,Terrain!A:A,"")</f>
        <v>Lower</v>
      </c>
      <c r="F115" s="2" t="s">
        <v>1287</v>
      </c>
      <c r="G115" s="2" t="s">
        <v>862</v>
      </c>
      <c r="H115" s="2">
        <f t="shared" si="4"/>
        <v>2557</v>
      </c>
      <c r="I115" s="2">
        <v>7722</v>
      </c>
      <c r="J115" s="2">
        <v>154.44</v>
      </c>
      <c r="K115" s="2">
        <v>154</v>
      </c>
      <c r="L115" s="2">
        <f t="shared" si="5"/>
        <v>2000</v>
      </c>
      <c r="M115" s="2" t="s">
        <v>1052</v>
      </c>
      <c r="N115" s="40" t="str">
        <f>_xlfn.XLOOKUP(F115,Terrain!D:D,Terrain!H:H,"")</f>
        <v>2555 - 2558</v>
      </c>
      <c r="O115" t="str">
        <f t="shared" si="3"/>
        <v>57-A09-R | 3861 | 187|0</v>
      </c>
    </row>
    <row r="116" spans="1:15" x14ac:dyDescent="0.3">
      <c r="A116" s="43">
        <v>46082</v>
      </c>
      <c r="B116" s="2" t="s">
        <v>5</v>
      </c>
      <c r="C116" s="2" t="s">
        <v>1256</v>
      </c>
      <c r="D116" s="2" t="s">
        <v>94</v>
      </c>
      <c r="E116" s="2" t="str">
        <f>_xlfn.XLOOKUP(F116,Terrain!D:D,Terrain!A:A,"")</f>
        <v>Lower</v>
      </c>
      <c r="F116" s="2" t="s">
        <v>1288</v>
      </c>
      <c r="G116" s="2" t="s">
        <v>1061</v>
      </c>
      <c r="H116" s="2">
        <f t="shared" si="4"/>
        <v>2549</v>
      </c>
      <c r="I116" s="2">
        <v>4177.5</v>
      </c>
      <c r="J116" s="2">
        <v>83.55</v>
      </c>
      <c r="K116" s="2">
        <v>84</v>
      </c>
      <c r="L116" s="2">
        <f t="shared" si="5"/>
        <v>1500</v>
      </c>
      <c r="M116" s="2" t="s">
        <v>1062</v>
      </c>
      <c r="N116" s="40" t="str">
        <f>_xlfn.XLOOKUP(F116,Terrain!D:D,Terrain!H:H,"")</f>
        <v>2549 - 2552</v>
      </c>
      <c r="O116" t="str">
        <f t="shared" si="3"/>
        <v>49-A10-R | 2785 | 94|0</v>
      </c>
    </row>
    <row r="117" spans="1:15" x14ac:dyDescent="0.3">
      <c r="A117" s="43">
        <v>46082</v>
      </c>
      <c r="B117" s="2" t="s">
        <v>5</v>
      </c>
      <c r="C117" s="2" t="s">
        <v>1256</v>
      </c>
      <c r="D117" s="2" t="s">
        <v>102</v>
      </c>
      <c r="E117" s="2" t="str">
        <f>_xlfn.XLOOKUP(F117,Terrain!D:D,Terrain!A:A,"")</f>
        <v>Lower</v>
      </c>
      <c r="F117" s="2" t="s">
        <v>1289</v>
      </c>
      <c r="G117" s="2" t="s">
        <v>1063</v>
      </c>
      <c r="H117" s="2">
        <f t="shared" si="4"/>
        <v>2549</v>
      </c>
      <c r="I117" s="2">
        <v>3631.5</v>
      </c>
      <c r="J117" s="2">
        <v>72.63</v>
      </c>
      <c r="K117" s="2">
        <v>73</v>
      </c>
      <c r="L117" s="2">
        <f t="shared" si="5"/>
        <v>1500</v>
      </c>
      <c r="M117" s="2" t="s">
        <v>1062</v>
      </c>
      <c r="N117" s="40" t="str">
        <f>_xlfn.XLOOKUP(F117,Terrain!D:D,Terrain!H:H,"")</f>
        <v>2549 - 2552</v>
      </c>
      <c r="O117" t="str">
        <f t="shared" si="3"/>
        <v>49-A11-R | 2421 | 91|0</v>
      </c>
    </row>
    <row r="118" spans="1:15" x14ac:dyDescent="0.3">
      <c r="A118" s="43">
        <v>46082</v>
      </c>
      <c r="B118" s="2" t="s">
        <v>5</v>
      </c>
      <c r="C118" s="2" t="s">
        <v>1256</v>
      </c>
      <c r="D118" s="2" t="s">
        <v>110</v>
      </c>
      <c r="E118" s="2" t="str">
        <f>_xlfn.XLOOKUP(F118,Terrain!D:D,Terrain!A:A,"")</f>
        <v>Lower</v>
      </c>
      <c r="F118" s="2" t="s">
        <v>1290</v>
      </c>
      <c r="G118" s="2" t="s">
        <v>1064</v>
      </c>
      <c r="H118" s="2">
        <f t="shared" si="4"/>
        <v>2549</v>
      </c>
      <c r="I118" s="2">
        <v>5646</v>
      </c>
      <c r="J118" s="2">
        <v>112.92</v>
      </c>
      <c r="K118" s="2">
        <v>113</v>
      </c>
      <c r="L118" s="2">
        <f t="shared" si="5"/>
        <v>1500</v>
      </c>
      <c r="M118" s="2" t="s">
        <v>1062</v>
      </c>
      <c r="N118" s="40" t="str">
        <f>_xlfn.XLOOKUP(F118,Terrain!D:D,Terrain!H:H,"")</f>
        <v>2549 - 2552</v>
      </c>
      <c r="O118" t="str">
        <f t="shared" si="3"/>
        <v>49-A12-R | 3764 | 96|0</v>
      </c>
    </row>
    <row r="119" spans="1:15" x14ac:dyDescent="0.3">
      <c r="A119" s="43">
        <v>46082</v>
      </c>
      <c r="B119" s="2" t="s">
        <v>5</v>
      </c>
      <c r="C119" s="2" t="s">
        <v>1256</v>
      </c>
      <c r="D119" s="2" t="s">
        <v>118</v>
      </c>
      <c r="E119" s="2" t="str">
        <f>_xlfn.XLOOKUP(F119,Terrain!D:D,Terrain!A:A,"")</f>
        <v>Lower</v>
      </c>
      <c r="F119" s="2" t="s">
        <v>1291</v>
      </c>
      <c r="G119" s="2" t="s">
        <v>1065</v>
      </c>
      <c r="H119" s="2">
        <f t="shared" si="4"/>
        <v>2549</v>
      </c>
      <c r="I119" s="2">
        <v>4339.5</v>
      </c>
      <c r="J119" s="2">
        <v>86.79</v>
      </c>
      <c r="K119" s="2">
        <v>87</v>
      </c>
      <c r="L119" s="2">
        <f t="shared" si="5"/>
        <v>1500</v>
      </c>
      <c r="M119" s="2" t="s">
        <v>1062</v>
      </c>
      <c r="N119" s="40" t="str">
        <f>_xlfn.XLOOKUP(F119,Terrain!D:D,Terrain!H:H,"")</f>
        <v>2549 - 2552</v>
      </c>
      <c r="O119" t="str">
        <f t="shared" si="3"/>
        <v>49-A13-R | 2893 | 97|0</v>
      </c>
    </row>
    <row r="120" spans="1:15" x14ac:dyDescent="0.3">
      <c r="A120" s="43">
        <v>46082</v>
      </c>
      <c r="B120" s="2" t="s">
        <v>5</v>
      </c>
      <c r="C120" s="2" t="s">
        <v>1256</v>
      </c>
      <c r="D120" s="2" t="s">
        <v>126</v>
      </c>
      <c r="E120" s="2" t="str">
        <f>_xlfn.XLOOKUP(F120,Terrain!D:D,Terrain!A:A,"")</f>
        <v>Upper</v>
      </c>
      <c r="F120" s="2" t="s">
        <v>1275</v>
      </c>
      <c r="G120" s="2" t="s">
        <v>891</v>
      </c>
      <c r="H120" s="2">
        <f t="shared" si="4"/>
        <v>2565</v>
      </c>
      <c r="I120" s="2">
        <v>5736</v>
      </c>
      <c r="J120" s="2">
        <v>114.72</v>
      </c>
      <c r="K120" s="2">
        <v>115</v>
      </c>
      <c r="L120" s="2">
        <f t="shared" si="5"/>
        <v>2000</v>
      </c>
      <c r="M120" s="2" t="s">
        <v>1066</v>
      </c>
      <c r="N120" s="40" t="str">
        <f>_xlfn.XLOOKUP(F120,Terrain!D:D,Terrain!H:H,"")</f>
        <v>2563 - 2565</v>
      </c>
      <c r="O120" t="str">
        <f t="shared" si="3"/>
        <v>65-B01 | 2868 | 557|0</v>
      </c>
    </row>
    <row r="121" spans="1:15" x14ac:dyDescent="0.3">
      <c r="A121" s="43">
        <v>46082</v>
      </c>
      <c r="B121" s="2" t="s">
        <v>5</v>
      </c>
      <c r="C121" s="2" t="s">
        <v>1256</v>
      </c>
      <c r="D121" s="2" t="s">
        <v>134</v>
      </c>
      <c r="E121" s="2" t="str">
        <f>_xlfn.XLOOKUP(F121,Terrain!D:D,Terrain!A:A,"")</f>
        <v>Upper</v>
      </c>
      <c r="F121" s="2" t="s">
        <v>1276</v>
      </c>
      <c r="G121" s="2" t="s">
        <v>892</v>
      </c>
      <c r="H121" s="2">
        <f t="shared" si="4"/>
        <v>2564</v>
      </c>
      <c r="I121" s="2">
        <v>6960</v>
      </c>
      <c r="J121" s="2">
        <v>139.19999999999999</v>
      </c>
      <c r="K121" s="2">
        <v>139</v>
      </c>
      <c r="L121" s="2">
        <f t="shared" si="5"/>
        <v>2000</v>
      </c>
      <c r="M121" s="2" t="s">
        <v>1066</v>
      </c>
      <c r="N121" s="40" t="str">
        <f>_xlfn.XLOOKUP(F121,Terrain!D:D,Terrain!H:H,"")</f>
        <v>2563 - 2564</v>
      </c>
      <c r="O121" t="str">
        <f t="shared" si="3"/>
        <v>64-B02 | 3480 | 562|0</v>
      </c>
    </row>
    <row r="122" spans="1:15" x14ac:dyDescent="0.3">
      <c r="A122" s="43">
        <v>46082</v>
      </c>
      <c r="B122" s="2" t="s">
        <v>5</v>
      </c>
      <c r="C122" s="2" t="s">
        <v>1256</v>
      </c>
      <c r="D122" s="2" t="s">
        <v>142</v>
      </c>
      <c r="E122" s="2" t="str">
        <f>_xlfn.XLOOKUP(F122,Terrain!D:D,Terrain!A:A,"")</f>
        <v>Upper</v>
      </c>
      <c r="F122" s="2" t="s">
        <v>1277</v>
      </c>
      <c r="G122" s="2" t="s">
        <v>893</v>
      </c>
      <c r="H122" s="2">
        <f t="shared" si="4"/>
        <v>2557</v>
      </c>
      <c r="I122" s="2">
        <v>8462</v>
      </c>
      <c r="J122" s="2">
        <v>169.24</v>
      </c>
      <c r="K122" s="2">
        <v>169</v>
      </c>
      <c r="L122" s="2">
        <f t="shared" si="5"/>
        <v>2000</v>
      </c>
      <c r="M122" s="2" t="s">
        <v>1067</v>
      </c>
      <c r="N122" s="40" t="str">
        <f>_xlfn.XLOOKUP(F122,Terrain!D:D,Terrain!H:H,"")</f>
        <v>2555 - 2558</v>
      </c>
      <c r="O122" t="str">
        <f t="shared" si="3"/>
        <v>57-B03 | 4231 | 492|0</v>
      </c>
    </row>
    <row r="123" spans="1:15" x14ac:dyDescent="0.3">
      <c r="A123" s="43">
        <v>46082</v>
      </c>
      <c r="B123" s="2" t="s">
        <v>5</v>
      </c>
      <c r="C123" s="2" t="s">
        <v>1256</v>
      </c>
      <c r="D123" s="2" t="s">
        <v>150</v>
      </c>
      <c r="E123" s="2" t="str">
        <f>_xlfn.XLOOKUP(F123,Terrain!D:D,Terrain!A:A,"")</f>
        <v>Upper</v>
      </c>
      <c r="F123" s="2" t="s">
        <v>1278</v>
      </c>
      <c r="G123" s="2" t="s">
        <v>894</v>
      </c>
      <c r="H123" s="2">
        <f t="shared" si="4"/>
        <v>2560</v>
      </c>
      <c r="I123" s="2">
        <v>7702</v>
      </c>
      <c r="J123" s="2">
        <v>154.04</v>
      </c>
      <c r="K123" s="2">
        <v>154</v>
      </c>
      <c r="L123" s="2">
        <f t="shared" si="5"/>
        <v>2000</v>
      </c>
      <c r="M123" s="2" t="s">
        <v>1068</v>
      </c>
      <c r="N123" s="40" t="str">
        <f>_xlfn.XLOOKUP(F123,Terrain!D:D,Terrain!H:H,"")</f>
        <v>2559 - 2560</v>
      </c>
      <c r="O123" t="str">
        <f t="shared" si="3"/>
        <v>60-B04 | 3851 | 499|0</v>
      </c>
    </row>
    <row r="124" spans="1:15" x14ac:dyDescent="0.3">
      <c r="A124" s="43">
        <v>46082</v>
      </c>
      <c r="B124" s="2" t="s">
        <v>5</v>
      </c>
      <c r="C124" s="2" t="s">
        <v>1256</v>
      </c>
      <c r="D124" s="2" t="s">
        <v>158</v>
      </c>
      <c r="E124" s="2" t="str">
        <f>_xlfn.XLOOKUP(F124,Terrain!D:D,Terrain!A:A,"")</f>
        <v>Upper</v>
      </c>
      <c r="F124" s="2" t="s">
        <v>1279</v>
      </c>
      <c r="G124" s="2" t="s">
        <v>895</v>
      </c>
      <c r="H124" s="2">
        <f t="shared" si="4"/>
        <v>2564</v>
      </c>
      <c r="I124" s="2">
        <v>6280</v>
      </c>
      <c r="J124" s="2">
        <v>125.6</v>
      </c>
      <c r="K124" s="2">
        <v>126</v>
      </c>
      <c r="L124" s="2">
        <f t="shared" si="5"/>
        <v>2000</v>
      </c>
      <c r="M124" s="2" t="s">
        <v>1066</v>
      </c>
      <c r="N124" s="40" t="str">
        <f>_xlfn.XLOOKUP(F124,Terrain!D:D,Terrain!H:H,"")</f>
        <v>2563 - 2564</v>
      </c>
      <c r="O124" t="str">
        <f t="shared" si="3"/>
        <v>64-B05 | 3140 | 558|0</v>
      </c>
    </row>
    <row r="125" spans="1:15" x14ac:dyDescent="0.3">
      <c r="A125" s="43">
        <v>46082</v>
      </c>
      <c r="B125" s="2" t="s">
        <v>5</v>
      </c>
      <c r="C125" s="2" t="s">
        <v>1256</v>
      </c>
      <c r="D125" s="2" t="s">
        <v>166</v>
      </c>
      <c r="E125" s="2" t="str">
        <f>_xlfn.XLOOKUP(F125,Terrain!D:D,Terrain!A:A,"")</f>
        <v>Upper</v>
      </c>
      <c r="F125" s="2" t="s">
        <v>1280</v>
      </c>
      <c r="G125" s="2" t="s">
        <v>896</v>
      </c>
      <c r="H125" s="2">
        <f t="shared" si="4"/>
        <v>2564</v>
      </c>
      <c r="I125" s="2">
        <v>7342</v>
      </c>
      <c r="J125" s="2">
        <v>146.84</v>
      </c>
      <c r="K125" s="2">
        <v>147</v>
      </c>
      <c r="L125" s="2">
        <f t="shared" si="5"/>
        <v>2000</v>
      </c>
      <c r="M125" s="2" t="s">
        <v>1066</v>
      </c>
      <c r="N125" s="40" t="str">
        <f>_xlfn.XLOOKUP(F125,Terrain!D:D,Terrain!H:H,"")</f>
        <v>2563 - 2564</v>
      </c>
      <c r="O125" t="str">
        <f t="shared" si="3"/>
        <v>64-B06 | 3671 | 561|0</v>
      </c>
    </row>
    <row r="126" spans="1:15" x14ac:dyDescent="0.3">
      <c r="A126" s="43">
        <v>46082</v>
      </c>
      <c r="B126" s="2" t="s">
        <v>5</v>
      </c>
      <c r="C126" s="2" t="s">
        <v>1256</v>
      </c>
      <c r="D126" s="2" t="s">
        <v>174</v>
      </c>
      <c r="E126" s="2" t="str">
        <f>_xlfn.XLOOKUP(F126,Terrain!D:D,Terrain!A:A,"")</f>
        <v>Upper</v>
      </c>
      <c r="F126" s="2" t="s">
        <v>1281</v>
      </c>
      <c r="G126" s="2" t="s">
        <v>897</v>
      </c>
      <c r="H126" s="2">
        <f t="shared" si="4"/>
        <v>2550</v>
      </c>
      <c r="I126" s="2">
        <v>6033</v>
      </c>
      <c r="J126" s="2">
        <v>120.66</v>
      </c>
      <c r="K126" s="2">
        <v>121</v>
      </c>
      <c r="L126" s="2">
        <f t="shared" si="5"/>
        <v>1500</v>
      </c>
      <c r="M126" s="2" t="s">
        <v>1069</v>
      </c>
      <c r="N126" s="40" t="str">
        <f>_xlfn.XLOOKUP(F126,Terrain!D:D,Terrain!H:H,"")</f>
        <v>2549 - 2552</v>
      </c>
      <c r="O126" t="str">
        <f t="shared" si="3"/>
        <v>50-B07 | 4022 | 438|0</v>
      </c>
    </row>
    <row r="127" spans="1:15" x14ac:dyDescent="0.3">
      <c r="A127" s="43">
        <v>46082</v>
      </c>
      <c r="B127" s="2" t="s">
        <v>5</v>
      </c>
      <c r="C127" s="2" t="s">
        <v>1256</v>
      </c>
      <c r="D127" s="2" t="s">
        <v>182</v>
      </c>
      <c r="E127" s="2" t="str">
        <f>_xlfn.XLOOKUP(F127,Terrain!D:D,Terrain!A:A,"")</f>
        <v>Upper</v>
      </c>
      <c r="F127" s="2" t="s">
        <v>1292</v>
      </c>
      <c r="G127" s="2" t="s">
        <v>898</v>
      </c>
      <c r="H127" s="2">
        <f t="shared" si="4"/>
        <v>2560</v>
      </c>
      <c r="I127" s="2">
        <v>6952</v>
      </c>
      <c r="J127" s="2">
        <v>139.04</v>
      </c>
      <c r="K127" s="2">
        <v>139</v>
      </c>
      <c r="L127" s="2">
        <f t="shared" si="5"/>
        <v>2000</v>
      </c>
      <c r="M127" s="2" t="s">
        <v>1068</v>
      </c>
      <c r="N127" s="40" t="str">
        <f>_xlfn.XLOOKUP(F127,Terrain!D:D,Terrain!H:H,"")</f>
        <v>2559 - 2560</v>
      </c>
      <c r="O127" t="str">
        <f t="shared" si="3"/>
        <v>60-B08 | 3476 | 496|0</v>
      </c>
    </row>
    <row r="128" spans="1:15" x14ac:dyDescent="0.3">
      <c r="A128" s="43">
        <v>46082</v>
      </c>
      <c r="B128" s="2" t="s">
        <v>5</v>
      </c>
      <c r="C128" s="2" t="s">
        <v>1256</v>
      </c>
      <c r="D128" s="2" t="s">
        <v>190</v>
      </c>
      <c r="E128" s="2" t="str">
        <f>_xlfn.XLOOKUP(F128,Terrain!D:D,Terrain!A:A,"")</f>
        <v>Upper</v>
      </c>
      <c r="F128" s="2" t="s">
        <v>1293</v>
      </c>
      <c r="G128" s="2" t="s">
        <v>899</v>
      </c>
      <c r="H128" s="2">
        <f t="shared" si="4"/>
        <v>2560</v>
      </c>
      <c r="I128" s="2">
        <v>8254</v>
      </c>
      <c r="J128" s="2">
        <v>165.08</v>
      </c>
      <c r="K128" s="2">
        <v>165</v>
      </c>
      <c r="L128" s="2">
        <f t="shared" si="5"/>
        <v>2000</v>
      </c>
      <c r="M128" s="2" t="s">
        <v>1068</v>
      </c>
      <c r="N128" s="40" t="str">
        <f>_xlfn.XLOOKUP(F128,Terrain!D:D,Terrain!H:H,"")</f>
        <v>2559 - 2560</v>
      </c>
      <c r="O128" t="str">
        <f t="shared" si="3"/>
        <v>60-B09 | 4127 | 485|0</v>
      </c>
    </row>
    <row r="129" spans="1:15" x14ac:dyDescent="0.3">
      <c r="A129" s="43">
        <v>46082</v>
      </c>
      <c r="B129" s="2" t="s">
        <v>5</v>
      </c>
      <c r="C129" s="2" t="s">
        <v>1256</v>
      </c>
      <c r="D129" s="2" t="s">
        <v>198</v>
      </c>
      <c r="E129" s="2" t="str">
        <f>_xlfn.XLOOKUP(F129,Terrain!D:D,Terrain!A:A,"")</f>
        <v>Upper</v>
      </c>
      <c r="F129" s="2" t="s">
        <v>1135</v>
      </c>
      <c r="G129" s="2" t="s">
        <v>900</v>
      </c>
      <c r="H129" s="2">
        <f t="shared" si="4"/>
        <v>2550</v>
      </c>
      <c r="I129" s="2">
        <v>6367.5</v>
      </c>
      <c r="J129" s="2">
        <v>127.35</v>
      </c>
      <c r="K129" s="2">
        <v>127</v>
      </c>
      <c r="L129" s="2">
        <f t="shared" si="5"/>
        <v>1500</v>
      </c>
      <c r="M129" s="2" t="s">
        <v>1069</v>
      </c>
      <c r="N129" s="40" t="str">
        <f>_xlfn.XLOOKUP(F129,Terrain!D:D,Terrain!H:H,"")</f>
        <v>2549 - 2552</v>
      </c>
      <c r="O129" t="str">
        <f t="shared" ref="O129:O192" si="6">F129 &amp; " | " &amp; G129 &amp; " | " &amp; D129</f>
        <v>50-B10 | 4245 | 435|0</v>
      </c>
    </row>
    <row r="130" spans="1:15" x14ac:dyDescent="0.3">
      <c r="A130" s="43">
        <v>46082</v>
      </c>
      <c r="B130" s="2" t="s">
        <v>5</v>
      </c>
      <c r="C130" s="2" t="s">
        <v>1256</v>
      </c>
      <c r="D130" s="2" t="s">
        <v>206</v>
      </c>
      <c r="E130" s="2" t="str">
        <f>_xlfn.XLOOKUP(F130,Terrain!D:D,Terrain!A:A,"")</f>
        <v>Upper</v>
      </c>
      <c r="F130" s="2" t="s">
        <v>1149</v>
      </c>
      <c r="G130" s="2" t="s">
        <v>901</v>
      </c>
      <c r="H130" s="2">
        <f t="shared" ref="H130:H193" si="7">2500+VALUE(MID(F130,1,2))</f>
        <v>2565</v>
      </c>
      <c r="I130" s="2">
        <v>6386</v>
      </c>
      <c r="J130" s="2">
        <v>127.72</v>
      </c>
      <c r="K130" s="2">
        <v>128</v>
      </c>
      <c r="L130" s="2">
        <f t="shared" ref="L130:L193" si="8">I130*1000/G130</f>
        <v>2000</v>
      </c>
      <c r="M130" s="2" t="s">
        <v>1066</v>
      </c>
      <c r="N130" s="40" t="str">
        <f>_xlfn.XLOOKUP(F130,Terrain!D:D,Terrain!H:H,"")</f>
        <v>2563 - 2565</v>
      </c>
      <c r="O130" t="str">
        <f t="shared" si="6"/>
        <v>65-B11 | 3193 | 563|0</v>
      </c>
    </row>
    <row r="131" spans="1:15" x14ac:dyDescent="0.3">
      <c r="A131" s="43">
        <v>46082</v>
      </c>
      <c r="B131" s="2" t="s">
        <v>5</v>
      </c>
      <c r="C131" s="2" t="s">
        <v>1256</v>
      </c>
      <c r="D131" s="2" t="s">
        <v>214</v>
      </c>
      <c r="E131" s="2" t="str">
        <f>_xlfn.XLOOKUP(F131,Terrain!D:D,Terrain!A:A,"")</f>
        <v>Upper</v>
      </c>
      <c r="F131" s="2" t="s">
        <v>1137</v>
      </c>
      <c r="G131" s="2" t="s">
        <v>902</v>
      </c>
      <c r="H131" s="2">
        <f t="shared" si="7"/>
        <v>2557</v>
      </c>
      <c r="I131" s="2">
        <v>8530</v>
      </c>
      <c r="J131" s="2">
        <v>170.6</v>
      </c>
      <c r="K131" s="2">
        <v>171</v>
      </c>
      <c r="L131" s="2">
        <f t="shared" si="8"/>
        <v>2000</v>
      </c>
      <c r="M131" s="2" t="s">
        <v>1067</v>
      </c>
      <c r="N131" s="40" t="str">
        <f>_xlfn.XLOOKUP(F131,Terrain!D:D,Terrain!H:H,"")</f>
        <v>2555 - 2558</v>
      </c>
      <c r="O131" t="str">
        <f t="shared" si="6"/>
        <v>57-B12 | 4265 | 493|0</v>
      </c>
    </row>
    <row r="132" spans="1:15" x14ac:dyDescent="0.3">
      <c r="A132" s="43">
        <v>46082</v>
      </c>
      <c r="B132" s="2" t="s">
        <v>5</v>
      </c>
      <c r="C132" s="2" t="s">
        <v>1256</v>
      </c>
      <c r="D132" s="2" t="s">
        <v>222</v>
      </c>
      <c r="E132" s="2" t="str">
        <f>_xlfn.XLOOKUP(F132,Terrain!D:D,Terrain!A:A,"")</f>
        <v>Upper</v>
      </c>
      <c r="F132" s="2" t="s">
        <v>1131</v>
      </c>
      <c r="G132" s="2" t="s">
        <v>903</v>
      </c>
      <c r="H132" s="2">
        <f t="shared" si="7"/>
        <v>2549</v>
      </c>
      <c r="I132" s="2">
        <v>6288</v>
      </c>
      <c r="J132" s="2">
        <v>125.76</v>
      </c>
      <c r="K132" s="2">
        <v>126</v>
      </c>
      <c r="L132" s="2">
        <f t="shared" si="8"/>
        <v>1500</v>
      </c>
      <c r="M132" s="2" t="s">
        <v>1069</v>
      </c>
      <c r="N132" s="40" t="str">
        <f>_xlfn.XLOOKUP(F132,Terrain!D:D,Terrain!H:H,"")</f>
        <v>ปาล์มใหญ่</v>
      </c>
      <c r="O132" t="str">
        <f t="shared" si="6"/>
        <v>49-B13 | 4192 | 434|0</v>
      </c>
    </row>
    <row r="133" spans="1:15" x14ac:dyDescent="0.3">
      <c r="A133" s="43">
        <v>46082</v>
      </c>
      <c r="B133" s="2" t="s">
        <v>5</v>
      </c>
      <c r="C133" s="2" t="s">
        <v>1256</v>
      </c>
      <c r="D133" s="2" t="s">
        <v>230</v>
      </c>
      <c r="E133" s="2" t="str">
        <f>_xlfn.XLOOKUP(F133,Terrain!D:D,Terrain!A:A,"")</f>
        <v>Upper</v>
      </c>
      <c r="F133" s="2" t="s">
        <v>1130</v>
      </c>
      <c r="G133" s="2" t="s">
        <v>904</v>
      </c>
      <c r="H133" s="2">
        <f t="shared" si="7"/>
        <v>2530</v>
      </c>
      <c r="I133" s="2">
        <v>189</v>
      </c>
      <c r="J133" s="2">
        <v>3.78</v>
      </c>
      <c r="K133" s="2">
        <v>4</v>
      </c>
      <c r="L133" s="2">
        <f t="shared" si="8"/>
        <v>1500</v>
      </c>
      <c r="M133" s="2" t="s">
        <v>1070</v>
      </c>
      <c r="N133" s="40" t="str">
        <f>_xlfn.XLOOKUP(F133,Terrain!D:D,Terrain!H:H,"")</f>
        <v>ปาล์มใหญ่</v>
      </c>
      <c r="O133" t="str">
        <f t="shared" si="6"/>
        <v>30-B14 | 126 | 439|0</v>
      </c>
    </row>
    <row r="134" spans="1:15" x14ac:dyDescent="0.3">
      <c r="A134" s="43">
        <v>46082</v>
      </c>
      <c r="B134" s="2" t="s">
        <v>5</v>
      </c>
      <c r="C134" s="2" t="s">
        <v>1256</v>
      </c>
      <c r="D134" s="2" t="s">
        <v>238</v>
      </c>
      <c r="E134" s="2" t="str">
        <f>_xlfn.XLOOKUP(F134,Terrain!D:D,Terrain!A:A,"")</f>
        <v>Upper</v>
      </c>
      <c r="F134" s="2" t="s">
        <v>1139</v>
      </c>
      <c r="G134" s="2" t="s">
        <v>905</v>
      </c>
      <c r="H134" s="2">
        <f t="shared" si="7"/>
        <v>2557</v>
      </c>
      <c r="I134" s="2">
        <v>3326</v>
      </c>
      <c r="J134" s="2">
        <v>66.52</v>
      </c>
      <c r="K134" s="2">
        <v>67</v>
      </c>
      <c r="L134" s="2">
        <f t="shared" si="8"/>
        <v>2000</v>
      </c>
      <c r="M134" s="2" t="s">
        <v>1067</v>
      </c>
      <c r="N134" s="40" t="str">
        <f>_xlfn.XLOOKUP(F134,Terrain!D:D,Terrain!H:H,"")</f>
        <v>2555 - 2558</v>
      </c>
      <c r="O134" t="str">
        <f t="shared" si="6"/>
        <v>57-B14 | 1663 | 487|0</v>
      </c>
    </row>
    <row r="135" spans="1:15" x14ac:dyDescent="0.3">
      <c r="A135" s="43">
        <v>46082</v>
      </c>
      <c r="B135" s="2" t="s">
        <v>5</v>
      </c>
      <c r="C135" s="2" t="s">
        <v>1256</v>
      </c>
      <c r="D135" s="2" t="s">
        <v>246</v>
      </c>
      <c r="E135" s="2" t="str">
        <f>_xlfn.XLOOKUP(F135,Terrain!D:D,Terrain!A:A,"")</f>
        <v>Lower</v>
      </c>
      <c r="F135" s="2" t="s">
        <v>1294</v>
      </c>
      <c r="G135" s="2" t="s">
        <v>1071</v>
      </c>
      <c r="H135" s="2">
        <f t="shared" si="7"/>
        <v>2560</v>
      </c>
      <c r="I135" s="2">
        <v>5414</v>
      </c>
      <c r="J135" s="2">
        <v>108.28</v>
      </c>
      <c r="K135" s="2">
        <v>108</v>
      </c>
      <c r="L135" s="2">
        <f t="shared" si="8"/>
        <v>2000</v>
      </c>
      <c r="M135" s="2" t="s">
        <v>1072</v>
      </c>
      <c r="N135" s="40" t="str">
        <f>_xlfn.XLOOKUP(F135,Terrain!D:D,Terrain!H:H,"")</f>
        <v>2559 - 2560</v>
      </c>
      <c r="O135" t="str">
        <f t="shared" si="6"/>
        <v>60-C01-R | 2707 | 189|0</v>
      </c>
    </row>
    <row r="136" spans="1:15" x14ac:dyDescent="0.3">
      <c r="A136" s="43">
        <v>46082</v>
      </c>
      <c r="B136" s="2" t="s">
        <v>5</v>
      </c>
      <c r="C136" s="2" t="s">
        <v>1256</v>
      </c>
      <c r="D136" s="2" t="s">
        <v>254</v>
      </c>
      <c r="E136" s="2" t="str">
        <f>_xlfn.XLOOKUP(F136,Terrain!D:D,Terrain!A:A,"")</f>
        <v>Lower</v>
      </c>
      <c r="F136" s="2" t="s">
        <v>1295</v>
      </c>
      <c r="G136" s="2" t="s">
        <v>1073</v>
      </c>
      <c r="H136" s="2">
        <f t="shared" si="7"/>
        <v>2560</v>
      </c>
      <c r="I136" s="2">
        <v>4264</v>
      </c>
      <c r="J136" s="2">
        <v>85.28</v>
      </c>
      <c r="K136" s="2">
        <v>85</v>
      </c>
      <c r="L136" s="2">
        <f t="shared" si="8"/>
        <v>2000</v>
      </c>
      <c r="M136" s="2" t="s">
        <v>1072</v>
      </c>
      <c r="N136" s="40" t="str">
        <f>_xlfn.XLOOKUP(F136,Terrain!D:D,Terrain!H:H,"")</f>
        <v>2559 - 2560</v>
      </c>
      <c r="O136" t="str">
        <f t="shared" si="6"/>
        <v>60-C02-R | 2132 | 186|0</v>
      </c>
    </row>
    <row r="137" spans="1:15" x14ac:dyDescent="0.3">
      <c r="A137" s="43">
        <v>46082</v>
      </c>
      <c r="B137" s="2" t="s">
        <v>5</v>
      </c>
      <c r="C137" s="2" t="s">
        <v>1256</v>
      </c>
      <c r="D137" s="2" t="s">
        <v>262</v>
      </c>
      <c r="E137" s="2" t="str">
        <f>_xlfn.XLOOKUP(F137,Terrain!D:D,Terrain!A:A,"")</f>
        <v>Lower</v>
      </c>
      <c r="F137" s="2" t="s">
        <v>1296</v>
      </c>
      <c r="G137" s="2" t="s">
        <v>1074</v>
      </c>
      <c r="H137" s="2">
        <f t="shared" si="7"/>
        <v>2559</v>
      </c>
      <c r="I137" s="2">
        <v>6666</v>
      </c>
      <c r="J137" s="2">
        <v>133.32</v>
      </c>
      <c r="K137" s="2">
        <v>133</v>
      </c>
      <c r="L137" s="2">
        <f t="shared" si="8"/>
        <v>2000</v>
      </c>
      <c r="M137" s="2" t="s">
        <v>1072</v>
      </c>
      <c r="N137" s="40" t="str">
        <f>_xlfn.XLOOKUP(F137,Terrain!D:D,Terrain!H:H,"")</f>
        <v>2559 - 2560</v>
      </c>
      <c r="O137" t="str">
        <f t="shared" si="6"/>
        <v>59-C03-R | 3333 | 184|0</v>
      </c>
    </row>
    <row r="138" spans="1:15" x14ac:dyDescent="0.3">
      <c r="A138" s="43">
        <v>46082</v>
      </c>
      <c r="B138" s="2" t="s">
        <v>5</v>
      </c>
      <c r="C138" s="2" t="s">
        <v>1256</v>
      </c>
      <c r="D138" s="2" t="s">
        <v>270</v>
      </c>
      <c r="E138" s="2" t="str">
        <f>_xlfn.XLOOKUP(F138,Terrain!D:D,Terrain!A:A,"")</f>
        <v>Lower</v>
      </c>
      <c r="F138" s="2" t="s">
        <v>1297</v>
      </c>
      <c r="G138" s="2" t="s">
        <v>1075</v>
      </c>
      <c r="H138" s="2">
        <f t="shared" si="7"/>
        <v>2559</v>
      </c>
      <c r="I138" s="2">
        <v>5050</v>
      </c>
      <c r="J138" s="2">
        <v>101</v>
      </c>
      <c r="K138" s="2">
        <v>101</v>
      </c>
      <c r="L138" s="2">
        <f t="shared" si="8"/>
        <v>2000</v>
      </c>
      <c r="M138" s="2" t="s">
        <v>1072</v>
      </c>
      <c r="N138" s="40" t="str">
        <f>_xlfn.XLOOKUP(F138,Terrain!D:D,Terrain!H:H,"")</f>
        <v>2559 - 2560</v>
      </c>
      <c r="O138" t="str">
        <f t="shared" si="6"/>
        <v>59-C04-R | 2525 | 179|0</v>
      </c>
    </row>
    <row r="139" spans="1:15" x14ac:dyDescent="0.3">
      <c r="A139" s="43">
        <v>46082</v>
      </c>
      <c r="B139" s="2" t="s">
        <v>5</v>
      </c>
      <c r="C139" s="2" t="s">
        <v>1256</v>
      </c>
      <c r="D139" s="2" t="s">
        <v>278</v>
      </c>
      <c r="E139" s="2" t="str">
        <f>_xlfn.XLOOKUP(F139,Terrain!D:D,Terrain!A:A,"")</f>
        <v>Lower</v>
      </c>
      <c r="F139" s="2" t="s">
        <v>1298</v>
      </c>
      <c r="G139" s="2" t="s">
        <v>864</v>
      </c>
      <c r="H139" s="2">
        <f t="shared" si="7"/>
        <v>2522</v>
      </c>
      <c r="I139" s="2">
        <v>276</v>
      </c>
      <c r="J139" s="2">
        <v>5.52</v>
      </c>
      <c r="K139" s="2">
        <v>6</v>
      </c>
      <c r="L139" s="2">
        <f t="shared" si="8"/>
        <v>1500</v>
      </c>
      <c r="M139" s="2" t="s">
        <v>1076</v>
      </c>
      <c r="N139" s="40" t="str">
        <f>_xlfn.XLOOKUP(F139,Terrain!D:D,Terrain!H:H,"")</f>
        <v>ปาล์มใหญ่</v>
      </c>
      <c r="O139" t="str">
        <f t="shared" si="6"/>
        <v>22-C05-R | 184 | 99|0</v>
      </c>
    </row>
    <row r="140" spans="1:15" x14ac:dyDescent="0.3">
      <c r="A140" s="43">
        <v>46082</v>
      </c>
      <c r="B140" s="2" t="s">
        <v>5</v>
      </c>
      <c r="C140" s="2" t="s">
        <v>1256</v>
      </c>
      <c r="D140" s="2" t="s">
        <v>286</v>
      </c>
      <c r="E140" s="2" t="str">
        <f>_xlfn.XLOOKUP(F140,Terrain!D:D,Terrain!A:A,"")</f>
        <v>Lower</v>
      </c>
      <c r="F140" s="2" t="s">
        <v>1299</v>
      </c>
      <c r="G140" s="2" t="s">
        <v>865</v>
      </c>
      <c r="H140" s="2">
        <f t="shared" si="7"/>
        <v>2550</v>
      </c>
      <c r="I140" s="2">
        <v>4188</v>
      </c>
      <c r="J140" s="2">
        <v>83.76</v>
      </c>
      <c r="K140" s="2">
        <v>84</v>
      </c>
      <c r="L140" s="2">
        <f t="shared" si="8"/>
        <v>1500</v>
      </c>
      <c r="M140" s="2" t="s">
        <v>1077</v>
      </c>
      <c r="N140" s="40" t="str">
        <f>_xlfn.XLOOKUP(F140,Terrain!D:D,Terrain!H:H,"")</f>
        <v>2549 - 2552</v>
      </c>
      <c r="O140" t="str">
        <f t="shared" si="6"/>
        <v>50-C05-R | 2792 | 92|0</v>
      </c>
    </row>
    <row r="141" spans="1:15" x14ac:dyDescent="0.3">
      <c r="A141" s="43">
        <v>46082</v>
      </c>
      <c r="B141" s="2" t="s">
        <v>5</v>
      </c>
      <c r="C141" s="2" t="s">
        <v>1256</v>
      </c>
      <c r="D141" s="2" t="s">
        <v>294</v>
      </c>
      <c r="E141" s="2" t="str">
        <f>_xlfn.XLOOKUP(F141,Terrain!D:D,Terrain!A:A,"")</f>
        <v>Lower</v>
      </c>
      <c r="F141" s="2" t="s">
        <v>1300</v>
      </c>
      <c r="G141" s="2" t="s">
        <v>1078</v>
      </c>
      <c r="H141" s="2">
        <f t="shared" si="7"/>
        <v>2560</v>
      </c>
      <c r="I141" s="2">
        <v>1440</v>
      </c>
      <c r="J141" s="2">
        <v>28.8</v>
      </c>
      <c r="K141" s="2">
        <v>29</v>
      </c>
      <c r="L141" s="2">
        <f t="shared" si="8"/>
        <v>2000</v>
      </c>
      <c r="M141" s="2" t="s">
        <v>1072</v>
      </c>
      <c r="N141" s="40" t="str">
        <f>_xlfn.XLOOKUP(F141,Terrain!D:D,Terrain!H:H,"")</f>
        <v>2559 - 2560</v>
      </c>
      <c r="O141" t="str">
        <f t="shared" si="6"/>
        <v>60-C05-R | 720 | 183|0</v>
      </c>
    </row>
    <row r="142" spans="1:15" x14ac:dyDescent="0.3">
      <c r="A142" s="43">
        <v>46082</v>
      </c>
      <c r="B142" s="2" t="s">
        <v>5</v>
      </c>
      <c r="C142" s="2" t="s">
        <v>1256</v>
      </c>
      <c r="D142" s="2" t="s">
        <v>302</v>
      </c>
      <c r="E142" s="2" t="str">
        <f>_xlfn.XLOOKUP(F142,Terrain!D:D,Terrain!A:A,"")</f>
        <v>Lower</v>
      </c>
      <c r="F142" s="2" t="s">
        <v>1301</v>
      </c>
      <c r="G142" s="2" t="s">
        <v>866</v>
      </c>
      <c r="H142" s="2">
        <f t="shared" si="7"/>
        <v>2557</v>
      </c>
      <c r="I142" s="2">
        <v>600</v>
      </c>
      <c r="J142" s="2">
        <v>12</v>
      </c>
      <c r="K142" s="2">
        <v>12</v>
      </c>
      <c r="L142" s="2">
        <f t="shared" si="8"/>
        <v>2000</v>
      </c>
      <c r="M142" s="2" t="s">
        <v>1079</v>
      </c>
      <c r="N142" s="40" t="str">
        <f>_xlfn.XLOOKUP(F142,Terrain!D:D,Terrain!H:H,"")</f>
        <v>2555 - 2558</v>
      </c>
      <c r="O142" t="str">
        <f t="shared" si="6"/>
        <v>57-C06 | 300 | 173|0</v>
      </c>
    </row>
    <row r="143" spans="1:15" x14ac:dyDescent="0.3">
      <c r="A143" s="43">
        <v>46082</v>
      </c>
      <c r="B143" s="2" t="s">
        <v>5</v>
      </c>
      <c r="C143" s="2" t="s">
        <v>1256</v>
      </c>
      <c r="D143" s="2" t="s">
        <v>310</v>
      </c>
      <c r="E143" s="2" t="str">
        <f>_xlfn.XLOOKUP(F143,Terrain!D:D,Terrain!A:A,"")</f>
        <v>Lower</v>
      </c>
      <c r="F143" s="2" t="s">
        <v>1302</v>
      </c>
      <c r="G143" s="2" t="s">
        <v>1080</v>
      </c>
      <c r="H143" s="2">
        <f t="shared" si="7"/>
        <v>2557</v>
      </c>
      <c r="I143" s="2">
        <v>4990</v>
      </c>
      <c r="J143" s="2">
        <v>99.8</v>
      </c>
      <c r="K143" s="2">
        <v>100</v>
      </c>
      <c r="L143" s="2">
        <f t="shared" si="8"/>
        <v>2000</v>
      </c>
      <c r="M143" s="2" t="s">
        <v>1081</v>
      </c>
      <c r="N143" s="40" t="str">
        <f>_xlfn.XLOOKUP(F143,Terrain!D:D,Terrain!H:H,"")</f>
        <v>2555 - 2558</v>
      </c>
      <c r="O143" t="str">
        <f t="shared" si="6"/>
        <v>57-C06-R | 2495 | 178|0</v>
      </c>
    </row>
    <row r="144" spans="1:15" x14ac:dyDescent="0.3">
      <c r="A144" s="43">
        <v>46082</v>
      </c>
      <c r="B144" s="2" t="s">
        <v>5</v>
      </c>
      <c r="C144" s="2" t="s">
        <v>1256</v>
      </c>
      <c r="D144" s="2" t="s">
        <v>318</v>
      </c>
      <c r="E144" s="2" t="str">
        <f>_xlfn.XLOOKUP(F144,Terrain!D:D,Terrain!A:A,"")</f>
        <v>Lower</v>
      </c>
      <c r="F144" s="2" t="s">
        <v>1303</v>
      </c>
      <c r="G144" s="2" t="s">
        <v>867</v>
      </c>
      <c r="H144" s="2">
        <f t="shared" si="7"/>
        <v>2550</v>
      </c>
      <c r="I144" s="2">
        <v>6303</v>
      </c>
      <c r="J144" s="2">
        <v>126.06</v>
      </c>
      <c r="K144" s="2">
        <v>126</v>
      </c>
      <c r="L144" s="2">
        <f t="shared" si="8"/>
        <v>1500</v>
      </c>
      <c r="M144" s="2" t="s">
        <v>1077</v>
      </c>
      <c r="N144" s="40" t="str">
        <f>_xlfn.XLOOKUP(F144,Terrain!D:D,Terrain!H:H,"")</f>
        <v>2549 - 2552</v>
      </c>
      <c r="O144" t="str">
        <f t="shared" si="6"/>
        <v>50-C07-R | 4202 | 95|0</v>
      </c>
    </row>
    <row r="145" spans="1:15" x14ac:dyDescent="0.3">
      <c r="A145" s="43">
        <v>46082</v>
      </c>
      <c r="B145" s="2" t="s">
        <v>5</v>
      </c>
      <c r="C145" s="2" t="s">
        <v>1256</v>
      </c>
      <c r="D145" s="2" t="s">
        <v>326</v>
      </c>
      <c r="E145" s="2" t="str">
        <f>_xlfn.XLOOKUP(F145,Terrain!D:D,Terrain!A:A,"")</f>
        <v>Lower</v>
      </c>
      <c r="F145" s="2" t="s">
        <v>1304</v>
      </c>
      <c r="G145" s="2" t="s">
        <v>1082</v>
      </c>
      <c r="H145" s="2">
        <f t="shared" si="7"/>
        <v>2559</v>
      </c>
      <c r="I145" s="2">
        <v>5776</v>
      </c>
      <c r="J145" s="2">
        <v>115.52</v>
      </c>
      <c r="K145" s="2">
        <v>116</v>
      </c>
      <c r="L145" s="2">
        <f t="shared" si="8"/>
        <v>2000</v>
      </c>
      <c r="M145" s="2" t="s">
        <v>1072</v>
      </c>
      <c r="N145" s="40" t="str">
        <f>_xlfn.XLOOKUP(F145,Terrain!D:D,Terrain!H:H,"")</f>
        <v>2559 - 2560</v>
      </c>
      <c r="O145" t="str">
        <f t="shared" si="6"/>
        <v>59-C08-R | 2888 | 185|0</v>
      </c>
    </row>
    <row r="146" spans="1:15" x14ac:dyDescent="0.3">
      <c r="A146" s="43">
        <v>46082</v>
      </c>
      <c r="B146" s="2" t="s">
        <v>5</v>
      </c>
      <c r="C146" s="2" t="s">
        <v>1256</v>
      </c>
      <c r="D146" s="2" t="s">
        <v>334</v>
      </c>
      <c r="E146" s="2" t="str">
        <f>_xlfn.XLOOKUP(F146,Terrain!D:D,Terrain!A:A,"")</f>
        <v>Lower</v>
      </c>
      <c r="F146" s="2" t="s">
        <v>1305</v>
      </c>
      <c r="G146" s="2" t="s">
        <v>1083</v>
      </c>
      <c r="H146" s="2">
        <f t="shared" si="7"/>
        <v>2559</v>
      </c>
      <c r="I146" s="2">
        <v>3810</v>
      </c>
      <c r="J146" s="2">
        <v>76.2</v>
      </c>
      <c r="K146" s="2">
        <v>76</v>
      </c>
      <c r="L146" s="2">
        <f t="shared" si="8"/>
        <v>2000</v>
      </c>
      <c r="M146" s="2" t="s">
        <v>1072</v>
      </c>
      <c r="N146" s="40" t="str">
        <f>_xlfn.XLOOKUP(F146,Terrain!D:D,Terrain!H:H,"")</f>
        <v>2559 - 2560</v>
      </c>
      <c r="O146" t="str">
        <f t="shared" si="6"/>
        <v>59-C09-R | 1905 | 177|0</v>
      </c>
    </row>
    <row r="147" spans="1:15" x14ac:dyDescent="0.3">
      <c r="A147" s="43">
        <v>46082</v>
      </c>
      <c r="B147" s="2" t="s">
        <v>5</v>
      </c>
      <c r="C147" s="2" t="s">
        <v>1256</v>
      </c>
      <c r="D147" s="2" t="s">
        <v>342</v>
      </c>
      <c r="E147" s="2" t="str">
        <f>_xlfn.XLOOKUP(F147,Terrain!D:D,Terrain!A:A,"")</f>
        <v>Lower</v>
      </c>
      <c r="F147" s="2" t="s">
        <v>1306</v>
      </c>
      <c r="G147" s="2" t="s">
        <v>868</v>
      </c>
      <c r="H147" s="2">
        <f t="shared" si="7"/>
        <v>2556</v>
      </c>
      <c r="I147" s="2">
        <v>6212</v>
      </c>
      <c r="J147" s="2">
        <v>124.24</v>
      </c>
      <c r="K147" s="2">
        <v>124</v>
      </c>
      <c r="L147" s="2">
        <f t="shared" si="8"/>
        <v>2000</v>
      </c>
      <c r="M147" s="2" t="s">
        <v>1081</v>
      </c>
      <c r="N147" s="40" t="str">
        <f>_xlfn.XLOOKUP(F147,Terrain!D:D,Terrain!H:H,"")</f>
        <v>2555 - 2558</v>
      </c>
      <c r="O147" t="str">
        <f t="shared" si="6"/>
        <v>56-C10-R | 3106 | 182|0</v>
      </c>
    </row>
    <row r="148" spans="1:15" x14ac:dyDescent="0.3">
      <c r="A148" s="43">
        <v>46082</v>
      </c>
      <c r="B148" s="2" t="s">
        <v>5</v>
      </c>
      <c r="C148" s="2" t="s">
        <v>1256</v>
      </c>
      <c r="D148" s="2" t="s">
        <v>350</v>
      </c>
      <c r="E148" s="2" t="str">
        <f>_xlfn.XLOOKUP(F148,Terrain!D:D,Terrain!A:A,"")</f>
        <v>Lower</v>
      </c>
      <c r="F148" s="2" t="s">
        <v>1307</v>
      </c>
      <c r="G148" s="2" t="s">
        <v>1084</v>
      </c>
      <c r="H148" s="2">
        <f t="shared" si="7"/>
        <v>2559</v>
      </c>
      <c r="I148" s="2">
        <v>4582</v>
      </c>
      <c r="J148" s="2">
        <v>91.64</v>
      </c>
      <c r="K148" s="2">
        <v>92</v>
      </c>
      <c r="L148" s="2">
        <f t="shared" si="8"/>
        <v>2000</v>
      </c>
      <c r="M148" s="2" t="s">
        <v>1072</v>
      </c>
      <c r="N148" s="40" t="str">
        <f>_xlfn.XLOOKUP(F148,Terrain!D:D,Terrain!H:H,"")</f>
        <v>2559 - 2560</v>
      </c>
      <c r="O148" t="str">
        <f t="shared" si="6"/>
        <v>59-C11-R | 2291 | 188|0</v>
      </c>
    </row>
    <row r="149" spans="1:15" x14ac:dyDescent="0.3">
      <c r="A149" s="43">
        <v>46082</v>
      </c>
      <c r="B149" s="2" t="s">
        <v>5</v>
      </c>
      <c r="C149" s="2" t="s">
        <v>1256</v>
      </c>
      <c r="D149" s="2" t="s">
        <v>358</v>
      </c>
      <c r="E149" s="2" t="str">
        <f>_xlfn.XLOOKUP(F149,Terrain!D:D,Terrain!A:A,"")</f>
        <v>Lower</v>
      </c>
      <c r="F149" s="2" t="s">
        <v>1308</v>
      </c>
      <c r="G149" s="2" t="s">
        <v>863</v>
      </c>
      <c r="H149" s="2">
        <f t="shared" si="7"/>
        <v>2565</v>
      </c>
      <c r="I149" s="2">
        <v>5062</v>
      </c>
      <c r="J149" s="2">
        <v>101.24</v>
      </c>
      <c r="K149" s="2">
        <v>101</v>
      </c>
      <c r="L149" s="2">
        <f t="shared" si="8"/>
        <v>2000</v>
      </c>
      <c r="M149" s="2" t="s">
        <v>1044</v>
      </c>
      <c r="N149" s="40" t="str">
        <f>_xlfn.XLOOKUP(F149,Terrain!D:D,Terrain!H:H,"")</f>
        <v>2563 - 2565</v>
      </c>
      <c r="O149" t="str">
        <f t="shared" si="6"/>
        <v>65-D01-R | 2531 | 268|0</v>
      </c>
    </row>
    <row r="150" spans="1:15" x14ac:dyDescent="0.3">
      <c r="A150" s="43">
        <v>46082</v>
      </c>
      <c r="B150" s="2" t="s">
        <v>5</v>
      </c>
      <c r="C150" s="2" t="s">
        <v>1256</v>
      </c>
      <c r="D150" s="2" t="s">
        <v>366</v>
      </c>
      <c r="E150" s="2" t="str">
        <f>_xlfn.XLOOKUP(F150,Terrain!D:D,Terrain!A:A,"")</f>
        <v>Lower</v>
      </c>
      <c r="F150" s="2" t="s">
        <v>1309</v>
      </c>
      <c r="G150" s="2" t="s">
        <v>869</v>
      </c>
      <c r="H150" s="2">
        <f t="shared" si="7"/>
        <v>2564</v>
      </c>
      <c r="I150" s="2">
        <v>5706</v>
      </c>
      <c r="J150" s="2">
        <v>114.12</v>
      </c>
      <c r="K150" s="2">
        <v>114</v>
      </c>
      <c r="L150" s="2">
        <f t="shared" si="8"/>
        <v>2000</v>
      </c>
      <c r="M150" s="2" t="s">
        <v>1044</v>
      </c>
      <c r="N150" s="40" t="str">
        <f>_xlfn.XLOOKUP(F150,Terrain!D:D,Terrain!H:H,"")</f>
        <v>2563 - 2565</v>
      </c>
      <c r="O150" t="str">
        <f t="shared" si="6"/>
        <v>64-D02-R | 2853 | 262|0</v>
      </c>
    </row>
    <row r="151" spans="1:15" x14ac:dyDescent="0.3">
      <c r="A151" s="43">
        <v>46082</v>
      </c>
      <c r="B151" s="2" t="s">
        <v>5</v>
      </c>
      <c r="C151" s="2" t="s">
        <v>1256</v>
      </c>
      <c r="D151" s="2" t="s">
        <v>374</v>
      </c>
      <c r="E151" s="2" t="str">
        <f>_xlfn.XLOOKUP(F151,Terrain!D:D,Terrain!A:A,"")</f>
        <v>Lower</v>
      </c>
      <c r="F151" s="2" t="s">
        <v>1310</v>
      </c>
      <c r="G151" s="2" t="s">
        <v>870</v>
      </c>
      <c r="H151" s="2">
        <f t="shared" si="7"/>
        <v>2565</v>
      </c>
      <c r="I151" s="2">
        <v>5606</v>
      </c>
      <c r="J151" s="2">
        <v>112.12</v>
      </c>
      <c r="K151" s="2">
        <v>112</v>
      </c>
      <c r="L151" s="2">
        <f t="shared" si="8"/>
        <v>2000</v>
      </c>
      <c r="M151" s="2" t="s">
        <v>1044</v>
      </c>
      <c r="N151" s="40" t="str">
        <f>_xlfn.XLOOKUP(F151,Terrain!D:D,Terrain!H:H,"")</f>
        <v>2563 - 2565</v>
      </c>
      <c r="O151" t="str">
        <f t="shared" si="6"/>
        <v>65-D03-R | 2803 | 265|0</v>
      </c>
    </row>
    <row r="152" spans="1:15" x14ac:dyDescent="0.3">
      <c r="A152" s="43">
        <v>46082</v>
      </c>
      <c r="B152" s="2" t="s">
        <v>5</v>
      </c>
      <c r="C152" s="2" t="s">
        <v>1256</v>
      </c>
      <c r="D152" s="2" t="s">
        <v>382</v>
      </c>
      <c r="E152" s="2" t="str">
        <f>_xlfn.XLOOKUP(F152,Terrain!D:D,Terrain!A:A,"")</f>
        <v>Lower</v>
      </c>
      <c r="F152" s="2" t="s">
        <v>1311</v>
      </c>
      <c r="G152" s="2" t="s">
        <v>871</v>
      </c>
      <c r="H152" s="2">
        <f t="shared" si="7"/>
        <v>2565</v>
      </c>
      <c r="I152" s="2">
        <v>5638</v>
      </c>
      <c r="J152" s="2">
        <v>112.76</v>
      </c>
      <c r="K152" s="2">
        <v>113</v>
      </c>
      <c r="L152" s="2">
        <f t="shared" si="8"/>
        <v>2000</v>
      </c>
      <c r="M152" s="2" t="s">
        <v>1044</v>
      </c>
      <c r="N152" s="40" t="str">
        <f>_xlfn.XLOOKUP(F152,Terrain!D:D,Terrain!H:H,"")</f>
        <v>2563 - 2565</v>
      </c>
      <c r="O152" t="str">
        <f t="shared" si="6"/>
        <v>65-D04-R | 2819 | 267|0</v>
      </c>
    </row>
    <row r="153" spans="1:15" x14ac:dyDescent="0.3">
      <c r="A153" s="43">
        <v>46082</v>
      </c>
      <c r="B153" s="2" t="s">
        <v>5</v>
      </c>
      <c r="C153" s="2" t="s">
        <v>1256</v>
      </c>
      <c r="D153" s="2" t="s">
        <v>390</v>
      </c>
      <c r="E153" s="2" t="str">
        <f>_xlfn.XLOOKUP(F153,Terrain!D:D,Terrain!A:A,"")</f>
        <v>Lower</v>
      </c>
      <c r="F153" s="2" t="s">
        <v>1268</v>
      </c>
      <c r="G153" s="2" t="s">
        <v>1042</v>
      </c>
      <c r="H153" s="2">
        <f t="shared" si="7"/>
        <v>2565</v>
      </c>
      <c r="I153" s="2">
        <v>5374</v>
      </c>
      <c r="J153" s="2">
        <v>107.48</v>
      </c>
      <c r="K153" s="2">
        <v>107</v>
      </c>
      <c r="L153" s="2">
        <f t="shared" si="8"/>
        <v>2000</v>
      </c>
      <c r="M153" s="2" t="s">
        <v>1044</v>
      </c>
      <c r="N153" s="40" t="str">
        <f>_xlfn.XLOOKUP(F153,Terrain!D:D,Terrain!H:H,"")</f>
        <v>2563 - 2565</v>
      </c>
      <c r="O153" t="str">
        <f t="shared" si="6"/>
        <v>65-D05-R | 2687 | 263|0</v>
      </c>
    </row>
    <row r="154" spans="1:15" x14ac:dyDescent="0.3">
      <c r="A154" s="43">
        <v>46082</v>
      </c>
      <c r="B154" s="2" t="s">
        <v>5</v>
      </c>
      <c r="C154" s="2" t="s">
        <v>1256</v>
      </c>
      <c r="D154" s="2" t="s">
        <v>407</v>
      </c>
      <c r="E154" s="2" t="str">
        <f>_xlfn.XLOOKUP(F154,Terrain!D:D,Terrain!A:A,"")</f>
        <v>Lower</v>
      </c>
      <c r="F154" s="2" t="s">
        <v>1313</v>
      </c>
      <c r="G154" s="2" t="s">
        <v>1086</v>
      </c>
      <c r="H154" s="2">
        <f t="shared" si="7"/>
        <v>2556</v>
      </c>
      <c r="I154" s="2">
        <v>7862</v>
      </c>
      <c r="J154" s="2">
        <v>157.24</v>
      </c>
      <c r="K154" s="2">
        <v>157</v>
      </c>
      <c r="L154" s="2">
        <f t="shared" si="8"/>
        <v>2000</v>
      </c>
      <c r="M154" s="2" t="s">
        <v>1087</v>
      </c>
      <c r="N154" s="40" t="str">
        <f>_xlfn.XLOOKUP(F154,Terrain!D:D,Terrain!H:H,"")</f>
        <v>2555 - 2558</v>
      </c>
      <c r="O154" t="str">
        <f t="shared" si="6"/>
        <v>56-D07-R | 3931 | 181|0</v>
      </c>
    </row>
    <row r="155" spans="1:15" x14ac:dyDescent="0.3">
      <c r="A155" s="43">
        <v>46082</v>
      </c>
      <c r="B155" s="2" t="s">
        <v>5</v>
      </c>
      <c r="C155" s="2" t="s">
        <v>1256</v>
      </c>
      <c r="D155" s="2" t="s">
        <v>415</v>
      </c>
      <c r="E155" s="2" t="str">
        <f>_xlfn.XLOOKUP(F155,Terrain!D:D,Terrain!A:A,"")</f>
        <v>Lower</v>
      </c>
      <c r="F155" s="2" t="s">
        <v>1314</v>
      </c>
      <c r="G155" s="2" t="s">
        <v>1088</v>
      </c>
      <c r="H155" s="2">
        <f t="shared" si="7"/>
        <v>2563</v>
      </c>
      <c r="I155" s="2">
        <v>4730</v>
      </c>
      <c r="J155" s="2">
        <v>94.6</v>
      </c>
      <c r="K155" s="2">
        <v>95</v>
      </c>
      <c r="L155" s="2">
        <f t="shared" si="8"/>
        <v>2000</v>
      </c>
      <c r="M155" s="2" t="s">
        <v>1044</v>
      </c>
      <c r="N155" s="40" t="str">
        <f>_xlfn.XLOOKUP(F155,Terrain!D:D,Terrain!H:H,"")</f>
        <v>2563 - 2565</v>
      </c>
      <c r="O155" t="str">
        <f t="shared" si="6"/>
        <v>63-D08-R | 2365 | 269|0</v>
      </c>
    </row>
    <row r="156" spans="1:15" x14ac:dyDescent="0.3">
      <c r="A156" s="43">
        <v>46082</v>
      </c>
      <c r="B156" s="2" t="s">
        <v>5</v>
      </c>
      <c r="C156" s="2" t="s">
        <v>1256</v>
      </c>
      <c r="D156" s="2" t="s">
        <v>423</v>
      </c>
      <c r="E156" s="2" t="str">
        <f>_xlfn.XLOOKUP(F156,Terrain!D:D,Terrain!A:A,"")</f>
        <v>Lower</v>
      </c>
      <c r="F156" s="2" t="s">
        <v>1315</v>
      </c>
      <c r="G156" s="2" t="s">
        <v>873</v>
      </c>
      <c r="H156" s="2">
        <f t="shared" si="7"/>
        <v>2566</v>
      </c>
      <c r="I156" s="2">
        <v>1499.5</v>
      </c>
      <c r="J156" s="2">
        <v>29.99</v>
      </c>
      <c r="K156" s="2">
        <v>30</v>
      </c>
      <c r="L156" s="2">
        <f t="shared" si="8"/>
        <v>500</v>
      </c>
      <c r="M156" s="2" t="s">
        <v>1089</v>
      </c>
      <c r="N156" s="40">
        <f>_xlfn.XLOOKUP(F156,Terrain!D:D,Terrain!H:H,"")</f>
        <v>2566</v>
      </c>
      <c r="O156" t="str">
        <f t="shared" si="6"/>
        <v>66-D09-R | 2999 | 323|0</v>
      </c>
    </row>
    <row r="157" spans="1:15" x14ac:dyDescent="0.3">
      <c r="A157" s="43">
        <v>46082</v>
      </c>
      <c r="B157" s="2" t="s">
        <v>5</v>
      </c>
      <c r="C157" s="2" t="s">
        <v>1256</v>
      </c>
      <c r="D157" s="2" t="s">
        <v>451</v>
      </c>
      <c r="E157" s="2" t="str">
        <f>_xlfn.XLOOKUP(F157,Terrain!D:D,Terrain!A:A,"")</f>
        <v>Lower</v>
      </c>
      <c r="F157" s="2" t="s">
        <v>1318</v>
      </c>
      <c r="G157" s="2" t="s">
        <v>876</v>
      </c>
      <c r="H157" s="2">
        <f t="shared" si="7"/>
        <v>2566</v>
      </c>
      <c r="I157" s="2">
        <v>1275</v>
      </c>
      <c r="J157" s="2">
        <v>25.5</v>
      </c>
      <c r="K157" s="2">
        <v>26</v>
      </c>
      <c r="L157" s="2">
        <f t="shared" si="8"/>
        <v>500</v>
      </c>
      <c r="M157" s="2" t="s">
        <v>1091</v>
      </c>
      <c r="N157" s="40">
        <f>_xlfn.XLOOKUP(F157,Terrain!D:D,Terrain!H:H,"")</f>
        <v>2566</v>
      </c>
      <c r="O157" t="str">
        <f t="shared" si="6"/>
        <v>66-P03-R | 2550 | 320|0</v>
      </c>
    </row>
    <row r="158" spans="1:15" x14ac:dyDescent="0.3">
      <c r="A158" s="43">
        <v>46082</v>
      </c>
      <c r="B158" s="2" t="s">
        <v>5</v>
      </c>
      <c r="C158" s="2" t="s">
        <v>1256</v>
      </c>
      <c r="D158" s="2" t="s">
        <v>461</v>
      </c>
      <c r="E158" s="2" t="str">
        <f>_xlfn.XLOOKUP(F158,Terrain!D:D,Terrain!A:A,"")</f>
        <v>Lower</v>
      </c>
      <c r="F158" s="2" t="s">
        <v>1319</v>
      </c>
      <c r="G158" s="2" t="s">
        <v>877</v>
      </c>
      <c r="H158" s="2">
        <f t="shared" si="7"/>
        <v>2566</v>
      </c>
      <c r="I158" s="2">
        <v>1427</v>
      </c>
      <c r="J158" s="2">
        <v>28.54</v>
      </c>
      <c r="K158" s="2">
        <v>29</v>
      </c>
      <c r="L158" s="2">
        <f t="shared" si="8"/>
        <v>500</v>
      </c>
      <c r="M158" s="2" t="s">
        <v>1091</v>
      </c>
      <c r="N158" s="40">
        <f>_xlfn.XLOOKUP(F158,Terrain!D:D,Terrain!H:H,"")</f>
        <v>2566</v>
      </c>
      <c r="O158" t="str">
        <f t="shared" si="6"/>
        <v>66-P04-R | 2854 | 324|0</v>
      </c>
    </row>
    <row r="159" spans="1:15" x14ac:dyDescent="0.3">
      <c r="A159" s="43">
        <v>46082</v>
      </c>
      <c r="B159" s="2" t="s">
        <v>5</v>
      </c>
      <c r="C159" s="2" t="s">
        <v>1256</v>
      </c>
      <c r="D159" s="2" t="s">
        <v>471</v>
      </c>
      <c r="E159" s="2" t="str">
        <f>_xlfn.XLOOKUP(F159,Terrain!D:D,Terrain!A:A,"")</f>
        <v>Lower</v>
      </c>
      <c r="F159" s="2" t="s">
        <v>1320</v>
      </c>
      <c r="G159" s="2" t="s">
        <v>878</v>
      </c>
      <c r="H159" s="2">
        <f t="shared" si="7"/>
        <v>2566</v>
      </c>
      <c r="I159" s="2">
        <v>1555.5</v>
      </c>
      <c r="J159" s="2">
        <v>31.11</v>
      </c>
      <c r="K159" s="2">
        <v>31</v>
      </c>
      <c r="L159" s="2">
        <f t="shared" si="8"/>
        <v>500</v>
      </c>
      <c r="M159" s="2" t="s">
        <v>1091</v>
      </c>
      <c r="N159" s="40">
        <f>_xlfn.XLOOKUP(F159,Terrain!D:D,Terrain!H:H,"")</f>
        <v>2566</v>
      </c>
      <c r="O159" t="str">
        <f t="shared" si="6"/>
        <v>66-P05-R | 3111 | 322|0</v>
      </c>
    </row>
    <row r="160" spans="1:15" x14ac:dyDescent="0.3">
      <c r="A160" s="43">
        <v>46082</v>
      </c>
      <c r="B160" s="2" t="s">
        <v>5</v>
      </c>
      <c r="C160" s="2" t="s">
        <v>1256</v>
      </c>
      <c r="D160" s="2" t="s">
        <v>481</v>
      </c>
      <c r="E160" s="2" t="str">
        <f>_xlfn.XLOOKUP(F160,Terrain!D:D,Terrain!A:A,"")</f>
        <v>Lower</v>
      </c>
      <c r="F160" s="2" t="s">
        <v>1321</v>
      </c>
      <c r="G160" s="2" t="s">
        <v>879</v>
      </c>
      <c r="H160" s="2">
        <f t="shared" si="7"/>
        <v>2564</v>
      </c>
      <c r="I160" s="2">
        <v>5772</v>
      </c>
      <c r="J160" s="2">
        <v>115.44</v>
      </c>
      <c r="K160" s="2">
        <v>115</v>
      </c>
      <c r="L160" s="2">
        <f t="shared" si="8"/>
        <v>2000</v>
      </c>
      <c r="M160" s="2" t="s">
        <v>1092</v>
      </c>
      <c r="N160" s="40" t="str">
        <f>_xlfn.XLOOKUP(F160,Terrain!D:D,Terrain!H:H,"")</f>
        <v>2563 - 2565</v>
      </c>
      <c r="O160" t="str">
        <f t="shared" si="6"/>
        <v>64-P06-R | 2886 | 270|0</v>
      </c>
    </row>
    <row r="161" spans="1:15" x14ac:dyDescent="0.3">
      <c r="A161" s="43">
        <v>46082</v>
      </c>
      <c r="B161" s="2" t="s">
        <v>5</v>
      </c>
      <c r="C161" s="2" t="s">
        <v>1256</v>
      </c>
      <c r="D161" s="2" t="s">
        <v>489</v>
      </c>
      <c r="E161" s="2" t="str">
        <f>_xlfn.XLOOKUP(F161,Terrain!D:D,Terrain!A:A,"")</f>
        <v>Lower</v>
      </c>
      <c r="F161" s="2" t="s">
        <v>1322</v>
      </c>
      <c r="G161" s="2" t="s">
        <v>880</v>
      </c>
      <c r="H161" s="2">
        <f t="shared" si="7"/>
        <v>2551</v>
      </c>
      <c r="I161" s="2">
        <v>228</v>
      </c>
      <c r="J161" s="2">
        <v>4.5599999999999996</v>
      </c>
      <c r="K161" s="2">
        <v>5</v>
      </c>
      <c r="L161" s="2">
        <f t="shared" si="8"/>
        <v>1500</v>
      </c>
      <c r="M161" s="2" t="s">
        <v>1093</v>
      </c>
      <c r="N161" s="40" t="str">
        <f>_xlfn.XLOOKUP(F161,Terrain!D:D,Terrain!H:H,"")</f>
        <v>2549 - 2552</v>
      </c>
      <c r="O161" t="str">
        <f t="shared" si="6"/>
        <v>51-P07 | 152 | 98|0</v>
      </c>
    </row>
    <row r="162" spans="1:15" x14ac:dyDescent="0.3">
      <c r="A162" s="43">
        <v>46082</v>
      </c>
      <c r="B162" s="2" t="s">
        <v>5</v>
      </c>
      <c r="C162" s="2" t="s">
        <v>1256</v>
      </c>
      <c r="D162" s="2" t="s">
        <v>497</v>
      </c>
      <c r="E162" s="2" t="str">
        <f>_xlfn.XLOOKUP(F162,Terrain!D:D,Terrain!A:A,"")</f>
        <v>Lower</v>
      </c>
      <c r="F162" s="2" t="s">
        <v>1323</v>
      </c>
      <c r="G162" s="2" t="s">
        <v>881</v>
      </c>
      <c r="H162" s="2">
        <f t="shared" si="7"/>
        <v>2551</v>
      </c>
      <c r="I162" s="2">
        <v>601.5</v>
      </c>
      <c r="J162" s="2">
        <v>12.03</v>
      </c>
      <c r="K162" s="2">
        <v>12</v>
      </c>
      <c r="L162" s="2">
        <f t="shared" si="8"/>
        <v>1500</v>
      </c>
      <c r="M162" s="2" t="s">
        <v>1094</v>
      </c>
      <c r="N162" s="40" t="str">
        <f>_xlfn.XLOOKUP(F162,Terrain!D:D,Terrain!H:H,"")</f>
        <v>2549 - 2552</v>
      </c>
      <c r="O162" t="str">
        <f t="shared" si="6"/>
        <v>51-P07-R | 401 | 90|0</v>
      </c>
    </row>
    <row r="163" spans="1:15" x14ac:dyDescent="0.3">
      <c r="A163" s="43">
        <v>46082</v>
      </c>
      <c r="B163" s="2" t="s">
        <v>5</v>
      </c>
      <c r="C163" s="2" t="s">
        <v>1256</v>
      </c>
      <c r="D163" s="2" t="s">
        <v>505</v>
      </c>
      <c r="E163" s="2" t="str">
        <f>_xlfn.XLOOKUP(F163,Terrain!D:D,Terrain!A:A,"")</f>
        <v>Lower</v>
      </c>
      <c r="F163" s="2" t="s">
        <v>1324</v>
      </c>
      <c r="G163" s="2" t="s">
        <v>882</v>
      </c>
      <c r="H163" s="2">
        <f t="shared" si="7"/>
        <v>2564</v>
      </c>
      <c r="I163" s="2">
        <v>5158</v>
      </c>
      <c r="J163" s="2">
        <v>103.16</v>
      </c>
      <c r="K163" s="2">
        <v>103</v>
      </c>
      <c r="L163" s="2">
        <f t="shared" si="8"/>
        <v>2000</v>
      </c>
      <c r="M163" s="2" t="s">
        <v>1092</v>
      </c>
      <c r="N163" s="40" t="str">
        <f>_xlfn.XLOOKUP(F163,Terrain!D:D,Terrain!H:H,"")</f>
        <v>2563 - 2565</v>
      </c>
      <c r="O163" t="str">
        <f t="shared" si="6"/>
        <v>64-P07-R | 2579 | 260|0</v>
      </c>
    </row>
    <row r="164" spans="1:15" x14ac:dyDescent="0.3">
      <c r="A164" s="43">
        <v>46082</v>
      </c>
      <c r="B164" s="2" t="s">
        <v>5</v>
      </c>
      <c r="C164" s="2" t="s">
        <v>1256</v>
      </c>
      <c r="D164" s="2" t="s">
        <v>513</v>
      </c>
      <c r="E164" s="2" t="str">
        <f>_xlfn.XLOOKUP(F164,Terrain!D:D,Terrain!A:A,"")</f>
        <v>Lower</v>
      </c>
      <c r="F164" s="2" t="s">
        <v>1325</v>
      </c>
      <c r="G164" s="2" t="s">
        <v>883</v>
      </c>
      <c r="H164" s="2">
        <f t="shared" si="7"/>
        <v>2564</v>
      </c>
      <c r="I164" s="2">
        <v>6804</v>
      </c>
      <c r="J164" s="2">
        <v>136.08000000000001</v>
      </c>
      <c r="K164" s="2">
        <v>136</v>
      </c>
      <c r="L164" s="2">
        <f t="shared" si="8"/>
        <v>2000</v>
      </c>
      <c r="M164" s="2" t="s">
        <v>1092</v>
      </c>
      <c r="N164" s="40" t="str">
        <f>_xlfn.XLOOKUP(F164,Terrain!D:D,Terrain!H:H,"")</f>
        <v>2563 - 2565</v>
      </c>
      <c r="O164" t="str">
        <f t="shared" si="6"/>
        <v>64-P08-R | 3402 | 264|0</v>
      </c>
    </row>
    <row r="165" spans="1:15" x14ac:dyDescent="0.3">
      <c r="A165" s="43">
        <v>46082</v>
      </c>
      <c r="B165" s="2" t="s">
        <v>5</v>
      </c>
      <c r="C165" s="2" t="s">
        <v>1256</v>
      </c>
      <c r="D165" s="2" t="s">
        <v>521</v>
      </c>
      <c r="E165" s="2" t="str">
        <f>_xlfn.XLOOKUP(F165,Terrain!D:D,Terrain!A:A,"")</f>
        <v>Lower</v>
      </c>
      <c r="F165" s="2" t="s">
        <v>1326</v>
      </c>
      <c r="G165" s="2" t="s">
        <v>884</v>
      </c>
      <c r="H165" s="2">
        <f t="shared" si="7"/>
        <v>2564</v>
      </c>
      <c r="I165" s="2">
        <v>4384</v>
      </c>
      <c r="J165" s="2">
        <v>87.68</v>
      </c>
      <c r="K165" s="2">
        <v>88</v>
      </c>
      <c r="L165" s="2">
        <f t="shared" si="8"/>
        <v>2000</v>
      </c>
      <c r="M165" s="2" t="s">
        <v>1092</v>
      </c>
      <c r="N165" s="40" t="str">
        <f>_xlfn.XLOOKUP(F165,Terrain!D:D,Terrain!H:H,"")</f>
        <v>2563 - 2565</v>
      </c>
      <c r="O165" t="str">
        <f t="shared" si="6"/>
        <v>64-P09-R | 2192 | 272|0</v>
      </c>
    </row>
    <row r="166" spans="1:15" x14ac:dyDescent="0.3">
      <c r="A166" s="43">
        <v>46082</v>
      </c>
      <c r="B166" s="2" t="s">
        <v>5</v>
      </c>
      <c r="C166" s="2" t="s">
        <v>1256</v>
      </c>
      <c r="D166" s="2" t="s">
        <v>529</v>
      </c>
      <c r="E166" s="2" t="str">
        <f>_xlfn.XLOOKUP(F166,Terrain!D:D,Terrain!A:A,"")</f>
        <v>Lower</v>
      </c>
      <c r="F166" s="2" t="s">
        <v>1240</v>
      </c>
      <c r="G166" s="2" t="s">
        <v>885</v>
      </c>
      <c r="H166" s="2">
        <f t="shared" si="7"/>
        <v>2568</v>
      </c>
      <c r="I166" s="2">
        <v>946</v>
      </c>
      <c r="J166" s="2">
        <v>18.920000000000002</v>
      </c>
      <c r="K166" s="2">
        <v>19</v>
      </c>
      <c r="L166" s="2">
        <f t="shared" si="8"/>
        <v>500</v>
      </c>
      <c r="M166" s="2" t="s">
        <v>1095</v>
      </c>
      <c r="N166" s="40">
        <f>_xlfn.XLOOKUP(F166,Terrain!D:D,Terrain!H:H,"")</f>
        <v>2568</v>
      </c>
      <c r="O166" t="str">
        <f t="shared" si="6"/>
        <v>68-PU1 | 1892 | 383|0</v>
      </c>
    </row>
    <row r="167" spans="1:15" x14ac:dyDescent="0.3">
      <c r="A167" s="43">
        <v>46082</v>
      </c>
      <c r="B167" s="2" t="s">
        <v>5</v>
      </c>
      <c r="C167" s="2" t="s">
        <v>1256</v>
      </c>
      <c r="D167" s="2" t="s">
        <v>539</v>
      </c>
      <c r="E167" s="2" t="str">
        <f>_xlfn.XLOOKUP(F167,Terrain!D:D,Terrain!A:A,"")</f>
        <v>Lower</v>
      </c>
      <c r="F167" s="2" t="s">
        <v>1239</v>
      </c>
      <c r="G167" s="2" t="s">
        <v>886</v>
      </c>
      <c r="H167" s="2">
        <f t="shared" si="7"/>
        <v>2566</v>
      </c>
      <c r="I167" s="2">
        <v>985</v>
      </c>
      <c r="J167" s="2">
        <v>19.7</v>
      </c>
      <c r="K167" s="2">
        <v>20</v>
      </c>
      <c r="L167" s="2">
        <f t="shared" si="8"/>
        <v>500</v>
      </c>
      <c r="M167" s="2" t="s">
        <v>1096</v>
      </c>
      <c r="N167" s="40">
        <f>_xlfn.XLOOKUP(F167,Terrain!D:D,Terrain!H:H,"")</f>
        <v>2566</v>
      </c>
      <c r="O167" t="str">
        <f t="shared" si="6"/>
        <v>66-PU2 | 1970 | 321|0</v>
      </c>
    </row>
    <row r="168" spans="1:15" x14ac:dyDescent="0.3">
      <c r="A168" s="43">
        <v>46082</v>
      </c>
      <c r="B168" s="2" t="s">
        <v>5</v>
      </c>
      <c r="C168" s="2" t="s">
        <v>1256</v>
      </c>
      <c r="D168" s="2" t="s">
        <v>549</v>
      </c>
      <c r="E168" s="2" t="str">
        <f>_xlfn.XLOOKUP(F168,Terrain!D:D,Terrain!A:A,"")</f>
        <v>Lower</v>
      </c>
      <c r="F168" s="2" t="s">
        <v>1241</v>
      </c>
      <c r="G168" s="2" t="s">
        <v>887</v>
      </c>
      <c r="H168" s="2">
        <f t="shared" si="7"/>
        <v>2568</v>
      </c>
      <c r="I168" s="2">
        <v>843</v>
      </c>
      <c r="J168" s="2">
        <v>16.86</v>
      </c>
      <c r="K168" s="2">
        <v>17</v>
      </c>
      <c r="L168" s="2">
        <f t="shared" si="8"/>
        <v>500</v>
      </c>
      <c r="M168" s="2" t="s">
        <v>1095</v>
      </c>
      <c r="N168" s="40">
        <f>_xlfn.XLOOKUP(F168,Terrain!D:D,Terrain!H:H,"")</f>
        <v>2568</v>
      </c>
      <c r="O168" t="str">
        <f t="shared" si="6"/>
        <v>68-PU3 | 1686 | 381|0</v>
      </c>
    </row>
    <row r="169" spans="1:15" x14ac:dyDescent="0.3">
      <c r="A169" s="43">
        <v>46082</v>
      </c>
      <c r="B169" s="2" t="s">
        <v>5</v>
      </c>
      <c r="C169" s="2" t="s">
        <v>1256</v>
      </c>
      <c r="D169" s="2" t="s">
        <v>559</v>
      </c>
      <c r="E169" s="2" t="str">
        <f>_xlfn.XLOOKUP(F169,Terrain!D:D,Terrain!A:A,"")</f>
        <v>Lower</v>
      </c>
      <c r="F169" s="2" t="s">
        <v>1242</v>
      </c>
      <c r="G169" s="2" t="s">
        <v>888</v>
      </c>
      <c r="H169" s="2">
        <f t="shared" si="7"/>
        <v>2568</v>
      </c>
      <c r="I169" s="2">
        <v>690</v>
      </c>
      <c r="J169" s="2">
        <v>13.8</v>
      </c>
      <c r="K169" s="2">
        <v>14</v>
      </c>
      <c r="L169" s="2">
        <f t="shared" si="8"/>
        <v>500</v>
      </c>
      <c r="M169" s="2" t="s">
        <v>1095</v>
      </c>
      <c r="N169" s="40">
        <f>_xlfn.XLOOKUP(F169,Terrain!D:D,Terrain!H:H,"")</f>
        <v>2568</v>
      </c>
      <c r="O169" t="str">
        <f t="shared" si="6"/>
        <v>68-PU4 | 1380 | 382|0</v>
      </c>
    </row>
    <row r="170" spans="1:15" x14ac:dyDescent="0.3">
      <c r="A170" s="43">
        <v>46082</v>
      </c>
      <c r="B170" s="2" t="s">
        <v>5</v>
      </c>
      <c r="C170" s="2" t="s">
        <v>1256</v>
      </c>
      <c r="D170" s="2" t="s">
        <v>569</v>
      </c>
      <c r="E170" s="2" t="str">
        <f>_xlfn.XLOOKUP(F170,Terrain!D:D,Terrain!A:A,"")</f>
        <v>Lower</v>
      </c>
      <c r="F170" s="2" t="s">
        <v>1243</v>
      </c>
      <c r="G170" s="2" t="s">
        <v>889</v>
      </c>
      <c r="H170" s="2">
        <f t="shared" si="7"/>
        <v>2568</v>
      </c>
      <c r="I170" s="2">
        <v>375.5</v>
      </c>
      <c r="J170" s="2">
        <v>7.51</v>
      </c>
      <c r="K170" s="2">
        <v>8</v>
      </c>
      <c r="L170" s="2">
        <f t="shared" si="8"/>
        <v>500</v>
      </c>
      <c r="M170" s="2" t="s">
        <v>1097</v>
      </c>
      <c r="N170" s="40">
        <f>_xlfn.XLOOKUP(F170,Terrain!D:D,Terrain!H:H,"")</f>
        <v>2568</v>
      </c>
      <c r="O170" t="str">
        <f t="shared" si="6"/>
        <v>68-PU5 | 751 | 387|0</v>
      </c>
    </row>
    <row r="171" spans="1:15" x14ac:dyDescent="0.3">
      <c r="A171" s="43">
        <v>46082</v>
      </c>
      <c r="B171" s="2" t="s">
        <v>5</v>
      </c>
      <c r="C171" s="2" t="s">
        <v>1256</v>
      </c>
      <c r="D171" s="2" t="s">
        <v>579</v>
      </c>
      <c r="E171" s="2" t="str">
        <f>_xlfn.XLOOKUP(F171,Terrain!D:D,Terrain!A:A,"")</f>
        <v>Lower</v>
      </c>
      <c r="F171" s="2" t="s">
        <v>1327</v>
      </c>
      <c r="G171" s="2" t="s">
        <v>890</v>
      </c>
      <c r="H171" s="2">
        <f t="shared" si="7"/>
        <v>2568</v>
      </c>
      <c r="I171" s="2">
        <v>584</v>
      </c>
      <c r="J171" s="2">
        <v>11.68</v>
      </c>
      <c r="K171" s="2">
        <v>12</v>
      </c>
      <c r="L171" s="2">
        <f t="shared" si="8"/>
        <v>500</v>
      </c>
      <c r="M171" s="2" t="s">
        <v>1098</v>
      </c>
      <c r="N171" s="40">
        <f>_xlfn.XLOOKUP(F171,Terrain!D:D,Terrain!H:H,"")</f>
        <v>2568</v>
      </c>
      <c r="O171" t="str">
        <f t="shared" si="6"/>
        <v>68-PU5-R | 1168 | 385|0</v>
      </c>
    </row>
    <row r="172" spans="1:15" x14ac:dyDescent="0.3">
      <c r="A172" s="43">
        <v>46082</v>
      </c>
      <c r="B172" s="2" t="s">
        <v>5</v>
      </c>
      <c r="C172" s="2" t="s">
        <v>1256</v>
      </c>
      <c r="D172" s="2" t="s">
        <v>589</v>
      </c>
      <c r="E172" s="2" t="str">
        <f>_xlfn.XLOOKUP(F172,Terrain!D:D,Terrain!A:A,"")</f>
        <v>Lower</v>
      </c>
      <c r="F172" s="2" t="s">
        <v>1245</v>
      </c>
      <c r="G172" s="2" t="s">
        <v>1099</v>
      </c>
      <c r="H172" s="2">
        <f t="shared" si="7"/>
        <v>2568</v>
      </c>
      <c r="I172" s="2">
        <v>72.5</v>
      </c>
      <c r="J172" s="2">
        <v>1.45</v>
      </c>
      <c r="K172" s="2">
        <v>1</v>
      </c>
      <c r="L172" s="2">
        <f t="shared" si="8"/>
        <v>500</v>
      </c>
      <c r="M172" s="2" t="s">
        <v>1097</v>
      </c>
      <c r="N172" s="40">
        <f>_xlfn.XLOOKUP(F172,Terrain!D:D,Terrain!H:H,"")</f>
        <v>2568</v>
      </c>
      <c r="O172" t="str">
        <f t="shared" si="6"/>
        <v>68-PU6 | 145 | 386|0</v>
      </c>
    </row>
    <row r="173" spans="1:15" x14ac:dyDescent="0.3">
      <c r="A173" s="43">
        <v>46082</v>
      </c>
      <c r="B173" s="2" t="s">
        <v>5</v>
      </c>
      <c r="C173" s="2" t="s">
        <v>1256</v>
      </c>
      <c r="D173" s="2" t="s">
        <v>599</v>
      </c>
      <c r="E173" s="2" t="str">
        <f>_xlfn.XLOOKUP(F173,Terrain!D:D,Terrain!A:A,"")</f>
        <v>Lower</v>
      </c>
      <c r="F173" s="2" t="s">
        <v>1328</v>
      </c>
      <c r="G173" s="2" t="s">
        <v>1100</v>
      </c>
      <c r="H173" s="2">
        <f t="shared" si="7"/>
        <v>2568</v>
      </c>
      <c r="I173" s="2">
        <v>773.5</v>
      </c>
      <c r="J173" s="2">
        <v>15.47</v>
      </c>
      <c r="K173" s="2">
        <v>15</v>
      </c>
      <c r="L173" s="2">
        <f t="shared" si="8"/>
        <v>500</v>
      </c>
      <c r="M173" s="2" t="s">
        <v>1098</v>
      </c>
      <c r="N173" s="40">
        <f>_xlfn.XLOOKUP(F173,Terrain!D:D,Terrain!H:H,"")</f>
        <v>2568</v>
      </c>
      <c r="O173" t="str">
        <f t="shared" si="6"/>
        <v>68-PU6-R | 1547 | 384|0</v>
      </c>
    </row>
    <row r="174" spans="1:15" x14ac:dyDescent="0.3">
      <c r="A174" s="43">
        <v>46082</v>
      </c>
      <c r="B174" s="2" t="s">
        <v>5</v>
      </c>
      <c r="C174" s="2" t="s">
        <v>1256</v>
      </c>
      <c r="D174" s="2" t="s">
        <v>609</v>
      </c>
      <c r="E174" s="2" t="str">
        <f>_xlfn.XLOOKUP(F174,Terrain!D:D,Terrain!A:A,"")</f>
        <v>Upper</v>
      </c>
      <c r="F174" s="2" t="s">
        <v>1329</v>
      </c>
      <c r="G174" s="2" t="s">
        <v>1101</v>
      </c>
      <c r="H174" s="2">
        <f t="shared" si="7"/>
        <v>2568</v>
      </c>
      <c r="I174" s="2">
        <v>1585.5</v>
      </c>
      <c r="J174" s="2">
        <v>31.71</v>
      </c>
      <c r="K174" s="2">
        <v>32</v>
      </c>
      <c r="L174" s="2">
        <f t="shared" si="8"/>
        <v>500</v>
      </c>
      <c r="M174" s="2" t="s">
        <v>1102</v>
      </c>
      <c r="N174" s="40">
        <f>_xlfn.XLOOKUP(F174,Terrain!D:D,Terrain!H:H,"")</f>
        <v>2568</v>
      </c>
      <c r="O174" t="str">
        <f t="shared" si="6"/>
        <v>68-T01 | 3171 | 659|0</v>
      </c>
    </row>
    <row r="175" spans="1:15" x14ac:dyDescent="0.3">
      <c r="A175" s="43">
        <v>46082</v>
      </c>
      <c r="B175" s="2" t="s">
        <v>5</v>
      </c>
      <c r="C175" s="2" t="s">
        <v>1256</v>
      </c>
      <c r="D175" s="2" t="s">
        <v>619</v>
      </c>
      <c r="E175" s="2" t="str">
        <f>_xlfn.XLOOKUP(F175,Terrain!D:D,Terrain!A:A,"")</f>
        <v>Upper</v>
      </c>
      <c r="F175" s="2" t="s">
        <v>1330</v>
      </c>
      <c r="G175" s="2" t="s">
        <v>906</v>
      </c>
      <c r="H175" s="2">
        <f t="shared" si="7"/>
        <v>2568</v>
      </c>
      <c r="I175" s="2">
        <v>1475</v>
      </c>
      <c r="J175" s="2">
        <v>29.5</v>
      </c>
      <c r="K175" s="2">
        <v>30</v>
      </c>
      <c r="L175" s="2">
        <f t="shared" si="8"/>
        <v>500</v>
      </c>
      <c r="M175" s="2" t="s">
        <v>1102</v>
      </c>
      <c r="N175" s="40">
        <f>_xlfn.XLOOKUP(F175,Terrain!D:D,Terrain!H:H,"")</f>
        <v>2568</v>
      </c>
      <c r="O175" t="str">
        <f t="shared" si="6"/>
        <v>68-T02 | 2950 | 658|0</v>
      </c>
    </row>
    <row r="176" spans="1:15" x14ac:dyDescent="0.3">
      <c r="A176" s="43">
        <v>46082</v>
      </c>
      <c r="B176" s="2" t="s">
        <v>5</v>
      </c>
      <c r="C176" s="2" t="s">
        <v>1256</v>
      </c>
      <c r="D176" s="2" t="s">
        <v>629</v>
      </c>
      <c r="E176" s="2" t="str">
        <f>_xlfn.XLOOKUP(F176,Terrain!D:D,Terrain!A:A,"")</f>
        <v>Upper</v>
      </c>
      <c r="F176" s="2" t="s">
        <v>1331</v>
      </c>
      <c r="G176" s="2" t="s">
        <v>907</v>
      </c>
      <c r="H176" s="2">
        <f t="shared" si="7"/>
        <v>2566</v>
      </c>
      <c r="I176" s="2">
        <v>1224.5</v>
      </c>
      <c r="J176" s="2">
        <v>24.49</v>
      </c>
      <c r="K176" s="2">
        <v>24</v>
      </c>
      <c r="L176" s="2">
        <f t="shared" si="8"/>
        <v>500</v>
      </c>
      <c r="M176" s="2" t="s">
        <v>1103</v>
      </c>
      <c r="N176" s="40">
        <f>_xlfn.XLOOKUP(F176,Terrain!D:D,Terrain!H:H,"")</f>
        <v>2566</v>
      </c>
      <c r="O176" t="str">
        <f t="shared" si="6"/>
        <v>66-T03 | 2449 | 592|0</v>
      </c>
    </row>
    <row r="177" spans="1:15" x14ac:dyDescent="0.3">
      <c r="A177" s="43">
        <v>46082</v>
      </c>
      <c r="B177" s="2" t="s">
        <v>5</v>
      </c>
      <c r="C177" s="2" t="s">
        <v>1256</v>
      </c>
      <c r="D177" s="2" t="s">
        <v>639</v>
      </c>
      <c r="E177" s="2" t="str">
        <f>_xlfn.XLOOKUP(F177,Terrain!D:D,Terrain!A:A,"")</f>
        <v>Upper</v>
      </c>
      <c r="F177" s="2" t="s">
        <v>1332</v>
      </c>
      <c r="G177" s="2" t="s">
        <v>908</v>
      </c>
      <c r="H177" s="2">
        <f t="shared" si="7"/>
        <v>2566</v>
      </c>
      <c r="I177" s="2">
        <v>1007</v>
      </c>
      <c r="J177" s="2">
        <v>20.14</v>
      </c>
      <c r="K177" s="2">
        <v>20</v>
      </c>
      <c r="L177" s="2">
        <f t="shared" si="8"/>
        <v>500</v>
      </c>
      <c r="M177" s="2" t="s">
        <v>1103</v>
      </c>
      <c r="N177" s="40">
        <f>_xlfn.XLOOKUP(F177,Terrain!D:D,Terrain!H:H,"")</f>
        <v>2566</v>
      </c>
      <c r="O177" t="str">
        <f t="shared" si="6"/>
        <v>66-T04 | 2014 | 595|0</v>
      </c>
    </row>
    <row r="178" spans="1:15" x14ac:dyDescent="0.3">
      <c r="A178" s="43">
        <v>46082</v>
      </c>
      <c r="B178" s="2" t="s">
        <v>5</v>
      </c>
      <c r="C178" s="2" t="s">
        <v>1256</v>
      </c>
      <c r="D178" s="2" t="s">
        <v>649</v>
      </c>
      <c r="E178" s="2" t="str">
        <f>_xlfn.XLOOKUP(F178,Terrain!D:D,Terrain!A:A,"")</f>
        <v>Upper</v>
      </c>
      <c r="F178" s="2" t="s">
        <v>1333</v>
      </c>
      <c r="G178" s="2" t="s">
        <v>909</v>
      </c>
      <c r="H178" s="2">
        <f t="shared" si="7"/>
        <v>2563</v>
      </c>
      <c r="I178" s="2">
        <v>6074</v>
      </c>
      <c r="J178" s="2">
        <v>121.48</v>
      </c>
      <c r="K178" s="2">
        <v>121</v>
      </c>
      <c r="L178" s="2">
        <f t="shared" si="8"/>
        <v>2000</v>
      </c>
      <c r="M178" s="2" t="s">
        <v>1104</v>
      </c>
      <c r="N178" s="40" t="str">
        <f>_xlfn.XLOOKUP(F178,Terrain!D:D,Terrain!H:H,"")</f>
        <v>2563 - 2565</v>
      </c>
      <c r="O178" t="str">
        <f t="shared" si="6"/>
        <v>63-T05-R | 3037 | 556|0</v>
      </c>
    </row>
    <row r="179" spans="1:15" x14ac:dyDescent="0.3">
      <c r="A179" s="43">
        <v>46082</v>
      </c>
      <c r="B179" s="2" t="s">
        <v>5</v>
      </c>
      <c r="C179" s="2" t="s">
        <v>1256</v>
      </c>
      <c r="D179" s="2" t="s">
        <v>657</v>
      </c>
      <c r="E179" s="2" t="str">
        <f>_xlfn.XLOOKUP(F179,Terrain!D:D,Terrain!A:A,"")</f>
        <v>Upper</v>
      </c>
      <c r="F179" s="2" t="s">
        <v>1334</v>
      </c>
      <c r="G179" s="2" t="s">
        <v>910</v>
      </c>
      <c r="H179" s="2">
        <f t="shared" si="7"/>
        <v>2566</v>
      </c>
      <c r="I179" s="2">
        <v>1449</v>
      </c>
      <c r="J179" s="2">
        <v>28.98</v>
      </c>
      <c r="K179" s="2">
        <v>29</v>
      </c>
      <c r="L179" s="2">
        <f t="shared" si="8"/>
        <v>500</v>
      </c>
      <c r="M179" s="2" t="s">
        <v>1103</v>
      </c>
      <c r="N179" s="40">
        <f>_xlfn.XLOOKUP(F179,Terrain!D:D,Terrain!H:H,"")</f>
        <v>2566</v>
      </c>
      <c r="O179" t="str">
        <f t="shared" si="6"/>
        <v>66-T06 | 2898 | 593|0</v>
      </c>
    </row>
    <row r="180" spans="1:15" x14ac:dyDescent="0.3">
      <c r="A180" s="43">
        <v>46082</v>
      </c>
      <c r="B180" s="2" t="s">
        <v>5</v>
      </c>
      <c r="C180" s="2" t="s">
        <v>1256</v>
      </c>
      <c r="D180" s="2" t="s">
        <v>667</v>
      </c>
      <c r="E180" s="2" t="str">
        <f>_xlfn.XLOOKUP(F180,Terrain!D:D,Terrain!A:A,"")</f>
        <v>Upper</v>
      </c>
      <c r="F180" s="2" t="s">
        <v>1335</v>
      </c>
      <c r="G180" s="2" t="s">
        <v>911</v>
      </c>
      <c r="H180" s="2">
        <f t="shared" si="7"/>
        <v>2566</v>
      </c>
      <c r="I180" s="2">
        <v>1182</v>
      </c>
      <c r="J180" s="2">
        <v>23.64</v>
      </c>
      <c r="K180" s="2">
        <v>24</v>
      </c>
      <c r="L180" s="2">
        <f t="shared" si="8"/>
        <v>500</v>
      </c>
      <c r="M180" s="2" t="s">
        <v>1103</v>
      </c>
      <c r="N180" s="40">
        <f>_xlfn.XLOOKUP(F180,Terrain!D:D,Terrain!H:H,"")</f>
        <v>2566</v>
      </c>
      <c r="O180" t="str">
        <f t="shared" si="6"/>
        <v>66-T07 | 2364 | 594|0</v>
      </c>
    </row>
    <row r="181" spans="1:15" x14ac:dyDescent="0.3">
      <c r="A181" s="43">
        <v>46082</v>
      </c>
      <c r="B181" s="2" t="s">
        <v>5</v>
      </c>
      <c r="C181" s="2" t="s">
        <v>1256</v>
      </c>
      <c r="D181" s="2" t="s">
        <v>677</v>
      </c>
      <c r="E181" s="2" t="str">
        <f>_xlfn.XLOOKUP(F181,Terrain!D:D,Terrain!A:A,"")</f>
        <v>Upper</v>
      </c>
      <c r="F181" s="2" t="s">
        <v>1336</v>
      </c>
      <c r="G181" s="2" t="s">
        <v>912</v>
      </c>
      <c r="H181" s="2">
        <f t="shared" si="7"/>
        <v>2556</v>
      </c>
      <c r="I181" s="2">
        <v>426</v>
      </c>
      <c r="J181" s="2">
        <v>8.52</v>
      </c>
      <c r="K181" s="2">
        <v>9</v>
      </c>
      <c r="L181" s="2">
        <f t="shared" si="8"/>
        <v>2000</v>
      </c>
      <c r="M181" s="2" t="s">
        <v>1105</v>
      </c>
      <c r="N181" s="40" t="str">
        <f>_xlfn.XLOOKUP(F181,Terrain!D:D,Terrain!H:H,"")</f>
        <v>2555 - 2558</v>
      </c>
      <c r="O181" t="str">
        <f t="shared" si="6"/>
        <v>56-T08 | 213 | 486|0</v>
      </c>
    </row>
    <row r="182" spans="1:15" x14ac:dyDescent="0.3">
      <c r="A182" s="43">
        <v>46082</v>
      </c>
      <c r="B182" s="2" t="s">
        <v>5</v>
      </c>
      <c r="C182" s="2" t="s">
        <v>1256</v>
      </c>
      <c r="D182" s="2" t="s">
        <v>685</v>
      </c>
      <c r="E182" s="2" t="str">
        <f>_xlfn.XLOOKUP(F182,Terrain!D:D,Terrain!A:A,"")</f>
        <v>Upper</v>
      </c>
      <c r="F182" s="2" t="s">
        <v>1337</v>
      </c>
      <c r="G182" s="2" t="s">
        <v>913</v>
      </c>
      <c r="H182" s="2">
        <f t="shared" si="7"/>
        <v>2556</v>
      </c>
      <c r="I182" s="2">
        <v>5632</v>
      </c>
      <c r="J182" s="2">
        <v>112.64</v>
      </c>
      <c r="K182" s="2">
        <v>113</v>
      </c>
      <c r="L182" s="2">
        <f t="shared" si="8"/>
        <v>2000</v>
      </c>
      <c r="M182" s="2" t="s">
        <v>1106</v>
      </c>
      <c r="N182" s="40" t="str">
        <f>_xlfn.XLOOKUP(F182,Terrain!D:D,Terrain!H:H,"")</f>
        <v>2555 - 2558</v>
      </c>
      <c r="O182" t="str">
        <f t="shared" si="6"/>
        <v>56-T08-R | 2816 | 484|0</v>
      </c>
    </row>
    <row r="183" spans="1:15" x14ac:dyDescent="0.3">
      <c r="A183" s="43">
        <v>46082</v>
      </c>
      <c r="B183" s="2" t="s">
        <v>5</v>
      </c>
      <c r="C183" s="2" t="s">
        <v>1256</v>
      </c>
      <c r="D183" s="2" t="s">
        <v>693</v>
      </c>
      <c r="E183" s="2" t="str">
        <f>_xlfn.XLOOKUP(F183,Terrain!D:D,Terrain!A:A,"")</f>
        <v>Upper</v>
      </c>
      <c r="F183" s="2" t="s">
        <v>1338</v>
      </c>
      <c r="G183" s="2" t="s">
        <v>914</v>
      </c>
      <c r="H183" s="2">
        <f t="shared" si="7"/>
        <v>2558</v>
      </c>
      <c r="I183" s="2">
        <v>5868</v>
      </c>
      <c r="J183" s="2">
        <v>117.36</v>
      </c>
      <c r="K183" s="2">
        <v>117</v>
      </c>
      <c r="L183" s="2">
        <f t="shared" si="8"/>
        <v>2000</v>
      </c>
      <c r="M183" s="2" t="s">
        <v>1106</v>
      </c>
      <c r="N183" s="40" t="str">
        <f>_xlfn.XLOOKUP(F183,Terrain!D:D,Terrain!H:H,"")</f>
        <v>2555 - 2558</v>
      </c>
      <c r="O183" t="str">
        <f t="shared" si="6"/>
        <v>58-T09-R | 2934 | 491|0</v>
      </c>
    </row>
    <row r="184" spans="1:15" x14ac:dyDescent="0.3">
      <c r="A184" s="43">
        <v>46082</v>
      </c>
      <c r="B184" s="2" t="s">
        <v>5</v>
      </c>
      <c r="C184" s="2" t="s">
        <v>1256</v>
      </c>
      <c r="D184" s="2" t="s">
        <v>701</v>
      </c>
      <c r="E184" s="2" t="str">
        <f>_xlfn.XLOOKUP(F184,Terrain!D:D,Terrain!A:A,"")</f>
        <v>Upper</v>
      </c>
      <c r="F184" s="2" t="s">
        <v>1339</v>
      </c>
      <c r="G184" s="2" t="s">
        <v>915</v>
      </c>
      <c r="H184" s="2">
        <f t="shared" si="7"/>
        <v>2550</v>
      </c>
      <c r="I184" s="2">
        <v>4308</v>
      </c>
      <c r="J184" s="2">
        <v>86.16</v>
      </c>
      <c r="K184" s="2">
        <v>86</v>
      </c>
      <c r="L184" s="2">
        <f t="shared" si="8"/>
        <v>1500</v>
      </c>
      <c r="M184" s="2" t="s">
        <v>1107</v>
      </c>
      <c r="N184" s="40" t="str">
        <f>_xlfn.XLOOKUP(F184,Terrain!D:D,Terrain!H:H,"")</f>
        <v>2549 - 2552</v>
      </c>
      <c r="O184" t="str">
        <f t="shared" si="6"/>
        <v>50-T10-R | 2872 | 433|0</v>
      </c>
    </row>
    <row r="185" spans="1:15" x14ac:dyDescent="0.3">
      <c r="A185" s="43">
        <v>46082</v>
      </c>
      <c r="B185" s="2" t="s">
        <v>5</v>
      </c>
      <c r="C185" s="2" t="s">
        <v>1256</v>
      </c>
      <c r="D185" s="2" t="s">
        <v>718</v>
      </c>
      <c r="E185" s="2" t="str">
        <f>_xlfn.XLOOKUP(F185,Terrain!D:D,Terrain!A:A,"")</f>
        <v>Upper</v>
      </c>
      <c r="F185" s="2" t="s">
        <v>1340</v>
      </c>
      <c r="G185" s="2" t="s">
        <v>917</v>
      </c>
      <c r="H185" s="2">
        <f t="shared" si="7"/>
        <v>2558</v>
      </c>
      <c r="I185" s="2">
        <v>5806</v>
      </c>
      <c r="J185" s="2">
        <v>116.12</v>
      </c>
      <c r="K185" s="2">
        <v>116</v>
      </c>
      <c r="L185" s="2">
        <f t="shared" si="8"/>
        <v>2000</v>
      </c>
      <c r="M185" s="2" t="s">
        <v>1106</v>
      </c>
      <c r="N185" s="40" t="str">
        <f>_xlfn.XLOOKUP(F185,Terrain!D:D,Terrain!H:H,"")</f>
        <v>2555 - 2558</v>
      </c>
      <c r="O185" t="str">
        <f t="shared" si="6"/>
        <v>58-T11-R | 2903 | 490|0</v>
      </c>
    </row>
    <row r="186" spans="1:15" x14ac:dyDescent="0.3">
      <c r="A186" s="43">
        <v>46082</v>
      </c>
      <c r="B186" s="2" t="s">
        <v>5</v>
      </c>
      <c r="C186" s="2" t="s">
        <v>1256</v>
      </c>
      <c r="D186" s="2" t="s">
        <v>726</v>
      </c>
      <c r="E186" s="2" t="str">
        <f>_xlfn.XLOOKUP(F186,Terrain!D:D,Terrain!A:A,"")</f>
        <v>Upper</v>
      </c>
      <c r="F186" s="2" t="s">
        <v>1341</v>
      </c>
      <c r="G186" s="2" t="s">
        <v>918</v>
      </c>
      <c r="H186" s="2">
        <f t="shared" si="7"/>
        <v>2550</v>
      </c>
      <c r="I186" s="2">
        <v>4545</v>
      </c>
      <c r="J186" s="2">
        <v>90.9</v>
      </c>
      <c r="K186" s="2">
        <v>91</v>
      </c>
      <c r="L186" s="2">
        <f t="shared" si="8"/>
        <v>1500</v>
      </c>
      <c r="M186" s="2" t="s">
        <v>1107</v>
      </c>
      <c r="N186" s="40" t="str">
        <f>_xlfn.XLOOKUP(F186,Terrain!D:D,Terrain!H:H,"")</f>
        <v>2549 - 2552</v>
      </c>
      <c r="O186" t="str">
        <f t="shared" si="6"/>
        <v>50-T12-R | 3030 | 440|0</v>
      </c>
    </row>
    <row r="187" spans="1:15" x14ac:dyDescent="0.3">
      <c r="A187" s="43">
        <v>46082</v>
      </c>
      <c r="B187" s="2" t="s">
        <v>5</v>
      </c>
      <c r="C187" s="2" t="s">
        <v>1256</v>
      </c>
      <c r="D187" s="2" t="s">
        <v>734</v>
      </c>
      <c r="E187" s="2" t="str">
        <f>_xlfn.XLOOKUP(F187,Terrain!D:D,Terrain!A:A,"")</f>
        <v>Upper</v>
      </c>
      <c r="F187" s="2" t="s">
        <v>1342</v>
      </c>
      <c r="G187" s="2" t="s">
        <v>919</v>
      </c>
      <c r="H187" s="2">
        <f t="shared" si="7"/>
        <v>2558</v>
      </c>
      <c r="I187" s="2">
        <v>5728</v>
      </c>
      <c r="J187" s="2">
        <v>114.56</v>
      </c>
      <c r="K187" s="2">
        <v>115</v>
      </c>
      <c r="L187" s="2">
        <f t="shared" si="8"/>
        <v>2000</v>
      </c>
      <c r="M187" s="2" t="s">
        <v>1106</v>
      </c>
      <c r="N187" s="40" t="str">
        <f>_xlfn.XLOOKUP(F187,Terrain!D:D,Terrain!H:H,"")</f>
        <v>2555 - 2558</v>
      </c>
      <c r="O187" t="str">
        <f t="shared" si="6"/>
        <v>58-T13-R | 2864 | 495|0</v>
      </c>
    </row>
    <row r="188" spans="1:15" x14ac:dyDescent="0.3">
      <c r="A188" s="43">
        <v>46082</v>
      </c>
      <c r="B188" s="2" t="s">
        <v>5</v>
      </c>
      <c r="C188" s="2" t="s">
        <v>1256</v>
      </c>
      <c r="D188" s="2" t="s">
        <v>742</v>
      </c>
      <c r="E188" s="2" t="str">
        <f>_xlfn.XLOOKUP(F188,Terrain!D:D,Terrain!A:A,"")</f>
        <v>Upper</v>
      </c>
      <c r="F188" s="2" t="s">
        <v>1343</v>
      </c>
      <c r="G188" s="2" t="s">
        <v>920</v>
      </c>
      <c r="H188" s="2">
        <f t="shared" si="7"/>
        <v>2549</v>
      </c>
      <c r="I188" s="2">
        <v>168</v>
      </c>
      <c r="J188" s="2">
        <v>3.36</v>
      </c>
      <c r="K188" s="2">
        <v>3</v>
      </c>
      <c r="L188" s="2">
        <f t="shared" si="8"/>
        <v>1500</v>
      </c>
      <c r="M188" s="2" t="s">
        <v>1107</v>
      </c>
      <c r="N188" s="40" t="str">
        <f>_xlfn.XLOOKUP(F188,Terrain!D:D,Terrain!H:H,"")</f>
        <v>2549 - 2552</v>
      </c>
      <c r="O188" t="str">
        <f t="shared" si="6"/>
        <v>49-T16-R | 112 | 436|0</v>
      </c>
    </row>
    <row r="189" spans="1:15" x14ac:dyDescent="0.3">
      <c r="A189" s="43">
        <v>46082</v>
      </c>
      <c r="B189" s="2" t="s">
        <v>5</v>
      </c>
      <c r="C189" s="2" t="s">
        <v>1256</v>
      </c>
      <c r="D189" s="2" t="s">
        <v>750</v>
      </c>
      <c r="E189" s="2" t="str">
        <f>_xlfn.XLOOKUP(F189,Terrain!D:D,Terrain!A:A,"")</f>
        <v>Upper</v>
      </c>
      <c r="F189" s="2" t="s">
        <v>1344</v>
      </c>
      <c r="G189" s="2" t="s">
        <v>921</v>
      </c>
      <c r="H189" s="2">
        <f t="shared" si="7"/>
        <v>2558</v>
      </c>
      <c r="I189" s="2">
        <v>5650</v>
      </c>
      <c r="J189" s="2">
        <v>113</v>
      </c>
      <c r="K189" s="2">
        <v>113</v>
      </c>
      <c r="L189" s="2">
        <f t="shared" si="8"/>
        <v>2000</v>
      </c>
      <c r="M189" s="2" t="s">
        <v>1106</v>
      </c>
      <c r="N189" s="40" t="str">
        <f>_xlfn.XLOOKUP(F189,Terrain!D:D,Terrain!H:H,"")</f>
        <v>2555 - 2558</v>
      </c>
      <c r="O189" t="str">
        <f t="shared" si="6"/>
        <v>58-T17-R | 2825 | 498|0</v>
      </c>
    </row>
    <row r="190" spans="1:15" x14ac:dyDescent="0.3">
      <c r="A190" s="43">
        <v>46082</v>
      </c>
      <c r="B190" s="2" t="s">
        <v>5</v>
      </c>
      <c r="C190" s="2" t="s">
        <v>1256</v>
      </c>
      <c r="D190" s="2" t="s">
        <v>758</v>
      </c>
      <c r="E190" s="2" t="str">
        <f>_xlfn.XLOOKUP(F190,Terrain!D:D,Terrain!A:A,"")</f>
        <v>Upper</v>
      </c>
      <c r="F190" s="2" t="s">
        <v>1345</v>
      </c>
      <c r="G190" s="2" t="s">
        <v>922</v>
      </c>
      <c r="H190" s="2">
        <f t="shared" si="7"/>
        <v>2558</v>
      </c>
      <c r="I190" s="2">
        <v>5686</v>
      </c>
      <c r="J190" s="2">
        <v>113.72</v>
      </c>
      <c r="K190" s="2">
        <v>114</v>
      </c>
      <c r="L190" s="2">
        <f t="shared" si="8"/>
        <v>2000</v>
      </c>
      <c r="M190" s="2" t="s">
        <v>1106</v>
      </c>
      <c r="N190" s="40" t="str">
        <f>_xlfn.XLOOKUP(F190,Terrain!D:D,Terrain!H:H,"")</f>
        <v>2555 - 2558</v>
      </c>
      <c r="O190" t="str">
        <f t="shared" si="6"/>
        <v>58-T18-R | 2843 | 489|0</v>
      </c>
    </row>
    <row r="191" spans="1:15" x14ac:dyDescent="0.3">
      <c r="A191" s="43">
        <v>46082</v>
      </c>
      <c r="B191" s="2" t="s">
        <v>5</v>
      </c>
      <c r="C191" s="2" t="s">
        <v>1256</v>
      </c>
      <c r="D191" s="2" t="s">
        <v>775</v>
      </c>
      <c r="E191" s="2" t="str">
        <f>_xlfn.XLOOKUP(F191,Terrain!D:D,Terrain!A:A,"")</f>
        <v>Upper</v>
      </c>
      <c r="F191" s="2" t="s">
        <v>1346</v>
      </c>
      <c r="G191" s="2" t="s">
        <v>924</v>
      </c>
      <c r="H191" s="2">
        <f t="shared" si="7"/>
        <v>2556</v>
      </c>
      <c r="I191" s="2">
        <v>6398</v>
      </c>
      <c r="J191" s="2">
        <v>127.96</v>
      </c>
      <c r="K191" s="2">
        <v>128</v>
      </c>
      <c r="L191" s="2">
        <f t="shared" si="8"/>
        <v>2000</v>
      </c>
      <c r="M191" s="2" t="s">
        <v>1106</v>
      </c>
      <c r="N191" s="40" t="str">
        <f>_xlfn.XLOOKUP(F191,Terrain!D:D,Terrain!H:H,"")</f>
        <v>2555 - 2558</v>
      </c>
      <c r="O191" t="str">
        <f t="shared" si="6"/>
        <v>56-T19-R | 3199 | 488|0</v>
      </c>
    </row>
    <row r="192" spans="1:15" x14ac:dyDescent="0.3">
      <c r="A192" s="43">
        <v>46082</v>
      </c>
      <c r="B192" s="2" t="s">
        <v>5</v>
      </c>
      <c r="C192" s="2" t="s">
        <v>1256</v>
      </c>
      <c r="D192" s="2" t="s">
        <v>783</v>
      </c>
      <c r="E192" s="2" t="str">
        <f>_xlfn.XLOOKUP(F192,Terrain!D:D,Terrain!A:A,"")</f>
        <v>Upper</v>
      </c>
      <c r="F192" s="2" t="s">
        <v>1267</v>
      </c>
      <c r="G192" s="2" t="s">
        <v>925</v>
      </c>
      <c r="H192" s="2">
        <f t="shared" si="7"/>
        <v>2549</v>
      </c>
      <c r="I192" s="2">
        <v>4249.5</v>
      </c>
      <c r="J192" s="2">
        <v>84.99</v>
      </c>
      <c r="K192" s="2">
        <v>85</v>
      </c>
      <c r="L192" s="2">
        <f t="shared" si="8"/>
        <v>1500</v>
      </c>
      <c r="M192" s="2" t="s">
        <v>1107</v>
      </c>
      <c r="N192" s="40" t="str">
        <f>_xlfn.XLOOKUP(F192,Terrain!D:D,Terrain!H:H,"")</f>
        <v>2549 - 2552</v>
      </c>
      <c r="O192" t="str">
        <f t="shared" si="6"/>
        <v>49-T20-R | 2833 | 437|0</v>
      </c>
    </row>
    <row r="193" spans="1:15" x14ac:dyDescent="0.3">
      <c r="A193" s="43">
        <v>46082</v>
      </c>
      <c r="B193" s="2" t="s">
        <v>5</v>
      </c>
      <c r="C193" s="2" t="s">
        <v>1256</v>
      </c>
      <c r="D193" s="2" t="s">
        <v>791</v>
      </c>
      <c r="E193" s="2" t="str">
        <f>_xlfn.XLOOKUP(F193,Terrain!D:D,Terrain!A:A,"")</f>
        <v>Upper</v>
      </c>
      <c r="F193" s="2" t="s">
        <v>1347</v>
      </c>
      <c r="G193" s="2" t="s">
        <v>926</v>
      </c>
      <c r="H193" s="2">
        <f t="shared" si="7"/>
        <v>2556</v>
      </c>
      <c r="I193" s="2">
        <v>6030</v>
      </c>
      <c r="J193" s="2">
        <v>120.6</v>
      </c>
      <c r="K193" s="2">
        <v>121</v>
      </c>
      <c r="L193" s="2">
        <f t="shared" si="8"/>
        <v>2000</v>
      </c>
      <c r="M193" s="2" t="s">
        <v>1106</v>
      </c>
      <c r="N193" s="40" t="str">
        <f>_xlfn.XLOOKUP(F193,Terrain!D:D,Terrain!H:H,"")</f>
        <v>2555 - 2558</v>
      </c>
      <c r="O193" t="str">
        <f t="shared" ref="O193:O256" si="9">F193 &amp; " | " &amp; G193 &amp; " | " &amp; D193</f>
        <v>56-T21-R | 3015 | 494|0</v>
      </c>
    </row>
    <row r="194" spans="1:15" x14ac:dyDescent="0.3">
      <c r="A194" s="43">
        <v>46082</v>
      </c>
      <c r="B194" s="2" t="s">
        <v>5</v>
      </c>
      <c r="C194" s="2" t="s">
        <v>1256</v>
      </c>
      <c r="D194" s="2" t="s">
        <v>808</v>
      </c>
      <c r="E194" s="2" t="str">
        <f>_xlfn.XLOOKUP(F194,Terrain!D:D,Terrain!A:A,"")</f>
        <v>Upper</v>
      </c>
      <c r="F194" s="2" t="s">
        <v>1348</v>
      </c>
      <c r="G194" s="2" t="s">
        <v>928</v>
      </c>
      <c r="H194" s="2">
        <f t="shared" ref="H194:H257" si="10">2500+VALUE(MID(F194,1,2))</f>
        <v>2563</v>
      </c>
      <c r="I194" s="2">
        <v>1684</v>
      </c>
      <c r="J194" s="2">
        <v>33.68</v>
      </c>
      <c r="K194" s="2">
        <v>34</v>
      </c>
      <c r="L194" s="2">
        <f t="shared" ref="L194:L257" si="11">I194*1000/G194</f>
        <v>2000</v>
      </c>
      <c r="M194" s="2" t="s">
        <v>1104</v>
      </c>
      <c r="N194" s="40" t="str">
        <f>_xlfn.XLOOKUP(F194,Terrain!D:D,Terrain!H:H,"")</f>
        <v>2563 - 2565</v>
      </c>
      <c r="O194" t="str">
        <f t="shared" si="9"/>
        <v>63-T22-R | 842 | 559|0</v>
      </c>
    </row>
    <row r="195" spans="1:15" x14ac:dyDescent="0.3">
      <c r="A195" s="43">
        <v>46082</v>
      </c>
      <c r="B195" s="2" t="s">
        <v>5</v>
      </c>
      <c r="C195" s="2" t="s">
        <v>1256</v>
      </c>
      <c r="D195" s="2" t="s">
        <v>816</v>
      </c>
      <c r="E195" s="2" t="str">
        <f>_xlfn.XLOOKUP(F195,Terrain!D:D,Terrain!A:A,"")</f>
        <v>Upper</v>
      </c>
      <c r="F195" s="2" t="s">
        <v>1349</v>
      </c>
      <c r="G195" s="2" t="s">
        <v>929</v>
      </c>
      <c r="H195" s="2">
        <f t="shared" si="10"/>
        <v>2563</v>
      </c>
      <c r="I195" s="2">
        <v>1688</v>
      </c>
      <c r="J195" s="2">
        <v>33.76</v>
      </c>
      <c r="K195" s="2">
        <v>34</v>
      </c>
      <c r="L195" s="2">
        <f t="shared" si="11"/>
        <v>2000</v>
      </c>
      <c r="M195" s="2" t="s">
        <v>1104</v>
      </c>
      <c r="N195" s="40" t="str">
        <f>_xlfn.XLOOKUP(F195,Terrain!D:D,Terrain!H:H,"")</f>
        <v>2563 - 2565</v>
      </c>
      <c r="O195" t="str">
        <f t="shared" si="9"/>
        <v>63-T23-R | 844 | 560|0</v>
      </c>
    </row>
    <row r="196" spans="1:15" x14ac:dyDescent="0.3">
      <c r="A196" s="43">
        <v>46082</v>
      </c>
      <c r="B196" s="2" t="s">
        <v>5</v>
      </c>
      <c r="C196" s="2" t="s">
        <v>1256</v>
      </c>
      <c r="D196" s="2" t="s">
        <v>824</v>
      </c>
      <c r="E196" s="2" t="str">
        <f>_xlfn.XLOOKUP(F196,Terrain!D:D,Terrain!A:A,"")</f>
        <v>Upper</v>
      </c>
      <c r="F196" s="2" t="s">
        <v>1350</v>
      </c>
      <c r="G196" s="2" t="s">
        <v>930</v>
      </c>
      <c r="H196" s="2">
        <f t="shared" si="10"/>
        <v>2552</v>
      </c>
      <c r="I196" s="2">
        <v>138</v>
      </c>
      <c r="J196" s="2">
        <v>2.76</v>
      </c>
      <c r="K196" s="2">
        <v>3</v>
      </c>
      <c r="L196" s="2">
        <f t="shared" si="11"/>
        <v>1500</v>
      </c>
      <c r="M196" s="2" t="s">
        <v>1107</v>
      </c>
      <c r="N196" s="40" t="str">
        <f>_xlfn.XLOOKUP(F196,Terrain!D:D,Terrain!H:H,"")</f>
        <v>2549 - 2552</v>
      </c>
      <c r="O196" t="str">
        <f t="shared" si="9"/>
        <v>52-T28-R | 92 | 432|0</v>
      </c>
    </row>
    <row r="197" spans="1:15" x14ac:dyDescent="0.3">
      <c r="A197" s="43">
        <v>46082</v>
      </c>
      <c r="B197" s="2" t="s">
        <v>5</v>
      </c>
      <c r="C197" s="2" t="s">
        <v>1256</v>
      </c>
      <c r="D197" s="2" t="s">
        <v>832</v>
      </c>
      <c r="E197" s="2" t="str">
        <f>_xlfn.XLOOKUP(F197,Terrain!D:D,Terrain!A:A,"")</f>
        <v>Upper</v>
      </c>
      <c r="F197" s="2" t="s">
        <v>1351</v>
      </c>
      <c r="G197" s="2" t="s">
        <v>931</v>
      </c>
      <c r="H197" s="2">
        <f t="shared" si="10"/>
        <v>2556</v>
      </c>
      <c r="I197" s="2">
        <v>2806</v>
      </c>
      <c r="J197" s="2">
        <v>56.12</v>
      </c>
      <c r="K197" s="2">
        <v>56</v>
      </c>
      <c r="L197" s="2">
        <f t="shared" si="11"/>
        <v>2000</v>
      </c>
      <c r="M197" s="2" t="s">
        <v>1106</v>
      </c>
      <c r="N197" s="40" t="str">
        <f>_xlfn.XLOOKUP(F197,Terrain!D:D,Terrain!H:H,"")</f>
        <v>2555 - 2558</v>
      </c>
      <c r="O197" t="str">
        <f t="shared" si="9"/>
        <v>56-T28-R | 1403 | 497|0</v>
      </c>
    </row>
    <row r="198" spans="1:15" x14ac:dyDescent="0.3">
      <c r="A198" s="43">
        <v>46113</v>
      </c>
      <c r="B198" s="2" t="s">
        <v>10</v>
      </c>
      <c r="C198" s="2" t="s">
        <v>1257</v>
      </c>
      <c r="D198" s="2" t="s">
        <v>11</v>
      </c>
      <c r="E198" s="2" t="str">
        <f>_xlfn.XLOOKUP(F198,Terrain!D:D,Terrain!A:A,"")</f>
        <v>Lower</v>
      </c>
      <c r="F198" s="2" t="s">
        <v>1269</v>
      </c>
      <c r="G198" s="2" t="s">
        <v>1045</v>
      </c>
      <c r="H198" s="2">
        <f t="shared" si="10"/>
        <v>2556</v>
      </c>
      <c r="I198" s="2">
        <v>3412.5</v>
      </c>
      <c r="J198" s="2">
        <v>68.25</v>
      </c>
      <c r="K198" s="2">
        <v>68</v>
      </c>
      <c r="L198" s="2">
        <f t="shared" si="11"/>
        <v>1750</v>
      </c>
      <c r="M198" s="2" t="s">
        <v>1046</v>
      </c>
      <c r="N198" s="40" t="str">
        <f>_xlfn.XLOOKUP(F198,Terrain!D:D,Terrain!H:H,"")</f>
        <v>2555 - 2558</v>
      </c>
      <c r="O198" t="str">
        <f t="shared" si="9"/>
        <v>56-A01 | 1950 | 208|0</v>
      </c>
    </row>
    <row r="199" spans="1:15" x14ac:dyDescent="0.3">
      <c r="A199" s="43">
        <v>46113</v>
      </c>
      <c r="B199" s="2" t="s">
        <v>10</v>
      </c>
      <c r="C199" s="2" t="s">
        <v>1257</v>
      </c>
      <c r="D199" s="2" t="s">
        <v>944</v>
      </c>
      <c r="E199" s="2" t="str">
        <f>_xlfn.XLOOKUP(F199,Terrain!D:D,Terrain!A:A,"")</f>
        <v>Lower</v>
      </c>
      <c r="F199" s="2" t="s">
        <v>1282</v>
      </c>
      <c r="G199" s="2" t="s">
        <v>1048</v>
      </c>
      <c r="H199" s="2">
        <f t="shared" si="10"/>
        <v>2563</v>
      </c>
      <c r="I199" s="2">
        <v>934.5</v>
      </c>
      <c r="J199" s="2">
        <v>18.690000000000001</v>
      </c>
      <c r="K199" s="2">
        <v>19</v>
      </c>
      <c r="L199" s="2">
        <f t="shared" si="11"/>
        <v>1750</v>
      </c>
      <c r="M199" s="2" t="s">
        <v>1049</v>
      </c>
      <c r="N199" s="40" t="str">
        <f>_xlfn.XLOOKUP(F199,Terrain!D:D,Terrain!H:H,"")</f>
        <v>2563 - 2565</v>
      </c>
      <c r="O199" t="str">
        <f t="shared" si="9"/>
        <v>63-A01-R | 534 | 694|0</v>
      </c>
    </row>
    <row r="200" spans="1:15" x14ac:dyDescent="0.3">
      <c r="A200" s="43">
        <v>46113</v>
      </c>
      <c r="B200" s="2" t="s">
        <v>10</v>
      </c>
      <c r="C200" s="2" t="s">
        <v>1257</v>
      </c>
      <c r="D200" s="2" t="s">
        <v>22</v>
      </c>
      <c r="E200" s="2" t="str">
        <f>_xlfn.XLOOKUP(F200,Terrain!D:D,Terrain!A:A,"")</f>
        <v>Lower</v>
      </c>
      <c r="F200" s="2" t="s">
        <v>1270</v>
      </c>
      <c r="G200" s="2" t="s">
        <v>1050</v>
      </c>
      <c r="H200" s="2">
        <f t="shared" si="10"/>
        <v>2556</v>
      </c>
      <c r="I200" s="2">
        <v>6711.25</v>
      </c>
      <c r="J200" s="2">
        <v>134.22499999999999</v>
      </c>
      <c r="K200" s="2">
        <v>134</v>
      </c>
      <c r="L200" s="2">
        <f t="shared" si="11"/>
        <v>1750</v>
      </c>
      <c r="M200" s="2" t="s">
        <v>1046</v>
      </c>
      <c r="N200" s="40" t="str">
        <f>_xlfn.XLOOKUP(F200,Terrain!D:D,Terrain!H:H,"")</f>
        <v>2555 - 2558</v>
      </c>
      <c r="O200" t="str">
        <f t="shared" si="9"/>
        <v>56-A02 | 3835 | 198|0</v>
      </c>
    </row>
    <row r="201" spans="1:15" x14ac:dyDescent="0.3">
      <c r="A201" s="43">
        <v>46113</v>
      </c>
      <c r="B201" s="2" t="s">
        <v>10</v>
      </c>
      <c r="C201" s="2" t="s">
        <v>1257</v>
      </c>
      <c r="D201" s="2" t="s">
        <v>30</v>
      </c>
      <c r="E201" s="2" t="str">
        <f>_xlfn.XLOOKUP(F201,Terrain!D:D,Terrain!A:A,"")</f>
        <v>Lower</v>
      </c>
      <c r="F201" s="2" t="s">
        <v>1283</v>
      </c>
      <c r="G201" s="2" t="s">
        <v>1051</v>
      </c>
      <c r="H201" s="2">
        <f t="shared" si="10"/>
        <v>2556</v>
      </c>
      <c r="I201" s="2">
        <v>3708.25</v>
      </c>
      <c r="J201" s="2">
        <v>74.165000000000006</v>
      </c>
      <c r="K201" s="2">
        <v>74</v>
      </c>
      <c r="L201" s="2">
        <f t="shared" si="11"/>
        <v>1750</v>
      </c>
      <c r="M201" s="2" t="s">
        <v>1052</v>
      </c>
      <c r="N201" s="40" t="str">
        <f>_xlfn.XLOOKUP(F201,Terrain!D:D,Terrain!H:H,"")</f>
        <v>2555 - 2558</v>
      </c>
      <c r="O201" t="str">
        <f t="shared" si="9"/>
        <v>56-A03-R | 2119 | 192|0</v>
      </c>
    </row>
    <row r="202" spans="1:15" x14ac:dyDescent="0.3">
      <c r="A202" s="43">
        <v>46113</v>
      </c>
      <c r="B202" s="2" t="s">
        <v>10</v>
      </c>
      <c r="C202" s="2" t="s">
        <v>1257</v>
      </c>
      <c r="D202" s="2" t="s">
        <v>945</v>
      </c>
      <c r="E202" s="2" t="str">
        <f>_xlfn.XLOOKUP(F202,Terrain!D:D,Terrain!A:A,"")</f>
        <v>Lower</v>
      </c>
      <c r="F202" s="2" t="s">
        <v>1284</v>
      </c>
      <c r="G202" s="2" t="s">
        <v>1053</v>
      </c>
      <c r="H202" s="2">
        <f t="shared" si="10"/>
        <v>2563</v>
      </c>
      <c r="I202" s="2">
        <v>1715</v>
      </c>
      <c r="J202" s="2">
        <v>34.299999999999997</v>
      </c>
      <c r="K202" s="2">
        <v>34</v>
      </c>
      <c r="L202" s="2">
        <f t="shared" si="11"/>
        <v>1750</v>
      </c>
      <c r="M202" s="2" t="s">
        <v>1049</v>
      </c>
      <c r="N202" s="40" t="str">
        <f>_xlfn.XLOOKUP(F202,Terrain!D:D,Terrain!H:H,"")</f>
        <v>2563 - 2565</v>
      </c>
      <c r="O202" t="str">
        <f t="shared" si="9"/>
        <v>63-A03-R | 980 | 695|0</v>
      </c>
    </row>
    <row r="203" spans="1:15" x14ac:dyDescent="0.3">
      <c r="A203" s="43">
        <v>46113</v>
      </c>
      <c r="B203" s="2" t="s">
        <v>10</v>
      </c>
      <c r="C203" s="2" t="s">
        <v>1257</v>
      </c>
      <c r="D203" s="2" t="s">
        <v>39</v>
      </c>
      <c r="E203" s="2" t="str">
        <f>_xlfn.XLOOKUP(F203,Terrain!D:D,Terrain!A:A,"")</f>
        <v>Lower</v>
      </c>
      <c r="F203" s="2" t="s">
        <v>1271</v>
      </c>
      <c r="G203" s="2" t="s">
        <v>1054</v>
      </c>
      <c r="H203" s="2">
        <f t="shared" si="10"/>
        <v>2550</v>
      </c>
      <c r="I203" s="2">
        <v>7296</v>
      </c>
      <c r="J203" s="2">
        <v>145.91999999999999</v>
      </c>
      <c r="K203" s="2">
        <v>146</v>
      </c>
      <c r="L203" s="2">
        <f t="shared" si="11"/>
        <v>1500</v>
      </c>
      <c r="M203" s="2" t="s">
        <v>1055</v>
      </c>
      <c r="N203" s="40" t="str">
        <f>_xlfn.XLOOKUP(F203,Terrain!D:D,Terrain!H:H,"")</f>
        <v>2549 - 2552</v>
      </c>
      <c r="O203" t="str">
        <f t="shared" si="9"/>
        <v>50-A04 | 4864 | 115|0</v>
      </c>
    </row>
    <row r="204" spans="1:15" x14ac:dyDescent="0.3">
      <c r="A204" s="43">
        <v>46113</v>
      </c>
      <c r="B204" s="2" t="s">
        <v>10</v>
      </c>
      <c r="C204" s="2" t="s">
        <v>1257</v>
      </c>
      <c r="D204" s="2" t="s">
        <v>47</v>
      </c>
      <c r="E204" s="2" t="str">
        <f>_xlfn.XLOOKUP(F204,Terrain!D:D,Terrain!A:A,"")</f>
        <v>Lower</v>
      </c>
      <c r="F204" s="2" t="s">
        <v>1272</v>
      </c>
      <c r="G204" s="2" t="s">
        <v>1056</v>
      </c>
      <c r="H204" s="2">
        <f t="shared" si="10"/>
        <v>2550</v>
      </c>
      <c r="I204" s="2">
        <v>6912</v>
      </c>
      <c r="J204" s="2">
        <v>138.24</v>
      </c>
      <c r="K204" s="2">
        <v>138</v>
      </c>
      <c r="L204" s="2">
        <f t="shared" si="11"/>
        <v>1500</v>
      </c>
      <c r="M204" s="2" t="s">
        <v>1055</v>
      </c>
      <c r="N204" s="40" t="str">
        <f>_xlfn.XLOOKUP(F204,Terrain!D:D,Terrain!H:H,"")</f>
        <v>2549 - 2552</v>
      </c>
      <c r="O204" t="str">
        <f t="shared" si="9"/>
        <v>50-A05 | 4608 | 111|0</v>
      </c>
    </row>
    <row r="205" spans="1:15" x14ac:dyDescent="0.3">
      <c r="A205" s="43">
        <v>46113</v>
      </c>
      <c r="B205" s="2" t="s">
        <v>10</v>
      </c>
      <c r="C205" s="2" t="s">
        <v>1257</v>
      </c>
      <c r="D205" s="2" t="s">
        <v>55</v>
      </c>
      <c r="E205" s="2" t="str">
        <f>_xlfn.XLOOKUP(F205,Terrain!D:D,Terrain!A:A,"")</f>
        <v>Lower</v>
      </c>
      <c r="F205" s="2" t="s">
        <v>1273</v>
      </c>
      <c r="G205" s="2" t="s">
        <v>1057</v>
      </c>
      <c r="H205" s="2">
        <f t="shared" si="10"/>
        <v>2560</v>
      </c>
      <c r="I205" s="2">
        <v>5703.25</v>
      </c>
      <c r="J205" s="2">
        <v>114.065</v>
      </c>
      <c r="K205" s="2">
        <v>114</v>
      </c>
      <c r="L205" s="2">
        <f t="shared" si="11"/>
        <v>1750</v>
      </c>
      <c r="M205" s="2" t="s">
        <v>1058</v>
      </c>
      <c r="N205" s="40" t="str">
        <f>_xlfn.XLOOKUP(F205,Terrain!D:D,Terrain!H:H,"")</f>
        <v>2559 - 2560</v>
      </c>
      <c r="O205" t="str">
        <f t="shared" si="9"/>
        <v>60-A06 | 3259 | 194|0</v>
      </c>
    </row>
    <row r="206" spans="1:15" x14ac:dyDescent="0.3">
      <c r="A206" s="43">
        <v>46113</v>
      </c>
      <c r="B206" s="2" t="s">
        <v>10</v>
      </c>
      <c r="C206" s="2" t="s">
        <v>1257</v>
      </c>
      <c r="D206" s="2" t="s">
        <v>63</v>
      </c>
      <c r="E206" s="2" t="str">
        <f>_xlfn.XLOOKUP(F206,Terrain!D:D,Terrain!A:A,"")</f>
        <v>Lower</v>
      </c>
      <c r="F206" s="2" t="s">
        <v>1274</v>
      </c>
      <c r="G206" s="2" t="s">
        <v>1059</v>
      </c>
      <c r="H206" s="2">
        <f t="shared" si="10"/>
        <v>2563</v>
      </c>
      <c r="I206" s="2">
        <v>4179</v>
      </c>
      <c r="J206" s="2">
        <v>83.58</v>
      </c>
      <c r="K206" s="2">
        <v>84</v>
      </c>
      <c r="L206" s="2">
        <f t="shared" si="11"/>
        <v>1750</v>
      </c>
      <c r="M206" s="2" t="s">
        <v>1060</v>
      </c>
      <c r="N206" s="40" t="str">
        <f>_xlfn.XLOOKUP(F206,Terrain!D:D,Terrain!H:H,"")</f>
        <v>2563 - 2565</v>
      </c>
      <c r="O206" t="str">
        <f t="shared" si="9"/>
        <v>63-A07 | 2388 | 280|0</v>
      </c>
    </row>
    <row r="207" spans="1:15" x14ac:dyDescent="0.3">
      <c r="A207" s="43">
        <v>46113</v>
      </c>
      <c r="B207" s="2" t="s">
        <v>10</v>
      </c>
      <c r="C207" s="2" t="s">
        <v>1257</v>
      </c>
      <c r="D207" s="2" t="s">
        <v>71</v>
      </c>
      <c r="E207" s="2" t="str">
        <f>_xlfn.XLOOKUP(F207,Terrain!D:D,Terrain!A:A,"")</f>
        <v>Lower</v>
      </c>
      <c r="F207" s="2" t="s">
        <v>1285</v>
      </c>
      <c r="G207" s="2" t="s">
        <v>860</v>
      </c>
      <c r="H207" s="2">
        <f t="shared" si="10"/>
        <v>2563</v>
      </c>
      <c r="I207" s="2">
        <v>540.75</v>
      </c>
      <c r="J207" s="2">
        <v>10.815</v>
      </c>
      <c r="K207" s="2">
        <v>11</v>
      </c>
      <c r="L207" s="2">
        <f t="shared" si="11"/>
        <v>1750</v>
      </c>
      <c r="M207" s="2" t="s">
        <v>1049</v>
      </c>
      <c r="N207" s="40" t="str">
        <f>_xlfn.XLOOKUP(F207,Terrain!D:D,Terrain!H:H,"")</f>
        <v>2563 - 2565</v>
      </c>
      <c r="O207" t="str">
        <f t="shared" si="9"/>
        <v>63-A07-R | 309 | 275|0</v>
      </c>
    </row>
    <row r="208" spans="1:15" x14ac:dyDescent="0.3">
      <c r="A208" s="43">
        <v>46113</v>
      </c>
      <c r="B208" s="2" t="s">
        <v>10</v>
      </c>
      <c r="C208" s="2" t="s">
        <v>1257</v>
      </c>
      <c r="D208" s="2" t="s">
        <v>79</v>
      </c>
      <c r="E208" s="2" t="str">
        <f>_xlfn.XLOOKUP(F208,Terrain!D:D,Terrain!A:A,"")</f>
        <v>Lower</v>
      </c>
      <c r="F208" s="2" t="s">
        <v>1286</v>
      </c>
      <c r="G208" s="2" t="s">
        <v>861</v>
      </c>
      <c r="H208" s="2">
        <f t="shared" si="10"/>
        <v>2557</v>
      </c>
      <c r="I208" s="2">
        <v>7539</v>
      </c>
      <c r="J208" s="2">
        <v>150.78</v>
      </c>
      <c r="K208" s="2">
        <v>151</v>
      </c>
      <c r="L208" s="2">
        <f t="shared" si="11"/>
        <v>1750</v>
      </c>
      <c r="M208" s="2" t="s">
        <v>1052</v>
      </c>
      <c r="N208" s="40" t="str">
        <f>_xlfn.XLOOKUP(F208,Terrain!D:D,Terrain!H:H,"")</f>
        <v>2555 - 2558</v>
      </c>
      <c r="O208" t="str">
        <f t="shared" si="9"/>
        <v>57-A08-R | 4308 | 193|0</v>
      </c>
    </row>
    <row r="209" spans="1:15" x14ac:dyDescent="0.3">
      <c r="A209" s="43">
        <v>46113</v>
      </c>
      <c r="B209" s="2" t="s">
        <v>10</v>
      </c>
      <c r="C209" s="2" t="s">
        <v>1257</v>
      </c>
      <c r="D209" s="2" t="s">
        <v>87</v>
      </c>
      <c r="E209" s="2" t="str">
        <f>_xlfn.XLOOKUP(F209,Terrain!D:D,Terrain!A:A,"")</f>
        <v>Lower</v>
      </c>
      <c r="F209" s="2" t="s">
        <v>1287</v>
      </c>
      <c r="G209" s="2" t="s">
        <v>862</v>
      </c>
      <c r="H209" s="2">
        <f t="shared" si="10"/>
        <v>2557</v>
      </c>
      <c r="I209" s="2">
        <v>6756.75</v>
      </c>
      <c r="J209" s="2">
        <v>135.13499999999999</v>
      </c>
      <c r="K209" s="2">
        <v>135</v>
      </c>
      <c r="L209" s="2">
        <f t="shared" si="11"/>
        <v>1750</v>
      </c>
      <c r="M209" s="2" t="s">
        <v>1052</v>
      </c>
      <c r="N209" s="40" t="str">
        <f>_xlfn.XLOOKUP(F209,Terrain!D:D,Terrain!H:H,"")</f>
        <v>2555 - 2558</v>
      </c>
      <c r="O209" t="str">
        <f t="shared" si="9"/>
        <v>57-A09-R | 3861 | 205|0</v>
      </c>
    </row>
    <row r="210" spans="1:15" x14ac:dyDescent="0.3">
      <c r="A210" s="43">
        <v>46113</v>
      </c>
      <c r="B210" s="2" t="s">
        <v>10</v>
      </c>
      <c r="C210" s="2" t="s">
        <v>1257</v>
      </c>
      <c r="D210" s="2" t="s">
        <v>95</v>
      </c>
      <c r="E210" s="2" t="str">
        <f>_xlfn.XLOOKUP(F210,Terrain!D:D,Terrain!A:A,"")</f>
        <v>Lower</v>
      </c>
      <c r="F210" s="2" t="s">
        <v>1288</v>
      </c>
      <c r="G210" s="2" t="s">
        <v>1061</v>
      </c>
      <c r="H210" s="2">
        <f t="shared" si="10"/>
        <v>2549</v>
      </c>
      <c r="I210" s="2">
        <v>4177.5</v>
      </c>
      <c r="J210" s="2">
        <v>83.55</v>
      </c>
      <c r="K210" s="2">
        <v>84</v>
      </c>
      <c r="L210" s="2">
        <f t="shared" si="11"/>
        <v>1500</v>
      </c>
      <c r="M210" s="2" t="s">
        <v>1062</v>
      </c>
      <c r="N210" s="40" t="str">
        <f>_xlfn.XLOOKUP(F210,Terrain!D:D,Terrain!H:H,"")</f>
        <v>2549 - 2552</v>
      </c>
      <c r="O210" t="str">
        <f t="shared" si="9"/>
        <v>49-A10-R | 2785 | 116|0</v>
      </c>
    </row>
    <row r="211" spans="1:15" x14ac:dyDescent="0.3">
      <c r="A211" s="43">
        <v>46113</v>
      </c>
      <c r="B211" s="2" t="s">
        <v>10</v>
      </c>
      <c r="C211" s="2" t="s">
        <v>1257</v>
      </c>
      <c r="D211" s="2" t="s">
        <v>103</v>
      </c>
      <c r="E211" s="2" t="str">
        <f>_xlfn.XLOOKUP(F211,Terrain!D:D,Terrain!A:A,"")</f>
        <v>Lower</v>
      </c>
      <c r="F211" s="2" t="s">
        <v>1289</v>
      </c>
      <c r="G211" s="2" t="s">
        <v>1063</v>
      </c>
      <c r="H211" s="2">
        <f t="shared" si="10"/>
        <v>2549</v>
      </c>
      <c r="I211" s="2">
        <v>3631.5</v>
      </c>
      <c r="J211" s="2">
        <v>72.63</v>
      </c>
      <c r="K211" s="2">
        <v>73</v>
      </c>
      <c r="L211" s="2">
        <f t="shared" si="11"/>
        <v>1500</v>
      </c>
      <c r="M211" s="2" t="s">
        <v>1062</v>
      </c>
      <c r="N211" s="40" t="str">
        <f>_xlfn.XLOOKUP(F211,Terrain!D:D,Terrain!H:H,"")</f>
        <v>2549 - 2552</v>
      </c>
      <c r="O211" t="str">
        <f t="shared" si="9"/>
        <v>49-A11-R | 2421 | 113|0</v>
      </c>
    </row>
    <row r="212" spans="1:15" x14ac:dyDescent="0.3">
      <c r="A212" s="43">
        <v>46113</v>
      </c>
      <c r="B212" s="2" t="s">
        <v>10</v>
      </c>
      <c r="C212" s="2" t="s">
        <v>1257</v>
      </c>
      <c r="D212" s="2" t="s">
        <v>111</v>
      </c>
      <c r="E212" s="2" t="str">
        <f>_xlfn.XLOOKUP(F212,Terrain!D:D,Terrain!A:A,"")</f>
        <v>Lower</v>
      </c>
      <c r="F212" s="2" t="s">
        <v>1290</v>
      </c>
      <c r="G212" s="2" t="s">
        <v>1064</v>
      </c>
      <c r="H212" s="2">
        <f t="shared" si="10"/>
        <v>2549</v>
      </c>
      <c r="I212" s="2">
        <v>5646</v>
      </c>
      <c r="J212" s="2">
        <v>112.92</v>
      </c>
      <c r="K212" s="2">
        <v>113</v>
      </c>
      <c r="L212" s="2">
        <f t="shared" si="11"/>
        <v>1500</v>
      </c>
      <c r="M212" s="2" t="s">
        <v>1062</v>
      </c>
      <c r="N212" s="40" t="str">
        <f>_xlfn.XLOOKUP(F212,Terrain!D:D,Terrain!H:H,"")</f>
        <v>2549 - 2552</v>
      </c>
      <c r="O212" t="str">
        <f t="shared" si="9"/>
        <v>49-A12-R | 3764 | 118|0</v>
      </c>
    </row>
    <row r="213" spans="1:15" x14ac:dyDescent="0.3">
      <c r="A213" s="43">
        <v>46113</v>
      </c>
      <c r="B213" s="2" t="s">
        <v>10</v>
      </c>
      <c r="C213" s="2" t="s">
        <v>1257</v>
      </c>
      <c r="D213" s="2" t="s">
        <v>119</v>
      </c>
      <c r="E213" s="2" t="str">
        <f>_xlfn.XLOOKUP(F213,Terrain!D:D,Terrain!A:A,"")</f>
        <v>Lower</v>
      </c>
      <c r="F213" s="2" t="s">
        <v>1291</v>
      </c>
      <c r="G213" s="2" t="s">
        <v>1065</v>
      </c>
      <c r="H213" s="2">
        <f t="shared" si="10"/>
        <v>2549</v>
      </c>
      <c r="I213" s="2">
        <v>4339.5</v>
      </c>
      <c r="J213" s="2">
        <v>86.79</v>
      </c>
      <c r="K213" s="2">
        <v>87</v>
      </c>
      <c r="L213" s="2">
        <f t="shared" si="11"/>
        <v>1500</v>
      </c>
      <c r="M213" s="2" t="s">
        <v>1062</v>
      </c>
      <c r="N213" s="40" t="str">
        <f>_xlfn.XLOOKUP(F213,Terrain!D:D,Terrain!H:H,"")</f>
        <v>2549 - 2552</v>
      </c>
      <c r="O213" t="str">
        <f t="shared" si="9"/>
        <v>49-A13-R | 2893 | 119|0</v>
      </c>
    </row>
    <row r="214" spans="1:15" x14ac:dyDescent="0.3">
      <c r="A214" s="43">
        <v>46113</v>
      </c>
      <c r="B214" s="2" t="s">
        <v>10</v>
      </c>
      <c r="C214" s="2" t="s">
        <v>1257</v>
      </c>
      <c r="D214" s="2" t="s">
        <v>127</v>
      </c>
      <c r="E214" s="2" t="str">
        <f>_xlfn.XLOOKUP(F214,Terrain!D:D,Terrain!A:A,"")</f>
        <v>Upper</v>
      </c>
      <c r="F214" s="2" t="s">
        <v>1275</v>
      </c>
      <c r="G214" s="2" t="s">
        <v>891</v>
      </c>
      <c r="H214" s="2">
        <f t="shared" si="10"/>
        <v>2565</v>
      </c>
      <c r="I214" s="2">
        <v>5019</v>
      </c>
      <c r="J214" s="2">
        <v>100.38</v>
      </c>
      <c r="K214" s="2">
        <v>100</v>
      </c>
      <c r="L214" s="2">
        <f t="shared" si="11"/>
        <v>1750</v>
      </c>
      <c r="M214" s="2" t="s">
        <v>1066</v>
      </c>
      <c r="N214" s="40" t="str">
        <f>_xlfn.XLOOKUP(F214,Terrain!D:D,Terrain!H:H,"")</f>
        <v>2563 - 2565</v>
      </c>
      <c r="O214" t="str">
        <f t="shared" si="9"/>
        <v>65-B01 | 2868 | 565|0</v>
      </c>
    </row>
    <row r="215" spans="1:15" x14ac:dyDescent="0.3">
      <c r="A215" s="43">
        <v>46113</v>
      </c>
      <c r="B215" s="2" t="s">
        <v>10</v>
      </c>
      <c r="C215" s="2" t="s">
        <v>1257</v>
      </c>
      <c r="D215" s="2" t="s">
        <v>135</v>
      </c>
      <c r="E215" s="2" t="str">
        <f>_xlfn.XLOOKUP(F215,Terrain!D:D,Terrain!A:A,"")</f>
        <v>Upper</v>
      </c>
      <c r="F215" s="2" t="s">
        <v>1276</v>
      </c>
      <c r="G215" s="2" t="s">
        <v>892</v>
      </c>
      <c r="H215" s="2">
        <f t="shared" si="10"/>
        <v>2564</v>
      </c>
      <c r="I215" s="2">
        <v>6090</v>
      </c>
      <c r="J215" s="2">
        <v>121.8</v>
      </c>
      <c r="K215" s="2">
        <v>122</v>
      </c>
      <c r="L215" s="2">
        <f t="shared" si="11"/>
        <v>1750</v>
      </c>
      <c r="M215" s="2" t="s">
        <v>1066</v>
      </c>
      <c r="N215" s="40" t="str">
        <f>_xlfn.XLOOKUP(F215,Terrain!D:D,Terrain!H:H,"")</f>
        <v>2563 - 2564</v>
      </c>
      <c r="O215" t="str">
        <f t="shared" si="9"/>
        <v>64-B02 | 3480 | 570|0</v>
      </c>
    </row>
    <row r="216" spans="1:15" x14ac:dyDescent="0.3">
      <c r="A216" s="43">
        <v>46113</v>
      </c>
      <c r="B216" s="2" t="s">
        <v>10</v>
      </c>
      <c r="C216" s="2" t="s">
        <v>1257</v>
      </c>
      <c r="D216" s="2" t="s">
        <v>143</v>
      </c>
      <c r="E216" s="2" t="str">
        <f>_xlfn.XLOOKUP(F216,Terrain!D:D,Terrain!A:A,"")</f>
        <v>Upper</v>
      </c>
      <c r="F216" s="2" t="s">
        <v>1277</v>
      </c>
      <c r="G216" s="2" t="s">
        <v>893</v>
      </c>
      <c r="H216" s="2">
        <f t="shared" si="10"/>
        <v>2557</v>
      </c>
      <c r="I216" s="2">
        <v>7404.25</v>
      </c>
      <c r="J216" s="2">
        <v>148.08500000000001</v>
      </c>
      <c r="K216" s="2">
        <v>148</v>
      </c>
      <c r="L216" s="2">
        <f t="shared" si="11"/>
        <v>1750</v>
      </c>
      <c r="M216" s="2" t="s">
        <v>1067</v>
      </c>
      <c r="N216" s="40" t="str">
        <f>_xlfn.XLOOKUP(F216,Terrain!D:D,Terrain!H:H,"")</f>
        <v>2555 - 2558</v>
      </c>
      <c r="O216" t="str">
        <f t="shared" si="9"/>
        <v>57-B03 | 4231 | 508|0</v>
      </c>
    </row>
    <row r="217" spans="1:15" x14ac:dyDescent="0.3">
      <c r="A217" s="43">
        <v>46113</v>
      </c>
      <c r="B217" s="2" t="s">
        <v>10</v>
      </c>
      <c r="C217" s="2" t="s">
        <v>1257</v>
      </c>
      <c r="D217" s="2" t="s">
        <v>151</v>
      </c>
      <c r="E217" s="2" t="str">
        <f>_xlfn.XLOOKUP(F217,Terrain!D:D,Terrain!A:A,"")</f>
        <v>Upper</v>
      </c>
      <c r="F217" s="2" t="s">
        <v>1278</v>
      </c>
      <c r="G217" s="2" t="s">
        <v>894</v>
      </c>
      <c r="H217" s="2">
        <f t="shared" si="10"/>
        <v>2560</v>
      </c>
      <c r="I217" s="2">
        <v>6739.25</v>
      </c>
      <c r="J217" s="2">
        <v>134.785</v>
      </c>
      <c r="K217" s="2">
        <v>135</v>
      </c>
      <c r="L217" s="2">
        <f t="shared" si="11"/>
        <v>1750</v>
      </c>
      <c r="M217" s="2" t="s">
        <v>1068</v>
      </c>
      <c r="N217" s="40" t="str">
        <f>_xlfn.XLOOKUP(F217,Terrain!D:D,Terrain!H:H,"")</f>
        <v>2559 - 2560</v>
      </c>
      <c r="O217" t="str">
        <f t="shared" si="9"/>
        <v>60-B04 | 3851 | 515|0</v>
      </c>
    </row>
    <row r="218" spans="1:15" x14ac:dyDescent="0.3">
      <c r="A218" s="43">
        <v>46113</v>
      </c>
      <c r="B218" s="2" t="s">
        <v>10</v>
      </c>
      <c r="C218" s="2" t="s">
        <v>1257</v>
      </c>
      <c r="D218" s="2" t="s">
        <v>159</v>
      </c>
      <c r="E218" s="2" t="str">
        <f>_xlfn.XLOOKUP(F218,Terrain!D:D,Terrain!A:A,"")</f>
        <v>Upper</v>
      </c>
      <c r="F218" s="2" t="s">
        <v>1279</v>
      </c>
      <c r="G218" s="2" t="s">
        <v>895</v>
      </c>
      <c r="H218" s="2">
        <f t="shared" si="10"/>
        <v>2564</v>
      </c>
      <c r="I218" s="2">
        <v>5495</v>
      </c>
      <c r="J218" s="2">
        <v>109.9</v>
      </c>
      <c r="K218" s="2">
        <v>110</v>
      </c>
      <c r="L218" s="2">
        <f t="shared" si="11"/>
        <v>1750</v>
      </c>
      <c r="M218" s="2" t="s">
        <v>1066</v>
      </c>
      <c r="N218" s="40" t="str">
        <f>_xlfn.XLOOKUP(F218,Terrain!D:D,Terrain!H:H,"")</f>
        <v>2563 - 2564</v>
      </c>
      <c r="O218" t="str">
        <f t="shared" si="9"/>
        <v>64-B05 | 3140 | 566|0</v>
      </c>
    </row>
    <row r="219" spans="1:15" x14ac:dyDescent="0.3">
      <c r="A219" s="43">
        <v>46113</v>
      </c>
      <c r="B219" s="2" t="s">
        <v>10</v>
      </c>
      <c r="C219" s="2" t="s">
        <v>1257</v>
      </c>
      <c r="D219" s="2" t="s">
        <v>167</v>
      </c>
      <c r="E219" s="2" t="str">
        <f>_xlfn.XLOOKUP(F219,Terrain!D:D,Terrain!A:A,"")</f>
        <v>Upper</v>
      </c>
      <c r="F219" s="2" t="s">
        <v>1280</v>
      </c>
      <c r="G219" s="2" t="s">
        <v>896</v>
      </c>
      <c r="H219" s="2">
        <f t="shared" si="10"/>
        <v>2564</v>
      </c>
      <c r="I219" s="2">
        <v>6424.25</v>
      </c>
      <c r="J219" s="2">
        <v>128.48500000000001</v>
      </c>
      <c r="K219" s="2">
        <v>128</v>
      </c>
      <c r="L219" s="2">
        <f t="shared" si="11"/>
        <v>1750</v>
      </c>
      <c r="M219" s="2" t="s">
        <v>1066</v>
      </c>
      <c r="N219" s="40" t="str">
        <f>_xlfn.XLOOKUP(F219,Terrain!D:D,Terrain!H:H,"")</f>
        <v>2563 - 2564</v>
      </c>
      <c r="O219" t="str">
        <f t="shared" si="9"/>
        <v>64-B06 | 3671 | 569|0</v>
      </c>
    </row>
    <row r="220" spans="1:15" x14ac:dyDescent="0.3">
      <c r="A220" s="43">
        <v>46113</v>
      </c>
      <c r="B220" s="2" t="s">
        <v>10</v>
      </c>
      <c r="C220" s="2" t="s">
        <v>1257</v>
      </c>
      <c r="D220" s="2" t="s">
        <v>175</v>
      </c>
      <c r="E220" s="2" t="str">
        <f>_xlfn.XLOOKUP(F220,Terrain!D:D,Terrain!A:A,"")</f>
        <v>Upper</v>
      </c>
      <c r="F220" s="2" t="s">
        <v>1281</v>
      </c>
      <c r="G220" s="2" t="s">
        <v>897</v>
      </c>
      <c r="H220" s="2">
        <f t="shared" si="10"/>
        <v>2550</v>
      </c>
      <c r="I220" s="2">
        <v>6033</v>
      </c>
      <c r="J220" s="2">
        <v>120.66</v>
      </c>
      <c r="K220" s="2">
        <v>121</v>
      </c>
      <c r="L220" s="2">
        <f t="shared" si="11"/>
        <v>1500</v>
      </c>
      <c r="M220" s="2" t="s">
        <v>1069</v>
      </c>
      <c r="N220" s="40" t="str">
        <f>_xlfn.XLOOKUP(F220,Terrain!D:D,Terrain!H:H,"")</f>
        <v>2549 - 2552</v>
      </c>
      <c r="O220" t="str">
        <f t="shared" si="9"/>
        <v>50-B07 | 4022 | 447|0</v>
      </c>
    </row>
    <row r="221" spans="1:15" x14ac:dyDescent="0.3">
      <c r="A221" s="43">
        <v>46113</v>
      </c>
      <c r="B221" s="2" t="s">
        <v>10</v>
      </c>
      <c r="C221" s="2" t="s">
        <v>1257</v>
      </c>
      <c r="D221" s="2" t="s">
        <v>183</v>
      </c>
      <c r="E221" s="2" t="str">
        <f>_xlfn.XLOOKUP(F221,Terrain!D:D,Terrain!A:A,"")</f>
        <v>Upper</v>
      </c>
      <c r="F221" s="2" t="s">
        <v>1292</v>
      </c>
      <c r="G221" s="2" t="s">
        <v>898</v>
      </c>
      <c r="H221" s="2">
        <f t="shared" si="10"/>
        <v>2560</v>
      </c>
      <c r="I221" s="2">
        <v>6083</v>
      </c>
      <c r="J221" s="2">
        <v>121.66</v>
      </c>
      <c r="K221" s="2">
        <v>122</v>
      </c>
      <c r="L221" s="2">
        <f t="shared" si="11"/>
        <v>1750</v>
      </c>
      <c r="M221" s="2" t="s">
        <v>1068</v>
      </c>
      <c r="N221" s="40" t="str">
        <f>_xlfn.XLOOKUP(F221,Terrain!D:D,Terrain!H:H,"")</f>
        <v>2559 - 2560</v>
      </c>
      <c r="O221" t="str">
        <f t="shared" si="9"/>
        <v>60-B08 | 3476 | 512|0</v>
      </c>
    </row>
    <row r="222" spans="1:15" x14ac:dyDescent="0.3">
      <c r="A222" s="43">
        <v>46113</v>
      </c>
      <c r="B222" s="2" t="s">
        <v>10</v>
      </c>
      <c r="C222" s="2" t="s">
        <v>1257</v>
      </c>
      <c r="D222" s="2" t="s">
        <v>191</v>
      </c>
      <c r="E222" s="2" t="str">
        <f>_xlfn.XLOOKUP(F222,Terrain!D:D,Terrain!A:A,"")</f>
        <v>Upper</v>
      </c>
      <c r="F222" s="2" t="s">
        <v>1293</v>
      </c>
      <c r="G222" s="2" t="s">
        <v>899</v>
      </c>
      <c r="H222" s="2">
        <f t="shared" si="10"/>
        <v>2560</v>
      </c>
      <c r="I222" s="2">
        <v>7222.25</v>
      </c>
      <c r="J222" s="2">
        <v>144.44499999999999</v>
      </c>
      <c r="K222" s="2">
        <v>144</v>
      </c>
      <c r="L222" s="2">
        <f t="shared" si="11"/>
        <v>1750</v>
      </c>
      <c r="M222" s="2" t="s">
        <v>1068</v>
      </c>
      <c r="N222" s="40" t="str">
        <f>_xlfn.XLOOKUP(F222,Terrain!D:D,Terrain!H:H,"")</f>
        <v>2559 - 2560</v>
      </c>
      <c r="O222" t="str">
        <f t="shared" si="9"/>
        <v>60-B09 | 4127 | 501|0</v>
      </c>
    </row>
    <row r="223" spans="1:15" x14ac:dyDescent="0.3">
      <c r="A223" s="43">
        <v>46113</v>
      </c>
      <c r="B223" s="2" t="s">
        <v>10</v>
      </c>
      <c r="C223" s="2" t="s">
        <v>1257</v>
      </c>
      <c r="D223" s="2" t="s">
        <v>199</v>
      </c>
      <c r="E223" s="2" t="str">
        <f>_xlfn.XLOOKUP(F223,Terrain!D:D,Terrain!A:A,"")</f>
        <v>Upper</v>
      </c>
      <c r="F223" s="2" t="s">
        <v>1135</v>
      </c>
      <c r="G223" s="2" t="s">
        <v>900</v>
      </c>
      <c r="H223" s="2">
        <f t="shared" si="10"/>
        <v>2550</v>
      </c>
      <c r="I223" s="2">
        <v>6367.5</v>
      </c>
      <c r="J223" s="2">
        <v>127.35</v>
      </c>
      <c r="K223" s="2">
        <v>127</v>
      </c>
      <c r="L223" s="2">
        <f t="shared" si="11"/>
        <v>1500</v>
      </c>
      <c r="M223" s="2" t="s">
        <v>1069</v>
      </c>
      <c r="N223" s="40" t="str">
        <f>_xlfn.XLOOKUP(F223,Terrain!D:D,Terrain!H:H,"")</f>
        <v>2549 - 2552</v>
      </c>
      <c r="O223" t="str">
        <f t="shared" si="9"/>
        <v>50-B10 | 4245 | 444|0</v>
      </c>
    </row>
    <row r="224" spans="1:15" x14ac:dyDescent="0.3">
      <c r="A224" s="43">
        <v>46113</v>
      </c>
      <c r="B224" s="2" t="s">
        <v>10</v>
      </c>
      <c r="C224" s="2" t="s">
        <v>1257</v>
      </c>
      <c r="D224" s="2" t="s">
        <v>207</v>
      </c>
      <c r="E224" s="2" t="str">
        <f>_xlfn.XLOOKUP(F224,Terrain!D:D,Terrain!A:A,"")</f>
        <v>Upper</v>
      </c>
      <c r="F224" s="2" t="s">
        <v>1149</v>
      </c>
      <c r="G224" s="2" t="s">
        <v>901</v>
      </c>
      <c r="H224" s="2">
        <f t="shared" si="10"/>
        <v>2565</v>
      </c>
      <c r="I224" s="2">
        <v>5587.75</v>
      </c>
      <c r="J224" s="2">
        <v>111.755</v>
      </c>
      <c r="K224" s="2">
        <v>112</v>
      </c>
      <c r="L224" s="2">
        <f t="shared" si="11"/>
        <v>1750</v>
      </c>
      <c r="M224" s="2" t="s">
        <v>1066</v>
      </c>
      <c r="N224" s="40" t="str">
        <f>_xlfn.XLOOKUP(F224,Terrain!D:D,Terrain!H:H,"")</f>
        <v>2563 - 2565</v>
      </c>
      <c r="O224" t="str">
        <f t="shared" si="9"/>
        <v>65-B11 | 3193 | 571|0</v>
      </c>
    </row>
    <row r="225" spans="1:15" x14ac:dyDescent="0.3">
      <c r="A225" s="43">
        <v>46113</v>
      </c>
      <c r="B225" s="2" t="s">
        <v>10</v>
      </c>
      <c r="C225" s="2" t="s">
        <v>1257</v>
      </c>
      <c r="D225" s="2" t="s">
        <v>215</v>
      </c>
      <c r="E225" s="2" t="str">
        <f>_xlfn.XLOOKUP(F225,Terrain!D:D,Terrain!A:A,"")</f>
        <v>Upper</v>
      </c>
      <c r="F225" s="2" t="s">
        <v>1137</v>
      </c>
      <c r="G225" s="2" t="s">
        <v>902</v>
      </c>
      <c r="H225" s="2">
        <f t="shared" si="10"/>
        <v>2557</v>
      </c>
      <c r="I225" s="2">
        <v>7463.75</v>
      </c>
      <c r="J225" s="2">
        <v>149.27500000000001</v>
      </c>
      <c r="K225" s="2">
        <v>149</v>
      </c>
      <c r="L225" s="2">
        <f t="shared" si="11"/>
        <v>1750</v>
      </c>
      <c r="M225" s="2" t="s">
        <v>1067</v>
      </c>
      <c r="N225" s="40" t="str">
        <f>_xlfn.XLOOKUP(F225,Terrain!D:D,Terrain!H:H,"")</f>
        <v>2555 - 2558</v>
      </c>
      <c r="O225" t="str">
        <f t="shared" si="9"/>
        <v>57-B12 | 4265 | 509|0</v>
      </c>
    </row>
    <row r="226" spans="1:15" x14ac:dyDescent="0.3">
      <c r="A226" s="43">
        <v>46113</v>
      </c>
      <c r="B226" s="2" t="s">
        <v>10</v>
      </c>
      <c r="C226" s="2" t="s">
        <v>1257</v>
      </c>
      <c r="D226" s="2" t="s">
        <v>223</v>
      </c>
      <c r="E226" s="2" t="str">
        <f>_xlfn.XLOOKUP(F226,Terrain!D:D,Terrain!A:A,"")</f>
        <v>Upper</v>
      </c>
      <c r="F226" s="2" t="s">
        <v>1131</v>
      </c>
      <c r="G226" s="2" t="s">
        <v>903</v>
      </c>
      <c r="H226" s="2">
        <f t="shared" si="10"/>
        <v>2549</v>
      </c>
      <c r="I226" s="2">
        <v>6288</v>
      </c>
      <c r="J226" s="2">
        <v>125.76</v>
      </c>
      <c r="K226" s="2">
        <v>126</v>
      </c>
      <c r="L226" s="2">
        <f t="shared" si="11"/>
        <v>1500</v>
      </c>
      <c r="M226" s="2" t="s">
        <v>1069</v>
      </c>
      <c r="N226" s="40" t="str">
        <f>_xlfn.XLOOKUP(F226,Terrain!D:D,Terrain!H:H,"")</f>
        <v>ปาล์มใหญ่</v>
      </c>
      <c r="O226" t="str">
        <f t="shared" si="9"/>
        <v>49-B13 | 4192 | 443|0</v>
      </c>
    </row>
    <row r="227" spans="1:15" x14ac:dyDescent="0.3">
      <c r="A227" s="43">
        <v>46113</v>
      </c>
      <c r="B227" s="2" t="s">
        <v>10</v>
      </c>
      <c r="C227" s="2" t="s">
        <v>1257</v>
      </c>
      <c r="D227" s="2" t="s">
        <v>231</v>
      </c>
      <c r="E227" s="2" t="str">
        <f>_xlfn.XLOOKUP(F227,Terrain!D:D,Terrain!A:A,"")</f>
        <v>Upper</v>
      </c>
      <c r="F227" s="2" t="s">
        <v>1130</v>
      </c>
      <c r="G227" s="2" t="s">
        <v>904</v>
      </c>
      <c r="H227" s="2">
        <f t="shared" si="10"/>
        <v>2530</v>
      </c>
      <c r="I227" s="2">
        <v>189</v>
      </c>
      <c r="J227" s="2">
        <v>3.78</v>
      </c>
      <c r="K227" s="2">
        <v>4</v>
      </c>
      <c r="L227" s="2">
        <f t="shared" si="11"/>
        <v>1500</v>
      </c>
      <c r="M227" s="2" t="s">
        <v>1070</v>
      </c>
      <c r="N227" s="40" t="str">
        <f>_xlfn.XLOOKUP(F227,Terrain!D:D,Terrain!H:H,"")</f>
        <v>ปาล์มใหญ่</v>
      </c>
      <c r="O227" t="str">
        <f t="shared" si="9"/>
        <v>30-B14 | 126 | 448|0</v>
      </c>
    </row>
    <row r="228" spans="1:15" x14ac:dyDescent="0.3">
      <c r="A228" s="43">
        <v>46113</v>
      </c>
      <c r="B228" s="2" t="s">
        <v>10</v>
      </c>
      <c r="C228" s="2" t="s">
        <v>1257</v>
      </c>
      <c r="D228" s="2" t="s">
        <v>239</v>
      </c>
      <c r="E228" s="2" t="str">
        <f>_xlfn.XLOOKUP(F228,Terrain!D:D,Terrain!A:A,"")</f>
        <v>Upper</v>
      </c>
      <c r="F228" s="2" t="s">
        <v>1139</v>
      </c>
      <c r="G228" s="2" t="s">
        <v>905</v>
      </c>
      <c r="H228" s="2">
        <f t="shared" si="10"/>
        <v>2557</v>
      </c>
      <c r="I228" s="2">
        <v>2910.25</v>
      </c>
      <c r="J228" s="2">
        <v>58.204999999999998</v>
      </c>
      <c r="K228" s="2">
        <v>58</v>
      </c>
      <c r="L228" s="2">
        <f t="shared" si="11"/>
        <v>1750</v>
      </c>
      <c r="M228" s="2" t="s">
        <v>1067</v>
      </c>
      <c r="N228" s="40" t="str">
        <f>_xlfn.XLOOKUP(F228,Terrain!D:D,Terrain!H:H,"")</f>
        <v>2555 - 2558</v>
      </c>
      <c r="O228" t="str">
        <f t="shared" si="9"/>
        <v>57-B14 | 1663 | 503|0</v>
      </c>
    </row>
    <row r="229" spans="1:15" x14ac:dyDescent="0.3">
      <c r="A229" s="43">
        <v>46113</v>
      </c>
      <c r="B229" s="2" t="s">
        <v>10</v>
      </c>
      <c r="C229" s="2" t="s">
        <v>1257</v>
      </c>
      <c r="D229" s="2" t="s">
        <v>247</v>
      </c>
      <c r="E229" s="2" t="str">
        <f>_xlfn.XLOOKUP(F229,Terrain!D:D,Terrain!A:A,"")</f>
        <v>Lower</v>
      </c>
      <c r="F229" s="2" t="s">
        <v>1294</v>
      </c>
      <c r="G229" s="2" t="s">
        <v>1071</v>
      </c>
      <c r="H229" s="2">
        <f t="shared" si="10"/>
        <v>2560</v>
      </c>
      <c r="I229" s="2">
        <v>4737.25</v>
      </c>
      <c r="J229" s="2">
        <v>94.745000000000005</v>
      </c>
      <c r="K229" s="2">
        <v>95</v>
      </c>
      <c r="L229" s="2">
        <f t="shared" si="11"/>
        <v>1750</v>
      </c>
      <c r="M229" s="2" t="s">
        <v>1072</v>
      </c>
      <c r="N229" s="40" t="str">
        <f>_xlfn.XLOOKUP(F229,Terrain!D:D,Terrain!H:H,"")</f>
        <v>2559 - 2560</v>
      </c>
      <c r="O229" t="str">
        <f t="shared" si="9"/>
        <v>60-C01-R | 2707 | 207|0</v>
      </c>
    </row>
    <row r="230" spans="1:15" x14ac:dyDescent="0.3">
      <c r="A230" s="43">
        <v>46113</v>
      </c>
      <c r="B230" s="2" t="s">
        <v>10</v>
      </c>
      <c r="C230" s="2" t="s">
        <v>1257</v>
      </c>
      <c r="D230" s="2" t="s">
        <v>255</v>
      </c>
      <c r="E230" s="2" t="str">
        <f>_xlfn.XLOOKUP(F230,Terrain!D:D,Terrain!A:A,"")</f>
        <v>Lower</v>
      </c>
      <c r="F230" s="2" t="s">
        <v>1295</v>
      </c>
      <c r="G230" s="2" t="s">
        <v>1073</v>
      </c>
      <c r="H230" s="2">
        <f t="shared" si="10"/>
        <v>2560</v>
      </c>
      <c r="I230" s="2">
        <v>3731</v>
      </c>
      <c r="J230" s="2">
        <v>74.62</v>
      </c>
      <c r="K230" s="2">
        <v>75</v>
      </c>
      <c r="L230" s="2">
        <f t="shared" si="11"/>
        <v>1750</v>
      </c>
      <c r="M230" s="2" t="s">
        <v>1072</v>
      </c>
      <c r="N230" s="40" t="str">
        <f>_xlfn.XLOOKUP(F230,Terrain!D:D,Terrain!H:H,"")</f>
        <v>2559 - 2560</v>
      </c>
      <c r="O230" t="str">
        <f t="shared" si="9"/>
        <v>60-C02-R | 2132 | 204|0</v>
      </c>
    </row>
    <row r="231" spans="1:15" x14ac:dyDescent="0.3">
      <c r="A231" s="43">
        <v>46113</v>
      </c>
      <c r="B231" s="2" t="s">
        <v>10</v>
      </c>
      <c r="C231" s="2" t="s">
        <v>1257</v>
      </c>
      <c r="D231" s="2" t="s">
        <v>263</v>
      </c>
      <c r="E231" s="2" t="str">
        <f>_xlfn.XLOOKUP(F231,Terrain!D:D,Terrain!A:A,"")</f>
        <v>Lower</v>
      </c>
      <c r="F231" s="2" t="s">
        <v>1296</v>
      </c>
      <c r="G231" s="2" t="s">
        <v>1074</v>
      </c>
      <c r="H231" s="2">
        <f t="shared" si="10"/>
        <v>2559</v>
      </c>
      <c r="I231" s="2">
        <v>5832.75</v>
      </c>
      <c r="J231" s="2">
        <v>116.655</v>
      </c>
      <c r="K231" s="2">
        <v>117</v>
      </c>
      <c r="L231" s="2">
        <f t="shared" si="11"/>
        <v>1750</v>
      </c>
      <c r="M231" s="2" t="s">
        <v>1072</v>
      </c>
      <c r="N231" s="40" t="str">
        <f>_xlfn.XLOOKUP(F231,Terrain!D:D,Terrain!H:H,"")</f>
        <v>2559 - 2560</v>
      </c>
      <c r="O231" t="str">
        <f t="shared" si="9"/>
        <v>59-C03-R | 3333 | 202|0</v>
      </c>
    </row>
    <row r="232" spans="1:15" x14ac:dyDescent="0.3">
      <c r="A232" s="43">
        <v>46113</v>
      </c>
      <c r="B232" s="2" t="s">
        <v>10</v>
      </c>
      <c r="C232" s="2" t="s">
        <v>1257</v>
      </c>
      <c r="D232" s="2" t="s">
        <v>271</v>
      </c>
      <c r="E232" s="2" t="str">
        <f>_xlfn.XLOOKUP(F232,Terrain!D:D,Terrain!A:A,"")</f>
        <v>Lower</v>
      </c>
      <c r="F232" s="2" t="s">
        <v>1297</v>
      </c>
      <c r="G232" s="2" t="s">
        <v>1075</v>
      </c>
      <c r="H232" s="2">
        <f t="shared" si="10"/>
        <v>2559</v>
      </c>
      <c r="I232" s="2">
        <v>4418.75</v>
      </c>
      <c r="J232" s="2">
        <v>88.375</v>
      </c>
      <c r="K232" s="2">
        <v>88</v>
      </c>
      <c r="L232" s="2">
        <f t="shared" si="11"/>
        <v>1750</v>
      </c>
      <c r="M232" s="2" t="s">
        <v>1072</v>
      </c>
      <c r="N232" s="40" t="str">
        <f>_xlfn.XLOOKUP(F232,Terrain!D:D,Terrain!H:H,"")</f>
        <v>2559 - 2560</v>
      </c>
      <c r="O232" t="str">
        <f t="shared" si="9"/>
        <v>59-C04-R | 2525 | 197|0</v>
      </c>
    </row>
    <row r="233" spans="1:15" x14ac:dyDescent="0.3">
      <c r="A233" s="43">
        <v>46113</v>
      </c>
      <c r="B233" s="2" t="s">
        <v>10</v>
      </c>
      <c r="C233" s="2" t="s">
        <v>1257</v>
      </c>
      <c r="D233" s="2" t="s">
        <v>279</v>
      </c>
      <c r="E233" s="2" t="str">
        <f>_xlfn.XLOOKUP(F233,Terrain!D:D,Terrain!A:A,"")</f>
        <v>Lower</v>
      </c>
      <c r="F233" s="2" t="s">
        <v>1298</v>
      </c>
      <c r="G233" s="2" t="s">
        <v>864</v>
      </c>
      <c r="H233" s="2">
        <f t="shared" si="10"/>
        <v>2522</v>
      </c>
      <c r="I233" s="2">
        <v>276</v>
      </c>
      <c r="J233" s="2">
        <v>5.52</v>
      </c>
      <c r="K233" s="2">
        <v>6</v>
      </c>
      <c r="L233" s="2">
        <f t="shared" si="11"/>
        <v>1500</v>
      </c>
      <c r="M233" s="2" t="s">
        <v>1076</v>
      </c>
      <c r="N233" s="40" t="str">
        <f>_xlfn.XLOOKUP(F233,Terrain!D:D,Terrain!H:H,"")</f>
        <v>ปาล์มใหญ่</v>
      </c>
      <c r="O233" t="str">
        <f t="shared" si="9"/>
        <v>22-C05-R | 184 | 121|0</v>
      </c>
    </row>
    <row r="234" spans="1:15" x14ac:dyDescent="0.3">
      <c r="A234" s="43">
        <v>46113</v>
      </c>
      <c r="B234" s="2" t="s">
        <v>10</v>
      </c>
      <c r="C234" s="2" t="s">
        <v>1257</v>
      </c>
      <c r="D234" s="2" t="s">
        <v>287</v>
      </c>
      <c r="E234" s="2" t="str">
        <f>_xlfn.XLOOKUP(F234,Terrain!D:D,Terrain!A:A,"")</f>
        <v>Lower</v>
      </c>
      <c r="F234" s="2" t="s">
        <v>1299</v>
      </c>
      <c r="G234" s="2" t="s">
        <v>865</v>
      </c>
      <c r="H234" s="2">
        <f t="shared" si="10"/>
        <v>2550</v>
      </c>
      <c r="I234" s="2">
        <v>4188</v>
      </c>
      <c r="J234" s="2">
        <v>83.76</v>
      </c>
      <c r="K234" s="2">
        <v>84</v>
      </c>
      <c r="L234" s="2">
        <f t="shared" si="11"/>
        <v>1500</v>
      </c>
      <c r="M234" s="2" t="s">
        <v>1077</v>
      </c>
      <c r="N234" s="40" t="str">
        <f>_xlfn.XLOOKUP(F234,Terrain!D:D,Terrain!H:H,"")</f>
        <v>2549 - 2552</v>
      </c>
      <c r="O234" t="str">
        <f t="shared" si="9"/>
        <v>50-C05-R | 2792 | 114|0</v>
      </c>
    </row>
    <row r="235" spans="1:15" x14ac:dyDescent="0.3">
      <c r="A235" s="43">
        <v>46113</v>
      </c>
      <c r="B235" s="2" t="s">
        <v>10</v>
      </c>
      <c r="C235" s="2" t="s">
        <v>1257</v>
      </c>
      <c r="D235" s="2" t="s">
        <v>295</v>
      </c>
      <c r="E235" s="2" t="str">
        <f>_xlfn.XLOOKUP(F235,Terrain!D:D,Terrain!A:A,"")</f>
        <v>Lower</v>
      </c>
      <c r="F235" s="2" t="s">
        <v>1300</v>
      </c>
      <c r="G235" s="2" t="s">
        <v>1078</v>
      </c>
      <c r="H235" s="2">
        <f t="shared" si="10"/>
        <v>2560</v>
      </c>
      <c r="I235" s="2">
        <v>1260</v>
      </c>
      <c r="J235" s="2">
        <v>25.2</v>
      </c>
      <c r="K235" s="2">
        <v>25</v>
      </c>
      <c r="L235" s="2">
        <f t="shared" si="11"/>
        <v>1750</v>
      </c>
      <c r="M235" s="2" t="s">
        <v>1072</v>
      </c>
      <c r="N235" s="40" t="str">
        <f>_xlfn.XLOOKUP(F235,Terrain!D:D,Terrain!H:H,"")</f>
        <v>2559 - 2560</v>
      </c>
      <c r="O235" t="str">
        <f t="shared" si="9"/>
        <v>60-C05-R | 720 | 201|0</v>
      </c>
    </row>
    <row r="236" spans="1:15" x14ac:dyDescent="0.3">
      <c r="A236" s="43">
        <v>46113</v>
      </c>
      <c r="B236" s="2" t="s">
        <v>10</v>
      </c>
      <c r="C236" s="2" t="s">
        <v>1257</v>
      </c>
      <c r="D236" s="2" t="s">
        <v>303</v>
      </c>
      <c r="E236" s="2" t="str">
        <f>_xlfn.XLOOKUP(F236,Terrain!D:D,Terrain!A:A,"")</f>
        <v>Lower</v>
      </c>
      <c r="F236" s="2" t="s">
        <v>1301</v>
      </c>
      <c r="G236" s="2" t="s">
        <v>866</v>
      </c>
      <c r="H236" s="2">
        <f t="shared" si="10"/>
        <v>2557</v>
      </c>
      <c r="I236" s="2">
        <v>525</v>
      </c>
      <c r="J236" s="2">
        <v>10.5</v>
      </c>
      <c r="K236" s="2">
        <v>11</v>
      </c>
      <c r="L236" s="2">
        <f t="shared" si="11"/>
        <v>1750</v>
      </c>
      <c r="M236" s="2" t="s">
        <v>1079</v>
      </c>
      <c r="N236" s="40" t="str">
        <f>_xlfn.XLOOKUP(F236,Terrain!D:D,Terrain!H:H,"")</f>
        <v>2555 - 2558</v>
      </c>
      <c r="O236" t="str">
        <f t="shared" si="9"/>
        <v>57-C06 | 300 | 191|0</v>
      </c>
    </row>
    <row r="237" spans="1:15" x14ac:dyDescent="0.3">
      <c r="A237" s="43">
        <v>46113</v>
      </c>
      <c r="B237" s="2" t="s">
        <v>10</v>
      </c>
      <c r="C237" s="2" t="s">
        <v>1257</v>
      </c>
      <c r="D237" s="2" t="s">
        <v>311</v>
      </c>
      <c r="E237" s="2" t="str">
        <f>_xlfn.XLOOKUP(F237,Terrain!D:D,Terrain!A:A,"")</f>
        <v>Lower</v>
      </c>
      <c r="F237" s="2" t="s">
        <v>1302</v>
      </c>
      <c r="G237" s="2" t="s">
        <v>1080</v>
      </c>
      <c r="H237" s="2">
        <f t="shared" si="10"/>
        <v>2557</v>
      </c>
      <c r="I237" s="2">
        <v>4366.25</v>
      </c>
      <c r="J237" s="2">
        <v>87.325000000000003</v>
      </c>
      <c r="K237" s="2">
        <v>87</v>
      </c>
      <c r="L237" s="2">
        <f t="shared" si="11"/>
        <v>1750</v>
      </c>
      <c r="M237" s="2" t="s">
        <v>1081</v>
      </c>
      <c r="N237" s="40" t="str">
        <f>_xlfn.XLOOKUP(F237,Terrain!D:D,Terrain!H:H,"")</f>
        <v>2555 - 2558</v>
      </c>
      <c r="O237" t="str">
        <f t="shared" si="9"/>
        <v>57-C06-R | 2495 | 196|0</v>
      </c>
    </row>
    <row r="238" spans="1:15" x14ac:dyDescent="0.3">
      <c r="A238" s="43">
        <v>46113</v>
      </c>
      <c r="B238" s="2" t="s">
        <v>10</v>
      </c>
      <c r="C238" s="2" t="s">
        <v>1257</v>
      </c>
      <c r="D238" s="2" t="s">
        <v>319</v>
      </c>
      <c r="E238" s="2" t="str">
        <f>_xlfn.XLOOKUP(F238,Terrain!D:D,Terrain!A:A,"")</f>
        <v>Lower</v>
      </c>
      <c r="F238" s="2" t="s">
        <v>1303</v>
      </c>
      <c r="G238" s="2" t="s">
        <v>867</v>
      </c>
      <c r="H238" s="2">
        <f t="shared" si="10"/>
        <v>2550</v>
      </c>
      <c r="I238" s="2">
        <v>6303</v>
      </c>
      <c r="J238" s="2">
        <v>126.06</v>
      </c>
      <c r="K238" s="2">
        <v>126</v>
      </c>
      <c r="L238" s="2">
        <f t="shared" si="11"/>
        <v>1500</v>
      </c>
      <c r="M238" s="2" t="s">
        <v>1077</v>
      </c>
      <c r="N238" s="40" t="str">
        <f>_xlfn.XLOOKUP(F238,Terrain!D:D,Terrain!H:H,"")</f>
        <v>2549 - 2552</v>
      </c>
      <c r="O238" t="str">
        <f t="shared" si="9"/>
        <v>50-C07-R | 4202 | 117|0</v>
      </c>
    </row>
    <row r="239" spans="1:15" x14ac:dyDescent="0.3">
      <c r="A239" s="43">
        <v>46113</v>
      </c>
      <c r="B239" s="2" t="s">
        <v>10</v>
      </c>
      <c r="C239" s="2" t="s">
        <v>1257</v>
      </c>
      <c r="D239" s="2" t="s">
        <v>327</v>
      </c>
      <c r="E239" s="2" t="str">
        <f>_xlfn.XLOOKUP(F239,Terrain!D:D,Terrain!A:A,"")</f>
        <v>Lower</v>
      </c>
      <c r="F239" s="2" t="s">
        <v>1304</v>
      </c>
      <c r="G239" s="2" t="s">
        <v>1082</v>
      </c>
      <c r="H239" s="2">
        <f t="shared" si="10"/>
        <v>2559</v>
      </c>
      <c r="I239" s="2">
        <v>5054</v>
      </c>
      <c r="J239" s="2">
        <v>101.08</v>
      </c>
      <c r="K239" s="2">
        <v>101</v>
      </c>
      <c r="L239" s="2">
        <f t="shared" si="11"/>
        <v>1750</v>
      </c>
      <c r="M239" s="2" t="s">
        <v>1072</v>
      </c>
      <c r="N239" s="40" t="str">
        <f>_xlfn.XLOOKUP(F239,Terrain!D:D,Terrain!H:H,"")</f>
        <v>2559 - 2560</v>
      </c>
      <c r="O239" t="str">
        <f t="shared" si="9"/>
        <v>59-C08-R | 2888 | 203|0</v>
      </c>
    </row>
    <row r="240" spans="1:15" x14ac:dyDescent="0.3">
      <c r="A240" s="43">
        <v>46113</v>
      </c>
      <c r="B240" s="2" t="s">
        <v>10</v>
      </c>
      <c r="C240" s="2" t="s">
        <v>1257</v>
      </c>
      <c r="D240" s="2" t="s">
        <v>335</v>
      </c>
      <c r="E240" s="2" t="str">
        <f>_xlfn.XLOOKUP(F240,Terrain!D:D,Terrain!A:A,"")</f>
        <v>Lower</v>
      </c>
      <c r="F240" s="2" t="s">
        <v>1305</v>
      </c>
      <c r="G240" s="2" t="s">
        <v>1083</v>
      </c>
      <c r="H240" s="2">
        <f t="shared" si="10"/>
        <v>2559</v>
      </c>
      <c r="I240" s="2">
        <v>3333.75</v>
      </c>
      <c r="J240" s="2">
        <v>66.674999999999997</v>
      </c>
      <c r="K240" s="2">
        <v>67</v>
      </c>
      <c r="L240" s="2">
        <f t="shared" si="11"/>
        <v>1750</v>
      </c>
      <c r="M240" s="2" t="s">
        <v>1072</v>
      </c>
      <c r="N240" s="40" t="str">
        <f>_xlfn.XLOOKUP(F240,Terrain!D:D,Terrain!H:H,"")</f>
        <v>2559 - 2560</v>
      </c>
      <c r="O240" t="str">
        <f t="shared" si="9"/>
        <v>59-C09-R | 1905 | 195|0</v>
      </c>
    </row>
    <row r="241" spans="1:15" x14ac:dyDescent="0.3">
      <c r="A241" s="43">
        <v>46113</v>
      </c>
      <c r="B241" s="2" t="s">
        <v>10</v>
      </c>
      <c r="C241" s="2" t="s">
        <v>1257</v>
      </c>
      <c r="D241" s="2" t="s">
        <v>343</v>
      </c>
      <c r="E241" s="2" t="str">
        <f>_xlfn.XLOOKUP(F241,Terrain!D:D,Terrain!A:A,"")</f>
        <v>Lower</v>
      </c>
      <c r="F241" s="2" t="s">
        <v>1306</v>
      </c>
      <c r="G241" s="2" t="s">
        <v>868</v>
      </c>
      <c r="H241" s="2">
        <f t="shared" si="10"/>
        <v>2556</v>
      </c>
      <c r="I241" s="2">
        <v>5435.5</v>
      </c>
      <c r="J241" s="2">
        <v>108.71</v>
      </c>
      <c r="K241" s="2">
        <v>109</v>
      </c>
      <c r="L241" s="2">
        <f t="shared" si="11"/>
        <v>1750</v>
      </c>
      <c r="M241" s="2" t="s">
        <v>1081</v>
      </c>
      <c r="N241" s="40" t="str">
        <f>_xlfn.XLOOKUP(F241,Terrain!D:D,Terrain!H:H,"")</f>
        <v>2555 - 2558</v>
      </c>
      <c r="O241" t="str">
        <f t="shared" si="9"/>
        <v>56-C10-R | 3106 | 200|0</v>
      </c>
    </row>
    <row r="242" spans="1:15" x14ac:dyDescent="0.3">
      <c r="A242" s="43">
        <v>46113</v>
      </c>
      <c r="B242" s="2" t="s">
        <v>10</v>
      </c>
      <c r="C242" s="2" t="s">
        <v>1257</v>
      </c>
      <c r="D242" s="2" t="s">
        <v>351</v>
      </c>
      <c r="E242" s="2" t="str">
        <f>_xlfn.XLOOKUP(F242,Terrain!D:D,Terrain!A:A,"")</f>
        <v>Lower</v>
      </c>
      <c r="F242" s="2" t="s">
        <v>1307</v>
      </c>
      <c r="G242" s="2" t="s">
        <v>1084</v>
      </c>
      <c r="H242" s="2">
        <f t="shared" si="10"/>
        <v>2559</v>
      </c>
      <c r="I242" s="2">
        <v>4009.25</v>
      </c>
      <c r="J242" s="2">
        <v>80.185000000000002</v>
      </c>
      <c r="K242" s="2">
        <v>80</v>
      </c>
      <c r="L242" s="2">
        <f t="shared" si="11"/>
        <v>1750</v>
      </c>
      <c r="M242" s="2" t="s">
        <v>1072</v>
      </c>
      <c r="N242" s="40" t="str">
        <f>_xlfn.XLOOKUP(F242,Terrain!D:D,Terrain!H:H,"")</f>
        <v>2559 - 2560</v>
      </c>
      <c r="O242" t="str">
        <f t="shared" si="9"/>
        <v>59-C11-R | 2291 | 206|0</v>
      </c>
    </row>
    <row r="243" spans="1:15" x14ac:dyDescent="0.3">
      <c r="A243" s="43">
        <v>46113</v>
      </c>
      <c r="B243" s="2" t="s">
        <v>10</v>
      </c>
      <c r="C243" s="2" t="s">
        <v>1257</v>
      </c>
      <c r="D243" s="2" t="s">
        <v>359</v>
      </c>
      <c r="E243" s="2" t="str">
        <f>_xlfn.XLOOKUP(F243,Terrain!D:D,Terrain!A:A,"")</f>
        <v>Lower</v>
      </c>
      <c r="F243" s="2" t="s">
        <v>1308</v>
      </c>
      <c r="G243" s="2" t="s">
        <v>863</v>
      </c>
      <c r="H243" s="2">
        <f t="shared" si="10"/>
        <v>2565</v>
      </c>
      <c r="I243" s="2">
        <v>4429.25</v>
      </c>
      <c r="J243" s="2">
        <v>88.584999999999994</v>
      </c>
      <c r="K243" s="2">
        <v>89</v>
      </c>
      <c r="L243" s="2">
        <f t="shared" si="11"/>
        <v>1750</v>
      </c>
      <c r="M243" s="2" t="s">
        <v>1044</v>
      </c>
      <c r="N243" s="40" t="str">
        <f>_xlfn.XLOOKUP(F243,Terrain!D:D,Terrain!H:H,"")</f>
        <v>2563 - 2565</v>
      </c>
      <c r="O243" t="str">
        <f t="shared" si="9"/>
        <v>65-D01-R | 2531 | 282|0</v>
      </c>
    </row>
    <row r="244" spans="1:15" x14ac:dyDescent="0.3">
      <c r="A244" s="43">
        <v>46113</v>
      </c>
      <c r="B244" s="2" t="s">
        <v>10</v>
      </c>
      <c r="C244" s="2" t="s">
        <v>1257</v>
      </c>
      <c r="D244" s="2" t="s">
        <v>367</v>
      </c>
      <c r="E244" s="2" t="str">
        <f>_xlfn.XLOOKUP(F244,Terrain!D:D,Terrain!A:A,"")</f>
        <v>Lower</v>
      </c>
      <c r="F244" s="2" t="s">
        <v>1309</v>
      </c>
      <c r="G244" s="2" t="s">
        <v>869</v>
      </c>
      <c r="H244" s="2">
        <f t="shared" si="10"/>
        <v>2564</v>
      </c>
      <c r="I244" s="2">
        <v>4992.75</v>
      </c>
      <c r="J244" s="2">
        <v>99.855000000000004</v>
      </c>
      <c r="K244" s="2">
        <v>100</v>
      </c>
      <c r="L244" s="2">
        <f t="shared" si="11"/>
        <v>1750</v>
      </c>
      <c r="M244" s="2" t="s">
        <v>1044</v>
      </c>
      <c r="N244" s="40" t="str">
        <f>_xlfn.XLOOKUP(F244,Terrain!D:D,Terrain!H:H,"")</f>
        <v>2563 - 2565</v>
      </c>
      <c r="O244" t="str">
        <f t="shared" si="9"/>
        <v>64-D02-R | 2853 | 276|0</v>
      </c>
    </row>
    <row r="245" spans="1:15" x14ac:dyDescent="0.3">
      <c r="A245" s="43">
        <v>46113</v>
      </c>
      <c r="B245" s="2" t="s">
        <v>10</v>
      </c>
      <c r="C245" s="2" t="s">
        <v>1257</v>
      </c>
      <c r="D245" s="2" t="s">
        <v>375</v>
      </c>
      <c r="E245" s="2" t="str">
        <f>_xlfn.XLOOKUP(F245,Terrain!D:D,Terrain!A:A,"")</f>
        <v>Lower</v>
      </c>
      <c r="F245" s="2" t="s">
        <v>1310</v>
      </c>
      <c r="G245" s="2" t="s">
        <v>870</v>
      </c>
      <c r="H245" s="2">
        <f t="shared" si="10"/>
        <v>2565</v>
      </c>
      <c r="I245" s="2">
        <v>4905.25</v>
      </c>
      <c r="J245" s="2">
        <v>98.105000000000004</v>
      </c>
      <c r="K245" s="2">
        <v>98</v>
      </c>
      <c r="L245" s="2">
        <f t="shared" si="11"/>
        <v>1750</v>
      </c>
      <c r="M245" s="2" t="s">
        <v>1044</v>
      </c>
      <c r="N245" s="40" t="str">
        <f>_xlfn.XLOOKUP(F245,Terrain!D:D,Terrain!H:H,"")</f>
        <v>2563 - 2565</v>
      </c>
      <c r="O245" t="str">
        <f t="shared" si="9"/>
        <v>65-D03-R | 2803 | 279|0</v>
      </c>
    </row>
    <row r="246" spans="1:15" x14ac:dyDescent="0.3">
      <c r="A246" s="43">
        <v>46113</v>
      </c>
      <c r="B246" s="2" t="s">
        <v>10</v>
      </c>
      <c r="C246" s="2" t="s">
        <v>1257</v>
      </c>
      <c r="D246" s="2" t="s">
        <v>383</v>
      </c>
      <c r="E246" s="2" t="str">
        <f>_xlfn.XLOOKUP(F246,Terrain!D:D,Terrain!A:A,"")</f>
        <v>Lower</v>
      </c>
      <c r="F246" s="2" t="s">
        <v>1311</v>
      </c>
      <c r="G246" s="2" t="s">
        <v>871</v>
      </c>
      <c r="H246" s="2">
        <f t="shared" si="10"/>
        <v>2565</v>
      </c>
      <c r="I246" s="2">
        <v>4933.25</v>
      </c>
      <c r="J246" s="2">
        <v>98.665000000000006</v>
      </c>
      <c r="K246" s="2">
        <v>99</v>
      </c>
      <c r="L246" s="2">
        <f t="shared" si="11"/>
        <v>1750</v>
      </c>
      <c r="M246" s="2" t="s">
        <v>1044</v>
      </c>
      <c r="N246" s="40" t="str">
        <f>_xlfn.XLOOKUP(F246,Terrain!D:D,Terrain!H:H,"")</f>
        <v>2563 - 2565</v>
      </c>
      <c r="O246" t="str">
        <f t="shared" si="9"/>
        <v>65-D04-R | 2819 | 281|0</v>
      </c>
    </row>
    <row r="247" spans="1:15" x14ac:dyDescent="0.3">
      <c r="A247" s="43">
        <v>46113</v>
      </c>
      <c r="B247" s="2" t="s">
        <v>10</v>
      </c>
      <c r="C247" s="2" t="s">
        <v>1257</v>
      </c>
      <c r="D247" s="2" t="s">
        <v>391</v>
      </c>
      <c r="E247" s="2" t="str">
        <f>_xlfn.XLOOKUP(F247,Terrain!D:D,Terrain!A:A,"")</f>
        <v>Lower</v>
      </c>
      <c r="F247" s="2" t="s">
        <v>1268</v>
      </c>
      <c r="G247" s="2" t="s">
        <v>1042</v>
      </c>
      <c r="H247" s="2">
        <f t="shared" si="10"/>
        <v>2565</v>
      </c>
      <c r="I247" s="2">
        <v>4702.25</v>
      </c>
      <c r="J247" s="2">
        <v>94.045000000000002</v>
      </c>
      <c r="K247" s="2">
        <v>94</v>
      </c>
      <c r="L247" s="2">
        <f t="shared" si="11"/>
        <v>1750</v>
      </c>
      <c r="M247" s="2" t="s">
        <v>1044</v>
      </c>
      <c r="N247" s="40" t="str">
        <f>_xlfn.XLOOKUP(F247,Terrain!D:D,Terrain!H:H,"")</f>
        <v>2563 - 2565</v>
      </c>
      <c r="O247" t="str">
        <f t="shared" si="9"/>
        <v>65-D05-R | 2687 | 277|0</v>
      </c>
    </row>
    <row r="248" spans="1:15" x14ac:dyDescent="0.3">
      <c r="A248" s="43">
        <v>46113</v>
      </c>
      <c r="B248" s="2" t="s">
        <v>10</v>
      </c>
      <c r="C248" s="2" t="s">
        <v>1257</v>
      </c>
      <c r="D248" s="2" t="s">
        <v>398</v>
      </c>
      <c r="E248" s="2" t="str">
        <f>_xlfn.XLOOKUP(F248,Terrain!D:D,Terrain!A:A,"")</f>
        <v>Lower</v>
      </c>
      <c r="F248" s="2" t="s">
        <v>1312</v>
      </c>
      <c r="G248" s="2" t="s">
        <v>872</v>
      </c>
      <c r="H248" s="2">
        <f t="shared" si="10"/>
        <v>2567</v>
      </c>
      <c r="I248" s="2">
        <v>2148.75</v>
      </c>
      <c r="J248" s="2">
        <v>42.975000000000001</v>
      </c>
      <c r="K248" s="2">
        <v>43</v>
      </c>
      <c r="L248" s="2">
        <f t="shared" si="11"/>
        <v>750</v>
      </c>
      <c r="M248" s="2" t="s">
        <v>1085</v>
      </c>
      <c r="N248" s="40">
        <f>_xlfn.XLOOKUP(F248,Terrain!D:D,Terrain!H:H,"")</f>
        <v>2567</v>
      </c>
      <c r="O248" t="str">
        <f t="shared" si="9"/>
        <v>67-D06-R | 2865 | 353|0</v>
      </c>
    </row>
    <row r="249" spans="1:15" x14ac:dyDescent="0.3">
      <c r="A249" s="43">
        <v>46113</v>
      </c>
      <c r="B249" s="2" t="s">
        <v>10</v>
      </c>
      <c r="C249" s="2" t="s">
        <v>1257</v>
      </c>
      <c r="D249" s="2" t="s">
        <v>408</v>
      </c>
      <c r="E249" s="2" t="str">
        <f>_xlfn.XLOOKUP(F249,Terrain!D:D,Terrain!A:A,"")</f>
        <v>Lower</v>
      </c>
      <c r="F249" s="2" t="s">
        <v>1313</v>
      </c>
      <c r="G249" s="2" t="s">
        <v>1086</v>
      </c>
      <c r="H249" s="2">
        <f t="shared" si="10"/>
        <v>2556</v>
      </c>
      <c r="I249" s="2">
        <v>6879.25</v>
      </c>
      <c r="J249" s="2">
        <v>137.58500000000001</v>
      </c>
      <c r="K249" s="2">
        <v>138</v>
      </c>
      <c r="L249" s="2">
        <f t="shared" si="11"/>
        <v>1750</v>
      </c>
      <c r="M249" s="2" t="s">
        <v>1087</v>
      </c>
      <c r="N249" s="40" t="str">
        <f>_xlfn.XLOOKUP(F249,Terrain!D:D,Terrain!H:H,"")</f>
        <v>2555 - 2558</v>
      </c>
      <c r="O249" t="str">
        <f t="shared" si="9"/>
        <v>56-D07-R | 3931 | 199|0</v>
      </c>
    </row>
    <row r="250" spans="1:15" x14ac:dyDescent="0.3">
      <c r="A250" s="43">
        <v>46113</v>
      </c>
      <c r="B250" s="2" t="s">
        <v>10</v>
      </c>
      <c r="C250" s="2" t="s">
        <v>1257</v>
      </c>
      <c r="D250" s="2" t="s">
        <v>416</v>
      </c>
      <c r="E250" s="2" t="str">
        <f>_xlfn.XLOOKUP(F250,Terrain!D:D,Terrain!A:A,"")</f>
        <v>Lower</v>
      </c>
      <c r="F250" s="2" t="s">
        <v>1314</v>
      </c>
      <c r="G250" s="2" t="s">
        <v>1088</v>
      </c>
      <c r="H250" s="2">
        <f t="shared" si="10"/>
        <v>2563</v>
      </c>
      <c r="I250" s="2">
        <v>4138.75</v>
      </c>
      <c r="J250" s="2">
        <v>82.775000000000006</v>
      </c>
      <c r="K250" s="2">
        <v>83</v>
      </c>
      <c r="L250" s="2">
        <f t="shared" si="11"/>
        <v>1750</v>
      </c>
      <c r="M250" s="2" t="s">
        <v>1044</v>
      </c>
      <c r="N250" s="40" t="str">
        <f>_xlfn.XLOOKUP(F250,Terrain!D:D,Terrain!H:H,"")</f>
        <v>2563 - 2565</v>
      </c>
      <c r="O250" t="str">
        <f t="shared" si="9"/>
        <v>63-D08-R | 2365 | 283|0</v>
      </c>
    </row>
    <row r="251" spans="1:15" x14ac:dyDescent="0.3">
      <c r="A251" s="43">
        <v>46113</v>
      </c>
      <c r="B251" s="2" t="s">
        <v>10</v>
      </c>
      <c r="C251" s="2" t="s">
        <v>1257</v>
      </c>
      <c r="D251" s="2" t="s">
        <v>424</v>
      </c>
      <c r="E251" s="2" t="str">
        <f>_xlfn.XLOOKUP(F251,Terrain!D:D,Terrain!A:A,"")</f>
        <v>Lower</v>
      </c>
      <c r="F251" s="2" t="s">
        <v>1315</v>
      </c>
      <c r="G251" s="2" t="s">
        <v>873</v>
      </c>
      <c r="H251" s="2">
        <f t="shared" si="10"/>
        <v>2566</v>
      </c>
      <c r="I251" s="2">
        <v>3748.75</v>
      </c>
      <c r="J251" s="2">
        <v>74.974999999999994</v>
      </c>
      <c r="K251" s="2">
        <v>75</v>
      </c>
      <c r="L251" s="2">
        <f t="shared" si="11"/>
        <v>1250</v>
      </c>
      <c r="M251" s="2" t="s">
        <v>1089</v>
      </c>
      <c r="N251" s="40">
        <f>_xlfn.XLOOKUP(F251,Terrain!D:D,Terrain!H:H,"")</f>
        <v>2566</v>
      </c>
      <c r="O251" t="str">
        <f t="shared" si="9"/>
        <v>66-D09-R | 2999 | 328|0</v>
      </c>
    </row>
    <row r="252" spans="1:15" x14ac:dyDescent="0.3">
      <c r="A252" s="43">
        <v>46113</v>
      </c>
      <c r="B252" s="2" t="s">
        <v>10</v>
      </c>
      <c r="C252" s="2" t="s">
        <v>1257</v>
      </c>
      <c r="D252" s="2" t="s">
        <v>433</v>
      </c>
      <c r="E252" s="2" t="str">
        <f>_xlfn.XLOOKUP(F252,Terrain!D:D,Terrain!A:A,"")</f>
        <v>Lower</v>
      </c>
      <c r="F252" s="2" t="s">
        <v>1316</v>
      </c>
      <c r="G252" s="2" t="s">
        <v>874</v>
      </c>
      <c r="H252" s="2">
        <f t="shared" si="10"/>
        <v>2567</v>
      </c>
      <c r="I252" s="2">
        <v>1625.25</v>
      </c>
      <c r="J252" s="2">
        <v>32.505000000000003</v>
      </c>
      <c r="K252" s="2">
        <v>33</v>
      </c>
      <c r="L252" s="2">
        <f t="shared" si="11"/>
        <v>750</v>
      </c>
      <c r="M252" s="2" t="s">
        <v>1090</v>
      </c>
      <c r="N252" s="40">
        <f>_xlfn.XLOOKUP(F252,Terrain!D:D,Terrain!H:H,"")</f>
        <v>2567</v>
      </c>
      <c r="O252" t="str">
        <f t="shared" si="9"/>
        <v>67-P01-R | 2167 | 354|0</v>
      </c>
    </row>
    <row r="253" spans="1:15" x14ac:dyDescent="0.3">
      <c r="A253" s="43">
        <v>46113</v>
      </c>
      <c r="B253" s="2" t="s">
        <v>10</v>
      </c>
      <c r="C253" s="2" t="s">
        <v>1257</v>
      </c>
      <c r="D253" s="2" t="s">
        <v>442</v>
      </c>
      <c r="E253" s="2" t="str">
        <f>_xlfn.XLOOKUP(F253,Terrain!D:D,Terrain!A:A,"")</f>
        <v>Lower</v>
      </c>
      <c r="F253" s="2" t="s">
        <v>1317</v>
      </c>
      <c r="G253" s="2" t="s">
        <v>875</v>
      </c>
      <c r="H253" s="2">
        <f t="shared" si="10"/>
        <v>2567</v>
      </c>
      <c r="I253" s="2">
        <v>1740</v>
      </c>
      <c r="J253" s="2">
        <v>34.799999999999997</v>
      </c>
      <c r="K253" s="2">
        <v>35</v>
      </c>
      <c r="L253" s="2">
        <f t="shared" si="11"/>
        <v>750</v>
      </c>
      <c r="M253" s="2" t="s">
        <v>1090</v>
      </c>
      <c r="N253" s="40">
        <f>_xlfn.XLOOKUP(F253,Terrain!D:D,Terrain!H:H,"")</f>
        <v>2567</v>
      </c>
      <c r="O253" t="str">
        <f t="shared" si="9"/>
        <v>67-P02-R | 2320 | 355|0</v>
      </c>
    </row>
    <row r="254" spans="1:15" x14ac:dyDescent="0.3">
      <c r="A254" s="43">
        <v>46113</v>
      </c>
      <c r="B254" s="2" t="s">
        <v>10</v>
      </c>
      <c r="C254" s="2" t="s">
        <v>1257</v>
      </c>
      <c r="D254" s="2" t="s">
        <v>452</v>
      </c>
      <c r="E254" s="2" t="str">
        <f>_xlfn.XLOOKUP(F254,Terrain!D:D,Terrain!A:A,"")</f>
        <v>Lower</v>
      </c>
      <c r="F254" s="2" t="s">
        <v>1318</v>
      </c>
      <c r="G254" s="2" t="s">
        <v>876</v>
      </c>
      <c r="H254" s="2">
        <f t="shared" si="10"/>
        <v>2566</v>
      </c>
      <c r="I254" s="2">
        <v>3187.5</v>
      </c>
      <c r="J254" s="2">
        <v>63.75</v>
      </c>
      <c r="K254" s="2">
        <v>64</v>
      </c>
      <c r="L254" s="2">
        <f t="shared" si="11"/>
        <v>1250</v>
      </c>
      <c r="M254" s="2" t="s">
        <v>1091</v>
      </c>
      <c r="N254" s="40">
        <f>_xlfn.XLOOKUP(F254,Terrain!D:D,Terrain!H:H,"")</f>
        <v>2566</v>
      </c>
      <c r="O254" t="str">
        <f t="shared" si="9"/>
        <v>66-P03-R | 2550 | 325|0</v>
      </c>
    </row>
    <row r="255" spans="1:15" x14ac:dyDescent="0.3">
      <c r="A255" s="43">
        <v>46113</v>
      </c>
      <c r="B255" s="2" t="s">
        <v>10</v>
      </c>
      <c r="C255" s="2" t="s">
        <v>1257</v>
      </c>
      <c r="D255" s="2" t="s">
        <v>462</v>
      </c>
      <c r="E255" s="2" t="str">
        <f>_xlfn.XLOOKUP(F255,Terrain!D:D,Terrain!A:A,"")</f>
        <v>Lower</v>
      </c>
      <c r="F255" s="2" t="s">
        <v>1319</v>
      </c>
      <c r="G255" s="2" t="s">
        <v>877</v>
      </c>
      <c r="H255" s="2">
        <f t="shared" si="10"/>
        <v>2566</v>
      </c>
      <c r="I255" s="2">
        <v>3567.5</v>
      </c>
      <c r="J255" s="2">
        <v>71.349999999999994</v>
      </c>
      <c r="K255" s="2">
        <v>71</v>
      </c>
      <c r="L255" s="2">
        <f t="shared" si="11"/>
        <v>1250</v>
      </c>
      <c r="M255" s="2" t="s">
        <v>1091</v>
      </c>
      <c r="N255" s="40">
        <f>_xlfn.XLOOKUP(F255,Terrain!D:D,Terrain!H:H,"")</f>
        <v>2566</v>
      </c>
      <c r="O255" t="str">
        <f t="shared" si="9"/>
        <v>66-P04-R | 2854 | 329|0</v>
      </c>
    </row>
    <row r="256" spans="1:15" x14ac:dyDescent="0.3">
      <c r="A256" s="43">
        <v>46113</v>
      </c>
      <c r="B256" s="2" t="s">
        <v>10</v>
      </c>
      <c r="C256" s="2" t="s">
        <v>1257</v>
      </c>
      <c r="D256" s="2" t="s">
        <v>472</v>
      </c>
      <c r="E256" s="2" t="str">
        <f>_xlfn.XLOOKUP(F256,Terrain!D:D,Terrain!A:A,"")</f>
        <v>Lower</v>
      </c>
      <c r="F256" s="2" t="s">
        <v>1320</v>
      </c>
      <c r="G256" s="2" t="s">
        <v>878</v>
      </c>
      <c r="H256" s="2">
        <f t="shared" si="10"/>
        <v>2566</v>
      </c>
      <c r="I256" s="2">
        <v>3888.75</v>
      </c>
      <c r="J256" s="2">
        <v>77.775000000000006</v>
      </c>
      <c r="K256" s="2">
        <v>78</v>
      </c>
      <c r="L256" s="2">
        <f t="shared" si="11"/>
        <v>1250</v>
      </c>
      <c r="M256" s="2" t="s">
        <v>1091</v>
      </c>
      <c r="N256" s="40">
        <f>_xlfn.XLOOKUP(F256,Terrain!D:D,Terrain!H:H,"")</f>
        <v>2566</v>
      </c>
      <c r="O256" t="str">
        <f t="shared" si="9"/>
        <v>66-P05-R | 3111 | 327|0</v>
      </c>
    </row>
    <row r="257" spans="1:15" x14ac:dyDescent="0.3">
      <c r="A257" s="43">
        <v>46113</v>
      </c>
      <c r="B257" s="2" t="s">
        <v>10</v>
      </c>
      <c r="C257" s="2" t="s">
        <v>1257</v>
      </c>
      <c r="D257" s="2" t="s">
        <v>482</v>
      </c>
      <c r="E257" s="2" t="str">
        <f>_xlfn.XLOOKUP(F257,Terrain!D:D,Terrain!A:A,"")</f>
        <v>Lower</v>
      </c>
      <c r="F257" s="2" t="s">
        <v>1321</v>
      </c>
      <c r="G257" s="2" t="s">
        <v>879</v>
      </c>
      <c r="H257" s="2">
        <f t="shared" si="10"/>
        <v>2564</v>
      </c>
      <c r="I257" s="2">
        <v>5050.5</v>
      </c>
      <c r="J257" s="2">
        <v>101.01</v>
      </c>
      <c r="K257" s="2">
        <v>101</v>
      </c>
      <c r="L257" s="2">
        <f t="shared" si="11"/>
        <v>1750</v>
      </c>
      <c r="M257" s="2" t="s">
        <v>1092</v>
      </c>
      <c r="N257" s="40" t="str">
        <f>_xlfn.XLOOKUP(F257,Terrain!D:D,Terrain!H:H,"")</f>
        <v>2563 - 2565</v>
      </c>
      <c r="O257" t="str">
        <f t="shared" ref="O257:O320" si="12">F257 &amp; " | " &amp; G257 &amp; " | " &amp; D257</f>
        <v>64-P06-R | 2886 | 284|0</v>
      </c>
    </row>
    <row r="258" spans="1:15" x14ac:dyDescent="0.3">
      <c r="A258" s="43">
        <v>46113</v>
      </c>
      <c r="B258" s="2" t="s">
        <v>10</v>
      </c>
      <c r="C258" s="2" t="s">
        <v>1257</v>
      </c>
      <c r="D258" s="2" t="s">
        <v>490</v>
      </c>
      <c r="E258" s="2" t="str">
        <f>_xlfn.XLOOKUP(F258,Terrain!D:D,Terrain!A:A,"")</f>
        <v>Lower</v>
      </c>
      <c r="F258" s="2" t="s">
        <v>1322</v>
      </c>
      <c r="G258" s="2" t="s">
        <v>880</v>
      </c>
      <c r="H258" s="2">
        <f t="shared" ref="H258:H321" si="13">2500+VALUE(MID(F258,1,2))</f>
        <v>2551</v>
      </c>
      <c r="I258" s="2">
        <v>228</v>
      </c>
      <c r="J258" s="2">
        <v>4.5599999999999996</v>
      </c>
      <c r="K258" s="2">
        <v>5</v>
      </c>
      <c r="L258" s="2">
        <f t="shared" ref="L258:L321" si="14">I258*1000/G258</f>
        <v>1500</v>
      </c>
      <c r="M258" s="2" t="s">
        <v>1093</v>
      </c>
      <c r="N258" s="40" t="str">
        <f>_xlfn.XLOOKUP(F258,Terrain!D:D,Terrain!H:H,"")</f>
        <v>2549 - 2552</v>
      </c>
      <c r="O258" t="str">
        <f t="shared" si="12"/>
        <v>51-P07 | 152 | 120|0</v>
      </c>
    </row>
    <row r="259" spans="1:15" x14ac:dyDescent="0.3">
      <c r="A259" s="43">
        <v>46113</v>
      </c>
      <c r="B259" s="2" t="s">
        <v>10</v>
      </c>
      <c r="C259" s="2" t="s">
        <v>1257</v>
      </c>
      <c r="D259" s="2" t="s">
        <v>498</v>
      </c>
      <c r="E259" s="2" t="str">
        <f>_xlfn.XLOOKUP(F259,Terrain!D:D,Terrain!A:A,"")</f>
        <v>Lower</v>
      </c>
      <c r="F259" s="2" t="s">
        <v>1323</v>
      </c>
      <c r="G259" s="2" t="s">
        <v>881</v>
      </c>
      <c r="H259" s="2">
        <f t="shared" si="13"/>
        <v>2551</v>
      </c>
      <c r="I259" s="2">
        <v>601.5</v>
      </c>
      <c r="J259" s="2">
        <v>12.03</v>
      </c>
      <c r="K259" s="2">
        <v>12</v>
      </c>
      <c r="L259" s="2">
        <f t="shared" si="14"/>
        <v>1500</v>
      </c>
      <c r="M259" s="2" t="s">
        <v>1094</v>
      </c>
      <c r="N259" s="40" t="str">
        <f>_xlfn.XLOOKUP(F259,Terrain!D:D,Terrain!H:H,"")</f>
        <v>2549 - 2552</v>
      </c>
      <c r="O259" t="str">
        <f t="shared" si="12"/>
        <v>51-P07-R | 401 | 112|0</v>
      </c>
    </row>
    <row r="260" spans="1:15" x14ac:dyDescent="0.3">
      <c r="A260" s="43">
        <v>46113</v>
      </c>
      <c r="B260" s="2" t="s">
        <v>10</v>
      </c>
      <c r="C260" s="2" t="s">
        <v>1257</v>
      </c>
      <c r="D260" s="2" t="s">
        <v>506</v>
      </c>
      <c r="E260" s="2" t="str">
        <f>_xlfn.XLOOKUP(F260,Terrain!D:D,Terrain!A:A,"")</f>
        <v>Lower</v>
      </c>
      <c r="F260" s="2" t="s">
        <v>1324</v>
      </c>
      <c r="G260" s="2" t="s">
        <v>882</v>
      </c>
      <c r="H260" s="2">
        <f t="shared" si="13"/>
        <v>2564</v>
      </c>
      <c r="I260" s="2">
        <v>4513.25</v>
      </c>
      <c r="J260" s="2">
        <v>90.265000000000001</v>
      </c>
      <c r="K260" s="2">
        <v>90</v>
      </c>
      <c r="L260" s="2">
        <f t="shared" si="14"/>
        <v>1750</v>
      </c>
      <c r="M260" s="2" t="s">
        <v>1092</v>
      </c>
      <c r="N260" s="40" t="str">
        <f>_xlfn.XLOOKUP(F260,Terrain!D:D,Terrain!H:H,"")</f>
        <v>2563 - 2565</v>
      </c>
      <c r="O260" t="str">
        <f t="shared" si="12"/>
        <v>64-P07-R | 2579 | 274|0</v>
      </c>
    </row>
    <row r="261" spans="1:15" x14ac:dyDescent="0.3">
      <c r="A261" s="43">
        <v>46113</v>
      </c>
      <c r="B261" s="2" t="s">
        <v>10</v>
      </c>
      <c r="C261" s="2" t="s">
        <v>1257</v>
      </c>
      <c r="D261" s="2" t="s">
        <v>514</v>
      </c>
      <c r="E261" s="2" t="str">
        <f>_xlfn.XLOOKUP(F261,Terrain!D:D,Terrain!A:A,"")</f>
        <v>Lower</v>
      </c>
      <c r="F261" s="2" t="s">
        <v>1325</v>
      </c>
      <c r="G261" s="2" t="s">
        <v>883</v>
      </c>
      <c r="H261" s="2">
        <f t="shared" si="13"/>
        <v>2564</v>
      </c>
      <c r="I261" s="2">
        <v>5953.5</v>
      </c>
      <c r="J261" s="2">
        <v>119.07</v>
      </c>
      <c r="K261" s="2">
        <v>119</v>
      </c>
      <c r="L261" s="2">
        <f t="shared" si="14"/>
        <v>1750</v>
      </c>
      <c r="M261" s="2" t="s">
        <v>1092</v>
      </c>
      <c r="N261" s="40" t="str">
        <f>_xlfn.XLOOKUP(F261,Terrain!D:D,Terrain!H:H,"")</f>
        <v>2563 - 2565</v>
      </c>
      <c r="O261" t="str">
        <f t="shared" si="12"/>
        <v>64-P08-R | 3402 | 278|0</v>
      </c>
    </row>
    <row r="262" spans="1:15" x14ac:dyDescent="0.3">
      <c r="A262" s="43">
        <v>46113</v>
      </c>
      <c r="B262" s="2" t="s">
        <v>10</v>
      </c>
      <c r="C262" s="2" t="s">
        <v>1257</v>
      </c>
      <c r="D262" s="2" t="s">
        <v>522</v>
      </c>
      <c r="E262" s="2" t="str">
        <f>_xlfn.XLOOKUP(F262,Terrain!D:D,Terrain!A:A,"")</f>
        <v>Lower</v>
      </c>
      <c r="F262" s="2" t="s">
        <v>1326</v>
      </c>
      <c r="G262" s="2" t="s">
        <v>884</v>
      </c>
      <c r="H262" s="2">
        <f t="shared" si="13"/>
        <v>2564</v>
      </c>
      <c r="I262" s="2">
        <v>3836</v>
      </c>
      <c r="J262" s="2">
        <v>76.72</v>
      </c>
      <c r="K262" s="2">
        <v>77</v>
      </c>
      <c r="L262" s="2">
        <f t="shared" si="14"/>
        <v>1750</v>
      </c>
      <c r="M262" s="2" t="s">
        <v>1092</v>
      </c>
      <c r="N262" s="40" t="str">
        <f>_xlfn.XLOOKUP(F262,Terrain!D:D,Terrain!H:H,"")</f>
        <v>2563 - 2565</v>
      </c>
      <c r="O262" t="str">
        <f t="shared" si="12"/>
        <v>64-P09-R | 2192 | 286|0</v>
      </c>
    </row>
    <row r="263" spans="1:15" x14ac:dyDescent="0.3">
      <c r="A263" s="43">
        <v>46113</v>
      </c>
      <c r="B263" s="2" t="s">
        <v>10</v>
      </c>
      <c r="C263" s="2" t="s">
        <v>1257</v>
      </c>
      <c r="D263" s="2" t="s">
        <v>530</v>
      </c>
      <c r="E263" s="2" t="str">
        <f>_xlfn.XLOOKUP(F263,Terrain!D:D,Terrain!A:A,"")</f>
        <v>Lower</v>
      </c>
      <c r="F263" s="2" t="s">
        <v>1240</v>
      </c>
      <c r="G263" s="2" t="s">
        <v>885</v>
      </c>
      <c r="H263" s="2">
        <f t="shared" si="13"/>
        <v>2568</v>
      </c>
      <c r="I263" s="2">
        <v>473</v>
      </c>
      <c r="J263" s="2">
        <v>9.4600000000000009</v>
      </c>
      <c r="K263" s="2">
        <v>9</v>
      </c>
      <c r="L263" s="2">
        <f t="shared" si="14"/>
        <v>250</v>
      </c>
      <c r="M263" s="2" t="s">
        <v>1095</v>
      </c>
      <c r="N263" s="40">
        <f>_xlfn.XLOOKUP(F263,Terrain!D:D,Terrain!H:H,"")</f>
        <v>2568</v>
      </c>
      <c r="O263" t="str">
        <f t="shared" si="12"/>
        <v>68-PU1 | 1892 | 390|0</v>
      </c>
    </row>
    <row r="264" spans="1:15" x14ac:dyDescent="0.3">
      <c r="A264" s="43">
        <v>46113</v>
      </c>
      <c r="B264" s="2" t="s">
        <v>10</v>
      </c>
      <c r="C264" s="2" t="s">
        <v>1257</v>
      </c>
      <c r="D264" s="2" t="s">
        <v>540</v>
      </c>
      <c r="E264" s="2" t="str">
        <f>_xlfn.XLOOKUP(F264,Terrain!D:D,Terrain!A:A,"")</f>
        <v>Lower</v>
      </c>
      <c r="F264" s="2" t="s">
        <v>1239</v>
      </c>
      <c r="G264" s="2" t="s">
        <v>886</v>
      </c>
      <c r="H264" s="2">
        <f t="shared" si="13"/>
        <v>2566</v>
      </c>
      <c r="I264" s="2">
        <v>2462.5</v>
      </c>
      <c r="J264" s="2">
        <v>49.25</v>
      </c>
      <c r="K264" s="2">
        <v>49</v>
      </c>
      <c r="L264" s="2">
        <f t="shared" si="14"/>
        <v>1250</v>
      </c>
      <c r="M264" s="2" t="s">
        <v>1096</v>
      </c>
      <c r="N264" s="40">
        <f>_xlfn.XLOOKUP(F264,Terrain!D:D,Terrain!H:H,"")</f>
        <v>2566</v>
      </c>
      <c r="O264" t="str">
        <f t="shared" si="12"/>
        <v>66-PU2 | 1970 | 326|0</v>
      </c>
    </row>
    <row r="265" spans="1:15" x14ac:dyDescent="0.3">
      <c r="A265" s="43">
        <v>46113</v>
      </c>
      <c r="B265" s="2" t="s">
        <v>10</v>
      </c>
      <c r="C265" s="2" t="s">
        <v>1257</v>
      </c>
      <c r="D265" s="2" t="s">
        <v>550</v>
      </c>
      <c r="E265" s="2" t="str">
        <f>_xlfn.XLOOKUP(F265,Terrain!D:D,Terrain!A:A,"")</f>
        <v>Lower</v>
      </c>
      <c r="F265" s="2" t="s">
        <v>1241</v>
      </c>
      <c r="G265" s="2" t="s">
        <v>887</v>
      </c>
      <c r="H265" s="2">
        <f t="shared" si="13"/>
        <v>2568</v>
      </c>
      <c r="I265" s="2">
        <v>421.5</v>
      </c>
      <c r="J265" s="2">
        <v>8.43</v>
      </c>
      <c r="K265" s="2">
        <v>8</v>
      </c>
      <c r="L265" s="2">
        <f t="shared" si="14"/>
        <v>250</v>
      </c>
      <c r="M265" s="2" t="s">
        <v>1095</v>
      </c>
      <c r="N265" s="40">
        <f>_xlfn.XLOOKUP(F265,Terrain!D:D,Terrain!H:H,"")</f>
        <v>2568</v>
      </c>
      <c r="O265" t="str">
        <f t="shared" si="12"/>
        <v>68-PU3 | 1686 | 388|0</v>
      </c>
    </row>
    <row r="266" spans="1:15" x14ac:dyDescent="0.3">
      <c r="A266" s="43">
        <v>46113</v>
      </c>
      <c r="B266" s="2" t="s">
        <v>10</v>
      </c>
      <c r="C266" s="2" t="s">
        <v>1257</v>
      </c>
      <c r="D266" s="2" t="s">
        <v>560</v>
      </c>
      <c r="E266" s="2" t="str">
        <f>_xlfn.XLOOKUP(F266,Terrain!D:D,Terrain!A:A,"")</f>
        <v>Lower</v>
      </c>
      <c r="F266" s="2" t="s">
        <v>1242</v>
      </c>
      <c r="G266" s="2" t="s">
        <v>888</v>
      </c>
      <c r="H266" s="2">
        <f t="shared" si="13"/>
        <v>2568</v>
      </c>
      <c r="I266" s="2">
        <v>345</v>
      </c>
      <c r="J266" s="2">
        <v>6.9</v>
      </c>
      <c r="K266" s="2">
        <v>7</v>
      </c>
      <c r="L266" s="2">
        <f t="shared" si="14"/>
        <v>250</v>
      </c>
      <c r="M266" s="2" t="s">
        <v>1095</v>
      </c>
      <c r="N266" s="40">
        <f>_xlfn.XLOOKUP(F266,Terrain!D:D,Terrain!H:H,"")</f>
        <v>2568</v>
      </c>
      <c r="O266" t="str">
        <f t="shared" si="12"/>
        <v>68-PU4 | 1380 | 389|0</v>
      </c>
    </row>
    <row r="267" spans="1:15" x14ac:dyDescent="0.3">
      <c r="A267" s="43">
        <v>46113</v>
      </c>
      <c r="B267" s="2" t="s">
        <v>10</v>
      </c>
      <c r="C267" s="2" t="s">
        <v>1257</v>
      </c>
      <c r="D267" s="2" t="s">
        <v>570</v>
      </c>
      <c r="E267" s="2" t="str">
        <f>_xlfn.XLOOKUP(F267,Terrain!D:D,Terrain!A:A,"")</f>
        <v>Lower</v>
      </c>
      <c r="F267" s="2" t="s">
        <v>1243</v>
      </c>
      <c r="G267" s="2" t="s">
        <v>889</v>
      </c>
      <c r="H267" s="2">
        <f t="shared" si="13"/>
        <v>2568</v>
      </c>
      <c r="I267" s="2">
        <v>187.75</v>
      </c>
      <c r="J267" s="2">
        <v>3.7549999999999999</v>
      </c>
      <c r="K267" s="2">
        <v>4</v>
      </c>
      <c r="L267" s="2">
        <f t="shared" si="14"/>
        <v>250</v>
      </c>
      <c r="M267" s="2" t="s">
        <v>1097</v>
      </c>
      <c r="N267" s="40">
        <f>_xlfn.XLOOKUP(F267,Terrain!D:D,Terrain!H:H,"")</f>
        <v>2568</v>
      </c>
      <c r="O267" t="str">
        <f t="shared" si="12"/>
        <v>68-PU5 | 751 | 394|0</v>
      </c>
    </row>
    <row r="268" spans="1:15" x14ac:dyDescent="0.3">
      <c r="A268" s="43">
        <v>46113</v>
      </c>
      <c r="B268" s="2" t="s">
        <v>10</v>
      </c>
      <c r="C268" s="2" t="s">
        <v>1257</v>
      </c>
      <c r="D268" s="2" t="s">
        <v>580</v>
      </c>
      <c r="E268" s="2" t="str">
        <f>_xlfn.XLOOKUP(F268,Terrain!D:D,Terrain!A:A,"")</f>
        <v>Lower</v>
      </c>
      <c r="F268" s="2" t="s">
        <v>1327</v>
      </c>
      <c r="G268" s="2" t="s">
        <v>890</v>
      </c>
      <c r="H268" s="2">
        <f t="shared" si="13"/>
        <v>2568</v>
      </c>
      <c r="I268" s="2">
        <v>292</v>
      </c>
      <c r="J268" s="2">
        <v>5.84</v>
      </c>
      <c r="K268" s="2">
        <v>6</v>
      </c>
      <c r="L268" s="2">
        <f t="shared" si="14"/>
        <v>250</v>
      </c>
      <c r="M268" s="2" t="s">
        <v>1098</v>
      </c>
      <c r="N268" s="40">
        <f>_xlfn.XLOOKUP(F268,Terrain!D:D,Terrain!H:H,"")</f>
        <v>2568</v>
      </c>
      <c r="O268" t="str">
        <f t="shared" si="12"/>
        <v>68-PU5-R | 1168 | 392|0</v>
      </c>
    </row>
    <row r="269" spans="1:15" x14ac:dyDescent="0.3">
      <c r="A269" s="43">
        <v>46113</v>
      </c>
      <c r="B269" s="2" t="s">
        <v>10</v>
      </c>
      <c r="C269" s="2" t="s">
        <v>1257</v>
      </c>
      <c r="D269" s="2" t="s">
        <v>590</v>
      </c>
      <c r="E269" s="2" t="str">
        <f>_xlfn.XLOOKUP(F269,Terrain!D:D,Terrain!A:A,"")</f>
        <v>Lower</v>
      </c>
      <c r="F269" s="2" t="s">
        <v>1245</v>
      </c>
      <c r="G269" s="2" t="s">
        <v>1099</v>
      </c>
      <c r="H269" s="2">
        <f t="shared" si="13"/>
        <v>2568</v>
      </c>
      <c r="I269" s="2">
        <v>36.25</v>
      </c>
      <c r="J269" s="2">
        <v>0.72499999999999998</v>
      </c>
      <c r="K269" s="2">
        <v>1</v>
      </c>
      <c r="L269" s="2">
        <f t="shared" si="14"/>
        <v>250</v>
      </c>
      <c r="M269" s="2" t="s">
        <v>1097</v>
      </c>
      <c r="N269" s="40">
        <f>_xlfn.XLOOKUP(F269,Terrain!D:D,Terrain!H:H,"")</f>
        <v>2568</v>
      </c>
      <c r="O269" t="str">
        <f t="shared" si="12"/>
        <v>68-PU6 | 145 | 393|0</v>
      </c>
    </row>
    <row r="270" spans="1:15" x14ac:dyDescent="0.3">
      <c r="A270" s="43">
        <v>46113</v>
      </c>
      <c r="B270" s="2" t="s">
        <v>10</v>
      </c>
      <c r="C270" s="2" t="s">
        <v>1257</v>
      </c>
      <c r="D270" s="2" t="s">
        <v>600</v>
      </c>
      <c r="E270" s="2" t="str">
        <f>_xlfn.XLOOKUP(F270,Terrain!D:D,Terrain!A:A,"")</f>
        <v>Lower</v>
      </c>
      <c r="F270" s="2" t="s">
        <v>1328</v>
      </c>
      <c r="G270" s="2" t="s">
        <v>1100</v>
      </c>
      <c r="H270" s="2">
        <f t="shared" si="13"/>
        <v>2568</v>
      </c>
      <c r="I270" s="2">
        <v>386.75</v>
      </c>
      <c r="J270" s="2">
        <v>7.7350000000000003</v>
      </c>
      <c r="K270" s="2">
        <v>8</v>
      </c>
      <c r="L270" s="2">
        <f t="shared" si="14"/>
        <v>250</v>
      </c>
      <c r="M270" s="2" t="s">
        <v>1098</v>
      </c>
      <c r="N270" s="40">
        <f>_xlfn.XLOOKUP(F270,Terrain!D:D,Terrain!H:H,"")</f>
        <v>2568</v>
      </c>
      <c r="O270" t="str">
        <f t="shared" si="12"/>
        <v>68-PU6-R | 1547 | 391|0</v>
      </c>
    </row>
    <row r="271" spans="1:15" x14ac:dyDescent="0.3">
      <c r="A271" s="43">
        <v>46113</v>
      </c>
      <c r="B271" s="2" t="s">
        <v>10</v>
      </c>
      <c r="C271" s="2" t="s">
        <v>1257</v>
      </c>
      <c r="D271" s="2" t="s">
        <v>610</v>
      </c>
      <c r="E271" s="2" t="str">
        <f>_xlfn.XLOOKUP(F271,Terrain!D:D,Terrain!A:A,"")</f>
        <v>Upper</v>
      </c>
      <c r="F271" s="2" t="s">
        <v>1329</v>
      </c>
      <c r="G271" s="2" t="s">
        <v>1101</v>
      </c>
      <c r="H271" s="2">
        <f t="shared" si="13"/>
        <v>2568</v>
      </c>
      <c r="I271" s="2">
        <v>792.75</v>
      </c>
      <c r="J271" s="2">
        <v>15.855</v>
      </c>
      <c r="K271" s="2">
        <v>16</v>
      </c>
      <c r="L271" s="2">
        <f t="shared" si="14"/>
        <v>250</v>
      </c>
      <c r="M271" s="2" t="s">
        <v>1102</v>
      </c>
      <c r="N271" s="40">
        <f>_xlfn.XLOOKUP(F271,Terrain!D:D,Terrain!H:H,"")</f>
        <v>2568</v>
      </c>
      <c r="O271" t="str">
        <f t="shared" si="12"/>
        <v>68-T01 | 3171 | 661|0</v>
      </c>
    </row>
    <row r="272" spans="1:15" x14ac:dyDescent="0.3">
      <c r="A272" s="43">
        <v>46113</v>
      </c>
      <c r="B272" s="2" t="s">
        <v>10</v>
      </c>
      <c r="C272" s="2" t="s">
        <v>1257</v>
      </c>
      <c r="D272" s="2" t="s">
        <v>620</v>
      </c>
      <c r="E272" s="2" t="str">
        <f>_xlfn.XLOOKUP(F272,Terrain!D:D,Terrain!A:A,"")</f>
        <v>Upper</v>
      </c>
      <c r="F272" s="2" t="s">
        <v>1330</v>
      </c>
      <c r="G272" s="2" t="s">
        <v>906</v>
      </c>
      <c r="H272" s="2">
        <f t="shared" si="13"/>
        <v>2568</v>
      </c>
      <c r="I272" s="2">
        <v>737.5</v>
      </c>
      <c r="J272" s="2">
        <v>14.75</v>
      </c>
      <c r="K272" s="2">
        <v>15</v>
      </c>
      <c r="L272" s="2">
        <f t="shared" si="14"/>
        <v>250</v>
      </c>
      <c r="M272" s="2" t="s">
        <v>1102</v>
      </c>
      <c r="N272" s="40">
        <f>_xlfn.XLOOKUP(F272,Terrain!D:D,Terrain!H:H,"")</f>
        <v>2568</v>
      </c>
      <c r="O272" t="str">
        <f t="shared" si="12"/>
        <v>68-T02 | 2950 | 660|0</v>
      </c>
    </row>
    <row r="273" spans="1:15" x14ac:dyDescent="0.3">
      <c r="A273" s="43">
        <v>46113</v>
      </c>
      <c r="B273" s="2" t="s">
        <v>10</v>
      </c>
      <c r="C273" s="2" t="s">
        <v>1257</v>
      </c>
      <c r="D273" s="2" t="s">
        <v>630</v>
      </c>
      <c r="E273" s="2" t="str">
        <f>_xlfn.XLOOKUP(F273,Terrain!D:D,Terrain!A:A,"")</f>
        <v>Upper</v>
      </c>
      <c r="F273" s="2" t="s">
        <v>1331</v>
      </c>
      <c r="G273" s="2" t="s">
        <v>907</v>
      </c>
      <c r="H273" s="2">
        <f t="shared" si="13"/>
        <v>2566</v>
      </c>
      <c r="I273" s="2">
        <v>3061.25</v>
      </c>
      <c r="J273" s="2">
        <v>61.225000000000001</v>
      </c>
      <c r="K273" s="2">
        <v>61</v>
      </c>
      <c r="L273" s="2">
        <f t="shared" si="14"/>
        <v>1250</v>
      </c>
      <c r="M273" s="2" t="s">
        <v>1103</v>
      </c>
      <c r="N273" s="40">
        <f>_xlfn.XLOOKUP(F273,Terrain!D:D,Terrain!H:H,"")</f>
        <v>2566</v>
      </c>
      <c r="O273" t="str">
        <f t="shared" si="12"/>
        <v>66-T03 | 2449 | 596|0</v>
      </c>
    </row>
    <row r="274" spans="1:15" x14ac:dyDescent="0.3">
      <c r="A274" s="43">
        <v>46113</v>
      </c>
      <c r="B274" s="2" t="s">
        <v>10</v>
      </c>
      <c r="C274" s="2" t="s">
        <v>1257</v>
      </c>
      <c r="D274" s="2" t="s">
        <v>640</v>
      </c>
      <c r="E274" s="2" t="str">
        <f>_xlfn.XLOOKUP(F274,Terrain!D:D,Terrain!A:A,"")</f>
        <v>Upper</v>
      </c>
      <c r="F274" s="2" t="s">
        <v>1332</v>
      </c>
      <c r="G274" s="2" t="s">
        <v>908</v>
      </c>
      <c r="H274" s="2">
        <f t="shared" si="13"/>
        <v>2566</v>
      </c>
      <c r="I274" s="2">
        <v>2517.5</v>
      </c>
      <c r="J274" s="2">
        <v>50.35</v>
      </c>
      <c r="K274" s="2">
        <v>50</v>
      </c>
      <c r="L274" s="2">
        <f t="shared" si="14"/>
        <v>1250</v>
      </c>
      <c r="M274" s="2" t="s">
        <v>1103</v>
      </c>
      <c r="N274" s="40">
        <f>_xlfn.XLOOKUP(F274,Terrain!D:D,Terrain!H:H,"")</f>
        <v>2566</v>
      </c>
      <c r="O274" t="str">
        <f t="shared" si="12"/>
        <v>66-T04 | 2014 | 599|0</v>
      </c>
    </row>
    <row r="275" spans="1:15" x14ac:dyDescent="0.3">
      <c r="A275" s="43">
        <v>46113</v>
      </c>
      <c r="B275" s="2" t="s">
        <v>10</v>
      </c>
      <c r="C275" s="2" t="s">
        <v>1257</v>
      </c>
      <c r="D275" s="2" t="s">
        <v>650</v>
      </c>
      <c r="E275" s="2" t="str">
        <f>_xlfn.XLOOKUP(F275,Terrain!D:D,Terrain!A:A,"")</f>
        <v>Upper</v>
      </c>
      <c r="F275" s="2" t="s">
        <v>1333</v>
      </c>
      <c r="G275" s="2" t="s">
        <v>909</v>
      </c>
      <c r="H275" s="2">
        <f t="shared" si="13"/>
        <v>2563</v>
      </c>
      <c r="I275" s="2">
        <v>5314.75</v>
      </c>
      <c r="J275" s="2">
        <v>106.295</v>
      </c>
      <c r="K275" s="2">
        <v>106</v>
      </c>
      <c r="L275" s="2">
        <f t="shared" si="14"/>
        <v>1750</v>
      </c>
      <c r="M275" s="2" t="s">
        <v>1104</v>
      </c>
      <c r="N275" s="40" t="str">
        <f>_xlfn.XLOOKUP(F275,Terrain!D:D,Terrain!H:H,"")</f>
        <v>2563 - 2565</v>
      </c>
      <c r="O275" t="str">
        <f t="shared" si="12"/>
        <v>63-T05-R | 3037 | 564|0</v>
      </c>
    </row>
    <row r="276" spans="1:15" x14ac:dyDescent="0.3">
      <c r="A276" s="43">
        <v>46113</v>
      </c>
      <c r="B276" s="2" t="s">
        <v>10</v>
      </c>
      <c r="C276" s="2" t="s">
        <v>1257</v>
      </c>
      <c r="D276" s="2" t="s">
        <v>658</v>
      </c>
      <c r="E276" s="2" t="str">
        <f>_xlfn.XLOOKUP(F276,Terrain!D:D,Terrain!A:A,"")</f>
        <v>Upper</v>
      </c>
      <c r="F276" s="2" t="s">
        <v>1334</v>
      </c>
      <c r="G276" s="2" t="s">
        <v>910</v>
      </c>
      <c r="H276" s="2">
        <f t="shared" si="13"/>
        <v>2566</v>
      </c>
      <c r="I276" s="2">
        <v>3622.5</v>
      </c>
      <c r="J276" s="2">
        <v>72.45</v>
      </c>
      <c r="K276" s="2">
        <v>72</v>
      </c>
      <c r="L276" s="2">
        <f t="shared" si="14"/>
        <v>1250</v>
      </c>
      <c r="M276" s="2" t="s">
        <v>1103</v>
      </c>
      <c r="N276" s="40">
        <f>_xlfn.XLOOKUP(F276,Terrain!D:D,Terrain!H:H,"")</f>
        <v>2566</v>
      </c>
      <c r="O276" t="str">
        <f t="shared" si="12"/>
        <v>66-T06 | 2898 | 597|0</v>
      </c>
    </row>
    <row r="277" spans="1:15" x14ac:dyDescent="0.3">
      <c r="A277" s="43">
        <v>46113</v>
      </c>
      <c r="B277" s="2" t="s">
        <v>10</v>
      </c>
      <c r="C277" s="2" t="s">
        <v>1257</v>
      </c>
      <c r="D277" s="2" t="s">
        <v>668</v>
      </c>
      <c r="E277" s="2" t="str">
        <f>_xlfn.XLOOKUP(F277,Terrain!D:D,Terrain!A:A,"")</f>
        <v>Upper</v>
      </c>
      <c r="F277" s="2" t="s">
        <v>1335</v>
      </c>
      <c r="G277" s="2" t="s">
        <v>911</v>
      </c>
      <c r="H277" s="2">
        <f t="shared" si="13"/>
        <v>2566</v>
      </c>
      <c r="I277" s="2">
        <v>2955</v>
      </c>
      <c r="J277" s="2">
        <v>59.1</v>
      </c>
      <c r="K277" s="2">
        <v>59</v>
      </c>
      <c r="L277" s="2">
        <f t="shared" si="14"/>
        <v>1250</v>
      </c>
      <c r="M277" s="2" t="s">
        <v>1103</v>
      </c>
      <c r="N277" s="40">
        <f>_xlfn.XLOOKUP(F277,Terrain!D:D,Terrain!H:H,"")</f>
        <v>2566</v>
      </c>
      <c r="O277" t="str">
        <f t="shared" si="12"/>
        <v>66-T07 | 2364 | 598|0</v>
      </c>
    </row>
    <row r="278" spans="1:15" x14ac:dyDescent="0.3">
      <c r="A278" s="43">
        <v>46113</v>
      </c>
      <c r="B278" s="2" t="s">
        <v>10</v>
      </c>
      <c r="C278" s="2" t="s">
        <v>1257</v>
      </c>
      <c r="D278" s="2" t="s">
        <v>678</v>
      </c>
      <c r="E278" s="2" t="str">
        <f>_xlfn.XLOOKUP(F278,Terrain!D:D,Terrain!A:A,"")</f>
        <v>Upper</v>
      </c>
      <c r="F278" s="2" t="s">
        <v>1336</v>
      </c>
      <c r="G278" s="2" t="s">
        <v>912</v>
      </c>
      <c r="H278" s="2">
        <f t="shared" si="13"/>
        <v>2556</v>
      </c>
      <c r="I278" s="2">
        <v>372.75</v>
      </c>
      <c r="J278" s="2">
        <v>7.4550000000000001</v>
      </c>
      <c r="K278" s="2">
        <v>7</v>
      </c>
      <c r="L278" s="2">
        <f t="shared" si="14"/>
        <v>1750</v>
      </c>
      <c r="M278" s="2" t="s">
        <v>1105</v>
      </c>
      <c r="N278" s="40" t="str">
        <f>_xlfn.XLOOKUP(F278,Terrain!D:D,Terrain!H:H,"")</f>
        <v>2555 - 2558</v>
      </c>
      <c r="O278" t="str">
        <f t="shared" si="12"/>
        <v>56-T08 | 213 | 502|0</v>
      </c>
    </row>
    <row r="279" spans="1:15" x14ac:dyDescent="0.3">
      <c r="A279" s="43">
        <v>46113</v>
      </c>
      <c r="B279" s="2" t="s">
        <v>10</v>
      </c>
      <c r="C279" s="2" t="s">
        <v>1257</v>
      </c>
      <c r="D279" s="2" t="s">
        <v>686</v>
      </c>
      <c r="E279" s="2" t="str">
        <f>_xlfn.XLOOKUP(F279,Terrain!D:D,Terrain!A:A,"")</f>
        <v>Upper</v>
      </c>
      <c r="F279" s="2" t="s">
        <v>1337</v>
      </c>
      <c r="G279" s="2" t="s">
        <v>913</v>
      </c>
      <c r="H279" s="2">
        <f t="shared" si="13"/>
        <v>2556</v>
      </c>
      <c r="I279" s="2">
        <v>4928</v>
      </c>
      <c r="J279" s="2">
        <v>98.56</v>
      </c>
      <c r="K279" s="2">
        <v>99</v>
      </c>
      <c r="L279" s="2">
        <f t="shared" si="14"/>
        <v>1750</v>
      </c>
      <c r="M279" s="2" t="s">
        <v>1106</v>
      </c>
      <c r="N279" s="40" t="str">
        <f>_xlfn.XLOOKUP(F279,Terrain!D:D,Terrain!H:H,"")</f>
        <v>2555 - 2558</v>
      </c>
      <c r="O279" t="str">
        <f t="shared" si="12"/>
        <v>56-T08-R | 2816 | 500|0</v>
      </c>
    </row>
    <row r="280" spans="1:15" x14ac:dyDescent="0.3">
      <c r="A280" s="43">
        <v>46113</v>
      </c>
      <c r="B280" s="2" t="s">
        <v>10</v>
      </c>
      <c r="C280" s="2" t="s">
        <v>1257</v>
      </c>
      <c r="D280" s="2" t="s">
        <v>694</v>
      </c>
      <c r="E280" s="2" t="str">
        <f>_xlfn.XLOOKUP(F280,Terrain!D:D,Terrain!A:A,"")</f>
        <v>Upper</v>
      </c>
      <c r="F280" s="2" t="s">
        <v>1338</v>
      </c>
      <c r="G280" s="2" t="s">
        <v>914</v>
      </c>
      <c r="H280" s="2">
        <f t="shared" si="13"/>
        <v>2558</v>
      </c>
      <c r="I280" s="2">
        <v>5134.5</v>
      </c>
      <c r="J280" s="2">
        <v>102.69</v>
      </c>
      <c r="K280" s="2">
        <v>103</v>
      </c>
      <c r="L280" s="2">
        <f t="shared" si="14"/>
        <v>1750</v>
      </c>
      <c r="M280" s="2" t="s">
        <v>1106</v>
      </c>
      <c r="N280" s="40" t="str">
        <f>_xlfn.XLOOKUP(F280,Terrain!D:D,Terrain!H:H,"")</f>
        <v>2555 - 2558</v>
      </c>
      <c r="O280" t="str">
        <f t="shared" si="12"/>
        <v>58-T09-R | 2934 | 507|0</v>
      </c>
    </row>
    <row r="281" spans="1:15" x14ac:dyDescent="0.3">
      <c r="A281" s="43">
        <v>46113</v>
      </c>
      <c r="B281" s="2" t="s">
        <v>10</v>
      </c>
      <c r="C281" s="2" t="s">
        <v>1257</v>
      </c>
      <c r="D281" s="2" t="s">
        <v>702</v>
      </c>
      <c r="E281" s="2" t="str">
        <f>_xlfn.XLOOKUP(F281,Terrain!D:D,Terrain!A:A,"")</f>
        <v>Upper</v>
      </c>
      <c r="F281" s="2" t="s">
        <v>1339</v>
      </c>
      <c r="G281" s="2" t="s">
        <v>915</v>
      </c>
      <c r="H281" s="2">
        <f t="shared" si="13"/>
        <v>2550</v>
      </c>
      <c r="I281" s="2">
        <v>4308</v>
      </c>
      <c r="J281" s="2">
        <v>86.16</v>
      </c>
      <c r="K281" s="2">
        <v>86</v>
      </c>
      <c r="L281" s="2">
        <f t="shared" si="14"/>
        <v>1500</v>
      </c>
      <c r="M281" s="2" t="s">
        <v>1107</v>
      </c>
      <c r="N281" s="40" t="str">
        <f>_xlfn.XLOOKUP(F281,Terrain!D:D,Terrain!H:H,"")</f>
        <v>2549 - 2552</v>
      </c>
      <c r="O281" t="str">
        <f t="shared" si="12"/>
        <v>50-T10-R | 2872 | 442|0</v>
      </c>
    </row>
    <row r="282" spans="1:15" x14ac:dyDescent="0.3">
      <c r="A282" s="43">
        <v>46113</v>
      </c>
      <c r="B282" s="2" t="s">
        <v>10</v>
      </c>
      <c r="C282" s="2" t="s">
        <v>1257</v>
      </c>
      <c r="D282" s="2" t="s">
        <v>709</v>
      </c>
      <c r="E282" s="2" t="str">
        <f>_xlfn.XLOOKUP(F282,Terrain!D:D,Terrain!A:A,"")</f>
        <v>Upper</v>
      </c>
      <c r="F282" s="2" t="s">
        <v>1173</v>
      </c>
      <c r="G282" s="2" t="s">
        <v>916</v>
      </c>
      <c r="H282" s="2">
        <f t="shared" si="13"/>
        <v>2567</v>
      </c>
      <c r="I282" s="2">
        <v>45.75</v>
      </c>
      <c r="J282" s="2">
        <v>0.91500000000000004</v>
      </c>
      <c r="K282" s="2">
        <v>1</v>
      </c>
      <c r="L282" s="2">
        <f t="shared" si="14"/>
        <v>750</v>
      </c>
      <c r="M282" s="2" t="s">
        <v>1108</v>
      </c>
      <c r="N282" s="40">
        <f>_xlfn.XLOOKUP(F282,Terrain!D:D,Terrain!H:H,"")</f>
        <v>2567</v>
      </c>
      <c r="O282" t="str">
        <f t="shared" si="12"/>
        <v>67-T10 | 61 | 623|0</v>
      </c>
    </row>
    <row r="283" spans="1:15" x14ac:dyDescent="0.3">
      <c r="A283" s="43">
        <v>46113</v>
      </c>
      <c r="B283" s="2" t="s">
        <v>10</v>
      </c>
      <c r="C283" s="2" t="s">
        <v>1257</v>
      </c>
      <c r="D283" s="2" t="s">
        <v>719</v>
      </c>
      <c r="E283" s="2" t="str">
        <f>_xlfn.XLOOKUP(F283,Terrain!D:D,Terrain!A:A,"")</f>
        <v>Upper</v>
      </c>
      <c r="F283" s="2" t="s">
        <v>1340</v>
      </c>
      <c r="G283" s="2" t="s">
        <v>917</v>
      </c>
      <c r="H283" s="2">
        <f t="shared" si="13"/>
        <v>2558</v>
      </c>
      <c r="I283" s="2">
        <v>5080.25</v>
      </c>
      <c r="J283" s="2">
        <v>101.605</v>
      </c>
      <c r="K283" s="2">
        <v>102</v>
      </c>
      <c r="L283" s="2">
        <f t="shared" si="14"/>
        <v>1750</v>
      </c>
      <c r="M283" s="2" t="s">
        <v>1106</v>
      </c>
      <c r="N283" s="40" t="str">
        <f>_xlfn.XLOOKUP(F283,Terrain!D:D,Terrain!H:H,"")</f>
        <v>2555 - 2558</v>
      </c>
      <c r="O283" t="str">
        <f t="shared" si="12"/>
        <v>58-T11-R | 2903 | 506|0</v>
      </c>
    </row>
    <row r="284" spans="1:15" x14ac:dyDescent="0.3">
      <c r="A284" s="43">
        <v>46113</v>
      </c>
      <c r="B284" s="2" t="s">
        <v>10</v>
      </c>
      <c r="C284" s="2" t="s">
        <v>1257</v>
      </c>
      <c r="D284" s="2" t="s">
        <v>727</v>
      </c>
      <c r="E284" s="2" t="str">
        <f>_xlfn.XLOOKUP(F284,Terrain!D:D,Terrain!A:A,"")</f>
        <v>Upper</v>
      </c>
      <c r="F284" s="2" t="s">
        <v>1341</v>
      </c>
      <c r="G284" s="2" t="s">
        <v>918</v>
      </c>
      <c r="H284" s="2">
        <f t="shared" si="13"/>
        <v>2550</v>
      </c>
      <c r="I284" s="2">
        <v>4545</v>
      </c>
      <c r="J284" s="2">
        <v>90.9</v>
      </c>
      <c r="K284" s="2">
        <v>91</v>
      </c>
      <c r="L284" s="2">
        <f t="shared" si="14"/>
        <v>1500</v>
      </c>
      <c r="M284" s="2" t="s">
        <v>1107</v>
      </c>
      <c r="N284" s="40" t="str">
        <f>_xlfn.XLOOKUP(F284,Terrain!D:D,Terrain!H:H,"")</f>
        <v>2549 - 2552</v>
      </c>
      <c r="O284" t="str">
        <f t="shared" si="12"/>
        <v>50-T12-R | 3030 | 449|0</v>
      </c>
    </row>
    <row r="285" spans="1:15" x14ac:dyDescent="0.3">
      <c r="A285" s="43">
        <v>46113</v>
      </c>
      <c r="B285" s="2" t="s">
        <v>10</v>
      </c>
      <c r="C285" s="2" t="s">
        <v>1257</v>
      </c>
      <c r="D285" s="2" t="s">
        <v>735</v>
      </c>
      <c r="E285" s="2" t="str">
        <f>_xlfn.XLOOKUP(F285,Terrain!D:D,Terrain!A:A,"")</f>
        <v>Upper</v>
      </c>
      <c r="F285" s="2" t="s">
        <v>1342</v>
      </c>
      <c r="G285" s="2" t="s">
        <v>919</v>
      </c>
      <c r="H285" s="2">
        <f t="shared" si="13"/>
        <v>2558</v>
      </c>
      <c r="I285" s="2">
        <v>5012</v>
      </c>
      <c r="J285" s="2">
        <v>100.24</v>
      </c>
      <c r="K285" s="2">
        <v>100</v>
      </c>
      <c r="L285" s="2">
        <f t="shared" si="14"/>
        <v>1750</v>
      </c>
      <c r="M285" s="2" t="s">
        <v>1106</v>
      </c>
      <c r="N285" s="40" t="str">
        <f>_xlfn.XLOOKUP(F285,Terrain!D:D,Terrain!H:H,"")</f>
        <v>2555 - 2558</v>
      </c>
      <c r="O285" t="str">
        <f t="shared" si="12"/>
        <v>58-T13-R | 2864 | 511|0</v>
      </c>
    </row>
    <row r="286" spans="1:15" x14ac:dyDescent="0.3">
      <c r="A286" s="43">
        <v>46113</v>
      </c>
      <c r="B286" s="2" t="s">
        <v>10</v>
      </c>
      <c r="C286" s="2" t="s">
        <v>1257</v>
      </c>
      <c r="D286" s="2" t="s">
        <v>743</v>
      </c>
      <c r="E286" s="2" t="str">
        <f>_xlfn.XLOOKUP(F286,Terrain!D:D,Terrain!A:A,"")</f>
        <v>Upper</v>
      </c>
      <c r="F286" s="2" t="s">
        <v>1343</v>
      </c>
      <c r="G286" s="2" t="s">
        <v>920</v>
      </c>
      <c r="H286" s="2">
        <f t="shared" si="13"/>
        <v>2549</v>
      </c>
      <c r="I286" s="2">
        <v>168</v>
      </c>
      <c r="J286" s="2">
        <v>3.36</v>
      </c>
      <c r="K286" s="2">
        <v>3</v>
      </c>
      <c r="L286" s="2">
        <f t="shared" si="14"/>
        <v>1500</v>
      </c>
      <c r="M286" s="2" t="s">
        <v>1107</v>
      </c>
      <c r="N286" s="40" t="str">
        <f>_xlfn.XLOOKUP(F286,Terrain!D:D,Terrain!H:H,"")</f>
        <v>2549 - 2552</v>
      </c>
      <c r="O286" t="str">
        <f t="shared" si="12"/>
        <v>49-T16-R | 112 | 445|0</v>
      </c>
    </row>
    <row r="287" spans="1:15" x14ac:dyDescent="0.3">
      <c r="A287" s="43">
        <v>46113</v>
      </c>
      <c r="B287" s="2" t="s">
        <v>10</v>
      </c>
      <c r="C287" s="2" t="s">
        <v>1257</v>
      </c>
      <c r="D287" s="2" t="s">
        <v>751</v>
      </c>
      <c r="E287" s="2" t="str">
        <f>_xlfn.XLOOKUP(F287,Terrain!D:D,Terrain!A:A,"")</f>
        <v>Upper</v>
      </c>
      <c r="F287" s="2" t="s">
        <v>1344</v>
      </c>
      <c r="G287" s="2" t="s">
        <v>921</v>
      </c>
      <c r="H287" s="2">
        <f t="shared" si="13"/>
        <v>2558</v>
      </c>
      <c r="I287" s="2">
        <v>4943.75</v>
      </c>
      <c r="J287" s="2">
        <v>98.875</v>
      </c>
      <c r="K287" s="2">
        <v>99</v>
      </c>
      <c r="L287" s="2">
        <f t="shared" si="14"/>
        <v>1750</v>
      </c>
      <c r="M287" s="2" t="s">
        <v>1106</v>
      </c>
      <c r="N287" s="40" t="str">
        <f>_xlfn.XLOOKUP(F287,Terrain!D:D,Terrain!H:H,"")</f>
        <v>2555 - 2558</v>
      </c>
      <c r="O287" t="str">
        <f t="shared" si="12"/>
        <v>58-T17-R | 2825 | 514|0</v>
      </c>
    </row>
    <row r="288" spans="1:15" x14ac:dyDescent="0.3">
      <c r="A288" s="43">
        <v>46113</v>
      </c>
      <c r="B288" s="2" t="s">
        <v>10</v>
      </c>
      <c r="C288" s="2" t="s">
        <v>1257</v>
      </c>
      <c r="D288" s="2" t="s">
        <v>759</v>
      </c>
      <c r="E288" s="2" t="str">
        <f>_xlfn.XLOOKUP(F288,Terrain!D:D,Terrain!A:A,"")</f>
        <v>Upper</v>
      </c>
      <c r="F288" s="2" t="s">
        <v>1345</v>
      </c>
      <c r="G288" s="2" t="s">
        <v>922</v>
      </c>
      <c r="H288" s="2">
        <f t="shared" si="13"/>
        <v>2558</v>
      </c>
      <c r="I288" s="2">
        <v>4975.25</v>
      </c>
      <c r="J288" s="2">
        <v>99.504999999999995</v>
      </c>
      <c r="K288" s="2">
        <v>100</v>
      </c>
      <c r="L288" s="2">
        <f t="shared" si="14"/>
        <v>1750</v>
      </c>
      <c r="M288" s="2" t="s">
        <v>1106</v>
      </c>
      <c r="N288" s="40" t="str">
        <f>_xlfn.XLOOKUP(F288,Terrain!D:D,Terrain!H:H,"")</f>
        <v>2555 - 2558</v>
      </c>
      <c r="O288" t="str">
        <f t="shared" si="12"/>
        <v>58-T18-R | 2843 | 505|0</v>
      </c>
    </row>
    <row r="289" spans="1:15" x14ac:dyDescent="0.3">
      <c r="A289" s="43">
        <v>46113</v>
      </c>
      <c r="B289" s="2" t="s">
        <v>10</v>
      </c>
      <c r="C289" s="2" t="s">
        <v>1257</v>
      </c>
      <c r="D289" s="2" t="s">
        <v>766</v>
      </c>
      <c r="E289" s="2" t="str">
        <f>_xlfn.XLOOKUP(F289,Terrain!D:D,Terrain!A:A,"")</f>
        <v>Upper</v>
      </c>
      <c r="F289" s="2" t="s">
        <v>1174</v>
      </c>
      <c r="G289" s="2" t="s">
        <v>923</v>
      </c>
      <c r="H289" s="2">
        <f t="shared" si="13"/>
        <v>2567</v>
      </c>
      <c r="I289" s="2">
        <v>128.25</v>
      </c>
      <c r="J289" s="2">
        <v>2.5649999999999999</v>
      </c>
      <c r="K289" s="2">
        <v>3</v>
      </c>
      <c r="L289" s="2">
        <f t="shared" si="14"/>
        <v>750</v>
      </c>
      <c r="M289" s="2" t="s">
        <v>1108</v>
      </c>
      <c r="N289" s="40">
        <f>_xlfn.XLOOKUP(F289,Terrain!D:D,Terrain!H:H,"")</f>
        <v>2567</v>
      </c>
      <c r="O289" t="str">
        <f t="shared" si="12"/>
        <v>67-T18 | 171 | 624|0</v>
      </c>
    </row>
    <row r="290" spans="1:15" x14ac:dyDescent="0.3">
      <c r="A290" s="43">
        <v>46113</v>
      </c>
      <c r="B290" s="2" t="s">
        <v>10</v>
      </c>
      <c r="C290" s="2" t="s">
        <v>1257</v>
      </c>
      <c r="D290" s="2" t="s">
        <v>776</v>
      </c>
      <c r="E290" s="2" t="str">
        <f>_xlfn.XLOOKUP(F290,Terrain!D:D,Terrain!A:A,"")</f>
        <v>Upper</v>
      </c>
      <c r="F290" s="2" t="s">
        <v>1346</v>
      </c>
      <c r="G290" s="2" t="s">
        <v>924</v>
      </c>
      <c r="H290" s="2">
        <f t="shared" si="13"/>
        <v>2556</v>
      </c>
      <c r="I290" s="2">
        <v>5598.25</v>
      </c>
      <c r="J290" s="2">
        <v>111.965</v>
      </c>
      <c r="K290" s="2">
        <v>112</v>
      </c>
      <c r="L290" s="2">
        <f t="shared" si="14"/>
        <v>1750</v>
      </c>
      <c r="M290" s="2" t="s">
        <v>1106</v>
      </c>
      <c r="N290" s="40" t="str">
        <f>_xlfn.XLOOKUP(F290,Terrain!D:D,Terrain!H:H,"")</f>
        <v>2555 - 2558</v>
      </c>
      <c r="O290" t="str">
        <f t="shared" si="12"/>
        <v>56-T19-R | 3199 | 504|0</v>
      </c>
    </row>
    <row r="291" spans="1:15" x14ac:dyDescent="0.3">
      <c r="A291" s="43">
        <v>46113</v>
      </c>
      <c r="B291" s="2" t="s">
        <v>10</v>
      </c>
      <c r="C291" s="2" t="s">
        <v>1257</v>
      </c>
      <c r="D291" s="2" t="s">
        <v>784</v>
      </c>
      <c r="E291" s="2" t="str">
        <f>_xlfn.XLOOKUP(F291,Terrain!D:D,Terrain!A:A,"")</f>
        <v>Upper</v>
      </c>
      <c r="F291" s="2" t="s">
        <v>1267</v>
      </c>
      <c r="G291" s="2" t="s">
        <v>925</v>
      </c>
      <c r="H291" s="2">
        <f t="shared" si="13"/>
        <v>2549</v>
      </c>
      <c r="I291" s="2">
        <v>4249.5</v>
      </c>
      <c r="J291" s="2">
        <v>84.99</v>
      </c>
      <c r="K291" s="2">
        <v>85</v>
      </c>
      <c r="L291" s="2">
        <f t="shared" si="14"/>
        <v>1500</v>
      </c>
      <c r="M291" s="2" t="s">
        <v>1107</v>
      </c>
      <c r="N291" s="40" t="str">
        <f>_xlfn.XLOOKUP(F291,Terrain!D:D,Terrain!H:H,"")</f>
        <v>2549 - 2552</v>
      </c>
      <c r="O291" t="str">
        <f t="shared" si="12"/>
        <v>49-T20-R | 2833 | 446|0</v>
      </c>
    </row>
    <row r="292" spans="1:15" x14ac:dyDescent="0.3">
      <c r="A292" s="43">
        <v>46113</v>
      </c>
      <c r="B292" s="2" t="s">
        <v>10</v>
      </c>
      <c r="C292" s="2" t="s">
        <v>1257</v>
      </c>
      <c r="D292" s="2" t="s">
        <v>792</v>
      </c>
      <c r="E292" s="2" t="str">
        <f>_xlfn.XLOOKUP(F292,Terrain!D:D,Terrain!A:A,"")</f>
        <v>Upper</v>
      </c>
      <c r="F292" s="2" t="s">
        <v>1347</v>
      </c>
      <c r="G292" s="2" t="s">
        <v>926</v>
      </c>
      <c r="H292" s="2">
        <f t="shared" si="13"/>
        <v>2556</v>
      </c>
      <c r="I292" s="2">
        <v>5276.25</v>
      </c>
      <c r="J292" s="2">
        <v>105.52500000000001</v>
      </c>
      <c r="K292" s="2">
        <v>106</v>
      </c>
      <c r="L292" s="2">
        <f t="shared" si="14"/>
        <v>1750</v>
      </c>
      <c r="M292" s="2" t="s">
        <v>1106</v>
      </c>
      <c r="N292" s="40" t="str">
        <f>_xlfn.XLOOKUP(F292,Terrain!D:D,Terrain!H:H,"")</f>
        <v>2555 - 2558</v>
      </c>
      <c r="O292" t="str">
        <f t="shared" si="12"/>
        <v>56-T21-R | 3015 | 510|0</v>
      </c>
    </row>
    <row r="293" spans="1:15" x14ac:dyDescent="0.3">
      <c r="A293" s="43">
        <v>46113</v>
      </c>
      <c r="B293" s="2" t="s">
        <v>10</v>
      </c>
      <c r="C293" s="2" t="s">
        <v>1257</v>
      </c>
      <c r="D293" s="2" t="s">
        <v>799</v>
      </c>
      <c r="E293" s="2" t="str">
        <f>_xlfn.XLOOKUP(F293,Terrain!D:D,Terrain!A:A,"")</f>
        <v>Upper</v>
      </c>
      <c r="F293" s="2" t="s">
        <v>1175</v>
      </c>
      <c r="G293" s="2" t="s">
        <v>927</v>
      </c>
      <c r="H293" s="2">
        <f t="shared" si="13"/>
        <v>2567</v>
      </c>
      <c r="I293" s="2">
        <v>180.75</v>
      </c>
      <c r="J293" s="2">
        <v>3.6150000000000002</v>
      </c>
      <c r="K293" s="2">
        <v>4</v>
      </c>
      <c r="L293" s="2">
        <f t="shared" si="14"/>
        <v>750</v>
      </c>
      <c r="M293" s="2" t="s">
        <v>1108</v>
      </c>
      <c r="N293" s="40">
        <f>_xlfn.XLOOKUP(F293,Terrain!D:D,Terrain!H:H,"")</f>
        <v>2567</v>
      </c>
      <c r="O293" t="str">
        <f t="shared" si="12"/>
        <v>67-T21 | 241 | 621|0</v>
      </c>
    </row>
    <row r="294" spans="1:15" x14ac:dyDescent="0.3">
      <c r="A294" s="43">
        <v>46113</v>
      </c>
      <c r="B294" s="2" t="s">
        <v>10</v>
      </c>
      <c r="C294" s="2" t="s">
        <v>1257</v>
      </c>
      <c r="D294" s="2" t="s">
        <v>809</v>
      </c>
      <c r="E294" s="2" t="str">
        <f>_xlfn.XLOOKUP(F294,Terrain!D:D,Terrain!A:A,"")</f>
        <v>Upper</v>
      </c>
      <c r="F294" s="2" t="s">
        <v>1348</v>
      </c>
      <c r="G294" s="2" t="s">
        <v>928</v>
      </c>
      <c r="H294" s="2">
        <f t="shared" si="13"/>
        <v>2563</v>
      </c>
      <c r="I294" s="2">
        <v>1473.5</v>
      </c>
      <c r="J294" s="2">
        <v>29.47</v>
      </c>
      <c r="K294" s="2">
        <v>29</v>
      </c>
      <c r="L294" s="2">
        <f t="shared" si="14"/>
        <v>1750</v>
      </c>
      <c r="M294" s="2" t="s">
        <v>1104</v>
      </c>
      <c r="N294" s="40" t="str">
        <f>_xlfn.XLOOKUP(F294,Terrain!D:D,Terrain!H:H,"")</f>
        <v>2563 - 2565</v>
      </c>
      <c r="O294" t="str">
        <f t="shared" si="12"/>
        <v>63-T22-R | 842 | 567|0</v>
      </c>
    </row>
    <row r="295" spans="1:15" x14ac:dyDescent="0.3">
      <c r="A295" s="43">
        <v>46113</v>
      </c>
      <c r="B295" s="2" t="s">
        <v>10</v>
      </c>
      <c r="C295" s="2" t="s">
        <v>1257</v>
      </c>
      <c r="D295" s="2" t="s">
        <v>817</v>
      </c>
      <c r="E295" s="2" t="str">
        <f>_xlfn.XLOOKUP(F295,Terrain!D:D,Terrain!A:A,"")</f>
        <v>Upper</v>
      </c>
      <c r="F295" s="2" t="s">
        <v>1349</v>
      </c>
      <c r="G295" s="2" t="s">
        <v>929</v>
      </c>
      <c r="H295" s="2">
        <f t="shared" si="13"/>
        <v>2563</v>
      </c>
      <c r="I295" s="2">
        <v>1477</v>
      </c>
      <c r="J295" s="2">
        <v>29.54</v>
      </c>
      <c r="K295" s="2">
        <v>30</v>
      </c>
      <c r="L295" s="2">
        <f t="shared" si="14"/>
        <v>1750</v>
      </c>
      <c r="M295" s="2" t="s">
        <v>1104</v>
      </c>
      <c r="N295" s="40" t="str">
        <f>_xlfn.XLOOKUP(F295,Terrain!D:D,Terrain!H:H,"")</f>
        <v>2563 - 2565</v>
      </c>
      <c r="O295" t="str">
        <f t="shared" si="12"/>
        <v>63-T23-R | 844 | 568|0</v>
      </c>
    </row>
    <row r="296" spans="1:15" x14ac:dyDescent="0.3">
      <c r="A296" s="43">
        <v>46113</v>
      </c>
      <c r="B296" s="2" t="s">
        <v>10</v>
      </c>
      <c r="C296" s="2" t="s">
        <v>1257</v>
      </c>
      <c r="D296" s="2" t="s">
        <v>825</v>
      </c>
      <c r="E296" s="2" t="str">
        <f>_xlfn.XLOOKUP(F296,Terrain!D:D,Terrain!A:A,"")</f>
        <v>Upper</v>
      </c>
      <c r="F296" s="2" t="s">
        <v>1350</v>
      </c>
      <c r="G296" s="2" t="s">
        <v>930</v>
      </c>
      <c r="H296" s="2">
        <f t="shared" si="13"/>
        <v>2552</v>
      </c>
      <c r="I296" s="2">
        <v>138</v>
      </c>
      <c r="J296" s="2">
        <v>2.76</v>
      </c>
      <c r="K296" s="2">
        <v>3</v>
      </c>
      <c r="L296" s="2">
        <f t="shared" si="14"/>
        <v>1500</v>
      </c>
      <c r="M296" s="2" t="s">
        <v>1107</v>
      </c>
      <c r="N296" s="40" t="str">
        <f>_xlfn.XLOOKUP(F296,Terrain!D:D,Terrain!H:H,"")</f>
        <v>2549 - 2552</v>
      </c>
      <c r="O296" t="str">
        <f t="shared" si="12"/>
        <v>52-T28-R | 92 | 441|0</v>
      </c>
    </row>
    <row r="297" spans="1:15" x14ac:dyDescent="0.3">
      <c r="A297" s="43">
        <v>46113</v>
      </c>
      <c r="B297" s="2" t="s">
        <v>10</v>
      </c>
      <c r="C297" s="2" t="s">
        <v>1257</v>
      </c>
      <c r="D297" s="2" t="s">
        <v>833</v>
      </c>
      <c r="E297" s="2" t="str">
        <f>_xlfn.XLOOKUP(F297,Terrain!D:D,Terrain!A:A,"")</f>
        <v>Upper</v>
      </c>
      <c r="F297" s="2" t="s">
        <v>1351</v>
      </c>
      <c r="G297" s="2" t="s">
        <v>931</v>
      </c>
      <c r="H297" s="2">
        <f t="shared" si="13"/>
        <v>2556</v>
      </c>
      <c r="I297" s="2">
        <v>2455.25</v>
      </c>
      <c r="J297" s="2">
        <v>49.104999999999997</v>
      </c>
      <c r="K297" s="2">
        <v>49</v>
      </c>
      <c r="L297" s="2">
        <f t="shared" si="14"/>
        <v>1750</v>
      </c>
      <c r="M297" s="2" t="s">
        <v>1106</v>
      </c>
      <c r="N297" s="40" t="str">
        <f>_xlfn.XLOOKUP(F297,Terrain!D:D,Terrain!H:H,"")</f>
        <v>2555 - 2558</v>
      </c>
      <c r="O297" t="str">
        <f t="shared" si="12"/>
        <v>56-T28-R | 1403 | 513|0</v>
      </c>
    </row>
    <row r="298" spans="1:15" x14ac:dyDescent="0.3">
      <c r="A298" s="43">
        <v>46113</v>
      </c>
      <c r="B298" s="2" t="s">
        <v>10</v>
      </c>
      <c r="C298" s="2" t="s">
        <v>1257</v>
      </c>
      <c r="D298" s="2" t="s">
        <v>840</v>
      </c>
      <c r="E298" s="2" t="str">
        <f>_xlfn.XLOOKUP(F298,Terrain!D:D,Terrain!A:A,"")</f>
        <v>Upper</v>
      </c>
      <c r="F298" s="2" t="s">
        <v>1176</v>
      </c>
      <c r="G298" s="2" t="s">
        <v>932</v>
      </c>
      <c r="H298" s="2">
        <f t="shared" si="13"/>
        <v>2567</v>
      </c>
      <c r="I298" s="2">
        <v>2302.5</v>
      </c>
      <c r="J298" s="2">
        <v>46.05</v>
      </c>
      <c r="K298" s="2">
        <v>46</v>
      </c>
      <c r="L298" s="2">
        <f t="shared" si="14"/>
        <v>750</v>
      </c>
      <c r="M298" s="2" t="s">
        <v>1109</v>
      </c>
      <c r="N298" s="40">
        <f>_xlfn.XLOOKUP(F298,Terrain!D:D,Terrain!H:H,"")</f>
        <v>2567</v>
      </c>
      <c r="O298" t="str">
        <f t="shared" si="12"/>
        <v>67-T29 | 3070 | 625|0</v>
      </c>
    </row>
    <row r="299" spans="1:15" x14ac:dyDescent="0.3">
      <c r="A299" s="43">
        <v>46113</v>
      </c>
      <c r="B299" s="2" t="s">
        <v>10</v>
      </c>
      <c r="C299" s="2" t="s">
        <v>1257</v>
      </c>
      <c r="D299" s="2" t="s">
        <v>849</v>
      </c>
      <c r="E299" s="2" t="str">
        <f>_xlfn.XLOOKUP(F299,Terrain!D:D,Terrain!A:A,"")</f>
        <v>Upper</v>
      </c>
      <c r="F299" s="2" t="s">
        <v>1177</v>
      </c>
      <c r="G299" s="2" t="s">
        <v>933</v>
      </c>
      <c r="H299" s="2">
        <f t="shared" si="13"/>
        <v>2567</v>
      </c>
      <c r="I299" s="2">
        <v>2452.5</v>
      </c>
      <c r="J299" s="2">
        <v>49.05</v>
      </c>
      <c r="K299" s="2">
        <v>49</v>
      </c>
      <c r="L299" s="2">
        <f t="shared" si="14"/>
        <v>750</v>
      </c>
      <c r="M299" s="2" t="s">
        <v>1109</v>
      </c>
      <c r="N299" s="40">
        <f>_xlfn.XLOOKUP(F299,Terrain!D:D,Terrain!H:H,"")</f>
        <v>2567</v>
      </c>
      <c r="O299" t="str">
        <f t="shared" si="12"/>
        <v>67-T30 | 3270 | 622|0</v>
      </c>
    </row>
    <row r="300" spans="1:15" x14ac:dyDescent="0.3">
      <c r="A300" s="43">
        <v>46143</v>
      </c>
      <c r="B300" s="2" t="s">
        <v>12</v>
      </c>
      <c r="C300" s="2" t="s">
        <v>1258</v>
      </c>
      <c r="D300" s="2" t="s">
        <v>13</v>
      </c>
      <c r="E300" s="2" t="str">
        <f>_xlfn.XLOOKUP(F300,Terrain!D:D,Terrain!A:A,"")</f>
        <v>Lower</v>
      </c>
      <c r="F300" s="2" t="s">
        <v>1269</v>
      </c>
      <c r="G300" s="2" t="s">
        <v>1045</v>
      </c>
      <c r="H300" s="2">
        <f t="shared" si="13"/>
        <v>2556</v>
      </c>
      <c r="I300" s="2">
        <v>2437.5</v>
      </c>
      <c r="J300" s="2">
        <v>48.75</v>
      </c>
      <c r="K300" s="2">
        <v>49</v>
      </c>
      <c r="L300" s="2">
        <f t="shared" si="14"/>
        <v>1250</v>
      </c>
      <c r="M300" s="2" t="s">
        <v>1046</v>
      </c>
      <c r="N300" s="40" t="str">
        <f>_xlfn.XLOOKUP(F300,Terrain!D:D,Terrain!H:H,"")</f>
        <v>2555 - 2558</v>
      </c>
      <c r="O300" t="str">
        <f t="shared" si="12"/>
        <v>56-A01 | 1950 | 226|0</v>
      </c>
    </row>
    <row r="301" spans="1:15" x14ac:dyDescent="0.3">
      <c r="A301" s="43">
        <v>46143</v>
      </c>
      <c r="B301" s="2" t="s">
        <v>12</v>
      </c>
      <c r="C301" s="2" t="s">
        <v>1258</v>
      </c>
      <c r="D301" s="2" t="s">
        <v>942</v>
      </c>
      <c r="E301" s="2" t="str">
        <f>_xlfn.XLOOKUP(F301,Terrain!D:D,Terrain!A:A,"")</f>
        <v>Lower</v>
      </c>
      <c r="F301" s="2" t="s">
        <v>1282</v>
      </c>
      <c r="G301" s="2" t="s">
        <v>1048</v>
      </c>
      <c r="H301" s="2">
        <f t="shared" si="13"/>
        <v>2563</v>
      </c>
      <c r="I301" s="2">
        <v>667.5</v>
      </c>
      <c r="J301" s="2">
        <v>13.35</v>
      </c>
      <c r="K301" s="2">
        <v>13</v>
      </c>
      <c r="L301" s="2">
        <f t="shared" si="14"/>
        <v>1250</v>
      </c>
      <c r="M301" s="2" t="s">
        <v>1049</v>
      </c>
      <c r="N301" s="40" t="str">
        <f>_xlfn.XLOOKUP(F301,Terrain!D:D,Terrain!H:H,"")</f>
        <v>2563 - 2565</v>
      </c>
      <c r="O301" t="str">
        <f t="shared" si="12"/>
        <v>63-A01-R | 534 | 696|0</v>
      </c>
    </row>
    <row r="302" spans="1:15" x14ac:dyDescent="0.3">
      <c r="A302" s="43">
        <v>46143</v>
      </c>
      <c r="B302" s="2" t="s">
        <v>12</v>
      </c>
      <c r="C302" s="2" t="s">
        <v>1258</v>
      </c>
      <c r="D302" s="2" t="s">
        <v>23</v>
      </c>
      <c r="E302" s="2" t="str">
        <f>_xlfn.XLOOKUP(F302,Terrain!D:D,Terrain!A:A,"")</f>
        <v>Lower</v>
      </c>
      <c r="F302" s="2" t="s">
        <v>1270</v>
      </c>
      <c r="G302" s="2" t="s">
        <v>1050</v>
      </c>
      <c r="H302" s="2">
        <f t="shared" si="13"/>
        <v>2556</v>
      </c>
      <c r="I302" s="2">
        <v>4793.75</v>
      </c>
      <c r="J302" s="2">
        <v>95.875</v>
      </c>
      <c r="K302" s="2">
        <v>96</v>
      </c>
      <c r="L302" s="2">
        <f t="shared" si="14"/>
        <v>1250</v>
      </c>
      <c r="M302" s="2" t="s">
        <v>1046</v>
      </c>
      <c r="N302" s="40" t="str">
        <f>_xlfn.XLOOKUP(F302,Terrain!D:D,Terrain!H:H,"")</f>
        <v>2555 - 2558</v>
      </c>
      <c r="O302" t="str">
        <f t="shared" si="12"/>
        <v>56-A02 | 3835 | 216|0</v>
      </c>
    </row>
    <row r="303" spans="1:15" x14ac:dyDescent="0.3">
      <c r="A303" s="43">
        <v>46143</v>
      </c>
      <c r="B303" s="2" t="s">
        <v>12</v>
      </c>
      <c r="C303" s="2" t="s">
        <v>1258</v>
      </c>
      <c r="D303" s="2" t="s">
        <v>31</v>
      </c>
      <c r="E303" s="2" t="str">
        <f>_xlfn.XLOOKUP(F303,Terrain!D:D,Terrain!A:A,"")</f>
        <v>Lower</v>
      </c>
      <c r="F303" s="2" t="s">
        <v>1283</v>
      </c>
      <c r="G303" s="2" t="s">
        <v>1051</v>
      </c>
      <c r="H303" s="2">
        <f t="shared" si="13"/>
        <v>2556</v>
      </c>
      <c r="I303" s="2">
        <v>2648.75</v>
      </c>
      <c r="J303" s="2">
        <v>52.975000000000001</v>
      </c>
      <c r="K303" s="2">
        <v>53</v>
      </c>
      <c r="L303" s="2">
        <f t="shared" si="14"/>
        <v>1250</v>
      </c>
      <c r="M303" s="2" t="s">
        <v>1052</v>
      </c>
      <c r="N303" s="40" t="str">
        <f>_xlfn.XLOOKUP(F303,Terrain!D:D,Terrain!H:H,"")</f>
        <v>2555 - 2558</v>
      </c>
      <c r="O303" t="str">
        <f t="shared" si="12"/>
        <v>56-A03-R | 2119 | 210|0</v>
      </c>
    </row>
    <row r="304" spans="1:15" x14ac:dyDescent="0.3">
      <c r="A304" s="43">
        <v>46143</v>
      </c>
      <c r="B304" s="2" t="s">
        <v>12</v>
      </c>
      <c r="C304" s="2" t="s">
        <v>1258</v>
      </c>
      <c r="D304" s="2" t="s">
        <v>943</v>
      </c>
      <c r="E304" s="2" t="str">
        <f>_xlfn.XLOOKUP(F304,Terrain!D:D,Terrain!A:A,"")</f>
        <v>Lower</v>
      </c>
      <c r="F304" s="2" t="s">
        <v>1284</v>
      </c>
      <c r="G304" s="2" t="s">
        <v>1053</v>
      </c>
      <c r="H304" s="2">
        <f t="shared" si="13"/>
        <v>2563</v>
      </c>
      <c r="I304" s="2">
        <v>1225</v>
      </c>
      <c r="J304" s="2">
        <v>24.5</v>
      </c>
      <c r="K304" s="2">
        <v>25</v>
      </c>
      <c r="L304" s="2">
        <f t="shared" si="14"/>
        <v>1250</v>
      </c>
      <c r="M304" s="2" t="s">
        <v>1049</v>
      </c>
      <c r="N304" s="40" t="str">
        <f>_xlfn.XLOOKUP(F304,Terrain!D:D,Terrain!H:H,"")</f>
        <v>2563 - 2565</v>
      </c>
      <c r="O304" t="str">
        <f t="shared" si="12"/>
        <v>63-A03-R | 980 | 697|0</v>
      </c>
    </row>
    <row r="305" spans="1:15" x14ac:dyDescent="0.3">
      <c r="A305" s="43">
        <v>46143</v>
      </c>
      <c r="B305" s="2" t="s">
        <v>12</v>
      </c>
      <c r="C305" s="2" t="s">
        <v>1258</v>
      </c>
      <c r="D305" s="2" t="s">
        <v>40</v>
      </c>
      <c r="E305" s="2" t="str">
        <f>_xlfn.XLOOKUP(F305,Terrain!D:D,Terrain!A:A,"")</f>
        <v>Lower</v>
      </c>
      <c r="F305" s="2" t="s">
        <v>1271</v>
      </c>
      <c r="G305" s="2" t="s">
        <v>1054</v>
      </c>
      <c r="H305" s="2">
        <f t="shared" si="13"/>
        <v>2550</v>
      </c>
      <c r="I305" s="2">
        <v>4864</v>
      </c>
      <c r="J305" s="2">
        <v>97.28</v>
      </c>
      <c r="K305" s="2">
        <v>97</v>
      </c>
      <c r="L305" s="2">
        <f t="shared" si="14"/>
        <v>1000</v>
      </c>
      <c r="M305" s="2" t="s">
        <v>1055</v>
      </c>
      <c r="N305" s="40" t="str">
        <f>_xlfn.XLOOKUP(F305,Terrain!D:D,Terrain!H:H,"")</f>
        <v>2549 - 2552</v>
      </c>
      <c r="O305" t="str">
        <f t="shared" si="12"/>
        <v>50-A04 | 4864 | 148|0</v>
      </c>
    </row>
    <row r="306" spans="1:15" x14ac:dyDescent="0.3">
      <c r="A306" s="43">
        <v>46143</v>
      </c>
      <c r="B306" s="2" t="s">
        <v>12</v>
      </c>
      <c r="C306" s="2" t="s">
        <v>1258</v>
      </c>
      <c r="D306" s="2" t="s">
        <v>48</v>
      </c>
      <c r="E306" s="2" t="str">
        <f>_xlfn.XLOOKUP(F306,Terrain!D:D,Terrain!A:A,"")</f>
        <v>Lower</v>
      </c>
      <c r="F306" s="2" t="s">
        <v>1272</v>
      </c>
      <c r="G306" s="2" t="s">
        <v>1056</v>
      </c>
      <c r="H306" s="2">
        <f t="shared" si="13"/>
        <v>2550</v>
      </c>
      <c r="I306" s="2">
        <v>4608</v>
      </c>
      <c r="J306" s="2">
        <v>92.16</v>
      </c>
      <c r="K306" s="2">
        <v>92</v>
      </c>
      <c r="L306" s="2">
        <f t="shared" si="14"/>
        <v>1000</v>
      </c>
      <c r="M306" s="2" t="s">
        <v>1055</v>
      </c>
      <c r="N306" s="40" t="str">
        <f>_xlfn.XLOOKUP(F306,Terrain!D:D,Terrain!H:H,"")</f>
        <v>2549 - 2552</v>
      </c>
      <c r="O306" t="str">
        <f t="shared" si="12"/>
        <v>50-A05 | 4608 | 144|0</v>
      </c>
    </row>
    <row r="307" spans="1:15" x14ac:dyDescent="0.3">
      <c r="A307" s="43">
        <v>46143</v>
      </c>
      <c r="B307" s="2" t="s">
        <v>12</v>
      </c>
      <c r="C307" s="2" t="s">
        <v>1258</v>
      </c>
      <c r="D307" s="2" t="s">
        <v>56</v>
      </c>
      <c r="E307" s="2" t="str">
        <f>_xlfn.XLOOKUP(F307,Terrain!D:D,Terrain!A:A,"")</f>
        <v>Lower</v>
      </c>
      <c r="F307" s="2" t="s">
        <v>1273</v>
      </c>
      <c r="G307" s="2" t="s">
        <v>1057</v>
      </c>
      <c r="H307" s="2">
        <f t="shared" si="13"/>
        <v>2560</v>
      </c>
      <c r="I307" s="2">
        <v>4073.75</v>
      </c>
      <c r="J307" s="2">
        <v>81.474999999999994</v>
      </c>
      <c r="K307" s="2">
        <v>81</v>
      </c>
      <c r="L307" s="2">
        <f t="shared" si="14"/>
        <v>1250</v>
      </c>
      <c r="M307" s="2" t="s">
        <v>1058</v>
      </c>
      <c r="N307" s="40" t="str">
        <f>_xlfn.XLOOKUP(F307,Terrain!D:D,Terrain!H:H,"")</f>
        <v>2559 - 2560</v>
      </c>
      <c r="O307" t="str">
        <f t="shared" si="12"/>
        <v>60-A06 | 3259 | 212|0</v>
      </c>
    </row>
    <row r="308" spans="1:15" x14ac:dyDescent="0.3">
      <c r="A308" s="43">
        <v>46143</v>
      </c>
      <c r="B308" s="2" t="s">
        <v>12</v>
      </c>
      <c r="C308" s="2" t="s">
        <v>1258</v>
      </c>
      <c r="D308" s="2" t="s">
        <v>64</v>
      </c>
      <c r="E308" s="2" t="str">
        <f>_xlfn.XLOOKUP(F308,Terrain!D:D,Terrain!A:A,"")</f>
        <v>Lower</v>
      </c>
      <c r="F308" s="2" t="s">
        <v>1274</v>
      </c>
      <c r="G308" s="2" t="s">
        <v>1059</v>
      </c>
      <c r="H308" s="2">
        <f t="shared" si="13"/>
        <v>2563</v>
      </c>
      <c r="I308" s="2">
        <v>2985</v>
      </c>
      <c r="J308" s="2">
        <v>59.7</v>
      </c>
      <c r="K308" s="2">
        <v>60</v>
      </c>
      <c r="L308" s="2">
        <f t="shared" si="14"/>
        <v>1250</v>
      </c>
      <c r="M308" s="2" t="s">
        <v>1060</v>
      </c>
      <c r="N308" s="40" t="str">
        <f>_xlfn.XLOOKUP(F308,Terrain!D:D,Terrain!H:H,"")</f>
        <v>2563 - 2565</v>
      </c>
      <c r="O308" t="str">
        <f t="shared" si="12"/>
        <v>63-A07 | 2388 | 294|0</v>
      </c>
    </row>
    <row r="309" spans="1:15" x14ac:dyDescent="0.3">
      <c r="A309" s="43">
        <v>46143</v>
      </c>
      <c r="B309" s="2" t="s">
        <v>12</v>
      </c>
      <c r="C309" s="2" t="s">
        <v>1258</v>
      </c>
      <c r="D309" s="2" t="s">
        <v>72</v>
      </c>
      <c r="E309" s="2" t="str">
        <f>_xlfn.XLOOKUP(F309,Terrain!D:D,Terrain!A:A,"")</f>
        <v>Lower</v>
      </c>
      <c r="F309" s="2" t="s">
        <v>1285</v>
      </c>
      <c r="G309" s="2" t="s">
        <v>860</v>
      </c>
      <c r="H309" s="2">
        <f t="shared" si="13"/>
        <v>2563</v>
      </c>
      <c r="I309" s="2">
        <v>386.25</v>
      </c>
      <c r="J309" s="2">
        <v>7.7249999999999996</v>
      </c>
      <c r="K309" s="2">
        <v>8</v>
      </c>
      <c r="L309" s="2">
        <f t="shared" si="14"/>
        <v>1250</v>
      </c>
      <c r="M309" s="2" t="s">
        <v>1049</v>
      </c>
      <c r="N309" s="40" t="str">
        <f>_xlfn.XLOOKUP(F309,Terrain!D:D,Terrain!H:H,"")</f>
        <v>2563 - 2565</v>
      </c>
      <c r="O309" t="str">
        <f t="shared" si="12"/>
        <v>63-A07-R | 309 | 289|0</v>
      </c>
    </row>
    <row r="310" spans="1:15" x14ac:dyDescent="0.3">
      <c r="A310" s="43">
        <v>46143</v>
      </c>
      <c r="B310" s="2" t="s">
        <v>12</v>
      </c>
      <c r="C310" s="2" t="s">
        <v>1258</v>
      </c>
      <c r="D310" s="2" t="s">
        <v>80</v>
      </c>
      <c r="E310" s="2" t="str">
        <f>_xlfn.XLOOKUP(F310,Terrain!D:D,Terrain!A:A,"")</f>
        <v>Lower</v>
      </c>
      <c r="F310" s="2" t="s">
        <v>1286</v>
      </c>
      <c r="G310" s="2" t="s">
        <v>861</v>
      </c>
      <c r="H310" s="2">
        <f t="shared" si="13"/>
        <v>2557</v>
      </c>
      <c r="I310" s="2">
        <v>5385</v>
      </c>
      <c r="J310" s="2">
        <v>107.7</v>
      </c>
      <c r="K310" s="2">
        <v>108</v>
      </c>
      <c r="L310" s="2">
        <f t="shared" si="14"/>
        <v>1250</v>
      </c>
      <c r="M310" s="2" t="s">
        <v>1052</v>
      </c>
      <c r="N310" s="40" t="str">
        <f>_xlfn.XLOOKUP(F310,Terrain!D:D,Terrain!H:H,"")</f>
        <v>2555 - 2558</v>
      </c>
      <c r="O310" t="str">
        <f t="shared" si="12"/>
        <v>57-A08-R | 4308 | 211|0</v>
      </c>
    </row>
    <row r="311" spans="1:15" x14ac:dyDescent="0.3">
      <c r="A311" s="43">
        <v>46143</v>
      </c>
      <c r="B311" s="2" t="s">
        <v>12</v>
      </c>
      <c r="C311" s="2" t="s">
        <v>1258</v>
      </c>
      <c r="D311" s="2" t="s">
        <v>88</v>
      </c>
      <c r="E311" s="2" t="str">
        <f>_xlfn.XLOOKUP(F311,Terrain!D:D,Terrain!A:A,"")</f>
        <v>Lower</v>
      </c>
      <c r="F311" s="2" t="s">
        <v>1287</v>
      </c>
      <c r="G311" s="2" t="s">
        <v>862</v>
      </c>
      <c r="H311" s="2">
        <f t="shared" si="13"/>
        <v>2557</v>
      </c>
      <c r="I311" s="2">
        <v>4826.25</v>
      </c>
      <c r="J311" s="2">
        <v>96.525000000000006</v>
      </c>
      <c r="K311" s="2">
        <v>97</v>
      </c>
      <c r="L311" s="2">
        <f t="shared" si="14"/>
        <v>1250</v>
      </c>
      <c r="M311" s="2" t="s">
        <v>1052</v>
      </c>
      <c r="N311" s="40" t="str">
        <f>_xlfn.XLOOKUP(F311,Terrain!D:D,Terrain!H:H,"")</f>
        <v>2555 - 2558</v>
      </c>
      <c r="O311" t="str">
        <f t="shared" si="12"/>
        <v>57-A09-R | 3861 | 223|0</v>
      </c>
    </row>
    <row r="312" spans="1:15" x14ac:dyDescent="0.3">
      <c r="A312" s="43">
        <v>46143</v>
      </c>
      <c r="B312" s="2" t="s">
        <v>12</v>
      </c>
      <c r="C312" s="2" t="s">
        <v>1258</v>
      </c>
      <c r="D312" s="2" t="s">
        <v>96</v>
      </c>
      <c r="E312" s="2" t="str">
        <f>_xlfn.XLOOKUP(F312,Terrain!D:D,Terrain!A:A,"")</f>
        <v>Lower</v>
      </c>
      <c r="F312" s="2" t="s">
        <v>1288</v>
      </c>
      <c r="G312" s="2" t="s">
        <v>1061</v>
      </c>
      <c r="H312" s="2">
        <f t="shared" si="13"/>
        <v>2549</v>
      </c>
      <c r="I312" s="2">
        <v>2785</v>
      </c>
      <c r="J312" s="2">
        <v>55.7</v>
      </c>
      <c r="K312" s="2">
        <v>56</v>
      </c>
      <c r="L312" s="2">
        <f t="shared" si="14"/>
        <v>1000</v>
      </c>
      <c r="M312" s="2" t="s">
        <v>1062</v>
      </c>
      <c r="N312" s="40" t="str">
        <f>_xlfn.XLOOKUP(F312,Terrain!D:D,Terrain!H:H,"")</f>
        <v>2549 - 2552</v>
      </c>
      <c r="O312" t="str">
        <f t="shared" si="12"/>
        <v>49-A10-R | 2785 | 149|0</v>
      </c>
    </row>
    <row r="313" spans="1:15" x14ac:dyDescent="0.3">
      <c r="A313" s="43">
        <v>46143</v>
      </c>
      <c r="B313" s="2" t="s">
        <v>12</v>
      </c>
      <c r="C313" s="2" t="s">
        <v>1258</v>
      </c>
      <c r="D313" s="2" t="s">
        <v>104</v>
      </c>
      <c r="E313" s="2" t="str">
        <f>_xlfn.XLOOKUP(F313,Terrain!D:D,Terrain!A:A,"")</f>
        <v>Lower</v>
      </c>
      <c r="F313" s="2" t="s">
        <v>1289</v>
      </c>
      <c r="G313" s="2" t="s">
        <v>1063</v>
      </c>
      <c r="H313" s="2">
        <f t="shared" si="13"/>
        <v>2549</v>
      </c>
      <c r="I313" s="2">
        <v>2421</v>
      </c>
      <c r="J313" s="2">
        <v>48.42</v>
      </c>
      <c r="K313" s="2">
        <v>48</v>
      </c>
      <c r="L313" s="2">
        <f t="shared" si="14"/>
        <v>1000</v>
      </c>
      <c r="M313" s="2" t="s">
        <v>1062</v>
      </c>
      <c r="N313" s="40" t="str">
        <f>_xlfn.XLOOKUP(F313,Terrain!D:D,Terrain!H:H,"")</f>
        <v>2549 - 2552</v>
      </c>
      <c r="O313" t="str">
        <f t="shared" si="12"/>
        <v>49-A11-R | 2421 | 146|0</v>
      </c>
    </row>
    <row r="314" spans="1:15" x14ac:dyDescent="0.3">
      <c r="A314" s="43">
        <v>46143</v>
      </c>
      <c r="B314" s="2" t="s">
        <v>12</v>
      </c>
      <c r="C314" s="2" t="s">
        <v>1258</v>
      </c>
      <c r="D314" s="2" t="s">
        <v>112</v>
      </c>
      <c r="E314" s="2" t="str">
        <f>_xlfn.XLOOKUP(F314,Terrain!D:D,Terrain!A:A,"")</f>
        <v>Lower</v>
      </c>
      <c r="F314" s="2" t="s">
        <v>1290</v>
      </c>
      <c r="G314" s="2" t="s">
        <v>1064</v>
      </c>
      <c r="H314" s="2">
        <f t="shared" si="13"/>
        <v>2549</v>
      </c>
      <c r="I314" s="2">
        <v>3764</v>
      </c>
      <c r="J314" s="2">
        <v>75.28</v>
      </c>
      <c r="K314" s="2">
        <v>75</v>
      </c>
      <c r="L314" s="2">
        <f t="shared" si="14"/>
        <v>1000</v>
      </c>
      <c r="M314" s="2" t="s">
        <v>1062</v>
      </c>
      <c r="N314" s="40" t="str">
        <f>_xlfn.XLOOKUP(F314,Terrain!D:D,Terrain!H:H,"")</f>
        <v>2549 - 2552</v>
      </c>
      <c r="O314" t="str">
        <f t="shared" si="12"/>
        <v>49-A12-R | 3764 | 151|0</v>
      </c>
    </row>
    <row r="315" spans="1:15" x14ac:dyDescent="0.3">
      <c r="A315" s="43">
        <v>46143</v>
      </c>
      <c r="B315" s="2" t="s">
        <v>12</v>
      </c>
      <c r="C315" s="2" t="s">
        <v>1258</v>
      </c>
      <c r="D315" s="2" t="s">
        <v>120</v>
      </c>
      <c r="E315" s="2" t="str">
        <f>_xlfn.XLOOKUP(F315,Terrain!D:D,Terrain!A:A,"")</f>
        <v>Lower</v>
      </c>
      <c r="F315" s="2" t="s">
        <v>1291</v>
      </c>
      <c r="G315" s="2" t="s">
        <v>1065</v>
      </c>
      <c r="H315" s="2">
        <f t="shared" si="13"/>
        <v>2549</v>
      </c>
      <c r="I315" s="2">
        <v>2893</v>
      </c>
      <c r="J315" s="2">
        <v>57.86</v>
      </c>
      <c r="K315" s="2">
        <v>58</v>
      </c>
      <c r="L315" s="2">
        <f t="shared" si="14"/>
        <v>1000</v>
      </c>
      <c r="M315" s="2" t="s">
        <v>1062</v>
      </c>
      <c r="N315" s="40" t="str">
        <f>_xlfn.XLOOKUP(F315,Terrain!D:D,Terrain!H:H,"")</f>
        <v>2549 - 2552</v>
      </c>
      <c r="O315" t="str">
        <f t="shared" si="12"/>
        <v>49-A13-R | 2893 | 152|0</v>
      </c>
    </row>
    <row r="316" spans="1:15" x14ac:dyDescent="0.3">
      <c r="A316" s="43">
        <v>46143</v>
      </c>
      <c r="B316" s="2" t="s">
        <v>12</v>
      </c>
      <c r="C316" s="2" t="s">
        <v>1258</v>
      </c>
      <c r="D316" s="2" t="s">
        <v>128</v>
      </c>
      <c r="E316" s="2" t="str">
        <f>_xlfn.XLOOKUP(F316,Terrain!D:D,Terrain!A:A,"")</f>
        <v>Upper</v>
      </c>
      <c r="F316" s="2" t="s">
        <v>1275</v>
      </c>
      <c r="G316" s="2" t="s">
        <v>891</v>
      </c>
      <c r="H316" s="2">
        <f t="shared" si="13"/>
        <v>2565</v>
      </c>
      <c r="I316" s="2">
        <v>3585</v>
      </c>
      <c r="J316" s="2">
        <v>71.7</v>
      </c>
      <c r="K316" s="2">
        <v>72</v>
      </c>
      <c r="L316" s="2">
        <f t="shared" si="14"/>
        <v>1250</v>
      </c>
      <c r="M316" s="2" t="s">
        <v>1066</v>
      </c>
      <c r="N316" s="40" t="str">
        <f>_xlfn.XLOOKUP(F316,Terrain!D:D,Terrain!H:H,"")</f>
        <v>2563 - 2565</v>
      </c>
      <c r="O316" t="str">
        <f t="shared" si="12"/>
        <v>65-B01 | 2868 | 573|0</v>
      </c>
    </row>
    <row r="317" spans="1:15" x14ac:dyDescent="0.3">
      <c r="A317" s="43">
        <v>46143</v>
      </c>
      <c r="B317" s="2" t="s">
        <v>12</v>
      </c>
      <c r="C317" s="2" t="s">
        <v>1258</v>
      </c>
      <c r="D317" s="2" t="s">
        <v>136</v>
      </c>
      <c r="E317" s="2" t="str">
        <f>_xlfn.XLOOKUP(F317,Terrain!D:D,Terrain!A:A,"")</f>
        <v>Upper</v>
      </c>
      <c r="F317" s="2" t="s">
        <v>1276</v>
      </c>
      <c r="G317" s="2" t="s">
        <v>892</v>
      </c>
      <c r="H317" s="2">
        <f t="shared" si="13"/>
        <v>2564</v>
      </c>
      <c r="I317" s="2">
        <v>4350</v>
      </c>
      <c r="J317" s="2">
        <v>87</v>
      </c>
      <c r="K317" s="2">
        <v>87</v>
      </c>
      <c r="L317" s="2">
        <f t="shared" si="14"/>
        <v>1250</v>
      </c>
      <c r="M317" s="2" t="s">
        <v>1066</v>
      </c>
      <c r="N317" s="40" t="str">
        <f>_xlfn.XLOOKUP(F317,Terrain!D:D,Terrain!H:H,"")</f>
        <v>2563 - 2564</v>
      </c>
      <c r="O317" t="str">
        <f t="shared" si="12"/>
        <v>64-B02 | 3480 | 578|0</v>
      </c>
    </row>
    <row r="318" spans="1:15" x14ac:dyDescent="0.3">
      <c r="A318" s="43">
        <v>46143</v>
      </c>
      <c r="B318" s="2" t="s">
        <v>12</v>
      </c>
      <c r="C318" s="2" t="s">
        <v>1258</v>
      </c>
      <c r="D318" s="2" t="s">
        <v>144</v>
      </c>
      <c r="E318" s="2" t="str">
        <f>_xlfn.XLOOKUP(F318,Terrain!D:D,Terrain!A:A,"")</f>
        <v>Upper</v>
      </c>
      <c r="F318" s="2" t="s">
        <v>1277</v>
      </c>
      <c r="G318" s="2" t="s">
        <v>893</v>
      </c>
      <c r="H318" s="2">
        <f t="shared" si="13"/>
        <v>2557</v>
      </c>
      <c r="I318" s="2">
        <v>5288.75</v>
      </c>
      <c r="J318" s="2">
        <v>105.77500000000001</v>
      </c>
      <c r="K318" s="2">
        <v>106</v>
      </c>
      <c r="L318" s="2">
        <f t="shared" si="14"/>
        <v>1250</v>
      </c>
      <c r="M318" s="2" t="s">
        <v>1067</v>
      </c>
      <c r="N318" s="40" t="str">
        <f>_xlfn.XLOOKUP(F318,Terrain!D:D,Terrain!H:H,"")</f>
        <v>2555 - 2558</v>
      </c>
      <c r="O318" t="str">
        <f t="shared" si="12"/>
        <v>57-B03 | 4231 | 524|0</v>
      </c>
    </row>
    <row r="319" spans="1:15" x14ac:dyDescent="0.3">
      <c r="A319" s="43">
        <v>46143</v>
      </c>
      <c r="B319" s="2" t="s">
        <v>12</v>
      </c>
      <c r="C319" s="2" t="s">
        <v>1258</v>
      </c>
      <c r="D319" s="2" t="s">
        <v>152</v>
      </c>
      <c r="E319" s="2" t="str">
        <f>_xlfn.XLOOKUP(F319,Terrain!D:D,Terrain!A:A,"")</f>
        <v>Upper</v>
      </c>
      <c r="F319" s="2" t="s">
        <v>1278</v>
      </c>
      <c r="G319" s="2" t="s">
        <v>894</v>
      </c>
      <c r="H319" s="2">
        <f t="shared" si="13"/>
        <v>2560</v>
      </c>
      <c r="I319" s="2">
        <v>4813.75</v>
      </c>
      <c r="J319" s="2">
        <v>96.275000000000006</v>
      </c>
      <c r="K319" s="2">
        <v>96</v>
      </c>
      <c r="L319" s="2">
        <f t="shared" si="14"/>
        <v>1250</v>
      </c>
      <c r="M319" s="2" t="s">
        <v>1068</v>
      </c>
      <c r="N319" s="40" t="str">
        <f>_xlfn.XLOOKUP(F319,Terrain!D:D,Terrain!H:H,"")</f>
        <v>2559 - 2560</v>
      </c>
      <c r="O319" t="str">
        <f t="shared" si="12"/>
        <v>60-B04 | 3851 | 531|0</v>
      </c>
    </row>
    <row r="320" spans="1:15" x14ac:dyDescent="0.3">
      <c r="A320" s="43">
        <v>46143</v>
      </c>
      <c r="B320" s="2" t="s">
        <v>12</v>
      </c>
      <c r="C320" s="2" t="s">
        <v>1258</v>
      </c>
      <c r="D320" s="2" t="s">
        <v>160</v>
      </c>
      <c r="E320" s="2" t="str">
        <f>_xlfn.XLOOKUP(F320,Terrain!D:D,Terrain!A:A,"")</f>
        <v>Upper</v>
      </c>
      <c r="F320" s="2" t="s">
        <v>1279</v>
      </c>
      <c r="G320" s="2" t="s">
        <v>895</v>
      </c>
      <c r="H320" s="2">
        <f t="shared" si="13"/>
        <v>2564</v>
      </c>
      <c r="I320" s="2">
        <v>3925</v>
      </c>
      <c r="J320" s="2">
        <v>78.5</v>
      </c>
      <c r="K320" s="2">
        <v>79</v>
      </c>
      <c r="L320" s="2">
        <f t="shared" si="14"/>
        <v>1250</v>
      </c>
      <c r="M320" s="2" t="s">
        <v>1066</v>
      </c>
      <c r="N320" s="40" t="str">
        <f>_xlfn.XLOOKUP(F320,Terrain!D:D,Terrain!H:H,"")</f>
        <v>2563 - 2564</v>
      </c>
      <c r="O320" t="str">
        <f t="shared" si="12"/>
        <v>64-B05 | 3140 | 574|0</v>
      </c>
    </row>
    <row r="321" spans="1:15" x14ac:dyDescent="0.3">
      <c r="A321" s="43">
        <v>46143</v>
      </c>
      <c r="B321" s="2" t="s">
        <v>12</v>
      </c>
      <c r="C321" s="2" t="s">
        <v>1258</v>
      </c>
      <c r="D321" s="2" t="s">
        <v>168</v>
      </c>
      <c r="E321" s="2" t="str">
        <f>_xlfn.XLOOKUP(F321,Terrain!D:D,Terrain!A:A,"")</f>
        <v>Upper</v>
      </c>
      <c r="F321" s="2" t="s">
        <v>1280</v>
      </c>
      <c r="G321" s="2" t="s">
        <v>896</v>
      </c>
      <c r="H321" s="2">
        <f t="shared" si="13"/>
        <v>2564</v>
      </c>
      <c r="I321" s="2">
        <v>4588.75</v>
      </c>
      <c r="J321" s="2">
        <v>91.775000000000006</v>
      </c>
      <c r="K321" s="2">
        <v>92</v>
      </c>
      <c r="L321" s="2">
        <f t="shared" si="14"/>
        <v>1250</v>
      </c>
      <c r="M321" s="2" t="s">
        <v>1066</v>
      </c>
      <c r="N321" s="40" t="str">
        <f>_xlfn.XLOOKUP(F321,Terrain!D:D,Terrain!H:H,"")</f>
        <v>2563 - 2564</v>
      </c>
      <c r="O321" t="str">
        <f t="shared" ref="O321:O384" si="15">F321 &amp; " | " &amp; G321 &amp; " | " &amp; D321</f>
        <v>64-B06 | 3671 | 577|0</v>
      </c>
    </row>
    <row r="322" spans="1:15" x14ac:dyDescent="0.3">
      <c r="A322" s="43">
        <v>46143</v>
      </c>
      <c r="B322" s="2" t="s">
        <v>12</v>
      </c>
      <c r="C322" s="2" t="s">
        <v>1258</v>
      </c>
      <c r="D322" s="2" t="s">
        <v>176</v>
      </c>
      <c r="E322" s="2" t="str">
        <f>_xlfn.XLOOKUP(F322,Terrain!D:D,Terrain!A:A,"")</f>
        <v>Upper</v>
      </c>
      <c r="F322" s="2" t="s">
        <v>1281</v>
      </c>
      <c r="G322" s="2" t="s">
        <v>897</v>
      </c>
      <c r="H322" s="2">
        <f t="shared" ref="H322:H385" si="16">2500+VALUE(MID(F322,1,2))</f>
        <v>2550</v>
      </c>
      <c r="I322" s="2">
        <v>4022</v>
      </c>
      <c r="J322" s="2">
        <v>80.44</v>
      </c>
      <c r="K322" s="2">
        <v>80</v>
      </c>
      <c r="L322" s="2">
        <f t="shared" ref="L322:L385" si="17">I322*1000/G322</f>
        <v>1000</v>
      </c>
      <c r="M322" s="2" t="s">
        <v>1069</v>
      </c>
      <c r="N322" s="40" t="str">
        <f>_xlfn.XLOOKUP(F322,Terrain!D:D,Terrain!H:H,"")</f>
        <v>2549 - 2552</v>
      </c>
      <c r="O322" t="str">
        <f t="shared" si="15"/>
        <v>50-B07 | 4022 | 456|0</v>
      </c>
    </row>
    <row r="323" spans="1:15" x14ac:dyDescent="0.3">
      <c r="A323" s="43">
        <v>46143</v>
      </c>
      <c r="B323" s="2" t="s">
        <v>12</v>
      </c>
      <c r="C323" s="2" t="s">
        <v>1258</v>
      </c>
      <c r="D323" s="2" t="s">
        <v>184</v>
      </c>
      <c r="E323" s="2" t="str">
        <f>_xlfn.XLOOKUP(F323,Terrain!D:D,Terrain!A:A,"")</f>
        <v>Upper</v>
      </c>
      <c r="F323" s="2" t="s">
        <v>1292</v>
      </c>
      <c r="G323" s="2" t="s">
        <v>898</v>
      </c>
      <c r="H323" s="2">
        <f t="shared" si="16"/>
        <v>2560</v>
      </c>
      <c r="I323" s="2">
        <v>4345</v>
      </c>
      <c r="J323" s="2">
        <v>86.9</v>
      </c>
      <c r="K323" s="2">
        <v>87</v>
      </c>
      <c r="L323" s="2">
        <f t="shared" si="17"/>
        <v>1250</v>
      </c>
      <c r="M323" s="2" t="s">
        <v>1068</v>
      </c>
      <c r="N323" s="40" t="str">
        <f>_xlfn.XLOOKUP(F323,Terrain!D:D,Terrain!H:H,"")</f>
        <v>2559 - 2560</v>
      </c>
      <c r="O323" t="str">
        <f t="shared" si="15"/>
        <v>60-B08 | 3476 | 528|0</v>
      </c>
    </row>
    <row r="324" spans="1:15" x14ac:dyDescent="0.3">
      <c r="A324" s="43">
        <v>46143</v>
      </c>
      <c r="B324" s="2" t="s">
        <v>12</v>
      </c>
      <c r="C324" s="2" t="s">
        <v>1258</v>
      </c>
      <c r="D324" s="2" t="s">
        <v>192</v>
      </c>
      <c r="E324" s="2" t="str">
        <f>_xlfn.XLOOKUP(F324,Terrain!D:D,Terrain!A:A,"")</f>
        <v>Upper</v>
      </c>
      <c r="F324" s="2" t="s">
        <v>1293</v>
      </c>
      <c r="G324" s="2" t="s">
        <v>899</v>
      </c>
      <c r="H324" s="2">
        <f t="shared" si="16"/>
        <v>2560</v>
      </c>
      <c r="I324" s="2">
        <v>5158.75</v>
      </c>
      <c r="J324" s="2">
        <v>103.175</v>
      </c>
      <c r="K324" s="2">
        <v>103</v>
      </c>
      <c r="L324" s="2">
        <f t="shared" si="17"/>
        <v>1250</v>
      </c>
      <c r="M324" s="2" t="s">
        <v>1068</v>
      </c>
      <c r="N324" s="40" t="str">
        <f>_xlfn.XLOOKUP(F324,Terrain!D:D,Terrain!H:H,"")</f>
        <v>2559 - 2560</v>
      </c>
      <c r="O324" t="str">
        <f t="shared" si="15"/>
        <v>60-B09 | 4127 | 517|0</v>
      </c>
    </row>
    <row r="325" spans="1:15" x14ac:dyDescent="0.3">
      <c r="A325" s="43">
        <v>46143</v>
      </c>
      <c r="B325" s="2" t="s">
        <v>12</v>
      </c>
      <c r="C325" s="2" t="s">
        <v>1258</v>
      </c>
      <c r="D325" s="2" t="s">
        <v>200</v>
      </c>
      <c r="E325" s="2" t="str">
        <f>_xlfn.XLOOKUP(F325,Terrain!D:D,Terrain!A:A,"")</f>
        <v>Upper</v>
      </c>
      <c r="F325" s="2" t="s">
        <v>1135</v>
      </c>
      <c r="G325" s="2" t="s">
        <v>900</v>
      </c>
      <c r="H325" s="2">
        <f t="shared" si="16"/>
        <v>2550</v>
      </c>
      <c r="I325" s="2">
        <v>4245</v>
      </c>
      <c r="J325" s="2">
        <v>84.9</v>
      </c>
      <c r="K325" s="2">
        <v>85</v>
      </c>
      <c r="L325" s="2">
        <f t="shared" si="17"/>
        <v>1000</v>
      </c>
      <c r="M325" s="2" t="s">
        <v>1069</v>
      </c>
      <c r="N325" s="40" t="str">
        <f>_xlfn.XLOOKUP(F325,Terrain!D:D,Terrain!H:H,"")</f>
        <v>2549 - 2552</v>
      </c>
      <c r="O325" t="str">
        <f t="shared" si="15"/>
        <v>50-B10 | 4245 | 453|0</v>
      </c>
    </row>
    <row r="326" spans="1:15" x14ac:dyDescent="0.3">
      <c r="A326" s="43">
        <v>46143</v>
      </c>
      <c r="B326" s="2" t="s">
        <v>12</v>
      </c>
      <c r="C326" s="2" t="s">
        <v>1258</v>
      </c>
      <c r="D326" s="2" t="s">
        <v>208</v>
      </c>
      <c r="E326" s="2" t="str">
        <f>_xlfn.XLOOKUP(F326,Terrain!D:D,Terrain!A:A,"")</f>
        <v>Upper</v>
      </c>
      <c r="F326" s="2" t="s">
        <v>1149</v>
      </c>
      <c r="G326" s="2" t="s">
        <v>901</v>
      </c>
      <c r="H326" s="2">
        <f t="shared" si="16"/>
        <v>2565</v>
      </c>
      <c r="I326" s="2">
        <v>3991.25</v>
      </c>
      <c r="J326" s="2">
        <v>79.825000000000003</v>
      </c>
      <c r="K326" s="2">
        <v>80</v>
      </c>
      <c r="L326" s="2">
        <f t="shared" si="17"/>
        <v>1250</v>
      </c>
      <c r="M326" s="2" t="s">
        <v>1066</v>
      </c>
      <c r="N326" s="40" t="str">
        <f>_xlfn.XLOOKUP(F326,Terrain!D:D,Terrain!H:H,"")</f>
        <v>2563 - 2565</v>
      </c>
      <c r="O326" t="str">
        <f t="shared" si="15"/>
        <v>65-B11 | 3193 | 579|0</v>
      </c>
    </row>
    <row r="327" spans="1:15" x14ac:dyDescent="0.3">
      <c r="A327" s="43">
        <v>46143</v>
      </c>
      <c r="B327" s="2" t="s">
        <v>12</v>
      </c>
      <c r="C327" s="2" t="s">
        <v>1258</v>
      </c>
      <c r="D327" s="2" t="s">
        <v>216</v>
      </c>
      <c r="E327" s="2" t="str">
        <f>_xlfn.XLOOKUP(F327,Terrain!D:D,Terrain!A:A,"")</f>
        <v>Upper</v>
      </c>
      <c r="F327" s="2" t="s">
        <v>1137</v>
      </c>
      <c r="G327" s="2" t="s">
        <v>902</v>
      </c>
      <c r="H327" s="2">
        <f t="shared" si="16"/>
        <v>2557</v>
      </c>
      <c r="I327" s="2">
        <v>5331.25</v>
      </c>
      <c r="J327" s="2">
        <v>106.625</v>
      </c>
      <c r="K327" s="2">
        <v>107</v>
      </c>
      <c r="L327" s="2">
        <f t="shared" si="17"/>
        <v>1250</v>
      </c>
      <c r="M327" s="2" t="s">
        <v>1067</v>
      </c>
      <c r="N327" s="40" t="str">
        <f>_xlfn.XLOOKUP(F327,Terrain!D:D,Terrain!H:H,"")</f>
        <v>2555 - 2558</v>
      </c>
      <c r="O327" t="str">
        <f t="shared" si="15"/>
        <v>57-B12 | 4265 | 525|0</v>
      </c>
    </row>
    <row r="328" spans="1:15" x14ac:dyDescent="0.3">
      <c r="A328" s="43">
        <v>46143</v>
      </c>
      <c r="B328" s="2" t="s">
        <v>12</v>
      </c>
      <c r="C328" s="2" t="s">
        <v>1258</v>
      </c>
      <c r="D328" s="2" t="s">
        <v>224</v>
      </c>
      <c r="E328" s="2" t="str">
        <f>_xlfn.XLOOKUP(F328,Terrain!D:D,Terrain!A:A,"")</f>
        <v>Upper</v>
      </c>
      <c r="F328" s="2" t="s">
        <v>1131</v>
      </c>
      <c r="G328" s="2" t="s">
        <v>903</v>
      </c>
      <c r="H328" s="2">
        <f t="shared" si="16"/>
        <v>2549</v>
      </c>
      <c r="I328" s="2">
        <v>4192</v>
      </c>
      <c r="J328" s="2">
        <v>83.84</v>
      </c>
      <c r="K328" s="2">
        <v>84</v>
      </c>
      <c r="L328" s="2">
        <f t="shared" si="17"/>
        <v>1000</v>
      </c>
      <c r="M328" s="2" t="s">
        <v>1069</v>
      </c>
      <c r="N328" s="40" t="str">
        <f>_xlfn.XLOOKUP(F328,Terrain!D:D,Terrain!H:H,"")</f>
        <v>ปาล์มใหญ่</v>
      </c>
      <c r="O328" t="str">
        <f t="shared" si="15"/>
        <v>49-B13 | 4192 | 452|0</v>
      </c>
    </row>
    <row r="329" spans="1:15" x14ac:dyDescent="0.3">
      <c r="A329" s="43">
        <v>46143</v>
      </c>
      <c r="B329" s="2" t="s">
        <v>12</v>
      </c>
      <c r="C329" s="2" t="s">
        <v>1258</v>
      </c>
      <c r="D329" s="2" t="s">
        <v>232</v>
      </c>
      <c r="E329" s="2" t="str">
        <f>_xlfn.XLOOKUP(F329,Terrain!D:D,Terrain!A:A,"")</f>
        <v>Upper</v>
      </c>
      <c r="F329" s="2" t="s">
        <v>1130</v>
      </c>
      <c r="G329" s="2" t="s">
        <v>904</v>
      </c>
      <c r="H329" s="2">
        <f t="shared" si="16"/>
        <v>2530</v>
      </c>
      <c r="I329" s="2">
        <v>126</v>
      </c>
      <c r="J329" s="2">
        <v>2.52</v>
      </c>
      <c r="K329" s="2">
        <v>3</v>
      </c>
      <c r="L329" s="2">
        <f t="shared" si="17"/>
        <v>1000</v>
      </c>
      <c r="M329" s="2" t="s">
        <v>1070</v>
      </c>
      <c r="N329" s="40" t="str">
        <f>_xlfn.XLOOKUP(F329,Terrain!D:D,Terrain!H:H,"")</f>
        <v>ปาล์มใหญ่</v>
      </c>
      <c r="O329" t="str">
        <f t="shared" si="15"/>
        <v>30-B14 | 126 | 457|0</v>
      </c>
    </row>
    <row r="330" spans="1:15" x14ac:dyDescent="0.3">
      <c r="A330" s="43">
        <v>46143</v>
      </c>
      <c r="B330" s="2" t="s">
        <v>12</v>
      </c>
      <c r="C330" s="2" t="s">
        <v>1258</v>
      </c>
      <c r="D330" s="2" t="s">
        <v>240</v>
      </c>
      <c r="E330" s="2" t="str">
        <f>_xlfn.XLOOKUP(F330,Terrain!D:D,Terrain!A:A,"")</f>
        <v>Upper</v>
      </c>
      <c r="F330" s="2" t="s">
        <v>1139</v>
      </c>
      <c r="G330" s="2" t="s">
        <v>905</v>
      </c>
      <c r="H330" s="2">
        <f t="shared" si="16"/>
        <v>2557</v>
      </c>
      <c r="I330" s="2">
        <v>2078.75</v>
      </c>
      <c r="J330" s="2">
        <v>41.575000000000003</v>
      </c>
      <c r="K330" s="2">
        <v>42</v>
      </c>
      <c r="L330" s="2">
        <f t="shared" si="17"/>
        <v>1250</v>
      </c>
      <c r="M330" s="2" t="s">
        <v>1067</v>
      </c>
      <c r="N330" s="40" t="str">
        <f>_xlfn.XLOOKUP(F330,Terrain!D:D,Terrain!H:H,"")</f>
        <v>2555 - 2558</v>
      </c>
      <c r="O330" t="str">
        <f t="shared" si="15"/>
        <v>57-B14 | 1663 | 519|0</v>
      </c>
    </row>
    <row r="331" spans="1:15" x14ac:dyDescent="0.3">
      <c r="A331" s="43">
        <v>46143</v>
      </c>
      <c r="B331" s="2" t="s">
        <v>12</v>
      </c>
      <c r="C331" s="2" t="s">
        <v>1258</v>
      </c>
      <c r="D331" s="2" t="s">
        <v>248</v>
      </c>
      <c r="E331" s="2" t="str">
        <f>_xlfn.XLOOKUP(F331,Terrain!D:D,Terrain!A:A,"")</f>
        <v>Lower</v>
      </c>
      <c r="F331" s="2" t="s">
        <v>1294</v>
      </c>
      <c r="G331" s="2" t="s">
        <v>1071</v>
      </c>
      <c r="H331" s="2">
        <f t="shared" si="16"/>
        <v>2560</v>
      </c>
      <c r="I331" s="2">
        <v>3383.75</v>
      </c>
      <c r="J331" s="2">
        <v>67.674999999999997</v>
      </c>
      <c r="K331" s="2">
        <v>68</v>
      </c>
      <c r="L331" s="2">
        <f t="shared" si="17"/>
        <v>1250</v>
      </c>
      <c r="M331" s="2" t="s">
        <v>1072</v>
      </c>
      <c r="N331" s="40" t="str">
        <f>_xlfn.XLOOKUP(F331,Terrain!D:D,Terrain!H:H,"")</f>
        <v>2559 - 2560</v>
      </c>
      <c r="O331" t="str">
        <f t="shared" si="15"/>
        <v>60-C01-R | 2707 | 225|0</v>
      </c>
    </row>
    <row r="332" spans="1:15" x14ac:dyDescent="0.3">
      <c r="A332" s="43">
        <v>46143</v>
      </c>
      <c r="B332" s="2" t="s">
        <v>12</v>
      </c>
      <c r="C332" s="2" t="s">
        <v>1258</v>
      </c>
      <c r="D332" s="2" t="s">
        <v>256</v>
      </c>
      <c r="E332" s="2" t="str">
        <f>_xlfn.XLOOKUP(F332,Terrain!D:D,Terrain!A:A,"")</f>
        <v>Lower</v>
      </c>
      <c r="F332" s="2" t="s">
        <v>1295</v>
      </c>
      <c r="G332" s="2" t="s">
        <v>1073</v>
      </c>
      <c r="H332" s="2">
        <f t="shared" si="16"/>
        <v>2560</v>
      </c>
      <c r="I332" s="2">
        <v>2665</v>
      </c>
      <c r="J332" s="2">
        <v>53.3</v>
      </c>
      <c r="K332" s="2">
        <v>53</v>
      </c>
      <c r="L332" s="2">
        <f t="shared" si="17"/>
        <v>1250</v>
      </c>
      <c r="M332" s="2" t="s">
        <v>1072</v>
      </c>
      <c r="N332" s="40" t="str">
        <f>_xlfn.XLOOKUP(F332,Terrain!D:D,Terrain!H:H,"")</f>
        <v>2559 - 2560</v>
      </c>
      <c r="O332" t="str">
        <f t="shared" si="15"/>
        <v>60-C02-R | 2132 | 222|0</v>
      </c>
    </row>
    <row r="333" spans="1:15" x14ac:dyDescent="0.3">
      <c r="A333" s="43">
        <v>46143</v>
      </c>
      <c r="B333" s="2" t="s">
        <v>12</v>
      </c>
      <c r="C333" s="2" t="s">
        <v>1258</v>
      </c>
      <c r="D333" s="2" t="s">
        <v>264</v>
      </c>
      <c r="E333" s="2" t="str">
        <f>_xlfn.XLOOKUP(F333,Terrain!D:D,Terrain!A:A,"")</f>
        <v>Lower</v>
      </c>
      <c r="F333" s="2" t="s">
        <v>1296</v>
      </c>
      <c r="G333" s="2" t="s">
        <v>1074</v>
      </c>
      <c r="H333" s="2">
        <f t="shared" si="16"/>
        <v>2559</v>
      </c>
      <c r="I333" s="2">
        <v>4166.25</v>
      </c>
      <c r="J333" s="2">
        <v>83.325000000000003</v>
      </c>
      <c r="K333" s="2">
        <v>83</v>
      </c>
      <c r="L333" s="2">
        <f t="shared" si="17"/>
        <v>1250</v>
      </c>
      <c r="M333" s="2" t="s">
        <v>1072</v>
      </c>
      <c r="N333" s="40" t="str">
        <f>_xlfn.XLOOKUP(F333,Terrain!D:D,Terrain!H:H,"")</f>
        <v>2559 - 2560</v>
      </c>
      <c r="O333" t="str">
        <f t="shared" si="15"/>
        <v>59-C03-R | 3333 | 220|0</v>
      </c>
    </row>
    <row r="334" spans="1:15" x14ac:dyDescent="0.3">
      <c r="A334" s="43">
        <v>46143</v>
      </c>
      <c r="B334" s="2" t="s">
        <v>12</v>
      </c>
      <c r="C334" s="2" t="s">
        <v>1258</v>
      </c>
      <c r="D334" s="2" t="s">
        <v>272</v>
      </c>
      <c r="E334" s="2" t="str">
        <f>_xlfn.XLOOKUP(F334,Terrain!D:D,Terrain!A:A,"")</f>
        <v>Lower</v>
      </c>
      <c r="F334" s="2" t="s">
        <v>1297</v>
      </c>
      <c r="G334" s="2" t="s">
        <v>1075</v>
      </c>
      <c r="H334" s="2">
        <f t="shared" si="16"/>
        <v>2559</v>
      </c>
      <c r="I334" s="2">
        <v>3156.25</v>
      </c>
      <c r="J334" s="2">
        <v>63.125</v>
      </c>
      <c r="K334" s="2">
        <v>63</v>
      </c>
      <c r="L334" s="2">
        <f t="shared" si="17"/>
        <v>1250</v>
      </c>
      <c r="M334" s="2" t="s">
        <v>1072</v>
      </c>
      <c r="N334" s="40" t="str">
        <f>_xlfn.XLOOKUP(F334,Terrain!D:D,Terrain!H:H,"")</f>
        <v>2559 - 2560</v>
      </c>
      <c r="O334" t="str">
        <f t="shared" si="15"/>
        <v>59-C04-R | 2525 | 215|0</v>
      </c>
    </row>
    <row r="335" spans="1:15" x14ac:dyDescent="0.3">
      <c r="A335" s="43">
        <v>46143</v>
      </c>
      <c r="B335" s="2" t="s">
        <v>12</v>
      </c>
      <c r="C335" s="2" t="s">
        <v>1258</v>
      </c>
      <c r="D335" s="2" t="s">
        <v>280</v>
      </c>
      <c r="E335" s="2" t="str">
        <f>_xlfn.XLOOKUP(F335,Terrain!D:D,Terrain!A:A,"")</f>
        <v>Lower</v>
      </c>
      <c r="F335" s="2" t="s">
        <v>1298</v>
      </c>
      <c r="G335" s="2" t="s">
        <v>864</v>
      </c>
      <c r="H335" s="2">
        <f t="shared" si="16"/>
        <v>2522</v>
      </c>
      <c r="I335" s="2">
        <v>184</v>
      </c>
      <c r="J335" s="2">
        <v>3.68</v>
      </c>
      <c r="K335" s="2">
        <v>4</v>
      </c>
      <c r="L335" s="2">
        <f t="shared" si="17"/>
        <v>1000</v>
      </c>
      <c r="M335" s="2" t="s">
        <v>1076</v>
      </c>
      <c r="N335" s="40" t="str">
        <f>_xlfn.XLOOKUP(F335,Terrain!D:D,Terrain!H:H,"")</f>
        <v>ปาล์มใหญ่</v>
      </c>
      <c r="O335" t="str">
        <f t="shared" si="15"/>
        <v>22-C05-R | 184 | 154|0</v>
      </c>
    </row>
    <row r="336" spans="1:15" x14ac:dyDescent="0.3">
      <c r="A336" s="43">
        <v>46143</v>
      </c>
      <c r="B336" s="2" t="s">
        <v>12</v>
      </c>
      <c r="C336" s="2" t="s">
        <v>1258</v>
      </c>
      <c r="D336" s="2" t="s">
        <v>288</v>
      </c>
      <c r="E336" s="2" t="str">
        <f>_xlfn.XLOOKUP(F336,Terrain!D:D,Terrain!A:A,"")</f>
        <v>Lower</v>
      </c>
      <c r="F336" s="2" t="s">
        <v>1299</v>
      </c>
      <c r="G336" s="2" t="s">
        <v>865</v>
      </c>
      <c r="H336" s="2">
        <f t="shared" si="16"/>
        <v>2550</v>
      </c>
      <c r="I336" s="2">
        <v>2792</v>
      </c>
      <c r="J336" s="2">
        <v>55.84</v>
      </c>
      <c r="K336" s="2">
        <v>56</v>
      </c>
      <c r="L336" s="2">
        <f t="shared" si="17"/>
        <v>1000</v>
      </c>
      <c r="M336" s="2" t="s">
        <v>1077</v>
      </c>
      <c r="N336" s="40" t="str">
        <f>_xlfn.XLOOKUP(F336,Terrain!D:D,Terrain!H:H,"")</f>
        <v>2549 - 2552</v>
      </c>
      <c r="O336" t="str">
        <f t="shared" si="15"/>
        <v>50-C05-R | 2792 | 147|0</v>
      </c>
    </row>
    <row r="337" spans="1:15" x14ac:dyDescent="0.3">
      <c r="A337" s="43">
        <v>46143</v>
      </c>
      <c r="B337" s="2" t="s">
        <v>12</v>
      </c>
      <c r="C337" s="2" t="s">
        <v>1258</v>
      </c>
      <c r="D337" s="2" t="s">
        <v>296</v>
      </c>
      <c r="E337" s="2" t="str">
        <f>_xlfn.XLOOKUP(F337,Terrain!D:D,Terrain!A:A,"")</f>
        <v>Lower</v>
      </c>
      <c r="F337" s="2" t="s">
        <v>1300</v>
      </c>
      <c r="G337" s="2" t="s">
        <v>1078</v>
      </c>
      <c r="H337" s="2">
        <f t="shared" si="16"/>
        <v>2560</v>
      </c>
      <c r="I337" s="2">
        <v>900</v>
      </c>
      <c r="J337" s="2">
        <v>18</v>
      </c>
      <c r="K337" s="2">
        <v>18</v>
      </c>
      <c r="L337" s="2">
        <f t="shared" si="17"/>
        <v>1250</v>
      </c>
      <c r="M337" s="2" t="s">
        <v>1072</v>
      </c>
      <c r="N337" s="40" t="str">
        <f>_xlfn.XLOOKUP(F337,Terrain!D:D,Terrain!H:H,"")</f>
        <v>2559 - 2560</v>
      </c>
      <c r="O337" t="str">
        <f t="shared" si="15"/>
        <v>60-C05-R | 720 | 219|0</v>
      </c>
    </row>
    <row r="338" spans="1:15" x14ac:dyDescent="0.3">
      <c r="A338" s="43">
        <v>46143</v>
      </c>
      <c r="B338" s="2" t="s">
        <v>12</v>
      </c>
      <c r="C338" s="2" t="s">
        <v>1258</v>
      </c>
      <c r="D338" s="2" t="s">
        <v>304</v>
      </c>
      <c r="E338" s="2" t="str">
        <f>_xlfn.XLOOKUP(F338,Terrain!D:D,Terrain!A:A,"")</f>
        <v>Lower</v>
      </c>
      <c r="F338" s="2" t="s">
        <v>1301</v>
      </c>
      <c r="G338" s="2" t="s">
        <v>866</v>
      </c>
      <c r="H338" s="2">
        <f t="shared" si="16"/>
        <v>2557</v>
      </c>
      <c r="I338" s="2">
        <v>375</v>
      </c>
      <c r="J338" s="2">
        <v>7.5</v>
      </c>
      <c r="K338" s="2">
        <v>8</v>
      </c>
      <c r="L338" s="2">
        <f t="shared" si="17"/>
        <v>1250</v>
      </c>
      <c r="M338" s="2" t="s">
        <v>1079</v>
      </c>
      <c r="N338" s="40" t="str">
        <f>_xlfn.XLOOKUP(F338,Terrain!D:D,Terrain!H:H,"")</f>
        <v>2555 - 2558</v>
      </c>
      <c r="O338" t="str">
        <f t="shared" si="15"/>
        <v>57-C06 | 300 | 209|0</v>
      </c>
    </row>
    <row r="339" spans="1:15" x14ac:dyDescent="0.3">
      <c r="A339" s="43">
        <v>46143</v>
      </c>
      <c r="B339" s="2" t="s">
        <v>12</v>
      </c>
      <c r="C339" s="2" t="s">
        <v>1258</v>
      </c>
      <c r="D339" s="2" t="s">
        <v>312</v>
      </c>
      <c r="E339" s="2" t="str">
        <f>_xlfn.XLOOKUP(F339,Terrain!D:D,Terrain!A:A,"")</f>
        <v>Lower</v>
      </c>
      <c r="F339" s="2" t="s">
        <v>1302</v>
      </c>
      <c r="G339" s="2" t="s">
        <v>1080</v>
      </c>
      <c r="H339" s="2">
        <f t="shared" si="16"/>
        <v>2557</v>
      </c>
      <c r="I339" s="2">
        <v>3118.75</v>
      </c>
      <c r="J339" s="2">
        <v>62.375</v>
      </c>
      <c r="K339" s="2">
        <v>62</v>
      </c>
      <c r="L339" s="2">
        <f t="shared" si="17"/>
        <v>1250</v>
      </c>
      <c r="M339" s="2" t="s">
        <v>1081</v>
      </c>
      <c r="N339" s="40" t="str">
        <f>_xlfn.XLOOKUP(F339,Terrain!D:D,Terrain!H:H,"")</f>
        <v>2555 - 2558</v>
      </c>
      <c r="O339" t="str">
        <f t="shared" si="15"/>
        <v>57-C06-R | 2495 | 214|0</v>
      </c>
    </row>
    <row r="340" spans="1:15" x14ac:dyDescent="0.3">
      <c r="A340" s="43">
        <v>46143</v>
      </c>
      <c r="B340" s="2" t="s">
        <v>12</v>
      </c>
      <c r="C340" s="2" t="s">
        <v>1258</v>
      </c>
      <c r="D340" s="2" t="s">
        <v>320</v>
      </c>
      <c r="E340" s="2" t="str">
        <f>_xlfn.XLOOKUP(F340,Terrain!D:D,Terrain!A:A,"")</f>
        <v>Lower</v>
      </c>
      <c r="F340" s="2" t="s">
        <v>1303</v>
      </c>
      <c r="G340" s="2" t="s">
        <v>867</v>
      </c>
      <c r="H340" s="2">
        <f t="shared" si="16"/>
        <v>2550</v>
      </c>
      <c r="I340" s="2">
        <v>4202</v>
      </c>
      <c r="J340" s="2">
        <v>84.04</v>
      </c>
      <c r="K340" s="2">
        <v>84</v>
      </c>
      <c r="L340" s="2">
        <f t="shared" si="17"/>
        <v>1000</v>
      </c>
      <c r="M340" s="2" t="s">
        <v>1077</v>
      </c>
      <c r="N340" s="40" t="str">
        <f>_xlfn.XLOOKUP(F340,Terrain!D:D,Terrain!H:H,"")</f>
        <v>2549 - 2552</v>
      </c>
      <c r="O340" t="str">
        <f t="shared" si="15"/>
        <v>50-C07-R | 4202 | 150|0</v>
      </c>
    </row>
    <row r="341" spans="1:15" x14ac:dyDescent="0.3">
      <c r="A341" s="43">
        <v>46143</v>
      </c>
      <c r="B341" s="2" t="s">
        <v>12</v>
      </c>
      <c r="C341" s="2" t="s">
        <v>1258</v>
      </c>
      <c r="D341" s="2" t="s">
        <v>328</v>
      </c>
      <c r="E341" s="2" t="str">
        <f>_xlfn.XLOOKUP(F341,Terrain!D:D,Terrain!A:A,"")</f>
        <v>Lower</v>
      </c>
      <c r="F341" s="2" t="s">
        <v>1304</v>
      </c>
      <c r="G341" s="2" t="s">
        <v>1082</v>
      </c>
      <c r="H341" s="2">
        <f t="shared" si="16"/>
        <v>2559</v>
      </c>
      <c r="I341" s="2">
        <v>3610</v>
      </c>
      <c r="J341" s="2">
        <v>72.2</v>
      </c>
      <c r="K341" s="2">
        <v>72</v>
      </c>
      <c r="L341" s="2">
        <f t="shared" si="17"/>
        <v>1250</v>
      </c>
      <c r="M341" s="2" t="s">
        <v>1072</v>
      </c>
      <c r="N341" s="40" t="str">
        <f>_xlfn.XLOOKUP(F341,Terrain!D:D,Terrain!H:H,"")</f>
        <v>2559 - 2560</v>
      </c>
      <c r="O341" t="str">
        <f t="shared" si="15"/>
        <v>59-C08-R | 2888 | 221|0</v>
      </c>
    </row>
    <row r="342" spans="1:15" x14ac:dyDescent="0.3">
      <c r="A342" s="43">
        <v>46143</v>
      </c>
      <c r="B342" s="2" t="s">
        <v>12</v>
      </c>
      <c r="C342" s="2" t="s">
        <v>1258</v>
      </c>
      <c r="D342" s="2" t="s">
        <v>336</v>
      </c>
      <c r="E342" s="2" t="str">
        <f>_xlfn.XLOOKUP(F342,Terrain!D:D,Terrain!A:A,"")</f>
        <v>Lower</v>
      </c>
      <c r="F342" s="2" t="s">
        <v>1305</v>
      </c>
      <c r="G342" s="2" t="s">
        <v>1083</v>
      </c>
      <c r="H342" s="2">
        <f t="shared" si="16"/>
        <v>2559</v>
      </c>
      <c r="I342" s="2">
        <v>2381.25</v>
      </c>
      <c r="J342" s="2">
        <v>47.625</v>
      </c>
      <c r="K342" s="2">
        <v>48</v>
      </c>
      <c r="L342" s="2">
        <f t="shared" si="17"/>
        <v>1250</v>
      </c>
      <c r="M342" s="2" t="s">
        <v>1072</v>
      </c>
      <c r="N342" s="40" t="str">
        <f>_xlfn.XLOOKUP(F342,Terrain!D:D,Terrain!H:H,"")</f>
        <v>2559 - 2560</v>
      </c>
      <c r="O342" t="str">
        <f t="shared" si="15"/>
        <v>59-C09-R | 1905 | 213|0</v>
      </c>
    </row>
    <row r="343" spans="1:15" x14ac:dyDescent="0.3">
      <c r="A343" s="43">
        <v>46143</v>
      </c>
      <c r="B343" s="2" t="s">
        <v>12</v>
      </c>
      <c r="C343" s="2" t="s">
        <v>1258</v>
      </c>
      <c r="D343" s="2" t="s">
        <v>344</v>
      </c>
      <c r="E343" s="2" t="str">
        <f>_xlfn.XLOOKUP(F343,Terrain!D:D,Terrain!A:A,"")</f>
        <v>Lower</v>
      </c>
      <c r="F343" s="2" t="s">
        <v>1306</v>
      </c>
      <c r="G343" s="2" t="s">
        <v>868</v>
      </c>
      <c r="H343" s="2">
        <f t="shared" si="16"/>
        <v>2556</v>
      </c>
      <c r="I343" s="2">
        <v>3882.5</v>
      </c>
      <c r="J343" s="2">
        <v>77.650000000000006</v>
      </c>
      <c r="K343" s="2">
        <v>78</v>
      </c>
      <c r="L343" s="2">
        <f t="shared" si="17"/>
        <v>1250</v>
      </c>
      <c r="M343" s="2" t="s">
        <v>1081</v>
      </c>
      <c r="N343" s="40" t="str">
        <f>_xlfn.XLOOKUP(F343,Terrain!D:D,Terrain!H:H,"")</f>
        <v>2555 - 2558</v>
      </c>
      <c r="O343" t="str">
        <f t="shared" si="15"/>
        <v>56-C10-R | 3106 | 218|0</v>
      </c>
    </row>
    <row r="344" spans="1:15" x14ac:dyDescent="0.3">
      <c r="A344" s="43">
        <v>46143</v>
      </c>
      <c r="B344" s="2" t="s">
        <v>12</v>
      </c>
      <c r="C344" s="2" t="s">
        <v>1258</v>
      </c>
      <c r="D344" s="2" t="s">
        <v>352</v>
      </c>
      <c r="E344" s="2" t="str">
        <f>_xlfn.XLOOKUP(F344,Terrain!D:D,Terrain!A:A,"")</f>
        <v>Lower</v>
      </c>
      <c r="F344" s="2" t="s">
        <v>1307</v>
      </c>
      <c r="G344" s="2" t="s">
        <v>1084</v>
      </c>
      <c r="H344" s="2">
        <f t="shared" si="16"/>
        <v>2559</v>
      </c>
      <c r="I344" s="2">
        <v>2863.75</v>
      </c>
      <c r="J344" s="2">
        <v>57.274999999999999</v>
      </c>
      <c r="K344" s="2">
        <v>57</v>
      </c>
      <c r="L344" s="2">
        <f t="shared" si="17"/>
        <v>1250</v>
      </c>
      <c r="M344" s="2" t="s">
        <v>1072</v>
      </c>
      <c r="N344" s="40" t="str">
        <f>_xlfn.XLOOKUP(F344,Terrain!D:D,Terrain!H:H,"")</f>
        <v>2559 - 2560</v>
      </c>
      <c r="O344" t="str">
        <f t="shared" si="15"/>
        <v>59-C11-R | 2291 | 224|0</v>
      </c>
    </row>
    <row r="345" spans="1:15" x14ac:dyDescent="0.3">
      <c r="A345" s="43">
        <v>46143</v>
      </c>
      <c r="B345" s="2" t="s">
        <v>12</v>
      </c>
      <c r="C345" s="2" t="s">
        <v>1258</v>
      </c>
      <c r="D345" s="2" t="s">
        <v>360</v>
      </c>
      <c r="E345" s="2" t="str">
        <f>_xlfn.XLOOKUP(F345,Terrain!D:D,Terrain!A:A,"")</f>
        <v>Lower</v>
      </c>
      <c r="F345" s="2" t="s">
        <v>1308</v>
      </c>
      <c r="G345" s="2" t="s">
        <v>863</v>
      </c>
      <c r="H345" s="2">
        <f t="shared" si="16"/>
        <v>2565</v>
      </c>
      <c r="I345" s="2">
        <v>3163.75</v>
      </c>
      <c r="J345" s="2">
        <v>63.274999999999999</v>
      </c>
      <c r="K345" s="2">
        <v>63</v>
      </c>
      <c r="L345" s="2">
        <f t="shared" si="17"/>
        <v>1250</v>
      </c>
      <c r="M345" s="2" t="s">
        <v>1044</v>
      </c>
      <c r="N345" s="40" t="str">
        <f>_xlfn.XLOOKUP(F345,Terrain!D:D,Terrain!H:H,"")</f>
        <v>2563 - 2565</v>
      </c>
      <c r="O345" t="str">
        <f t="shared" si="15"/>
        <v>65-D01-R | 2531 | 296|0</v>
      </c>
    </row>
    <row r="346" spans="1:15" x14ac:dyDescent="0.3">
      <c r="A346" s="43">
        <v>46143</v>
      </c>
      <c r="B346" s="2" t="s">
        <v>12</v>
      </c>
      <c r="C346" s="2" t="s">
        <v>1258</v>
      </c>
      <c r="D346" s="2" t="s">
        <v>368</v>
      </c>
      <c r="E346" s="2" t="str">
        <f>_xlfn.XLOOKUP(F346,Terrain!D:D,Terrain!A:A,"")</f>
        <v>Lower</v>
      </c>
      <c r="F346" s="2" t="s">
        <v>1309</v>
      </c>
      <c r="G346" s="2" t="s">
        <v>869</v>
      </c>
      <c r="H346" s="2">
        <f t="shared" si="16"/>
        <v>2564</v>
      </c>
      <c r="I346" s="2">
        <v>3566.25</v>
      </c>
      <c r="J346" s="2">
        <v>71.325000000000003</v>
      </c>
      <c r="K346" s="2">
        <v>71</v>
      </c>
      <c r="L346" s="2">
        <f t="shared" si="17"/>
        <v>1250</v>
      </c>
      <c r="M346" s="2" t="s">
        <v>1044</v>
      </c>
      <c r="N346" s="40" t="str">
        <f>_xlfn.XLOOKUP(F346,Terrain!D:D,Terrain!H:H,"")</f>
        <v>2563 - 2565</v>
      </c>
      <c r="O346" t="str">
        <f t="shared" si="15"/>
        <v>64-D02-R | 2853 | 290|0</v>
      </c>
    </row>
    <row r="347" spans="1:15" x14ac:dyDescent="0.3">
      <c r="A347" s="43">
        <v>46143</v>
      </c>
      <c r="B347" s="2" t="s">
        <v>12</v>
      </c>
      <c r="C347" s="2" t="s">
        <v>1258</v>
      </c>
      <c r="D347" s="2" t="s">
        <v>376</v>
      </c>
      <c r="E347" s="2" t="str">
        <f>_xlfn.XLOOKUP(F347,Terrain!D:D,Terrain!A:A,"")</f>
        <v>Lower</v>
      </c>
      <c r="F347" s="2" t="s">
        <v>1310</v>
      </c>
      <c r="G347" s="2" t="s">
        <v>870</v>
      </c>
      <c r="H347" s="2">
        <f t="shared" si="16"/>
        <v>2565</v>
      </c>
      <c r="I347" s="2">
        <v>3503.75</v>
      </c>
      <c r="J347" s="2">
        <v>70.075000000000003</v>
      </c>
      <c r="K347" s="2">
        <v>70</v>
      </c>
      <c r="L347" s="2">
        <f t="shared" si="17"/>
        <v>1250</v>
      </c>
      <c r="M347" s="2" t="s">
        <v>1044</v>
      </c>
      <c r="N347" s="40" t="str">
        <f>_xlfn.XLOOKUP(F347,Terrain!D:D,Terrain!H:H,"")</f>
        <v>2563 - 2565</v>
      </c>
      <c r="O347" t="str">
        <f t="shared" si="15"/>
        <v>65-D03-R | 2803 | 293|0</v>
      </c>
    </row>
    <row r="348" spans="1:15" x14ac:dyDescent="0.3">
      <c r="A348" s="43">
        <v>46143</v>
      </c>
      <c r="B348" s="2" t="s">
        <v>12</v>
      </c>
      <c r="C348" s="2" t="s">
        <v>1258</v>
      </c>
      <c r="D348" s="2" t="s">
        <v>384</v>
      </c>
      <c r="E348" s="2" t="str">
        <f>_xlfn.XLOOKUP(F348,Terrain!D:D,Terrain!A:A,"")</f>
        <v>Lower</v>
      </c>
      <c r="F348" s="2" t="s">
        <v>1311</v>
      </c>
      <c r="G348" s="2" t="s">
        <v>871</v>
      </c>
      <c r="H348" s="2">
        <f t="shared" si="16"/>
        <v>2565</v>
      </c>
      <c r="I348" s="2">
        <v>3523.75</v>
      </c>
      <c r="J348" s="2">
        <v>70.474999999999994</v>
      </c>
      <c r="K348" s="2">
        <v>70</v>
      </c>
      <c r="L348" s="2">
        <f t="shared" si="17"/>
        <v>1250</v>
      </c>
      <c r="M348" s="2" t="s">
        <v>1044</v>
      </c>
      <c r="N348" s="40" t="str">
        <f>_xlfn.XLOOKUP(F348,Terrain!D:D,Terrain!H:H,"")</f>
        <v>2563 - 2565</v>
      </c>
      <c r="O348" t="str">
        <f t="shared" si="15"/>
        <v>65-D04-R | 2819 | 295|0</v>
      </c>
    </row>
    <row r="349" spans="1:15" x14ac:dyDescent="0.3">
      <c r="A349" s="43">
        <v>46143</v>
      </c>
      <c r="B349" s="2" t="s">
        <v>12</v>
      </c>
      <c r="C349" s="2" t="s">
        <v>1258</v>
      </c>
      <c r="D349" s="2" t="s">
        <v>392</v>
      </c>
      <c r="E349" s="2" t="str">
        <f>_xlfn.XLOOKUP(F349,Terrain!D:D,Terrain!A:A,"")</f>
        <v>Lower</v>
      </c>
      <c r="F349" s="2" t="s">
        <v>1268</v>
      </c>
      <c r="G349" s="2" t="s">
        <v>1042</v>
      </c>
      <c r="H349" s="2">
        <f t="shared" si="16"/>
        <v>2565</v>
      </c>
      <c r="I349" s="2">
        <v>3358.75</v>
      </c>
      <c r="J349" s="2">
        <v>67.174999999999997</v>
      </c>
      <c r="K349" s="2">
        <v>67</v>
      </c>
      <c r="L349" s="2">
        <f t="shared" si="17"/>
        <v>1250</v>
      </c>
      <c r="M349" s="2" t="s">
        <v>1044</v>
      </c>
      <c r="N349" s="40" t="str">
        <f>_xlfn.XLOOKUP(F349,Terrain!D:D,Terrain!H:H,"")</f>
        <v>2563 - 2565</v>
      </c>
      <c r="O349" t="str">
        <f t="shared" si="15"/>
        <v>65-D05-R | 2687 | 291|0</v>
      </c>
    </row>
    <row r="350" spans="1:15" x14ac:dyDescent="0.3">
      <c r="A350" s="43">
        <v>46143</v>
      </c>
      <c r="B350" s="2" t="s">
        <v>12</v>
      </c>
      <c r="C350" s="2" t="s">
        <v>1258</v>
      </c>
      <c r="D350" s="2" t="s">
        <v>399</v>
      </c>
      <c r="E350" s="2" t="str">
        <f>_xlfn.XLOOKUP(F350,Terrain!D:D,Terrain!A:A,"")</f>
        <v>Lower</v>
      </c>
      <c r="F350" s="2" t="s">
        <v>1312</v>
      </c>
      <c r="G350" s="2" t="s">
        <v>872</v>
      </c>
      <c r="H350" s="2">
        <f t="shared" si="16"/>
        <v>2567</v>
      </c>
      <c r="I350" s="2">
        <v>1432.5</v>
      </c>
      <c r="J350" s="2">
        <v>28.65</v>
      </c>
      <c r="K350" s="2">
        <v>29</v>
      </c>
      <c r="L350" s="2">
        <f t="shared" si="17"/>
        <v>500</v>
      </c>
      <c r="M350" s="2" t="s">
        <v>1085</v>
      </c>
      <c r="N350" s="40">
        <f>_xlfn.XLOOKUP(F350,Terrain!D:D,Terrain!H:H,"")</f>
        <v>2567</v>
      </c>
      <c r="O350" t="str">
        <f t="shared" si="15"/>
        <v>67-D06-R | 2865 | 356|0</v>
      </c>
    </row>
    <row r="351" spans="1:15" x14ac:dyDescent="0.3">
      <c r="A351" s="43">
        <v>46143</v>
      </c>
      <c r="B351" s="2" t="s">
        <v>12</v>
      </c>
      <c r="C351" s="2" t="s">
        <v>1258</v>
      </c>
      <c r="D351" s="2" t="s">
        <v>409</v>
      </c>
      <c r="E351" s="2" t="str">
        <f>_xlfn.XLOOKUP(F351,Terrain!D:D,Terrain!A:A,"")</f>
        <v>Lower</v>
      </c>
      <c r="F351" s="2" t="s">
        <v>1313</v>
      </c>
      <c r="G351" s="2" t="s">
        <v>1086</v>
      </c>
      <c r="H351" s="2">
        <f t="shared" si="16"/>
        <v>2556</v>
      </c>
      <c r="I351" s="2">
        <v>4913.75</v>
      </c>
      <c r="J351" s="2">
        <v>98.275000000000006</v>
      </c>
      <c r="K351" s="2">
        <v>98</v>
      </c>
      <c r="L351" s="2">
        <f t="shared" si="17"/>
        <v>1250</v>
      </c>
      <c r="M351" s="2" t="s">
        <v>1087</v>
      </c>
      <c r="N351" s="40" t="str">
        <f>_xlfn.XLOOKUP(F351,Terrain!D:D,Terrain!H:H,"")</f>
        <v>2555 - 2558</v>
      </c>
      <c r="O351" t="str">
        <f t="shared" si="15"/>
        <v>56-D07-R | 3931 | 217|0</v>
      </c>
    </row>
    <row r="352" spans="1:15" x14ac:dyDescent="0.3">
      <c r="A352" s="43">
        <v>46143</v>
      </c>
      <c r="B352" s="2" t="s">
        <v>12</v>
      </c>
      <c r="C352" s="2" t="s">
        <v>1258</v>
      </c>
      <c r="D352" s="2" t="s">
        <v>417</v>
      </c>
      <c r="E352" s="2" t="str">
        <f>_xlfn.XLOOKUP(F352,Terrain!D:D,Terrain!A:A,"")</f>
        <v>Lower</v>
      </c>
      <c r="F352" s="2" t="s">
        <v>1314</v>
      </c>
      <c r="G352" s="2" t="s">
        <v>1088</v>
      </c>
      <c r="H352" s="2">
        <f t="shared" si="16"/>
        <v>2563</v>
      </c>
      <c r="I352" s="2">
        <v>2956.25</v>
      </c>
      <c r="J352" s="2">
        <v>59.125</v>
      </c>
      <c r="K352" s="2">
        <v>59</v>
      </c>
      <c r="L352" s="2">
        <f t="shared" si="17"/>
        <v>1250</v>
      </c>
      <c r="M352" s="2" t="s">
        <v>1044</v>
      </c>
      <c r="N352" s="40" t="str">
        <f>_xlfn.XLOOKUP(F352,Terrain!D:D,Terrain!H:H,"")</f>
        <v>2563 - 2565</v>
      </c>
      <c r="O352" t="str">
        <f t="shared" si="15"/>
        <v>63-D08-R | 2365 | 297|0</v>
      </c>
    </row>
    <row r="353" spans="1:15" x14ac:dyDescent="0.3">
      <c r="A353" s="43">
        <v>46143</v>
      </c>
      <c r="B353" s="2" t="s">
        <v>12</v>
      </c>
      <c r="C353" s="2" t="s">
        <v>1258</v>
      </c>
      <c r="D353" s="2" t="s">
        <v>425</v>
      </c>
      <c r="E353" s="2" t="str">
        <f>_xlfn.XLOOKUP(F353,Terrain!D:D,Terrain!A:A,"")</f>
        <v>Lower</v>
      </c>
      <c r="F353" s="2" t="s">
        <v>1315</v>
      </c>
      <c r="G353" s="2" t="s">
        <v>873</v>
      </c>
      <c r="H353" s="2">
        <f t="shared" si="16"/>
        <v>2566</v>
      </c>
      <c r="I353" s="2">
        <v>2249.25</v>
      </c>
      <c r="J353" s="2">
        <v>44.984999999999999</v>
      </c>
      <c r="K353" s="2">
        <v>45</v>
      </c>
      <c r="L353" s="2">
        <f t="shared" si="17"/>
        <v>750</v>
      </c>
      <c r="M353" s="2" t="s">
        <v>1089</v>
      </c>
      <c r="N353" s="40">
        <f>_xlfn.XLOOKUP(F353,Terrain!D:D,Terrain!H:H,"")</f>
        <v>2566</v>
      </c>
      <c r="O353" t="str">
        <f t="shared" si="15"/>
        <v>66-D09-R | 2999 | 333|0</v>
      </c>
    </row>
    <row r="354" spans="1:15" x14ac:dyDescent="0.3">
      <c r="A354" s="43">
        <v>46143</v>
      </c>
      <c r="B354" s="2" t="s">
        <v>12</v>
      </c>
      <c r="C354" s="2" t="s">
        <v>1258</v>
      </c>
      <c r="D354" s="2" t="s">
        <v>434</v>
      </c>
      <c r="E354" s="2" t="str">
        <f>_xlfn.XLOOKUP(F354,Terrain!D:D,Terrain!A:A,"")</f>
        <v>Lower</v>
      </c>
      <c r="F354" s="2" t="s">
        <v>1316</v>
      </c>
      <c r="G354" s="2" t="s">
        <v>874</v>
      </c>
      <c r="H354" s="2">
        <f t="shared" si="16"/>
        <v>2567</v>
      </c>
      <c r="I354" s="2">
        <v>1083.5</v>
      </c>
      <c r="J354" s="2">
        <v>21.67</v>
      </c>
      <c r="K354" s="2">
        <v>22</v>
      </c>
      <c r="L354" s="2">
        <f t="shared" si="17"/>
        <v>500</v>
      </c>
      <c r="M354" s="2" t="s">
        <v>1090</v>
      </c>
      <c r="N354" s="40">
        <f>_xlfn.XLOOKUP(F354,Terrain!D:D,Terrain!H:H,"")</f>
        <v>2567</v>
      </c>
      <c r="O354" t="str">
        <f t="shared" si="15"/>
        <v>67-P01-R | 2167 | 357|0</v>
      </c>
    </row>
    <row r="355" spans="1:15" x14ac:dyDescent="0.3">
      <c r="A355" s="43">
        <v>46143</v>
      </c>
      <c r="B355" s="2" t="s">
        <v>12</v>
      </c>
      <c r="C355" s="2" t="s">
        <v>1258</v>
      </c>
      <c r="D355" s="2" t="s">
        <v>443</v>
      </c>
      <c r="E355" s="2" t="str">
        <f>_xlfn.XLOOKUP(F355,Terrain!D:D,Terrain!A:A,"")</f>
        <v>Lower</v>
      </c>
      <c r="F355" s="2" t="s">
        <v>1317</v>
      </c>
      <c r="G355" s="2" t="s">
        <v>875</v>
      </c>
      <c r="H355" s="2">
        <f t="shared" si="16"/>
        <v>2567</v>
      </c>
      <c r="I355" s="2">
        <v>1160</v>
      </c>
      <c r="J355" s="2">
        <v>23.2</v>
      </c>
      <c r="K355" s="2">
        <v>23</v>
      </c>
      <c r="L355" s="2">
        <f t="shared" si="17"/>
        <v>500</v>
      </c>
      <c r="M355" s="2" t="s">
        <v>1090</v>
      </c>
      <c r="N355" s="40">
        <f>_xlfn.XLOOKUP(F355,Terrain!D:D,Terrain!H:H,"")</f>
        <v>2567</v>
      </c>
      <c r="O355" t="str">
        <f t="shared" si="15"/>
        <v>67-P02-R | 2320 | 358|0</v>
      </c>
    </row>
    <row r="356" spans="1:15" x14ac:dyDescent="0.3">
      <c r="A356" s="43">
        <v>46143</v>
      </c>
      <c r="B356" s="2" t="s">
        <v>12</v>
      </c>
      <c r="C356" s="2" t="s">
        <v>1258</v>
      </c>
      <c r="D356" s="2" t="s">
        <v>453</v>
      </c>
      <c r="E356" s="2" t="str">
        <f>_xlfn.XLOOKUP(F356,Terrain!D:D,Terrain!A:A,"")</f>
        <v>Lower</v>
      </c>
      <c r="F356" s="2" t="s">
        <v>1318</v>
      </c>
      <c r="G356" s="2" t="s">
        <v>876</v>
      </c>
      <c r="H356" s="2">
        <f t="shared" si="16"/>
        <v>2566</v>
      </c>
      <c r="I356" s="2">
        <v>1912.5</v>
      </c>
      <c r="J356" s="2">
        <v>38.25</v>
      </c>
      <c r="K356" s="2">
        <v>38</v>
      </c>
      <c r="L356" s="2">
        <f t="shared" si="17"/>
        <v>750</v>
      </c>
      <c r="M356" s="2" t="s">
        <v>1091</v>
      </c>
      <c r="N356" s="40">
        <f>_xlfn.XLOOKUP(F356,Terrain!D:D,Terrain!H:H,"")</f>
        <v>2566</v>
      </c>
      <c r="O356" t="str">
        <f t="shared" si="15"/>
        <v>66-P03-R | 2550 | 330|0</v>
      </c>
    </row>
    <row r="357" spans="1:15" x14ac:dyDescent="0.3">
      <c r="A357" s="43">
        <v>46143</v>
      </c>
      <c r="B357" s="2" t="s">
        <v>12</v>
      </c>
      <c r="C357" s="2" t="s">
        <v>1258</v>
      </c>
      <c r="D357" s="2" t="s">
        <v>463</v>
      </c>
      <c r="E357" s="2" t="str">
        <f>_xlfn.XLOOKUP(F357,Terrain!D:D,Terrain!A:A,"")</f>
        <v>Lower</v>
      </c>
      <c r="F357" s="2" t="s">
        <v>1319</v>
      </c>
      <c r="G357" s="2" t="s">
        <v>877</v>
      </c>
      <c r="H357" s="2">
        <f t="shared" si="16"/>
        <v>2566</v>
      </c>
      <c r="I357" s="2">
        <v>2140.5</v>
      </c>
      <c r="J357" s="2">
        <v>42.81</v>
      </c>
      <c r="K357" s="2">
        <v>43</v>
      </c>
      <c r="L357" s="2">
        <f t="shared" si="17"/>
        <v>750</v>
      </c>
      <c r="M357" s="2" t="s">
        <v>1091</v>
      </c>
      <c r="N357" s="40">
        <f>_xlfn.XLOOKUP(F357,Terrain!D:D,Terrain!H:H,"")</f>
        <v>2566</v>
      </c>
      <c r="O357" t="str">
        <f t="shared" si="15"/>
        <v>66-P04-R | 2854 | 334|0</v>
      </c>
    </row>
    <row r="358" spans="1:15" x14ac:dyDescent="0.3">
      <c r="A358" s="43">
        <v>46143</v>
      </c>
      <c r="B358" s="2" t="s">
        <v>12</v>
      </c>
      <c r="C358" s="2" t="s">
        <v>1258</v>
      </c>
      <c r="D358" s="2" t="s">
        <v>473</v>
      </c>
      <c r="E358" s="2" t="str">
        <f>_xlfn.XLOOKUP(F358,Terrain!D:D,Terrain!A:A,"")</f>
        <v>Lower</v>
      </c>
      <c r="F358" s="2" t="s">
        <v>1320</v>
      </c>
      <c r="G358" s="2" t="s">
        <v>878</v>
      </c>
      <c r="H358" s="2">
        <f t="shared" si="16"/>
        <v>2566</v>
      </c>
      <c r="I358" s="2">
        <v>2333.25</v>
      </c>
      <c r="J358" s="2">
        <v>46.664999999999999</v>
      </c>
      <c r="K358" s="2">
        <v>47</v>
      </c>
      <c r="L358" s="2">
        <f t="shared" si="17"/>
        <v>750</v>
      </c>
      <c r="M358" s="2" t="s">
        <v>1091</v>
      </c>
      <c r="N358" s="40">
        <f>_xlfn.XLOOKUP(F358,Terrain!D:D,Terrain!H:H,"")</f>
        <v>2566</v>
      </c>
      <c r="O358" t="str">
        <f t="shared" si="15"/>
        <v>66-P05-R | 3111 | 332|0</v>
      </c>
    </row>
    <row r="359" spans="1:15" x14ac:dyDescent="0.3">
      <c r="A359" s="43">
        <v>46143</v>
      </c>
      <c r="B359" s="2" t="s">
        <v>12</v>
      </c>
      <c r="C359" s="2" t="s">
        <v>1258</v>
      </c>
      <c r="D359" s="2" t="s">
        <v>483</v>
      </c>
      <c r="E359" s="2" t="str">
        <f>_xlfn.XLOOKUP(F359,Terrain!D:D,Terrain!A:A,"")</f>
        <v>Lower</v>
      </c>
      <c r="F359" s="2" t="s">
        <v>1321</v>
      </c>
      <c r="G359" s="2" t="s">
        <v>879</v>
      </c>
      <c r="H359" s="2">
        <f t="shared" si="16"/>
        <v>2564</v>
      </c>
      <c r="I359" s="2">
        <v>3607.5</v>
      </c>
      <c r="J359" s="2">
        <v>72.150000000000006</v>
      </c>
      <c r="K359" s="2">
        <v>72</v>
      </c>
      <c r="L359" s="2">
        <f t="shared" si="17"/>
        <v>1250</v>
      </c>
      <c r="M359" s="2" t="s">
        <v>1092</v>
      </c>
      <c r="N359" s="40" t="str">
        <f>_xlfn.XLOOKUP(F359,Terrain!D:D,Terrain!H:H,"")</f>
        <v>2563 - 2565</v>
      </c>
      <c r="O359" t="str">
        <f t="shared" si="15"/>
        <v>64-P06-R | 2886 | 298|0</v>
      </c>
    </row>
    <row r="360" spans="1:15" x14ac:dyDescent="0.3">
      <c r="A360" s="43">
        <v>46143</v>
      </c>
      <c r="B360" s="2" t="s">
        <v>12</v>
      </c>
      <c r="C360" s="2" t="s">
        <v>1258</v>
      </c>
      <c r="D360" s="2" t="s">
        <v>491</v>
      </c>
      <c r="E360" s="2" t="str">
        <f>_xlfn.XLOOKUP(F360,Terrain!D:D,Terrain!A:A,"")</f>
        <v>Lower</v>
      </c>
      <c r="F360" s="2" t="s">
        <v>1322</v>
      </c>
      <c r="G360" s="2" t="s">
        <v>880</v>
      </c>
      <c r="H360" s="2">
        <f t="shared" si="16"/>
        <v>2551</v>
      </c>
      <c r="I360" s="2">
        <v>152</v>
      </c>
      <c r="J360" s="2">
        <v>3.04</v>
      </c>
      <c r="K360" s="2">
        <v>3</v>
      </c>
      <c r="L360" s="2">
        <f t="shared" si="17"/>
        <v>1000</v>
      </c>
      <c r="M360" s="2" t="s">
        <v>1093</v>
      </c>
      <c r="N360" s="40" t="str">
        <f>_xlfn.XLOOKUP(F360,Terrain!D:D,Terrain!H:H,"")</f>
        <v>2549 - 2552</v>
      </c>
      <c r="O360" t="str">
        <f t="shared" si="15"/>
        <v>51-P07 | 152 | 153|0</v>
      </c>
    </row>
    <row r="361" spans="1:15" x14ac:dyDescent="0.3">
      <c r="A361" s="43">
        <v>46143</v>
      </c>
      <c r="B361" s="2" t="s">
        <v>12</v>
      </c>
      <c r="C361" s="2" t="s">
        <v>1258</v>
      </c>
      <c r="D361" s="2" t="s">
        <v>499</v>
      </c>
      <c r="E361" s="2" t="str">
        <f>_xlfn.XLOOKUP(F361,Terrain!D:D,Terrain!A:A,"")</f>
        <v>Lower</v>
      </c>
      <c r="F361" s="2" t="s">
        <v>1323</v>
      </c>
      <c r="G361" s="2" t="s">
        <v>881</v>
      </c>
      <c r="H361" s="2">
        <f t="shared" si="16"/>
        <v>2551</v>
      </c>
      <c r="I361" s="2">
        <v>401</v>
      </c>
      <c r="J361" s="2">
        <v>8.02</v>
      </c>
      <c r="K361" s="2">
        <v>8</v>
      </c>
      <c r="L361" s="2">
        <f t="shared" si="17"/>
        <v>1000</v>
      </c>
      <c r="M361" s="2" t="s">
        <v>1094</v>
      </c>
      <c r="N361" s="40" t="str">
        <f>_xlfn.XLOOKUP(F361,Terrain!D:D,Terrain!H:H,"")</f>
        <v>2549 - 2552</v>
      </c>
      <c r="O361" t="str">
        <f t="shared" si="15"/>
        <v>51-P07-R | 401 | 145|0</v>
      </c>
    </row>
    <row r="362" spans="1:15" x14ac:dyDescent="0.3">
      <c r="A362" s="43">
        <v>46143</v>
      </c>
      <c r="B362" s="2" t="s">
        <v>12</v>
      </c>
      <c r="C362" s="2" t="s">
        <v>1258</v>
      </c>
      <c r="D362" s="2" t="s">
        <v>507</v>
      </c>
      <c r="E362" s="2" t="str">
        <f>_xlfn.XLOOKUP(F362,Terrain!D:D,Terrain!A:A,"")</f>
        <v>Lower</v>
      </c>
      <c r="F362" s="2" t="s">
        <v>1324</v>
      </c>
      <c r="G362" s="2" t="s">
        <v>882</v>
      </c>
      <c r="H362" s="2">
        <f t="shared" si="16"/>
        <v>2564</v>
      </c>
      <c r="I362" s="2">
        <v>3223.75</v>
      </c>
      <c r="J362" s="2">
        <v>64.474999999999994</v>
      </c>
      <c r="K362" s="2">
        <v>64</v>
      </c>
      <c r="L362" s="2">
        <f t="shared" si="17"/>
        <v>1250</v>
      </c>
      <c r="M362" s="2" t="s">
        <v>1092</v>
      </c>
      <c r="N362" s="40" t="str">
        <f>_xlfn.XLOOKUP(F362,Terrain!D:D,Terrain!H:H,"")</f>
        <v>2563 - 2565</v>
      </c>
      <c r="O362" t="str">
        <f t="shared" si="15"/>
        <v>64-P07-R | 2579 | 288|0</v>
      </c>
    </row>
    <row r="363" spans="1:15" x14ac:dyDescent="0.3">
      <c r="A363" s="43">
        <v>46143</v>
      </c>
      <c r="B363" s="2" t="s">
        <v>12</v>
      </c>
      <c r="C363" s="2" t="s">
        <v>1258</v>
      </c>
      <c r="D363" s="2" t="s">
        <v>515</v>
      </c>
      <c r="E363" s="2" t="str">
        <f>_xlfn.XLOOKUP(F363,Terrain!D:D,Terrain!A:A,"")</f>
        <v>Lower</v>
      </c>
      <c r="F363" s="2" t="s">
        <v>1325</v>
      </c>
      <c r="G363" s="2" t="s">
        <v>883</v>
      </c>
      <c r="H363" s="2">
        <f t="shared" si="16"/>
        <v>2564</v>
      </c>
      <c r="I363" s="2">
        <v>4252.5</v>
      </c>
      <c r="J363" s="2">
        <v>85.05</v>
      </c>
      <c r="K363" s="2">
        <v>85</v>
      </c>
      <c r="L363" s="2">
        <f t="shared" si="17"/>
        <v>1250</v>
      </c>
      <c r="M363" s="2" t="s">
        <v>1092</v>
      </c>
      <c r="N363" s="40" t="str">
        <f>_xlfn.XLOOKUP(F363,Terrain!D:D,Terrain!H:H,"")</f>
        <v>2563 - 2565</v>
      </c>
      <c r="O363" t="str">
        <f t="shared" si="15"/>
        <v>64-P08-R | 3402 | 292|0</v>
      </c>
    </row>
    <row r="364" spans="1:15" x14ac:dyDescent="0.3">
      <c r="A364" s="43">
        <v>46143</v>
      </c>
      <c r="B364" s="2" t="s">
        <v>12</v>
      </c>
      <c r="C364" s="2" t="s">
        <v>1258</v>
      </c>
      <c r="D364" s="2" t="s">
        <v>523</v>
      </c>
      <c r="E364" s="2" t="str">
        <f>_xlfn.XLOOKUP(F364,Terrain!D:D,Terrain!A:A,"")</f>
        <v>Lower</v>
      </c>
      <c r="F364" s="2" t="s">
        <v>1326</v>
      </c>
      <c r="G364" s="2" t="s">
        <v>884</v>
      </c>
      <c r="H364" s="2">
        <f t="shared" si="16"/>
        <v>2564</v>
      </c>
      <c r="I364" s="2">
        <v>2740</v>
      </c>
      <c r="J364" s="2">
        <v>54.8</v>
      </c>
      <c r="K364" s="2">
        <v>55</v>
      </c>
      <c r="L364" s="2">
        <f t="shared" si="17"/>
        <v>1250</v>
      </c>
      <c r="M364" s="2" t="s">
        <v>1092</v>
      </c>
      <c r="N364" s="40" t="str">
        <f>_xlfn.XLOOKUP(F364,Terrain!D:D,Terrain!H:H,"")</f>
        <v>2563 - 2565</v>
      </c>
      <c r="O364" t="str">
        <f t="shared" si="15"/>
        <v>64-P09-R | 2192 | 300|0</v>
      </c>
    </row>
    <row r="365" spans="1:15" x14ac:dyDescent="0.3">
      <c r="A365" s="43">
        <v>46143</v>
      </c>
      <c r="B365" s="2" t="s">
        <v>12</v>
      </c>
      <c r="C365" s="2" t="s">
        <v>1258</v>
      </c>
      <c r="D365" s="2" t="s">
        <v>531</v>
      </c>
      <c r="E365" s="2" t="str">
        <f>_xlfn.XLOOKUP(F365,Terrain!D:D,Terrain!A:A,"")</f>
        <v>Lower</v>
      </c>
      <c r="F365" s="2" t="s">
        <v>1240</v>
      </c>
      <c r="G365" s="2" t="s">
        <v>885</v>
      </c>
      <c r="H365" s="2">
        <f t="shared" si="16"/>
        <v>2568</v>
      </c>
      <c r="I365" s="2">
        <v>662.2</v>
      </c>
      <c r="J365" s="2">
        <v>13.244</v>
      </c>
      <c r="K365" s="2">
        <v>13</v>
      </c>
      <c r="L365" s="2">
        <f t="shared" si="17"/>
        <v>350</v>
      </c>
      <c r="M365" s="2" t="s">
        <v>1095</v>
      </c>
      <c r="N365" s="40">
        <f>_xlfn.XLOOKUP(F365,Terrain!D:D,Terrain!H:H,"")</f>
        <v>2568</v>
      </c>
      <c r="O365" t="str">
        <f t="shared" si="15"/>
        <v>68-PU1 | 1892 | 397|0</v>
      </c>
    </row>
    <row r="366" spans="1:15" x14ac:dyDescent="0.3">
      <c r="A366" s="43">
        <v>46143</v>
      </c>
      <c r="B366" s="2" t="s">
        <v>12</v>
      </c>
      <c r="C366" s="2" t="s">
        <v>1258</v>
      </c>
      <c r="D366" s="2" t="s">
        <v>541</v>
      </c>
      <c r="E366" s="2" t="str">
        <f>_xlfn.XLOOKUP(F366,Terrain!D:D,Terrain!A:A,"")</f>
        <v>Lower</v>
      </c>
      <c r="F366" s="2" t="s">
        <v>1239</v>
      </c>
      <c r="G366" s="2" t="s">
        <v>886</v>
      </c>
      <c r="H366" s="2">
        <f t="shared" si="16"/>
        <v>2566</v>
      </c>
      <c r="I366" s="2">
        <v>1477.5</v>
      </c>
      <c r="J366" s="2">
        <v>29.55</v>
      </c>
      <c r="K366" s="2">
        <v>30</v>
      </c>
      <c r="L366" s="2">
        <f t="shared" si="17"/>
        <v>750</v>
      </c>
      <c r="M366" s="2" t="s">
        <v>1096</v>
      </c>
      <c r="N366" s="40">
        <f>_xlfn.XLOOKUP(F366,Terrain!D:D,Terrain!H:H,"")</f>
        <v>2566</v>
      </c>
      <c r="O366" t="str">
        <f t="shared" si="15"/>
        <v>66-PU2 | 1970 | 331|0</v>
      </c>
    </row>
    <row r="367" spans="1:15" x14ac:dyDescent="0.3">
      <c r="A367" s="43">
        <v>46143</v>
      </c>
      <c r="B367" s="2" t="s">
        <v>12</v>
      </c>
      <c r="C367" s="2" t="s">
        <v>1258</v>
      </c>
      <c r="D367" s="2" t="s">
        <v>551</v>
      </c>
      <c r="E367" s="2" t="str">
        <f>_xlfn.XLOOKUP(F367,Terrain!D:D,Terrain!A:A,"")</f>
        <v>Lower</v>
      </c>
      <c r="F367" s="2" t="s">
        <v>1241</v>
      </c>
      <c r="G367" s="2" t="s">
        <v>887</v>
      </c>
      <c r="H367" s="2">
        <f t="shared" si="16"/>
        <v>2568</v>
      </c>
      <c r="I367" s="2">
        <v>590.1</v>
      </c>
      <c r="J367" s="2">
        <v>11.802</v>
      </c>
      <c r="K367" s="2">
        <v>12</v>
      </c>
      <c r="L367" s="2">
        <f t="shared" si="17"/>
        <v>350</v>
      </c>
      <c r="M367" s="2" t="s">
        <v>1095</v>
      </c>
      <c r="N367" s="40">
        <f>_xlfn.XLOOKUP(F367,Terrain!D:D,Terrain!H:H,"")</f>
        <v>2568</v>
      </c>
      <c r="O367" t="str">
        <f t="shared" si="15"/>
        <v>68-PU3 | 1686 | 395|0</v>
      </c>
    </row>
    <row r="368" spans="1:15" x14ac:dyDescent="0.3">
      <c r="A368" s="43">
        <v>46143</v>
      </c>
      <c r="B368" s="2" t="s">
        <v>12</v>
      </c>
      <c r="C368" s="2" t="s">
        <v>1258</v>
      </c>
      <c r="D368" s="2" t="s">
        <v>561</v>
      </c>
      <c r="E368" s="2" t="str">
        <f>_xlfn.XLOOKUP(F368,Terrain!D:D,Terrain!A:A,"")</f>
        <v>Lower</v>
      </c>
      <c r="F368" s="2" t="s">
        <v>1242</v>
      </c>
      <c r="G368" s="2" t="s">
        <v>888</v>
      </c>
      <c r="H368" s="2">
        <f t="shared" si="16"/>
        <v>2568</v>
      </c>
      <c r="I368" s="2">
        <v>483</v>
      </c>
      <c r="J368" s="2">
        <v>9.66</v>
      </c>
      <c r="K368" s="2">
        <v>10</v>
      </c>
      <c r="L368" s="2">
        <f t="shared" si="17"/>
        <v>350</v>
      </c>
      <c r="M368" s="2" t="s">
        <v>1095</v>
      </c>
      <c r="N368" s="40">
        <f>_xlfn.XLOOKUP(F368,Terrain!D:D,Terrain!H:H,"")</f>
        <v>2568</v>
      </c>
      <c r="O368" t="str">
        <f t="shared" si="15"/>
        <v>68-PU4 | 1380 | 396|0</v>
      </c>
    </row>
    <row r="369" spans="1:15" x14ac:dyDescent="0.3">
      <c r="A369" s="43">
        <v>46143</v>
      </c>
      <c r="B369" s="2" t="s">
        <v>12</v>
      </c>
      <c r="C369" s="2" t="s">
        <v>1258</v>
      </c>
      <c r="D369" s="2" t="s">
        <v>571</v>
      </c>
      <c r="E369" s="2" t="str">
        <f>_xlfn.XLOOKUP(F369,Terrain!D:D,Terrain!A:A,"")</f>
        <v>Lower</v>
      </c>
      <c r="F369" s="2" t="s">
        <v>1243</v>
      </c>
      <c r="G369" s="2" t="s">
        <v>889</v>
      </c>
      <c r="H369" s="2">
        <f t="shared" si="16"/>
        <v>2568</v>
      </c>
      <c r="I369" s="2">
        <v>262.85000000000002</v>
      </c>
      <c r="J369" s="2">
        <v>5.2569999999999997</v>
      </c>
      <c r="K369" s="2">
        <v>5</v>
      </c>
      <c r="L369" s="2">
        <f t="shared" si="17"/>
        <v>350</v>
      </c>
      <c r="M369" s="2" t="s">
        <v>1097</v>
      </c>
      <c r="N369" s="40">
        <f>_xlfn.XLOOKUP(F369,Terrain!D:D,Terrain!H:H,"")</f>
        <v>2568</v>
      </c>
      <c r="O369" t="str">
        <f t="shared" si="15"/>
        <v>68-PU5 | 751 | 401|0</v>
      </c>
    </row>
    <row r="370" spans="1:15" x14ac:dyDescent="0.3">
      <c r="A370" s="43">
        <v>46143</v>
      </c>
      <c r="B370" s="2" t="s">
        <v>12</v>
      </c>
      <c r="C370" s="2" t="s">
        <v>1258</v>
      </c>
      <c r="D370" s="2" t="s">
        <v>581</v>
      </c>
      <c r="E370" s="2" t="str">
        <f>_xlfn.XLOOKUP(F370,Terrain!D:D,Terrain!A:A,"")</f>
        <v>Lower</v>
      </c>
      <c r="F370" s="2" t="s">
        <v>1327</v>
      </c>
      <c r="G370" s="2" t="s">
        <v>890</v>
      </c>
      <c r="H370" s="2">
        <f t="shared" si="16"/>
        <v>2568</v>
      </c>
      <c r="I370" s="2">
        <v>408.8</v>
      </c>
      <c r="J370" s="2">
        <v>8.1760000000000002</v>
      </c>
      <c r="K370" s="2">
        <v>8</v>
      </c>
      <c r="L370" s="2">
        <f t="shared" si="17"/>
        <v>350</v>
      </c>
      <c r="M370" s="2" t="s">
        <v>1098</v>
      </c>
      <c r="N370" s="40">
        <f>_xlfn.XLOOKUP(F370,Terrain!D:D,Terrain!H:H,"")</f>
        <v>2568</v>
      </c>
      <c r="O370" t="str">
        <f t="shared" si="15"/>
        <v>68-PU5-R | 1168 | 399|0</v>
      </c>
    </row>
    <row r="371" spans="1:15" x14ac:dyDescent="0.3">
      <c r="A371" s="43">
        <v>46143</v>
      </c>
      <c r="B371" s="2" t="s">
        <v>12</v>
      </c>
      <c r="C371" s="2" t="s">
        <v>1258</v>
      </c>
      <c r="D371" s="2" t="s">
        <v>591</v>
      </c>
      <c r="E371" s="2" t="str">
        <f>_xlfn.XLOOKUP(F371,Terrain!D:D,Terrain!A:A,"")</f>
        <v>Lower</v>
      </c>
      <c r="F371" s="2" t="s">
        <v>1245</v>
      </c>
      <c r="G371" s="2" t="s">
        <v>1099</v>
      </c>
      <c r="H371" s="2">
        <f t="shared" si="16"/>
        <v>2568</v>
      </c>
      <c r="I371" s="2">
        <v>50.75</v>
      </c>
      <c r="J371" s="2">
        <v>1.0149999999999999</v>
      </c>
      <c r="K371" s="2">
        <v>1</v>
      </c>
      <c r="L371" s="2">
        <f t="shared" si="17"/>
        <v>350</v>
      </c>
      <c r="M371" s="2" t="s">
        <v>1097</v>
      </c>
      <c r="N371" s="40">
        <f>_xlfn.XLOOKUP(F371,Terrain!D:D,Terrain!H:H,"")</f>
        <v>2568</v>
      </c>
      <c r="O371" t="str">
        <f t="shared" si="15"/>
        <v>68-PU6 | 145 | 400|0</v>
      </c>
    </row>
    <row r="372" spans="1:15" x14ac:dyDescent="0.3">
      <c r="A372" s="43">
        <v>46143</v>
      </c>
      <c r="B372" s="2" t="s">
        <v>12</v>
      </c>
      <c r="C372" s="2" t="s">
        <v>1258</v>
      </c>
      <c r="D372" s="2" t="s">
        <v>601</v>
      </c>
      <c r="E372" s="2" t="str">
        <f>_xlfn.XLOOKUP(F372,Terrain!D:D,Terrain!A:A,"")</f>
        <v>Lower</v>
      </c>
      <c r="F372" s="2" t="s">
        <v>1328</v>
      </c>
      <c r="G372" s="2" t="s">
        <v>1100</v>
      </c>
      <c r="H372" s="2">
        <f t="shared" si="16"/>
        <v>2568</v>
      </c>
      <c r="I372" s="2">
        <v>541.45000000000005</v>
      </c>
      <c r="J372" s="2">
        <v>10.829000000000001</v>
      </c>
      <c r="K372" s="2">
        <v>11</v>
      </c>
      <c r="L372" s="2">
        <f t="shared" si="17"/>
        <v>350</v>
      </c>
      <c r="M372" s="2" t="s">
        <v>1098</v>
      </c>
      <c r="N372" s="40">
        <f>_xlfn.XLOOKUP(F372,Terrain!D:D,Terrain!H:H,"")</f>
        <v>2568</v>
      </c>
      <c r="O372" t="str">
        <f t="shared" si="15"/>
        <v>68-PU6-R | 1547 | 398|0</v>
      </c>
    </row>
    <row r="373" spans="1:15" x14ac:dyDescent="0.3">
      <c r="A373" s="43">
        <v>46143</v>
      </c>
      <c r="B373" s="2" t="s">
        <v>12</v>
      </c>
      <c r="C373" s="2" t="s">
        <v>1258</v>
      </c>
      <c r="D373" s="2" t="s">
        <v>611</v>
      </c>
      <c r="E373" s="2" t="str">
        <f>_xlfn.XLOOKUP(F373,Terrain!D:D,Terrain!A:A,"")</f>
        <v>Upper</v>
      </c>
      <c r="F373" s="2" t="s">
        <v>1329</v>
      </c>
      <c r="G373" s="2" t="s">
        <v>1101</v>
      </c>
      <c r="H373" s="2">
        <f t="shared" si="16"/>
        <v>2568</v>
      </c>
      <c r="I373" s="2">
        <v>1109.8499999999999</v>
      </c>
      <c r="J373" s="2">
        <v>22.196999999999999</v>
      </c>
      <c r="K373" s="2">
        <v>22</v>
      </c>
      <c r="L373" s="2">
        <f t="shared" si="17"/>
        <v>350</v>
      </c>
      <c r="M373" s="2" t="s">
        <v>1102</v>
      </c>
      <c r="N373" s="40">
        <f>_xlfn.XLOOKUP(F373,Terrain!D:D,Terrain!H:H,"")</f>
        <v>2568</v>
      </c>
      <c r="O373" t="str">
        <f t="shared" si="15"/>
        <v>68-T01 | 3171 | 663|0</v>
      </c>
    </row>
    <row r="374" spans="1:15" x14ac:dyDescent="0.3">
      <c r="A374" s="43">
        <v>46143</v>
      </c>
      <c r="B374" s="2" t="s">
        <v>12</v>
      </c>
      <c r="C374" s="2" t="s">
        <v>1258</v>
      </c>
      <c r="D374" s="2" t="s">
        <v>621</v>
      </c>
      <c r="E374" s="2" t="str">
        <f>_xlfn.XLOOKUP(F374,Terrain!D:D,Terrain!A:A,"")</f>
        <v>Upper</v>
      </c>
      <c r="F374" s="2" t="s">
        <v>1330</v>
      </c>
      <c r="G374" s="2" t="s">
        <v>906</v>
      </c>
      <c r="H374" s="2">
        <f t="shared" si="16"/>
        <v>2568</v>
      </c>
      <c r="I374" s="2">
        <v>1032.5</v>
      </c>
      <c r="J374" s="2">
        <v>20.65</v>
      </c>
      <c r="K374" s="2">
        <v>21</v>
      </c>
      <c r="L374" s="2">
        <f t="shared" si="17"/>
        <v>350</v>
      </c>
      <c r="M374" s="2" t="s">
        <v>1102</v>
      </c>
      <c r="N374" s="40">
        <f>_xlfn.XLOOKUP(F374,Terrain!D:D,Terrain!H:H,"")</f>
        <v>2568</v>
      </c>
      <c r="O374" t="str">
        <f t="shared" si="15"/>
        <v>68-T02 | 2950 | 662|0</v>
      </c>
    </row>
    <row r="375" spans="1:15" x14ac:dyDescent="0.3">
      <c r="A375" s="43">
        <v>46143</v>
      </c>
      <c r="B375" s="2" t="s">
        <v>12</v>
      </c>
      <c r="C375" s="2" t="s">
        <v>1258</v>
      </c>
      <c r="D375" s="2" t="s">
        <v>631</v>
      </c>
      <c r="E375" s="2" t="str">
        <f>_xlfn.XLOOKUP(F375,Terrain!D:D,Terrain!A:A,"")</f>
        <v>Upper</v>
      </c>
      <c r="F375" s="2" t="s">
        <v>1331</v>
      </c>
      <c r="G375" s="2" t="s">
        <v>907</v>
      </c>
      <c r="H375" s="2">
        <f t="shared" si="16"/>
        <v>2566</v>
      </c>
      <c r="I375" s="2">
        <v>1836.75</v>
      </c>
      <c r="J375" s="2">
        <v>36.734999999999999</v>
      </c>
      <c r="K375" s="2">
        <v>37</v>
      </c>
      <c r="L375" s="2">
        <f t="shared" si="17"/>
        <v>750</v>
      </c>
      <c r="M375" s="2" t="s">
        <v>1103</v>
      </c>
      <c r="N375" s="40">
        <f>_xlfn.XLOOKUP(F375,Terrain!D:D,Terrain!H:H,"")</f>
        <v>2566</v>
      </c>
      <c r="O375" t="str">
        <f t="shared" si="15"/>
        <v>66-T03 | 2449 | 600|0</v>
      </c>
    </row>
    <row r="376" spans="1:15" x14ac:dyDescent="0.3">
      <c r="A376" s="43">
        <v>46143</v>
      </c>
      <c r="B376" s="2" t="s">
        <v>12</v>
      </c>
      <c r="C376" s="2" t="s">
        <v>1258</v>
      </c>
      <c r="D376" s="2" t="s">
        <v>641</v>
      </c>
      <c r="E376" s="2" t="str">
        <f>_xlfn.XLOOKUP(F376,Terrain!D:D,Terrain!A:A,"")</f>
        <v>Upper</v>
      </c>
      <c r="F376" s="2" t="s">
        <v>1332</v>
      </c>
      <c r="G376" s="2" t="s">
        <v>908</v>
      </c>
      <c r="H376" s="2">
        <f t="shared" si="16"/>
        <v>2566</v>
      </c>
      <c r="I376" s="2">
        <v>1510.5</v>
      </c>
      <c r="J376" s="2">
        <v>30.21</v>
      </c>
      <c r="K376" s="2">
        <v>30</v>
      </c>
      <c r="L376" s="2">
        <f t="shared" si="17"/>
        <v>750</v>
      </c>
      <c r="M376" s="2" t="s">
        <v>1103</v>
      </c>
      <c r="N376" s="40">
        <f>_xlfn.XLOOKUP(F376,Terrain!D:D,Terrain!H:H,"")</f>
        <v>2566</v>
      </c>
      <c r="O376" t="str">
        <f t="shared" si="15"/>
        <v>66-T04 | 2014 | 603|0</v>
      </c>
    </row>
    <row r="377" spans="1:15" x14ac:dyDescent="0.3">
      <c r="A377" s="43">
        <v>46143</v>
      </c>
      <c r="B377" s="2" t="s">
        <v>12</v>
      </c>
      <c r="C377" s="2" t="s">
        <v>1258</v>
      </c>
      <c r="D377" s="2" t="s">
        <v>651</v>
      </c>
      <c r="E377" s="2" t="str">
        <f>_xlfn.XLOOKUP(F377,Terrain!D:D,Terrain!A:A,"")</f>
        <v>Upper</v>
      </c>
      <c r="F377" s="2" t="s">
        <v>1333</v>
      </c>
      <c r="G377" s="2" t="s">
        <v>909</v>
      </c>
      <c r="H377" s="2">
        <f t="shared" si="16"/>
        <v>2563</v>
      </c>
      <c r="I377" s="2">
        <v>3796.25</v>
      </c>
      <c r="J377" s="2">
        <v>75.924999999999997</v>
      </c>
      <c r="K377" s="2">
        <v>76</v>
      </c>
      <c r="L377" s="2">
        <f t="shared" si="17"/>
        <v>1250</v>
      </c>
      <c r="M377" s="2" t="s">
        <v>1104</v>
      </c>
      <c r="N377" s="40" t="str">
        <f>_xlfn.XLOOKUP(F377,Terrain!D:D,Terrain!H:H,"")</f>
        <v>2563 - 2565</v>
      </c>
      <c r="O377" t="str">
        <f t="shared" si="15"/>
        <v>63-T05-R | 3037 | 572|0</v>
      </c>
    </row>
    <row r="378" spans="1:15" x14ac:dyDescent="0.3">
      <c r="A378" s="43">
        <v>46143</v>
      </c>
      <c r="B378" s="2" t="s">
        <v>12</v>
      </c>
      <c r="C378" s="2" t="s">
        <v>1258</v>
      </c>
      <c r="D378" s="2" t="s">
        <v>659</v>
      </c>
      <c r="E378" s="2" t="str">
        <f>_xlfn.XLOOKUP(F378,Terrain!D:D,Terrain!A:A,"")</f>
        <v>Upper</v>
      </c>
      <c r="F378" s="2" t="s">
        <v>1334</v>
      </c>
      <c r="G378" s="2" t="s">
        <v>910</v>
      </c>
      <c r="H378" s="2">
        <f t="shared" si="16"/>
        <v>2566</v>
      </c>
      <c r="I378" s="2">
        <v>2173.5</v>
      </c>
      <c r="J378" s="2">
        <v>43.47</v>
      </c>
      <c r="K378" s="2">
        <v>43</v>
      </c>
      <c r="L378" s="2">
        <f t="shared" si="17"/>
        <v>750</v>
      </c>
      <c r="M378" s="2" t="s">
        <v>1103</v>
      </c>
      <c r="N378" s="40">
        <f>_xlfn.XLOOKUP(F378,Terrain!D:D,Terrain!H:H,"")</f>
        <v>2566</v>
      </c>
      <c r="O378" t="str">
        <f t="shared" si="15"/>
        <v>66-T06 | 2898 | 601|0</v>
      </c>
    </row>
    <row r="379" spans="1:15" x14ac:dyDescent="0.3">
      <c r="A379" s="43">
        <v>46143</v>
      </c>
      <c r="B379" s="2" t="s">
        <v>12</v>
      </c>
      <c r="C379" s="2" t="s">
        <v>1258</v>
      </c>
      <c r="D379" s="2" t="s">
        <v>669</v>
      </c>
      <c r="E379" s="2" t="str">
        <f>_xlfn.XLOOKUP(F379,Terrain!D:D,Terrain!A:A,"")</f>
        <v>Upper</v>
      </c>
      <c r="F379" s="2" t="s">
        <v>1335</v>
      </c>
      <c r="G379" s="2" t="s">
        <v>911</v>
      </c>
      <c r="H379" s="2">
        <f t="shared" si="16"/>
        <v>2566</v>
      </c>
      <c r="I379" s="2">
        <v>1773</v>
      </c>
      <c r="J379" s="2">
        <v>35.46</v>
      </c>
      <c r="K379" s="2">
        <v>35</v>
      </c>
      <c r="L379" s="2">
        <f t="shared" si="17"/>
        <v>750</v>
      </c>
      <c r="M379" s="2" t="s">
        <v>1103</v>
      </c>
      <c r="N379" s="40">
        <f>_xlfn.XLOOKUP(F379,Terrain!D:D,Terrain!H:H,"")</f>
        <v>2566</v>
      </c>
      <c r="O379" t="str">
        <f t="shared" si="15"/>
        <v>66-T07 | 2364 | 602|0</v>
      </c>
    </row>
    <row r="380" spans="1:15" x14ac:dyDescent="0.3">
      <c r="A380" s="43">
        <v>46143</v>
      </c>
      <c r="B380" s="2" t="s">
        <v>12</v>
      </c>
      <c r="C380" s="2" t="s">
        <v>1258</v>
      </c>
      <c r="D380" s="2" t="s">
        <v>679</v>
      </c>
      <c r="E380" s="2" t="str">
        <f>_xlfn.XLOOKUP(F380,Terrain!D:D,Terrain!A:A,"")</f>
        <v>Upper</v>
      </c>
      <c r="F380" s="2" t="s">
        <v>1336</v>
      </c>
      <c r="G380" s="2" t="s">
        <v>912</v>
      </c>
      <c r="H380" s="2">
        <f t="shared" si="16"/>
        <v>2556</v>
      </c>
      <c r="I380" s="2">
        <v>266.25</v>
      </c>
      <c r="J380" s="2">
        <v>5.3250000000000002</v>
      </c>
      <c r="K380" s="2">
        <v>5</v>
      </c>
      <c r="L380" s="2">
        <f t="shared" si="17"/>
        <v>1250</v>
      </c>
      <c r="M380" s="2" t="s">
        <v>1105</v>
      </c>
      <c r="N380" s="40" t="str">
        <f>_xlfn.XLOOKUP(F380,Terrain!D:D,Terrain!H:H,"")</f>
        <v>2555 - 2558</v>
      </c>
      <c r="O380" t="str">
        <f t="shared" si="15"/>
        <v>56-T08 | 213 | 518|0</v>
      </c>
    </row>
    <row r="381" spans="1:15" x14ac:dyDescent="0.3">
      <c r="A381" s="43">
        <v>46143</v>
      </c>
      <c r="B381" s="2" t="s">
        <v>12</v>
      </c>
      <c r="C381" s="2" t="s">
        <v>1258</v>
      </c>
      <c r="D381" s="2" t="s">
        <v>687</v>
      </c>
      <c r="E381" s="2" t="str">
        <f>_xlfn.XLOOKUP(F381,Terrain!D:D,Terrain!A:A,"")</f>
        <v>Upper</v>
      </c>
      <c r="F381" s="2" t="s">
        <v>1337</v>
      </c>
      <c r="G381" s="2" t="s">
        <v>913</v>
      </c>
      <c r="H381" s="2">
        <f t="shared" si="16"/>
        <v>2556</v>
      </c>
      <c r="I381" s="2">
        <v>3520</v>
      </c>
      <c r="J381" s="2">
        <v>70.400000000000006</v>
      </c>
      <c r="K381" s="2">
        <v>70</v>
      </c>
      <c r="L381" s="2">
        <f t="shared" si="17"/>
        <v>1250</v>
      </c>
      <c r="M381" s="2" t="s">
        <v>1106</v>
      </c>
      <c r="N381" s="40" t="str">
        <f>_xlfn.XLOOKUP(F381,Terrain!D:D,Terrain!H:H,"")</f>
        <v>2555 - 2558</v>
      </c>
      <c r="O381" t="str">
        <f t="shared" si="15"/>
        <v>56-T08-R | 2816 | 516|0</v>
      </c>
    </row>
    <row r="382" spans="1:15" x14ac:dyDescent="0.3">
      <c r="A382" s="43">
        <v>46143</v>
      </c>
      <c r="B382" s="2" t="s">
        <v>12</v>
      </c>
      <c r="C382" s="2" t="s">
        <v>1258</v>
      </c>
      <c r="D382" s="2" t="s">
        <v>695</v>
      </c>
      <c r="E382" s="2" t="str">
        <f>_xlfn.XLOOKUP(F382,Terrain!D:D,Terrain!A:A,"")</f>
        <v>Upper</v>
      </c>
      <c r="F382" s="2" t="s">
        <v>1338</v>
      </c>
      <c r="G382" s="2" t="s">
        <v>914</v>
      </c>
      <c r="H382" s="2">
        <f t="shared" si="16"/>
        <v>2558</v>
      </c>
      <c r="I382" s="2">
        <v>3667.5</v>
      </c>
      <c r="J382" s="2">
        <v>73.349999999999994</v>
      </c>
      <c r="K382" s="2">
        <v>73</v>
      </c>
      <c r="L382" s="2">
        <f t="shared" si="17"/>
        <v>1250</v>
      </c>
      <c r="M382" s="2" t="s">
        <v>1106</v>
      </c>
      <c r="N382" s="40" t="str">
        <f>_xlfn.XLOOKUP(F382,Terrain!D:D,Terrain!H:H,"")</f>
        <v>2555 - 2558</v>
      </c>
      <c r="O382" t="str">
        <f t="shared" si="15"/>
        <v>58-T09-R | 2934 | 523|0</v>
      </c>
    </row>
    <row r="383" spans="1:15" x14ac:dyDescent="0.3">
      <c r="A383" s="43">
        <v>46143</v>
      </c>
      <c r="B383" s="2" t="s">
        <v>12</v>
      </c>
      <c r="C383" s="2" t="s">
        <v>1258</v>
      </c>
      <c r="D383" s="2" t="s">
        <v>703</v>
      </c>
      <c r="E383" s="2" t="str">
        <f>_xlfn.XLOOKUP(F383,Terrain!D:D,Terrain!A:A,"")</f>
        <v>Upper</v>
      </c>
      <c r="F383" s="2" t="s">
        <v>1339</v>
      </c>
      <c r="G383" s="2" t="s">
        <v>915</v>
      </c>
      <c r="H383" s="2">
        <f t="shared" si="16"/>
        <v>2550</v>
      </c>
      <c r="I383" s="2">
        <v>2872</v>
      </c>
      <c r="J383" s="2">
        <v>57.44</v>
      </c>
      <c r="K383" s="2">
        <v>57</v>
      </c>
      <c r="L383" s="2">
        <f t="shared" si="17"/>
        <v>1000</v>
      </c>
      <c r="M383" s="2" t="s">
        <v>1107</v>
      </c>
      <c r="N383" s="40" t="str">
        <f>_xlfn.XLOOKUP(F383,Terrain!D:D,Terrain!H:H,"")</f>
        <v>2549 - 2552</v>
      </c>
      <c r="O383" t="str">
        <f t="shared" si="15"/>
        <v>50-T10-R | 2872 | 451|0</v>
      </c>
    </row>
    <row r="384" spans="1:15" x14ac:dyDescent="0.3">
      <c r="A384" s="43">
        <v>46143</v>
      </c>
      <c r="B384" s="2" t="s">
        <v>12</v>
      </c>
      <c r="C384" s="2" t="s">
        <v>1258</v>
      </c>
      <c r="D384" s="2" t="s">
        <v>710</v>
      </c>
      <c r="E384" s="2" t="str">
        <f>_xlfn.XLOOKUP(F384,Terrain!D:D,Terrain!A:A,"")</f>
        <v>Upper</v>
      </c>
      <c r="F384" s="2" t="s">
        <v>1173</v>
      </c>
      <c r="G384" s="2" t="s">
        <v>916</v>
      </c>
      <c r="H384" s="2">
        <f t="shared" si="16"/>
        <v>2567</v>
      </c>
      <c r="I384" s="2">
        <v>30.5</v>
      </c>
      <c r="J384" s="2">
        <v>0.61</v>
      </c>
      <c r="K384" s="2">
        <v>1</v>
      </c>
      <c r="L384" s="2">
        <f t="shared" si="17"/>
        <v>500</v>
      </c>
      <c r="M384" s="2" t="s">
        <v>1108</v>
      </c>
      <c r="N384" s="40">
        <f>_xlfn.XLOOKUP(F384,Terrain!D:D,Terrain!H:H,"")</f>
        <v>2567</v>
      </c>
      <c r="O384" t="str">
        <f t="shared" si="15"/>
        <v>67-T10 | 61 | 628|0</v>
      </c>
    </row>
    <row r="385" spans="1:15" x14ac:dyDescent="0.3">
      <c r="A385" s="43">
        <v>46143</v>
      </c>
      <c r="B385" s="2" t="s">
        <v>12</v>
      </c>
      <c r="C385" s="2" t="s">
        <v>1258</v>
      </c>
      <c r="D385" s="2" t="s">
        <v>720</v>
      </c>
      <c r="E385" s="2" t="str">
        <f>_xlfn.XLOOKUP(F385,Terrain!D:D,Terrain!A:A,"")</f>
        <v>Upper</v>
      </c>
      <c r="F385" s="2" t="s">
        <v>1340</v>
      </c>
      <c r="G385" s="2" t="s">
        <v>917</v>
      </c>
      <c r="H385" s="2">
        <f t="shared" si="16"/>
        <v>2558</v>
      </c>
      <c r="I385" s="2">
        <v>3628.75</v>
      </c>
      <c r="J385" s="2">
        <v>72.575000000000003</v>
      </c>
      <c r="K385" s="2">
        <v>73</v>
      </c>
      <c r="L385" s="2">
        <f t="shared" si="17"/>
        <v>1250</v>
      </c>
      <c r="M385" s="2" t="s">
        <v>1106</v>
      </c>
      <c r="N385" s="40" t="str">
        <f>_xlfn.XLOOKUP(F385,Terrain!D:D,Terrain!H:H,"")</f>
        <v>2555 - 2558</v>
      </c>
      <c r="O385" t="str">
        <f t="shared" ref="O385:O448" si="18">F385 &amp; " | " &amp; G385 &amp; " | " &amp; D385</f>
        <v>58-T11-R | 2903 | 522|0</v>
      </c>
    </row>
    <row r="386" spans="1:15" x14ac:dyDescent="0.3">
      <c r="A386" s="43">
        <v>46143</v>
      </c>
      <c r="B386" s="2" t="s">
        <v>12</v>
      </c>
      <c r="C386" s="2" t="s">
        <v>1258</v>
      </c>
      <c r="D386" s="2" t="s">
        <v>728</v>
      </c>
      <c r="E386" s="2" t="str">
        <f>_xlfn.XLOOKUP(F386,Terrain!D:D,Terrain!A:A,"")</f>
        <v>Upper</v>
      </c>
      <c r="F386" s="2" t="s">
        <v>1341</v>
      </c>
      <c r="G386" s="2" t="s">
        <v>918</v>
      </c>
      <c r="H386" s="2">
        <f t="shared" ref="H386:H449" si="19">2500+VALUE(MID(F386,1,2))</f>
        <v>2550</v>
      </c>
      <c r="I386" s="2">
        <v>3030</v>
      </c>
      <c r="J386" s="2">
        <v>60.6</v>
      </c>
      <c r="K386" s="2">
        <v>61</v>
      </c>
      <c r="L386" s="2">
        <f t="shared" ref="L386:L449" si="20">I386*1000/G386</f>
        <v>1000</v>
      </c>
      <c r="M386" s="2" t="s">
        <v>1107</v>
      </c>
      <c r="N386" s="40" t="str">
        <f>_xlfn.XLOOKUP(F386,Terrain!D:D,Terrain!H:H,"")</f>
        <v>2549 - 2552</v>
      </c>
      <c r="O386" t="str">
        <f t="shared" si="18"/>
        <v>50-T12-R | 3030 | 458|0</v>
      </c>
    </row>
    <row r="387" spans="1:15" x14ac:dyDescent="0.3">
      <c r="A387" s="43">
        <v>46143</v>
      </c>
      <c r="B387" s="2" t="s">
        <v>12</v>
      </c>
      <c r="C387" s="2" t="s">
        <v>1258</v>
      </c>
      <c r="D387" s="2" t="s">
        <v>736</v>
      </c>
      <c r="E387" s="2" t="str">
        <f>_xlfn.XLOOKUP(F387,Terrain!D:D,Terrain!A:A,"")</f>
        <v>Upper</v>
      </c>
      <c r="F387" s="2" t="s">
        <v>1342</v>
      </c>
      <c r="G387" s="2" t="s">
        <v>919</v>
      </c>
      <c r="H387" s="2">
        <f t="shared" si="19"/>
        <v>2558</v>
      </c>
      <c r="I387" s="2">
        <v>3580</v>
      </c>
      <c r="J387" s="2">
        <v>71.599999999999994</v>
      </c>
      <c r="K387" s="2">
        <v>72</v>
      </c>
      <c r="L387" s="2">
        <f t="shared" si="20"/>
        <v>1250</v>
      </c>
      <c r="M387" s="2" t="s">
        <v>1106</v>
      </c>
      <c r="N387" s="40" t="str">
        <f>_xlfn.XLOOKUP(F387,Terrain!D:D,Terrain!H:H,"")</f>
        <v>2555 - 2558</v>
      </c>
      <c r="O387" t="str">
        <f t="shared" si="18"/>
        <v>58-T13-R | 2864 | 527|0</v>
      </c>
    </row>
    <row r="388" spans="1:15" x14ac:dyDescent="0.3">
      <c r="A388" s="43">
        <v>46143</v>
      </c>
      <c r="B388" s="2" t="s">
        <v>12</v>
      </c>
      <c r="C388" s="2" t="s">
        <v>1258</v>
      </c>
      <c r="D388" s="2" t="s">
        <v>744</v>
      </c>
      <c r="E388" s="2" t="str">
        <f>_xlfn.XLOOKUP(F388,Terrain!D:D,Terrain!A:A,"")</f>
        <v>Upper</v>
      </c>
      <c r="F388" s="2" t="s">
        <v>1343</v>
      </c>
      <c r="G388" s="2" t="s">
        <v>920</v>
      </c>
      <c r="H388" s="2">
        <f t="shared" si="19"/>
        <v>2549</v>
      </c>
      <c r="I388" s="2">
        <v>112</v>
      </c>
      <c r="J388" s="2">
        <v>2.2400000000000002</v>
      </c>
      <c r="K388" s="2">
        <v>2</v>
      </c>
      <c r="L388" s="2">
        <f t="shared" si="20"/>
        <v>1000</v>
      </c>
      <c r="M388" s="2" t="s">
        <v>1107</v>
      </c>
      <c r="N388" s="40" t="str">
        <f>_xlfn.XLOOKUP(F388,Terrain!D:D,Terrain!H:H,"")</f>
        <v>2549 - 2552</v>
      </c>
      <c r="O388" t="str">
        <f t="shared" si="18"/>
        <v>49-T16-R | 112 | 454|0</v>
      </c>
    </row>
    <row r="389" spans="1:15" x14ac:dyDescent="0.3">
      <c r="A389" s="43">
        <v>46143</v>
      </c>
      <c r="B389" s="2" t="s">
        <v>12</v>
      </c>
      <c r="C389" s="2" t="s">
        <v>1258</v>
      </c>
      <c r="D389" s="2" t="s">
        <v>752</v>
      </c>
      <c r="E389" s="2" t="str">
        <f>_xlfn.XLOOKUP(F389,Terrain!D:D,Terrain!A:A,"")</f>
        <v>Upper</v>
      </c>
      <c r="F389" s="2" t="s">
        <v>1344</v>
      </c>
      <c r="G389" s="2" t="s">
        <v>921</v>
      </c>
      <c r="H389" s="2">
        <f t="shared" si="19"/>
        <v>2558</v>
      </c>
      <c r="I389" s="2">
        <v>3531.25</v>
      </c>
      <c r="J389" s="2">
        <v>70.625</v>
      </c>
      <c r="K389" s="2">
        <v>71</v>
      </c>
      <c r="L389" s="2">
        <f t="shared" si="20"/>
        <v>1250</v>
      </c>
      <c r="M389" s="2" t="s">
        <v>1106</v>
      </c>
      <c r="N389" s="40" t="str">
        <f>_xlfn.XLOOKUP(F389,Terrain!D:D,Terrain!H:H,"")</f>
        <v>2555 - 2558</v>
      </c>
      <c r="O389" t="str">
        <f t="shared" si="18"/>
        <v>58-T17-R | 2825 | 530|0</v>
      </c>
    </row>
    <row r="390" spans="1:15" x14ac:dyDescent="0.3">
      <c r="A390" s="43">
        <v>46143</v>
      </c>
      <c r="B390" s="2" t="s">
        <v>12</v>
      </c>
      <c r="C390" s="2" t="s">
        <v>1258</v>
      </c>
      <c r="D390" s="2" t="s">
        <v>760</v>
      </c>
      <c r="E390" s="2" t="str">
        <f>_xlfn.XLOOKUP(F390,Terrain!D:D,Terrain!A:A,"")</f>
        <v>Upper</v>
      </c>
      <c r="F390" s="2" t="s">
        <v>1345</v>
      </c>
      <c r="G390" s="2" t="s">
        <v>922</v>
      </c>
      <c r="H390" s="2">
        <f t="shared" si="19"/>
        <v>2558</v>
      </c>
      <c r="I390" s="2">
        <v>3553.75</v>
      </c>
      <c r="J390" s="2">
        <v>71.075000000000003</v>
      </c>
      <c r="K390" s="2">
        <v>71</v>
      </c>
      <c r="L390" s="2">
        <f t="shared" si="20"/>
        <v>1250</v>
      </c>
      <c r="M390" s="2" t="s">
        <v>1106</v>
      </c>
      <c r="N390" s="40" t="str">
        <f>_xlfn.XLOOKUP(F390,Terrain!D:D,Terrain!H:H,"")</f>
        <v>2555 - 2558</v>
      </c>
      <c r="O390" t="str">
        <f t="shared" si="18"/>
        <v>58-T18-R | 2843 | 521|0</v>
      </c>
    </row>
    <row r="391" spans="1:15" x14ac:dyDescent="0.3">
      <c r="A391" s="43">
        <v>46143</v>
      </c>
      <c r="B391" s="2" t="s">
        <v>12</v>
      </c>
      <c r="C391" s="2" t="s">
        <v>1258</v>
      </c>
      <c r="D391" s="2" t="s">
        <v>767</v>
      </c>
      <c r="E391" s="2" t="str">
        <f>_xlfn.XLOOKUP(F391,Terrain!D:D,Terrain!A:A,"")</f>
        <v>Upper</v>
      </c>
      <c r="F391" s="2" t="s">
        <v>1174</v>
      </c>
      <c r="G391" s="2" t="s">
        <v>923</v>
      </c>
      <c r="H391" s="2">
        <f t="shared" si="19"/>
        <v>2567</v>
      </c>
      <c r="I391" s="2">
        <v>85.5</v>
      </c>
      <c r="J391" s="2">
        <v>1.71</v>
      </c>
      <c r="K391" s="2">
        <v>2</v>
      </c>
      <c r="L391" s="2">
        <f t="shared" si="20"/>
        <v>500</v>
      </c>
      <c r="M391" s="2" t="s">
        <v>1108</v>
      </c>
      <c r="N391" s="40">
        <f>_xlfn.XLOOKUP(F391,Terrain!D:D,Terrain!H:H,"")</f>
        <v>2567</v>
      </c>
      <c r="O391" t="str">
        <f t="shared" si="18"/>
        <v>67-T18 | 171 | 629|0</v>
      </c>
    </row>
    <row r="392" spans="1:15" x14ac:dyDescent="0.3">
      <c r="A392" s="43">
        <v>46143</v>
      </c>
      <c r="B392" s="2" t="s">
        <v>12</v>
      </c>
      <c r="C392" s="2" t="s">
        <v>1258</v>
      </c>
      <c r="D392" s="2" t="s">
        <v>777</v>
      </c>
      <c r="E392" s="2" t="str">
        <f>_xlfn.XLOOKUP(F392,Terrain!D:D,Terrain!A:A,"")</f>
        <v>Upper</v>
      </c>
      <c r="F392" s="2" t="s">
        <v>1346</v>
      </c>
      <c r="G392" s="2" t="s">
        <v>924</v>
      </c>
      <c r="H392" s="2">
        <f t="shared" si="19"/>
        <v>2556</v>
      </c>
      <c r="I392" s="2">
        <v>3998.75</v>
      </c>
      <c r="J392" s="2">
        <v>79.974999999999994</v>
      </c>
      <c r="K392" s="2">
        <v>80</v>
      </c>
      <c r="L392" s="2">
        <f t="shared" si="20"/>
        <v>1250</v>
      </c>
      <c r="M392" s="2" t="s">
        <v>1106</v>
      </c>
      <c r="N392" s="40" t="str">
        <f>_xlfn.XLOOKUP(F392,Terrain!D:D,Terrain!H:H,"")</f>
        <v>2555 - 2558</v>
      </c>
      <c r="O392" t="str">
        <f t="shared" si="18"/>
        <v>56-T19-R | 3199 | 520|0</v>
      </c>
    </row>
    <row r="393" spans="1:15" x14ac:dyDescent="0.3">
      <c r="A393" s="43">
        <v>46143</v>
      </c>
      <c r="B393" s="2" t="s">
        <v>12</v>
      </c>
      <c r="C393" s="2" t="s">
        <v>1258</v>
      </c>
      <c r="D393" s="2" t="s">
        <v>785</v>
      </c>
      <c r="E393" s="2" t="str">
        <f>_xlfn.XLOOKUP(F393,Terrain!D:D,Terrain!A:A,"")</f>
        <v>Upper</v>
      </c>
      <c r="F393" s="2" t="s">
        <v>1267</v>
      </c>
      <c r="G393" s="2" t="s">
        <v>925</v>
      </c>
      <c r="H393" s="2">
        <f t="shared" si="19"/>
        <v>2549</v>
      </c>
      <c r="I393" s="2">
        <v>2833</v>
      </c>
      <c r="J393" s="2">
        <v>56.66</v>
      </c>
      <c r="K393" s="2">
        <v>57</v>
      </c>
      <c r="L393" s="2">
        <f t="shared" si="20"/>
        <v>1000</v>
      </c>
      <c r="M393" s="2" t="s">
        <v>1107</v>
      </c>
      <c r="N393" s="40" t="str">
        <f>_xlfn.XLOOKUP(F393,Terrain!D:D,Terrain!H:H,"")</f>
        <v>2549 - 2552</v>
      </c>
      <c r="O393" t="str">
        <f t="shared" si="18"/>
        <v>49-T20-R | 2833 | 455|0</v>
      </c>
    </row>
    <row r="394" spans="1:15" x14ac:dyDescent="0.3">
      <c r="A394" s="43">
        <v>46143</v>
      </c>
      <c r="B394" s="2" t="s">
        <v>12</v>
      </c>
      <c r="C394" s="2" t="s">
        <v>1258</v>
      </c>
      <c r="D394" s="2" t="s">
        <v>793</v>
      </c>
      <c r="E394" s="2" t="str">
        <f>_xlfn.XLOOKUP(F394,Terrain!D:D,Terrain!A:A,"")</f>
        <v>Upper</v>
      </c>
      <c r="F394" s="2" t="s">
        <v>1347</v>
      </c>
      <c r="G394" s="2" t="s">
        <v>926</v>
      </c>
      <c r="H394" s="2">
        <f t="shared" si="19"/>
        <v>2556</v>
      </c>
      <c r="I394" s="2">
        <v>3768.75</v>
      </c>
      <c r="J394" s="2">
        <v>75.375</v>
      </c>
      <c r="K394" s="2">
        <v>75</v>
      </c>
      <c r="L394" s="2">
        <f t="shared" si="20"/>
        <v>1250</v>
      </c>
      <c r="M394" s="2" t="s">
        <v>1106</v>
      </c>
      <c r="N394" s="40" t="str">
        <f>_xlfn.XLOOKUP(F394,Terrain!D:D,Terrain!H:H,"")</f>
        <v>2555 - 2558</v>
      </c>
      <c r="O394" t="str">
        <f t="shared" si="18"/>
        <v>56-T21-R | 3015 | 526|0</v>
      </c>
    </row>
    <row r="395" spans="1:15" x14ac:dyDescent="0.3">
      <c r="A395" s="43">
        <v>46143</v>
      </c>
      <c r="B395" s="2" t="s">
        <v>12</v>
      </c>
      <c r="C395" s="2" t="s">
        <v>1258</v>
      </c>
      <c r="D395" s="2" t="s">
        <v>800</v>
      </c>
      <c r="E395" s="2" t="str">
        <f>_xlfn.XLOOKUP(F395,Terrain!D:D,Terrain!A:A,"")</f>
        <v>Upper</v>
      </c>
      <c r="F395" s="2" t="s">
        <v>1175</v>
      </c>
      <c r="G395" s="2" t="s">
        <v>927</v>
      </c>
      <c r="H395" s="2">
        <f t="shared" si="19"/>
        <v>2567</v>
      </c>
      <c r="I395" s="2">
        <v>120.5</v>
      </c>
      <c r="J395" s="2">
        <v>2.41</v>
      </c>
      <c r="K395" s="2">
        <v>2</v>
      </c>
      <c r="L395" s="2">
        <f t="shared" si="20"/>
        <v>500</v>
      </c>
      <c r="M395" s="2" t="s">
        <v>1108</v>
      </c>
      <c r="N395" s="40">
        <f>_xlfn.XLOOKUP(F395,Terrain!D:D,Terrain!H:H,"")</f>
        <v>2567</v>
      </c>
      <c r="O395" t="str">
        <f t="shared" si="18"/>
        <v>67-T21 | 241 | 626|0</v>
      </c>
    </row>
    <row r="396" spans="1:15" x14ac:dyDescent="0.3">
      <c r="A396" s="43">
        <v>46143</v>
      </c>
      <c r="B396" s="2" t="s">
        <v>12</v>
      </c>
      <c r="C396" s="2" t="s">
        <v>1258</v>
      </c>
      <c r="D396" s="2" t="s">
        <v>810</v>
      </c>
      <c r="E396" s="2" t="str">
        <f>_xlfn.XLOOKUP(F396,Terrain!D:D,Terrain!A:A,"")</f>
        <v>Upper</v>
      </c>
      <c r="F396" s="2" t="s">
        <v>1348</v>
      </c>
      <c r="G396" s="2" t="s">
        <v>928</v>
      </c>
      <c r="H396" s="2">
        <f t="shared" si="19"/>
        <v>2563</v>
      </c>
      <c r="I396" s="2">
        <v>1052.5</v>
      </c>
      <c r="J396" s="2">
        <v>21.05</v>
      </c>
      <c r="K396" s="2">
        <v>21</v>
      </c>
      <c r="L396" s="2">
        <f t="shared" si="20"/>
        <v>1250</v>
      </c>
      <c r="M396" s="2" t="s">
        <v>1104</v>
      </c>
      <c r="N396" s="40" t="str">
        <f>_xlfn.XLOOKUP(F396,Terrain!D:D,Terrain!H:H,"")</f>
        <v>2563 - 2565</v>
      </c>
      <c r="O396" t="str">
        <f t="shared" si="18"/>
        <v>63-T22-R | 842 | 575|0</v>
      </c>
    </row>
    <row r="397" spans="1:15" x14ac:dyDescent="0.3">
      <c r="A397" s="43">
        <v>46143</v>
      </c>
      <c r="B397" s="2" t="s">
        <v>12</v>
      </c>
      <c r="C397" s="2" t="s">
        <v>1258</v>
      </c>
      <c r="D397" s="2" t="s">
        <v>818</v>
      </c>
      <c r="E397" s="2" t="str">
        <f>_xlfn.XLOOKUP(F397,Terrain!D:D,Terrain!A:A,"")</f>
        <v>Upper</v>
      </c>
      <c r="F397" s="2" t="s">
        <v>1349</v>
      </c>
      <c r="G397" s="2" t="s">
        <v>929</v>
      </c>
      <c r="H397" s="2">
        <f t="shared" si="19"/>
        <v>2563</v>
      </c>
      <c r="I397" s="2">
        <v>1055</v>
      </c>
      <c r="J397" s="2">
        <v>21.1</v>
      </c>
      <c r="K397" s="2">
        <v>21</v>
      </c>
      <c r="L397" s="2">
        <f t="shared" si="20"/>
        <v>1250</v>
      </c>
      <c r="M397" s="2" t="s">
        <v>1104</v>
      </c>
      <c r="N397" s="40" t="str">
        <f>_xlfn.XLOOKUP(F397,Terrain!D:D,Terrain!H:H,"")</f>
        <v>2563 - 2565</v>
      </c>
      <c r="O397" t="str">
        <f t="shared" si="18"/>
        <v>63-T23-R | 844 | 576|0</v>
      </c>
    </row>
    <row r="398" spans="1:15" x14ac:dyDescent="0.3">
      <c r="A398" s="43">
        <v>46143</v>
      </c>
      <c r="B398" s="2" t="s">
        <v>12</v>
      </c>
      <c r="C398" s="2" t="s">
        <v>1258</v>
      </c>
      <c r="D398" s="2" t="s">
        <v>826</v>
      </c>
      <c r="E398" s="2" t="str">
        <f>_xlfn.XLOOKUP(F398,Terrain!D:D,Terrain!A:A,"")</f>
        <v>Upper</v>
      </c>
      <c r="F398" s="2" t="s">
        <v>1350</v>
      </c>
      <c r="G398" s="2" t="s">
        <v>930</v>
      </c>
      <c r="H398" s="2">
        <f t="shared" si="19"/>
        <v>2552</v>
      </c>
      <c r="I398" s="2">
        <v>92</v>
      </c>
      <c r="J398" s="2">
        <v>1.84</v>
      </c>
      <c r="K398" s="2">
        <v>2</v>
      </c>
      <c r="L398" s="2">
        <f t="shared" si="20"/>
        <v>1000</v>
      </c>
      <c r="M398" s="2" t="s">
        <v>1107</v>
      </c>
      <c r="N398" s="40" t="str">
        <f>_xlfn.XLOOKUP(F398,Terrain!D:D,Terrain!H:H,"")</f>
        <v>2549 - 2552</v>
      </c>
      <c r="O398" t="str">
        <f t="shared" si="18"/>
        <v>52-T28-R | 92 | 450|0</v>
      </c>
    </row>
    <row r="399" spans="1:15" x14ac:dyDescent="0.3">
      <c r="A399" s="43">
        <v>46143</v>
      </c>
      <c r="B399" s="2" t="s">
        <v>12</v>
      </c>
      <c r="C399" s="2" t="s">
        <v>1258</v>
      </c>
      <c r="D399" s="2" t="s">
        <v>834</v>
      </c>
      <c r="E399" s="2" t="str">
        <f>_xlfn.XLOOKUP(F399,Terrain!D:D,Terrain!A:A,"")</f>
        <v>Upper</v>
      </c>
      <c r="F399" s="2" t="s">
        <v>1351</v>
      </c>
      <c r="G399" s="2" t="s">
        <v>931</v>
      </c>
      <c r="H399" s="2">
        <f t="shared" si="19"/>
        <v>2556</v>
      </c>
      <c r="I399" s="2">
        <v>1753.75</v>
      </c>
      <c r="J399" s="2">
        <v>35.075000000000003</v>
      </c>
      <c r="K399" s="2">
        <v>35</v>
      </c>
      <c r="L399" s="2">
        <f t="shared" si="20"/>
        <v>1250</v>
      </c>
      <c r="M399" s="2" t="s">
        <v>1106</v>
      </c>
      <c r="N399" s="40" t="str">
        <f>_xlfn.XLOOKUP(F399,Terrain!D:D,Terrain!H:H,"")</f>
        <v>2555 - 2558</v>
      </c>
      <c r="O399" t="str">
        <f t="shared" si="18"/>
        <v>56-T28-R | 1403 | 529|0</v>
      </c>
    </row>
    <row r="400" spans="1:15" x14ac:dyDescent="0.3">
      <c r="A400" s="43">
        <v>46143</v>
      </c>
      <c r="B400" s="2" t="s">
        <v>12</v>
      </c>
      <c r="C400" s="2" t="s">
        <v>1258</v>
      </c>
      <c r="D400" s="2" t="s">
        <v>841</v>
      </c>
      <c r="E400" s="2" t="str">
        <f>_xlfn.XLOOKUP(F400,Terrain!D:D,Terrain!A:A,"")</f>
        <v>Upper</v>
      </c>
      <c r="F400" s="2" t="s">
        <v>1176</v>
      </c>
      <c r="G400" s="2" t="s">
        <v>932</v>
      </c>
      <c r="H400" s="2">
        <f t="shared" si="19"/>
        <v>2567</v>
      </c>
      <c r="I400" s="2">
        <v>1535</v>
      </c>
      <c r="J400" s="2">
        <v>30.7</v>
      </c>
      <c r="K400" s="2">
        <v>31</v>
      </c>
      <c r="L400" s="2">
        <f t="shared" si="20"/>
        <v>500</v>
      </c>
      <c r="M400" s="2" t="s">
        <v>1109</v>
      </c>
      <c r="N400" s="40">
        <f>_xlfn.XLOOKUP(F400,Terrain!D:D,Terrain!H:H,"")</f>
        <v>2567</v>
      </c>
      <c r="O400" t="str">
        <f t="shared" si="18"/>
        <v>67-T29 | 3070 | 630|0</v>
      </c>
    </row>
    <row r="401" spans="1:15" x14ac:dyDescent="0.3">
      <c r="A401" s="43">
        <v>46143</v>
      </c>
      <c r="B401" s="2" t="s">
        <v>12</v>
      </c>
      <c r="C401" s="2" t="s">
        <v>1258</v>
      </c>
      <c r="D401" s="2" t="s">
        <v>850</v>
      </c>
      <c r="E401" s="2" t="str">
        <f>_xlfn.XLOOKUP(F401,Terrain!D:D,Terrain!A:A,"")</f>
        <v>Upper</v>
      </c>
      <c r="F401" s="2" t="s">
        <v>1177</v>
      </c>
      <c r="G401" s="2" t="s">
        <v>933</v>
      </c>
      <c r="H401" s="2">
        <f t="shared" si="19"/>
        <v>2567</v>
      </c>
      <c r="I401" s="2">
        <v>1635</v>
      </c>
      <c r="J401" s="2">
        <v>32.700000000000003</v>
      </c>
      <c r="K401" s="2">
        <v>33</v>
      </c>
      <c r="L401" s="2">
        <f t="shared" si="20"/>
        <v>500</v>
      </c>
      <c r="M401" s="2" t="s">
        <v>1109</v>
      </c>
      <c r="N401" s="40">
        <f>_xlfn.XLOOKUP(F401,Terrain!D:D,Terrain!H:H,"")</f>
        <v>2567</v>
      </c>
      <c r="O401" t="str">
        <f t="shared" si="18"/>
        <v>67-T30 | 3270 | 627|0</v>
      </c>
    </row>
    <row r="402" spans="1:15" x14ac:dyDescent="0.3">
      <c r="A402" s="43">
        <v>46204</v>
      </c>
      <c r="B402" s="2" t="s">
        <v>14</v>
      </c>
      <c r="C402" s="2" t="s">
        <v>1251</v>
      </c>
      <c r="D402" s="2" t="s">
        <v>15</v>
      </c>
      <c r="E402" s="2" t="str">
        <f>_xlfn.XLOOKUP(F402,Terrain!D:D,Terrain!A:A,"")</f>
        <v>Lower</v>
      </c>
      <c r="F402" s="2" t="s">
        <v>1269</v>
      </c>
      <c r="G402" s="2" t="s">
        <v>1045</v>
      </c>
      <c r="H402" s="2">
        <f t="shared" si="19"/>
        <v>2556</v>
      </c>
      <c r="I402" s="2">
        <v>195</v>
      </c>
      <c r="J402" s="2">
        <v>7.8</v>
      </c>
      <c r="K402" s="2">
        <v>8</v>
      </c>
      <c r="L402" s="2">
        <f t="shared" si="20"/>
        <v>100</v>
      </c>
      <c r="M402" s="2" t="s">
        <v>1046</v>
      </c>
      <c r="N402" s="40" t="str">
        <f>_xlfn.XLOOKUP(F402,Terrain!D:D,Terrain!H:H,"")</f>
        <v>2555 - 2558</v>
      </c>
      <c r="O402" t="str">
        <f t="shared" si="18"/>
        <v>56-A01 | 1950 | 244|0</v>
      </c>
    </row>
    <row r="403" spans="1:15" x14ac:dyDescent="0.3">
      <c r="A403" s="43">
        <v>46204</v>
      </c>
      <c r="B403" s="2" t="s">
        <v>14</v>
      </c>
      <c r="C403" s="2" t="s">
        <v>1251</v>
      </c>
      <c r="D403" s="2" t="s">
        <v>940</v>
      </c>
      <c r="E403" s="2" t="str">
        <f>_xlfn.XLOOKUP(F403,Terrain!D:D,Terrain!A:A,"")</f>
        <v>Lower</v>
      </c>
      <c r="F403" s="2" t="s">
        <v>1282</v>
      </c>
      <c r="G403" s="2" t="s">
        <v>1048</v>
      </c>
      <c r="H403" s="2">
        <f t="shared" si="19"/>
        <v>2563</v>
      </c>
      <c r="I403" s="2">
        <v>53.4</v>
      </c>
      <c r="J403" s="2">
        <v>2.1360000000000001</v>
      </c>
      <c r="K403" s="2">
        <v>2</v>
      </c>
      <c r="L403" s="2">
        <f t="shared" si="20"/>
        <v>100</v>
      </c>
      <c r="M403" s="2" t="s">
        <v>1049</v>
      </c>
      <c r="N403" s="40" t="str">
        <f>_xlfn.XLOOKUP(F403,Terrain!D:D,Terrain!H:H,"")</f>
        <v>2563 - 2565</v>
      </c>
      <c r="O403" t="str">
        <f t="shared" si="18"/>
        <v>63-A01-R | 534 | 698|0</v>
      </c>
    </row>
    <row r="404" spans="1:15" x14ac:dyDescent="0.3">
      <c r="A404" s="43">
        <v>46204</v>
      </c>
      <c r="B404" s="2" t="s">
        <v>14</v>
      </c>
      <c r="C404" s="2" t="s">
        <v>1251</v>
      </c>
      <c r="D404" s="2" t="s">
        <v>24</v>
      </c>
      <c r="E404" s="2" t="str">
        <f>_xlfn.XLOOKUP(F404,Terrain!D:D,Terrain!A:A,"")</f>
        <v>Lower</v>
      </c>
      <c r="F404" s="2" t="s">
        <v>1270</v>
      </c>
      <c r="G404" s="2" t="s">
        <v>1050</v>
      </c>
      <c r="H404" s="2">
        <f t="shared" si="19"/>
        <v>2556</v>
      </c>
      <c r="I404" s="2">
        <v>383.5</v>
      </c>
      <c r="J404" s="2">
        <v>15.34</v>
      </c>
      <c r="K404" s="2">
        <v>15</v>
      </c>
      <c r="L404" s="2">
        <f t="shared" si="20"/>
        <v>100</v>
      </c>
      <c r="M404" s="2" t="s">
        <v>1046</v>
      </c>
      <c r="N404" s="40" t="str">
        <f>_xlfn.XLOOKUP(F404,Terrain!D:D,Terrain!H:H,"")</f>
        <v>2555 - 2558</v>
      </c>
      <c r="O404" t="str">
        <f t="shared" si="18"/>
        <v>56-A02 | 3835 | 234|0</v>
      </c>
    </row>
    <row r="405" spans="1:15" x14ac:dyDescent="0.3">
      <c r="A405" s="43">
        <v>46204</v>
      </c>
      <c r="B405" s="2" t="s">
        <v>14</v>
      </c>
      <c r="C405" s="2" t="s">
        <v>1251</v>
      </c>
      <c r="D405" s="2" t="s">
        <v>32</v>
      </c>
      <c r="E405" s="2" t="str">
        <f>_xlfn.XLOOKUP(F405,Terrain!D:D,Terrain!A:A,"")</f>
        <v>Lower</v>
      </c>
      <c r="F405" s="2" t="s">
        <v>1283</v>
      </c>
      <c r="G405" s="2" t="s">
        <v>1051</v>
      </c>
      <c r="H405" s="2">
        <f t="shared" si="19"/>
        <v>2556</v>
      </c>
      <c r="I405" s="2">
        <v>211.9</v>
      </c>
      <c r="J405" s="2">
        <v>8.4760000000000009</v>
      </c>
      <c r="K405" s="2">
        <v>8</v>
      </c>
      <c r="L405" s="2">
        <f t="shared" si="20"/>
        <v>100</v>
      </c>
      <c r="M405" s="2" t="s">
        <v>1052</v>
      </c>
      <c r="N405" s="40" t="str">
        <f>_xlfn.XLOOKUP(F405,Terrain!D:D,Terrain!H:H,"")</f>
        <v>2555 - 2558</v>
      </c>
      <c r="O405" t="str">
        <f t="shared" si="18"/>
        <v>56-A03-R | 2119 | 228|0</v>
      </c>
    </row>
    <row r="406" spans="1:15" x14ac:dyDescent="0.3">
      <c r="A406" s="43">
        <v>46204</v>
      </c>
      <c r="B406" s="2" t="s">
        <v>14</v>
      </c>
      <c r="C406" s="2" t="s">
        <v>1251</v>
      </c>
      <c r="D406" s="2" t="s">
        <v>941</v>
      </c>
      <c r="E406" s="2" t="str">
        <f>_xlfn.XLOOKUP(F406,Terrain!D:D,Terrain!A:A,"")</f>
        <v>Lower</v>
      </c>
      <c r="F406" s="2" t="s">
        <v>1284</v>
      </c>
      <c r="G406" s="2" t="s">
        <v>1053</v>
      </c>
      <c r="H406" s="2">
        <f t="shared" si="19"/>
        <v>2563</v>
      </c>
      <c r="I406" s="2">
        <v>98</v>
      </c>
      <c r="J406" s="2">
        <v>3.92</v>
      </c>
      <c r="K406" s="2">
        <v>4</v>
      </c>
      <c r="L406" s="2">
        <f t="shared" si="20"/>
        <v>100</v>
      </c>
      <c r="M406" s="2" t="s">
        <v>1049</v>
      </c>
      <c r="N406" s="40" t="str">
        <f>_xlfn.XLOOKUP(F406,Terrain!D:D,Terrain!H:H,"")</f>
        <v>2563 - 2565</v>
      </c>
      <c r="O406" t="str">
        <f t="shared" si="18"/>
        <v>63-A03-R | 980 | 699|0</v>
      </c>
    </row>
    <row r="407" spans="1:15" x14ac:dyDescent="0.3">
      <c r="A407" s="43">
        <v>46204</v>
      </c>
      <c r="B407" s="2" t="s">
        <v>14</v>
      </c>
      <c r="C407" s="2" t="s">
        <v>1251</v>
      </c>
      <c r="D407" s="2" t="s">
        <v>41</v>
      </c>
      <c r="E407" s="2" t="str">
        <f>_xlfn.XLOOKUP(F407,Terrain!D:D,Terrain!A:A,"")</f>
        <v>Lower</v>
      </c>
      <c r="F407" s="2" t="s">
        <v>1271</v>
      </c>
      <c r="G407" s="2" t="s">
        <v>1054</v>
      </c>
      <c r="H407" s="2">
        <f t="shared" si="19"/>
        <v>2550</v>
      </c>
      <c r="I407" s="2">
        <v>486.4</v>
      </c>
      <c r="J407" s="2">
        <v>19.456</v>
      </c>
      <c r="K407" s="2">
        <v>19</v>
      </c>
      <c r="L407" s="2">
        <f t="shared" si="20"/>
        <v>100</v>
      </c>
      <c r="M407" s="2" t="s">
        <v>1055</v>
      </c>
      <c r="N407" s="40" t="str">
        <f>_xlfn.XLOOKUP(F407,Terrain!D:D,Terrain!H:H,"")</f>
        <v>2549 - 2552</v>
      </c>
      <c r="O407" t="str">
        <f t="shared" si="18"/>
        <v>50-A04 | 4864 | 137|0</v>
      </c>
    </row>
    <row r="408" spans="1:15" x14ac:dyDescent="0.3">
      <c r="A408" s="43">
        <v>46204</v>
      </c>
      <c r="B408" s="2" t="s">
        <v>14</v>
      </c>
      <c r="C408" s="2" t="s">
        <v>1251</v>
      </c>
      <c r="D408" s="2" t="s">
        <v>49</v>
      </c>
      <c r="E408" s="2" t="str">
        <f>_xlfn.XLOOKUP(F408,Terrain!D:D,Terrain!A:A,"")</f>
        <v>Lower</v>
      </c>
      <c r="F408" s="2" t="s">
        <v>1272</v>
      </c>
      <c r="G408" s="2" t="s">
        <v>1056</v>
      </c>
      <c r="H408" s="2">
        <f t="shared" si="19"/>
        <v>2550</v>
      </c>
      <c r="I408" s="2">
        <v>460.8</v>
      </c>
      <c r="J408" s="2">
        <v>18.431999999999999</v>
      </c>
      <c r="K408" s="2">
        <v>18</v>
      </c>
      <c r="L408" s="11">
        <f t="shared" si="20"/>
        <v>100</v>
      </c>
      <c r="M408" s="2" t="s">
        <v>1055</v>
      </c>
      <c r="N408" s="40" t="str">
        <f>_xlfn.XLOOKUP(F408,Terrain!D:D,Terrain!H:H,"")</f>
        <v>2549 - 2552</v>
      </c>
      <c r="O408" t="str">
        <f t="shared" si="18"/>
        <v>50-A05 | 4608 | 133|0</v>
      </c>
    </row>
    <row r="409" spans="1:15" x14ac:dyDescent="0.3">
      <c r="A409" s="43">
        <v>46204</v>
      </c>
      <c r="B409" s="2" t="s">
        <v>14</v>
      </c>
      <c r="C409" s="2" t="s">
        <v>1251</v>
      </c>
      <c r="D409" s="2" t="s">
        <v>57</v>
      </c>
      <c r="E409" s="2" t="str">
        <f>_xlfn.XLOOKUP(F409,Terrain!D:D,Terrain!A:A,"")</f>
        <v>Lower</v>
      </c>
      <c r="F409" s="2" t="s">
        <v>1273</v>
      </c>
      <c r="G409" s="2" t="s">
        <v>1057</v>
      </c>
      <c r="H409" s="2">
        <f t="shared" si="19"/>
        <v>2560</v>
      </c>
      <c r="I409" s="2">
        <v>325.89999999999998</v>
      </c>
      <c r="J409" s="2">
        <v>13.036</v>
      </c>
      <c r="K409" s="2">
        <v>13</v>
      </c>
      <c r="L409" s="11">
        <f t="shared" si="20"/>
        <v>100</v>
      </c>
      <c r="M409" s="2" t="s">
        <v>1058</v>
      </c>
      <c r="N409" s="40" t="str">
        <f>_xlfn.XLOOKUP(F409,Terrain!D:D,Terrain!H:H,"")</f>
        <v>2559 - 2560</v>
      </c>
      <c r="O409" t="str">
        <f t="shared" si="18"/>
        <v>60-A06 | 3259 | 230|0</v>
      </c>
    </row>
    <row r="410" spans="1:15" x14ac:dyDescent="0.3">
      <c r="A410" s="43">
        <v>46204</v>
      </c>
      <c r="B410" s="2" t="s">
        <v>14</v>
      </c>
      <c r="C410" s="2" t="s">
        <v>1251</v>
      </c>
      <c r="D410" s="2" t="s">
        <v>65</v>
      </c>
      <c r="E410" s="2" t="str">
        <f>_xlfn.XLOOKUP(F410,Terrain!D:D,Terrain!A:A,"")</f>
        <v>Lower</v>
      </c>
      <c r="F410" s="2" t="s">
        <v>1274</v>
      </c>
      <c r="G410" s="2" t="s">
        <v>1059</v>
      </c>
      <c r="H410" s="2">
        <f t="shared" si="19"/>
        <v>2563</v>
      </c>
      <c r="I410" s="2">
        <v>238.8</v>
      </c>
      <c r="J410" s="2">
        <v>9.5519999999999996</v>
      </c>
      <c r="K410" s="2">
        <v>10</v>
      </c>
      <c r="L410" s="11">
        <f t="shared" si="20"/>
        <v>100</v>
      </c>
      <c r="M410" s="2" t="s">
        <v>1060</v>
      </c>
      <c r="N410" s="40" t="str">
        <f>_xlfn.XLOOKUP(F410,Terrain!D:D,Terrain!H:H,"")</f>
        <v>2563 - 2565</v>
      </c>
      <c r="O410" t="str">
        <f t="shared" si="18"/>
        <v>63-A07 | 2388 | 308|0</v>
      </c>
    </row>
    <row r="411" spans="1:15" x14ac:dyDescent="0.3">
      <c r="A411" s="43">
        <v>46204</v>
      </c>
      <c r="B411" s="2" t="s">
        <v>14</v>
      </c>
      <c r="C411" s="2" t="s">
        <v>1251</v>
      </c>
      <c r="D411" s="2" t="s">
        <v>73</v>
      </c>
      <c r="E411" s="2" t="str">
        <f>_xlfn.XLOOKUP(F411,Terrain!D:D,Terrain!A:A,"")</f>
        <v>Lower</v>
      </c>
      <c r="F411" s="2" t="s">
        <v>1285</v>
      </c>
      <c r="G411" s="2" t="s">
        <v>860</v>
      </c>
      <c r="H411" s="2">
        <f t="shared" si="19"/>
        <v>2563</v>
      </c>
      <c r="I411" s="2">
        <v>30.9</v>
      </c>
      <c r="J411" s="2">
        <v>1.236</v>
      </c>
      <c r="K411" s="2">
        <v>1</v>
      </c>
      <c r="L411" s="11">
        <f t="shared" si="20"/>
        <v>100</v>
      </c>
      <c r="M411" s="2" t="s">
        <v>1049</v>
      </c>
      <c r="N411" s="40" t="str">
        <f>_xlfn.XLOOKUP(F411,Terrain!D:D,Terrain!H:H,"")</f>
        <v>2563 - 2565</v>
      </c>
      <c r="O411" t="str">
        <f t="shared" si="18"/>
        <v>63-A07-R | 309 | 303|0</v>
      </c>
    </row>
    <row r="412" spans="1:15" x14ac:dyDescent="0.3">
      <c r="A412" s="43">
        <v>46204</v>
      </c>
      <c r="B412" s="2" t="s">
        <v>14</v>
      </c>
      <c r="C412" s="2" t="s">
        <v>1251</v>
      </c>
      <c r="D412" s="2" t="s">
        <v>81</v>
      </c>
      <c r="E412" s="2" t="str">
        <f>_xlfn.XLOOKUP(F412,Terrain!D:D,Terrain!A:A,"")</f>
        <v>Lower</v>
      </c>
      <c r="F412" s="2" t="s">
        <v>1286</v>
      </c>
      <c r="G412" s="2" t="s">
        <v>861</v>
      </c>
      <c r="H412" s="2">
        <f t="shared" si="19"/>
        <v>2557</v>
      </c>
      <c r="I412" s="2">
        <v>430.8</v>
      </c>
      <c r="J412" s="2">
        <v>17.231999999999999</v>
      </c>
      <c r="K412" s="2">
        <v>17</v>
      </c>
      <c r="L412" s="11">
        <f t="shared" si="20"/>
        <v>100</v>
      </c>
      <c r="M412" s="2" t="s">
        <v>1052</v>
      </c>
      <c r="N412" s="40" t="str">
        <f>_xlfn.XLOOKUP(F412,Terrain!D:D,Terrain!H:H,"")</f>
        <v>2555 - 2558</v>
      </c>
      <c r="O412" t="str">
        <f t="shared" si="18"/>
        <v>57-A08-R | 4308 | 229|0</v>
      </c>
    </row>
    <row r="413" spans="1:15" x14ac:dyDescent="0.3">
      <c r="A413" s="43">
        <v>46204</v>
      </c>
      <c r="B413" s="2" t="s">
        <v>14</v>
      </c>
      <c r="C413" s="2" t="s">
        <v>1251</v>
      </c>
      <c r="D413" s="2" t="s">
        <v>89</v>
      </c>
      <c r="E413" s="2" t="str">
        <f>_xlfn.XLOOKUP(F413,Terrain!D:D,Terrain!A:A,"")</f>
        <v>Lower</v>
      </c>
      <c r="F413" s="2" t="s">
        <v>1287</v>
      </c>
      <c r="G413" s="2" t="s">
        <v>862</v>
      </c>
      <c r="H413" s="2">
        <f t="shared" si="19"/>
        <v>2557</v>
      </c>
      <c r="I413" s="2">
        <v>386.1</v>
      </c>
      <c r="J413" s="2">
        <v>15.444000000000001</v>
      </c>
      <c r="K413" s="2">
        <v>15</v>
      </c>
      <c r="L413" s="11">
        <f t="shared" si="20"/>
        <v>100</v>
      </c>
      <c r="M413" s="2" t="s">
        <v>1052</v>
      </c>
      <c r="N413" s="40" t="str">
        <f>_xlfn.XLOOKUP(F413,Terrain!D:D,Terrain!H:H,"")</f>
        <v>2555 - 2558</v>
      </c>
      <c r="O413" t="str">
        <f t="shared" si="18"/>
        <v>57-A09-R | 3861 | 241|0</v>
      </c>
    </row>
    <row r="414" spans="1:15" x14ac:dyDescent="0.3">
      <c r="A414" s="43">
        <v>46204</v>
      </c>
      <c r="B414" s="2" t="s">
        <v>14</v>
      </c>
      <c r="C414" s="2" t="s">
        <v>1251</v>
      </c>
      <c r="D414" s="2" t="s">
        <v>97</v>
      </c>
      <c r="E414" s="2" t="str">
        <f>_xlfn.XLOOKUP(F414,Terrain!D:D,Terrain!A:A,"")</f>
        <v>Lower</v>
      </c>
      <c r="F414" s="2" t="s">
        <v>1288</v>
      </c>
      <c r="G414" s="2" t="s">
        <v>1061</v>
      </c>
      <c r="H414" s="2">
        <f t="shared" si="19"/>
        <v>2549</v>
      </c>
      <c r="I414" s="2">
        <v>278.5</v>
      </c>
      <c r="J414" s="2">
        <v>11.14</v>
      </c>
      <c r="K414" s="2">
        <v>11</v>
      </c>
      <c r="L414" s="11">
        <f t="shared" si="20"/>
        <v>100</v>
      </c>
      <c r="M414" s="2" t="s">
        <v>1062</v>
      </c>
      <c r="N414" s="40" t="str">
        <f>_xlfn.XLOOKUP(F414,Terrain!D:D,Terrain!H:H,"")</f>
        <v>2549 - 2552</v>
      </c>
      <c r="O414" t="str">
        <f t="shared" si="18"/>
        <v>49-A10-R | 2785 | 138|0</v>
      </c>
    </row>
    <row r="415" spans="1:15" x14ac:dyDescent="0.3">
      <c r="A415" s="43">
        <v>46204</v>
      </c>
      <c r="B415" s="2" t="s">
        <v>14</v>
      </c>
      <c r="C415" s="2" t="s">
        <v>1251</v>
      </c>
      <c r="D415" s="2" t="s">
        <v>105</v>
      </c>
      <c r="E415" s="2" t="str">
        <f>_xlfn.XLOOKUP(F415,Terrain!D:D,Terrain!A:A,"")</f>
        <v>Lower</v>
      </c>
      <c r="F415" s="2" t="s">
        <v>1289</v>
      </c>
      <c r="G415" s="2" t="s">
        <v>1063</v>
      </c>
      <c r="H415" s="2">
        <f t="shared" si="19"/>
        <v>2549</v>
      </c>
      <c r="I415" s="2">
        <v>242.1</v>
      </c>
      <c r="J415" s="2">
        <v>9.6839999999999993</v>
      </c>
      <c r="K415" s="2">
        <v>10</v>
      </c>
      <c r="L415" s="2">
        <f t="shared" si="20"/>
        <v>100</v>
      </c>
      <c r="M415" s="2" t="s">
        <v>1062</v>
      </c>
      <c r="N415" s="40" t="str">
        <f>_xlfn.XLOOKUP(F415,Terrain!D:D,Terrain!H:H,"")</f>
        <v>2549 - 2552</v>
      </c>
      <c r="O415" t="str">
        <f t="shared" si="18"/>
        <v>49-A11-R | 2421 | 135|0</v>
      </c>
    </row>
    <row r="416" spans="1:15" x14ac:dyDescent="0.3">
      <c r="A416" s="43">
        <v>46204</v>
      </c>
      <c r="B416" s="2" t="s">
        <v>14</v>
      </c>
      <c r="C416" s="2" t="s">
        <v>1251</v>
      </c>
      <c r="D416" s="2" t="s">
        <v>113</v>
      </c>
      <c r="E416" s="2" t="str">
        <f>_xlfn.XLOOKUP(F416,Terrain!D:D,Terrain!A:A,"")</f>
        <v>Lower</v>
      </c>
      <c r="F416" s="2" t="s">
        <v>1290</v>
      </c>
      <c r="G416" s="2" t="s">
        <v>1064</v>
      </c>
      <c r="H416" s="2">
        <f t="shared" si="19"/>
        <v>2549</v>
      </c>
      <c r="I416" s="2">
        <v>376.4</v>
      </c>
      <c r="J416" s="2">
        <v>15.055999999999999</v>
      </c>
      <c r="K416" s="2">
        <v>15</v>
      </c>
      <c r="L416" s="2">
        <f t="shared" si="20"/>
        <v>100</v>
      </c>
      <c r="M416" s="2" t="s">
        <v>1062</v>
      </c>
      <c r="N416" s="40" t="str">
        <f>_xlfn.XLOOKUP(F416,Terrain!D:D,Terrain!H:H,"")</f>
        <v>2549 - 2552</v>
      </c>
      <c r="O416" t="str">
        <f t="shared" si="18"/>
        <v>49-A12-R | 3764 | 140|0</v>
      </c>
    </row>
    <row r="417" spans="1:15" x14ac:dyDescent="0.3">
      <c r="A417" s="43">
        <v>46204</v>
      </c>
      <c r="B417" s="2" t="s">
        <v>14</v>
      </c>
      <c r="C417" s="2" t="s">
        <v>1251</v>
      </c>
      <c r="D417" s="2" t="s">
        <v>121</v>
      </c>
      <c r="E417" s="2" t="str">
        <f>_xlfn.XLOOKUP(F417,Terrain!D:D,Terrain!A:A,"")</f>
        <v>Lower</v>
      </c>
      <c r="F417" s="2" t="s">
        <v>1291</v>
      </c>
      <c r="G417" s="2" t="s">
        <v>1065</v>
      </c>
      <c r="H417" s="2">
        <f t="shared" si="19"/>
        <v>2549</v>
      </c>
      <c r="I417" s="2">
        <v>289.3</v>
      </c>
      <c r="J417" s="2">
        <v>11.571999999999999</v>
      </c>
      <c r="K417" s="2">
        <v>12</v>
      </c>
      <c r="L417" s="2">
        <f t="shared" si="20"/>
        <v>100</v>
      </c>
      <c r="M417" s="2" t="s">
        <v>1062</v>
      </c>
      <c r="N417" s="40" t="str">
        <f>_xlfn.XLOOKUP(F417,Terrain!D:D,Terrain!H:H,"")</f>
        <v>2549 - 2552</v>
      </c>
      <c r="O417" t="str">
        <f t="shared" si="18"/>
        <v>49-A13-R | 2893 | 141|0</v>
      </c>
    </row>
    <row r="418" spans="1:15" x14ac:dyDescent="0.3">
      <c r="A418" s="43">
        <v>46204</v>
      </c>
      <c r="B418" s="2" t="s">
        <v>14</v>
      </c>
      <c r="C418" s="2" t="s">
        <v>1251</v>
      </c>
      <c r="D418" s="2" t="s">
        <v>129</v>
      </c>
      <c r="E418" s="2" t="str">
        <f>_xlfn.XLOOKUP(F418,Terrain!D:D,Terrain!A:A,"")</f>
        <v>Upper</v>
      </c>
      <c r="F418" s="2" t="s">
        <v>1275</v>
      </c>
      <c r="G418" s="2" t="s">
        <v>891</v>
      </c>
      <c r="H418" s="2">
        <f t="shared" si="19"/>
        <v>2565</v>
      </c>
      <c r="I418" s="2">
        <v>286.8</v>
      </c>
      <c r="J418" s="2">
        <v>11.472</v>
      </c>
      <c r="K418" s="2">
        <v>11</v>
      </c>
      <c r="L418" s="2">
        <f t="shared" si="20"/>
        <v>100</v>
      </c>
      <c r="M418" s="2" t="s">
        <v>1066</v>
      </c>
      <c r="N418" s="40" t="str">
        <f>_xlfn.XLOOKUP(F418,Terrain!D:D,Terrain!H:H,"")</f>
        <v>2563 - 2565</v>
      </c>
      <c r="O418" t="str">
        <f t="shared" si="18"/>
        <v>65-B01 | 2868 | 581|0</v>
      </c>
    </row>
    <row r="419" spans="1:15" x14ac:dyDescent="0.3">
      <c r="A419" s="43">
        <v>46204</v>
      </c>
      <c r="B419" s="2" t="s">
        <v>14</v>
      </c>
      <c r="C419" s="2" t="s">
        <v>1251</v>
      </c>
      <c r="D419" s="2" t="s">
        <v>137</v>
      </c>
      <c r="E419" s="2" t="str">
        <f>_xlfn.XLOOKUP(F419,Terrain!D:D,Terrain!A:A,"")</f>
        <v>Upper</v>
      </c>
      <c r="F419" s="2" t="s">
        <v>1276</v>
      </c>
      <c r="G419" s="2" t="s">
        <v>892</v>
      </c>
      <c r="H419" s="2">
        <f t="shared" si="19"/>
        <v>2564</v>
      </c>
      <c r="I419" s="2">
        <v>348</v>
      </c>
      <c r="J419" s="2">
        <v>13.92</v>
      </c>
      <c r="K419" s="2">
        <v>14</v>
      </c>
      <c r="L419" s="2">
        <f t="shared" si="20"/>
        <v>100</v>
      </c>
      <c r="M419" s="2" t="s">
        <v>1066</v>
      </c>
      <c r="N419" s="40" t="str">
        <f>_xlfn.XLOOKUP(F419,Terrain!D:D,Terrain!H:H,"")</f>
        <v>2563 - 2564</v>
      </c>
      <c r="O419" t="str">
        <f t="shared" si="18"/>
        <v>64-B02 | 3480 | 586|0</v>
      </c>
    </row>
    <row r="420" spans="1:15" x14ac:dyDescent="0.3">
      <c r="A420" s="43">
        <v>46204</v>
      </c>
      <c r="B420" s="2" t="s">
        <v>14</v>
      </c>
      <c r="C420" s="2" t="s">
        <v>1251</v>
      </c>
      <c r="D420" s="2" t="s">
        <v>145</v>
      </c>
      <c r="E420" s="2" t="str">
        <f>_xlfn.XLOOKUP(F420,Terrain!D:D,Terrain!A:A,"")</f>
        <v>Upper</v>
      </c>
      <c r="F420" s="2" t="s">
        <v>1277</v>
      </c>
      <c r="G420" s="2" t="s">
        <v>893</v>
      </c>
      <c r="H420" s="2">
        <f t="shared" si="19"/>
        <v>2557</v>
      </c>
      <c r="I420" s="2">
        <v>423.1</v>
      </c>
      <c r="J420" s="2">
        <v>16.923999999999999</v>
      </c>
      <c r="K420" s="2">
        <v>17</v>
      </c>
      <c r="L420" s="2">
        <f t="shared" si="20"/>
        <v>100</v>
      </c>
      <c r="M420" s="2" t="s">
        <v>1067</v>
      </c>
      <c r="N420" s="40" t="str">
        <f>_xlfn.XLOOKUP(F420,Terrain!D:D,Terrain!H:H,"")</f>
        <v>2555 - 2558</v>
      </c>
      <c r="O420" t="str">
        <f t="shared" si="18"/>
        <v>57-B03 | 4231 | 540|0</v>
      </c>
    </row>
    <row r="421" spans="1:15" x14ac:dyDescent="0.3">
      <c r="A421" s="43">
        <v>46204</v>
      </c>
      <c r="B421" s="2" t="s">
        <v>14</v>
      </c>
      <c r="C421" s="2" t="s">
        <v>1251</v>
      </c>
      <c r="D421" s="2" t="s">
        <v>153</v>
      </c>
      <c r="E421" s="2" t="str">
        <f>_xlfn.XLOOKUP(F421,Terrain!D:D,Terrain!A:A,"")</f>
        <v>Upper</v>
      </c>
      <c r="F421" s="2" t="s">
        <v>1278</v>
      </c>
      <c r="G421" s="2" t="s">
        <v>894</v>
      </c>
      <c r="H421" s="2">
        <f t="shared" si="19"/>
        <v>2560</v>
      </c>
      <c r="I421" s="2">
        <v>385.1</v>
      </c>
      <c r="J421" s="2">
        <v>15.404</v>
      </c>
      <c r="K421" s="2">
        <v>15</v>
      </c>
      <c r="L421" s="2">
        <f t="shared" si="20"/>
        <v>100</v>
      </c>
      <c r="M421" s="2" t="s">
        <v>1068</v>
      </c>
      <c r="N421" s="40" t="str">
        <f>_xlfn.XLOOKUP(F421,Terrain!D:D,Terrain!H:H,"")</f>
        <v>2559 - 2560</v>
      </c>
      <c r="O421" t="str">
        <f t="shared" si="18"/>
        <v>60-B04 | 3851 | 547|0</v>
      </c>
    </row>
    <row r="422" spans="1:15" x14ac:dyDescent="0.3">
      <c r="A422" s="43">
        <v>46204</v>
      </c>
      <c r="B422" s="2" t="s">
        <v>14</v>
      </c>
      <c r="C422" s="2" t="s">
        <v>1251</v>
      </c>
      <c r="D422" s="2" t="s">
        <v>161</v>
      </c>
      <c r="E422" s="2" t="str">
        <f>_xlfn.XLOOKUP(F422,Terrain!D:D,Terrain!A:A,"")</f>
        <v>Upper</v>
      </c>
      <c r="F422" s="2" t="s">
        <v>1279</v>
      </c>
      <c r="G422" s="2" t="s">
        <v>895</v>
      </c>
      <c r="H422" s="2">
        <f t="shared" si="19"/>
        <v>2564</v>
      </c>
      <c r="I422" s="2">
        <v>314</v>
      </c>
      <c r="J422" s="2">
        <v>12.56</v>
      </c>
      <c r="K422" s="2">
        <v>13</v>
      </c>
      <c r="L422" s="2">
        <f t="shared" si="20"/>
        <v>100</v>
      </c>
      <c r="M422" s="2" t="s">
        <v>1066</v>
      </c>
      <c r="N422" s="40" t="str">
        <f>_xlfn.XLOOKUP(F422,Terrain!D:D,Terrain!H:H,"")</f>
        <v>2563 - 2564</v>
      </c>
      <c r="O422" t="str">
        <f t="shared" si="18"/>
        <v>64-B05 | 3140 | 582|0</v>
      </c>
    </row>
    <row r="423" spans="1:15" x14ac:dyDescent="0.3">
      <c r="A423" s="43">
        <v>46204</v>
      </c>
      <c r="B423" s="2" t="s">
        <v>14</v>
      </c>
      <c r="C423" s="2" t="s">
        <v>1251</v>
      </c>
      <c r="D423" s="2" t="s">
        <v>169</v>
      </c>
      <c r="E423" s="2" t="str">
        <f>_xlfn.XLOOKUP(F423,Terrain!D:D,Terrain!A:A,"")</f>
        <v>Upper</v>
      </c>
      <c r="F423" s="2" t="s">
        <v>1280</v>
      </c>
      <c r="G423" s="2" t="s">
        <v>896</v>
      </c>
      <c r="H423" s="2">
        <f t="shared" si="19"/>
        <v>2564</v>
      </c>
      <c r="I423" s="2">
        <v>367.1</v>
      </c>
      <c r="J423" s="2">
        <v>14.683999999999999</v>
      </c>
      <c r="K423" s="2">
        <v>15</v>
      </c>
      <c r="L423" s="2">
        <f t="shared" si="20"/>
        <v>100</v>
      </c>
      <c r="M423" s="2" t="s">
        <v>1066</v>
      </c>
      <c r="N423" s="40" t="str">
        <f>_xlfn.XLOOKUP(F423,Terrain!D:D,Terrain!H:H,"")</f>
        <v>2563 - 2564</v>
      </c>
      <c r="O423" t="str">
        <f t="shared" si="18"/>
        <v>64-B06 | 3671 | 585|0</v>
      </c>
    </row>
    <row r="424" spans="1:15" x14ac:dyDescent="0.3">
      <c r="A424" s="43">
        <v>46204</v>
      </c>
      <c r="B424" s="2" t="s">
        <v>14</v>
      </c>
      <c r="C424" s="2" t="s">
        <v>1251</v>
      </c>
      <c r="D424" s="2" t="s">
        <v>177</v>
      </c>
      <c r="E424" s="2" t="str">
        <f>_xlfn.XLOOKUP(F424,Terrain!D:D,Terrain!A:A,"")</f>
        <v>Upper</v>
      </c>
      <c r="F424" s="2" t="s">
        <v>1281</v>
      </c>
      <c r="G424" s="2" t="s">
        <v>897</v>
      </c>
      <c r="H424" s="2">
        <f t="shared" si="19"/>
        <v>2550</v>
      </c>
      <c r="I424" s="2">
        <v>402.2</v>
      </c>
      <c r="J424" s="2">
        <v>16.088000000000001</v>
      </c>
      <c r="K424" s="2">
        <v>16</v>
      </c>
      <c r="L424" s="2">
        <f t="shared" si="20"/>
        <v>100</v>
      </c>
      <c r="M424" s="2" t="s">
        <v>1069</v>
      </c>
      <c r="N424" s="40" t="str">
        <f>_xlfn.XLOOKUP(F424,Terrain!D:D,Terrain!H:H,"")</f>
        <v>2549 - 2552</v>
      </c>
      <c r="O424" t="str">
        <f t="shared" si="18"/>
        <v>50-B07 | 4022 | 465|0</v>
      </c>
    </row>
    <row r="425" spans="1:15" x14ac:dyDescent="0.3">
      <c r="A425" s="43">
        <v>46204</v>
      </c>
      <c r="B425" s="2" t="s">
        <v>14</v>
      </c>
      <c r="C425" s="2" t="s">
        <v>1251</v>
      </c>
      <c r="D425" s="2" t="s">
        <v>185</v>
      </c>
      <c r="E425" s="2" t="str">
        <f>_xlfn.XLOOKUP(F425,Terrain!D:D,Terrain!A:A,"")</f>
        <v>Upper</v>
      </c>
      <c r="F425" s="2" t="s">
        <v>1292</v>
      </c>
      <c r="G425" s="2" t="s">
        <v>898</v>
      </c>
      <c r="H425" s="2">
        <f t="shared" si="19"/>
        <v>2560</v>
      </c>
      <c r="I425" s="2">
        <v>347.6</v>
      </c>
      <c r="J425" s="2">
        <v>13.904</v>
      </c>
      <c r="K425" s="2">
        <v>14</v>
      </c>
      <c r="L425" s="2">
        <f t="shared" si="20"/>
        <v>100</v>
      </c>
      <c r="M425" s="2" t="s">
        <v>1068</v>
      </c>
      <c r="N425" s="40" t="str">
        <f>_xlfn.XLOOKUP(F425,Terrain!D:D,Terrain!H:H,"")</f>
        <v>2559 - 2560</v>
      </c>
      <c r="O425" t="str">
        <f t="shared" si="18"/>
        <v>60-B08 | 3476 | 544|0</v>
      </c>
    </row>
    <row r="426" spans="1:15" x14ac:dyDescent="0.3">
      <c r="A426" s="43">
        <v>46204</v>
      </c>
      <c r="B426" s="2" t="s">
        <v>14</v>
      </c>
      <c r="C426" s="2" t="s">
        <v>1251</v>
      </c>
      <c r="D426" s="2" t="s">
        <v>193</v>
      </c>
      <c r="E426" s="2" t="str">
        <f>_xlfn.XLOOKUP(F426,Terrain!D:D,Terrain!A:A,"")</f>
        <v>Upper</v>
      </c>
      <c r="F426" s="2" t="s">
        <v>1293</v>
      </c>
      <c r="G426" s="2" t="s">
        <v>899</v>
      </c>
      <c r="H426" s="2">
        <f t="shared" si="19"/>
        <v>2560</v>
      </c>
      <c r="I426" s="2">
        <v>412.7</v>
      </c>
      <c r="J426" s="2">
        <v>16.507999999999999</v>
      </c>
      <c r="K426" s="2">
        <v>17</v>
      </c>
      <c r="L426" s="2">
        <f t="shared" si="20"/>
        <v>100</v>
      </c>
      <c r="M426" s="2" t="s">
        <v>1068</v>
      </c>
      <c r="N426" s="40" t="str">
        <f>_xlfn.XLOOKUP(F426,Terrain!D:D,Terrain!H:H,"")</f>
        <v>2559 - 2560</v>
      </c>
      <c r="O426" t="str">
        <f t="shared" si="18"/>
        <v>60-B09 | 4127 | 533|0</v>
      </c>
    </row>
    <row r="427" spans="1:15" x14ac:dyDescent="0.3">
      <c r="A427" s="43">
        <v>46204</v>
      </c>
      <c r="B427" s="2" t="s">
        <v>14</v>
      </c>
      <c r="C427" s="2" t="s">
        <v>1251</v>
      </c>
      <c r="D427" s="2" t="s">
        <v>201</v>
      </c>
      <c r="E427" s="2" t="str">
        <f>_xlfn.XLOOKUP(F427,Terrain!D:D,Terrain!A:A,"")</f>
        <v>Upper</v>
      </c>
      <c r="F427" s="2" t="s">
        <v>1135</v>
      </c>
      <c r="G427" s="2" t="s">
        <v>900</v>
      </c>
      <c r="H427" s="2">
        <f t="shared" si="19"/>
        <v>2550</v>
      </c>
      <c r="I427" s="2">
        <v>424.5</v>
      </c>
      <c r="J427" s="2">
        <v>16.98</v>
      </c>
      <c r="K427" s="2">
        <v>17</v>
      </c>
      <c r="L427" s="2">
        <f t="shared" si="20"/>
        <v>100</v>
      </c>
      <c r="M427" s="2" t="s">
        <v>1069</v>
      </c>
      <c r="N427" s="40" t="str">
        <f>_xlfn.XLOOKUP(F427,Terrain!D:D,Terrain!H:H,"")</f>
        <v>2549 - 2552</v>
      </c>
      <c r="O427" t="str">
        <f t="shared" si="18"/>
        <v>50-B10 | 4245 | 462|0</v>
      </c>
    </row>
    <row r="428" spans="1:15" x14ac:dyDescent="0.3">
      <c r="A428" s="43">
        <v>46204</v>
      </c>
      <c r="B428" s="2" t="s">
        <v>14</v>
      </c>
      <c r="C428" s="2" t="s">
        <v>1251</v>
      </c>
      <c r="D428" s="2" t="s">
        <v>209</v>
      </c>
      <c r="E428" s="2" t="str">
        <f>_xlfn.XLOOKUP(F428,Terrain!D:D,Terrain!A:A,"")</f>
        <v>Upper</v>
      </c>
      <c r="F428" s="2" t="s">
        <v>1149</v>
      </c>
      <c r="G428" s="2" t="s">
        <v>901</v>
      </c>
      <c r="H428" s="2">
        <f t="shared" si="19"/>
        <v>2565</v>
      </c>
      <c r="I428" s="2">
        <v>319.3</v>
      </c>
      <c r="J428" s="2">
        <v>12.772</v>
      </c>
      <c r="K428" s="2">
        <v>13</v>
      </c>
      <c r="L428" s="2">
        <f t="shared" si="20"/>
        <v>100</v>
      </c>
      <c r="M428" s="2" t="s">
        <v>1066</v>
      </c>
      <c r="N428" s="40" t="str">
        <f>_xlfn.XLOOKUP(F428,Terrain!D:D,Terrain!H:H,"")</f>
        <v>2563 - 2565</v>
      </c>
      <c r="O428" t="str">
        <f t="shared" si="18"/>
        <v>65-B11 | 3193 | 587|0</v>
      </c>
    </row>
    <row r="429" spans="1:15" x14ac:dyDescent="0.3">
      <c r="A429" s="43">
        <v>46204</v>
      </c>
      <c r="B429" s="2" t="s">
        <v>14</v>
      </c>
      <c r="C429" s="2" t="s">
        <v>1251</v>
      </c>
      <c r="D429" s="2" t="s">
        <v>217</v>
      </c>
      <c r="E429" s="2" t="str">
        <f>_xlfn.XLOOKUP(F429,Terrain!D:D,Terrain!A:A,"")</f>
        <v>Upper</v>
      </c>
      <c r="F429" s="2" t="s">
        <v>1137</v>
      </c>
      <c r="G429" s="2" t="s">
        <v>902</v>
      </c>
      <c r="H429" s="2">
        <f t="shared" si="19"/>
        <v>2557</v>
      </c>
      <c r="I429" s="2">
        <v>426.5</v>
      </c>
      <c r="J429" s="2">
        <v>17.059999999999999</v>
      </c>
      <c r="K429" s="2">
        <v>17</v>
      </c>
      <c r="L429" s="2">
        <f t="shared" si="20"/>
        <v>100</v>
      </c>
      <c r="M429" s="2" t="s">
        <v>1067</v>
      </c>
      <c r="N429" s="40" t="str">
        <f>_xlfn.XLOOKUP(F429,Terrain!D:D,Terrain!H:H,"")</f>
        <v>2555 - 2558</v>
      </c>
      <c r="O429" t="str">
        <f t="shared" si="18"/>
        <v>57-B12 | 4265 | 541|0</v>
      </c>
    </row>
    <row r="430" spans="1:15" x14ac:dyDescent="0.3">
      <c r="A430" s="43">
        <v>46204</v>
      </c>
      <c r="B430" s="2" t="s">
        <v>14</v>
      </c>
      <c r="C430" s="2" t="s">
        <v>1251</v>
      </c>
      <c r="D430" s="2" t="s">
        <v>225</v>
      </c>
      <c r="E430" s="2" t="str">
        <f>_xlfn.XLOOKUP(F430,Terrain!D:D,Terrain!A:A,"")</f>
        <v>Upper</v>
      </c>
      <c r="F430" s="2" t="s">
        <v>1131</v>
      </c>
      <c r="G430" s="2" t="s">
        <v>903</v>
      </c>
      <c r="H430" s="2">
        <f t="shared" si="19"/>
        <v>2549</v>
      </c>
      <c r="I430" s="2">
        <v>419.2</v>
      </c>
      <c r="J430" s="2">
        <v>16.768000000000001</v>
      </c>
      <c r="K430" s="2">
        <v>17</v>
      </c>
      <c r="L430" s="2">
        <f t="shared" si="20"/>
        <v>100</v>
      </c>
      <c r="M430" s="2" t="s">
        <v>1069</v>
      </c>
      <c r="N430" s="40" t="str">
        <f>_xlfn.XLOOKUP(F430,Terrain!D:D,Terrain!H:H,"")</f>
        <v>ปาล์มใหญ่</v>
      </c>
      <c r="O430" t="str">
        <f t="shared" si="18"/>
        <v>49-B13 | 4192 | 461|0</v>
      </c>
    </row>
    <row r="431" spans="1:15" x14ac:dyDescent="0.3">
      <c r="A431" s="43">
        <v>46204</v>
      </c>
      <c r="B431" s="2" t="s">
        <v>14</v>
      </c>
      <c r="C431" s="2" t="s">
        <v>1251</v>
      </c>
      <c r="D431" s="2" t="s">
        <v>233</v>
      </c>
      <c r="E431" s="2" t="str">
        <f>_xlfn.XLOOKUP(F431,Terrain!D:D,Terrain!A:A,"")</f>
        <v>Upper</v>
      </c>
      <c r="F431" s="2" t="s">
        <v>1130</v>
      </c>
      <c r="G431" s="2" t="s">
        <v>904</v>
      </c>
      <c r="H431" s="2">
        <f t="shared" si="19"/>
        <v>2530</v>
      </c>
      <c r="I431" s="2">
        <v>12.6</v>
      </c>
      <c r="J431" s="2">
        <v>0.504</v>
      </c>
      <c r="K431" s="2">
        <v>1</v>
      </c>
      <c r="L431" s="2">
        <f t="shared" si="20"/>
        <v>100</v>
      </c>
      <c r="M431" s="2" t="s">
        <v>1070</v>
      </c>
      <c r="N431" s="40" t="str">
        <f>_xlfn.XLOOKUP(F431,Terrain!D:D,Terrain!H:H,"")</f>
        <v>ปาล์มใหญ่</v>
      </c>
      <c r="O431" t="str">
        <f t="shared" si="18"/>
        <v>30-B14 | 126 | 466|0</v>
      </c>
    </row>
    <row r="432" spans="1:15" x14ac:dyDescent="0.3">
      <c r="A432" s="43">
        <v>46204</v>
      </c>
      <c r="B432" s="2" t="s">
        <v>14</v>
      </c>
      <c r="C432" s="2" t="s">
        <v>1251</v>
      </c>
      <c r="D432" s="2" t="s">
        <v>241</v>
      </c>
      <c r="E432" s="2" t="str">
        <f>_xlfn.XLOOKUP(F432,Terrain!D:D,Terrain!A:A,"")</f>
        <v>Upper</v>
      </c>
      <c r="F432" s="2" t="s">
        <v>1139</v>
      </c>
      <c r="G432" s="2" t="s">
        <v>905</v>
      </c>
      <c r="H432" s="2">
        <f t="shared" si="19"/>
        <v>2557</v>
      </c>
      <c r="I432" s="2">
        <v>166.3</v>
      </c>
      <c r="J432" s="2">
        <v>6.6520000000000001</v>
      </c>
      <c r="K432" s="2">
        <v>7</v>
      </c>
      <c r="L432" s="2">
        <f t="shared" si="20"/>
        <v>100</v>
      </c>
      <c r="M432" s="2" t="s">
        <v>1067</v>
      </c>
      <c r="N432" s="40" t="str">
        <f>_xlfn.XLOOKUP(F432,Terrain!D:D,Terrain!H:H,"")</f>
        <v>2555 - 2558</v>
      </c>
      <c r="O432" t="str">
        <f t="shared" si="18"/>
        <v>57-B14 | 1663 | 535|0</v>
      </c>
    </row>
    <row r="433" spans="1:15" x14ac:dyDescent="0.3">
      <c r="A433" s="43">
        <v>46204</v>
      </c>
      <c r="B433" s="2" t="s">
        <v>14</v>
      </c>
      <c r="C433" s="2" t="s">
        <v>1251</v>
      </c>
      <c r="D433" s="2" t="s">
        <v>249</v>
      </c>
      <c r="E433" s="2" t="str">
        <f>_xlfn.XLOOKUP(F433,Terrain!D:D,Terrain!A:A,"")</f>
        <v>Lower</v>
      </c>
      <c r="F433" s="2" t="s">
        <v>1294</v>
      </c>
      <c r="G433" s="2" t="s">
        <v>1071</v>
      </c>
      <c r="H433" s="2">
        <f t="shared" si="19"/>
        <v>2560</v>
      </c>
      <c r="I433" s="2">
        <v>270.7</v>
      </c>
      <c r="J433" s="2">
        <v>10.827999999999999</v>
      </c>
      <c r="K433" s="2">
        <v>11</v>
      </c>
      <c r="L433" s="2">
        <f t="shared" si="20"/>
        <v>100</v>
      </c>
      <c r="M433" s="2" t="s">
        <v>1072</v>
      </c>
      <c r="N433" s="40" t="str">
        <f>_xlfn.XLOOKUP(F433,Terrain!D:D,Terrain!H:H,"")</f>
        <v>2559 - 2560</v>
      </c>
      <c r="O433" t="str">
        <f t="shared" si="18"/>
        <v>60-C01-R | 2707 | 243|0</v>
      </c>
    </row>
    <row r="434" spans="1:15" x14ac:dyDescent="0.3">
      <c r="A434" s="43">
        <v>46204</v>
      </c>
      <c r="B434" s="2" t="s">
        <v>14</v>
      </c>
      <c r="C434" s="2" t="s">
        <v>1251</v>
      </c>
      <c r="D434" s="2" t="s">
        <v>257</v>
      </c>
      <c r="E434" s="2" t="str">
        <f>_xlfn.XLOOKUP(F434,Terrain!D:D,Terrain!A:A,"")</f>
        <v>Lower</v>
      </c>
      <c r="F434" s="2" t="s">
        <v>1295</v>
      </c>
      <c r="G434" s="2" t="s">
        <v>1073</v>
      </c>
      <c r="H434" s="2">
        <f t="shared" si="19"/>
        <v>2560</v>
      </c>
      <c r="I434" s="2">
        <v>213.2</v>
      </c>
      <c r="J434" s="2">
        <v>8.5280000000000005</v>
      </c>
      <c r="K434" s="2">
        <v>9</v>
      </c>
      <c r="L434" s="2">
        <f t="shared" si="20"/>
        <v>100</v>
      </c>
      <c r="M434" s="2" t="s">
        <v>1072</v>
      </c>
      <c r="N434" s="40" t="str">
        <f>_xlfn.XLOOKUP(F434,Terrain!D:D,Terrain!H:H,"")</f>
        <v>2559 - 2560</v>
      </c>
      <c r="O434" t="str">
        <f t="shared" si="18"/>
        <v>60-C02-R | 2132 | 240|0</v>
      </c>
    </row>
    <row r="435" spans="1:15" x14ac:dyDescent="0.3">
      <c r="A435" s="43">
        <v>46204</v>
      </c>
      <c r="B435" s="2" t="s">
        <v>14</v>
      </c>
      <c r="C435" s="2" t="s">
        <v>1251</v>
      </c>
      <c r="D435" s="2" t="s">
        <v>265</v>
      </c>
      <c r="E435" s="2" t="str">
        <f>_xlfn.XLOOKUP(F435,Terrain!D:D,Terrain!A:A,"")</f>
        <v>Lower</v>
      </c>
      <c r="F435" s="2" t="s">
        <v>1296</v>
      </c>
      <c r="G435" s="2" t="s">
        <v>1074</v>
      </c>
      <c r="H435" s="2">
        <f t="shared" si="19"/>
        <v>2559</v>
      </c>
      <c r="I435" s="2">
        <v>333.3</v>
      </c>
      <c r="J435" s="2">
        <v>13.332000000000001</v>
      </c>
      <c r="K435" s="2">
        <v>13</v>
      </c>
      <c r="L435" s="2">
        <f t="shared" si="20"/>
        <v>100</v>
      </c>
      <c r="M435" s="2" t="s">
        <v>1072</v>
      </c>
      <c r="N435" s="40" t="str">
        <f>_xlfn.XLOOKUP(F435,Terrain!D:D,Terrain!H:H,"")</f>
        <v>2559 - 2560</v>
      </c>
      <c r="O435" t="str">
        <f t="shared" si="18"/>
        <v>59-C03-R | 3333 | 238|0</v>
      </c>
    </row>
    <row r="436" spans="1:15" x14ac:dyDescent="0.3">
      <c r="A436" s="43">
        <v>46204</v>
      </c>
      <c r="B436" s="2" t="s">
        <v>14</v>
      </c>
      <c r="C436" s="2" t="s">
        <v>1251</v>
      </c>
      <c r="D436" s="2" t="s">
        <v>273</v>
      </c>
      <c r="E436" s="2" t="str">
        <f>_xlfn.XLOOKUP(F436,Terrain!D:D,Terrain!A:A,"")</f>
        <v>Lower</v>
      </c>
      <c r="F436" s="2" t="s">
        <v>1297</v>
      </c>
      <c r="G436" s="2" t="s">
        <v>1075</v>
      </c>
      <c r="H436" s="2">
        <f t="shared" si="19"/>
        <v>2559</v>
      </c>
      <c r="I436" s="2">
        <v>252.5</v>
      </c>
      <c r="J436" s="2">
        <v>10.1</v>
      </c>
      <c r="K436" s="2">
        <v>10</v>
      </c>
      <c r="L436" s="2">
        <f t="shared" si="20"/>
        <v>100</v>
      </c>
      <c r="M436" s="2" t="s">
        <v>1072</v>
      </c>
      <c r="N436" s="40" t="str">
        <f>_xlfn.XLOOKUP(F436,Terrain!D:D,Terrain!H:H,"")</f>
        <v>2559 - 2560</v>
      </c>
      <c r="O436" t="str">
        <f t="shared" si="18"/>
        <v>59-C04-R | 2525 | 233|0</v>
      </c>
    </row>
    <row r="437" spans="1:15" x14ac:dyDescent="0.3">
      <c r="A437" s="43">
        <v>46204</v>
      </c>
      <c r="B437" s="2" t="s">
        <v>14</v>
      </c>
      <c r="C437" s="2" t="s">
        <v>1251</v>
      </c>
      <c r="D437" s="2" t="s">
        <v>281</v>
      </c>
      <c r="E437" s="2" t="str">
        <f>_xlfn.XLOOKUP(F437,Terrain!D:D,Terrain!A:A,"")</f>
        <v>Lower</v>
      </c>
      <c r="F437" s="2" t="s">
        <v>1298</v>
      </c>
      <c r="G437" s="2" t="s">
        <v>864</v>
      </c>
      <c r="H437" s="2">
        <f t="shared" si="19"/>
        <v>2522</v>
      </c>
      <c r="I437" s="2">
        <v>18.399999999999999</v>
      </c>
      <c r="J437" s="2">
        <v>0.73599999999999999</v>
      </c>
      <c r="K437" s="2">
        <v>1</v>
      </c>
      <c r="L437" s="2">
        <f t="shared" si="20"/>
        <v>100</v>
      </c>
      <c r="M437" s="2" t="s">
        <v>1076</v>
      </c>
      <c r="N437" s="40" t="str">
        <f>_xlfn.XLOOKUP(F437,Terrain!D:D,Terrain!H:H,"")</f>
        <v>ปาล์มใหญ่</v>
      </c>
      <c r="O437" t="str">
        <f t="shared" si="18"/>
        <v>22-C05-R | 184 | 143|0</v>
      </c>
    </row>
    <row r="438" spans="1:15" x14ac:dyDescent="0.3">
      <c r="A438" s="43">
        <v>46204</v>
      </c>
      <c r="B438" s="2" t="s">
        <v>14</v>
      </c>
      <c r="C438" s="2" t="s">
        <v>1251</v>
      </c>
      <c r="D438" s="2" t="s">
        <v>289</v>
      </c>
      <c r="E438" s="2" t="str">
        <f>_xlfn.XLOOKUP(F438,Terrain!D:D,Terrain!A:A,"")</f>
        <v>Lower</v>
      </c>
      <c r="F438" s="2" t="s">
        <v>1299</v>
      </c>
      <c r="G438" s="2" t="s">
        <v>865</v>
      </c>
      <c r="H438" s="2">
        <f t="shared" si="19"/>
        <v>2550</v>
      </c>
      <c r="I438" s="2">
        <v>279.2</v>
      </c>
      <c r="J438" s="2">
        <v>11.167999999999999</v>
      </c>
      <c r="K438" s="2">
        <v>11</v>
      </c>
      <c r="L438" s="2">
        <f t="shared" si="20"/>
        <v>100</v>
      </c>
      <c r="M438" s="2" t="s">
        <v>1077</v>
      </c>
      <c r="N438" s="40" t="str">
        <f>_xlfn.XLOOKUP(F438,Terrain!D:D,Terrain!H:H,"")</f>
        <v>2549 - 2552</v>
      </c>
      <c r="O438" t="str">
        <f t="shared" si="18"/>
        <v>50-C05-R | 2792 | 136|0</v>
      </c>
    </row>
    <row r="439" spans="1:15" x14ac:dyDescent="0.3">
      <c r="A439" s="43">
        <v>46204</v>
      </c>
      <c r="B439" s="2" t="s">
        <v>14</v>
      </c>
      <c r="C439" s="2" t="s">
        <v>1251</v>
      </c>
      <c r="D439" s="2" t="s">
        <v>297</v>
      </c>
      <c r="E439" s="2" t="str">
        <f>_xlfn.XLOOKUP(F439,Terrain!D:D,Terrain!A:A,"")</f>
        <v>Lower</v>
      </c>
      <c r="F439" s="2" t="s">
        <v>1300</v>
      </c>
      <c r="G439" s="2" t="s">
        <v>1078</v>
      </c>
      <c r="H439" s="2">
        <f t="shared" si="19"/>
        <v>2560</v>
      </c>
      <c r="I439" s="2">
        <v>72</v>
      </c>
      <c r="J439" s="2">
        <v>2.88</v>
      </c>
      <c r="K439" s="2">
        <v>3</v>
      </c>
      <c r="L439" s="2">
        <f t="shared" si="20"/>
        <v>100</v>
      </c>
      <c r="M439" s="2" t="s">
        <v>1072</v>
      </c>
      <c r="N439" s="40" t="str">
        <f>_xlfn.XLOOKUP(F439,Terrain!D:D,Terrain!H:H,"")</f>
        <v>2559 - 2560</v>
      </c>
      <c r="O439" t="str">
        <f t="shared" si="18"/>
        <v>60-C05-R | 720 | 237|0</v>
      </c>
    </row>
    <row r="440" spans="1:15" x14ac:dyDescent="0.3">
      <c r="A440" s="43">
        <v>46204</v>
      </c>
      <c r="B440" s="2" t="s">
        <v>14</v>
      </c>
      <c r="C440" s="2" t="s">
        <v>1251</v>
      </c>
      <c r="D440" s="2" t="s">
        <v>305</v>
      </c>
      <c r="E440" s="2" t="str">
        <f>_xlfn.XLOOKUP(F440,Terrain!D:D,Terrain!A:A,"")</f>
        <v>Lower</v>
      </c>
      <c r="F440" s="2" t="s">
        <v>1301</v>
      </c>
      <c r="G440" s="2" t="s">
        <v>866</v>
      </c>
      <c r="H440" s="2">
        <f t="shared" si="19"/>
        <v>2557</v>
      </c>
      <c r="I440" s="2">
        <v>30</v>
      </c>
      <c r="J440" s="2">
        <v>1.2</v>
      </c>
      <c r="K440" s="2">
        <v>1</v>
      </c>
      <c r="L440" s="2">
        <f t="shared" si="20"/>
        <v>100</v>
      </c>
      <c r="M440" s="2" t="s">
        <v>1079</v>
      </c>
      <c r="N440" s="40" t="str">
        <f>_xlfn.XLOOKUP(F440,Terrain!D:D,Terrain!H:H,"")</f>
        <v>2555 - 2558</v>
      </c>
      <c r="O440" t="str">
        <f t="shared" si="18"/>
        <v>57-C06 | 300 | 227|0</v>
      </c>
    </row>
    <row r="441" spans="1:15" x14ac:dyDescent="0.3">
      <c r="A441" s="43">
        <v>46204</v>
      </c>
      <c r="B441" s="2" t="s">
        <v>14</v>
      </c>
      <c r="C441" s="2" t="s">
        <v>1251</v>
      </c>
      <c r="D441" s="2" t="s">
        <v>313</v>
      </c>
      <c r="E441" s="2" t="str">
        <f>_xlfn.XLOOKUP(F441,Terrain!D:D,Terrain!A:A,"")</f>
        <v>Lower</v>
      </c>
      <c r="F441" s="2" t="s">
        <v>1302</v>
      </c>
      <c r="G441" s="2" t="s">
        <v>1080</v>
      </c>
      <c r="H441" s="2">
        <f t="shared" si="19"/>
        <v>2557</v>
      </c>
      <c r="I441" s="2">
        <v>249.5</v>
      </c>
      <c r="J441" s="2">
        <v>9.98</v>
      </c>
      <c r="K441" s="2">
        <v>10</v>
      </c>
      <c r="L441" s="2">
        <f t="shared" si="20"/>
        <v>100</v>
      </c>
      <c r="M441" s="2" t="s">
        <v>1081</v>
      </c>
      <c r="N441" s="40" t="str">
        <f>_xlfn.XLOOKUP(F441,Terrain!D:D,Terrain!H:H,"")</f>
        <v>2555 - 2558</v>
      </c>
      <c r="O441" t="str">
        <f t="shared" si="18"/>
        <v>57-C06-R | 2495 | 232|0</v>
      </c>
    </row>
    <row r="442" spans="1:15" x14ac:dyDescent="0.3">
      <c r="A442" s="43">
        <v>46204</v>
      </c>
      <c r="B442" s="2" t="s">
        <v>14</v>
      </c>
      <c r="C442" s="2" t="s">
        <v>1251</v>
      </c>
      <c r="D442" s="2" t="s">
        <v>321</v>
      </c>
      <c r="E442" s="2" t="str">
        <f>_xlfn.XLOOKUP(F442,Terrain!D:D,Terrain!A:A,"")</f>
        <v>Lower</v>
      </c>
      <c r="F442" s="2" t="s">
        <v>1303</v>
      </c>
      <c r="G442" s="2" t="s">
        <v>867</v>
      </c>
      <c r="H442" s="2">
        <f t="shared" si="19"/>
        <v>2550</v>
      </c>
      <c r="I442" s="2">
        <v>420.2</v>
      </c>
      <c r="J442" s="2">
        <v>16.808</v>
      </c>
      <c r="K442" s="2">
        <v>17</v>
      </c>
      <c r="L442" s="2">
        <f t="shared" si="20"/>
        <v>100</v>
      </c>
      <c r="M442" s="2" t="s">
        <v>1077</v>
      </c>
      <c r="N442" s="40" t="str">
        <f>_xlfn.XLOOKUP(F442,Terrain!D:D,Terrain!H:H,"")</f>
        <v>2549 - 2552</v>
      </c>
      <c r="O442" t="str">
        <f t="shared" si="18"/>
        <v>50-C07-R | 4202 | 139|0</v>
      </c>
    </row>
    <row r="443" spans="1:15" x14ac:dyDescent="0.3">
      <c r="A443" s="43">
        <v>46204</v>
      </c>
      <c r="B443" s="2" t="s">
        <v>14</v>
      </c>
      <c r="C443" s="2" t="s">
        <v>1251</v>
      </c>
      <c r="D443" s="2" t="s">
        <v>329</v>
      </c>
      <c r="E443" s="2" t="str">
        <f>_xlfn.XLOOKUP(F443,Terrain!D:D,Terrain!A:A,"")</f>
        <v>Lower</v>
      </c>
      <c r="F443" s="2" t="s">
        <v>1304</v>
      </c>
      <c r="G443" s="2" t="s">
        <v>1082</v>
      </c>
      <c r="H443" s="2">
        <f t="shared" si="19"/>
        <v>2559</v>
      </c>
      <c r="I443" s="2">
        <v>288.8</v>
      </c>
      <c r="J443" s="2">
        <v>11.552</v>
      </c>
      <c r="K443" s="2">
        <v>12</v>
      </c>
      <c r="L443" s="2">
        <f t="shared" si="20"/>
        <v>100</v>
      </c>
      <c r="M443" s="2" t="s">
        <v>1072</v>
      </c>
      <c r="N443" s="40" t="str">
        <f>_xlfn.XLOOKUP(F443,Terrain!D:D,Terrain!H:H,"")</f>
        <v>2559 - 2560</v>
      </c>
      <c r="O443" t="str">
        <f t="shared" si="18"/>
        <v>59-C08-R | 2888 | 239|0</v>
      </c>
    </row>
    <row r="444" spans="1:15" x14ac:dyDescent="0.3">
      <c r="A444" s="43">
        <v>46204</v>
      </c>
      <c r="B444" s="2" t="s">
        <v>14</v>
      </c>
      <c r="C444" s="2" t="s">
        <v>1251</v>
      </c>
      <c r="D444" s="2" t="s">
        <v>337</v>
      </c>
      <c r="E444" s="2" t="str">
        <f>_xlfn.XLOOKUP(F444,Terrain!D:D,Terrain!A:A,"")</f>
        <v>Lower</v>
      </c>
      <c r="F444" s="2" t="s">
        <v>1305</v>
      </c>
      <c r="G444" s="2" t="s">
        <v>1083</v>
      </c>
      <c r="H444" s="2">
        <f t="shared" si="19"/>
        <v>2559</v>
      </c>
      <c r="I444" s="2">
        <v>190.5</v>
      </c>
      <c r="J444" s="2">
        <v>7.62</v>
      </c>
      <c r="K444" s="2">
        <v>8</v>
      </c>
      <c r="L444" s="2">
        <f t="shared" si="20"/>
        <v>100</v>
      </c>
      <c r="M444" s="2" t="s">
        <v>1072</v>
      </c>
      <c r="N444" s="40" t="str">
        <f>_xlfn.XLOOKUP(F444,Terrain!D:D,Terrain!H:H,"")</f>
        <v>2559 - 2560</v>
      </c>
      <c r="O444" t="str">
        <f t="shared" si="18"/>
        <v>59-C09-R | 1905 | 231|0</v>
      </c>
    </row>
    <row r="445" spans="1:15" x14ac:dyDescent="0.3">
      <c r="A445" s="43">
        <v>46204</v>
      </c>
      <c r="B445" s="2" t="s">
        <v>14</v>
      </c>
      <c r="C445" s="2" t="s">
        <v>1251</v>
      </c>
      <c r="D445" s="2" t="s">
        <v>345</v>
      </c>
      <c r="E445" s="2" t="str">
        <f>_xlfn.XLOOKUP(F445,Terrain!D:D,Terrain!A:A,"")</f>
        <v>Lower</v>
      </c>
      <c r="F445" s="2" t="s">
        <v>1306</v>
      </c>
      <c r="G445" s="2" t="s">
        <v>868</v>
      </c>
      <c r="H445" s="2">
        <f t="shared" si="19"/>
        <v>2556</v>
      </c>
      <c r="I445" s="2">
        <v>310.60000000000002</v>
      </c>
      <c r="J445" s="2">
        <v>12.423999999999999</v>
      </c>
      <c r="K445" s="2">
        <v>12</v>
      </c>
      <c r="L445" s="2">
        <f t="shared" si="20"/>
        <v>100</v>
      </c>
      <c r="M445" s="2" t="s">
        <v>1081</v>
      </c>
      <c r="N445" s="40" t="str">
        <f>_xlfn.XLOOKUP(F445,Terrain!D:D,Terrain!H:H,"")</f>
        <v>2555 - 2558</v>
      </c>
      <c r="O445" t="str">
        <f t="shared" si="18"/>
        <v>56-C10-R | 3106 | 236|0</v>
      </c>
    </row>
    <row r="446" spans="1:15" x14ac:dyDescent="0.3">
      <c r="A446" s="43">
        <v>46204</v>
      </c>
      <c r="B446" s="2" t="s">
        <v>14</v>
      </c>
      <c r="C446" s="2" t="s">
        <v>1251</v>
      </c>
      <c r="D446" s="2" t="s">
        <v>353</v>
      </c>
      <c r="E446" s="2" t="str">
        <f>_xlfn.XLOOKUP(F446,Terrain!D:D,Terrain!A:A,"")</f>
        <v>Lower</v>
      </c>
      <c r="F446" s="2" t="s">
        <v>1307</v>
      </c>
      <c r="G446" s="2" t="s">
        <v>1084</v>
      </c>
      <c r="H446" s="2">
        <f t="shared" si="19"/>
        <v>2559</v>
      </c>
      <c r="I446" s="2">
        <v>229.1</v>
      </c>
      <c r="J446" s="2">
        <v>9.1639999999999997</v>
      </c>
      <c r="K446" s="2">
        <v>9</v>
      </c>
      <c r="L446" s="2">
        <f t="shared" si="20"/>
        <v>100</v>
      </c>
      <c r="M446" s="2" t="s">
        <v>1072</v>
      </c>
      <c r="N446" s="40" t="str">
        <f>_xlfn.XLOOKUP(F446,Terrain!D:D,Terrain!H:H,"")</f>
        <v>2559 - 2560</v>
      </c>
      <c r="O446" t="str">
        <f t="shared" si="18"/>
        <v>59-C11-R | 2291 | 242|0</v>
      </c>
    </row>
    <row r="447" spans="1:15" x14ac:dyDescent="0.3">
      <c r="A447" s="43">
        <v>46204</v>
      </c>
      <c r="B447" s="2" t="s">
        <v>14</v>
      </c>
      <c r="C447" s="2" t="s">
        <v>1251</v>
      </c>
      <c r="D447" s="2" t="s">
        <v>361</v>
      </c>
      <c r="E447" s="2" t="str">
        <f>_xlfn.XLOOKUP(F447,Terrain!D:D,Terrain!A:A,"")</f>
        <v>Lower</v>
      </c>
      <c r="F447" s="2" t="s">
        <v>1308</v>
      </c>
      <c r="G447" s="2" t="s">
        <v>863</v>
      </c>
      <c r="H447" s="2">
        <f t="shared" si="19"/>
        <v>2565</v>
      </c>
      <c r="I447" s="2">
        <v>253.1</v>
      </c>
      <c r="J447" s="2">
        <v>10.124000000000001</v>
      </c>
      <c r="K447" s="2">
        <v>10</v>
      </c>
      <c r="L447" s="2">
        <f t="shared" si="20"/>
        <v>100</v>
      </c>
      <c r="M447" s="2" t="s">
        <v>1044</v>
      </c>
      <c r="N447" s="40" t="str">
        <f>_xlfn.XLOOKUP(F447,Terrain!D:D,Terrain!H:H,"")</f>
        <v>2563 - 2565</v>
      </c>
      <c r="O447" t="str">
        <f t="shared" si="18"/>
        <v>65-D01-R | 2531 | 310|0</v>
      </c>
    </row>
    <row r="448" spans="1:15" x14ac:dyDescent="0.3">
      <c r="A448" s="43">
        <v>46204</v>
      </c>
      <c r="B448" s="2" t="s">
        <v>14</v>
      </c>
      <c r="C448" s="2" t="s">
        <v>1251</v>
      </c>
      <c r="D448" s="2" t="s">
        <v>369</v>
      </c>
      <c r="E448" s="2" t="str">
        <f>_xlfn.XLOOKUP(F448,Terrain!D:D,Terrain!A:A,"")</f>
        <v>Lower</v>
      </c>
      <c r="F448" s="2" t="s">
        <v>1309</v>
      </c>
      <c r="G448" s="2" t="s">
        <v>869</v>
      </c>
      <c r="H448" s="2">
        <f t="shared" si="19"/>
        <v>2564</v>
      </c>
      <c r="I448" s="2">
        <v>285.3</v>
      </c>
      <c r="J448" s="2">
        <v>11.412000000000001</v>
      </c>
      <c r="K448" s="2">
        <v>11</v>
      </c>
      <c r="L448" s="2">
        <f t="shared" si="20"/>
        <v>100</v>
      </c>
      <c r="M448" s="2" t="s">
        <v>1044</v>
      </c>
      <c r="N448" s="40" t="str">
        <f>_xlfn.XLOOKUP(F448,Terrain!D:D,Terrain!H:H,"")</f>
        <v>2563 - 2565</v>
      </c>
      <c r="O448" t="str">
        <f t="shared" si="18"/>
        <v>64-D02-R | 2853 | 304|0</v>
      </c>
    </row>
    <row r="449" spans="1:15" x14ac:dyDescent="0.3">
      <c r="A449" s="43">
        <v>46204</v>
      </c>
      <c r="B449" s="2" t="s">
        <v>14</v>
      </c>
      <c r="C449" s="2" t="s">
        <v>1251</v>
      </c>
      <c r="D449" s="2" t="s">
        <v>377</v>
      </c>
      <c r="E449" s="2" t="str">
        <f>_xlfn.XLOOKUP(F449,Terrain!D:D,Terrain!A:A,"")</f>
        <v>Lower</v>
      </c>
      <c r="F449" s="2" t="s">
        <v>1310</v>
      </c>
      <c r="G449" s="2" t="s">
        <v>870</v>
      </c>
      <c r="H449" s="2">
        <f t="shared" si="19"/>
        <v>2565</v>
      </c>
      <c r="I449" s="2">
        <v>280.3</v>
      </c>
      <c r="J449" s="2">
        <v>11.212</v>
      </c>
      <c r="K449" s="2">
        <v>11</v>
      </c>
      <c r="L449" s="2">
        <f t="shared" si="20"/>
        <v>100</v>
      </c>
      <c r="M449" s="2" t="s">
        <v>1044</v>
      </c>
      <c r="N449" s="40" t="str">
        <f>_xlfn.XLOOKUP(F449,Terrain!D:D,Terrain!H:H,"")</f>
        <v>2563 - 2565</v>
      </c>
      <c r="O449" t="str">
        <f t="shared" ref="O449:O512" si="21">F449 &amp; " | " &amp; G449 &amp; " | " &amp; D449</f>
        <v>65-D03-R | 2803 | 307|0</v>
      </c>
    </row>
    <row r="450" spans="1:15" x14ac:dyDescent="0.3">
      <c r="A450" s="43">
        <v>46204</v>
      </c>
      <c r="B450" s="2" t="s">
        <v>14</v>
      </c>
      <c r="C450" s="2" t="s">
        <v>1251</v>
      </c>
      <c r="D450" s="2" t="s">
        <v>385</v>
      </c>
      <c r="E450" s="2" t="str">
        <f>_xlfn.XLOOKUP(F450,Terrain!D:D,Terrain!A:A,"")</f>
        <v>Lower</v>
      </c>
      <c r="F450" s="2" t="s">
        <v>1311</v>
      </c>
      <c r="G450" s="2" t="s">
        <v>871</v>
      </c>
      <c r="H450" s="2">
        <f t="shared" ref="H450:H513" si="22">2500+VALUE(MID(F450,1,2))</f>
        <v>2565</v>
      </c>
      <c r="I450" s="2">
        <v>281.89999999999998</v>
      </c>
      <c r="J450" s="2">
        <v>11.276</v>
      </c>
      <c r="K450" s="2">
        <v>11</v>
      </c>
      <c r="L450" s="2">
        <f t="shared" ref="L450:L513" si="23">I450*1000/G450</f>
        <v>100</v>
      </c>
      <c r="M450" s="2" t="s">
        <v>1044</v>
      </c>
      <c r="N450" s="40" t="str">
        <f>_xlfn.XLOOKUP(F450,Terrain!D:D,Terrain!H:H,"")</f>
        <v>2563 - 2565</v>
      </c>
      <c r="O450" t="str">
        <f t="shared" si="21"/>
        <v>65-D04-R | 2819 | 309|0</v>
      </c>
    </row>
    <row r="451" spans="1:15" x14ac:dyDescent="0.3">
      <c r="A451" s="43">
        <v>46204</v>
      </c>
      <c r="B451" s="2" t="s">
        <v>14</v>
      </c>
      <c r="C451" s="2" t="s">
        <v>1251</v>
      </c>
      <c r="D451" s="2" t="s">
        <v>393</v>
      </c>
      <c r="E451" s="2" t="str">
        <f>_xlfn.XLOOKUP(F451,Terrain!D:D,Terrain!A:A,"")</f>
        <v>Lower</v>
      </c>
      <c r="F451" s="2" t="s">
        <v>1268</v>
      </c>
      <c r="G451" s="2" t="s">
        <v>1042</v>
      </c>
      <c r="H451" s="2">
        <f t="shared" si="22"/>
        <v>2565</v>
      </c>
      <c r="I451" s="2">
        <v>268.7</v>
      </c>
      <c r="J451" s="2">
        <v>10.747999999999999</v>
      </c>
      <c r="K451" s="2">
        <v>11</v>
      </c>
      <c r="L451" s="2">
        <f t="shared" si="23"/>
        <v>100</v>
      </c>
      <c r="M451" s="2" t="s">
        <v>1044</v>
      </c>
      <c r="N451" s="40" t="str">
        <f>_xlfn.XLOOKUP(F451,Terrain!D:D,Terrain!H:H,"")</f>
        <v>2563 - 2565</v>
      </c>
      <c r="O451" t="str">
        <f t="shared" si="21"/>
        <v>65-D05-R | 2687 | 305|0</v>
      </c>
    </row>
    <row r="452" spans="1:15" x14ac:dyDescent="0.3">
      <c r="A452" s="43">
        <v>46204</v>
      </c>
      <c r="B452" s="2" t="s">
        <v>14</v>
      </c>
      <c r="C452" s="2" t="s">
        <v>1251</v>
      </c>
      <c r="D452" s="2" t="s">
        <v>400</v>
      </c>
      <c r="E452" s="2" t="str">
        <f>_xlfn.XLOOKUP(F452,Terrain!D:D,Terrain!A:A,"")</f>
        <v>Lower</v>
      </c>
      <c r="F452" s="2" t="s">
        <v>1312</v>
      </c>
      <c r="G452" s="2" t="s">
        <v>872</v>
      </c>
      <c r="H452" s="2">
        <f t="shared" si="22"/>
        <v>2567</v>
      </c>
      <c r="I452" s="2">
        <v>286.5</v>
      </c>
      <c r="J452" s="2">
        <v>11.46</v>
      </c>
      <c r="K452" s="2">
        <v>11</v>
      </c>
      <c r="L452" s="2">
        <f t="shared" si="23"/>
        <v>100</v>
      </c>
      <c r="M452" s="2" t="s">
        <v>1085</v>
      </c>
      <c r="N452" s="40">
        <f>_xlfn.XLOOKUP(F452,Terrain!D:D,Terrain!H:H,"")</f>
        <v>2567</v>
      </c>
      <c r="O452" t="str">
        <f t="shared" si="21"/>
        <v>67-D06-R | 2865 | 359|0</v>
      </c>
    </row>
    <row r="453" spans="1:15" x14ac:dyDescent="0.3">
      <c r="A453" s="43">
        <v>46204</v>
      </c>
      <c r="B453" s="2" t="s">
        <v>14</v>
      </c>
      <c r="C453" s="2" t="s">
        <v>1251</v>
      </c>
      <c r="D453" s="2" t="s">
        <v>410</v>
      </c>
      <c r="E453" s="2" t="str">
        <f>_xlfn.XLOOKUP(F453,Terrain!D:D,Terrain!A:A,"")</f>
        <v>Lower</v>
      </c>
      <c r="F453" s="2" t="s">
        <v>1313</v>
      </c>
      <c r="G453" s="2" t="s">
        <v>1086</v>
      </c>
      <c r="H453" s="2">
        <f t="shared" si="22"/>
        <v>2556</v>
      </c>
      <c r="I453" s="2">
        <v>393.1</v>
      </c>
      <c r="J453" s="2">
        <v>15.724</v>
      </c>
      <c r="K453" s="2">
        <v>16</v>
      </c>
      <c r="L453" s="2">
        <f t="shared" si="23"/>
        <v>100</v>
      </c>
      <c r="M453" s="2" t="s">
        <v>1087</v>
      </c>
      <c r="N453" s="40" t="str">
        <f>_xlfn.XLOOKUP(F453,Terrain!D:D,Terrain!H:H,"")</f>
        <v>2555 - 2558</v>
      </c>
      <c r="O453" t="str">
        <f t="shared" si="21"/>
        <v>56-D07-R | 3931 | 235|0</v>
      </c>
    </row>
    <row r="454" spans="1:15" x14ac:dyDescent="0.3">
      <c r="A454" s="43">
        <v>46204</v>
      </c>
      <c r="B454" s="2" t="s">
        <v>14</v>
      </c>
      <c r="C454" s="2" t="s">
        <v>1251</v>
      </c>
      <c r="D454" s="2" t="s">
        <v>418</v>
      </c>
      <c r="E454" s="2" t="str">
        <f>_xlfn.XLOOKUP(F454,Terrain!D:D,Terrain!A:A,"")</f>
        <v>Lower</v>
      </c>
      <c r="F454" s="2" t="s">
        <v>1314</v>
      </c>
      <c r="G454" s="2" t="s">
        <v>1088</v>
      </c>
      <c r="H454" s="2">
        <f t="shared" si="22"/>
        <v>2563</v>
      </c>
      <c r="I454" s="2">
        <v>236.5</v>
      </c>
      <c r="J454" s="2">
        <v>9.4600000000000009</v>
      </c>
      <c r="K454" s="2">
        <v>9</v>
      </c>
      <c r="L454" s="2">
        <f t="shared" si="23"/>
        <v>100</v>
      </c>
      <c r="M454" s="2" t="s">
        <v>1044</v>
      </c>
      <c r="N454" s="40" t="str">
        <f>_xlfn.XLOOKUP(F454,Terrain!D:D,Terrain!H:H,"")</f>
        <v>2563 - 2565</v>
      </c>
      <c r="O454" t="str">
        <f t="shared" si="21"/>
        <v>63-D08-R | 2365 | 311|0</v>
      </c>
    </row>
    <row r="455" spans="1:15" x14ac:dyDescent="0.3">
      <c r="A455" s="43">
        <v>46204</v>
      </c>
      <c r="B455" s="2" t="s">
        <v>14</v>
      </c>
      <c r="C455" s="2" t="s">
        <v>1251</v>
      </c>
      <c r="D455" s="2" t="s">
        <v>426</v>
      </c>
      <c r="E455" s="2" t="str">
        <f>_xlfn.XLOOKUP(F455,Terrain!D:D,Terrain!A:A,"")</f>
        <v>Lower</v>
      </c>
      <c r="F455" s="2" t="s">
        <v>1315</v>
      </c>
      <c r="G455" s="2" t="s">
        <v>873</v>
      </c>
      <c r="H455" s="2">
        <f t="shared" si="22"/>
        <v>2566</v>
      </c>
      <c r="I455" s="2">
        <v>299.89999999999998</v>
      </c>
      <c r="J455" s="2">
        <v>11.996</v>
      </c>
      <c r="K455" s="2">
        <v>12</v>
      </c>
      <c r="L455" s="2">
        <f t="shared" si="23"/>
        <v>100</v>
      </c>
      <c r="M455" s="2" t="s">
        <v>1089</v>
      </c>
      <c r="N455" s="40">
        <f>_xlfn.XLOOKUP(F455,Terrain!D:D,Terrain!H:H,"")</f>
        <v>2566</v>
      </c>
      <c r="O455" t="str">
        <f t="shared" si="21"/>
        <v>66-D09-R | 2999 | 338|0</v>
      </c>
    </row>
    <row r="456" spans="1:15" x14ac:dyDescent="0.3">
      <c r="A456" s="43">
        <v>46204</v>
      </c>
      <c r="B456" s="2" t="s">
        <v>14</v>
      </c>
      <c r="C456" s="2" t="s">
        <v>1251</v>
      </c>
      <c r="D456" s="2" t="s">
        <v>435</v>
      </c>
      <c r="E456" s="2" t="str">
        <f>_xlfn.XLOOKUP(F456,Terrain!D:D,Terrain!A:A,"")</f>
        <v>Lower</v>
      </c>
      <c r="F456" s="2" t="s">
        <v>1316</v>
      </c>
      <c r="G456" s="2" t="s">
        <v>874</v>
      </c>
      <c r="H456" s="2">
        <f t="shared" si="22"/>
        <v>2567</v>
      </c>
      <c r="I456" s="2">
        <v>216.7</v>
      </c>
      <c r="J456" s="2">
        <v>8.6679999999999993</v>
      </c>
      <c r="K456" s="2">
        <v>9</v>
      </c>
      <c r="L456" s="2">
        <f t="shared" si="23"/>
        <v>100</v>
      </c>
      <c r="M456" s="2" t="s">
        <v>1090</v>
      </c>
      <c r="N456" s="40">
        <f>_xlfn.XLOOKUP(F456,Terrain!D:D,Terrain!H:H,"")</f>
        <v>2567</v>
      </c>
      <c r="O456" t="str">
        <f t="shared" si="21"/>
        <v>67-P01-R | 2167 | 360|0</v>
      </c>
    </row>
    <row r="457" spans="1:15" x14ac:dyDescent="0.3">
      <c r="A457" s="43">
        <v>46204</v>
      </c>
      <c r="B457" s="2" t="s">
        <v>14</v>
      </c>
      <c r="C457" s="2" t="s">
        <v>1251</v>
      </c>
      <c r="D457" s="2" t="s">
        <v>444</v>
      </c>
      <c r="E457" s="2" t="str">
        <f>_xlfn.XLOOKUP(F457,Terrain!D:D,Terrain!A:A,"")</f>
        <v>Lower</v>
      </c>
      <c r="F457" s="2" t="s">
        <v>1317</v>
      </c>
      <c r="G457" s="2" t="s">
        <v>875</v>
      </c>
      <c r="H457" s="2">
        <f t="shared" si="22"/>
        <v>2567</v>
      </c>
      <c r="I457" s="2">
        <v>232</v>
      </c>
      <c r="J457" s="2">
        <v>9.2799999999999994</v>
      </c>
      <c r="K457" s="2">
        <v>9</v>
      </c>
      <c r="L457" s="2">
        <f t="shared" si="23"/>
        <v>100</v>
      </c>
      <c r="M457" s="2" t="s">
        <v>1090</v>
      </c>
      <c r="N457" s="40">
        <f>_xlfn.XLOOKUP(F457,Terrain!D:D,Terrain!H:H,"")</f>
        <v>2567</v>
      </c>
      <c r="O457" t="str">
        <f t="shared" si="21"/>
        <v>67-P02-R | 2320 | 361|0</v>
      </c>
    </row>
    <row r="458" spans="1:15" x14ac:dyDescent="0.3">
      <c r="A458" s="43">
        <v>46204</v>
      </c>
      <c r="B458" s="2" t="s">
        <v>14</v>
      </c>
      <c r="C458" s="2" t="s">
        <v>1251</v>
      </c>
      <c r="D458" s="2" t="s">
        <v>454</v>
      </c>
      <c r="E458" s="2" t="str">
        <f>_xlfn.XLOOKUP(F458,Terrain!D:D,Terrain!A:A,"")</f>
        <v>Lower</v>
      </c>
      <c r="F458" s="2" t="s">
        <v>1318</v>
      </c>
      <c r="G458" s="2" t="s">
        <v>876</v>
      </c>
      <c r="H458" s="2">
        <f t="shared" si="22"/>
        <v>2566</v>
      </c>
      <c r="I458" s="2">
        <v>255</v>
      </c>
      <c r="J458" s="2">
        <v>10.199999999999999</v>
      </c>
      <c r="K458" s="2">
        <v>10</v>
      </c>
      <c r="L458" s="2">
        <f t="shared" si="23"/>
        <v>100</v>
      </c>
      <c r="M458" s="2" t="s">
        <v>1091</v>
      </c>
      <c r="N458" s="40">
        <f>_xlfn.XLOOKUP(F458,Terrain!D:D,Terrain!H:H,"")</f>
        <v>2566</v>
      </c>
      <c r="O458" t="str">
        <f t="shared" si="21"/>
        <v>66-P03-R | 2550 | 335|0</v>
      </c>
    </row>
    <row r="459" spans="1:15" x14ac:dyDescent="0.3">
      <c r="A459" s="43">
        <v>46204</v>
      </c>
      <c r="B459" s="2" t="s">
        <v>14</v>
      </c>
      <c r="C459" s="2" t="s">
        <v>1251</v>
      </c>
      <c r="D459" s="2" t="s">
        <v>464</v>
      </c>
      <c r="E459" s="2" t="str">
        <f>_xlfn.XLOOKUP(F459,Terrain!D:D,Terrain!A:A,"")</f>
        <v>Lower</v>
      </c>
      <c r="F459" s="2" t="s">
        <v>1319</v>
      </c>
      <c r="G459" s="2" t="s">
        <v>877</v>
      </c>
      <c r="H459" s="2">
        <f t="shared" si="22"/>
        <v>2566</v>
      </c>
      <c r="I459" s="2">
        <v>285.39999999999998</v>
      </c>
      <c r="J459" s="2">
        <v>11.416</v>
      </c>
      <c r="K459" s="2">
        <v>11</v>
      </c>
      <c r="L459" s="2">
        <f t="shared" si="23"/>
        <v>100</v>
      </c>
      <c r="M459" s="2" t="s">
        <v>1091</v>
      </c>
      <c r="N459" s="40">
        <f>_xlfn.XLOOKUP(F459,Terrain!D:D,Terrain!H:H,"")</f>
        <v>2566</v>
      </c>
      <c r="O459" t="str">
        <f t="shared" si="21"/>
        <v>66-P04-R | 2854 | 339|0</v>
      </c>
    </row>
    <row r="460" spans="1:15" x14ac:dyDescent="0.3">
      <c r="A460" s="43">
        <v>46204</v>
      </c>
      <c r="B460" s="2" t="s">
        <v>14</v>
      </c>
      <c r="C460" s="2" t="s">
        <v>1251</v>
      </c>
      <c r="D460" s="2" t="s">
        <v>474</v>
      </c>
      <c r="E460" s="2" t="str">
        <f>_xlfn.XLOOKUP(F460,Terrain!D:D,Terrain!A:A,"")</f>
        <v>Lower</v>
      </c>
      <c r="F460" s="2" t="s">
        <v>1320</v>
      </c>
      <c r="G460" s="2" t="s">
        <v>878</v>
      </c>
      <c r="H460" s="2">
        <f t="shared" si="22"/>
        <v>2566</v>
      </c>
      <c r="I460" s="2">
        <v>311.10000000000002</v>
      </c>
      <c r="J460" s="2">
        <v>12.444000000000001</v>
      </c>
      <c r="K460" s="2">
        <v>12</v>
      </c>
      <c r="L460" s="2">
        <f t="shared" si="23"/>
        <v>100</v>
      </c>
      <c r="M460" s="2" t="s">
        <v>1091</v>
      </c>
      <c r="N460" s="40">
        <f>_xlfn.XLOOKUP(F460,Terrain!D:D,Terrain!H:H,"")</f>
        <v>2566</v>
      </c>
      <c r="O460" t="str">
        <f t="shared" si="21"/>
        <v>66-P05-R | 3111 | 337|0</v>
      </c>
    </row>
    <row r="461" spans="1:15" x14ac:dyDescent="0.3">
      <c r="A461" s="43">
        <v>46204</v>
      </c>
      <c r="B461" s="2" t="s">
        <v>14</v>
      </c>
      <c r="C461" s="2" t="s">
        <v>1251</v>
      </c>
      <c r="D461" s="2" t="s">
        <v>484</v>
      </c>
      <c r="E461" s="2" t="str">
        <f>_xlfn.XLOOKUP(F461,Terrain!D:D,Terrain!A:A,"")</f>
        <v>Lower</v>
      </c>
      <c r="F461" s="2" t="s">
        <v>1321</v>
      </c>
      <c r="G461" s="2" t="s">
        <v>879</v>
      </c>
      <c r="H461" s="2">
        <f t="shared" si="22"/>
        <v>2564</v>
      </c>
      <c r="I461" s="2">
        <v>288.60000000000002</v>
      </c>
      <c r="J461" s="2">
        <v>11.544</v>
      </c>
      <c r="K461" s="2">
        <v>12</v>
      </c>
      <c r="L461" s="2">
        <f t="shared" si="23"/>
        <v>100</v>
      </c>
      <c r="M461" s="2" t="s">
        <v>1092</v>
      </c>
      <c r="N461" s="40" t="str">
        <f>_xlfn.XLOOKUP(F461,Terrain!D:D,Terrain!H:H,"")</f>
        <v>2563 - 2565</v>
      </c>
      <c r="O461" t="str">
        <f t="shared" si="21"/>
        <v>64-P06-R | 2886 | 312|0</v>
      </c>
    </row>
    <row r="462" spans="1:15" x14ac:dyDescent="0.3">
      <c r="A462" s="43">
        <v>46204</v>
      </c>
      <c r="B462" s="2" t="s">
        <v>14</v>
      </c>
      <c r="C462" s="2" t="s">
        <v>1251</v>
      </c>
      <c r="D462" s="2" t="s">
        <v>492</v>
      </c>
      <c r="E462" s="2" t="str">
        <f>_xlfn.XLOOKUP(F462,Terrain!D:D,Terrain!A:A,"")</f>
        <v>Lower</v>
      </c>
      <c r="F462" s="2" t="s">
        <v>1322</v>
      </c>
      <c r="G462" s="2" t="s">
        <v>880</v>
      </c>
      <c r="H462" s="2">
        <f t="shared" si="22"/>
        <v>2551</v>
      </c>
      <c r="I462" s="2">
        <v>15.2</v>
      </c>
      <c r="J462" s="2">
        <v>0.60799999999999998</v>
      </c>
      <c r="K462" s="2">
        <v>1</v>
      </c>
      <c r="L462" s="2">
        <f t="shared" si="23"/>
        <v>100</v>
      </c>
      <c r="M462" s="2" t="s">
        <v>1093</v>
      </c>
      <c r="N462" s="40" t="str">
        <f>_xlfn.XLOOKUP(F462,Terrain!D:D,Terrain!H:H,"")</f>
        <v>2549 - 2552</v>
      </c>
      <c r="O462" t="str">
        <f t="shared" si="21"/>
        <v>51-P07 | 152 | 142|0</v>
      </c>
    </row>
    <row r="463" spans="1:15" x14ac:dyDescent="0.3">
      <c r="A463" s="43">
        <v>46204</v>
      </c>
      <c r="B463" s="2" t="s">
        <v>14</v>
      </c>
      <c r="C463" s="2" t="s">
        <v>1251</v>
      </c>
      <c r="D463" s="2" t="s">
        <v>500</v>
      </c>
      <c r="E463" s="2" t="str">
        <f>_xlfn.XLOOKUP(F463,Terrain!D:D,Terrain!A:A,"")</f>
        <v>Lower</v>
      </c>
      <c r="F463" s="2" t="s">
        <v>1323</v>
      </c>
      <c r="G463" s="2" t="s">
        <v>881</v>
      </c>
      <c r="H463" s="2">
        <f t="shared" si="22"/>
        <v>2551</v>
      </c>
      <c r="I463" s="2">
        <v>40.1</v>
      </c>
      <c r="J463" s="2">
        <v>1.6040000000000001</v>
      </c>
      <c r="K463" s="2">
        <v>2</v>
      </c>
      <c r="L463" s="2">
        <f t="shared" si="23"/>
        <v>100</v>
      </c>
      <c r="M463" s="2" t="s">
        <v>1094</v>
      </c>
      <c r="N463" s="40" t="str">
        <f>_xlfn.XLOOKUP(F463,Terrain!D:D,Terrain!H:H,"")</f>
        <v>2549 - 2552</v>
      </c>
      <c r="O463" t="str">
        <f t="shared" si="21"/>
        <v>51-P07-R | 401 | 134|0</v>
      </c>
    </row>
    <row r="464" spans="1:15" x14ac:dyDescent="0.3">
      <c r="A464" s="43">
        <v>46204</v>
      </c>
      <c r="B464" s="2" t="s">
        <v>14</v>
      </c>
      <c r="C464" s="2" t="s">
        <v>1251</v>
      </c>
      <c r="D464" s="2" t="s">
        <v>508</v>
      </c>
      <c r="E464" s="2" t="str">
        <f>_xlfn.XLOOKUP(F464,Terrain!D:D,Terrain!A:A,"")</f>
        <v>Lower</v>
      </c>
      <c r="F464" s="2" t="s">
        <v>1324</v>
      </c>
      <c r="G464" s="2" t="s">
        <v>882</v>
      </c>
      <c r="H464" s="2">
        <f t="shared" si="22"/>
        <v>2564</v>
      </c>
      <c r="I464" s="2">
        <v>257.89999999999998</v>
      </c>
      <c r="J464" s="2">
        <v>10.316000000000001</v>
      </c>
      <c r="K464" s="2">
        <v>10</v>
      </c>
      <c r="L464" s="2">
        <f t="shared" si="23"/>
        <v>99.999999999999986</v>
      </c>
      <c r="M464" s="2" t="s">
        <v>1092</v>
      </c>
      <c r="N464" s="40" t="str">
        <f>_xlfn.XLOOKUP(F464,Terrain!D:D,Terrain!H:H,"")</f>
        <v>2563 - 2565</v>
      </c>
      <c r="O464" t="str">
        <f t="shared" si="21"/>
        <v>64-P07-R | 2579 | 302|0</v>
      </c>
    </row>
    <row r="465" spans="1:15" x14ac:dyDescent="0.3">
      <c r="A465" s="43">
        <v>46204</v>
      </c>
      <c r="B465" s="2" t="s">
        <v>14</v>
      </c>
      <c r="C465" s="2" t="s">
        <v>1251</v>
      </c>
      <c r="D465" s="2" t="s">
        <v>516</v>
      </c>
      <c r="E465" s="2" t="str">
        <f>_xlfn.XLOOKUP(F465,Terrain!D:D,Terrain!A:A,"")</f>
        <v>Lower</v>
      </c>
      <c r="F465" s="2" t="s">
        <v>1325</v>
      </c>
      <c r="G465" s="2" t="s">
        <v>883</v>
      </c>
      <c r="H465" s="2">
        <f t="shared" si="22"/>
        <v>2564</v>
      </c>
      <c r="I465" s="2">
        <v>340.2</v>
      </c>
      <c r="J465" s="2">
        <v>13.608000000000001</v>
      </c>
      <c r="K465" s="2">
        <v>14</v>
      </c>
      <c r="L465" s="2">
        <f t="shared" si="23"/>
        <v>100</v>
      </c>
      <c r="M465" s="2" t="s">
        <v>1092</v>
      </c>
      <c r="N465" s="40" t="str">
        <f>_xlfn.XLOOKUP(F465,Terrain!D:D,Terrain!H:H,"")</f>
        <v>2563 - 2565</v>
      </c>
      <c r="O465" t="str">
        <f t="shared" si="21"/>
        <v>64-P08-R | 3402 | 306|0</v>
      </c>
    </row>
    <row r="466" spans="1:15" x14ac:dyDescent="0.3">
      <c r="A466" s="43">
        <v>46204</v>
      </c>
      <c r="B466" s="2" t="s">
        <v>14</v>
      </c>
      <c r="C466" s="2" t="s">
        <v>1251</v>
      </c>
      <c r="D466" s="2" t="s">
        <v>524</v>
      </c>
      <c r="E466" s="2" t="str">
        <f>_xlfn.XLOOKUP(F466,Terrain!D:D,Terrain!A:A,"")</f>
        <v>Lower</v>
      </c>
      <c r="F466" s="2" t="s">
        <v>1326</v>
      </c>
      <c r="G466" s="2" t="s">
        <v>884</v>
      </c>
      <c r="H466" s="2">
        <f t="shared" si="22"/>
        <v>2564</v>
      </c>
      <c r="I466" s="2">
        <v>219.2</v>
      </c>
      <c r="J466" s="2">
        <v>8.7680000000000007</v>
      </c>
      <c r="K466" s="2">
        <v>9</v>
      </c>
      <c r="L466" s="2">
        <f t="shared" si="23"/>
        <v>100</v>
      </c>
      <c r="M466" s="2" t="s">
        <v>1092</v>
      </c>
      <c r="N466" s="40" t="str">
        <f>_xlfn.XLOOKUP(F466,Terrain!D:D,Terrain!H:H,"")</f>
        <v>2563 - 2565</v>
      </c>
      <c r="O466" t="str">
        <f t="shared" si="21"/>
        <v>64-P09-R | 2192 | 314|0</v>
      </c>
    </row>
    <row r="467" spans="1:15" x14ac:dyDescent="0.3">
      <c r="A467" s="43">
        <v>46204</v>
      </c>
      <c r="B467" s="2" t="s">
        <v>14</v>
      </c>
      <c r="C467" s="2" t="s">
        <v>1251</v>
      </c>
      <c r="D467" s="2" t="s">
        <v>532</v>
      </c>
      <c r="E467" s="2" t="str">
        <f>_xlfn.XLOOKUP(F467,Terrain!D:D,Terrain!A:A,"")</f>
        <v>Lower</v>
      </c>
      <c r="F467" s="2" t="s">
        <v>1240</v>
      </c>
      <c r="G467" s="2" t="s">
        <v>885</v>
      </c>
      <c r="H467" s="2">
        <f t="shared" si="22"/>
        <v>2568</v>
      </c>
      <c r="I467" s="2">
        <v>94.6</v>
      </c>
      <c r="J467" s="2">
        <v>3.7839999999999998</v>
      </c>
      <c r="K467" s="2">
        <v>4</v>
      </c>
      <c r="L467" s="2">
        <f t="shared" si="23"/>
        <v>50</v>
      </c>
      <c r="M467" s="2" t="s">
        <v>1095</v>
      </c>
      <c r="N467" s="40">
        <f>_xlfn.XLOOKUP(F467,Terrain!D:D,Terrain!H:H,"")</f>
        <v>2568</v>
      </c>
      <c r="O467" t="str">
        <f t="shared" si="21"/>
        <v>68-PU1 | 1892 | 404|0</v>
      </c>
    </row>
    <row r="468" spans="1:15" x14ac:dyDescent="0.3">
      <c r="A468" s="43">
        <v>46204</v>
      </c>
      <c r="B468" s="2" t="s">
        <v>14</v>
      </c>
      <c r="C468" s="2" t="s">
        <v>1251</v>
      </c>
      <c r="D468" s="2" t="s">
        <v>542</v>
      </c>
      <c r="E468" s="2" t="str">
        <f>_xlfn.XLOOKUP(F468,Terrain!D:D,Terrain!A:A,"")</f>
        <v>Lower</v>
      </c>
      <c r="F468" s="2" t="s">
        <v>1239</v>
      </c>
      <c r="G468" s="2" t="s">
        <v>886</v>
      </c>
      <c r="H468" s="2">
        <f t="shared" si="22"/>
        <v>2566</v>
      </c>
      <c r="I468" s="2">
        <v>197</v>
      </c>
      <c r="J468" s="2">
        <v>7.88</v>
      </c>
      <c r="K468" s="2">
        <v>8</v>
      </c>
      <c r="L468" s="2">
        <f t="shared" si="23"/>
        <v>100</v>
      </c>
      <c r="M468" s="2" t="s">
        <v>1096</v>
      </c>
      <c r="N468" s="40">
        <f>_xlfn.XLOOKUP(F468,Terrain!D:D,Terrain!H:H,"")</f>
        <v>2566</v>
      </c>
      <c r="O468" t="str">
        <f t="shared" si="21"/>
        <v>66-PU2 | 1970 | 336|0</v>
      </c>
    </row>
    <row r="469" spans="1:15" x14ac:dyDescent="0.3">
      <c r="A469" s="43">
        <v>46204</v>
      </c>
      <c r="B469" s="2" t="s">
        <v>14</v>
      </c>
      <c r="C469" s="2" t="s">
        <v>1251</v>
      </c>
      <c r="D469" s="2" t="s">
        <v>552</v>
      </c>
      <c r="E469" s="2" t="str">
        <f>_xlfn.XLOOKUP(F469,Terrain!D:D,Terrain!A:A,"")</f>
        <v>Lower</v>
      </c>
      <c r="F469" s="2" t="s">
        <v>1241</v>
      </c>
      <c r="G469" s="2" t="s">
        <v>887</v>
      </c>
      <c r="H469" s="2">
        <f t="shared" si="22"/>
        <v>2568</v>
      </c>
      <c r="I469" s="2">
        <v>84.3</v>
      </c>
      <c r="J469" s="2">
        <v>3.3719999999999999</v>
      </c>
      <c r="K469" s="2">
        <v>3</v>
      </c>
      <c r="L469" s="2">
        <f t="shared" si="23"/>
        <v>50</v>
      </c>
      <c r="M469" s="2" t="s">
        <v>1095</v>
      </c>
      <c r="N469" s="40">
        <f>_xlfn.XLOOKUP(F469,Terrain!D:D,Terrain!H:H,"")</f>
        <v>2568</v>
      </c>
      <c r="O469" t="str">
        <f t="shared" si="21"/>
        <v>68-PU3 | 1686 | 402|0</v>
      </c>
    </row>
    <row r="470" spans="1:15" x14ac:dyDescent="0.3">
      <c r="A470" s="43">
        <v>46204</v>
      </c>
      <c r="B470" s="2" t="s">
        <v>14</v>
      </c>
      <c r="C470" s="2" t="s">
        <v>1251</v>
      </c>
      <c r="D470" s="2" t="s">
        <v>562</v>
      </c>
      <c r="E470" s="2" t="str">
        <f>_xlfn.XLOOKUP(F470,Terrain!D:D,Terrain!A:A,"")</f>
        <v>Lower</v>
      </c>
      <c r="F470" s="2" t="s">
        <v>1242</v>
      </c>
      <c r="G470" s="2" t="s">
        <v>888</v>
      </c>
      <c r="H470" s="2">
        <f t="shared" si="22"/>
        <v>2568</v>
      </c>
      <c r="I470" s="2">
        <v>69</v>
      </c>
      <c r="J470" s="2">
        <v>2.76</v>
      </c>
      <c r="K470" s="2">
        <v>3</v>
      </c>
      <c r="L470" s="2">
        <f t="shared" si="23"/>
        <v>50</v>
      </c>
      <c r="M470" s="2" t="s">
        <v>1095</v>
      </c>
      <c r="N470" s="40">
        <f>_xlfn.XLOOKUP(F470,Terrain!D:D,Terrain!H:H,"")</f>
        <v>2568</v>
      </c>
      <c r="O470" t="str">
        <f t="shared" si="21"/>
        <v>68-PU4 | 1380 | 403|0</v>
      </c>
    </row>
    <row r="471" spans="1:15" x14ac:dyDescent="0.3">
      <c r="A471" s="43">
        <v>46204</v>
      </c>
      <c r="B471" s="2" t="s">
        <v>14</v>
      </c>
      <c r="C471" s="2" t="s">
        <v>1251</v>
      </c>
      <c r="D471" s="2" t="s">
        <v>572</v>
      </c>
      <c r="E471" s="2" t="str">
        <f>_xlfn.XLOOKUP(F471,Terrain!D:D,Terrain!A:A,"")</f>
        <v>Lower</v>
      </c>
      <c r="F471" s="2" t="s">
        <v>1243</v>
      </c>
      <c r="G471" s="2" t="s">
        <v>889</v>
      </c>
      <c r="H471" s="2">
        <f t="shared" si="22"/>
        <v>2568</v>
      </c>
      <c r="I471" s="2">
        <v>37.549999999999997</v>
      </c>
      <c r="J471" s="2">
        <v>1.502</v>
      </c>
      <c r="K471" s="2">
        <v>2</v>
      </c>
      <c r="L471" s="2">
        <f t="shared" si="23"/>
        <v>50</v>
      </c>
      <c r="M471" s="2" t="s">
        <v>1097</v>
      </c>
      <c r="N471" s="40">
        <f>_xlfn.XLOOKUP(F471,Terrain!D:D,Terrain!H:H,"")</f>
        <v>2568</v>
      </c>
      <c r="O471" t="str">
        <f t="shared" si="21"/>
        <v>68-PU5 | 751 | 408|0</v>
      </c>
    </row>
    <row r="472" spans="1:15" x14ac:dyDescent="0.3">
      <c r="A472" s="43">
        <v>46204</v>
      </c>
      <c r="B472" s="2" t="s">
        <v>14</v>
      </c>
      <c r="C472" s="2" t="s">
        <v>1251</v>
      </c>
      <c r="D472" s="2" t="s">
        <v>582</v>
      </c>
      <c r="E472" s="2" t="str">
        <f>_xlfn.XLOOKUP(F472,Terrain!D:D,Terrain!A:A,"")</f>
        <v>Lower</v>
      </c>
      <c r="F472" s="2" t="s">
        <v>1327</v>
      </c>
      <c r="G472" s="2" t="s">
        <v>890</v>
      </c>
      <c r="H472" s="2">
        <f t="shared" si="22"/>
        <v>2568</v>
      </c>
      <c r="I472" s="2">
        <v>58.4</v>
      </c>
      <c r="J472" s="2">
        <v>2.3359999999999999</v>
      </c>
      <c r="K472" s="2">
        <v>2</v>
      </c>
      <c r="L472" s="2">
        <f t="shared" si="23"/>
        <v>50</v>
      </c>
      <c r="M472" s="2" t="s">
        <v>1098</v>
      </c>
      <c r="N472" s="40">
        <f>_xlfn.XLOOKUP(F472,Terrain!D:D,Terrain!H:H,"")</f>
        <v>2568</v>
      </c>
      <c r="O472" t="str">
        <f t="shared" si="21"/>
        <v>68-PU5-R | 1168 | 406|0</v>
      </c>
    </row>
    <row r="473" spans="1:15" x14ac:dyDescent="0.3">
      <c r="A473" s="43">
        <v>46204</v>
      </c>
      <c r="B473" s="2" t="s">
        <v>14</v>
      </c>
      <c r="C473" s="2" t="s">
        <v>1251</v>
      </c>
      <c r="D473" s="2" t="s">
        <v>592</v>
      </c>
      <c r="E473" s="2" t="str">
        <f>_xlfn.XLOOKUP(F473,Terrain!D:D,Terrain!A:A,"")</f>
        <v>Lower</v>
      </c>
      <c r="F473" s="2" t="s">
        <v>1245</v>
      </c>
      <c r="G473" s="2" t="s">
        <v>1099</v>
      </c>
      <c r="H473" s="2">
        <f t="shared" si="22"/>
        <v>2568</v>
      </c>
      <c r="I473" s="2">
        <v>7.25</v>
      </c>
      <c r="J473" s="2">
        <v>0.28999999999999998</v>
      </c>
      <c r="K473" s="2">
        <v>0</v>
      </c>
      <c r="L473" s="2">
        <f t="shared" si="23"/>
        <v>50</v>
      </c>
      <c r="M473" s="2" t="s">
        <v>1097</v>
      </c>
      <c r="N473" s="40">
        <f>_xlfn.XLOOKUP(F473,Terrain!D:D,Terrain!H:H,"")</f>
        <v>2568</v>
      </c>
      <c r="O473" t="str">
        <f t="shared" si="21"/>
        <v>68-PU6 | 145 | 407|0</v>
      </c>
    </row>
    <row r="474" spans="1:15" x14ac:dyDescent="0.3">
      <c r="A474" s="43">
        <v>46204</v>
      </c>
      <c r="B474" s="2" t="s">
        <v>14</v>
      </c>
      <c r="C474" s="2" t="s">
        <v>1251</v>
      </c>
      <c r="D474" s="2" t="s">
        <v>602</v>
      </c>
      <c r="E474" s="2" t="str">
        <f>_xlfn.XLOOKUP(F474,Terrain!D:D,Terrain!A:A,"")</f>
        <v>Lower</v>
      </c>
      <c r="F474" s="2" t="s">
        <v>1328</v>
      </c>
      <c r="G474" s="2" t="s">
        <v>1100</v>
      </c>
      <c r="H474" s="2">
        <f t="shared" si="22"/>
        <v>2568</v>
      </c>
      <c r="I474" s="2">
        <v>77.349999999999994</v>
      </c>
      <c r="J474" s="2">
        <v>3.0939999999999999</v>
      </c>
      <c r="K474" s="2">
        <v>3</v>
      </c>
      <c r="L474" s="2">
        <f t="shared" si="23"/>
        <v>50</v>
      </c>
      <c r="M474" s="2" t="s">
        <v>1098</v>
      </c>
      <c r="N474" s="40">
        <f>_xlfn.XLOOKUP(F474,Terrain!D:D,Terrain!H:H,"")</f>
        <v>2568</v>
      </c>
      <c r="O474" t="str">
        <f t="shared" si="21"/>
        <v>68-PU6-R | 1547 | 405|0</v>
      </c>
    </row>
    <row r="475" spans="1:15" x14ac:dyDescent="0.3">
      <c r="A475" s="43">
        <v>46204</v>
      </c>
      <c r="B475" s="2" t="s">
        <v>14</v>
      </c>
      <c r="C475" s="2" t="s">
        <v>1251</v>
      </c>
      <c r="D475" s="2" t="s">
        <v>612</v>
      </c>
      <c r="E475" s="2" t="str">
        <f>_xlfn.XLOOKUP(F475,Terrain!D:D,Terrain!A:A,"")</f>
        <v>Upper</v>
      </c>
      <c r="F475" s="2" t="s">
        <v>1329</v>
      </c>
      <c r="G475" s="2" t="s">
        <v>1101</v>
      </c>
      <c r="H475" s="2">
        <f t="shared" si="22"/>
        <v>2568</v>
      </c>
      <c r="I475" s="2">
        <v>158.55000000000001</v>
      </c>
      <c r="J475" s="2">
        <v>6.3419999999999996</v>
      </c>
      <c r="K475" s="2">
        <v>6</v>
      </c>
      <c r="L475" s="2">
        <f t="shared" si="23"/>
        <v>50</v>
      </c>
      <c r="M475" s="2" t="s">
        <v>1102</v>
      </c>
      <c r="N475" s="40">
        <f>_xlfn.XLOOKUP(F475,Terrain!D:D,Terrain!H:H,"")</f>
        <v>2568</v>
      </c>
      <c r="O475" t="str">
        <f t="shared" si="21"/>
        <v>68-T01 | 3171 | 665|0</v>
      </c>
    </row>
    <row r="476" spans="1:15" x14ac:dyDescent="0.3">
      <c r="A476" s="43">
        <v>46204</v>
      </c>
      <c r="B476" s="2" t="s">
        <v>14</v>
      </c>
      <c r="C476" s="2" t="s">
        <v>1251</v>
      </c>
      <c r="D476" s="2" t="s">
        <v>622</v>
      </c>
      <c r="E476" s="2" t="str">
        <f>_xlfn.XLOOKUP(F476,Terrain!D:D,Terrain!A:A,"")</f>
        <v>Upper</v>
      </c>
      <c r="F476" s="2" t="s">
        <v>1330</v>
      </c>
      <c r="G476" s="2" t="s">
        <v>906</v>
      </c>
      <c r="H476" s="2">
        <f t="shared" si="22"/>
        <v>2568</v>
      </c>
      <c r="I476" s="2">
        <v>147.5</v>
      </c>
      <c r="J476" s="2">
        <v>5.9</v>
      </c>
      <c r="K476" s="2">
        <v>6</v>
      </c>
      <c r="L476" s="2">
        <f t="shared" si="23"/>
        <v>50</v>
      </c>
      <c r="M476" s="2" t="s">
        <v>1102</v>
      </c>
      <c r="N476" s="40">
        <f>_xlfn.XLOOKUP(F476,Terrain!D:D,Terrain!H:H,"")</f>
        <v>2568</v>
      </c>
      <c r="O476" t="str">
        <f t="shared" si="21"/>
        <v>68-T02 | 2950 | 664|0</v>
      </c>
    </row>
    <row r="477" spans="1:15" x14ac:dyDescent="0.3">
      <c r="A477" s="43">
        <v>46204</v>
      </c>
      <c r="B477" s="2" t="s">
        <v>14</v>
      </c>
      <c r="C477" s="2" t="s">
        <v>1251</v>
      </c>
      <c r="D477" s="2" t="s">
        <v>632</v>
      </c>
      <c r="E477" s="2" t="str">
        <f>_xlfn.XLOOKUP(F477,Terrain!D:D,Terrain!A:A,"")</f>
        <v>Upper</v>
      </c>
      <c r="F477" s="2" t="s">
        <v>1331</v>
      </c>
      <c r="G477" s="2" t="s">
        <v>907</v>
      </c>
      <c r="H477" s="2">
        <f t="shared" si="22"/>
        <v>2566</v>
      </c>
      <c r="I477" s="2">
        <v>244.9</v>
      </c>
      <c r="J477" s="2">
        <v>9.7959999999999994</v>
      </c>
      <c r="K477" s="2">
        <v>10</v>
      </c>
      <c r="L477" s="2">
        <f t="shared" si="23"/>
        <v>100</v>
      </c>
      <c r="M477" s="2" t="s">
        <v>1103</v>
      </c>
      <c r="N477" s="40">
        <f>_xlfn.XLOOKUP(F477,Terrain!D:D,Terrain!H:H,"")</f>
        <v>2566</v>
      </c>
      <c r="O477" t="str">
        <f t="shared" si="21"/>
        <v>66-T03 | 2449 | 604|0</v>
      </c>
    </row>
    <row r="478" spans="1:15" x14ac:dyDescent="0.3">
      <c r="A478" s="43">
        <v>46204</v>
      </c>
      <c r="B478" s="2" t="s">
        <v>14</v>
      </c>
      <c r="C478" s="2" t="s">
        <v>1251</v>
      </c>
      <c r="D478" s="2" t="s">
        <v>642</v>
      </c>
      <c r="E478" s="2" t="str">
        <f>_xlfn.XLOOKUP(F478,Terrain!D:D,Terrain!A:A,"")</f>
        <v>Upper</v>
      </c>
      <c r="F478" s="2" t="s">
        <v>1332</v>
      </c>
      <c r="G478" s="2" t="s">
        <v>908</v>
      </c>
      <c r="H478" s="2">
        <f t="shared" si="22"/>
        <v>2566</v>
      </c>
      <c r="I478" s="2">
        <v>201.4</v>
      </c>
      <c r="J478" s="2">
        <v>8.0559999999999992</v>
      </c>
      <c r="K478" s="2">
        <v>8</v>
      </c>
      <c r="L478" s="2">
        <f t="shared" si="23"/>
        <v>100</v>
      </c>
      <c r="M478" s="2" t="s">
        <v>1103</v>
      </c>
      <c r="N478" s="40">
        <f>_xlfn.XLOOKUP(F478,Terrain!D:D,Terrain!H:H,"")</f>
        <v>2566</v>
      </c>
      <c r="O478" t="str">
        <f t="shared" si="21"/>
        <v>66-T04 | 2014 | 607|0</v>
      </c>
    </row>
    <row r="479" spans="1:15" x14ac:dyDescent="0.3">
      <c r="A479" s="43">
        <v>46204</v>
      </c>
      <c r="B479" s="2" t="s">
        <v>14</v>
      </c>
      <c r="C479" s="2" t="s">
        <v>1251</v>
      </c>
      <c r="D479" s="2" t="s">
        <v>652</v>
      </c>
      <c r="E479" s="2" t="str">
        <f>_xlfn.XLOOKUP(F479,Terrain!D:D,Terrain!A:A,"")</f>
        <v>Upper</v>
      </c>
      <c r="F479" s="2" t="s">
        <v>1333</v>
      </c>
      <c r="G479" s="2" t="s">
        <v>909</v>
      </c>
      <c r="H479" s="2">
        <f t="shared" si="22"/>
        <v>2563</v>
      </c>
      <c r="I479" s="2">
        <v>303.7</v>
      </c>
      <c r="J479" s="2">
        <v>12.148</v>
      </c>
      <c r="K479" s="2">
        <v>12</v>
      </c>
      <c r="L479" s="2">
        <f t="shared" si="23"/>
        <v>100</v>
      </c>
      <c r="M479" s="2" t="s">
        <v>1104</v>
      </c>
      <c r="N479" s="40" t="str">
        <f>_xlfn.XLOOKUP(F479,Terrain!D:D,Terrain!H:H,"")</f>
        <v>2563 - 2565</v>
      </c>
      <c r="O479" t="str">
        <f t="shared" si="21"/>
        <v>63-T05-R | 3037 | 580|0</v>
      </c>
    </row>
    <row r="480" spans="1:15" x14ac:dyDescent="0.3">
      <c r="A480" s="43">
        <v>46204</v>
      </c>
      <c r="B480" s="2" t="s">
        <v>14</v>
      </c>
      <c r="C480" s="2" t="s">
        <v>1251</v>
      </c>
      <c r="D480" s="2" t="s">
        <v>660</v>
      </c>
      <c r="E480" s="2" t="str">
        <f>_xlfn.XLOOKUP(F480,Terrain!D:D,Terrain!A:A,"")</f>
        <v>Upper</v>
      </c>
      <c r="F480" s="2" t="s">
        <v>1334</v>
      </c>
      <c r="G480" s="2" t="s">
        <v>910</v>
      </c>
      <c r="H480" s="2">
        <f t="shared" si="22"/>
        <v>2566</v>
      </c>
      <c r="I480" s="2">
        <v>289.8</v>
      </c>
      <c r="J480" s="2">
        <v>11.592000000000001</v>
      </c>
      <c r="K480" s="2">
        <v>12</v>
      </c>
      <c r="L480" s="2">
        <f t="shared" si="23"/>
        <v>100</v>
      </c>
      <c r="M480" s="2" t="s">
        <v>1103</v>
      </c>
      <c r="N480" s="40">
        <f>_xlfn.XLOOKUP(F480,Terrain!D:D,Terrain!H:H,"")</f>
        <v>2566</v>
      </c>
      <c r="O480" t="str">
        <f t="shared" si="21"/>
        <v>66-T06 | 2898 | 605|0</v>
      </c>
    </row>
    <row r="481" spans="1:15" x14ac:dyDescent="0.3">
      <c r="A481" s="43">
        <v>46204</v>
      </c>
      <c r="B481" s="2" t="s">
        <v>14</v>
      </c>
      <c r="C481" s="2" t="s">
        <v>1251</v>
      </c>
      <c r="D481" s="2" t="s">
        <v>670</v>
      </c>
      <c r="E481" s="2" t="str">
        <f>_xlfn.XLOOKUP(F481,Terrain!D:D,Terrain!A:A,"")</f>
        <v>Upper</v>
      </c>
      <c r="F481" s="2" t="s">
        <v>1335</v>
      </c>
      <c r="G481" s="2" t="s">
        <v>911</v>
      </c>
      <c r="H481" s="2">
        <f t="shared" si="22"/>
        <v>2566</v>
      </c>
      <c r="I481" s="2">
        <v>236.4</v>
      </c>
      <c r="J481" s="2">
        <v>9.4559999999999995</v>
      </c>
      <c r="K481" s="2">
        <v>9</v>
      </c>
      <c r="L481" s="2">
        <f t="shared" si="23"/>
        <v>100</v>
      </c>
      <c r="M481" s="2" t="s">
        <v>1103</v>
      </c>
      <c r="N481" s="40">
        <f>_xlfn.XLOOKUP(F481,Terrain!D:D,Terrain!H:H,"")</f>
        <v>2566</v>
      </c>
      <c r="O481" t="str">
        <f t="shared" si="21"/>
        <v>66-T07 | 2364 | 606|0</v>
      </c>
    </row>
    <row r="482" spans="1:15" x14ac:dyDescent="0.3">
      <c r="A482" s="43">
        <v>46204</v>
      </c>
      <c r="B482" s="2" t="s">
        <v>14</v>
      </c>
      <c r="C482" s="2" t="s">
        <v>1251</v>
      </c>
      <c r="D482" s="2" t="s">
        <v>680</v>
      </c>
      <c r="E482" s="2" t="str">
        <f>_xlfn.XLOOKUP(F482,Terrain!D:D,Terrain!A:A,"")</f>
        <v>Upper</v>
      </c>
      <c r="F482" s="2" t="s">
        <v>1336</v>
      </c>
      <c r="G482" s="2" t="s">
        <v>912</v>
      </c>
      <c r="H482" s="2">
        <f t="shared" si="22"/>
        <v>2556</v>
      </c>
      <c r="I482" s="2">
        <v>21.3</v>
      </c>
      <c r="J482" s="2">
        <v>0.85199999999999998</v>
      </c>
      <c r="K482" s="2">
        <v>1</v>
      </c>
      <c r="L482" s="2">
        <f t="shared" si="23"/>
        <v>100</v>
      </c>
      <c r="M482" s="2" t="s">
        <v>1105</v>
      </c>
      <c r="N482" s="40" t="str">
        <f>_xlfn.XLOOKUP(F482,Terrain!D:D,Terrain!H:H,"")</f>
        <v>2555 - 2558</v>
      </c>
      <c r="O482" t="str">
        <f t="shared" si="21"/>
        <v>56-T08 | 213 | 534|0</v>
      </c>
    </row>
    <row r="483" spans="1:15" x14ac:dyDescent="0.3">
      <c r="A483" s="43">
        <v>46204</v>
      </c>
      <c r="B483" s="2" t="s">
        <v>14</v>
      </c>
      <c r="C483" s="2" t="s">
        <v>1251</v>
      </c>
      <c r="D483" s="2" t="s">
        <v>688</v>
      </c>
      <c r="E483" s="2" t="str">
        <f>_xlfn.XLOOKUP(F483,Terrain!D:D,Terrain!A:A,"")</f>
        <v>Upper</v>
      </c>
      <c r="F483" s="2" t="s">
        <v>1337</v>
      </c>
      <c r="G483" s="2" t="s">
        <v>913</v>
      </c>
      <c r="H483" s="2">
        <f t="shared" si="22"/>
        <v>2556</v>
      </c>
      <c r="I483" s="2">
        <v>281.60000000000002</v>
      </c>
      <c r="J483" s="2">
        <v>11.263999999999999</v>
      </c>
      <c r="K483" s="2">
        <v>11</v>
      </c>
      <c r="L483" s="2">
        <f t="shared" si="23"/>
        <v>100</v>
      </c>
      <c r="M483" s="2" t="s">
        <v>1106</v>
      </c>
      <c r="N483" s="40" t="str">
        <f>_xlfn.XLOOKUP(F483,Terrain!D:D,Terrain!H:H,"")</f>
        <v>2555 - 2558</v>
      </c>
      <c r="O483" t="str">
        <f t="shared" si="21"/>
        <v>56-T08-R | 2816 | 532|0</v>
      </c>
    </row>
    <row r="484" spans="1:15" x14ac:dyDescent="0.3">
      <c r="A484" s="43">
        <v>46204</v>
      </c>
      <c r="B484" s="2" t="s">
        <v>14</v>
      </c>
      <c r="C484" s="2" t="s">
        <v>1251</v>
      </c>
      <c r="D484" s="2" t="s">
        <v>696</v>
      </c>
      <c r="E484" s="2" t="str">
        <f>_xlfn.XLOOKUP(F484,Terrain!D:D,Terrain!A:A,"")</f>
        <v>Upper</v>
      </c>
      <c r="F484" s="2" t="s">
        <v>1338</v>
      </c>
      <c r="G484" s="2" t="s">
        <v>914</v>
      </c>
      <c r="H484" s="2">
        <f t="shared" si="22"/>
        <v>2558</v>
      </c>
      <c r="I484" s="2">
        <v>293.39999999999998</v>
      </c>
      <c r="J484" s="2">
        <v>11.736000000000001</v>
      </c>
      <c r="K484" s="2">
        <v>12</v>
      </c>
      <c r="L484" s="2">
        <f t="shared" si="23"/>
        <v>100</v>
      </c>
      <c r="M484" s="2" t="s">
        <v>1106</v>
      </c>
      <c r="N484" s="40" t="str">
        <f>_xlfn.XLOOKUP(F484,Terrain!D:D,Terrain!H:H,"")</f>
        <v>2555 - 2558</v>
      </c>
      <c r="O484" t="str">
        <f t="shared" si="21"/>
        <v>58-T09-R | 2934 | 539|0</v>
      </c>
    </row>
    <row r="485" spans="1:15" x14ac:dyDescent="0.3">
      <c r="A485" s="43">
        <v>46204</v>
      </c>
      <c r="B485" s="2" t="s">
        <v>14</v>
      </c>
      <c r="C485" s="2" t="s">
        <v>1251</v>
      </c>
      <c r="D485" s="2" t="s">
        <v>704</v>
      </c>
      <c r="E485" s="2" t="str">
        <f>_xlfn.XLOOKUP(F485,Terrain!D:D,Terrain!A:A,"")</f>
        <v>Upper</v>
      </c>
      <c r="F485" s="2" t="s">
        <v>1339</v>
      </c>
      <c r="G485" s="2" t="s">
        <v>915</v>
      </c>
      <c r="H485" s="2">
        <f t="shared" si="22"/>
        <v>2550</v>
      </c>
      <c r="I485" s="2">
        <v>287.2</v>
      </c>
      <c r="J485" s="2">
        <v>11.488</v>
      </c>
      <c r="K485" s="2">
        <v>11</v>
      </c>
      <c r="L485" s="2">
        <f t="shared" si="23"/>
        <v>100</v>
      </c>
      <c r="M485" s="2" t="s">
        <v>1107</v>
      </c>
      <c r="N485" s="40" t="str">
        <f>_xlfn.XLOOKUP(F485,Terrain!D:D,Terrain!H:H,"")</f>
        <v>2549 - 2552</v>
      </c>
      <c r="O485" t="str">
        <f t="shared" si="21"/>
        <v>50-T10-R | 2872 | 460|0</v>
      </c>
    </row>
    <row r="486" spans="1:15" x14ac:dyDescent="0.3">
      <c r="A486" s="43">
        <v>46204</v>
      </c>
      <c r="B486" s="2" t="s">
        <v>14</v>
      </c>
      <c r="C486" s="2" t="s">
        <v>1251</v>
      </c>
      <c r="D486" s="2" t="s">
        <v>711</v>
      </c>
      <c r="E486" s="2" t="str">
        <f>_xlfn.XLOOKUP(F486,Terrain!D:D,Terrain!A:A,"")</f>
        <v>Upper</v>
      </c>
      <c r="F486" s="2" t="s">
        <v>1173</v>
      </c>
      <c r="G486" s="2" t="s">
        <v>916</v>
      </c>
      <c r="H486" s="2">
        <f t="shared" si="22"/>
        <v>2567</v>
      </c>
      <c r="I486" s="2">
        <v>6.1</v>
      </c>
      <c r="J486" s="2">
        <v>0.24399999999999999</v>
      </c>
      <c r="K486" s="2">
        <v>0</v>
      </c>
      <c r="L486" s="2">
        <f t="shared" si="23"/>
        <v>100</v>
      </c>
      <c r="M486" s="2" t="s">
        <v>1108</v>
      </c>
      <c r="N486" s="40">
        <f>_xlfn.XLOOKUP(F486,Terrain!D:D,Terrain!H:H,"")</f>
        <v>2567</v>
      </c>
      <c r="O486" t="str">
        <f t="shared" si="21"/>
        <v>67-T10 | 61 | 633|0</v>
      </c>
    </row>
    <row r="487" spans="1:15" x14ac:dyDescent="0.3">
      <c r="A487" s="43">
        <v>46204</v>
      </c>
      <c r="B487" s="2" t="s">
        <v>14</v>
      </c>
      <c r="C487" s="2" t="s">
        <v>1251</v>
      </c>
      <c r="D487" s="2" t="s">
        <v>721</v>
      </c>
      <c r="E487" s="2" t="str">
        <f>_xlfn.XLOOKUP(F487,Terrain!D:D,Terrain!A:A,"")</f>
        <v>Upper</v>
      </c>
      <c r="F487" s="2" t="s">
        <v>1340</v>
      </c>
      <c r="G487" s="2" t="s">
        <v>917</v>
      </c>
      <c r="H487" s="2">
        <f t="shared" si="22"/>
        <v>2558</v>
      </c>
      <c r="I487" s="2">
        <v>290.3</v>
      </c>
      <c r="J487" s="2">
        <v>11.612</v>
      </c>
      <c r="K487" s="2">
        <v>12</v>
      </c>
      <c r="L487" s="2">
        <f t="shared" si="23"/>
        <v>100</v>
      </c>
      <c r="M487" s="2" t="s">
        <v>1106</v>
      </c>
      <c r="N487" s="40" t="str">
        <f>_xlfn.XLOOKUP(F487,Terrain!D:D,Terrain!H:H,"")</f>
        <v>2555 - 2558</v>
      </c>
      <c r="O487" t="str">
        <f t="shared" si="21"/>
        <v>58-T11-R | 2903 | 538|0</v>
      </c>
    </row>
    <row r="488" spans="1:15" x14ac:dyDescent="0.3">
      <c r="A488" s="43">
        <v>46204</v>
      </c>
      <c r="B488" s="2" t="s">
        <v>14</v>
      </c>
      <c r="C488" s="2" t="s">
        <v>1251</v>
      </c>
      <c r="D488" s="2" t="s">
        <v>729</v>
      </c>
      <c r="E488" s="2" t="str">
        <f>_xlfn.XLOOKUP(F488,Terrain!D:D,Terrain!A:A,"")</f>
        <v>Upper</v>
      </c>
      <c r="F488" s="2" t="s">
        <v>1341</v>
      </c>
      <c r="G488" s="2" t="s">
        <v>918</v>
      </c>
      <c r="H488" s="2">
        <f t="shared" si="22"/>
        <v>2550</v>
      </c>
      <c r="I488" s="2">
        <v>303</v>
      </c>
      <c r="J488" s="2">
        <v>12.12</v>
      </c>
      <c r="K488" s="2">
        <v>12</v>
      </c>
      <c r="L488" s="2">
        <f t="shared" si="23"/>
        <v>100</v>
      </c>
      <c r="M488" s="2" t="s">
        <v>1107</v>
      </c>
      <c r="N488" s="40" t="str">
        <f>_xlfn.XLOOKUP(F488,Terrain!D:D,Terrain!H:H,"")</f>
        <v>2549 - 2552</v>
      </c>
      <c r="O488" t="str">
        <f t="shared" si="21"/>
        <v>50-T12-R | 3030 | 467|0</v>
      </c>
    </row>
    <row r="489" spans="1:15" x14ac:dyDescent="0.3">
      <c r="A489" s="43">
        <v>46204</v>
      </c>
      <c r="B489" s="2" t="s">
        <v>14</v>
      </c>
      <c r="C489" s="2" t="s">
        <v>1251</v>
      </c>
      <c r="D489" s="2" t="s">
        <v>737</v>
      </c>
      <c r="E489" s="2" t="str">
        <f>_xlfn.XLOOKUP(F489,Terrain!D:D,Terrain!A:A,"")</f>
        <v>Upper</v>
      </c>
      <c r="F489" s="2" t="s">
        <v>1342</v>
      </c>
      <c r="G489" s="2" t="s">
        <v>919</v>
      </c>
      <c r="H489" s="2">
        <f t="shared" si="22"/>
        <v>2558</v>
      </c>
      <c r="I489" s="2">
        <v>286.39999999999998</v>
      </c>
      <c r="J489" s="2">
        <v>11.456</v>
      </c>
      <c r="K489" s="2">
        <v>11</v>
      </c>
      <c r="L489" s="2">
        <f t="shared" si="23"/>
        <v>100</v>
      </c>
      <c r="M489" s="2" t="s">
        <v>1106</v>
      </c>
      <c r="N489" s="40" t="str">
        <f>_xlfn.XLOOKUP(F489,Terrain!D:D,Terrain!H:H,"")</f>
        <v>2555 - 2558</v>
      </c>
      <c r="O489" t="str">
        <f t="shared" si="21"/>
        <v>58-T13-R | 2864 | 543|0</v>
      </c>
    </row>
    <row r="490" spans="1:15" x14ac:dyDescent="0.3">
      <c r="A490" s="43">
        <v>46204</v>
      </c>
      <c r="B490" s="2" t="s">
        <v>14</v>
      </c>
      <c r="C490" s="2" t="s">
        <v>1251</v>
      </c>
      <c r="D490" s="2" t="s">
        <v>745</v>
      </c>
      <c r="E490" s="2" t="str">
        <f>_xlfn.XLOOKUP(F490,Terrain!D:D,Terrain!A:A,"")</f>
        <v>Upper</v>
      </c>
      <c r="F490" s="2" t="s">
        <v>1343</v>
      </c>
      <c r="G490" s="2" t="s">
        <v>920</v>
      </c>
      <c r="H490" s="2">
        <f t="shared" si="22"/>
        <v>2549</v>
      </c>
      <c r="I490" s="2">
        <v>11.2</v>
      </c>
      <c r="J490" s="2">
        <v>0.44800000000000001</v>
      </c>
      <c r="K490" s="2">
        <v>0</v>
      </c>
      <c r="L490" s="2">
        <f t="shared" si="23"/>
        <v>100</v>
      </c>
      <c r="M490" s="2" t="s">
        <v>1107</v>
      </c>
      <c r="N490" s="40" t="str">
        <f>_xlfn.XLOOKUP(F490,Terrain!D:D,Terrain!H:H,"")</f>
        <v>2549 - 2552</v>
      </c>
      <c r="O490" t="str">
        <f t="shared" si="21"/>
        <v>49-T16-R | 112 | 463|0</v>
      </c>
    </row>
    <row r="491" spans="1:15" x14ac:dyDescent="0.3">
      <c r="A491" s="43">
        <v>46204</v>
      </c>
      <c r="B491" s="2" t="s">
        <v>14</v>
      </c>
      <c r="C491" s="2" t="s">
        <v>1251</v>
      </c>
      <c r="D491" s="2" t="s">
        <v>753</v>
      </c>
      <c r="E491" s="2" t="str">
        <f>_xlfn.XLOOKUP(F491,Terrain!D:D,Terrain!A:A,"")</f>
        <v>Upper</v>
      </c>
      <c r="F491" s="2" t="s">
        <v>1344</v>
      </c>
      <c r="G491" s="2" t="s">
        <v>921</v>
      </c>
      <c r="H491" s="2">
        <f t="shared" si="22"/>
        <v>2558</v>
      </c>
      <c r="I491" s="2">
        <v>282.5</v>
      </c>
      <c r="J491" s="2">
        <v>11.3</v>
      </c>
      <c r="K491" s="2">
        <v>11</v>
      </c>
      <c r="L491" s="2">
        <f t="shared" si="23"/>
        <v>100</v>
      </c>
      <c r="M491" s="2" t="s">
        <v>1106</v>
      </c>
      <c r="N491" s="40" t="str">
        <f>_xlfn.XLOOKUP(F491,Terrain!D:D,Terrain!H:H,"")</f>
        <v>2555 - 2558</v>
      </c>
      <c r="O491" t="str">
        <f t="shared" si="21"/>
        <v>58-T17-R | 2825 | 546|0</v>
      </c>
    </row>
    <row r="492" spans="1:15" x14ac:dyDescent="0.3">
      <c r="A492" s="43">
        <v>46204</v>
      </c>
      <c r="B492" s="2" t="s">
        <v>14</v>
      </c>
      <c r="C492" s="2" t="s">
        <v>1251</v>
      </c>
      <c r="D492" s="2" t="s">
        <v>761</v>
      </c>
      <c r="E492" s="2" t="str">
        <f>_xlfn.XLOOKUP(F492,Terrain!D:D,Terrain!A:A,"")</f>
        <v>Upper</v>
      </c>
      <c r="F492" s="2" t="s">
        <v>1345</v>
      </c>
      <c r="G492" s="2" t="s">
        <v>922</v>
      </c>
      <c r="H492" s="2">
        <f t="shared" si="22"/>
        <v>2558</v>
      </c>
      <c r="I492" s="2">
        <v>284.3</v>
      </c>
      <c r="J492" s="2">
        <v>11.372</v>
      </c>
      <c r="K492" s="2">
        <v>11</v>
      </c>
      <c r="L492" s="2">
        <f t="shared" si="23"/>
        <v>100</v>
      </c>
      <c r="M492" s="2" t="s">
        <v>1106</v>
      </c>
      <c r="N492" s="40" t="str">
        <f>_xlfn.XLOOKUP(F492,Terrain!D:D,Terrain!H:H,"")</f>
        <v>2555 - 2558</v>
      </c>
      <c r="O492" t="str">
        <f t="shared" si="21"/>
        <v>58-T18-R | 2843 | 537|0</v>
      </c>
    </row>
    <row r="493" spans="1:15" x14ac:dyDescent="0.3">
      <c r="A493" s="43">
        <v>46204</v>
      </c>
      <c r="B493" s="2" t="s">
        <v>14</v>
      </c>
      <c r="C493" s="2" t="s">
        <v>1251</v>
      </c>
      <c r="D493" s="2" t="s">
        <v>768</v>
      </c>
      <c r="E493" s="2" t="str">
        <f>_xlfn.XLOOKUP(F493,Terrain!D:D,Terrain!A:A,"")</f>
        <v>Upper</v>
      </c>
      <c r="F493" s="2" t="s">
        <v>1174</v>
      </c>
      <c r="G493" s="2" t="s">
        <v>923</v>
      </c>
      <c r="H493" s="2">
        <f t="shared" si="22"/>
        <v>2567</v>
      </c>
      <c r="I493" s="2">
        <v>17.100000000000001</v>
      </c>
      <c r="J493" s="2">
        <v>0.68400000000000005</v>
      </c>
      <c r="K493" s="2">
        <v>1</v>
      </c>
      <c r="L493" s="2">
        <f t="shared" si="23"/>
        <v>100</v>
      </c>
      <c r="M493" s="2" t="s">
        <v>1108</v>
      </c>
      <c r="N493" s="40">
        <f>_xlfn.XLOOKUP(F493,Terrain!D:D,Terrain!H:H,"")</f>
        <v>2567</v>
      </c>
      <c r="O493" t="str">
        <f t="shared" si="21"/>
        <v>67-T18 | 171 | 634|0</v>
      </c>
    </row>
    <row r="494" spans="1:15" x14ac:dyDescent="0.3">
      <c r="A494" s="43">
        <v>46204</v>
      </c>
      <c r="B494" s="2" t="s">
        <v>14</v>
      </c>
      <c r="C494" s="2" t="s">
        <v>1251</v>
      </c>
      <c r="D494" s="2" t="s">
        <v>778</v>
      </c>
      <c r="E494" s="2" t="str">
        <f>_xlfn.XLOOKUP(F494,Terrain!D:D,Terrain!A:A,"")</f>
        <v>Upper</v>
      </c>
      <c r="F494" s="2" t="s">
        <v>1346</v>
      </c>
      <c r="G494" s="2" t="s">
        <v>924</v>
      </c>
      <c r="H494" s="2">
        <f t="shared" si="22"/>
        <v>2556</v>
      </c>
      <c r="I494" s="2">
        <v>319.89999999999998</v>
      </c>
      <c r="J494" s="2">
        <v>12.795999999999999</v>
      </c>
      <c r="K494" s="2">
        <v>13</v>
      </c>
      <c r="L494" s="2">
        <f t="shared" si="23"/>
        <v>100</v>
      </c>
      <c r="M494" s="2" t="s">
        <v>1106</v>
      </c>
      <c r="N494" s="40" t="str">
        <f>_xlfn.XLOOKUP(F494,Terrain!D:D,Terrain!H:H,"")</f>
        <v>2555 - 2558</v>
      </c>
      <c r="O494" t="str">
        <f t="shared" si="21"/>
        <v>56-T19-R | 3199 | 536|0</v>
      </c>
    </row>
    <row r="495" spans="1:15" x14ac:dyDescent="0.3">
      <c r="A495" s="43">
        <v>46204</v>
      </c>
      <c r="B495" s="2" t="s">
        <v>14</v>
      </c>
      <c r="C495" s="2" t="s">
        <v>1251</v>
      </c>
      <c r="D495" s="2" t="s">
        <v>786</v>
      </c>
      <c r="E495" s="2" t="str">
        <f>_xlfn.XLOOKUP(F495,Terrain!D:D,Terrain!A:A,"")</f>
        <v>Upper</v>
      </c>
      <c r="F495" s="2" t="s">
        <v>1267</v>
      </c>
      <c r="G495" s="2" t="s">
        <v>925</v>
      </c>
      <c r="H495" s="2">
        <f t="shared" si="22"/>
        <v>2549</v>
      </c>
      <c r="I495" s="2">
        <v>283.3</v>
      </c>
      <c r="J495" s="2">
        <v>11.332000000000001</v>
      </c>
      <c r="K495" s="2">
        <v>11</v>
      </c>
      <c r="L495" s="2">
        <f t="shared" si="23"/>
        <v>100</v>
      </c>
      <c r="M495" s="2" t="s">
        <v>1107</v>
      </c>
      <c r="N495" s="40" t="str">
        <f>_xlfn.XLOOKUP(F495,Terrain!D:D,Terrain!H:H,"")</f>
        <v>2549 - 2552</v>
      </c>
      <c r="O495" t="str">
        <f t="shared" si="21"/>
        <v>49-T20-R | 2833 | 464|0</v>
      </c>
    </row>
    <row r="496" spans="1:15" x14ac:dyDescent="0.3">
      <c r="A496" s="43">
        <v>46204</v>
      </c>
      <c r="B496" s="2" t="s">
        <v>14</v>
      </c>
      <c r="C496" s="2" t="s">
        <v>1251</v>
      </c>
      <c r="D496" s="2" t="s">
        <v>794</v>
      </c>
      <c r="E496" s="2" t="str">
        <f>_xlfn.XLOOKUP(F496,Terrain!D:D,Terrain!A:A,"")</f>
        <v>Upper</v>
      </c>
      <c r="F496" s="2" t="s">
        <v>1347</v>
      </c>
      <c r="G496" s="2" t="s">
        <v>926</v>
      </c>
      <c r="H496" s="2">
        <f t="shared" si="22"/>
        <v>2556</v>
      </c>
      <c r="I496" s="2">
        <v>301.5</v>
      </c>
      <c r="J496" s="2">
        <v>12.06</v>
      </c>
      <c r="K496" s="2">
        <v>12</v>
      </c>
      <c r="L496" s="2">
        <f t="shared" si="23"/>
        <v>100</v>
      </c>
      <c r="M496" s="2" t="s">
        <v>1106</v>
      </c>
      <c r="N496" s="40" t="str">
        <f>_xlfn.XLOOKUP(F496,Terrain!D:D,Terrain!H:H,"")</f>
        <v>2555 - 2558</v>
      </c>
      <c r="O496" t="str">
        <f t="shared" si="21"/>
        <v>56-T21-R | 3015 | 542|0</v>
      </c>
    </row>
    <row r="497" spans="1:15" x14ac:dyDescent="0.3">
      <c r="A497" s="43">
        <v>46204</v>
      </c>
      <c r="B497" s="2" t="s">
        <v>14</v>
      </c>
      <c r="C497" s="2" t="s">
        <v>1251</v>
      </c>
      <c r="D497" s="2" t="s">
        <v>801</v>
      </c>
      <c r="E497" s="2" t="str">
        <f>_xlfn.XLOOKUP(F497,Terrain!D:D,Terrain!A:A,"")</f>
        <v>Upper</v>
      </c>
      <c r="F497" s="2" t="s">
        <v>1175</v>
      </c>
      <c r="G497" s="2" t="s">
        <v>927</v>
      </c>
      <c r="H497" s="2">
        <f t="shared" si="22"/>
        <v>2567</v>
      </c>
      <c r="I497" s="2">
        <v>24.1</v>
      </c>
      <c r="J497" s="2">
        <v>0.96399999999999997</v>
      </c>
      <c r="K497" s="2">
        <v>1</v>
      </c>
      <c r="L497" s="2">
        <f t="shared" si="23"/>
        <v>100</v>
      </c>
      <c r="M497" s="2" t="s">
        <v>1108</v>
      </c>
      <c r="N497" s="40">
        <f>_xlfn.XLOOKUP(F497,Terrain!D:D,Terrain!H:H,"")</f>
        <v>2567</v>
      </c>
      <c r="O497" t="str">
        <f t="shared" si="21"/>
        <v>67-T21 | 241 | 631|0</v>
      </c>
    </row>
    <row r="498" spans="1:15" x14ac:dyDescent="0.3">
      <c r="A498" s="43">
        <v>46204</v>
      </c>
      <c r="B498" s="2" t="s">
        <v>14</v>
      </c>
      <c r="C498" s="2" t="s">
        <v>1251</v>
      </c>
      <c r="D498" s="2" t="s">
        <v>811</v>
      </c>
      <c r="E498" s="2" t="str">
        <f>_xlfn.XLOOKUP(F498,Terrain!D:D,Terrain!A:A,"")</f>
        <v>Upper</v>
      </c>
      <c r="F498" s="2" t="s">
        <v>1348</v>
      </c>
      <c r="G498" s="2" t="s">
        <v>928</v>
      </c>
      <c r="H498" s="2">
        <f t="shared" si="22"/>
        <v>2563</v>
      </c>
      <c r="I498" s="2">
        <v>84.2</v>
      </c>
      <c r="J498" s="2">
        <v>3.3679999999999999</v>
      </c>
      <c r="K498" s="2">
        <v>3</v>
      </c>
      <c r="L498" s="2">
        <f t="shared" si="23"/>
        <v>100</v>
      </c>
      <c r="M498" s="2" t="s">
        <v>1104</v>
      </c>
      <c r="N498" s="40" t="str">
        <f>_xlfn.XLOOKUP(F498,Terrain!D:D,Terrain!H:H,"")</f>
        <v>2563 - 2565</v>
      </c>
      <c r="O498" t="str">
        <f t="shared" si="21"/>
        <v>63-T22-R | 842 | 583|0</v>
      </c>
    </row>
    <row r="499" spans="1:15" x14ac:dyDescent="0.3">
      <c r="A499" s="43">
        <v>46204</v>
      </c>
      <c r="B499" s="2" t="s">
        <v>14</v>
      </c>
      <c r="C499" s="2" t="s">
        <v>1251</v>
      </c>
      <c r="D499" s="2" t="s">
        <v>819</v>
      </c>
      <c r="E499" s="2" t="str">
        <f>_xlfn.XLOOKUP(F499,Terrain!D:D,Terrain!A:A,"")</f>
        <v>Upper</v>
      </c>
      <c r="F499" s="2" t="s">
        <v>1349</v>
      </c>
      <c r="G499" s="2" t="s">
        <v>929</v>
      </c>
      <c r="H499" s="2">
        <f t="shared" si="22"/>
        <v>2563</v>
      </c>
      <c r="I499" s="2">
        <v>84.4</v>
      </c>
      <c r="J499" s="2">
        <v>3.3759999999999999</v>
      </c>
      <c r="K499" s="2">
        <v>3</v>
      </c>
      <c r="L499" s="2">
        <f t="shared" si="23"/>
        <v>100</v>
      </c>
      <c r="M499" s="2" t="s">
        <v>1104</v>
      </c>
      <c r="N499" s="40" t="str">
        <f>_xlfn.XLOOKUP(F499,Terrain!D:D,Terrain!H:H,"")</f>
        <v>2563 - 2565</v>
      </c>
      <c r="O499" t="str">
        <f t="shared" si="21"/>
        <v>63-T23-R | 844 | 584|0</v>
      </c>
    </row>
    <row r="500" spans="1:15" x14ac:dyDescent="0.3">
      <c r="A500" s="43">
        <v>46204</v>
      </c>
      <c r="B500" s="2" t="s">
        <v>14</v>
      </c>
      <c r="C500" s="2" t="s">
        <v>1251</v>
      </c>
      <c r="D500" s="2" t="s">
        <v>827</v>
      </c>
      <c r="E500" s="2" t="str">
        <f>_xlfn.XLOOKUP(F500,Terrain!D:D,Terrain!A:A,"")</f>
        <v>Upper</v>
      </c>
      <c r="F500" s="2" t="s">
        <v>1350</v>
      </c>
      <c r="G500" s="2" t="s">
        <v>930</v>
      </c>
      <c r="H500" s="2">
        <f t="shared" si="22"/>
        <v>2552</v>
      </c>
      <c r="I500" s="2">
        <v>9.1999999999999993</v>
      </c>
      <c r="J500" s="2">
        <v>0.36799999999999999</v>
      </c>
      <c r="K500" s="2">
        <v>0</v>
      </c>
      <c r="L500" s="2">
        <f t="shared" si="23"/>
        <v>100</v>
      </c>
      <c r="M500" s="2" t="s">
        <v>1107</v>
      </c>
      <c r="N500" s="40" t="str">
        <f>_xlfn.XLOOKUP(F500,Terrain!D:D,Terrain!H:H,"")</f>
        <v>2549 - 2552</v>
      </c>
      <c r="O500" t="str">
        <f t="shared" si="21"/>
        <v>52-T28-R | 92 | 459|0</v>
      </c>
    </row>
    <row r="501" spans="1:15" x14ac:dyDescent="0.3">
      <c r="A501" s="43">
        <v>46204</v>
      </c>
      <c r="B501" s="2" t="s">
        <v>14</v>
      </c>
      <c r="C501" s="2" t="s">
        <v>1251</v>
      </c>
      <c r="D501" s="2" t="s">
        <v>835</v>
      </c>
      <c r="E501" s="2" t="str">
        <f>_xlfn.XLOOKUP(F501,Terrain!D:D,Terrain!A:A,"")</f>
        <v>Upper</v>
      </c>
      <c r="F501" s="2" t="s">
        <v>1351</v>
      </c>
      <c r="G501" s="2" t="s">
        <v>931</v>
      </c>
      <c r="H501" s="2">
        <f t="shared" si="22"/>
        <v>2556</v>
      </c>
      <c r="I501" s="2">
        <v>140.30000000000001</v>
      </c>
      <c r="J501" s="2">
        <v>5.6120000000000001</v>
      </c>
      <c r="K501" s="2">
        <v>6</v>
      </c>
      <c r="L501" s="2">
        <f t="shared" si="23"/>
        <v>100</v>
      </c>
      <c r="M501" s="2" t="s">
        <v>1106</v>
      </c>
      <c r="N501" s="40" t="str">
        <f>_xlfn.XLOOKUP(F501,Terrain!D:D,Terrain!H:H,"")</f>
        <v>2555 - 2558</v>
      </c>
      <c r="O501" t="str">
        <f t="shared" si="21"/>
        <v>56-T28-R | 1403 | 545|0</v>
      </c>
    </row>
    <row r="502" spans="1:15" x14ac:dyDescent="0.3">
      <c r="A502" s="43">
        <v>46204</v>
      </c>
      <c r="B502" s="2" t="s">
        <v>14</v>
      </c>
      <c r="C502" s="2" t="s">
        <v>1251</v>
      </c>
      <c r="D502" s="2" t="s">
        <v>842</v>
      </c>
      <c r="E502" s="2" t="str">
        <f>_xlfn.XLOOKUP(F502,Terrain!D:D,Terrain!A:A,"")</f>
        <v>Upper</v>
      </c>
      <c r="F502" s="2" t="s">
        <v>1176</v>
      </c>
      <c r="G502" s="2" t="s">
        <v>932</v>
      </c>
      <c r="H502" s="2">
        <f t="shared" si="22"/>
        <v>2567</v>
      </c>
      <c r="I502" s="2">
        <v>307</v>
      </c>
      <c r="J502" s="2">
        <v>12.28</v>
      </c>
      <c r="K502" s="2">
        <v>12</v>
      </c>
      <c r="L502" s="2">
        <f t="shared" si="23"/>
        <v>100</v>
      </c>
      <c r="M502" s="2" t="s">
        <v>1109</v>
      </c>
      <c r="N502" s="40">
        <f>_xlfn.XLOOKUP(F502,Terrain!D:D,Terrain!H:H,"")</f>
        <v>2567</v>
      </c>
      <c r="O502" t="str">
        <f t="shared" si="21"/>
        <v>67-T29 | 3070 | 635|0</v>
      </c>
    </row>
    <row r="503" spans="1:15" x14ac:dyDescent="0.3">
      <c r="A503" s="43">
        <v>46204</v>
      </c>
      <c r="B503" s="2" t="s">
        <v>14</v>
      </c>
      <c r="C503" s="2" t="s">
        <v>1251</v>
      </c>
      <c r="D503" s="2" t="s">
        <v>851</v>
      </c>
      <c r="E503" s="2" t="str">
        <f>_xlfn.XLOOKUP(F503,Terrain!D:D,Terrain!A:A,"")</f>
        <v>Upper</v>
      </c>
      <c r="F503" s="2" t="s">
        <v>1177</v>
      </c>
      <c r="G503" s="2" t="s">
        <v>933</v>
      </c>
      <c r="H503" s="2">
        <f t="shared" si="22"/>
        <v>2567</v>
      </c>
      <c r="I503" s="2">
        <v>327</v>
      </c>
      <c r="J503" s="2">
        <v>13.08</v>
      </c>
      <c r="K503" s="2">
        <v>13</v>
      </c>
      <c r="L503" s="2">
        <f t="shared" si="23"/>
        <v>100</v>
      </c>
      <c r="M503" s="2" t="s">
        <v>1109</v>
      </c>
      <c r="N503" s="40">
        <f>_xlfn.XLOOKUP(F503,Terrain!D:D,Terrain!H:H,"")</f>
        <v>2567</v>
      </c>
      <c r="O503" t="str">
        <f t="shared" si="21"/>
        <v>67-T30 | 3270 | 632|0</v>
      </c>
    </row>
    <row r="504" spans="1:15" x14ac:dyDescent="0.3">
      <c r="A504" s="43">
        <v>46235</v>
      </c>
      <c r="B504" s="2" t="s">
        <v>10</v>
      </c>
      <c r="C504" s="2" t="s">
        <v>1259</v>
      </c>
      <c r="D504" s="2" t="s">
        <v>16</v>
      </c>
      <c r="E504" s="2" t="str">
        <f>_xlfn.XLOOKUP(F504,Terrain!D:D,Terrain!A:A,"")</f>
        <v>Lower</v>
      </c>
      <c r="F504" s="2" t="s">
        <v>1269</v>
      </c>
      <c r="G504" s="2" t="s">
        <v>1045</v>
      </c>
      <c r="H504" s="2">
        <f t="shared" si="22"/>
        <v>2556</v>
      </c>
      <c r="I504" s="2">
        <v>3412.5</v>
      </c>
      <c r="J504" s="2">
        <v>68.25</v>
      </c>
      <c r="K504" s="2">
        <v>68</v>
      </c>
      <c r="L504" s="2">
        <f t="shared" si="23"/>
        <v>1750</v>
      </c>
      <c r="M504" s="2" t="s">
        <v>1046</v>
      </c>
      <c r="N504" s="40" t="str">
        <f>_xlfn.XLOOKUP(F504,Terrain!D:D,Terrain!H:H,"")</f>
        <v>2555 - 2558</v>
      </c>
      <c r="O504" t="str">
        <f t="shared" si="21"/>
        <v>56-A01 | 1950 | 208|1</v>
      </c>
    </row>
    <row r="505" spans="1:15" x14ac:dyDescent="0.3">
      <c r="A505" s="43">
        <v>46235</v>
      </c>
      <c r="B505" s="2" t="s">
        <v>10</v>
      </c>
      <c r="C505" s="2" t="s">
        <v>1259</v>
      </c>
      <c r="D505" s="2" t="s">
        <v>938</v>
      </c>
      <c r="E505" s="2" t="str">
        <f>_xlfn.XLOOKUP(F505,Terrain!D:D,Terrain!A:A,"")</f>
        <v>Lower</v>
      </c>
      <c r="F505" s="2" t="s">
        <v>1282</v>
      </c>
      <c r="G505" s="2" t="s">
        <v>1048</v>
      </c>
      <c r="H505" s="2">
        <f t="shared" si="22"/>
        <v>2563</v>
      </c>
      <c r="I505" s="2">
        <v>934.5</v>
      </c>
      <c r="J505" s="2">
        <v>18.690000000000001</v>
      </c>
      <c r="K505" s="2">
        <v>19</v>
      </c>
      <c r="L505" s="2">
        <f t="shared" si="23"/>
        <v>1750</v>
      </c>
      <c r="M505" s="2" t="s">
        <v>1049</v>
      </c>
      <c r="N505" s="40" t="str">
        <f>_xlfn.XLOOKUP(F505,Terrain!D:D,Terrain!H:H,"")</f>
        <v>2563 - 2565</v>
      </c>
      <c r="O505" t="str">
        <f t="shared" si="21"/>
        <v>63-A01-R | 534 | 694|1</v>
      </c>
    </row>
    <row r="506" spans="1:15" x14ac:dyDescent="0.3">
      <c r="A506" s="43">
        <v>46235</v>
      </c>
      <c r="B506" s="2" t="s">
        <v>10</v>
      </c>
      <c r="C506" s="2" t="s">
        <v>1259</v>
      </c>
      <c r="D506" s="2" t="s">
        <v>25</v>
      </c>
      <c r="E506" s="2" t="str">
        <f>_xlfn.XLOOKUP(F506,Terrain!D:D,Terrain!A:A,"")</f>
        <v>Lower</v>
      </c>
      <c r="F506" s="2" t="s">
        <v>1270</v>
      </c>
      <c r="G506" s="2" t="s">
        <v>1050</v>
      </c>
      <c r="H506" s="2">
        <f t="shared" si="22"/>
        <v>2556</v>
      </c>
      <c r="I506" s="2">
        <v>6711.25</v>
      </c>
      <c r="J506" s="2">
        <v>134.22499999999999</v>
      </c>
      <c r="K506" s="2">
        <v>134</v>
      </c>
      <c r="L506" s="2">
        <f t="shared" si="23"/>
        <v>1750</v>
      </c>
      <c r="M506" s="2" t="s">
        <v>1046</v>
      </c>
      <c r="N506" s="40" t="str">
        <f>_xlfn.XLOOKUP(F506,Terrain!D:D,Terrain!H:H,"")</f>
        <v>2555 - 2558</v>
      </c>
      <c r="O506" t="str">
        <f t="shared" si="21"/>
        <v>56-A02 | 3835 | 198|1</v>
      </c>
    </row>
    <row r="507" spans="1:15" x14ac:dyDescent="0.3">
      <c r="A507" s="43">
        <v>46235</v>
      </c>
      <c r="B507" s="2" t="s">
        <v>10</v>
      </c>
      <c r="C507" s="2" t="s">
        <v>1259</v>
      </c>
      <c r="D507" s="2" t="s">
        <v>33</v>
      </c>
      <c r="E507" s="2" t="str">
        <f>_xlfn.XLOOKUP(F507,Terrain!D:D,Terrain!A:A,"")</f>
        <v>Lower</v>
      </c>
      <c r="F507" s="2" t="s">
        <v>1283</v>
      </c>
      <c r="G507" s="2" t="s">
        <v>1051</v>
      </c>
      <c r="H507" s="2">
        <f t="shared" si="22"/>
        <v>2556</v>
      </c>
      <c r="I507" s="2">
        <v>3708.25</v>
      </c>
      <c r="J507" s="2">
        <v>74.165000000000006</v>
      </c>
      <c r="K507" s="2">
        <v>74</v>
      </c>
      <c r="L507" s="2">
        <f t="shared" si="23"/>
        <v>1750</v>
      </c>
      <c r="M507" s="2" t="s">
        <v>1052</v>
      </c>
      <c r="N507" s="40" t="str">
        <f>_xlfn.XLOOKUP(F507,Terrain!D:D,Terrain!H:H,"")</f>
        <v>2555 - 2558</v>
      </c>
      <c r="O507" t="str">
        <f t="shared" si="21"/>
        <v>56-A03-R | 2119 | 192|1</v>
      </c>
    </row>
    <row r="508" spans="1:15" x14ac:dyDescent="0.3">
      <c r="A508" s="43">
        <v>46235</v>
      </c>
      <c r="B508" s="2" t="s">
        <v>10</v>
      </c>
      <c r="C508" s="2" t="s">
        <v>1259</v>
      </c>
      <c r="D508" s="2" t="s">
        <v>939</v>
      </c>
      <c r="E508" s="2" t="str">
        <f>_xlfn.XLOOKUP(F508,Terrain!D:D,Terrain!A:A,"")</f>
        <v>Lower</v>
      </c>
      <c r="F508" s="2" t="s">
        <v>1284</v>
      </c>
      <c r="G508" s="2" t="s">
        <v>1053</v>
      </c>
      <c r="H508" s="2">
        <f t="shared" si="22"/>
        <v>2563</v>
      </c>
      <c r="I508" s="2">
        <v>1715</v>
      </c>
      <c r="J508" s="2">
        <v>34.299999999999997</v>
      </c>
      <c r="K508" s="2">
        <v>34</v>
      </c>
      <c r="L508" s="2">
        <f t="shared" si="23"/>
        <v>1750</v>
      </c>
      <c r="M508" s="2" t="s">
        <v>1049</v>
      </c>
      <c r="N508" s="40" t="str">
        <f>_xlfn.XLOOKUP(F508,Terrain!D:D,Terrain!H:H,"")</f>
        <v>2563 - 2565</v>
      </c>
      <c r="O508" t="str">
        <f t="shared" si="21"/>
        <v>63-A03-R | 980 | 695|1</v>
      </c>
    </row>
    <row r="509" spans="1:15" x14ac:dyDescent="0.3">
      <c r="A509" s="43">
        <v>46235</v>
      </c>
      <c r="B509" s="2" t="s">
        <v>10</v>
      </c>
      <c r="C509" s="2" t="s">
        <v>1259</v>
      </c>
      <c r="D509" s="2" t="s">
        <v>42</v>
      </c>
      <c r="E509" s="2" t="str">
        <f>_xlfn.XLOOKUP(F509,Terrain!D:D,Terrain!A:A,"")</f>
        <v>Lower</v>
      </c>
      <c r="F509" s="2" t="s">
        <v>1271</v>
      </c>
      <c r="G509" s="2" t="s">
        <v>1054</v>
      </c>
      <c r="H509" s="2">
        <f t="shared" si="22"/>
        <v>2550</v>
      </c>
      <c r="I509" s="2">
        <v>7296</v>
      </c>
      <c r="J509" s="2">
        <v>145.91999999999999</v>
      </c>
      <c r="K509" s="2">
        <v>146</v>
      </c>
      <c r="L509" s="2">
        <f t="shared" si="23"/>
        <v>1500</v>
      </c>
      <c r="M509" s="2" t="s">
        <v>1055</v>
      </c>
      <c r="N509" s="40" t="str">
        <f>_xlfn.XLOOKUP(F509,Terrain!D:D,Terrain!H:H,"")</f>
        <v>2549 - 2552</v>
      </c>
      <c r="O509" t="str">
        <f t="shared" si="21"/>
        <v>50-A04 | 4864 | 115|1</v>
      </c>
    </row>
    <row r="510" spans="1:15" x14ac:dyDescent="0.3">
      <c r="A510" s="43">
        <v>46235</v>
      </c>
      <c r="B510" s="2" t="s">
        <v>10</v>
      </c>
      <c r="C510" s="2" t="s">
        <v>1259</v>
      </c>
      <c r="D510" s="2" t="s">
        <v>50</v>
      </c>
      <c r="E510" s="2" t="str">
        <f>_xlfn.XLOOKUP(F510,Terrain!D:D,Terrain!A:A,"")</f>
        <v>Lower</v>
      </c>
      <c r="F510" s="2" t="s">
        <v>1272</v>
      </c>
      <c r="G510" s="2" t="s">
        <v>1056</v>
      </c>
      <c r="H510" s="2">
        <f t="shared" si="22"/>
        <v>2550</v>
      </c>
      <c r="I510" s="2">
        <v>6912</v>
      </c>
      <c r="J510" s="2">
        <v>138.24</v>
      </c>
      <c r="K510" s="2">
        <v>138</v>
      </c>
      <c r="L510" s="2">
        <f t="shared" si="23"/>
        <v>1500</v>
      </c>
      <c r="M510" s="2" t="s">
        <v>1055</v>
      </c>
      <c r="N510" s="40" t="str">
        <f>_xlfn.XLOOKUP(F510,Terrain!D:D,Terrain!H:H,"")</f>
        <v>2549 - 2552</v>
      </c>
      <c r="O510" t="str">
        <f t="shared" si="21"/>
        <v>50-A05 | 4608 | 111|1</v>
      </c>
    </row>
    <row r="511" spans="1:15" x14ac:dyDescent="0.3">
      <c r="A511" s="43">
        <v>46235</v>
      </c>
      <c r="B511" s="2" t="s">
        <v>10</v>
      </c>
      <c r="C511" s="2" t="s">
        <v>1259</v>
      </c>
      <c r="D511" s="2" t="s">
        <v>58</v>
      </c>
      <c r="E511" s="2" t="str">
        <f>_xlfn.XLOOKUP(F511,Terrain!D:D,Terrain!A:A,"")</f>
        <v>Lower</v>
      </c>
      <c r="F511" s="2" t="s">
        <v>1273</v>
      </c>
      <c r="G511" s="2" t="s">
        <v>1057</v>
      </c>
      <c r="H511" s="2">
        <f t="shared" si="22"/>
        <v>2560</v>
      </c>
      <c r="I511" s="2">
        <v>5703.25</v>
      </c>
      <c r="J511" s="2">
        <v>114.065</v>
      </c>
      <c r="K511" s="2">
        <v>114</v>
      </c>
      <c r="L511" s="2">
        <f t="shared" si="23"/>
        <v>1750</v>
      </c>
      <c r="M511" s="2" t="s">
        <v>1058</v>
      </c>
      <c r="N511" s="40" t="str">
        <f>_xlfn.XLOOKUP(F511,Terrain!D:D,Terrain!H:H,"")</f>
        <v>2559 - 2560</v>
      </c>
      <c r="O511" t="str">
        <f t="shared" si="21"/>
        <v>60-A06 | 3259 | 194|1</v>
      </c>
    </row>
    <row r="512" spans="1:15" x14ac:dyDescent="0.3">
      <c r="A512" s="43">
        <v>46235</v>
      </c>
      <c r="B512" s="2" t="s">
        <v>10</v>
      </c>
      <c r="C512" s="2" t="s">
        <v>1259</v>
      </c>
      <c r="D512" s="2" t="s">
        <v>66</v>
      </c>
      <c r="E512" s="2" t="str">
        <f>_xlfn.XLOOKUP(F512,Terrain!D:D,Terrain!A:A,"")</f>
        <v>Lower</v>
      </c>
      <c r="F512" s="2" t="s">
        <v>1274</v>
      </c>
      <c r="G512" s="2" t="s">
        <v>1059</v>
      </c>
      <c r="H512" s="2">
        <f t="shared" si="22"/>
        <v>2563</v>
      </c>
      <c r="I512" s="2">
        <v>4179</v>
      </c>
      <c r="J512" s="2">
        <v>83.58</v>
      </c>
      <c r="K512" s="2">
        <v>84</v>
      </c>
      <c r="L512" s="2">
        <f t="shared" si="23"/>
        <v>1750</v>
      </c>
      <c r="M512" s="2" t="s">
        <v>1060</v>
      </c>
      <c r="N512" s="40" t="str">
        <f>_xlfn.XLOOKUP(F512,Terrain!D:D,Terrain!H:H,"")</f>
        <v>2563 - 2565</v>
      </c>
      <c r="O512" t="str">
        <f t="shared" si="21"/>
        <v>63-A07 | 2388 | 280|1</v>
      </c>
    </row>
    <row r="513" spans="1:15" x14ac:dyDescent="0.3">
      <c r="A513" s="43">
        <v>46235</v>
      </c>
      <c r="B513" s="2" t="s">
        <v>10</v>
      </c>
      <c r="C513" s="2" t="s">
        <v>1259</v>
      </c>
      <c r="D513" s="2" t="s">
        <v>74</v>
      </c>
      <c r="E513" s="2" t="str">
        <f>_xlfn.XLOOKUP(F513,Terrain!D:D,Terrain!A:A,"")</f>
        <v>Lower</v>
      </c>
      <c r="F513" s="2" t="s">
        <v>1285</v>
      </c>
      <c r="G513" s="2" t="s">
        <v>860</v>
      </c>
      <c r="H513" s="2">
        <f t="shared" si="22"/>
        <v>2563</v>
      </c>
      <c r="I513" s="2">
        <v>540.75</v>
      </c>
      <c r="J513" s="2">
        <v>10.815</v>
      </c>
      <c r="K513" s="2">
        <v>11</v>
      </c>
      <c r="L513" s="2">
        <f t="shared" si="23"/>
        <v>1750</v>
      </c>
      <c r="M513" s="2" t="s">
        <v>1049</v>
      </c>
      <c r="N513" s="40" t="str">
        <f>_xlfn.XLOOKUP(F513,Terrain!D:D,Terrain!H:H,"")</f>
        <v>2563 - 2565</v>
      </c>
      <c r="O513" t="str">
        <f t="shared" ref="O513:O576" si="24">F513 &amp; " | " &amp; G513 &amp; " | " &amp; D513</f>
        <v>63-A07-R | 309 | 275|1</v>
      </c>
    </row>
    <row r="514" spans="1:15" x14ac:dyDescent="0.3">
      <c r="A514" s="43">
        <v>46235</v>
      </c>
      <c r="B514" s="2" t="s">
        <v>10</v>
      </c>
      <c r="C514" s="2" t="s">
        <v>1259</v>
      </c>
      <c r="D514" s="2" t="s">
        <v>82</v>
      </c>
      <c r="E514" s="2" t="str">
        <f>_xlfn.XLOOKUP(F514,Terrain!D:D,Terrain!A:A,"")</f>
        <v>Lower</v>
      </c>
      <c r="F514" s="2" t="s">
        <v>1286</v>
      </c>
      <c r="G514" s="2" t="s">
        <v>861</v>
      </c>
      <c r="H514" s="2">
        <f t="shared" ref="H514:H577" si="25">2500+VALUE(MID(F514,1,2))</f>
        <v>2557</v>
      </c>
      <c r="I514" s="2">
        <v>7539</v>
      </c>
      <c r="J514" s="2">
        <v>150.78</v>
      </c>
      <c r="K514" s="2">
        <v>151</v>
      </c>
      <c r="L514" s="2">
        <f t="shared" ref="L514:L577" si="26">I514*1000/G514</f>
        <v>1750</v>
      </c>
      <c r="M514" s="2" t="s">
        <v>1052</v>
      </c>
      <c r="N514" s="40" t="str">
        <f>_xlfn.XLOOKUP(F514,Terrain!D:D,Terrain!H:H,"")</f>
        <v>2555 - 2558</v>
      </c>
      <c r="O514" t="str">
        <f t="shared" si="24"/>
        <v>57-A08-R | 4308 | 193|1</v>
      </c>
    </row>
    <row r="515" spans="1:15" x14ac:dyDescent="0.3">
      <c r="A515" s="43">
        <v>46235</v>
      </c>
      <c r="B515" s="2" t="s">
        <v>10</v>
      </c>
      <c r="C515" s="2" t="s">
        <v>1259</v>
      </c>
      <c r="D515" s="2" t="s">
        <v>90</v>
      </c>
      <c r="E515" s="2" t="str">
        <f>_xlfn.XLOOKUP(F515,Terrain!D:D,Terrain!A:A,"")</f>
        <v>Lower</v>
      </c>
      <c r="F515" s="2" t="s">
        <v>1287</v>
      </c>
      <c r="G515" s="2" t="s">
        <v>862</v>
      </c>
      <c r="H515" s="2">
        <f t="shared" si="25"/>
        <v>2557</v>
      </c>
      <c r="I515" s="2">
        <v>6756.75</v>
      </c>
      <c r="J515" s="2">
        <v>135.13499999999999</v>
      </c>
      <c r="K515" s="2">
        <v>135</v>
      </c>
      <c r="L515" s="2">
        <f t="shared" si="26"/>
        <v>1750</v>
      </c>
      <c r="M515" s="2" t="s">
        <v>1052</v>
      </c>
      <c r="N515" s="40" t="str">
        <f>_xlfn.XLOOKUP(F515,Terrain!D:D,Terrain!H:H,"")</f>
        <v>2555 - 2558</v>
      </c>
      <c r="O515" t="str">
        <f t="shared" si="24"/>
        <v>57-A09-R | 3861 | 205|1</v>
      </c>
    </row>
    <row r="516" spans="1:15" x14ac:dyDescent="0.3">
      <c r="A516" s="43">
        <v>46235</v>
      </c>
      <c r="B516" s="2" t="s">
        <v>10</v>
      </c>
      <c r="C516" s="2" t="s">
        <v>1259</v>
      </c>
      <c r="D516" s="2" t="s">
        <v>98</v>
      </c>
      <c r="E516" s="2" t="str">
        <f>_xlfn.XLOOKUP(F516,Terrain!D:D,Terrain!A:A,"")</f>
        <v>Lower</v>
      </c>
      <c r="F516" s="2" t="s">
        <v>1288</v>
      </c>
      <c r="G516" s="2" t="s">
        <v>1061</v>
      </c>
      <c r="H516" s="2">
        <f t="shared" si="25"/>
        <v>2549</v>
      </c>
      <c r="I516" s="2">
        <v>4177.5</v>
      </c>
      <c r="J516" s="2">
        <v>83.55</v>
      </c>
      <c r="K516" s="2">
        <v>84</v>
      </c>
      <c r="L516" s="2">
        <f t="shared" si="26"/>
        <v>1500</v>
      </c>
      <c r="M516" s="2" t="s">
        <v>1062</v>
      </c>
      <c r="N516" s="40" t="str">
        <f>_xlfn.XLOOKUP(F516,Terrain!D:D,Terrain!H:H,"")</f>
        <v>2549 - 2552</v>
      </c>
      <c r="O516" t="str">
        <f t="shared" si="24"/>
        <v>49-A10-R | 2785 | 116|1</v>
      </c>
    </row>
    <row r="517" spans="1:15" x14ac:dyDescent="0.3">
      <c r="A517" s="43">
        <v>46235</v>
      </c>
      <c r="B517" s="2" t="s">
        <v>10</v>
      </c>
      <c r="C517" s="2" t="s">
        <v>1259</v>
      </c>
      <c r="D517" s="2" t="s">
        <v>106</v>
      </c>
      <c r="E517" s="2" t="str">
        <f>_xlfn.XLOOKUP(F517,Terrain!D:D,Terrain!A:A,"")</f>
        <v>Lower</v>
      </c>
      <c r="F517" s="2" t="s">
        <v>1289</v>
      </c>
      <c r="G517" s="2" t="s">
        <v>1063</v>
      </c>
      <c r="H517" s="2">
        <f t="shared" si="25"/>
        <v>2549</v>
      </c>
      <c r="I517" s="2">
        <v>3631.5</v>
      </c>
      <c r="J517" s="2">
        <v>72.63</v>
      </c>
      <c r="K517" s="2">
        <v>73</v>
      </c>
      <c r="L517" s="2">
        <f t="shared" si="26"/>
        <v>1500</v>
      </c>
      <c r="M517" s="2" t="s">
        <v>1062</v>
      </c>
      <c r="N517" s="40" t="str">
        <f>_xlfn.XLOOKUP(F517,Terrain!D:D,Terrain!H:H,"")</f>
        <v>2549 - 2552</v>
      </c>
      <c r="O517" t="str">
        <f t="shared" si="24"/>
        <v>49-A11-R | 2421 | 113|1</v>
      </c>
    </row>
    <row r="518" spans="1:15" x14ac:dyDescent="0.3">
      <c r="A518" s="43">
        <v>46235</v>
      </c>
      <c r="B518" s="2" t="s">
        <v>10</v>
      </c>
      <c r="C518" s="2" t="s">
        <v>1259</v>
      </c>
      <c r="D518" s="2" t="s">
        <v>114</v>
      </c>
      <c r="E518" s="2" t="str">
        <f>_xlfn.XLOOKUP(F518,Terrain!D:D,Terrain!A:A,"")</f>
        <v>Lower</v>
      </c>
      <c r="F518" s="2" t="s">
        <v>1290</v>
      </c>
      <c r="G518" s="2" t="s">
        <v>1064</v>
      </c>
      <c r="H518" s="2">
        <f t="shared" si="25"/>
        <v>2549</v>
      </c>
      <c r="I518" s="2">
        <v>5646</v>
      </c>
      <c r="J518" s="2">
        <v>112.92</v>
      </c>
      <c r="K518" s="2">
        <v>113</v>
      </c>
      <c r="L518" s="2">
        <f t="shared" si="26"/>
        <v>1500</v>
      </c>
      <c r="M518" s="2" t="s">
        <v>1062</v>
      </c>
      <c r="N518" s="40" t="str">
        <f>_xlfn.XLOOKUP(F518,Terrain!D:D,Terrain!H:H,"")</f>
        <v>2549 - 2552</v>
      </c>
      <c r="O518" t="str">
        <f t="shared" si="24"/>
        <v>49-A12-R | 3764 | 118|1</v>
      </c>
    </row>
    <row r="519" spans="1:15" x14ac:dyDescent="0.3">
      <c r="A519" s="43">
        <v>46235</v>
      </c>
      <c r="B519" s="2" t="s">
        <v>10</v>
      </c>
      <c r="C519" s="2" t="s">
        <v>1259</v>
      </c>
      <c r="D519" s="2" t="s">
        <v>122</v>
      </c>
      <c r="E519" s="2" t="str">
        <f>_xlfn.XLOOKUP(F519,Terrain!D:D,Terrain!A:A,"")</f>
        <v>Lower</v>
      </c>
      <c r="F519" s="2" t="s">
        <v>1291</v>
      </c>
      <c r="G519" s="2" t="s">
        <v>1065</v>
      </c>
      <c r="H519" s="2">
        <f t="shared" si="25"/>
        <v>2549</v>
      </c>
      <c r="I519" s="2">
        <v>4339.5</v>
      </c>
      <c r="J519" s="2">
        <v>86.79</v>
      </c>
      <c r="K519" s="2">
        <v>87</v>
      </c>
      <c r="L519" s="2">
        <f t="shared" si="26"/>
        <v>1500</v>
      </c>
      <c r="M519" s="2" t="s">
        <v>1062</v>
      </c>
      <c r="N519" s="40" t="str">
        <f>_xlfn.XLOOKUP(F519,Terrain!D:D,Terrain!H:H,"")</f>
        <v>2549 - 2552</v>
      </c>
      <c r="O519" t="str">
        <f t="shared" si="24"/>
        <v>49-A13-R | 2893 | 119|1</v>
      </c>
    </row>
    <row r="520" spans="1:15" x14ac:dyDescent="0.3">
      <c r="A520" s="43">
        <v>46235</v>
      </c>
      <c r="B520" s="2" t="s">
        <v>10</v>
      </c>
      <c r="C520" s="2" t="s">
        <v>1259</v>
      </c>
      <c r="D520" s="2" t="s">
        <v>130</v>
      </c>
      <c r="E520" s="2" t="str">
        <f>_xlfn.XLOOKUP(F520,Terrain!D:D,Terrain!A:A,"")</f>
        <v>Upper</v>
      </c>
      <c r="F520" s="2" t="s">
        <v>1275</v>
      </c>
      <c r="G520" s="2" t="s">
        <v>891</v>
      </c>
      <c r="H520" s="2">
        <f t="shared" si="25"/>
        <v>2565</v>
      </c>
      <c r="I520" s="2">
        <v>5019</v>
      </c>
      <c r="J520" s="2">
        <v>100.38</v>
      </c>
      <c r="K520" s="2">
        <v>100</v>
      </c>
      <c r="L520" s="2">
        <f t="shared" si="26"/>
        <v>1750</v>
      </c>
      <c r="M520" s="2" t="s">
        <v>1066</v>
      </c>
      <c r="N520" s="40" t="str">
        <f>_xlfn.XLOOKUP(F520,Terrain!D:D,Terrain!H:H,"")</f>
        <v>2563 - 2565</v>
      </c>
      <c r="O520" t="str">
        <f t="shared" si="24"/>
        <v>65-B01 | 2868 | 565|1</v>
      </c>
    </row>
    <row r="521" spans="1:15" x14ac:dyDescent="0.3">
      <c r="A521" s="43">
        <v>46235</v>
      </c>
      <c r="B521" s="2" t="s">
        <v>10</v>
      </c>
      <c r="C521" s="2" t="s">
        <v>1259</v>
      </c>
      <c r="D521" s="2" t="s">
        <v>138</v>
      </c>
      <c r="E521" s="2" t="str">
        <f>_xlfn.XLOOKUP(F521,Terrain!D:D,Terrain!A:A,"")</f>
        <v>Upper</v>
      </c>
      <c r="F521" s="2" t="s">
        <v>1276</v>
      </c>
      <c r="G521" s="2" t="s">
        <v>892</v>
      </c>
      <c r="H521" s="2">
        <f t="shared" si="25"/>
        <v>2564</v>
      </c>
      <c r="I521" s="2">
        <v>6090</v>
      </c>
      <c r="J521" s="2">
        <v>121.8</v>
      </c>
      <c r="K521" s="2">
        <v>122</v>
      </c>
      <c r="L521" s="2">
        <f t="shared" si="26"/>
        <v>1750</v>
      </c>
      <c r="M521" s="2" t="s">
        <v>1066</v>
      </c>
      <c r="N521" s="40" t="str">
        <f>_xlfn.XLOOKUP(F521,Terrain!D:D,Terrain!H:H,"")</f>
        <v>2563 - 2564</v>
      </c>
      <c r="O521" t="str">
        <f t="shared" si="24"/>
        <v>64-B02 | 3480 | 570|1</v>
      </c>
    </row>
    <row r="522" spans="1:15" x14ac:dyDescent="0.3">
      <c r="A522" s="43">
        <v>46235</v>
      </c>
      <c r="B522" s="2" t="s">
        <v>10</v>
      </c>
      <c r="C522" s="2" t="s">
        <v>1259</v>
      </c>
      <c r="D522" s="2" t="s">
        <v>146</v>
      </c>
      <c r="E522" s="2" t="str">
        <f>_xlfn.XLOOKUP(F522,Terrain!D:D,Terrain!A:A,"")</f>
        <v>Upper</v>
      </c>
      <c r="F522" s="2" t="s">
        <v>1277</v>
      </c>
      <c r="G522" s="2" t="s">
        <v>893</v>
      </c>
      <c r="H522" s="2">
        <f t="shared" si="25"/>
        <v>2557</v>
      </c>
      <c r="I522" s="2">
        <v>7404.25</v>
      </c>
      <c r="J522" s="2">
        <v>148.08500000000001</v>
      </c>
      <c r="K522" s="2">
        <v>148</v>
      </c>
      <c r="L522" s="2">
        <f t="shared" si="26"/>
        <v>1750</v>
      </c>
      <c r="M522" s="2" t="s">
        <v>1067</v>
      </c>
      <c r="N522" s="40" t="str">
        <f>_xlfn.XLOOKUP(F522,Terrain!D:D,Terrain!H:H,"")</f>
        <v>2555 - 2558</v>
      </c>
      <c r="O522" t="str">
        <f t="shared" si="24"/>
        <v>57-B03 | 4231 | 508|1</v>
      </c>
    </row>
    <row r="523" spans="1:15" x14ac:dyDescent="0.3">
      <c r="A523" s="43">
        <v>46235</v>
      </c>
      <c r="B523" s="2" t="s">
        <v>10</v>
      </c>
      <c r="C523" s="2" t="s">
        <v>1259</v>
      </c>
      <c r="D523" s="2" t="s">
        <v>154</v>
      </c>
      <c r="E523" s="2" t="str">
        <f>_xlfn.XLOOKUP(F523,Terrain!D:D,Terrain!A:A,"")</f>
        <v>Upper</v>
      </c>
      <c r="F523" s="2" t="s">
        <v>1278</v>
      </c>
      <c r="G523" s="2" t="s">
        <v>894</v>
      </c>
      <c r="H523" s="2">
        <f t="shared" si="25"/>
        <v>2560</v>
      </c>
      <c r="I523" s="2">
        <v>6739.25</v>
      </c>
      <c r="J523" s="2">
        <v>134.785</v>
      </c>
      <c r="K523" s="2">
        <v>135</v>
      </c>
      <c r="L523" s="2">
        <f t="shared" si="26"/>
        <v>1750</v>
      </c>
      <c r="M523" s="2" t="s">
        <v>1068</v>
      </c>
      <c r="N523" s="40" t="str">
        <f>_xlfn.XLOOKUP(F523,Terrain!D:D,Terrain!H:H,"")</f>
        <v>2559 - 2560</v>
      </c>
      <c r="O523" t="str">
        <f t="shared" si="24"/>
        <v>60-B04 | 3851 | 515|1</v>
      </c>
    </row>
    <row r="524" spans="1:15" x14ac:dyDescent="0.3">
      <c r="A524" s="43">
        <v>46235</v>
      </c>
      <c r="B524" s="2" t="s">
        <v>10</v>
      </c>
      <c r="C524" s="2" t="s">
        <v>1259</v>
      </c>
      <c r="D524" s="2" t="s">
        <v>162</v>
      </c>
      <c r="E524" s="2" t="str">
        <f>_xlfn.XLOOKUP(F524,Terrain!D:D,Terrain!A:A,"")</f>
        <v>Upper</v>
      </c>
      <c r="F524" s="2" t="s">
        <v>1279</v>
      </c>
      <c r="G524" s="2" t="s">
        <v>895</v>
      </c>
      <c r="H524" s="2">
        <f t="shared" si="25"/>
        <v>2564</v>
      </c>
      <c r="I524" s="2">
        <v>5495</v>
      </c>
      <c r="J524" s="2">
        <v>109.9</v>
      </c>
      <c r="K524" s="2">
        <v>110</v>
      </c>
      <c r="L524" s="2">
        <f t="shared" si="26"/>
        <v>1750</v>
      </c>
      <c r="M524" s="2" t="s">
        <v>1066</v>
      </c>
      <c r="N524" s="40" t="str">
        <f>_xlfn.XLOOKUP(F524,Terrain!D:D,Terrain!H:H,"")</f>
        <v>2563 - 2564</v>
      </c>
      <c r="O524" t="str">
        <f t="shared" si="24"/>
        <v>64-B05 | 3140 | 566|1</v>
      </c>
    </row>
    <row r="525" spans="1:15" x14ac:dyDescent="0.3">
      <c r="A525" s="43">
        <v>46235</v>
      </c>
      <c r="B525" s="2" t="s">
        <v>10</v>
      </c>
      <c r="C525" s="2" t="s">
        <v>1259</v>
      </c>
      <c r="D525" s="2" t="s">
        <v>170</v>
      </c>
      <c r="E525" s="2" t="str">
        <f>_xlfn.XLOOKUP(F525,Terrain!D:D,Terrain!A:A,"")</f>
        <v>Upper</v>
      </c>
      <c r="F525" s="2" t="s">
        <v>1280</v>
      </c>
      <c r="G525" s="2" t="s">
        <v>896</v>
      </c>
      <c r="H525" s="2">
        <f t="shared" si="25"/>
        <v>2564</v>
      </c>
      <c r="I525" s="2">
        <v>6424.25</v>
      </c>
      <c r="J525" s="2">
        <v>128.48500000000001</v>
      </c>
      <c r="K525" s="2">
        <v>128</v>
      </c>
      <c r="L525" s="2">
        <f t="shared" si="26"/>
        <v>1750</v>
      </c>
      <c r="M525" s="2" t="s">
        <v>1066</v>
      </c>
      <c r="N525" s="40" t="str">
        <f>_xlfn.XLOOKUP(F525,Terrain!D:D,Terrain!H:H,"")</f>
        <v>2563 - 2564</v>
      </c>
      <c r="O525" t="str">
        <f t="shared" si="24"/>
        <v>64-B06 | 3671 | 569|1</v>
      </c>
    </row>
    <row r="526" spans="1:15" x14ac:dyDescent="0.3">
      <c r="A526" s="43">
        <v>46235</v>
      </c>
      <c r="B526" s="2" t="s">
        <v>10</v>
      </c>
      <c r="C526" s="2" t="s">
        <v>1259</v>
      </c>
      <c r="D526" s="2" t="s">
        <v>178</v>
      </c>
      <c r="E526" s="2" t="str">
        <f>_xlfn.XLOOKUP(F526,Terrain!D:D,Terrain!A:A,"")</f>
        <v>Upper</v>
      </c>
      <c r="F526" s="2" t="s">
        <v>1281</v>
      </c>
      <c r="G526" s="2" t="s">
        <v>897</v>
      </c>
      <c r="H526" s="2">
        <f t="shared" si="25"/>
        <v>2550</v>
      </c>
      <c r="I526" s="2">
        <v>6033</v>
      </c>
      <c r="J526" s="2">
        <v>120.66</v>
      </c>
      <c r="K526" s="2">
        <v>121</v>
      </c>
      <c r="L526" s="2">
        <f t="shared" si="26"/>
        <v>1500</v>
      </c>
      <c r="M526" s="2" t="s">
        <v>1069</v>
      </c>
      <c r="N526" s="40" t="str">
        <f>_xlfn.XLOOKUP(F526,Terrain!D:D,Terrain!H:H,"")</f>
        <v>2549 - 2552</v>
      </c>
      <c r="O526" t="str">
        <f t="shared" si="24"/>
        <v>50-B07 | 4022 | 447|1</v>
      </c>
    </row>
    <row r="527" spans="1:15" x14ac:dyDescent="0.3">
      <c r="A527" s="43">
        <v>46235</v>
      </c>
      <c r="B527" s="2" t="s">
        <v>10</v>
      </c>
      <c r="C527" s="2" t="s">
        <v>1259</v>
      </c>
      <c r="D527" s="2" t="s">
        <v>186</v>
      </c>
      <c r="E527" s="2" t="str">
        <f>_xlfn.XLOOKUP(F527,Terrain!D:D,Terrain!A:A,"")</f>
        <v>Upper</v>
      </c>
      <c r="F527" s="2" t="s">
        <v>1292</v>
      </c>
      <c r="G527" s="2" t="s">
        <v>898</v>
      </c>
      <c r="H527" s="2">
        <f t="shared" si="25"/>
        <v>2560</v>
      </c>
      <c r="I527" s="2">
        <v>6083</v>
      </c>
      <c r="J527" s="2">
        <v>121.66</v>
      </c>
      <c r="K527" s="2">
        <v>122</v>
      </c>
      <c r="L527" s="2">
        <f t="shared" si="26"/>
        <v>1750</v>
      </c>
      <c r="M527" s="2" t="s">
        <v>1068</v>
      </c>
      <c r="N527" s="40" t="str">
        <f>_xlfn.XLOOKUP(F527,Terrain!D:D,Terrain!H:H,"")</f>
        <v>2559 - 2560</v>
      </c>
      <c r="O527" t="str">
        <f t="shared" si="24"/>
        <v>60-B08 | 3476 | 512|1</v>
      </c>
    </row>
    <row r="528" spans="1:15" x14ac:dyDescent="0.3">
      <c r="A528" s="43">
        <v>46235</v>
      </c>
      <c r="B528" s="2" t="s">
        <v>10</v>
      </c>
      <c r="C528" s="2" t="s">
        <v>1259</v>
      </c>
      <c r="D528" s="2" t="s">
        <v>194</v>
      </c>
      <c r="E528" s="2" t="str">
        <f>_xlfn.XLOOKUP(F528,Terrain!D:D,Terrain!A:A,"")</f>
        <v>Upper</v>
      </c>
      <c r="F528" s="2" t="s">
        <v>1293</v>
      </c>
      <c r="G528" s="2" t="s">
        <v>899</v>
      </c>
      <c r="H528" s="2">
        <f t="shared" si="25"/>
        <v>2560</v>
      </c>
      <c r="I528" s="2">
        <v>7222.25</v>
      </c>
      <c r="J528" s="2">
        <v>144.44499999999999</v>
      </c>
      <c r="K528" s="2">
        <v>144</v>
      </c>
      <c r="L528" s="2">
        <f t="shared" si="26"/>
        <v>1750</v>
      </c>
      <c r="M528" s="2" t="s">
        <v>1068</v>
      </c>
      <c r="N528" s="40" t="str">
        <f>_xlfn.XLOOKUP(F528,Terrain!D:D,Terrain!H:H,"")</f>
        <v>2559 - 2560</v>
      </c>
      <c r="O528" t="str">
        <f t="shared" si="24"/>
        <v>60-B09 | 4127 | 501|1</v>
      </c>
    </row>
    <row r="529" spans="1:15" x14ac:dyDescent="0.3">
      <c r="A529" s="43">
        <v>46235</v>
      </c>
      <c r="B529" s="2" t="s">
        <v>10</v>
      </c>
      <c r="C529" s="2" t="s">
        <v>1259</v>
      </c>
      <c r="D529" s="2" t="s">
        <v>202</v>
      </c>
      <c r="E529" s="2" t="str">
        <f>_xlfn.XLOOKUP(F529,Terrain!D:D,Terrain!A:A,"")</f>
        <v>Upper</v>
      </c>
      <c r="F529" s="2" t="s">
        <v>1135</v>
      </c>
      <c r="G529" s="2" t="s">
        <v>900</v>
      </c>
      <c r="H529" s="2">
        <f t="shared" si="25"/>
        <v>2550</v>
      </c>
      <c r="I529" s="2">
        <v>6367.5</v>
      </c>
      <c r="J529" s="2">
        <v>127.35</v>
      </c>
      <c r="K529" s="2">
        <v>127</v>
      </c>
      <c r="L529" s="2">
        <f t="shared" si="26"/>
        <v>1500</v>
      </c>
      <c r="M529" s="2" t="s">
        <v>1069</v>
      </c>
      <c r="N529" s="40" t="str">
        <f>_xlfn.XLOOKUP(F529,Terrain!D:D,Terrain!H:H,"")</f>
        <v>2549 - 2552</v>
      </c>
      <c r="O529" t="str">
        <f t="shared" si="24"/>
        <v>50-B10 | 4245 | 444|1</v>
      </c>
    </row>
    <row r="530" spans="1:15" x14ac:dyDescent="0.3">
      <c r="A530" s="43">
        <v>46235</v>
      </c>
      <c r="B530" s="2" t="s">
        <v>10</v>
      </c>
      <c r="C530" s="2" t="s">
        <v>1259</v>
      </c>
      <c r="D530" s="2" t="s">
        <v>210</v>
      </c>
      <c r="E530" s="2" t="str">
        <f>_xlfn.XLOOKUP(F530,Terrain!D:D,Terrain!A:A,"")</f>
        <v>Upper</v>
      </c>
      <c r="F530" s="2" t="s">
        <v>1149</v>
      </c>
      <c r="G530" s="2" t="s">
        <v>901</v>
      </c>
      <c r="H530" s="2">
        <f t="shared" si="25"/>
        <v>2565</v>
      </c>
      <c r="I530" s="2">
        <v>5587.75</v>
      </c>
      <c r="J530" s="2">
        <v>111.755</v>
      </c>
      <c r="K530" s="2">
        <v>112</v>
      </c>
      <c r="L530" s="2">
        <f t="shared" si="26"/>
        <v>1750</v>
      </c>
      <c r="M530" s="2" t="s">
        <v>1066</v>
      </c>
      <c r="N530" s="40" t="str">
        <f>_xlfn.XLOOKUP(F530,Terrain!D:D,Terrain!H:H,"")</f>
        <v>2563 - 2565</v>
      </c>
      <c r="O530" t="str">
        <f t="shared" si="24"/>
        <v>65-B11 | 3193 | 571|1</v>
      </c>
    </row>
    <row r="531" spans="1:15" x14ac:dyDescent="0.3">
      <c r="A531" s="43">
        <v>46235</v>
      </c>
      <c r="B531" s="2" t="s">
        <v>10</v>
      </c>
      <c r="C531" s="2" t="s">
        <v>1259</v>
      </c>
      <c r="D531" s="2" t="s">
        <v>218</v>
      </c>
      <c r="E531" s="2" t="str">
        <f>_xlfn.XLOOKUP(F531,Terrain!D:D,Terrain!A:A,"")</f>
        <v>Upper</v>
      </c>
      <c r="F531" s="2" t="s">
        <v>1137</v>
      </c>
      <c r="G531" s="2" t="s">
        <v>902</v>
      </c>
      <c r="H531" s="2">
        <f t="shared" si="25"/>
        <v>2557</v>
      </c>
      <c r="I531" s="2">
        <v>7463.75</v>
      </c>
      <c r="J531" s="2">
        <v>149.27500000000001</v>
      </c>
      <c r="K531" s="2">
        <v>149</v>
      </c>
      <c r="L531" s="2">
        <f t="shared" si="26"/>
        <v>1750</v>
      </c>
      <c r="M531" s="2" t="s">
        <v>1067</v>
      </c>
      <c r="N531" s="40" t="str">
        <f>_xlfn.XLOOKUP(F531,Terrain!D:D,Terrain!H:H,"")</f>
        <v>2555 - 2558</v>
      </c>
      <c r="O531" t="str">
        <f t="shared" si="24"/>
        <v>57-B12 | 4265 | 509|1</v>
      </c>
    </row>
    <row r="532" spans="1:15" x14ac:dyDescent="0.3">
      <c r="A532" s="43">
        <v>46235</v>
      </c>
      <c r="B532" s="2" t="s">
        <v>10</v>
      </c>
      <c r="C532" s="2" t="s">
        <v>1259</v>
      </c>
      <c r="D532" s="2" t="s">
        <v>226</v>
      </c>
      <c r="E532" s="2" t="str">
        <f>_xlfn.XLOOKUP(F532,Terrain!D:D,Terrain!A:A,"")</f>
        <v>Upper</v>
      </c>
      <c r="F532" s="2" t="s">
        <v>1131</v>
      </c>
      <c r="G532" s="2" t="s">
        <v>903</v>
      </c>
      <c r="H532" s="2">
        <f t="shared" si="25"/>
        <v>2549</v>
      </c>
      <c r="I532" s="2">
        <v>6288</v>
      </c>
      <c r="J532" s="2">
        <v>125.76</v>
      </c>
      <c r="K532" s="2">
        <v>126</v>
      </c>
      <c r="L532" s="2">
        <f t="shared" si="26"/>
        <v>1500</v>
      </c>
      <c r="M532" s="2" t="s">
        <v>1069</v>
      </c>
      <c r="N532" s="40" t="str">
        <f>_xlfn.XLOOKUP(F532,Terrain!D:D,Terrain!H:H,"")</f>
        <v>ปาล์มใหญ่</v>
      </c>
      <c r="O532" t="str">
        <f t="shared" si="24"/>
        <v>49-B13 | 4192 | 443|1</v>
      </c>
    </row>
    <row r="533" spans="1:15" x14ac:dyDescent="0.3">
      <c r="A533" s="43">
        <v>46235</v>
      </c>
      <c r="B533" s="2" t="s">
        <v>10</v>
      </c>
      <c r="C533" s="2" t="s">
        <v>1259</v>
      </c>
      <c r="D533" s="2" t="s">
        <v>234</v>
      </c>
      <c r="E533" s="2" t="str">
        <f>_xlfn.XLOOKUP(F533,Terrain!D:D,Terrain!A:A,"")</f>
        <v>Upper</v>
      </c>
      <c r="F533" s="2" t="s">
        <v>1130</v>
      </c>
      <c r="G533" s="2" t="s">
        <v>904</v>
      </c>
      <c r="H533" s="2">
        <f t="shared" si="25"/>
        <v>2530</v>
      </c>
      <c r="I533" s="2">
        <v>189</v>
      </c>
      <c r="J533" s="2">
        <v>3.78</v>
      </c>
      <c r="K533" s="2">
        <v>4</v>
      </c>
      <c r="L533" s="2">
        <f t="shared" si="26"/>
        <v>1500</v>
      </c>
      <c r="M533" s="2" t="s">
        <v>1070</v>
      </c>
      <c r="N533" s="40" t="str">
        <f>_xlfn.XLOOKUP(F533,Terrain!D:D,Terrain!H:H,"")</f>
        <v>ปาล์มใหญ่</v>
      </c>
      <c r="O533" t="str">
        <f t="shared" si="24"/>
        <v>30-B14 | 126 | 448|1</v>
      </c>
    </row>
    <row r="534" spans="1:15" x14ac:dyDescent="0.3">
      <c r="A534" s="43">
        <v>46235</v>
      </c>
      <c r="B534" s="2" t="s">
        <v>10</v>
      </c>
      <c r="C534" s="2" t="s">
        <v>1259</v>
      </c>
      <c r="D534" s="2" t="s">
        <v>242</v>
      </c>
      <c r="E534" s="2" t="str">
        <f>_xlfn.XLOOKUP(F534,Terrain!D:D,Terrain!A:A,"")</f>
        <v>Upper</v>
      </c>
      <c r="F534" s="2" t="s">
        <v>1139</v>
      </c>
      <c r="G534" s="2" t="s">
        <v>905</v>
      </c>
      <c r="H534" s="2">
        <f t="shared" si="25"/>
        <v>2557</v>
      </c>
      <c r="I534" s="2">
        <v>2910.25</v>
      </c>
      <c r="J534" s="2">
        <v>58.204999999999998</v>
      </c>
      <c r="K534" s="2">
        <v>58</v>
      </c>
      <c r="L534" s="2">
        <f t="shared" si="26"/>
        <v>1750</v>
      </c>
      <c r="M534" s="2" t="s">
        <v>1067</v>
      </c>
      <c r="N534" s="40" t="str">
        <f>_xlfn.XLOOKUP(F534,Terrain!D:D,Terrain!H:H,"")</f>
        <v>2555 - 2558</v>
      </c>
      <c r="O534" t="str">
        <f t="shared" si="24"/>
        <v>57-B14 | 1663 | 503|1</v>
      </c>
    </row>
    <row r="535" spans="1:15" x14ac:dyDescent="0.3">
      <c r="A535" s="43">
        <v>46235</v>
      </c>
      <c r="B535" s="2" t="s">
        <v>10</v>
      </c>
      <c r="C535" s="2" t="s">
        <v>1259</v>
      </c>
      <c r="D535" s="2" t="s">
        <v>250</v>
      </c>
      <c r="E535" s="2" t="str">
        <f>_xlfn.XLOOKUP(F535,Terrain!D:D,Terrain!A:A,"")</f>
        <v>Lower</v>
      </c>
      <c r="F535" s="2" t="s">
        <v>1294</v>
      </c>
      <c r="G535" s="2" t="s">
        <v>1071</v>
      </c>
      <c r="H535" s="2">
        <f t="shared" si="25"/>
        <v>2560</v>
      </c>
      <c r="I535" s="2">
        <v>4737.25</v>
      </c>
      <c r="J535" s="2">
        <v>94.745000000000005</v>
      </c>
      <c r="K535" s="2">
        <v>95</v>
      </c>
      <c r="L535" s="2">
        <f t="shared" si="26"/>
        <v>1750</v>
      </c>
      <c r="M535" s="2" t="s">
        <v>1072</v>
      </c>
      <c r="N535" s="40" t="str">
        <f>_xlfn.XLOOKUP(F535,Terrain!D:D,Terrain!H:H,"")</f>
        <v>2559 - 2560</v>
      </c>
      <c r="O535" t="str">
        <f t="shared" si="24"/>
        <v>60-C01-R | 2707 | 207|1</v>
      </c>
    </row>
    <row r="536" spans="1:15" x14ac:dyDescent="0.3">
      <c r="A536" s="43">
        <v>46235</v>
      </c>
      <c r="B536" s="2" t="s">
        <v>10</v>
      </c>
      <c r="C536" s="2" t="s">
        <v>1259</v>
      </c>
      <c r="D536" s="2" t="s">
        <v>258</v>
      </c>
      <c r="E536" s="2" t="str">
        <f>_xlfn.XLOOKUP(F536,Terrain!D:D,Terrain!A:A,"")</f>
        <v>Lower</v>
      </c>
      <c r="F536" s="2" t="s">
        <v>1295</v>
      </c>
      <c r="G536" s="2" t="s">
        <v>1073</v>
      </c>
      <c r="H536" s="2">
        <f t="shared" si="25"/>
        <v>2560</v>
      </c>
      <c r="I536" s="2">
        <v>3731</v>
      </c>
      <c r="J536" s="2">
        <v>74.62</v>
      </c>
      <c r="K536" s="2">
        <v>75</v>
      </c>
      <c r="L536" s="2">
        <f t="shared" si="26"/>
        <v>1750</v>
      </c>
      <c r="M536" s="2" t="s">
        <v>1072</v>
      </c>
      <c r="N536" s="40" t="str">
        <f>_xlfn.XLOOKUP(F536,Terrain!D:D,Terrain!H:H,"")</f>
        <v>2559 - 2560</v>
      </c>
      <c r="O536" t="str">
        <f t="shared" si="24"/>
        <v>60-C02-R | 2132 | 204|1</v>
      </c>
    </row>
    <row r="537" spans="1:15" x14ac:dyDescent="0.3">
      <c r="A537" s="43">
        <v>46235</v>
      </c>
      <c r="B537" s="2" t="s">
        <v>10</v>
      </c>
      <c r="C537" s="2" t="s">
        <v>1259</v>
      </c>
      <c r="D537" s="2" t="s">
        <v>266</v>
      </c>
      <c r="E537" s="2" t="str">
        <f>_xlfn.XLOOKUP(F537,Terrain!D:D,Terrain!A:A,"")</f>
        <v>Lower</v>
      </c>
      <c r="F537" s="2" t="s">
        <v>1296</v>
      </c>
      <c r="G537" s="2" t="s">
        <v>1074</v>
      </c>
      <c r="H537" s="2">
        <f t="shared" si="25"/>
        <v>2559</v>
      </c>
      <c r="I537" s="2">
        <v>5832.75</v>
      </c>
      <c r="J537" s="2">
        <v>116.655</v>
      </c>
      <c r="K537" s="2">
        <v>117</v>
      </c>
      <c r="L537" s="2">
        <f t="shared" si="26"/>
        <v>1750</v>
      </c>
      <c r="M537" s="2" t="s">
        <v>1072</v>
      </c>
      <c r="N537" s="40" t="str">
        <f>_xlfn.XLOOKUP(F537,Terrain!D:D,Terrain!H:H,"")</f>
        <v>2559 - 2560</v>
      </c>
      <c r="O537" t="str">
        <f t="shared" si="24"/>
        <v>59-C03-R | 3333 | 202|1</v>
      </c>
    </row>
    <row r="538" spans="1:15" x14ac:dyDescent="0.3">
      <c r="A538" s="43">
        <v>46235</v>
      </c>
      <c r="B538" s="2" t="s">
        <v>10</v>
      </c>
      <c r="C538" s="2" t="s">
        <v>1259</v>
      </c>
      <c r="D538" s="2" t="s">
        <v>274</v>
      </c>
      <c r="E538" s="2" t="str">
        <f>_xlfn.XLOOKUP(F538,Terrain!D:D,Terrain!A:A,"")</f>
        <v>Lower</v>
      </c>
      <c r="F538" s="2" t="s">
        <v>1297</v>
      </c>
      <c r="G538" s="2" t="s">
        <v>1075</v>
      </c>
      <c r="H538" s="2">
        <f t="shared" si="25"/>
        <v>2559</v>
      </c>
      <c r="I538" s="2">
        <v>4418.75</v>
      </c>
      <c r="J538" s="2">
        <v>88.375</v>
      </c>
      <c r="K538" s="2">
        <v>88</v>
      </c>
      <c r="L538" s="2">
        <f t="shared" si="26"/>
        <v>1750</v>
      </c>
      <c r="M538" s="2" t="s">
        <v>1072</v>
      </c>
      <c r="N538" s="40" t="str">
        <f>_xlfn.XLOOKUP(F538,Terrain!D:D,Terrain!H:H,"")</f>
        <v>2559 - 2560</v>
      </c>
      <c r="O538" t="str">
        <f t="shared" si="24"/>
        <v>59-C04-R | 2525 | 197|1</v>
      </c>
    </row>
    <row r="539" spans="1:15" x14ac:dyDescent="0.3">
      <c r="A539" s="43">
        <v>46235</v>
      </c>
      <c r="B539" s="2" t="s">
        <v>10</v>
      </c>
      <c r="C539" s="2" t="s">
        <v>1259</v>
      </c>
      <c r="D539" s="2" t="s">
        <v>282</v>
      </c>
      <c r="E539" s="2" t="str">
        <f>_xlfn.XLOOKUP(F539,Terrain!D:D,Terrain!A:A,"")</f>
        <v>Lower</v>
      </c>
      <c r="F539" s="2" t="s">
        <v>1298</v>
      </c>
      <c r="G539" s="2" t="s">
        <v>864</v>
      </c>
      <c r="H539" s="2">
        <f t="shared" si="25"/>
        <v>2522</v>
      </c>
      <c r="I539" s="2">
        <v>276</v>
      </c>
      <c r="J539" s="2">
        <v>5.52</v>
      </c>
      <c r="K539" s="2">
        <v>6</v>
      </c>
      <c r="L539" s="2">
        <f t="shared" si="26"/>
        <v>1500</v>
      </c>
      <c r="M539" s="2" t="s">
        <v>1076</v>
      </c>
      <c r="N539" s="40" t="str">
        <f>_xlfn.XLOOKUP(F539,Terrain!D:D,Terrain!H:H,"")</f>
        <v>ปาล์มใหญ่</v>
      </c>
      <c r="O539" t="str">
        <f t="shared" si="24"/>
        <v>22-C05-R | 184 | 121|1</v>
      </c>
    </row>
    <row r="540" spans="1:15" x14ac:dyDescent="0.3">
      <c r="A540" s="43">
        <v>46235</v>
      </c>
      <c r="B540" s="2" t="s">
        <v>10</v>
      </c>
      <c r="C540" s="2" t="s">
        <v>1259</v>
      </c>
      <c r="D540" s="2" t="s">
        <v>290</v>
      </c>
      <c r="E540" s="2" t="str">
        <f>_xlfn.XLOOKUP(F540,Terrain!D:D,Terrain!A:A,"")</f>
        <v>Lower</v>
      </c>
      <c r="F540" s="2" t="s">
        <v>1299</v>
      </c>
      <c r="G540" s="2" t="s">
        <v>865</v>
      </c>
      <c r="H540" s="2">
        <f t="shared" si="25"/>
        <v>2550</v>
      </c>
      <c r="I540" s="2">
        <v>4188</v>
      </c>
      <c r="J540" s="2">
        <v>83.76</v>
      </c>
      <c r="K540" s="2">
        <v>84</v>
      </c>
      <c r="L540" s="2">
        <f t="shared" si="26"/>
        <v>1500</v>
      </c>
      <c r="M540" s="2" t="s">
        <v>1077</v>
      </c>
      <c r="N540" s="40" t="str">
        <f>_xlfn.XLOOKUP(F540,Terrain!D:D,Terrain!H:H,"")</f>
        <v>2549 - 2552</v>
      </c>
      <c r="O540" t="str">
        <f t="shared" si="24"/>
        <v>50-C05-R | 2792 | 114|1</v>
      </c>
    </row>
    <row r="541" spans="1:15" x14ac:dyDescent="0.3">
      <c r="A541" s="43">
        <v>46235</v>
      </c>
      <c r="B541" s="2" t="s">
        <v>10</v>
      </c>
      <c r="C541" s="2" t="s">
        <v>1259</v>
      </c>
      <c r="D541" s="2" t="s">
        <v>298</v>
      </c>
      <c r="E541" s="2" t="str">
        <f>_xlfn.XLOOKUP(F541,Terrain!D:D,Terrain!A:A,"")</f>
        <v>Lower</v>
      </c>
      <c r="F541" s="2" t="s">
        <v>1300</v>
      </c>
      <c r="G541" s="2" t="s">
        <v>1078</v>
      </c>
      <c r="H541" s="2">
        <f t="shared" si="25"/>
        <v>2560</v>
      </c>
      <c r="I541" s="2">
        <v>1260</v>
      </c>
      <c r="J541" s="2">
        <v>25.2</v>
      </c>
      <c r="K541" s="2">
        <v>25</v>
      </c>
      <c r="L541" s="2">
        <f t="shared" si="26"/>
        <v>1750</v>
      </c>
      <c r="M541" s="2" t="s">
        <v>1072</v>
      </c>
      <c r="N541" s="40" t="str">
        <f>_xlfn.XLOOKUP(F541,Terrain!D:D,Terrain!H:H,"")</f>
        <v>2559 - 2560</v>
      </c>
      <c r="O541" t="str">
        <f t="shared" si="24"/>
        <v>60-C05-R | 720 | 201|1</v>
      </c>
    </row>
    <row r="542" spans="1:15" x14ac:dyDescent="0.3">
      <c r="A542" s="43">
        <v>46235</v>
      </c>
      <c r="B542" s="2" t="s">
        <v>10</v>
      </c>
      <c r="C542" s="2" t="s">
        <v>1259</v>
      </c>
      <c r="D542" s="2" t="s">
        <v>306</v>
      </c>
      <c r="E542" s="2" t="str">
        <f>_xlfn.XLOOKUP(F542,Terrain!D:D,Terrain!A:A,"")</f>
        <v>Lower</v>
      </c>
      <c r="F542" s="2" t="s">
        <v>1301</v>
      </c>
      <c r="G542" s="2" t="s">
        <v>866</v>
      </c>
      <c r="H542" s="2">
        <f t="shared" si="25"/>
        <v>2557</v>
      </c>
      <c r="I542" s="2">
        <v>525</v>
      </c>
      <c r="J542" s="2">
        <v>10.5</v>
      </c>
      <c r="K542" s="2">
        <v>11</v>
      </c>
      <c r="L542" s="2">
        <f t="shared" si="26"/>
        <v>1750</v>
      </c>
      <c r="M542" s="2" t="s">
        <v>1079</v>
      </c>
      <c r="N542" s="40" t="str">
        <f>_xlfn.XLOOKUP(F542,Terrain!D:D,Terrain!H:H,"")</f>
        <v>2555 - 2558</v>
      </c>
      <c r="O542" t="str">
        <f t="shared" si="24"/>
        <v>57-C06 | 300 | 191|1</v>
      </c>
    </row>
    <row r="543" spans="1:15" x14ac:dyDescent="0.3">
      <c r="A543" s="43">
        <v>46235</v>
      </c>
      <c r="B543" s="2" t="s">
        <v>10</v>
      </c>
      <c r="C543" s="2" t="s">
        <v>1259</v>
      </c>
      <c r="D543" s="2" t="s">
        <v>314</v>
      </c>
      <c r="E543" s="2" t="str">
        <f>_xlfn.XLOOKUP(F543,Terrain!D:D,Terrain!A:A,"")</f>
        <v>Lower</v>
      </c>
      <c r="F543" s="2" t="s">
        <v>1302</v>
      </c>
      <c r="G543" s="2" t="s">
        <v>1080</v>
      </c>
      <c r="H543" s="2">
        <f t="shared" si="25"/>
        <v>2557</v>
      </c>
      <c r="I543" s="2">
        <v>4366.25</v>
      </c>
      <c r="J543" s="2">
        <v>87.325000000000003</v>
      </c>
      <c r="K543" s="2">
        <v>87</v>
      </c>
      <c r="L543" s="2">
        <f t="shared" si="26"/>
        <v>1750</v>
      </c>
      <c r="M543" s="2" t="s">
        <v>1081</v>
      </c>
      <c r="N543" s="40" t="str">
        <f>_xlfn.XLOOKUP(F543,Terrain!D:D,Terrain!H:H,"")</f>
        <v>2555 - 2558</v>
      </c>
      <c r="O543" t="str">
        <f t="shared" si="24"/>
        <v>57-C06-R | 2495 | 196|1</v>
      </c>
    </row>
    <row r="544" spans="1:15" x14ac:dyDescent="0.3">
      <c r="A544" s="43">
        <v>46235</v>
      </c>
      <c r="B544" s="2" t="s">
        <v>10</v>
      </c>
      <c r="C544" s="2" t="s">
        <v>1259</v>
      </c>
      <c r="D544" s="2" t="s">
        <v>322</v>
      </c>
      <c r="E544" s="2" t="str">
        <f>_xlfn.XLOOKUP(F544,Terrain!D:D,Terrain!A:A,"")</f>
        <v>Lower</v>
      </c>
      <c r="F544" s="2" t="s">
        <v>1303</v>
      </c>
      <c r="G544" s="2" t="s">
        <v>867</v>
      </c>
      <c r="H544" s="2">
        <f t="shared" si="25"/>
        <v>2550</v>
      </c>
      <c r="I544" s="2">
        <v>6303</v>
      </c>
      <c r="J544" s="2">
        <v>126.06</v>
      </c>
      <c r="K544" s="2">
        <v>126</v>
      </c>
      <c r="L544" s="2">
        <f t="shared" si="26"/>
        <v>1500</v>
      </c>
      <c r="M544" s="2" t="s">
        <v>1077</v>
      </c>
      <c r="N544" s="40" t="str">
        <f>_xlfn.XLOOKUP(F544,Terrain!D:D,Terrain!H:H,"")</f>
        <v>2549 - 2552</v>
      </c>
      <c r="O544" t="str">
        <f t="shared" si="24"/>
        <v>50-C07-R | 4202 | 117|1</v>
      </c>
    </row>
    <row r="545" spans="1:15" x14ac:dyDescent="0.3">
      <c r="A545" s="43">
        <v>46235</v>
      </c>
      <c r="B545" s="2" t="s">
        <v>10</v>
      </c>
      <c r="C545" s="2" t="s">
        <v>1259</v>
      </c>
      <c r="D545" s="2" t="s">
        <v>330</v>
      </c>
      <c r="E545" s="2" t="str">
        <f>_xlfn.XLOOKUP(F545,Terrain!D:D,Terrain!A:A,"")</f>
        <v>Lower</v>
      </c>
      <c r="F545" s="2" t="s">
        <v>1304</v>
      </c>
      <c r="G545" s="2" t="s">
        <v>1082</v>
      </c>
      <c r="H545" s="2">
        <f t="shared" si="25"/>
        <v>2559</v>
      </c>
      <c r="I545" s="2">
        <v>5054</v>
      </c>
      <c r="J545" s="2">
        <v>101.08</v>
      </c>
      <c r="K545" s="2">
        <v>101</v>
      </c>
      <c r="L545" s="2">
        <f t="shared" si="26"/>
        <v>1750</v>
      </c>
      <c r="M545" s="2" t="s">
        <v>1072</v>
      </c>
      <c r="N545" s="40" t="str">
        <f>_xlfn.XLOOKUP(F545,Terrain!D:D,Terrain!H:H,"")</f>
        <v>2559 - 2560</v>
      </c>
      <c r="O545" t="str">
        <f t="shared" si="24"/>
        <v>59-C08-R | 2888 | 203|1</v>
      </c>
    </row>
    <row r="546" spans="1:15" x14ac:dyDescent="0.3">
      <c r="A546" s="43">
        <v>46235</v>
      </c>
      <c r="B546" s="2" t="s">
        <v>10</v>
      </c>
      <c r="C546" s="2" t="s">
        <v>1259</v>
      </c>
      <c r="D546" s="2" t="s">
        <v>338</v>
      </c>
      <c r="E546" s="2" t="str">
        <f>_xlfn.XLOOKUP(F546,Terrain!D:D,Terrain!A:A,"")</f>
        <v>Lower</v>
      </c>
      <c r="F546" s="2" t="s">
        <v>1305</v>
      </c>
      <c r="G546" s="2" t="s">
        <v>1083</v>
      </c>
      <c r="H546" s="2">
        <f t="shared" si="25"/>
        <v>2559</v>
      </c>
      <c r="I546" s="2">
        <v>3333.75</v>
      </c>
      <c r="J546" s="2">
        <v>66.674999999999997</v>
      </c>
      <c r="K546" s="2">
        <v>67</v>
      </c>
      <c r="L546" s="2">
        <f t="shared" si="26"/>
        <v>1750</v>
      </c>
      <c r="M546" s="2" t="s">
        <v>1072</v>
      </c>
      <c r="N546" s="40" t="str">
        <f>_xlfn.XLOOKUP(F546,Terrain!D:D,Terrain!H:H,"")</f>
        <v>2559 - 2560</v>
      </c>
      <c r="O546" t="str">
        <f t="shared" si="24"/>
        <v>59-C09-R | 1905 | 195|1</v>
      </c>
    </row>
    <row r="547" spans="1:15" x14ac:dyDescent="0.3">
      <c r="A547" s="43">
        <v>46235</v>
      </c>
      <c r="B547" s="2" t="s">
        <v>10</v>
      </c>
      <c r="C547" s="2" t="s">
        <v>1259</v>
      </c>
      <c r="D547" s="2" t="s">
        <v>346</v>
      </c>
      <c r="E547" s="2" t="str">
        <f>_xlfn.XLOOKUP(F547,Terrain!D:D,Terrain!A:A,"")</f>
        <v>Lower</v>
      </c>
      <c r="F547" s="2" t="s">
        <v>1306</v>
      </c>
      <c r="G547" s="2" t="s">
        <v>868</v>
      </c>
      <c r="H547" s="2">
        <f t="shared" si="25"/>
        <v>2556</v>
      </c>
      <c r="I547" s="2">
        <v>5435.5</v>
      </c>
      <c r="J547" s="2">
        <v>108.71</v>
      </c>
      <c r="K547" s="2">
        <v>109</v>
      </c>
      <c r="L547" s="2">
        <f t="shared" si="26"/>
        <v>1750</v>
      </c>
      <c r="M547" s="2" t="s">
        <v>1081</v>
      </c>
      <c r="N547" s="40" t="str">
        <f>_xlfn.XLOOKUP(F547,Terrain!D:D,Terrain!H:H,"")</f>
        <v>2555 - 2558</v>
      </c>
      <c r="O547" t="str">
        <f t="shared" si="24"/>
        <v>56-C10-R | 3106 | 200|1</v>
      </c>
    </row>
    <row r="548" spans="1:15" x14ac:dyDescent="0.3">
      <c r="A548" s="43">
        <v>46235</v>
      </c>
      <c r="B548" s="2" t="s">
        <v>10</v>
      </c>
      <c r="C548" s="2" t="s">
        <v>1259</v>
      </c>
      <c r="D548" s="2" t="s">
        <v>354</v>
      </c>
      <c r="E548" s="2" t="str">
        <f>_xlfn.XLOOKUP(F548,Terrain!D:D,Terrain!A:A,"")</f>
        <v>Lower</v>
      </c>
      <c r="F548" s="2" t="s">
        <v>1307</v>
      </c>
      <c r="G548" s="2" t="s">
        <v>1084</v>
      </c>
      <c r="H548" s="2">
        <f t="shared" si="25"/>
        <v>2559</v>
      </c>
      <c r="I548" s="2">
        <v>4009.25</v>
      </c>
      <c r="J548" s="2">
        <v>80.185000000000002</v>
      </c>
      <c r="K548" s="2">
        <v>80</v>
      </c>
      <c r="L548" s="2">
        <f t="shared" si="26"/>
        <v>1750</v>
      </c>
      <c r="M548" s="2" t="s">
        <v>1072</v>
      </c>
      <c r="N548" s="40" t="str">
        <f>_xlfn.XLOOKUP(F548,Terrain!D:D,Terrain!H:H,"")</f>
        <v>2559 - 2560</v>
      </c>
      <c r="O548" t="str">
        <f t="shared" si="24"/>
        <v>59-C11-R | 2291 | 206|1</v>
      </c>
    </row>
    <row r="549" spans="1:15" x14ac:dyDescent="0.3">
      <c r="A549" s="43">
        <v>46235</v>
      </c>
      <c r="B549" s="2" t="s">
        <v>10</v>
      </c>
      <c r="C549" s="2" t="s">
        <v>1259</v>
      </c>
      <c r="D549" s="2" t="s">
        <v>362</v>
      </c>
      <c r="E549" s="2" t="str">
        <f>_xlfn.XLOOKUP(F549,Terrain!D:D,Terrain!A:A,"")</f>
        <v>Lower</v>
      </c>
      <c r="F549" s="2" t="s">
        <v>1308</v>
      </c>
      <c r="G549" s="2" t="s">
        <v>863</v>
      </c>
      <c r="H549" s="2">
        <f t="shared" si="25"/>
        <v>2565</v>
      </c>
      <c r="I549" s="2">
        <v>4429.25</v>
      </c>
      <c r="J549" s="2">
        <v>88.584999999999994</v>
      </c>
      <c r="K549" s="2">
        <v>89</v>
      </c>
      <c r="L549" s="2">
        <f t="shared" si="26"/>
        <v>1750</v>
      </c>
      <c r="M549" s="2" t="s">
        <v>1044</v>
      </c>
      <c r="N549" s="40" t="str">
        <f>_xlfn.XLOOKUP(F549,Terrain!D:D,Terrain!H:H,"")</f>
        <v>2563 - 2565</v>
      </c>
      <c r="O549" t="str">
        <f t="shared" si="24"/>
        <v>65-D01-R | 2531 | 282|1</v>
      </c>
    </row>
    <row r="550" spans="1:15" x14ac:dyDescent="0.3">
      <c r="A550" s="43">
        <v>46235</v>
      </c>
      <c r="B550" s="2" t="s">
        <v>10</v>
      </c>
      <c r="C550" s="2" t="s">
        <v>1259</v>
      </c>
      <c r="D550" s="2" t="s">
        <v>370</v>
      </c>
      <c r="E550" s="2" t="str">
        <f>_xlfn.XLOOKUP(F550,Terrain!D:D,Terrain!A:A,"")</f>
        <v>Lower</v>
      </c>
      <c r="F550" s="2" t="s">
        <v>1309</v>
      </c>
      <c r="G550" s="2" t="s">
        <v>869</v>
      </c>
      <c r="H550" s="2">
        <f t="shared" si="25"/>
        <v>2564</v>
      </c>
      <c r="I550" s="2">
        <v>4992.75</v>
      </c>
      <c r="J550" s="2">
        <v>99.855000000000004</v>
      </c>
      <c r="K550" s="2">
        <v>100</v>
      </c>
      <c r="L550" s="2">
        <f t="shared" si="26"/>
        <v>1750</v>
      </c>
      <c r="M550" s="2" t="s">
        <v>1044</v>
      </c>
      <c r="N550" s="40" t="str">
        <f>_xlfn.XLOOKUP(F550,Terrain!D:D,Terrain!H:H,"")</f>
        <v>2563 - 2565</v>
      </c>
      <c r="O550" t="str">
        <f t="shared" si="24"/>
        <v>64-D02-R | 2853 | 276|1</v>
      </c>
    </row>
    <row r="551" spans="1:15" x14ac:dyDescent="0.3">
      <c r="A551" s="43">
        <v>46235</v>
      </c>
      <c r="B551" s="2" t="s">
        <v>10</v>
      </c>
      <c r="C551" s="2" t="s">
        <v>1259</v>
      </c>
      <c r="D551" s="2" t="s">
        <v>378</v>
      </c>
      <c r="E551" s="2" t="str">
        <f>_xlfn.XLOOKUP(F551,Terrain!D:D,Terrain!A:A,"")</f>
        <v>Lower</v>
      </c>
      <c r="F551" s="2" t="s">
        <v>1310</v>
      </c>
      <c r="G551" s="2" t="s">
        <v>870</v>
      </c>
      <c r="H551" s="2">
        <f t="shared" si="25"/>
        <v>2565</v>
      </c>
      <c r="I551" s="2">
        <v>4905.25</v>
      </c>
      <c r="J551" s="2">
        <v>98.105000000000004</v>
      </c>
      <c r="K551" s="2">
        <v>98</v>
      </c>
      <c r="L551" s="2">
        <f t="shared" si="26"/>
        <v>1750</v>
      </c>
      <c r="M551" s="2" t="s">
        <v>1044</v>
      </c>
      <c r="N551" s="40" t="str">
        <f>_xlfn.XLOOKUP(F551,Terrain!D:D,Terrain!H:H,"")</f>
        <v>2563 - 2565</v>
      </c>
      <c r="O551" t="str">
        <f t="shared" si="24"/>
        <v>65-D03-R | 2803 | 279|1</v>
      </c>
    </row>
    <row r="552" spans="1:15" x14ac:dyDescent="0.3">
      <c r="A552" s="43">
        <v>46235</v>
      </c>
      <c r="B552" s="2" t="s">
        <v>10</v>
      </c>
      <c r="C552" s="2" t="s">
        <v>1259</v>
      </c>
      <c r="D552" s="2" t="s">
        <v>386</v>
      </c>
      <c r="E552" s="2" t="str">
        <f>_xlfn.XLOOKUP(F552,Terrain!D:D,Terrain!A:A,"")</f>
        <v>Lower</v>
      </c>
      <c r="F552" s="2" t="s">
        <v>1311</v>
      </c>
      <c r="G552" s="2" t="s">
        <v>871</v>
      </c>
      <c r="H552" s="2">
        <f t="shared" si="25"/>
        <v>2565</v>
      </c>
      <c r="I552" s="2">
        <v>4933.25</v>
      </c>
      <c r="J552" s="2">
        <v>98.665000000000006</v>
      </c>
      <c r="K552" s="2">
        <v>99</v>
      </c>
      <c r="L552" s="2">
        <f t="shared" si="26"/>
        <v>1750</v>
      </c>
      <c r="M552" s="2" t="s">
        <v>1044</v>
      </c>
      <c r="N552" s="40" t="str">
        <f>_xlfn.XLOOKUP(F552,Terrain!D:D,Terrain!H:H,"")</f>
        <v>2563 - 2565</v>
      </c>
      <c r="O552" t="str">
        <f t="shared" si="24"/>
        <v>65-D04-R | 2819 | 281|1</v>
      </c>
    </row>
    <row r="553" spans="1:15" x14ac:dyDescent="0.3">
      <c r="A553" s="43">
        <v>46235</v>
      </c>
      <c r="B553" s="2" t="s">
        <v>10</v>
      </c>
      <c r="C553" s="2" t="s">
        <v>1259</v>
      </c>
      <c r="D553" s="2" t="s">
        <v>394</v>
      </c>
      <c r="E553" s="2" t="str">
        <f>_xlfn.XLOOKUP(F553,Terrain!D:D,Terrain!A:A,"")</f>
        <v>Lower</v>
      </c>
      <c r="F553" s="2" t="s">
        <v>1268</v>
      </c>
      <c r="G553" s="2" t="s">
        <v>1042</v>
      </c>
      <c r="H553" s="2">
        <f t="shared" si="25"/>
        <v>2565</v>
      </c>
      <c r="I553" s="2">
        <v>4702.25</v>
      </c>
      <c r="J553" s="2">
        <v>94.045000000000002</v>
      </c>
      <c r="K553" s="2">
        <v>94</v>
      </c>
      <c r="L553" s="2">
        <f t="shared" si="26"/>
        <v>1750</v>
      </c>
      <c r="M553" s="2" t="s">
        <v>1044</v>
      </c>
      <c r="N553" s="40" t="str">
        <f>_xlfn.XLOOKUP(F553,Terrain!D:D,Terrain!H:H,"")</f>
        <v>2563 - 2565</v>
      </c>
      <c r="O553" t="str">
        <f t="shared" si="24"/>
        <v>65-D05-R | 2687 | 277|1</v>
      </c>
    </row>
    <row r="554" spans="1:15" x14ac:dyDescent="0.3">
      <c r="A554" s="43">
        <v>46235</v>
      </c>
      <c r="B554" s="2" t="s">
        <v>10</v>
      </c>
      <c r="C554" s="2" t="s">
        <v>1259</v>
      </c>
      <c r="D554" s="2" t="s">
        <v>401</v>
      </c>
      <c r="E554" s="2" t="str">
        <f>_xlfn.XLOOKUP(F554,Terrain!D:D,Terrain!A:A,"")</f>
        <v>Lower</v>
      </c>
      <c r="F554" s="2" t="s">
        <v>1312</v>
      </c>
      <c r="G554" s="2" t="s">
        <v>872</v>
      </c>
      <c r="H554" s="2">
        <f t="shared" si="25"/>
        <v>2567</v>
      </c>
      <c r="I554" s="2">
        <v>2865</v>
      </c>
      <c r="J554" s="2">
        <v>57.3</v>
      </c>
      <c r="K554" s="2">
        <v>57</v>
      </c>
      <c r="L554" s="2">
        <f t="shared" si="26"/>
        <v>1000</v>
      </c>
      <c r="M554" s="2" t="s">
        <v>1085</v>
      </c>
      <c r="N554" s="40">
        <f>_xlfn.XLOOKUP(F554,Terrain!D:D,Terrain!H:H,"")</f>
        <v>2567</v>
      </c>
      <c r="O554" t="str">
        <f t="shared" si="24"/>
        <v>67-D06-R | 2865 | 362|0</v>
      </c>
    </row>
    <row r="555" spans="1:15" x14ac:dyDescent="0.3">
      <c r="A555" s="43">
        <v>46235</v>
      </c>
      <c r="B555" s="2" t="s">
        <v>10</v>
      </c>
      <c r="C555" s="2" t="s">
        <v>1259</v>
      </c>
      <c r="D555" s="2" t="s">
        <v>411</v>
      </c>
      <c r="E555" s="2" t="str">
        <f>_xlfn.XLOOKUP(F555,Terrain!D:D,Terrain!A:A,"")</f>
        <v>Lower</v>
      </c>
      <c r="F555" s="2" t="s">
        <v>1313</v>
      </c>
      <c r="G555" s="2" t="s">
        <v>1086</v>
      </c>
      <c r="H555" s="2">
        <f t="shared" si="25"/>
        <v>2556</v>
      </c>
      <c r="I555" s="2">
        <v>6879.25</v>
      </c>
      <c r="J555" s="2">
        <v>137.58500000000001</v>
      </c>
      <c r="K555" s="2">
        <v>138</v>
      </c>
      <c r="L555" s="2">
        <f t="shared" si="26"/>
        <v>1750</v>
      </c>
      <c r="M555" s="2" t="s">
        <v>1087</v>
      </c>
      <c r="N555" s="40" t="str">
        <f>_xlfn.XLOOKUP(F555,Terrain!D:D,Terrain!H:H,"")</f>
        <v>2555 - 2558</v>
      </c>
      <c r="O555" t="str">
        <f t="shared" si="24"/>
        <v>56-D07-R | 3931 | 199|1</v>
      </c>
    </row>
    <row r="556" spans="1:15" x14ac:dyDescent="0.3">
      <c r="A556" s="43">
        <v>46235</v>
      </c>
      <c r="B556" s="2" t="s">
        <v>10</v>
      </c>
      <c r="C556" s="2" t="s">
        <v>1259</v>
      </c>
      <c r="D556" s="2" t="s">
        <v>419</v>
      </c>
      <c r="E556" s="2" t="str">
        <f>_xlfn.XLOOKUP(F556,Terrain!D:D,Terrain!A:A,"")</f>
        <v>Lower</v>
      </c>
      <c r="F556" s="2" t="s">
        <v>1314</v>
      </c>
      <c r="G556" s="2" t="s">
        <v>1088</v>
      </c>
      <c r="H556" s="2">
        <f t="shared" si="25"/>
        <v>2563</v>
      </c>
      <c r="I556" s="2">
        <v>4138.75</v>
      </c>
      <c r="J556" s="2">
        <v>82.775000000000006</v>
      </c>
      <c r="K556" s="2">
        <v>83</v>
      </c>
      <c r="L556" s="2">
        <f t="shared" si="26"/>
        <v>1750</v>
      </c>
      <c r="M556" s="2" t="s">
        <v>1044</v>
      </c>
      <c r="N556" s="40" t="str">
        <f>_xlfn.XLOOKUP(F556,Terrain!D:D,Terrain!H:H,"")</f>
        <v>2563 - 2565</v>
      </c>
      <c r="O556" t="str">
        <f t="shared" si="24"/>
        <v>63-D08-R | 2365 | 283|1</v>
      </c>
    </row>
    <row r="557" spans="1:15" x14ac:dyDescent="0.3">
      <c r="A557" s="43">
        <v>46235</v>
      </c>
      <c r="B557" s="2" t="s">
        <v>10</v>
      </c>
      <c r="C557" s="2" t="s">
        <v>1259</v>
      </c>
      <c r="D557" s="2" t="s">
        <v>427</v>
      </c>
      <c r="E557" s="2" t="str">
        <f>_xlfn.XLOOKUP(F557,Terrain!D:D,Terrain!A:A,"")</f>
        <v>Lower</v>
      </c>
      <c r="F557" s="2" t="s">
        <v>1315</v>
      </c>
      <c r="G557" s="2" t="s">
        <v>873</v>
      </c>
      <c r="H557" s="2">
        <f t="shared" si="25"/>
        <v>2566</v>
      </c>
      <c r="I557" s="2">
        <v>3748.75</v>
      </c>
      <c r="J557" s="2">
        <v>74.974999999999994</v>
      </c>
      <c r="K557" s="2">
        <v>75</v>
      </c>
      <c r="L557" s="2">
        <f t="shared" si="26"/>
        <v>1250</v>
      </c>
      <c r="M557" s="2" t="s">
        <v>1089</v>
      </c>
      <c r="N557" s="40">
        <f>_xlfn.XLOOKUP(F557,Terrain!D:D,Terrain!H:H,"")</f>
        <v>2566</v>
      </c>
      <c r="O557" t="str">
        <f t="shared" si="24"/>
        <v>66-D09-R | 2999 | 328|1</v>
      </c>
    </row>
    <row r="558" spans="1:15" x14ac:dyDescent="0.3">
      <c r="A558" s="43">
        <v>46235</v>
      </c>
      <c r="B558" s="2" t="s">
        <v>10</v>
      </c>
      <c r="C558" s="2" t="s">
        <v>1259</v>
      </c>
      <c r="D558" s="2" t="s">
        <v>436</v>
      </c>
      <c r="E558" s="2" t="str">
        <f>_xlfn.XLOOKUP(F558,Terrain!D:D,Terrain!A:A,"")</f>
        <v>Lower</v>
      </c>
      <c r="F558" s="2" t="s">
        <v>1316</v>
      </c>
      <c r="G558" s="2" t="s">
        <v>874</v>
      </c>
      <c r="H558" s="2">
        <f t="shared" si="25"/>
        <v>2567</v>
      </c>
      <c r="I558" s="2">
        <v>2167</v>
      </c>
      <c r="J558" s="2">
        <v>43.34</v>
      </c>
      <c r="K558" s="2">
        <v>43</v>
      </c>
      <c r="L558" s="2">
        <f t="shared" si="26"/>
        <v>1000</v>
      </c>
      <c r="M558" s="2" t="s">
        <v>1090</v>
      </c>
      <c r="N558" s="40">
        <f>_xlfn.XLOOKUP(F558,Terrain!D:D,Terrain!H:H,"")</f>
        <v>2567</v>
      </c>
      <c r="O558" t="str">
        <f t="shared" si="24"/>
        <v>67-P01-R | 2167 | 363|0</v>
      </c>
    </row>
    <row r="559" spans="1:15" x14ac:dyDescent="0.3">
      <c r="A559" s="43">
        <v>46235</v>
      </c>
      <c r="B559" s="2" t="s">
        <v>10</v>
      </c>
      <c r="C559" s="2" t="s">
        <v>1259</v>
      </c>
      <c r="D559" s="2" t="s">
        <v>445</v>
      </c>
      <c r="E559" s="2" t="str">
        <f>_xlfn.XLOOKUP(F559,Terrain!D:D,Terrain!A:A,"")</f>
        <v>Lower</v>
      </c>
      <c r="F559" s="2" t="s">
        <v>1317</v>
      </c>
      <c r="G559" s="2" t="s">
        <v>875</v>
      </c>
      <c r="H559" s="2">
        <f t="shared" si="25"/>
        <v>2567</v>
      </c>
      <c r="I559" s="2">
        <v>2320</v>
      </c>
      <c r="J559" s="2">
        <v>46.4</v>
      </c>
      <c r="K559" s="2">
        <v>46</v>
      </c>
      <c r="L559" s="2">
        <f t="shared" si="26"/>
        <v>1000</v>
      </c>
      <c r="M559" s="2" t="s">
        <v>1090</v>
      </c>
      <c r="N559" s="40">
        <f>_xlfn.XLOOKUP(F559,Terrain!D:D,Terrain!H:H,"")</f>
        <v>2567</v>
      </c>
      <c r="O559" t="str">
        <f t="shared" si="24"/>
        <v>67-P02-R | 2320 | 364|0</v>
      </c>
    </row>
    <row r="560" spans="1:15" x14ac:dyDescent="0.3">
      <c r="A560" s="43">
        <v>46235</v>
      </c>
      <c r="B560" s="2" t="s">
        <v>10</v>
      </c>
      <c r="C560" s="2" t="s">
        <v>1259</v>
      </c>
      <c r="D560" s="2" t="s">
        <v>455</v>
      </c>
      <c r="E560" s="2" t="str">
        <f>_xlfn.XLOOKUP(F560,Terrain!D:D,Terrain!A:A,"")</f>
        <v>Lower</v>
      </c>
      <c r="F560" s="2" t="s">
        <v>1318</v>
      </c>
      <c r="G560" s="2" t="s">
        <v>876</v>
      </c>
      <c r="H560" s="2">
        <f t="shared" si="25"/>
        <v>2566</v>
      </c>
      <c r="I560" s="2">
        <v>3187.5</v>
      </c>
      <c r="J560" s="2">
        <v>63.75</v>
      </c>
      <c r="K560" s="2">
        <v>64</v>
      </c>
      <c r="L560" s="2">
        <f t="shared" si="26"/>
        <v>1250</v>
      </c>
      <c r="M560" s="2" t="s">
        <v>1091</v>
      </c>
      <c r="N560" s="40">
        <f>_xlfn.XLOOKUP(F560,Terrain!D:D,Terrain!H:H,"")</f>
        <v>2566</v>
      </c>
      <c r="O560" t="str">
        <f t="shared" si="24"/>
        <v>66-P03-R | 2550 | 325|1</v>
      </c>
    </row>
    <row r="561" spans="1:15" x14ac:dyDescent="0.3">
      <c r="A561" s="43">
        <v>46235</v>
      </c>
      <c r="B561" s="2" t="s">
        <v>10</v>
      </c>
      <c r="C561" s="2" t="s">
        <v>1259</v>
      </c>
      <c r="D561" s="2" t="s">
        <v>465</v>
      </c>
      <c r="E561" s="2" t="str">
        <f>_xlfn.XLOOKUP(F561,Terrain!D:D,Terrain!A:A,"")</f>
        <v>Lower</v>
      </c>
      <c r="F561" s="2" t="s">
        <v>1319</v>
      </c>
      <c r="G561" s="2" t="s">
        <v>877</v>
      </c>
      <c r="H561" s="2">
        <f t="shared" si="25"/>
        <v>2566</v>
      </c>
      <c r="I561" s="2">
        <v>3567.5</v>
      </c>
      <c r="J561" s="2">
        <v>71.349999999999994</v>
      </c>
      <c r="K561" s="2">
        <v>71</v>
      </c>
      <c r="L561" s="2">
        <f t="shared" si="26"/>
        <v>1250</v>
      </c>
      <c r="M561" s="2" t="s">
        <v>1091</v>
      </c>
      <c r="N561" s="40">
        <f>_xlfn.XLOOKUP(F561,Terrain!D:D,Terrain!H:H,"")</f>
        <v>2566</v>
      </c>
      <c r="O561" t="str">
        <f t="shared" si="24"/>
        <v>66-P04-R | 2854 | 329|1</v>
      </c>
    </row>
    <row r="562" spans="1:15" x14ac:dyDescent="0.3">
      <c r="A562" s="43">
        <v>46235</v>
      </c>
      <c r="B562" s="2" t="s">
        <v>10</v>
      </c>
      <c r="C562" s="2" t="s">
        <v>1259</v>
      </c>
      <c r="D562" s="2" t="s">
        <v>475</v>
      </c>
      <c r="E562" s="2" t="str">
        <f>_xlfn.XLOOKUP(F562,Terrain!D:D,Terrain!A:A,"")</f>
        <v>Lower</v>
      </c>
      <c r="F562" s="2" t="s">
        <v>1320</v>
      </c>
      <c r="G562" s="2" t="s">
        <v>878</v>
      </c>
      <c r="H562" s="2">
        <f t="shared" si="25"/>
        <v>2566</v>
      </c>
      <c r="I562" s="2">
        <v>3888.75</v>
      </c>
      <c r="J562" s="2">
        <v>77.775000000000006</v>
      </c>
      <c r="K562" s="2">
        <v>78</v>
      </c>
      <c r="L562" s="2">
        <f t="shared" si="26"/>
        <v>1250</v>
      </c>
      <c r="M562" s="2" t="s">
        <v>1091</v>
      </c>
      <c r="N562" s="40">
        <f>_xlfn.XLOOKUP(F562,Terrain!D:D,Terrain!H:H,"")</f>
        <v>2566</v>
      </c>
      <c r="O562" t="str">
        <f t="shared" si="24"/>
        <v>66-P05-R | 3111 | 327|1</v>
      </c>
    </row>
    <row r="563" spans="1:15" x14ac:dyDescent="0.3">
      <c r="A563" s="43">
        <v>46235</v>
      </c>
      <c r="B563" s="2" t="s">
        <v>10</v>
      </c>
      <c r="C563" s="2" t="s">
        <v>1259</v>
      </c>
      <c r="D563" s="2" t="s">
        <v>485</v>
      </c>
      <c r="E563" s="2" t="str">
        <f>_xlfn.XLOOKUP(F563,Terrain!D:D,Terrain!A:A,"")</f>
        <v>Lower</v>
      </c>
      <c r="F563" s="2" t="s">
        <v>1321</v>
      </c>
      <c r="G563" s="2" t="s">
        <v>879</v>
      </c>
      <c r="H563" s="2">
        <f t="shared" si="25"/>
        <v>2564</v>
      </c>
      <c r="I563" s="2">
        <v>5050.5</v>
      </c>
      <c r="J563" s="2">
        <v>101.01</v>
      </c>
      <c r="K563" s="2">
        <v>101</v>
      </c>
      <c r="L563" s="2">
        <f t="shared" si="26"/>
        <v>1750</v>
      </c>
      <c r="M563" s="2" t="s">
        <v>1092</v>
      </c>
      <c r="N563" s="40" t="str">
        <f>_xlfn.XLOOKUP(F563,Terrain!D:D,Terrain!H:H,"")</f>
        <v>2563 - 2565</v>
      </c>
      <c r="O563" t="str">
        <f t="shared" si="24"/>
        <v>64-P06-R | 2886 | 284|1</v>
      </c>
    </row>
    <row r="564" spans="1:15" x14ac:dyDescent="0.3">
      <c r="A564" s="43">
        <v>46235</v>
      </c>
      <c r="B564" s="2" t="s">
        <v>10</v>
      </c>
      <c r="C564" s="2" t="s">
        <v>1259</v>
      </c>
      <c r="D564" s="2" t="s">
        <v>493</v>
      </c>
      <c r="E564" s="2" t="str">
        <f>_xlfn.XLOOKUP(F564,Terrain!D:D,Terrain!A:A,"")</f>
        <v>Lower</v>
      </c>
      <c r="F564" s="2" t="s">
        <v>1322</v>
      </c>
      <c r="G564" s="2" t="s">
        <v>880</v>
      </c>
      <c r="H564" s="2">
        <f t="shared" si="25"/>
        <v>2551</v>
      </c>
      <c r="I564" s="2">
        <v>228</v>
      </c>
      <c r="J564" s="2">
        <v>4.5599999999999996</v>
      </c>
      <c r="K564" s="2">
        <v>5</v>
      </c>
      <c r="L564" s="2">
        <f t="shared" si="26"/>
        <v>1500</v>
      </c>
      <c r="M564" s="2" t="s">
        <v>1093</v>
      </c>
      <c r="N564" s="40" t="str">
        <f>_xlfn.XLOOKUP(F564,Terrain!D:D,Terrain!H:H,"")</f>
        <v>2549 - 2552</v>
      </c>
      <c r="O564" t="str">
        <f t="shared" si="24"/>
        <v>51-P07 | 152 | 120|1</v>
      </c>
    </row>
    <row r="565" spans="1:15" x14ac:dyDescent="0.3">
      <c r="A565" s="43">
        <v>46235</v>
      </c>
      <c r="B565" s="2" t="s">
        <v>10</v>
      </c>
      <c r="C565" s="2" t="s">
        <v>1259</v>
      </c>
      <c r="D565" s="2" t="s">
        <v>501</v>
      </c>
      <c r="E565" s="2" t="str">
        <f>_xlfn.XLOOKUP(F565,Terrain!D:D,Terrain!A:A,"")</f>
        <v>Lower</v>
      </c>
      <c r="F565" s="2" t="s">
        <v>1323</v>
      </c>
      <c r="G565" s="2" t="s">
        <v>881</v>
      </c>
      <c r="H565" s="2">
        <f t="shared" si="25"/>
        <v>2551</v>
      </c>
      <c r="I565" s="2">
        <v>601.5</v>
      </c>
      <c r="J565" s="2">
        <v>12.03</v>
      </c>
      <c r="K565" s="2">
        <v>12</v>
      </c>
      <c r="L565" s="2">
        <f t="shared" si="26"/>
        <v>1500</v>
      </c>
      <c r="M565" s="2" t="s">
        <v>1094</v>
      </c>
      <c r="N565" s="40" t="str">
        <f>_xlfn.XLOOKUP(F565,Terrain!D:D,Terrain!H:H,"")</f>
        <v>2549 - 2552</v>
      </c>
      <c r="O565" t="str">
        <f t="shared" si="24"/>
        <v>51-P07-R | 401 | 112|1</v>
      </c>
    </row>
    <row r="566" spans="1:15" x14ac:dyDescent="0.3">
      <c r="A566" s="43">
        <v>46235</v>
      </c>
      <c r="B566" s="2" t="s">
        <v>10</v>
      </c>
      <c r="C566" s="2" t="s">
        <v>1259</v>
      </c>
      <c r="D566" s="2" t="s">
        <v>509</v>
      </c>
      <c r="E566" s="2" t="str">
        <f>_xlfn.XLOOKUP(F566,Terrain!D:D,Terrain!A:A,"")</f>
        <v>Lower</v>
      </c>
      <c r="F566" s="2" t="s">
        <v>1324</v>
      </c>
      <c r="G566" s="2" t="s">
        <v>882</v>
      </c>
      <c r="H566" s="2">
        <f t="shared" si="25"/>
        <v>2564</v>
      </c>
      <c r="I566" s="2">
        <v>4513.25</v>
      </c>
      <c r="J566" s="2">
        <v>90.265000000000001</v>
      </c>
      <c r="K566" s="2">
        <v>90</v>
      </c>
      <c r="L566" s="2">
        <f t="shared" si="26"/>
        <v>1750</v>
      </c>
      <c r="M566" s="2" t="s">
        <v>1092</v>
      </c>
      <c r="N566" s="40" t="str">
        <f>_xlfn.XLOOKUP(F566,Terrain!D:D,Terrain!H:H,"")</f>
        <v>2563 - 2565</v>
      </c>
      <c r="O566" t="str">
        <f t="shared" si="24"/>
        <v>64-P07-R | 2579 | 274|1</v>
      </c>
    </row>
    <row r="567" spans="1:15" x14ac:dyDescent="0.3">
      <c r="A567" s="43">
        <v>46235</v>
      </c>
      <c r="B567" s="2" t="s">
        <v>10</v>
      </c>
      <c r="C567" s="2" t="s">
        <v>1259</v>
      </c>
      <c r="D567" s="2" t="s">
        <v>517</v>
      </c>
      <c r="E567" s="2" t="str">
        <f>_xlfn.XLOOKUP(F567,Terrain!D:D,Terrain!A:A,"")</f>
        <v>Lower</v>
      </c>
      <c r="F567" s="2" t="s">
        <v>1325</v>
      </c>
      <c r="G567" s="2" t="s">
        <v>883</v>
      </c>
      <c r="H567" s="2">
        <f t="shared" si="25"/>
        <v>2564</v>
      </c>
      <c r="I567" s="2">
        <v>5953.5</v>
      </c>
      <c r="J567" s="2">
        <v>119.07</v>
      </c>
      <c r="K567" s="2">
        <v>119</v>
      </c>
      <c r="L567" s="2">
        <f t="shared" si="26"/>
        <v>1750</v>
      </c>
      <c r="M567" s="2" t="s">
        <v>1092</v>
      </c>
      <c r="N567" s="40" t="str">
        <f>_xlfn.XLOOKUP(F567,Terrain!D:D,Terrain!H:H,"")</f>
        <v>2563 - 2565</v>
      </c>
      <c r="O567" t="str">
        <f t="shared" si="24"/>
        <v>64-P08-R | 3402 | 278|1</v>
      </c>
    </row>
    <row r="568" spans="1:15" x14ac:dyDescent="0.3">
      <c r="A568" s="43">
        <v>46235</v>
      </c>
      <c r="B568" s="2" t="s">
        <v>10</v>
      </c>
      <c r="C568" s="2" t="s">
        <v>1259</v>
      </c>
      <c r="D568" s="2" t="s">
        <v>525</v>
      </c>
      <c r="E568" s="2" t="str">
        <f>_xlfn.XLOOKUP(F568,Terrain!D:D,Terrain!A:A,"")</f>
        <v>Lower</v>
      </c>
      <c r="F568" s="2" t="s">
        <v>1326</v>
      </c>
      <c r="G568" s="2" t="s">
        <v>884</v>
      </c>
      <c r="H568" s="2">
        <f t="shared" si="25"/>
        <v>2564</v>
      </c>
      <c r="I568" s="2">
        <v>3836</v>
      </c>
      <c r="J568" s="2">
        <v>76.72</v>
      </c>
      <c r="K568" s="2">
        <v>77</v>
      </c>
      <c r="L568" s="2">
        <f t="shared" si="26"/>
        <v>1750</v>
      </c>
      <c r="M568" s="2" t="s">
        <v>1092</v>
      </c>
      <c r="N568" s="40" t="str">
        <f>_xlfn.XLOOKUP(F568,Terrain!D:D,Terrain!H:H,"")</f>
        <v>2563 - 2565</v>
      </c>
      <c r="O568" t="str">
        <f t="shared" si="24"/>
        <v>64-P09-R | 2192 | 286|1</v>
      </c>
    </row>
    <row r="569" spans="1:15" x14ac:dyDescent="0.3">
      <c r="A569" s="43">
        <v>46235</v>
      </c>
      <c r="B569" s="2" t="s">
        <v>10</v>
      </c>
      <c r="C569" s="2" t="s">
        <v>1259</v>
      </c>
      <c r="D569" s="2" t="s">
        <v>533</v>
      </c>
      <c r="E569" s="2" t="str">
        <f>_xlfn.XLOOKUP(F569,Terrain!D:D,Terrain!A:A,"")</f>
        <v>Lower</v>
      </c>
      <c r="F569" s="2" t="s">
        <v>1240</v>
      </c>
      <c r="G569" s="2" t="s">
        <v>885</v>
      </c>
      <c r="H569" s="2">
        <f t="shared" si="25"/>
        <v>2568</v>
      </c>
      <c r="I569" s="2">
        <v>473</v>
      </c>
      <c r="J569" s="2">
        <v>9.4600000000000009</v>
      </c>
      <c r="K569" s="2">
        <v>9</v>
      </c>
      <c r="L569" s="2">
        <f t="shared" si="26"/>
        <v>250</v>
      </c>
      <c r="M569" s="2" t="s">
        <v>1095</v>
      </c>
      <c r="N569" s="40">
        <f>_xlfn.XLOOKUP(F569,Terrain!D:D,Terrain!H:H,"")</f>
        <v>2568</v>
      </c>
      <c r="O569" t="str">
        <f t="shared" si="24"/>
        <v>68-PU1 | 1892 | 390|1</v>
      </c>
    </row>
    <row r="570" spans="1:15" x14ac:dyDescent="0.3">
      <c r="A570" s="43">
        <v>46235</v>
      </c>
      <c r="B570" s="2" t="s">
        <v>10</v>
      </c>
      <c r="C570" s="2" t="s">
        <v>1259</v>
      </c>
      <c r="D570" s="2" t="s">
        <v>543</v>
      </c>
      <c r="E570" s="2" t="str">
        <f>_xlfn.XLOOKUP(F570,Terrain!D:D,Terrain!A:A,"")</f>
        <v>Lower</v>
      </c>
      <c r="F570" s="2" t="s">
        <v>1239</v>
      </c>
      <c r="G570" s="2" t="s">
        <v>886</v>
      </c>
      <c r="H570" s="2">
        <f t="shared" si="25"/>
        <v>2566</v>
      </c>
      <c r="I570" s="2">
        <v>2462.5</v>
      </c>
      <c r="J570" s="2">
        <v>49.25</v>
      </c>
      <c r="K570" s="2">
        <v>49</v>
      </c>
      <c r="L570" s="2">
        <f t="shared" si="26"/>
        <v>1250</v>
      </c>
      <c r="M570" s="2" t="s">
        <v>1096</v>
      </c>
      <c r="N570" s="40">
        <f>_xlfn.XLOOKUP(F570,Terrain!D:D,Terrain!H:H,"")</f>
        <v>2566</v>
      </c>
      <c r="O570" t="str">
        <f t="shared" si="24"/>
        <v>66-PU2 | 1970 | 326|1</v>
      </c>
    </row>
    <row r="571" spans="1:15" x14ac:dyDescent="0.3">
      <c r="A571" s="43">
        <v>46235</v>
      </c>
      <c r="B571" s="2" t="s">
        <v>10</v>
      </c>
      <c r="C571" s="2" t="s">
        <v>1259</v>
      </c>
      <c r="D571" s="2" t="s">
        <v>553</v>
      </c>
      <c r="E571" s="2" t="str">
        <f>_xlfn.XLOOKUP(F571,Terrain!D:D,Terrain!A:A,"")</f>
        <v>Lower</v>
      </c>
      <c r="F571" s="2" t="s">
        <v>1241</v>
      </c>
      <c r="G571" s="2" t="s">
        <v>887</v>
      </c>
      <c r="H571" s="2">
        <f t="shared" si="25"/>
        <v>2568</v>
      </c>
      <c r="I571" s="2">
        <v>421.5</v>
      </c>
      <c r="J571" s="2">
        <v>8.43</v>
      </c>
      <c r="K571" s="2">
        <v>8</v>
      </c>
      <c r="L571" s="2">
        <f t="shared" si="26"/>
        <v>250</v>
      </c>
      <c r="M571" s="2" t="s">
        <v>1095</v>
      </c>
      <c r="N571" s="40">
        <f>_xlfn.XLOOKUP(F571,Terrain!D:D,Terrain!H:H,"")</f>
        <v>2568</v>
      </c>
      <c r="O571" t="str">
        <f t="shared" si="24"/>
        <v>68-PU3 | 1686 | 388|1</v>
      </c>
    </row>
    <row r="572" spans="1:15" x14ac:dyDescent="0.3">
      <c r="A572" s="43">
        <v>46235</v>
      </c>
      <c r="B572" s="2" t="s">
        <v>10</v>
      </c>
      <c r="C572" s="2" t="s">
        <v>1259</v>
      </c>
      <c r="D572" s="2" t="s">
        <v>563</v>
      </c>
      <c r="E572" s="2" t="str">
        <f>_xlfn.XLOOKUP(F572,Terrain!D:D,Terrain!A:A,"")</f>
        <v>Lower</v>
      </c>
      <c r="F572" s="2" t="s">
        <v>1242</v>
      </c>
      <c r="G572" s="2" t="s">
        <v>888</v>
      </c>
      <c r="H572" s="2">
        <f t="shared" si="25"/>
        <v>2568</v>
      </c>
      <c r="I572" s="2">
        <v>345</v>
      </c>
      <c r="J572" s="2">
        <v>6.9</v>
      </c>
      <c r="K572" s="2">
        <v>7</v>
      </c>
      <c r="L572" s="2">
        <f t="shared" si="26"/>
        <v>250</v>
      </c>
      <c r="M572" s="2" t="s">
        <v>1095</v>
      </c>
      <c r="N572" s="40">
        <f>_xlfn.XLOOKUP(F572,Terrain!D:D,Terrain!H:H,"")</f>
        <v>2568</v>
      </c>
      <c r="O572" t="str">
        <f t="shared" si="24"/>
        <v>68-PU4 | 1380 | 389|1</v>
      </c>
    </row>
    <row r="573" spans="1:15" x14ac:dyDescent="0.3">
      <c r="A573" s="43">
        <v>46235</v>
      </c>
      <c r="B573" s="2" t="s">
        <v>10</v>
      </c>
      <c r="C573" s="2" t="s">
        <v>1259</v>
      </c>
      <c r="D573" s="2" t="s">
        <v>573</v>
      </c>
      <c r="E573" s="2" t="str">
        <f>_xlfn.XLOOKUP(F573,Terrain!D:D,Terrain!A:A,"")</f>
        <v>Lower</v>
      </c>
      <c r="F573" s="2" t="s">
        <v>1243</v>
      </c>
      <c r="G573" s="2" t="s">
        <v>889</v>
      </c>
      <c r="H573" s="2">
        <f t="shared" si="25"/>
        <v>2568</v>
      </c>
      <c r="I573" s="2">
        <v>187.75</v>
      </c>
      <c r="J573" s="2">
        <v>3.7549999999999999</v>
      </c>
      <c r="K573" s="2">
        <v>4</v>
      </c>
      <c r="L573" s="2">
        <f t="shared" si="26"/>
        <v>250</v>
      </c>
      <c r="M573" s="2" t="s">
        <v>1097</v>
      </c>
      <c r="N573" s="40">
        <f>_xlfn.XLOOKUP(F573,Terrain!D:D,Terrain!H:H,"")</f>
        <v>2568</v>
      </c>
      <c r="O573" t="str">
        <f t="shared" si="24"/>
        <v>68-PU5 | 751 | 394|1</v>
      </c>
    </row>
    <row r="574" spans="1:15" x14ac:dyDescent="0.3">
      <c r="A574" s="43">
        <v>46235</v>
      </c>
      <c r="B574" s="2" t="s">
        <v>10</v>
      </c>
      <c r="C574" s="2" t="s">
        <v>1259</v>
      </c>
      <c r="D574" s="2" t="s">
        <v>583</v>
      </c>
      <c r="E574" s="2" t="str">
        <f>_xlfn.XLOOKUP(F574,Terrain!D:D,Terrain!A:A,"")</f>
        <v>Lower</v>
      </c>
      <c r="F574" s="2" t="s">
        <v>1327</v>
      </c>
      <c r="G574" s="2" t="s">
        <v>890</v>
      </c>
      <c r="H574" s="2">
        <f t="shared" si="25"/>
        <v>2568</v>
      </c>
      <c r="I574" s="2">
        <v>292</v>
      </c>
      <c r="J574" s="2">
        <v>5.84</v>
      </c>
      <c r="K574" s="2">
        <v>6</v>
      </c>
      <c r="L574" s="2">
        <f t="shared" si="26"/>
        <v>250</v>
      </c>
      <c r="M574" s="2" t="s">
        <v>1098</v>
      </c>
      <c r="N574" s="40">
        <f>_xlfn.XLOOKUP(F574,Terrain!D:D,Terrain!H:H,"")</f>
        <v>2568</v>
      </c>
      <c r="O574" t="str">
        <f t="shared" si="24"/>
        <v>68-PU5-R | 1168 | 392|1</v>
      </c>
    </row>
    <row r="575" spans="1:15" x14ac:dyDescent="0.3">
      <c r="A575" s="43">
        <v>46235</v>
      </c>
      <c r="B575" s="2" t="s">
        <v>10</v>
      </c>
      <c r="C575" s="2" t="s">
        <v>1259</v>
      </c>
      <c r="D575" s="2" t="s">
        <v>593</v>
      </c>
      <c r="E575" s="2" t="str">
        <f>_xlfn.XLOOKUP(F575,Terrain!D:D,Terrain!A:A,"")</f>
        <v>Lower</v>
      </c>
      <c r="F575" s="2" t="s">
        <v>1245</v>
      </c>
      <c r="G575" s="2" t="s">
        <v>1099</v>
      </c>
      <c r="H575" s="2">
        <f t="shared" si="25"/>
        <v>2568</v>
      </c>
      <c r="I575" s="2">
        <v>36.25</v>
      </c>
      <c r="J575" s="2">
        <v>0.72499999999999998</v>
      </c>
      <c r="K575" s="2">
        <v>1</v>
      </c>
      <c r="L575" s="2">
        <f t="shared" si="26"/>
        <v>250</v>
      </c>
      <c r="M575" s="2" t="s">
        <v>1097</v>
      </c>
      <c r="N575" s="40">
        <f>_xlfn.XLOOKUP(F575,Terrain!D:D,Terrain!H:H,"")</f>
        <v>2568</v>
      </c>
      <c r="O575" t="str">
        <f t="shared" si="24"/>
        <v>68-PU6 | 145 | 393|1</v>
      </c>
    </row>
    <row r="576" spans="1:15" x14ac:dyDescent="0.3">
      <c r="A576" s="43">
        <v>46235</v>
      </c>
      <c r="B576" s="2" t="s">
        <v>10</v>
      </c>
      <c r="C576" s="2" t="s">
        <v>1259</v>
      </c>
      <c r="D576" s="2" t="s">
        <v>603</v>
      </c>
      <c r="E576" s="2" t="str">
        <f>_xlfn.XLOOKUP(F576,Terrain!D:D,Terrain!A:A,"")</f>
        <v>Lower</v>
      </c>
      <c r="F576" s="2" t="s">
        <v>1328</v>
      </c>
      <c r="G576" s="2" t="s">
        <v>1100</v>
      </c>
      <c r="H576" s="2">
        <f t="shared" si="25"/>
        <v>2568</v>
      </c>
      <c r="I576" s="2">
        <v>386.75</v>
      </c>
      <c r="J576" s="2">
        <v>7.7350000000000003</v>
      </c>
      <c r="K576" s="2">
        <v>8</v>
      </c>
      <c r="L576" s="2">
        <f t="shared" si="26"/>
        <v>250</v>
      </c>
      <c r="M576" s="2" t="s">
        <v>1098</v>
      </c>
      <c r="N576" s="40">
        <f>_xlfn.XLOOKUP(F576,Terrain!D:D,Terrain!H:H,"")</f>
        <v>2568</v>
      </c>
      <c r="O576" t="str">
        <f t="shared" si="24"/>
        <v>68-PU6-R | 1547 | 391|1</v>
      </c>
    </row>
    <row r="577" spans="1:15" x14ac:dyDescent="0.3">
      <c r="A577" s="43">
        <v>46235</v>
      </c>
      <c r="B577" s="2" t="s">
        <v>10</v>
      </c>
      <c r="C577" s="2" t="s">
        <v>1259</v>
      </c>
      <c r="D577" s="2" t="s">
        <v>613</v>
      </c>
      <c r="E577" s="2" t="str">
        <f>_xlfn.XLOOKUP(F577,Terrain!D:D,Terrain!A:A,"")</f>
        <v>Upper</v>
      </c>
      <c r="F577" s="2" t="s">
        <v>1329</v>
      </c>
      <c r="G577" s="2" t="s">
        <v>1101</v>
      </c>
      <c r="H577" s="2">
        <f t="shared" si="25"/>
        <v>2568</v>
      </c>
      <c r="I577" s="2">
        <v>792.75</v>
      </c>
      <c r="J577" s="2">
        <v>15.855</v>
      </c>
      <c r="K577" s="2">
        <v>16</v>
      </c>
      <c r="L577" s="2">
        <f t="shared" si="26"/>
        <v>250</v>
      </c>
      <c r="M577" s="2" t="s">
        <v>1102</v>
      </c>
      <c r="N577" s="40">
        <f>_xlfn.XLOOKUP(F577,Terrain!D:D,Terrain!H:H,"")</f>
        <v>2568</v>
      </c>
      <c r="O577" t="str">
        <f t="shared" ref="O577:O640" si="27">F577 &amp; " | " &amp; G577 &amp; " | " &amp; D577</f>
        <v>68-T01 | 3171 | 661|1</v>
      </c>
    </row>
    <row r="578" spans="1:15" x14ac:dyDescent="0.3">
      <c r="A578" s="43">
        <v>46235</v>
      </c>
      <c r="B578" s="2" t="s">
        <v>10</v>
      </c>
      <c r="C578" s="2" t="s">
        <v>1259</v>
      </c>
      <c r="D578" s="2" t="s">
        <v>623</v>
      </c>
      <c r="E578" s="2" t="str">
        <f>_xlfn.XLOOKUP(F578,Terrain!D:D,Terrain!A:A,"")</f>
        <v>Upper</v>
      </c>
      <c r="F578" s="2" t="s">
        <v>1330</v>
      </c>
      <c r="G578" s="2" t="s">
        <v>906</v>
      </c>
      <c r="H578" s="2">
        <f t="shared" ref="H578:H641" si="28">2500+VALUE(MID(F578,1,2))</f>
        <v>2568</v>
      </c>
      <c r="I578" s="2">
        <v>737.5</v>
      </c>
      <c r="J578" s="2">
        <v>14.75</v>
      </c>
      <c r="K578" s="2">
        <v>15</v>
      </c>
      <c r="L578" s="2">
        <f t="shared" ref="L578:L641" si="29">I578*1000/G578</f>
        <v>250</v>
      </c>
      <c r="M578" s="2" t="s">
        <v>1102</v>
      </c>
      <c r="N578" s="40">
        <f>_xlfn.XLOOKUP(F578,Terrain!D:D,Terrain!H:H,"")</f>
        <v>2568</v>
      </c>
      <c r="O578" t="str">
        <f t="shared" si="27"/>
        <v>68-T02 | 2950 | 660|1</v>
      </c>
    </row>
    <row r="579" spans="1:15" x14ac:dyDescent="0.3">
      <c r="A579" s="43">
        <v>46235</v>
      </c>
      <c r="B579" s="2" t="s">
        <v>10</v>
      </c>
      <c r="C579" s="2" t="s">
        <v>1259</v>
      </c>
      <c r="D579" s="2" t="s">
        <v>633</v>
      </c>
      <c r="E579" s="2" t="str">
        <f>_xlfn.XLOOKUP(F579,Terrain!D:D,Terrain!A:A,"")</f>
        <v>Upper</v>
      </c>
      <c r="F579" s="2" t="s">
        <v>1331</v>
      </c>
      <c r="G579" s="2" t="s">
        <v>907</v>
      </c>
      <c r="H579" s="2">
        <f t="shared" si="28"/>
        <v>2566</v>
      </c>
      <c r="I579" s="2">
        <v>3061.25</v>
      </c>
      <c r="J579" s="2">
        <v>61.225000000000001</v>
      </c>
      <c r="K579" s="2">
        <v>61</v>
      </c>
      <c r="L579" s="2">
        <f t="shared" si="29"/>
        <v>1250</v>
      </c>
      <c r="M579" s="2" t="s">
        <v>1103</v>
      </c>
      <c r="N579" s="40">
        <f>_xlfn.XLOOKUP(F579,Terrain!D:D,Terrain!H:H,"")</f>
        <v>2566</v>
      </c>
      <c r="O579" t="str">
        <f t="shared" si="27"/>
        <v>66-T03 | 2449 | 596|1</v>
      </c>
    </row>
    <row r="580" spans="1:15" x14ac:dyDescent="0.3">
      <c r="A580" s="43">
        <v>46235</v>
      </c>
      <c r="B580" s="2" t="s">
        <v>10</v>
      </c>
      <c r="C580" s="2" t="s">
        <v>1259</v>
      </c>
      <c r="D580" s="2" t="s">
        <v>643</v>
      </c>
      <c r="E580" s="2" t="str">
        <f>_xlfn.XLOOKUP(F580,Terrain!D:D,Terrain!A:A,"")</f>
        <v>Upper</v>
      </c>
      <c r="F580" s="2" t="s">
        <v>1332</v>
      </c>
      <c r="G580" s="2" t="s">
        <v>908</v>
      </c>
      <c r="H580" s="2">
        <f t="shared" si="28"/>
        <v>2566</v>
      </c>
      <c r="I580" s="2">
        <v>2517.5</v>
      </c>
      <c r="J580" s="2">
        <v>50.35</v>
      </c>
      <c r="K580" s="2">
        <v>50</v>
      </c>
      <c r="L580" s="2">
        <f t="shared" si="29"/>
        <v>1250</v>
      </c>
      <c r="M580" s="2" t="s">
        <v>1103</v>
      </c>
      <c r="N580" s="40">
        <f>_xlfn.XLOOKUP(F580,Terrain!D:D,Terrain!H:H,"")</f>
        <v>2566</v>
      </c>
      <c r="O580" t="str">
        <f t="shared" si="27"/>
        <v>66-T04 | 2014 | 599|1</v>
      </c>
    </row>
    <row r="581" spans="1:15" x14ac:dyDescent="0.3">
      <c r="A581" s="43">
        <v>46235</v>
      </c>
      <c r="B581" s="2" t="s">
        <v>10</v>
      </c>
      <c r="C581" s="2" t="s">
        <v>1259</v>
      </c>
      <c r="D581" s="2" t="s">
        <v>653</v>
      </c>
      <c r="E581" s="2" t="str">
        <f>_xlfn.XLOOKUP(F581,Terrain!D:D,Terrain!A:A,"")</f>
        <v>Upper</v>
      </c>
      <c r="F581" s="2" t="s">
        <v>1333</v>
      </c>
      <c r="G581" s="2" t="s">
        <v>909</v>
      </c>
      <c r="H581" s="2">
        <f t="shared" si="28"/>
        <v>2563</v>
      </c>
      <c r="I581" s="2">
        <v>5314.75</v>
      </c>
      <c r="J581" s="2">
        <v>106.295</v>
      </c>
      <c r="K581" s="2">
        <v>106</v>
      </c>
      <c r="L581" s="2">
        <f t="shared" si="29"/>
        <v>1750</v>
      </c>
      <c r="M581" s="2" t="s">
        <v>1104</v>
      </c>
      <c r="N581" s="40" t="str">
        <f>_xlfn.XLOOKUP(F581,Terrain!D:D,Terrain!H:H,"")</f>
        <v>2563 - 2565</v>
      </c>
      <c r="O581" t="str">
        <f t="shared" si="27"/>
        <v>63-T05-R | 3037 | 564|1</v>
      </c>
    </row>
    <row r="582" spans="1:15" x14ac:dyDescent="0.3">
      <c r="A582" s="43">
        <v>46235</v>
      </c>
      <c r="B582" s="2" t="s">
        <v>10</v>
      </c>
      <c r="C582" s="2" t="s">
        <v>1259</v>
      </c>
      <c r="D582" s="2" t="s">
        <v>661</v>
      </c>
      <c r="E582" s="2" t="str">
        <f>_xlfn.XLOOKUP(F582,Terrain!D:D,Terrain!A:A,"")</f>
        <v>Upper</v>
      </c>
      <c r="F582" s="2" t="s">
        <v>1334</v>
      </c>
      <c r="G582" s="2" t="s">
        <v>910</v>
      </c>
      <c r="H582" s="2">
        <f t="shared" si="28"/>
        <v>2566</v>
      </c>
      <c r="I582" s="2">
        <v>3622.5</v>
      </c>
      <c r="J582" s="2">
        <v>72.45</v>
      </c>
      <c r="K582" s="2">
        <v>72</v>
      </c>
      <c r="L582" s="2">
        <f t="shared" si="29"/>
        <v>1250</v>
      </c>
      <c r="M582" s="2" t="s">
        <v>1103</v>
      </c>
      <c r="N582" s="40">
        <f>_xlfn.XLOOKUP(F582,Terrain!D:D,Terrain!H:H,"")</f>
        <v>2566</v>
      </c>
      <c r="O582" t="str">
        <f t="shared" si="27"/>
        <v>66-T06 | 2898 | 597|1</v>
      </c>
    </row>
    <row r="583" spans="1:15" x14ac:dyDescent="0.3">
      <c r="A583" s="43">
        <v>46235</v>
      </c>
      <c r="B583" s="2" t="s">
        <v>10</v>
      </c>
      <c r="C583" s="2" t="s">
        <v>1259</v>
      </c>
      <c r="D583" s="2" t="s">
        <v>671</v>
      </c>
      <c r="E583" s="2" t="str">
        <f>_xlfn.XLOOKUP(F583,Terrain!D:D,Terrain!A:A,"")</f>
        <v>Upper</v>
      </c>
      <c r="F583" s="2" t="s">
        <v>1335</v>
      </c>
      <c r="G583" s="2" t="s">
        <v>911</v>
      </c>
      <c r="H583" s="2">
        <f t="shared" si="28"/>
        <v>2566</v>
      </c>
      <c r="I583" s="2">
        <v>2955</v>
      </c>
      <c r="J583" s="2">
        <v>59.1</v>
      </c>
      <c r="K583" s="2">
        <v>59</v>
      </c>
      <c r="L583" s="2">
        <f t="shared" si="29"/>
        <v>1250</v>
      </c>
      <c r="M583" s="2" t="s">
        <v>1103</v>
      </c>
      <c r="N583" s="40">
        <f>_xlfn.XLOOKUP(F583,Terrain!D:D,Terrain!H:H,"")</f>
        <v>2566</v>
      </c>
      <c r="O583" t="str">
        <f t="shared" si="27"/>
        <v>66-T07 | 2364 | 598|1</v>
      </c>
    </row>
    <row r="584" spans="1:15" x14ac:dyDescent="0.3">
      <c r="A584" s="43">
        <v>46235</v>
      </c>
      <c r="B584" s="2" t="s">
        <v>10</v>
      </c>
      <c r="C584" s="2" t="s">
        <v>1259</v>
      </c>
      <c r="D584" s="2" t="s">
        <v>681</v>
      </c>
      <c r="E584" s="2" t="str">
        <f>_xlfn.XLOOKUP(F584,Terrain!D:D,Terrain!A:A,"")</f>
        <v>Upper</v>
      </c>
      <c r="F584" s="2" t="s">
        <v>1336</v>
      </c>
      <c r="G584" s="2" t="s">
        <v>912</v>
      </c>
      <c r="H584" s="2">
        <f t="shared" si="28"/>
        <v>2556</v>
      </c>
      <c r="I584" s="2">
        <v>372.75</v>
      </c>
      <c r="J584" s="2">
        <v>7.4550000000000001</v>
      </c>
      <c r="K584" s="2">
        <v>7</v>
      </c>
      <c r="L584" s="2">
        <f t="shared" si="29"/>
        <v>1750</v>
      </c>
      <c r="M584" s="2" t="s">
        <v>1105</v>
      </c>
      <c r="N584" s="40" t="str">
        <f>_xlfn.XLOOKUP(F584,Terrain!D:D,Terrain!H:H,"")</f>
        <v>2555 - 2558</v>
      </c>
      <c r="O584" t="str">
        <f t="shared" si="27"/>
        <v>56-T08 | 213 | 502|1</v>
      </c>
    </row>
    <row r="585" spans="1:15" x14ac:dyDescent="0.3">
      <c r="A585" s="43">
        <v>46235</v>
      </c>
      <c r="B585" s="2" t="s">
        <v>10</v>
      </c>
      <c r="C585" s="2" t="s">
        <v>1259</v>
      </c>
      <c r="D585" s="2" t="s">
        <v>689</v>
      </c>
      <c r="E585" s="2" t="str">
        <f>_xlfn.XLOOKUP(F585,Terrain!D:D,Terrain!A:A,"")</f>
        <v>Upper</v>
      </c>
      <c r="F585" s="2" t="s">
        <v>1337</v>
      </c>
      <c r="G585" s="2" t="s">
        <v>913</v>
      </c>
      <c r="H585" s="2">
        <f t="shared" si="28"/>
        <v>2556</v>
      </c>
      <c r="I585" s="2">
        <v>4928</v>
      </c>
      <c r="J585" s="2">
        <v>98.56</v>
      </c>
      <c r="K585" s="2">
        <v>99</v>
      </c>
      <c r="L585" s="2">
        <f t="shared" si="29"/>
        <v>1750</v>
      </c>
      <c r="M585" s="2" t="s">
        <v>1106</v>
      </c>
      <c r="N585" s="40" t="str">
        <f>_xlfn.XLOOKUP(F585,Terrain!D:D,Terrain!H:H,"")</f>
        <v>2555 - 2558</v>
      </c>
      <c r="O585" t="str">
        <f t="shared" si="27"/>
        <v>56-T08-R | 2816 | 500|1</v>
      </c>
    </row>
    <row r="586" spans="1:15" x14ac:dyDescent="0.3">
      <c r="A586" s="43">
        <v>46235</v>
      </c>
      <c r="B586" s="2" t="s">
        <v>10</v>
      </c>
      <c r="C586" s="2" t="s">
        <v>1259</v>
      </c>
      <c r="D586" s="2" t="s">
        <v>697</v>
      </c>
      <c r="E586" s="2" t="str">
        <f>_xlfn.XLOOKUP(F586,Terrain!D:D,Terrain!A:A,"")</f>
        <v>Upper</v>
      </c>
      <c r="F586" s="2" t="s">
        <v>1338</v>
      </c>
      <c r="G586" s="2" t="s">
        <v>914</v>
      </c>
      <c r="H586" s="2">
        <f t="shared" si="28"/>
        <v>2558</v>
      </c>
      <c r="I586" s="2">
        <v>5134.5</v>
      </c>
      <c r="J586" s="2">
        <v>102.69</v>
      </c>
      <c r="K586" s="2">
        <v>103</v>
      </c>
      <c r="L586" s="2">
        <f t="shared" si="29"/>
        <v>1750</v>
      </c>
      <c r="M586" s="2" t="s">
        <v>1106</v>
      </c>
      <c r="N586" s="40" t="str">
        <f>_xlfn.XLOOKUP(F586,Terrain!D:D,Terrain!H:H,"")</f>
        <v>2555 - 2558</v>
      </c>
      <c r="O586" t="str">
        <f t="shared" si="27"/>
        <v>58-T09-R | 2934 | 507|1</v>
      </c>
    </row>
    <row r="587" spans="1:15" x14ac:dyDescent="0.3">
      <c r="A587" s="43">
        <v>46235</v>
      </c>
      <c r="B587" s="2" t="s">
        <v>10</v>
      </c>
      <c r="C587" s="2" t="s">
        <v>1259</v>
      </c>
      <c r="D587" s="2" t="s">
        <v>705</v>
      </c>
      <c r="E587" s="2" t="str">
        <f>_xlfn.XLOOKUP(F587,Terrain!D:D,Terrain!A:A,"")</f>
        <v>Upper</v>
      </c>
      <c r="F587" s="2" t="s">
        <v>1339</v>
      </c>
      <c r="G587" s="2" t="s">
        <v>915</v>
      </c>
      <c r="H587" s="2">
        <f t="shared" si="28"/>
        <v>2550</v>
      </c>
      <c r="I587" s="2">
        <v>4308</v>
      </c>
      <c r="J587" s="2">
        <v>86.16</v>
      </c>
      <c r="K587" s="2">
        <v>86</v>
      </c>
      <c r="L587" s="2">
        <f t="shared" si="29"/>
        <v>1500</v>
      </c>
      <c r="M587" s="2" t="s">
        <v>1107</v>
      </c>
      <c r="N587" s="40" t="str">
        <f>_xlfn.XLOOKUP(F587,Terrain!D:D,Terrain!H:H,"")</f>
        <v>2549 - 2552</v>
      </c>
      <c r="O587" t="str">
        <f t="shared" si="27"/>
        <v>50-T10-R | 2872 | 442|1</v>
      </c>
    </row>
    <row r="588" spans="1:15" x14ac:dyDescent="0.3">
      <c r="A588" s="43">
        <v>46235</v>
      </c>
      <c r="B588" s="2" t="s">
        <v>10</v>
      </c>
      <c r="C588" s="2" t="s">
        <v>1259</v>
      </c>
      <c r="D588" s="2" t="s">
        <v>712</v>
      </c>
      <c r="E588" s="2" t="str">
        <f>_xlfn.XLOOKUP(F588,Terrain!D:D,Terrain!A:A,"")</f>
        <v>Upper</v>
      </c>
      <c r="F588" s="2" t="s">
        <v>1173</v>
      </c>
      <c r="G588" s="2" t="s">
        <v>916</v>
      </c>
      <c r="H588" s="2">
        <f t="shared" si="28"/>
        <v>2567</v>
      </c>
      <c r="I588" s="2">
        <v>61</v>
      </c>
      <c r="J588" s="2">
        <v>1.22</v>
      </c>
      <c r="K588" s="2">
        <v>1</v>
      </c>
      <c r="L588" s="2">
        <f t="shared" si="29"/>
        <v>1000</v>
      </c>
      <c r="M588" s="2" t="s">
        <v>1108</v>
      </c>
      <c r="N588" s="40">
        <f>_xlfn.XLOOKUP(F588,Terrain!D:D,Terrain!H:H,"")</f>
        <v>2567</v>
      </c>
      <c r="O588" t="str">
        <f t="shared" si="27"/>
        <v>67-T10 | 61 | 638|0</v>
      </c>
    </row>
    <row r="589" spans="1:15" x14ac:dyDescent="0.3">
      <c r="A589" s="43">
        <v>46235</v>
      </c>
      <c r="B589" s="2" t="s">
        <v>10</v>
      </c>
      <c r="C589" s="2" t="s">
        <v>1259</v>
      </c>
      <c r="D589" s="2" t="s">
        <v>722</v>
      </c>
      <c r="E589" s="2" t="str">
        <f>_xlfn.XLOOKUP(F589,Terrain!D:D,Terrain!A:A,"")</f>
        <v>Upper</v>
      </c>
      <c r="F589" s="2" t="s">
        <v>1340</v>
      </c>
      <c r="G589" s="2" t="s">
        <v>917</v>
      </c>
      <c r="H589" s="2">
        <f t="shared" si="28"/>
        <v>2558</v>
      </c>
      <c r="I589" s="2">
        <v>5080.25</v>
      </c>
      <c r="J589" s="2">
        <v>101.605</v>
      </c>
      <c r="K589" s="2">
        <v>102</v>
      </c>
      <c r="L589" s="2">
        <f t="shared" si="29"/>
        <v>1750</v>
      </c>
      <c r="M589" s="2" t="s">
        <v>1106</v>
      </c>
      <c r="N589" s="40" t="str">
        <f>_xlfn.XLOOKUP(F589,Terrain!D:D,Terrain!H:H,"")</f>
        <v>2555 - 2558</v>
      </c>
      <c r="O589" t="str">
        <f t="shared" si="27"/>
        <v>58-T11-R | 2903 | 506|1</v>
      </c>
    </row>
    <row r="590" spans="1:15" x14ac:dyDescent="0.3">
      <c r="A590" s="43">
        <v>46235</v>
      </c>
      <c r="B590" s="2" t="s">
        <v>10</v>
      </c>
      <c r="C590" s="2" t="s">
        <v>1259</v>
      </c>
      <c r="D590" s="2" t="s">
        <v>730</v>
      </c>
      <c r="E590" s="2" t="str">
        <f>_xlfn.XLOOKUP(F590,Terrain!D:D,Terrain!A:A,"")</f>
        <v>Upper</v>
      </c>
      <c r="F590" s="2" t="s">
        <v>1341</v>
      </c>
      <c r="G590" s="2" t="s">
        <v>918</v>
      </c>
      <c r="H590" s="2">
        <f t="shared" si="28"/>
        <v>2550</v>
      </c>
      <c r="I590" s="2">
        <v>4545</v>
      </c>
      <c r="J590" s="2">
        <v>90.9</v>
      </c>
      <c r="K590" s="2">
        <v>91</v>
      </c>
      <c r="L590" s="2">
        <f t="shared" si="29"/>
        <v>1500</v>
      </c>
      <c r="M590" s="2" t="s">
        <v>1107</v>
      </c>
      <c r="N590" s="40" t="str">
        <f>_xlfn.XLOOKUP(F590,Terrain!D:D,Terrain!H:H,"")</f>
        <v>2549 - 2552</v>
      </c>
      <c r="O590" t="str">
        <f t="shared" si="27"/>
        <v>50-T12-R | 3030 | 449|1</v>
      </c>
    </row>
    <row r="591" spans="1:15" x14ac:dyDescent="0.3">
      <c r="A591" s="43">
        <v>46235</v>
      </c>
      <c r="B591" s="2" t="s">
        <v>10</v>
      </c>
      <c r="C591" s="2" t="s">
        <v>1259</v>
      </c>
      <c r="D591" s="2" t="s">
        <v>738</v>
      </c>
      <c r="E591" s="2" t="str">
        <f>_xlfn.XLOOKUP(F591,Terrain!D:D,Terrain!A:A,"")</f>
        <v>Upper</v>
      </c>
      <c r="F591" s="2" t="s">
        <v>1342</v>
      </c>
      <c r="G591" s="2" t="s">
        <v>919</v>
      </c>
      <c r="H591" s="2">
        <f t="shared" si="28"/>
        <v>2558</v>
      </c>
      <c r="I591" s="2">
        <v>5012</v>
      </c>
      <c r="J591" s="2">
        <v>100.24</v>
      </c>
      <c r="K591" s="2">
        <v>100</v>
      </c>
      <c r="L591" s="2">
        <f t="shared" si="29"/>
        <v>1750</v>
      </c>
      <c r="M591" s="2" t="s">
        <v>1106</v>
      </c>
      <c r="N591" s="40" t="str">
        <f>_xlfn.XLOOKUP(F591,Terrain!D:D,Terrain!H:H,"")</f>
        <v>2555 - 2558</v>
      </c>
      <c r="O591" t="str">
        <f t="shared" si="27"/>
        <v>58-T13-R | 2864 | 511|1</v>
      </c>
    </row>
    <row r="592" spans="1:15" x14ac:dyDescent="0.3">
      <c r="A592" s="43">
        <v>46235</v>
      </c>
      <c r="B592" s="2" t="s">
        <v>10</v>
      </c>
      <c r="C592" s="2" t="s">
        <v>1259</v>
      </c>
      <c r="D592" s="2" t="s">
        <v>746</v>
      </c>
      <c r="E592" s="2" t="str">
        <f>_xlfn.XLOOKUP(F592,Terrain!D:D,Terrain!A:A,"")</f>
        <v>Upper</v>
      </c>
      <c r="F592" s="2" t="s">
        <v>1343</v>
      </c>
      <c r="G592" s="2" t="s">
        <v>920</v>
      </c>
      <c r="H592" s="2">
        <f t="shared" si="28"/>
        <v>2549</v>
      </c>
      <c r="I592" s="2">
        <v>168</v>
      </c>
      <c r="J592" s="2">
        <v>3.36</v>
      </c>
      <c r="K592" s="2">
        <v>3</v>
      </c>
      <c r="L592" s="2">
        <f t="shared" si="29"/>
        <v>1500</v>
      </c>
      <c r="M592" s="2" t="s">
        <v>1107</v>
      </c>
      <c r="N592" s="40" t="str">
        <f>_xlfn.XLOOKUP(F592,Terrain!D:D,Terrain!H:H,"")</f>
        <v>2549 - 2552</v>
      </c>
      <c r="O592" t="str">
        <f t="shared" si="27"/>
        <v>49-T16-R | 112 | 445|1</v>
      </c>
    </row>
    <row r="593" spans="1:15" x14ac:dyDescent="0.3">
      <c r="A593" s="43">
        <v>46235</v>
      </c>
      <c r="B593" s="2" t="s">
        <v>10</v>
      </c>
      <c r="C593" s="2" t="s">
        <v>1259</v>
      </c>
      <c r="D593" s="2" t="s">
        <v>754</v>
      </c>
      <c r="E593" s="2" t="str">
        <f>_xlfn.XLOOKUP(F593,Terrain!D:D,Terrain!A:A,"")</f>
        <v>Upper</v>
      </c>
      <c r="F593" s="2" t="s">
        <v>1344</v>
      </c>
      <c r="G593" s="2" t="s">
        <v>921</v>
      </c>
      <c r="H593" s="2">
        <f t="shared" si="28"/>
        <v>2558</v>
      </c>
      <c r="I593" s="2">
        <v>4943.75</v>
      </c>
      <c r="J593" s="2">
        <v>98.875</v>
      </c>
      <c r="K593" s="2">
        <v>99</v>
      </c>
      <c r="L593" s="2">
        <f t="shared" si="29"/>
        <v>1750</v>
      </c>
      <c r="M593" s="2" t="s">
        <v>1106</v>
      </c>
      <c r="N593" s="40" t="str">
        <f>_xlfn.XLOOKUP(F593,Terrain!D:D,Terrain!H:H,"")</f>
        <v>2555 - 2558</v>
      </c>
      <c r="O593" t="str">
        <f t="shared" si="27"/>
        <v>58-T17-R | 2825 | 514|1</v>
      </c>
    </row>
    <row r="594" spans="1:15" x14ac:dyDescent="0.3">
      <c r="A594" s="43">
        <v>46235</v>
      </c>
      <c r="B594" s="2" t="s">
        <v>10</v>
      </c>
      <c r="C594" s="2" t="s">
        <v>1259</v>
      </c>
      <c r="D594" s="2" t="s">
        <v>762</v>
      </c>
      <c r="E594" s="2" t="str">
        <f>_xlfn.XLOOKUP(F594,Terrain!D:D,Terrain!A:A,"")</f>
        <v>Upper</v>
      </c>
      <c r="F594" s="2" t="s">
        <v>1345</v>
      </c>
      <c r="G594" s="2" t="s">
        <v>922</v>
      </c>
      <c r="H594" s="2">
        <f t="shared" si="28"/>
        <v>2558</v>
      </c>
      <c r="I594" s="2">
        <v>4975.25</v>
      </c>
      <c r="J594" s="2">
        <v>99.504999999999995</v>
      </c>
      <c r="K594" s="2">
        <v>100</v>
      </c>
      <c r="L594" s="2">
        <f t="shared" si="29"/>
        <v>1750</v>
      </c>
      <c r="M594" s="2" t="s">
        <v>1106</v>
      </c>
      <c r="N594" s="40" t="str">
        <f>_xlfn.XLOOKUP(F594,Terrain!D:D,Terrain!H:H,"")</f>
        <v>2555 - 2558</v>
      </c>
      <c r="O594" t="str">
        <f t="shared" si="27"/>
        <v>58-T18-R | 2843 | 505|1</v>
      </c>
    </row>
    <row r="595" spans="1:15" x14ac:dyDescent="0.3">
      <c r="A595" s="43">
        <v>46235</v>
      </c>
      <c r="B595" s="2" t="s">
        <v>10</v>
      </c>
      <c r="C595" s="2" t="s">
        <v>1259</v>
      </c>
      <c r="D595" s="2" t="s">
        <v>769</v>
      </c>
      <c r="E595" s="2" t="str">
        <f>_xlfn.XLOOKUP(F595,Terrain!D:D,Terrain!A:A,"")</f>
        <v>Upper</v>
      </c>
      <c r="F595" s="2" t="s">
        <v>1174</v>
      </c>
      <c r="G595" s="2" t="s">
        <v>923</v>
      </c>
      <c r="H595" s="2">
        <f t="shared" si="28"/>
        <v>2567</v>
      </c>
      <c r="I595" s="2">
        <v>171</v>
      </c>
      <c r="J595" s="2">
        <v>3.42</v>
      </c>
      <c r="K595" s="2">
        <v>3</v>
      </c>
      <c r="L595" s="2">
        <f t="shared" si="29"/>
        <v>1000</v>
      </c>
      <c r="M595" s="2" t="s">
        <v>1108</v>
      </c>
      <c r="N595" s="40">
        <f>_xlfn.XLOOKUP(F595,Terrain!D:D,Terrain!H:H,"")</f>
        <v>2567</v>
      </c>
      <c r="O595" t="str">
        <f t="shared" si="27"/>
        <v>67-T18 | 171 | 639|0</v>
      </c>
    </row>
    <row r="596" spans="1:15" x14ac:dyDescent="0.3">
      <c r="A596" s="43">
        <v>46235</v>
      </c>
      <c r="B596" s="2" t="s">
        <v>10</v>
      </c>
      <c r="C596" s="2" t="s">
        <v>1259</v>
      </c>
      <c r="D596" s="2" t="s">
        <v>779</v>
      </c>
      <c r="E596" s="2" t="str">
        <f>_xlfn.XLOOKUP(F596,Terrain!D:D,Terrain!A:A,"")</f>
        <v>Upper</v>
      </c>
      <c r="F596" s="2" t="s">
        <v>1346</v>
      </c>
      <c r="G596" s="2" t="s">
        <v>924</v>
      </c>
      <c r="H596" s="2">
        <f t="shared" si="28"/>
        <v>2556</v>
      </c>
      <c r="I596" s="2">
        <v>5598.25</v>
      </c>
      <c r="J596" s="2">
        <v>111.965</v>
      </c>
      <c r="K596" s="2">
        <v>112</v>
      </c>
      <c r="L596" s="2">
        <f t="shared" si="29"/>
        <v>1750</v>
      </c>
      <c r="M596" s="2" t="s">
        <v>1106</v>
      </c>
      <c r="N596" s="40" t="str">
        <f>_xlfn.XLOOKUP(F596,Terrain!D:D,Terrain!H:H,"")</f>
        <v>2555 - 2558</v>
      </c>
      <c r="O596" t="str">
        <f t="shared" si="27"/>
        <v>56-T19-R | 3199 | 504|1</v>
      </c>
    </row>
    <row r="597" spans="1:15" x14ac:dyDescent="0.3">
      <c r="A597" s="43">
        <v>46235</v>
      </c>
      <c r="B597" s="2" t="s">
        <v>10</v>
      </c>
      <c r="C597" s="2" t="s">
        <v>1259</v>
      </c>
      <c r="D597" s="2" t="s">
        <v>787</v>
      </c>
      <c r="E597" s="2" t="str">
        <f>_xlfn.XLOOKUP(F597,Terrain!D:D,Terrain!A:A,"")</f>
        <v>Upper</v>
      </c>
      <c r="F597" s="2" t="s">
        <v>1267</v>
      </c>
      <c r="G597" s="2" t="s">
        <v>925</v>
      </c>
      <c r="H597" s="2">
        <f t="shared" si="28"/>
        <v>2549</v>
      </c>
      <c r="I597" s="2">
        <v>4249.5</v>
      </c>
      <c r="J597" s="2">
        <v>84.99</v>
      </c>
      <c r="K597" s="2">
        <v>85</v>
      </c>
      <c r="L597" s="2">
        <f t="shared" si="29"/>
        <v>1500</v>
      </c>
      <c r="M597" s="2" t="s">
        <v>1107</v>
      </c>
      <c r="N597" s="40" t="str">
        <f>_xlfn.XLOOKUP(F597,Terrain!D:D,Terrain!H:H,"")</f>
        <v>2549 - 2552</v>
      </c>
      <c r="O597" t="str">
        <f t="shared" si="27"/>
        <v>49-T20-R | 2833 | 446|1</v>
      </c>
    </row>
    <row r="598" spans="1:15" x14ac:dyDescent="0.3">
      <c r="A598" s="43">
        <v>46235</v>
      </c>
      <c r="B598" s="2" t="s">
        <v>10</v>
      </c>
      <c r="C598" s="2" t="s">
        <v>1259</v>
      </c>
      <c r="D598" s="2" t="s">
        <v>795</v>
      </c>
      <c r="E598" s="2" t="str">
        <f>_xlfn.XLOOKUP(F598,Terrain!D:D,Terrain!A:A,"")</f>
        <v>Upper</v>
      </c>
      <c r="F598" s="2" t="s">
        <v>1347</v>
      </c>
      <c r="G598" s="2" t="s">
        <v>926</v>
      </c>
      <c r="H598" s="2">
        <f t="shared" si="28"/>
        <v>2556</v>
      </c>
      <c r="I598" s="2">
        <v>5276.25</v>
      </c>
      <c r="J598" s="2">
        <v>105.52500000000001</v>
      </c>
      <c r="K598" s="2">
        <v>106</v>
      </c>
      <c r="L598" s="2">
        <f t="shared" si="29"/>
        <v>1750</v>
      </c>
      <c r="M598" s="2" t="s">
        <v>1106</v>
      </c>
      <c r="N598" s="40" t="str">
        <f>_xlfn.XLOOKUP(F598,Terrain!D:D,Terrain!H:H,"")</f>
        <v>2555 - 2558</v>
      </c>
      <c r="O598" t="str">
        <f t="shared" si="27"/>
        <v>56-T21-R | 3015 | 510|1</v>
      </c>
    </row>
    <row r="599" spans="1:15" x14ac:dyDescent="0.3">
      <c r="A599" s="43">
        <v>46235</v>
      </c>
      <c r="B599" s="2" t="s">
        <v>10</v>
      </c>
      <c r="C599" s="2" t="s">
        <v>1259</v>
      </c>
      <c r="D599" s="2" t="s">
        <v>802</v>
      </c>
      <c r="E599" s="2" t="str">
        <f>_xlfn.XLOOKUP(F599,Terrain!D:D,Terrain!A:A,"")</f>
        <v>Upper</v>
      </c>
      <c r="F599" s="2" t="s">
        <v>1175</v>
      </c>
      <c r="G599" s="2" t="s">
        <v>927</v>
      </c>
      <c r="H599" s="2">
        <f t="shared" si="28"/>
        <v>2567</v>
      </c>
      <c r="I599" s="2">
        <v>241</v>
      </c>
      <c r="J599" s="2">
        <v>4.82</v>
      </c>
      <c r="K599" s="2">
        <v>5</v>
      </c>
      <c r="L599" s="2">
        <f t="shared" si="29"/>
        <v>1000</v>
      </c>
      <c r="M599" s="2" t="s">
        <v>1108</v>
      </c>
      <c r="N599" s="40">
        <f>_xlfn.XLOOKUP(F599,Terrain!D:D,Terrain!H:H,"")</f>
        <v>2567</v>
      </c>
      <c r="O599" t="str">
        <f t="shared" si="27"/>
        <v>67-T21 | 241 | 636|0</v>
      </c>
    </row>
    <row r="600" spans="1:15" x14ac:dyDescent="0.3">
      <c r="A600" s="43">
        <v>46235</v>
      </c>
      <c r="B600" s="2" t="s">
        <v>10</v>
      </c>
      <c r="C600" s="2" t="s">
        <v>1259</v>
      </c>
      <c r="D600" s="2" t="s">
        <v>812</v>
      </c>
      <c r="E600" s="2" t="str">
        <f>_xlfn.XLOOKUP(F600,Terrain!D:D,Terrain!A:A,"")</f>
        <v>Upper</v>
      </c>
      <c r="F600" s="2" t="s">
        <v>1348</v>
      </c>
      <c r="G600" s="2" t="s">
        <v>928</v>
      </c>
      <c r="H600" s="2">
        <f t="shared" si="28"/>
        <v>2563</v>
      </c>
      <c r="I600" s="2">
        <v>1473.5</v>
      </c>
      <c r="J600" s="2">
        <v>29.47</v>
      </c>
      <c r="K600" s="2">
        <v>29</v>
      </c>
      <c r="L600" s="2">
        <f t="shared" si="29"/>
        <v>1750</v>
      </c>
      <c r="M600" s="2" t="s">
        <v>1104</v>
      </c>
      <c r="N600" s="40" t="str">
        <f>_xlfn.XLOOKUP(F600,Terrain!D:D,Terrain!H:H,"")</f>
        <v>2563 - 2565</v>
      </c>
      <c r="O600" t="str">
        <f t="shared" si="27"/>
        <v>63-T22-R | 842 | 567|1</v>
      </c>
    </row>
    <row r="601" spans="1:15" x14ac:dyDescent="0.3">
      <c r="A601" s="43">
        <v>46235</v>
      </c>
      <c r="B601" s="2" t="s">
        <v>10</v>
      </c>
      <c r="C601" s="2" t="s">
        <v>1259</v>
      </c>
      <c r="D601" s="2" t="s">
        <v>820</v>
      </c>
      <c r="E601" s="2" t="str">
        <f>_xlfn.XLOOKUP(F601,Terrain!D:D,Terrain!A:A,"")</f>
        <v>Upper</v>
      </c>
      <c r="F601" s="2" t="s">
        <v>1349</v>
      </c>
      <c r="G601" s="2" t="s">
        <v>929</v>
      </c>
      <c r="H601" s="2">
        <f t="shared" si="28"/>
        <v>2563</v>
      </c>
      <c r="I601" s="2">
        <v>1477</v>
      </c>
      <c r="J601" s="2">
        <v>29.54</v>
      </c>
      <c r="K601" s="2">
        <v>30</v>
      </c>
      <c r="L601" s="2">
        <f t="shared" si="29"/>
        <v>1750</v>
      </c>
      <c r="M601" s="2" t="s">
        <v>1104</v>
      </c>
      <c r="N601" s="40" t="str">
        <f>_xlfn.XLOOKUP(F601,Terrain!D:D,Terrain!H:H,"")</f>
        <v>2563 - 2565</v>
      </c>
      <c r="O601" t="str">
        <f t="shared" si="27"/>
        <v>63-T23-R | 844 | 568|1</v>
      </c>
    </row>
    <row r="602" spans="1:15" x14ac:dyDescent="0.3">
      <c r="A602" s="43">
        <v>46235</v>
      </c>
      <c r="B602" s="2" t="s">
        <v>10</v>
      </c>
      <c r="C602" s="2" t="s">
        <v>1259</v>
      </c>
      <c r="D602" s="2" t="s">
        <v>828</v>
      </c>
      <c r="E602" s="2" t="str">
        <f>_xlfn.XLOOKUP(F602,Terrain!D:D,Terrain!A:A,"")</f>
        <v>Upper</v>
      </c>
      <c r="F602" s="2" t="s">
        <v>1350</v>
      </c>
      <c r="G602" s="2" t="s">
        <v>930</v>
      </c>
      <c r="H602" s="2">
        <f t="shared" si="28"/>
        <v>2552</v>
      </c>
      <c r="I602" s="2">
        <v>138</v>
      </c>
      <c r="J602" s="2">
        <v>2.76</v>
      </c>
      <c r="K602" s="2">
        <v>3</v>
      </c>
      <c r="L602" s="2">
        <f t="shared" si="29"/>
        <v>1500</v>
      </c>
      <c r="M602" s="2" t="s">
        <v>1107</v>
      </c>
      <c r="N602" s="40" t="str">
        <f>_xlfn.XLOOKUP(F602,Terrain!D:D,Terrain!H:H,"")</f>
        <v>2549 - 2552</v>
      </c>
      <c r="O602" t="str">
        <f t="shared" si="27"/>
        <v>52-T28-R | 92 | 441|1</v>
      </c>
    </row>
    <row r="603" spans="1:15" x14ac:dyDescent="0.3">
      <c r="A603" s="43">
        <v>46235</v>
      </c>
      <c r="B603" s="2" t="s">
        <v>10</v>
      </c>
      <c r="C603" s="2" t="s">
        <v>1259</v>
      </c>
      <c r="D603" s="2" t="s">
        <v>836</v>
      </c>
      <c r="E603" s="2" t="str">
        <f>_xlfn.XLOOKUP(F603,Terrain!D:D,Terrain!A:A,"")</f>
        <v>Upper</v>
      </c>
      <c r="F603" s="2" t="s">
        <v>1351</v>
      </c>
      <c r="G603" s="2" t="s">
        <v>931</v>
      </c>
      <c r="H603" s="2">
        <f t="shared" si="28"/>
        <v>2556</v>
      </c>
      <c r="I603" s="2">
        <v>2455.25</v>
      </c>
      <c r="J603" s="2">
        <v>49.104999999999997</v>
      </c>
      <c r="K603" s="2">
        <v>49</v>
      </c>
      <c r="L603" s="2">
        <f t="shared" si="29"/>
        <v>1750</v>
      </c>
      <c r="M603" s="2" t="s">
        <v>1106</v>
      </c>
      <c r="N603" s="40" t="str">
        <f>_xlfn.XLOOKUP(F603,Terrain!D:D,Terrain!H:H,"")</f>
        <v>2555 - 2558</v>
      </c>
      <c r="O603" t="str">
        <f t="shared" si="27"/>
        <v>56-T28-R | 1403 | 513|1</v>
      </c>
    </row>
    <row r="604" spans="1:15" x14ac:dyDescent="0.3">
      <c r="A604" s="43">
        <v>46235</v>
      </c>
      <c r="B604" s="2" t="s">
        <v>10</v>
      </c>
      <c r="C604" s="2" t="s">
        <v>1259</v>
      </c>
      <c r="D604" s="2" t="s">
        <v>843</v>
      </c>
      <c r="E604" s="2" t="str">
        <f>_xlfn.XLOOKUP(F604,Terrain!D:D,Terrain!A:A,"")</f>
        <v>Upper</v>
      </c>
      <c r="F604" s="2" t="s">
        <v>1176</v>
      </c>
      <c r="G604" s="2" t="s">
        <v>932</v>
      </c>
      <c r="H604" s="2">
        <f t="shared" si="28"/>
        <v>2567</v>
      </c>
      <c r="I604" s="2">
        <v>3070</v>
      </c>
      <c r="J604" s="2">
        <v>61.4</v>
      </c>
      <c r="K604" s="2">
        <v>61</v>
      </c>
      <c r="L604" s="2">
        <f t="shared" si="29"/>
        <v>1000</v>
      </c>
      <c r="M604" s="2" t="s">
        <v>1109</v>
      </c>
      <c r="N604" s="40">
        <f>_xlfn.XLOOKUP(F604,Terrain!D:D,Terrain!H:H,"")</f>
        <v>2567</v>
      </c>
      <c r="O604" t="str">
        <f t="shared" si="27"/>
        <v>67-T29 | 3070 | 640|0</v>
      </c>
    </row>
    <row r="605" spans="1:15" x14ac:dyDescent="0.3">
      <c r="A605" s="43">
        <v>46235</v>
      </c>
      <c r="B605" s="2" t="s">
        <v>10</v>
      </c>
      <c r="C605" s="2" t="s">
        <v>1259</v>
      </c>
      <c r="D605" s="2" t="s">
        <v>852</v>
      </c>
      <c r="E605" s="2" t="str">
        <f>_xlfn.XLOOKUP(F605,Terrain!D:D,Terrain!A:A,"")</f>
        <v>Upper</v>
      </c>
      <c r="F605" s="2" t="s">
        <v>1177</v>
      </c>
      <c r="G605" s="2" t="s">
        <v>933</v>
      </c>
      <c r="H605" s="2">
        <f t="shared" si="28"/>
        <v>2567</v>
      </c>
      <c r="I605" s="2">
        <v>3270</v>
      </c>
      <c r="J605" s="2">
        <v>65.400000000000006</v>
      </c>
      <c r="K605" s="2">
        <v>65</v>
      </c>
      <c r="L605" s="2">
        <f t="shared" si="29"/>
        <v>1000</v>
      </c>
      <c r="M605" s="2" t="s">
        <v>1109</v>
      </c>
      <c r="N605" s="40">
        <f>_xlfn.XLOOKUP(F605,Terrain!D:D,Terrain!H:H,"")</f>
        <v>2567</v>
      </c>
      <c r="O605" t="str">
        <f t="shared" si="27"/>
        <v>67-T30 | 3270 | 637|0</v>
      </c>
    </row>
    <row r="606" spans="1:15" x14ac:dyDescent="0.3">
      <c r="A606" s="43">
        <v>46266</v>
      </c>
      <c r="B606" s="2" t="s">
        <v>12</v>
      </c>
      <c r="C606" s="2" t="s">
        <v>1260</v>
      </c>
      <c r="D606" s="2" t="s">
        <v>17</v>
      </c>
      <c r="E606" s="2" t="str">
        <f>_xlfn.XLOOKUP(F606,Terrain!D:D,Terrain!A:A,"")</f>
        <v>Lower</v>
      </c>
      <c r="F606" s="2" t="s">
        <v>1269</v>
      </c>
      <c r="G606" s="2" t="s">
        <v>1045</v>
      </c>
      <c r="H606" s="2">
        <f t="shared" si="28"/>
        <v>2556</v>
      </c>
      <c r="I606" s="2">
        <v>2437.5</v>
      </c>
      <c r="J606" s="2">
        <v>48.75</v>
      </c>
      <c r="K606" s="2">
        <v>49</v>
      </c>
      <c r="L606" s="2">
        <f t="shared" si="29"/>
        <v>1250</v>
      </c>
      <c r="M606" s="2" t="s">
        <v>1046</v>
      </c>
      <c r="N606" s="40" t="str">
        <f>_xlfn.XLOOKUP(F606,Terrain!D:D,Terrain!H:H,"")</f>
        <v>2555 - 2558</v>
      </c>
      <c r="O606" t="str">
        <f t="shared" si="27"/>
        <v>56-A01 | 1950 | 226|1</v>
      </c>
    </row>
    <row r="607" spans="1:15" x14ac:dyDescent="0.3">
      <c r="A607" s="43">
        <v>46266</v>
      </c>
      <c r="B607" s="2" t="s">
        <v>12</v>
      </c>
      <c r="C607" s="2" t="s">
        <v>1260</v>
      </c>
      <c r="D607" s="2" t="s">
        <v>936</v>
      </c>
      <c r="E607" s="2" t="str">
        <f>_xlfn.XLOOKUP(F607,Terrain!D:D,Terrain!A:A,"")</f>
        <v>Lower</v>
      </c>
      <c r="F607" s="2" t="s">
        <v>1282</v>
      </c>
      <c r="G607" s="2" t="s">
        <v>1048</v>
      </c>
      <c r="H607" s="2">
        <f t="shared" si="28"/>
        <v>2563</v>
      </c>
      <c r="I607" s="2">
        <v>667.5</v>
      </c>
      <c r="J607" s="2">
        <v>13.35</v>
      </c>
      <c r="K607" s="2">
        <v>13</v>
      </c>
      <c r="L607" s="2">
        <f t="shared" si="29"/>
        <v>1250</v>
      </c>
      <c r="M607" s="2" t="s">
        <v>1049</v>
      </c>
      <c r="N607" s="40" t="str">
        <f>_xlfn.XLOOKUP(F607,Terrain!D:D,Terrain!H:H,"")</f>
        <v>2563 - 2565</v>
      </c>
      <c r="O607" t="str">
        <f t="shared" si="27"/>
        <v>63-A01-R | 534 | 696|1</v>
      </c>
    </row>
    <row r="608" spans="1:15" x14ac:dyDescent="0.3">
      <c r="A608" s="43">
        <v>46266</v>
      </c>
      <c r="B608" s="2" t="s">
        <v>12</v>
      </c>
      <c r="C608" s="2" t="s">
        <v>1260</v>
      </c>
      <c r="D608" s="2" t="s">
        <v>26</v>
      </c>
      <c r="E608" s="2" t="str">
        <f>_xlfn.XLOOKUP(F608,Terrain!D:D,Terrain!A:A,"")</f>
        <v>Lower</v>
      </c>
      <c r="F608" s="2" t="s">
        <v>1270</v>
      </c>
      <c r="G608" s="2" t="s">
        <v>1050</v>
      </c>
      <c r="H608" s="2">
        <f t="shared" si="28"/>
        <v>2556</v>
      </c>
      <c r="I608" s="2">
        <v>4793.75</v>
      </c>
      <c r="J608" s="2">
        <v>95.875</v>
      </c>
      <c r="K608" s="2">
        <v>96</v>
      </c>
      <c r="L608" s="2">
        <f t="shared" si="29"/>
        <v>1250</v>
      </c>
      <c r="M608" s="2" t="s">
        <v>1046</v>
      </c>
      <c r="N608" s="40" t="str">
        <f>_xlfn.XLOOKUP(F608,Terrain!D:D,Terrain!H:H,"")</f>
        <v>2555 - 2558</v>
      </c>
      <c r="O608" t="str">
        <f t="shared" si="27"/>
        <v>56-A02 | 3835 | 216|1</v>
      </c>
    </row>
    <row r="609" spans="1:15" x14ac:dyDescent="0.3">
      <c r="A609" s="43">
        <v>46266</v>
      </c>
      <c r="B609" s="2" t="s">
        <v>12</v>
      </c>
      <c r="C609" s="2" t="s">
        <v>1260</v>
      </c>
      <c r="D609" s="2" t="s">
        <v>34</v>
      </c>
      <c r="E609" s="2" t="str">
        <f>_xlfn.XLOOKUP(F609,Terrain!D:D,Terrain!A:A,"")</f>
        <v>Lower</v>
      </c>
      <c r="F609" s="2" t="s">
        <v>1283</v>
      </c>
      <c r="G609" s="2" t="s">
        <v>1051</v>
      </c>
      <c r="H609" s="2">
        <f t="shared" si="28"/>
        <v>2556</v>
      </c>
      <c r="I609" s="2">
        <v>2648.75</v>
      </c>
      <c r="J609" s="2">
        <v>52.975000000000001</v>
      </c>
      <c r="K609" s="2">
        <v>53</v>
      </c>
      <c r="L609" s="2">
        <f t="shared" si="29"/>
        <v>1250</v>
      </c>
      <c r="M609" s="2" t="s">
        <v>1052</v>
      </c>
      <c r="N609" s="40" t="str">
        <f>_xlfn.XLOOKUP(F609,Terrain!D:D,Terrain!H:H,"")</f>
        <v>2555 - 2558</v>
      </c>
      <c r="O609" t="str">
        <f t="shared" si="27"/>
        <v>56-A03-R | 2119 | 210|1</v>
      </c>
    </row>
    <row r="610" spans="1:15" x14ac:dyDescent="0.3">
      <c r="A610" s="43">
        <v>46266</v>
      </c>
      <c r="B610" s="2" t="s">
        <v>12</v>
      </c>
      <c r="C610" s="2" t="s">
        <v>1260</v>
      </c>
      <c r="D610" s="2" t="s">
        <v>937</v>
      </c>
      <c r="E610" s="2" t="str">
        <f>_xlfn.XLOOKUP(F610,Terrain!D:D,Terrain!A:A,"")</f>
        <v>Lower</v>
      </c>
      <c r="F610" s="2" t="s">
        <v>1284</v>
      </c>
      <c r="G610" s="2" t="s">
        <v>1053</v>
      </c>
      <c r="H610" s="2">
        <f t="shared" si="28"/>
        <v>2563</v>
      </c>
      <c r="I610" s="2">
        <v>1225</v>
      </c>
      <c r="J610" s="2">
        <v>24.5</v>
      </c>
      <c r="K610" s="2">
        <v>25</v>
      </c>
      <c r="L610" s="2">
        <f t="shared" si="29"/>
        <v>1250</v>
      </c>
      <c r="M610" s="2" t="s">
        <v>1049</v>
      </c>
      <c r="N610" s="40" t="str">
        <f>_xlfn.XLOOKUP(F610,Terrain!D:D,Terrain!H:H,"")</f>
        <v>2563 - 2565</v>
      </c>
      <c r="O610" t="str">
        <f t="shared" si="27"/>
        <v>63-A03-R | 980 | 697|1</v>
      </c>
    </row>
    <row r="611" spans="1:15" x14ac:dyDescent="0.3">
      <c r="A611" s="43">
        <v>46266</v>
      </c>
      <c r="B611" s="2" t="s">
        <v>12</v>
      </c>
      <c r="C611" s="2" t="s">
        <v>1260</v>
      </c>
      <c r="D611" s="2" t="s">
        <v>43</v>
      </c>
      <c r="E611" s="2" t="str">
        <f>_xlfn.XLOOKUP(F611,Terrain!D:D,Terrain!A:A,"")</f>
        <v>Lower</v>
      </c>
      <c r="F611" s="2" t="s">
        <v>1271</v>
      </c>
      <c r="G611" s="2" t="s">
        <v>1054</v>
      </c>
      <c r="H611" s="2">
        <f t="shared" si="28"/>
        <v>2550</v>
      </c>
      <c r="I611" s="2">
        <v>4864</v>
      </c>
      <c r="J611" s="2">
        <v>97.28</v>
      </c>
      <c r="K611" s="2">
        <v>97</v>
      </c>
      <c r="L611" s="2">
        <f t="shared" si="29"/>
        <v>1000</v>
      </c>
      <c r="M611" s="2" t="s">
        <v>1055</v>
      </c>
      <c r="N611" s="40" t="str">
        <f>_xlfn.XLOOKUP(F611,Terrain!D:D,Terrain!H:H,"")</f>
        <v>2549 - 2552</v>
      </c>
      <c r="O611" t="str">
        <f t="shared" si="27"/>
        <v>50-A04 | 4864 | 148|1</v>
      </c>
    </row>
    <row r="612" spans="1:15" x14ac:dyDescent="0.3">
      <c r="A612" s="43">
        <v>46266</v>
      </c>
      <c r="B612" s="2" t="s">
        <v>12</v>
      </c>
      <c r="C612" s="2" t="s">
        <v>1260</v>
      </c>
      <c r="D612" s="2" t="s">
        <v>51</v>
      </c>
      <c r="E612" s="2" t="str">
        <f>_xlfn.XLOOKUP(F612,Terrain!D:D,Terrain!A:A,"")</f>
        <v>Lower</v>
      </c>
      <c r="F612" s="2" t="s">
        <v>1272</v>
      </c>
      <c r="G612" s="2" t="s">
        <v>1056</v>
      </c>
      <c r="H612" s="2">
        <f t="shared" si="28"/>
        <v>2550</v>
      </c>
      <c r="I612" s="2">
        <v>4608</v>
      </c>
      <c r="J612" s="2">
        <v>92.16</v>
      </c>
      <c r="K612" s="2">
        <v>92</v>
      </c>
      <c r="L612" s="2">
        <f t="shared" si="29"/>
        <v>1000</v>
      </c>
      <c r="M612" s="2" t="s">
        <v>1055</v>
      </c>
      <c r="N612" s="40" t="str">
        <f>_xlfn.XLOOKUP(F612,Terrain!D:D,Terrain!H:H,"")</f>
        <v>2549 - 2552</v>
      </c>
      <c r="O612" t="str">
        <f t="shared" si="27"/>
        <v>50-A05 | 4608 | 144|1</v>
      </c>
    </row>
    <row r="613" spans="1:15" x14ac:dyDescent="0.3">
      <c r="A613" s="43">
        <v>46266</v>
      </c>
      <c r="B613" s="2" t="s">
        <v>12</v>
      </c>
      <c r="C613" s="2" t="s">
        <v>1260</v>
      </c>
      <c r="D613" s="2" t="s">
        <v>59</v>
      </c>
      <c r="E613" s="2" t="str">
        <f>_xlfn.XLOOKUP(F613,Terrain!D:D,Terrain!A:A,"")</f>
        <v>Lower</v>
      </c>
      <c r="F613" s="2" t="s">
        <v>1273</v>
      </c>
      <c r="G613" s="2" t="s">
        <v>1057</v>
      </c>
      <c r="H613" s="2">
        <f t="shared" si="28"/>
        <v>2560</v>
      </c>
      <c r="I613" s="2">
        <v>4073.75</v>
      </c>
      <c r="J613" s="2">
        <v>81.474999999999994</v>
      </c>
      <c r="K613" s="2">
        <v>81</v>
      </c>
      <c r="L613" s="2">
        <f t="shared" si="29"/>
        <v>1250</v>
      </c>
      <c r="M613" s="2" t="s">
        <v>1058</v>
      </c>
      <c r="N613" s="40" t="str">
        <f>_xlfn.XLOOKUP(F613,Terrain!D:D,Terrain!H:H,"")</f>
        <v>2559 - 2560</v>
      </c>
      <c r="O613" t="str">
        <f t="shared" si="27"/>
        <v>60-A06 | 3259 | 212|1</v>
      </c>
    </row>
    <row r="614" spans="1:15" x14ac:dyDescent="0.3">
      <c r="A614" s="43">
        <v>46266</v>
      </c>
      <c r="B614" s="2" t="s">
        <v>12</v>
      </c>
      <c r="C614" s="2" t="s">
        <v>1260</v>
      </c>
      <c r="D614" s="2" t="s">
        <v>67</v>
      </c>
      <c r="E614" s="2" t="str">
        <f>_xlfn.XLOOKUP(F614,Terrain!D:D,Terrain!A:A,"")</f>
        <v>Lower</v>
      </c>
      <c r="F614" s="2" t="s">
        <v>1274</v>
      </c>
      <c r="G614" s="2" t="s">
        <v>1059</v>
      </c>
      <c r="H614" s="2">
        <f t="shared" si="28"/>
        <v>2563</v>
      </c>
      <c r="I614" s="2">
        <v>2985</v>
      </c>
      <c r="J614" s="2">
        <v>59.7</v>
      </c>
      <c r="K614" s="2">
        <v>60</v>
      </c>
      <c r="L614" s="2">
        <f t="shared" si="29"/>
        <v>1250</v>
      </c>
      <c r="M614" s="2" t="s">
        <v>1060</v>
      </c>
      <c r="N614" s="40" t="str">
        <f>_xlfn.XLOOKUP(F614,Terrain!D:D,Terrain!H:H,"")</f>
        <v>2563 - 2565</v>
      </c>
      <c r="O614" t="str">
        <f t="shared" si="27"/>
        <v>63-A07 | 2388 | 294|1</v>
      </c>
    </row>
    <row r="615" spans="1:15" x14ac:dyDescent="0.3">
      <c r="A615" s="43">
        <v>46266</v>
      </c>
      <c r="B615" s="2" t="s">
        <v>12</v>
      </c>
      <c r="C615" s="2" t="s">
        <v>1260</v>
      </c>
      <c r="D615" s="2" t="s">
        <v>75</v>
      </c>
      <c r="E615" s="2" t="str">
        <f>_xlfn.XLOOKUP(F615,Terrain!D:D,Terrain!A:A,"")</f>
        <v>Lower</v>
      </c>
      <c r="F615" s="2" t="s">
        <v>1285</v>
      </c>
      <c r="G615" s="2" t="s">
        <v>860</v>
      </c>
      <c r="H615" s="2">
        <f t="shared" si="28"/>
        <v>2563</v>
      </c>
      <c r="I615" s="2">
        <v>386.25</v>
      </c>
      <c r="J615" s="2">
        <v>7.7249999999999996</v>
      </c>
      <c r="K615" s="2">
        <v>8</v>
      </c>
      <c r="L615" s="2">
        <f t="shared" si="29"/>
        <v>1250</v>
      </c>
      <c r="M615" s="2" t="s">
        <v>1049</v>
      </c>
      <c r="N615" s="40" t="str">
        <f>_xlfn.XLOOKUP(F615,Terrain!D:D,Terrain!H:H,"")</f>
        <v>2563 - 2565</v>
      </c>
      <c r="O615" t="str">
        <f t="shared" si="27"/>
        <v>63-A07-R | 309 | 289|1</v>
      </c>
    </row>
    <row r="616" spans="1:15" x14ac:dyDescent="0.3">
      <c r="A616" s="43">
        <v>46266</v>
      </c>
      <c r="B616" s="2" t="s">
        <v>12</v>
      </c>
      <c r="C616" s="2" t="s">
        <v>1260</v>
      </c>
      <c r="D616" s="2" t="s">
        <v>83</v>
      </c>
      <c r="E616" s="2" t="str">
        <f>_xlfn.XLOOKUP(F616,Terrain!D:D,Terrain!A:A,"")</f>
        <v>Lower</v>
      </c>
      <c r="F616" s="2" t="s">
        <v>1286</v>
      </c>
      <c r="G616" s="2" t="s">
        <v>861</v>
      </c>
      <c r="H616" s="2">
        <f t="shared" si="28"/>
        <v>2557</v>
      </c>
      <c r="I616" s="2">
        <v>5385</v>
      </c>
      <c r="J616" s="2">
        <v>107.7</v>
      </c>
      <c r="K616" s="2">
        <v>108</v>
      </c>
      <c r="L616" s="2">
        <f t="shared" si="29"/>
        <v>1250</v>
      </c>
      <c r="M616" s="2" t="s">
        <v>1052</v>
      </c>
      <c r="N616" s="40" t="str">
        <f>_xlfn.XLOOKUP(F616,Terrain!D:D,Terrain!H:H,"")</f>
        <v>2555 - 2558</v>
      </c>
      <c r="O616" t="str">
        <f t="shared" si="27"/>
        <v>57-A08-R | 4308 | 211|1</v>
      </c>
    </row>
    <row r="617" spans="1:15" x14ac:dyDescent="0.3">
      <c r="A617" s="43">
        <v>46266</v>
      </c>
      <c r="B617" s="2" t="s">
        <v>12</v>
      </c>
      <c r="C617" s="2" t="s">
        <v>1260</v>
      </c>
      <c r="D617" s="2" t="s">
        <v>91</v>
      </c>
      <c r="E617" s="2" t="str">
        <f>_xlfn.XLOOKUP(F617,Terrain!D:D,Terrain!A:A,"")</f>
        <v>Lower</v>
      </c>
      <c r="F617" s="2" t="s">
        <v>1287</v>
      </c>
      <c r="G617" s="2" t="s">
        <v>862</v>
      </c>
      <c r="H617" s="2">
        <f t="shared" si="28"/>
        <v>2557</v>
      </c>
      <c r="I617" s="2">
        <v>4826.25</v>
      </c>
      <c r="J617" s="2">
        <v>96.525000000000006</v>
      </c>
      <c r="K617" s="2">
        <v>97</v>
      </c>
      <c r="L617" s="2">
        <f t="shared" si="29"/>
        <v>1250</v>
      </c>
      <c r="M617" s="2" t="s">
        <v>1052</v>
      </c>
      <c r="N617" s="40" t="str">
        <f>_xlfn.XLOOKUP(F617,Terrain!D:D,Terrain!H:H,"")</f>
        <v>2555 - 2558</v>
      </c>
      <c r="O617" t="str">
        <f t="shared" si="27"/>
        <v>57-A09-R | 3861 | 223|1</v>
      </c>
    </row>
    <row r="618" spans="1:15" x14ac:dyDescent="0.3">
      <c r="A618" s="43">
        <v>46266</v>
      </c>
      <c r="B618" s="2" t="s">
        <v>12</v>
      </c>
      <c r="C618" s="2" t="s">
        <v>1260</v>
      </c>
      <c r="D618" s="2" t="s">
        <v>99</v>
      </c>
      <c r="E618" s="2" t="str">
        <f>_xlfn.XLOOKUP(F618,Terrain!D:D,Terrain!A:A,"")</f>
        <v>Lower</v>
      </c>
      <c r="F618" s="2" t="s">
        <v>1288</v>
      </c>
      <c r="G618" s="2" t="s">
        <v>1061</v>
      </c>
      <c r="H618" s="2">
        <f t="shared" si="28"/>
        <v>2549</v>
      </c>
      <c r="I618" s="2">
        <v>2785</v>
      </c>
      <c r="J618" s="2">
        <v>55.7</v>
      </c>
      <c r="K618" s="2">
        <v>56</v>
      </c>
      <c r="L618" s="2">
        <f t="shared" si="29"/>
        <v>1000</v>
      </c>
      <c r="M618" s="2" t="s">
        <v>1062</v>
      </c>
      <c r="N618" s="40" t="str">
        <f>_xlfn.XLOOKUP(F618,Terrain!D:D,Terrain!H:H,"")</f>
        <v>2549 - 2552</v>
      </c>
      <c r="O618" t="str">
        <f t="shared" si="27"/>
        <v>49-A10-R | 2785 | 149|1</v>
      </c>
    </row>
    <row r="619" spans="1:15" x14ac:dyDescent="0.3">
      <c r="A619" s="43">
        <v>46266</v>
      </c>
      <c r="B619" s="2" t="s">
        <v>12</v>
      </c>
      <c r="C619" s="2" t="s">
        <v>1260</v>
      </c>
      <c r="D619" s="2" t="s">
        <v>107</v>
      </c>
      <c r="E619" s="2" t="str">
        <f>_xlfn.XLOOKUP(F619,Terrain!D:D,Terrain!A:A,"")</f>
        <v>Lower</v>
      </c>
      <c r="F619" s="2" t="s">
        <v>1289</v>
      </c>
      <c r="G619" s="2" t="s">
        <v>1063</v>
      </c>
      <c r="H619" s="2">
        <f t="shared" si="28"/>
        <v>2549</v>
      </c>
      <c r="I619" s="2">
        <v>2421</v>
      </c>
      <c r="J619" s="2">
        <v>48.42</v>
      </c>
      <c r="K619" s="2">
        <v>48</v>
      </c>
      <c r="L619" s="2">
        <f t="shared" si="29"/>
        <v>1000</v>
      </c>
      <c r="M619" s="2" t="s">
        <v>1062</v>
      </c>
      <c r="N619" s="40" t="str">
        <f>_xlfn.XLOOKUP(F619,Terrain!D:D,Terrain!H:H,"")</f>
        <v>2549 - 2552</v>
      </c>
      <c r="O619" t="str">
        <f t="shared" si="27"/>
        <v>49-A11-R | 2421 | 146|1</v>
      </c>
    </row>
    <row r="620" spans="1:15" x14ac:dyDescent="0.3">
      <c r="A620" s="43">
        <v>46266</v>
      </c>
      <c r="B620" s="2" t="s">
        <v>12</v>
      </c>
      <c r="C620" s="2" t="s">
        <v>1260</v>
      </c>
      <c r="D620" s="2" t="s">
        <v>115</v>
      </c>
      <c r="E620" s="2" t="str">
        <f>_xlfn.XLOOKUP(F620,Terrain!D:D,Terrain!A:A,"")</f>
        <v>Lower</v>
      </c>
      <c r="F620" s="2" t="s">
        <v>1290</v>
      </c>
      <c r="G620" s="2" t="s">
        <v>1064</v>
      </c>
      <c r="H620" s="2">
        <f t="shared" si="28"/>
        <v>2549</v>
      </c>
      <c r="I620" s="2">
        <v>3764</v>
      </c>
      <c r="J620" s="2">
        <v>75.28</v>
      </c>
      <c r="K620" s="2">
        <v>75</v>
      </c>
      <c r="L620" s="2">
        <f t="shared" si="29"/>
        <v>1000</v>
      </c>
      <c r="M620" s="2" t="s">
        <v>1062</v>
      </c>
      <c r="N620" s="40" t="str">
        <f>_xlfn.XLOOKUP(F620,Terrain!D:D,Terrain!H:H,"")</f>
        <v>2549 - 2552</v>
      </c>
      <c r="O620" t="str">
        <f t="shared" si="27"/>
        <v>49-A12-R | 3764 | 151|1</v>
      </c>
    </row>
    <row r="621" spans="1:15" x14ac:dyDescent="0.3">
      <c r="A621" s="43">
        <v>46266</v>
      </c>
      <c r="B621" s="2" t="s">
        <v>12</v>
      </c>
      <c r="C621" s="2" t="s">
        <v>1260</v>
      </c>
      <c r="D621" s="2" t="s">
        <v>123</v>
      </c>
      <c r="E621" s="2" t="str">
        <f>_xlfn.XLOOKUP(F621,Terrain!D:D,Terrain!A:A,"")</f>
        <v>Lower</v>
      </c>
      <c r="F621" s="2" t="s">
        <v>1291</v>
      </c>
      <c r="G621" s="2" t="s">
        <v>1065</v>
      </c>
      <c r="H621" s="2">
        <f t="shared" si="28"/>
        <v>2549</v>
      </c>
      <c r="I621" s="2">
        <v>2893</v>
      </c>
      <c r="J621" s="2">
        <v>57.86</v>
      </c>
      <c r="K621" s="2">
        <v>58</v>
      </c>
      <c r="L621" s="2">
        <f t="shared" si="29"/>
        <v>1000</v>
      </c>
      <c r="M621" s="2" t="s">
        <v>1062</v>
      </c>
      <c r="N621" s="40" t="str">
        <f>_xlfn.XLOOKUP(F621,Terrain!D:D,Terrain!H:H,"")</f>
        <v>2549 - 2552</v>
      </c>
      <c r="O621" t="str">
        <f t="shared" si="27"/>
        <v>49-A13-R | 2893 | 152|1</v>
      </c>
    </row>
    <row r="622" spans="1:15" x14ac:dyDescent="0.3">
      <c r="A622" s="43">
        <v>46266</v>
      </c>
      <c r="B622" s="2" t="s">
        <v>12</v>
      </c>
      <c r="C622" s="2" t="s">
        <v>1260</v>
      </c>
      <c r="D622" s="2" t="s">
        <v>131</v>
      </c>
      <c r="E622" s="2" t="str">
        <f>_xlfn.XLOOKUP(F622,Terrain!D:D,Terrain!A:A,"")</f>
        <v>Upper</v>
      </c>
      <c r="F622" s="2" t="s">
        <v>1275</v>
      </c>
      <c r="G622" s="2" t="s">
        <v>891</v>
      </c>
      <c r="H622" s="2">
        <f t="shared" si="28"/>
        <v>2565</v>
      </c>
      <c r="I622" s="2">
        <v>3585</v>
      </c>
      <c r="J622" s="2">
        <v>71.7</v>
      </c>
      <c r="K622" s="2">
        <v>72</v>
      </c>
      <c r="L622" s="2">
        <f t="shared" si="29"/>
        <v>1250</v>
      </c>
      <c r="M622" s="2" t="s">
        <v>1066</v>
      </c>
      <c r="N622" s="40" t="str">
        <f>_xlfn.XLOOKUP(F622,Terrain!D:D,Terrain!H:H,"")</f>
        <v>2563 - 2565</v>
      </c>
      <c r="O622" t="str">
        <f t="shared" si="27"/>
        <v>65-B01 | 2868 | 573|1</v>
      </c>
    </row>
    <row r="623" spans="1:15" x14ac:dyDescent="0.3">
      <c r="A623" s="43">
        <v>46266</v>
      </c>
      <c r="B623" s="2" t="s">
        <v>12</v>
      </c>
      <c r="C623" s="2" t="s">
        <v>1260</v>
      </c>
      <c r="D623" s="2" t="s">
        <v>139</v>
      </c>
      <c r="E623" s="2" t="str">
        <f>_xlfn.XLOOKUP(F623,Terrain!D:D,Terrain!A:A,"")</f>
        <v>Upper</v>
      </c>
      <c r="F623" s="2" t="s">
        <v>1276</v>
      </c>
      <c r="G623" s="2" t="s">
        <v>892</v>
      </c>
      <c r="H623" s="2">
        <f t="shared" si="28"/>
        <v>2564</v>
      </c>
      <c r="I623" s="2">
        <v>4350</v>
      </c>
      <c r="J623" s="2">
        <v>87</v>
      </c>
      <c r="K623" s="2">
        <v>87</v>
      </c>
      <c r="L623" s="2">
        <f t="shared" si="29"/>
        <v>1250</v>
      </c>
      <c r="M623" s="2" t="s">
        <v>1066</v>
      </c>
      <c r="N623" s="40" t="str">
        <f>_xlfn.XLOOKUP(F623,Terrain!D:D,Terrain!H:H,"")</f>
        <v>2563 - 2564</v>
      </c>
      <c r="O623" t="str">
        <f t="shared" si="27"/>
        <v>64-B02 | 3480 | 578|1</v>
      </c>
    </row>
    <row r="624" spans="1:15" x14ac:dyDescent="0.3">
      <c r="A624" s="43">
        <v>46266</v>
      </c>
      <c r="B624" s="2" t="s">
        <v>12</v>
      </c>
      <c r="C624" s="2" t="s">
        <v>1260</v>
      </c>
      <c r="D624" s="2" t="s">
        <v>147</v>
      </c>
      <c r="E624" s="2" t="str">
        <f>_xlfn.XLOOKUP(F624,Terrain!D:D,Terrain!A:A,"")</f>
        <v>Upper</v>
      </c>
      <c r="F624" s="2" t="s">
        <v>1277</v>
      </c>
      <c r="G624" s="2" t="s">
        <v>893</v>
      </c>
      <c r="H624" s="2">
        <f t="shared" si="28"/>
        <v>2557</v>
      </c>
      <c r="I624" s="2">
        <v>5288.75</v>
      </c>
      <c r="J624" s="2">
        <v>105.77500000000001</v>
      </c>
      <c r="K624" s="2">
        <v>106</v>
      </c>
      <c r="L624" s="2">
        <f t="shared" si="29"/>
        <v>1250</v>
      </c>
      <c r="M624" s="2" t="s">
        <v>1067</v>
      </c>
      <c r="N624" s="40" t="str">
        <f>_xlfn.XLOOKUP(F624,Terrain!D:D,Terrain!H:H,"")</f>
        <v>2555 - 2558</v>
      </c>
      <c r="O624" t="str">
        <f t="shared" si="27"/>
        <v>57-B03 | 4231 | 524|1</v>
      </c>
    </row>
    <row r="625" spans="1:15" x14ac:dyDescent="0.3">
      <c r="A625" s="43">
        <v>46266</v>
      </c>
      <c r="B625" s="2" t="s">
        <v>12</v>
      </c>
      <c r="C625" s="2" t="s">
        <v>1260</v>
      </c>
      <c r="D625" s="2" t="s">
        <v>155</v>
      </c>
      <c r="E625" s="2" t="str">
        <f>_xlfn.XLOOKUP(F625,Terrain!D:D,Terrain!A:A,"")</f>
        <v>Upper</v>
      </c>
      <c r="F625" s="2" t="s">
        <v>1278</v>
      </c>
      <c r="G625" s="2" t="s">
        <v>894</v>
      </c>
      <c r="H625" s="2">
        <f t="shared" si="28"/>
        <v>2560</v>
      </c>
      <c r="I625" s="2">
        <v>4813.75</v>
      </c>
      <c r="J625" s="2">
        <v>96.275000000000006</v>
      </c>
      <c r="K625" s="2">
        <v>96</v>
      </c>
      <c r="L625" s="2">
        <f t="shared" si="29"/>
        <v>1250</v>
      </c>
      <c r="M625" s="2" t="s">
        <v>1068</v>
      </c>
      <c r="N625" s="40" t="str">
        <f>_xlfn.XLOOKUP(F625,Terrain!D:D,Terrain!H:H,"")</f>
        <v>2559 - 2560</v>
      </c>
      <c r="O625" t="str">
        <f t="shared" si="27"/>
        <v>60-B04 | 3851 | 531|1</v>
      </c>
    </row>
    <row r="626" spans="1:15" x14ac:dyDescent="0.3">
      <c r="A626" s="43">
        <v>46266</v>
      </c>
      <c r="B626" s="2" t="s">
        <v>12</v>
      </c>
      <c r="C626" s="2" t="s">
        <v>1260</v>
      </c>
      <c r="D626" s="2" t="s">
        <v>163</v>
      </c>
      <c r="E626" s="2" t="str">
        <f>_xlfn.XLOOKUP(F626,Terrain!D:D,Terrain!A:A,"")</f>
        <v>Upper</v>
      </c>
      <c r="F626" s="2" t="s">
        <v>1279</v>
      </c>
      <c r="G626" s="2" t="s">
        <v>895</v>
      </c>
      <c r="H626" s="2">
        <f t="shared" si="28"/>
        <v>2564</v>
      </c>
      <c r="I626" s="2">
        <v>3925</v>
      </c>
      <c r="J626" s="2">
        <v>78.5</v>
      </c>
      <c r="K626" s="2">
        <v>79</v>
      </c>
      <c r="L626" s="2">
        <f t="shared" si="29"/>
        <v>1250</v>
      </c>
      <c r="M626" s="2" t="s">
        <v>1066</v>
      </c>
      <c r="N626" s="40" t="str">
        <f>_xlfn.XLOOKUP(F626,Terrain!D:D,Terrain!H:H,"")</f>
        <v>2563 - 2564</v>
      </c>
      <c r="O626" t="str">
        <f t="shared" si="27"/>
        <v>64-B05 | 3140 | 574|1</v>
      </c>
    </row>
    <row r="627" spans="1:15" x14ac:dyDescent="0.3">
      <c r="A627" s="43">
        <v>46266</v>
      </c>
      <c r="B627" s="2" t="s">
        <v>12</v>
      </c>
      <c r="C627" s="2" t="s">
        <v>1260</v>
      </c>
      <c r="D627" s="2" t="s">
        <v>171</v>
      </c>
      <c r="E627" s="2" t="str">
        <f>_xlfn.XLOOKUP(F627,Terrain!D:D,Terrain!A:A,"")</f>
        <v>Upper</v>
      </c>
      <c r="F627" s="2" t="s">
        <v>1280</v>
      </c>
      <c r="G627" s="2" t="s">
        <v>896</v>
      </c>
      <c r="H627" s="2">
        <f t="shared" si="28"/>
        <v>2564</v>
      </c>
      <c r="I627" s="2">
        <v>4588.75</v>
      </c>
      <c r="J627" s="2">
        <v>91.775000000000006</v>
      </c>
      <c r="K627" s="2">
        <v>92</v>
      </c>
      <c r="L627" s="2">
        <f t="shared" si="29"/>
        <v>1250</v>
      </c>
      <c r="M627" s="2" t="s">
        <v>1066</v>
      </c>
      <c r="N627" s="40" t="str">
        <f>_xlfn.XLOOKUP(F627,Terrain!D:D,Terrain!H:H,"")</f>
        <v>2563 - 2564</v>
      </c>
      <c r="O627" t="str">
        <f t="shared" si="27"/>
        <v>64-B06 | 3671 | 577|1</v>
      </c>
    </row>
    <row r="628" spans="1:15" x14ac:dyDescent="0.3">
      <c r="A628" s="43">
        <v>46266</v>
      </c>
      <c r="B628" s="2" t="s">
        <v>12</v>
      </c>
      <c r="C628" s="2" t="s">
        <v>1260</v>
      </c>
      <c r="D628" s="2" t="s">
        <v>179</v>
      </c>
      <c r="E628" s="2" t="str">
        <f>_xlfn.XLOOKUP(F628,Terrain!D:D,Terrain!A:A,"")</f>
        <v>Upper</v>
      </c>
      <c r="F628" s="2" t="s">
        <v>1281</v>
      </c>
      <c r="G628" s="2" t="s">
        <v>897</v>
      </c>
      <c r="H628" s="2">
        <f t="shared" si="28"/>
        <v>2550</v>
      </c>
      <c r="I628" s="2">
        <v>4022</v>
      </c>
      <c r="J628" s="2">
        <v>80.44</v>
      </c>
      <c r="K628" s="2">
        <v>80</v>
      </c>
      <c r="L628" s="2">
        <f t="shared" si="29"/>
        <v>1000</v>
      </c>
      <c r="M628" s="2" t="s">
        <v>1069</v>
      </c>
      <c r="N628" s="40" t="str">
        <f>_xlfn.XLOOKUP(F628,Terrain!D:D,Terrain!H:H,"")</f>
        <v>2549 - 2552</v>
      </c>
      <c r="O628" t="str">
        <f t="shared" si="27"/>
        <v>50-B07 | 4022 | 456|1</v>
      </c>
    </row>
    <row r="629" spans="1:15" x14ac:dyDescent="0.3">
      <c r="A629" s="43">
        <v>46266</v>
      </c>
      <c r="B629" s="2" t="s">
        <v>12</v>
      </c>
      <c r="C629" s="2" t="s">
        <v>1260</v>
      </c>
      <c r="D629" s="2" t="s">
        <v>187</v>
      </c>
      <c r="E629" s="2" t="str">
        <f>_xlfn.XLOOKUP(F629,Terrain!D:D,Terrain!A:A,"")</f>
        <v>Upper</v>
      </c>
      <c r="F629" s="2" t="s">
        <v>1292</v>
      </c>
      <c r="G629" s="2" t="s">
        <v>898</v>
      </c>
      <c r="H629" s="2">
        <f t="shared" si="28"/>
        <v>2560</v>
      </c>
      <c r="I629" s="2">
        <v>4345</v>
      </c>
      <c r="J629" s="2">
        <v>86.9</v>
      </c>
      <c r="K629" s="2">
        <v>87</v>
      </c>
      <c r="L629" s="2">
        <f t="shared" si="29"/>
        <v>1250</v>
      </c>
      <c r="M629" s="2" t="s">
        <v>1068</v>
      </c>
      <c r="N629" s="40" t="str">
        <f>_xlfn.XLOOKUP(F629,Terrain!D:D,Terrain!H:H,"")</f>
        <v>2559 - 2560</v>
      </c>
      <c r="O629" t="str">
        <f t="shared" si="27"/>
        <v>60-B08 | 3476 | 528|1</v>
      </c>
    </row>
    <row r="630" spans="1:15" x14ac:dyDescent="0.3">
      <c r="A630" s="43">
        <v>46266</v>
      </c>
      <c r="B630" s="2" t="s">
        <v>12</v>
      </c>
      <c r="C630" s="2" t="s">
        <v>1260</v>
      </c>
      <c r="D630" s="2" t="s">
        <v>195</v>
      </c>
      <c r="E630" s="2" t="str">
        <f>_xlfn.XLOOKUP(F630,Terrain!D:D,Terrain!A:A,"")</f>
        <v>Upper</v>
      </c>
      <c r="F630" s="2" t="s">
        <v>1293</v>
      </c>
      <c r="G630" s="2" t="s">
        <v>899</v>
      </c>
      <c r="H630" s="2">
        <f t="shared" si="28"/>
        <v>2560</v>
      </c>
      <c r="I630" s="2">
        <v>5158.75</v>
      </c>
      <c r="J630" s="2">
        <v>103.175</v>
      </c>
      <c r="K630" s="2">
        <v>103</v>
      </c>
      <c r="L630" s="2">
        <f t="shared" si="29"/>
        <v>1250</v>
      </c>
      <c r="M630" s="2" t="s">
        <v>1068</v>
      </c>
      <c r="N630" s="40" t="str">
        <f>_xlfn.XLOOKUP(F630,Terrain!D:D,Terrain!H:H,"")</f>
        <v>2559 - 2560</v>
      </c>
      <c r="O630" t="str">
        <f t="shared" si="27"/>
        <v>60-B09 | 4127 | 517|1</v>
      </c>
    </row>
    <row r="631" spans="1:15" x14ac:dyDescent="0.3">
      <c r="A631" s="43">
        <v>46266</v>
      </c>
      <c r="B631" s="2" t="s">
        <v>12</v>
      </c>
      <c r="C631" s="2" t="s">
        <v>1260</v>
      </c>
      <c r="D631" s="2" t="s">
        <v>203</v>
      </c>
      <c r="E631" s="2" t="str">
        <f>_xlfn.XLOOKUP(F631,Terrain!D:D,Terrain!A:A,"")</f>
        <v>Upper</v>
      </c>
      <c r="F631" s="2" t="s">
        <v>1135</v>
      </c>
      <c r="G631" s="2" t="s">
        <v>900</v>
      </c>
      <c r="H631" s="2">
        <f t="shared" si="28"/>
        <v>2550</v>
      </c>
      <c r="I631" s="2">
        <v>4245</v>
      </c>
      <c r="J631" s="2">
        <v>84.9</v>
      </c>
      <c r="K631" s="2">
        <v>85</v>
      </c>
      <c r="L631" s="2">
        <f t="shared" si="29"/>
        <v>1000</v>
      </c>
      <c r="M631" s="2" t="s">
        <v>1069</v>
      </c>
      <c r="N631" s="40" t="str">
        <f>_xlfn.XLOOKUP(F631,Terrain!D:D,Terrain!H:H,"")</f>
        <v>2549 - 2552</v>
      </c>
      <c r="O631" t="str">
        <f t="shared" si="27"/>
        <v>50-B10 | 4245 | 453|1</v>
      </c>
    </row>
    <row r="632" spans="1:15" x14ac:dyDescent="0.3">
      <c r="A632" s="43">
        <v>46266</v>
      </c>
      <c r="B632" s="2" t="s">
        <v>12</v>
      </c>
      <c r="C632" s="2" t="s">
        <v>1260</v>
      </c>
      <c r="D632" s="2" t="s">
        <v>211</v>
      </c>
      <c r="E632" s="2" t="str">
        <f>_xlfn.XLOOKUP(F632,Terrain!D:D,Terrain!A:A,"")</f>
        <v>Upper</v>
      </c>
      <c r="F632" s="2" t="s">
        <v>1149</v>
      </c>
      <c r="G632" s="2" t="s">
        <v>901</v>
      </c>
      <c r="H632" s="2">
        <f t="shared" si="28"/>
        <v>2565</v>
      </c>
      <c r="I632" s="2">
        <v>3991.25</v>
      </c>
      <c r="J632" s="2">
        <v>79.825000000000003</v>
      </c>
      <c r="K632" s="2">
        <v>80</v>
      </c>
      <c r="L632" s="2">
        <f t="shared" si="29"/>
        <v>1250</v>
      </c>
      <c r="M632" s="2" t="s">
        <v>1066</v>
      </c>
      <c r="N632" s="40" t="str">
        <f>_xlfn.XLOOKUP(F632,Terrain!D:D,Terrain!H:H,"")</f>
        <v>2563 - 2565</v>
      </c>
      <c r="O632" t="str">
        <f t="shared" si="27"/>
        <v>65-B11 | 3193 | 579|1</v>
      </c>
    </row>
    <row r="633" spans="1:15" x14ac:dyDescent="0.3">
      <c r="A633" s="43">
        <v>46266</v>
      </c>
      <c r="B633" s="2" t="s">
        <v>12</v>
      </c>
      <c r="C633" s="2" t="s">
        <v>1260</v>
      </c>
      <c r="D633" s="2" t="s">
        <v>219</v>
      </c>
      <c r="E633" s="2" t="str">
        <f>_xlfn.XLOOKUP(F633,Terrain!D:D,Terrain!A:A,"")</f>
        <v>Upper</v>
      </c>
      <c r="F633" s="2" t="s">
        <v>1137</v>
      </c>
      <c r="G633" s="2" t="s">
        <v>902</v>
      </c>
      <c r="H633" s="2">
        <f t="shared" si="28"/>
        <v>2557</v>
      </c>
      <c r="I633" s="2">
        <v>5331.25</v>
      </c>
      <c r="J633" s="2">
        <v>106.625</v>
      </c>
      <c r="K633" s="2">
        <v>107</v>
      </c>
      <c r="L633" s="2">
        <f t="shared" si="29"/>
        <v>1250</v>
      </c>
      <c r="M633" s="2" t="s">
        <v>1067</v>
      </c>
      <c r="N633" s="40" t="str">
        <f>_xlfn.XLOOKUP(F633,Terrain!D:D,Terrain!H:H,"")</f>
        <v>2555 - 2558</v>
      </c>
      <c r="O633" t="str">
        <f t="shared" si="27"/>
        <v>57-B12 | 4265 | 525|1</v>
      </c>
    </row>
    <row r="634" spans="1:15" x14ac:dyDescent="0.3">
      <c r="A634" s="43">
        <v>46266</v>
      </c>
      <c r="B634" s="2" t="s">
        <v>12</v>
      </c>
      <c r="C634" s="2" t="s">
        <v>1260</v>
      </c>
      <c r="D634" s="2" t="s">
        <v>227</v>
      </c>
      <c r="E634" s="2" t="str">
        <f>_xlfn.XLOOKUP(F634,Terrain!D:D,Terrain!A:A,"")</f>
        <v>Upper</v>
      </c>
      <c r="F634" s="2" t="s">
        <v>1131</v>
      </c>
      <c r="G634" s="2" t="s">
        <v>903</v>
      </c>
      <c r="H634" s="2">
        <f t="shared" si="28"/>
        <v>2549</v>
      </c>
      <c r="I634" s="2">
        <v>4192</v>
      </c>
      <c r="J634" s="2">
        <v>83.84</v>
      </c>
      <c r="K634" s="2">
        <v>84</v>
      </c>
      <c r="L634" s="2">
        <f t="shared" si="29"/>
        <v>1000</v>
      </c>
      <c r="M634" s="2" t="s">
        <v>1069</v>
      </c>
      <c r="N634" s="40" t="str">
        <f>_xlfn.XLOOKUP(F634,Terrain!D:D,Terrain!H:H,"")</f>
        <v>ปาล์มใหญ่</v>
      </c>
      <c r="O634" t="str">
        <f t="shared" si="27"/>
        <v>49-B13 | 4192 | 452|1</v>
      </c>
    </row>
    <row r="635" spans="1:15" x14ac:dyDescent="0.3">
      <c r="A635" s="43">
        <v>46266</v>
      </c>
      <c r="B635" s="2" t="s">
        <v>12</v>
      </c>
      <c r="C635" s="2" t="s">
        <v>1260</v>
      </c>
      <c r="D635" s="2" t="s">
        <v>235</v>
      </c>
      <c r="E635" s="2" t="str">
        <f>_xlfn.XLOOKUP(F635,Terrain!D:D,Terrain!A:A,"")</f>
        <v>Upper</v>
      </c>
      <c r="F635" s="2" t="s">
        <v>1130</v>
      </c>
      <c r="G635" s="2" t="s">
        <v>904</v>
      </c>
      <c r="H635" s="2">
        <f t="shared" si="28"/>
        <v>2530</v>
      </c>
      <c r="I635" s="2">
        <v>126</v>
      </c>
      <c r="J635" s="2">
        <v>2.52</v>
      </c>
      <c r="K635" s="2">
        <v>3</v>
      </c>
      <c r="L635" s="2">
        <f t="shared" si="29"/>
        <v>1000</v>
      </c>
      <c r="M635" s="2" t="s">
        <v>1070</v>
      </c>
      <c r="N635" s="40" t="str">
        <f>_xlfn.XLOOKUP(F635,Terrain!D:D,Terrain!H:H,"")</f>
        <v>ปาล์มใหญ่</v>
      </c>
      <c r="O635" t="str">
        <f t="shared" si="27"/>
        <v>30-B14 | 126 | 457|1</v>
      </c>
    </row>
    <row r="636" spans="1:15" x14ac:dyDescent="0.3">
      <c r="A636" s="43">
        <v>46266</v>
      </c>
      <c r="B636" s="2" t="s">
        <v>12</v>
      </c>
      <c r="C636" s="2" t="s">
        <v>1260</v>
      </c>
      <c r="D636" s="2" t="s">
        <v>243</v>
      </c>
      <c r="E636" s="2" t="str">
        <f>_xlfn.XLOOKUP(F636,Terrain!D:D,Terrain!A:A,"")</f>
        <v>Upper</v>
      </c>
      <c r="F636" s="2" t="s">
        <v>1139</v>
      </c>
      <c r="G636" s="2" t="s">
        <v>905</v>
      </c>
      <c r="H636" s="2">
        <f t="shared" si="28"/>
        <v>2557</v>
      </c>
      <c r="I636" s="2">
        <v>2078.75</v>
      </c>
      <c r="J636" s="2">
        <v>41.575000000000003</v>
      </c>
      <c r="K636" s="2">
        <v>42</v>
      </c>
      <c r="L636" s="2">
        <f t="shared" si="29"/>
        <v>1250</v>
      </c>
      <c r="M636" s="2" t="s">
        <v>1067</v>
      </c>
      <c r="N636" s="40" t="str">
        <f>_xlfn.XLOOKUP(F636,Terrain!D:D,Terrain!H:H,"")</f>
        <v>2555 - 2558</v>
      </c>
      <c r="O636" t="str">
        <f t="shared" si="27"/>
        <v>57-B14 | 1663 | 519|1</v>
      </c>
    </row>
    <row r="637" spans="1:15" x14ac:dyDescent="0.3">
      <c r="A637" s="43">
        <v>46266</v>
      </c>
      <c r="B637" s="2" t="s">
        <v>12</v>
      </c>
      <c r="C637" s="2" t="s">
        <v>1260</v>
      </c>
      <c r="D637" s="2" t="s">
        <v>251</v>
      </c>
      <c r="E637" s="2" t="str">
        <f>_xlfn.XLOOKUP(F637,Terrain!D:D,Terrain!A:A,"")</f>
        <v>Lower</v>
      </c>
      <c r="F637" s="2" t="s">
        <v>1294</v>
      </c>
      <c r="G637" s="2" t="s">
        <v>1071</v>
      </c>
      <c r="H637" s="2">
        <f t="shared" si="28"/>
        <v>2560</v>
      </c>
      <c r="I637" s="2">
        <v>3383.75</v>
      </c>
      <c r="J637" s="2">
        <v>67.674999999999997</v>
      </c>
      <c r="K637" s="2">
        <v>68</v>
      </c>
      <c r="L637" s="2">
        <f t="shared" si="29"/>
        <v>1250</v>
      </c>
      <c r="M637" s="2" t="s">
        <v>1072</v>
      </c>
      <c r="N637" s="40" t="str">
        <f>_xlfn.XLOOKUP(F637,Terrain!D:D,Terrain!H:H,"")</f>
        <v>2559 - 2560</v>
      </c>
      <c r="O637" t="str">
        <f t="shared" si="27"/>
        <v>60-C01-R | 2707 | 225|1</v>
      </c>
    </row>
    <row r="638" spans="1:15" x14ac:dyDescent="0.3">
      <c r="A638" s="43">
        <v>46266</v>
      </c>
      <c r="B638" s="2" t="s">
        <v>12</v>
      </c>
      <c r="C638" s="2" t="s">
        <v>1260</v>
      </c>
      <c r="D638" s="2" t="s">
        <v>259</v>
      </c>
      <c r="E638" s="2" t="str">
        <f>_xlfn.XLOOKUP(F638,Terrain!D:D,Terrain!A:A,"")</f>
        <v>Lower</v>
      </c>
      <c r="F638" s="2" t="s">
        <v>1295</v>
      </c>
      <c r="G638" s="2" t="s">
        <v>1073</v>
      </c>
      <c r="H638" s="2">
        <f t="shared" si="28"/>
        <v>2560</v>
      </c>
      <c r="I638" s="2">
        <v>2665</v>
      </c>
      <c r="J638" s="2">
        <v>53.3</v>
      </c>
      <c r="K638" s="2">
        <v>53</v>
      </c>
      <c r="L638" s="2">
        <f t="shared" si="29"/>
        <v>1250</v>
      </c>
      <c r="M638" s="2" t="s">
        <v>1072</v>
      </c>
      <c r="N638" s="40" t="str">
        <f>_xlfn.XLOOKUP(F638,Terrain!D:D,Terrain!H:H,"")</f>
        <v>2559 - 2560</v>
      </c>
      <c r="O638" t="str">
        <f t="shared" si="27"/>
        <v>60-C02-R | 2132 | 222|1</v>
      </c>
    </row>
    <row r="639" spans="1:15" x14ac:dyDescent="0.3">
      <c r="A639" s="43">
        <v>46266</v>
      </c>
      <c r="B639" s="2" t="s">
        <v>12</v>
      </c>
      <c r="C639" s="2" t="s">
        <v>1260</v>
      </c>
      <c r="D639" s="2" t="s">
        <v>267</v>
      </c>
      <c r="E639" s="2" t="str">
        <f>_xlfn.XLOOKUP(F639,Terrain!D:D,Terrain!A:A,"")</f>
        <v>Lower</v>
      </c>
      <c r="F639" s="2" t="s">
        <v>1296</v>
      </c>
      <c r="G639" s="2" t="s">
        <v>1074</v>
      </c>
      <c r="H639" s="2">
        <f t="shared" si="28"/>
        <v>2559</v>
      </c>
      <c r="I639" s="2">
        <v>4166.25</v>
      </c>
      <c r="J639" s="2">
        <v>83.325000000000003</v>
      </c>
      <c r="K639" s="2">
        <v>83</v>
      </c>
      <c r="L639" s="2">
        <f t="shared" si="29"/>
        <v>1250</v>
      </c>
      <c r="M639" s="2" t="s">
        <v>1072</v>
      </c>
      <c r="N639" s="40" t="str">
        <f>_xlfn.XLOOKUP(F639,Terrain!D:D,Terrain!H:H,"")</f>
        <v>2559 - 2560</v>
      </c>
      <c r="O639" t="str">
        <f t="shared" si="27"/>
        <v>59-C03-R | 3333 | 220|1</v>
      </c>
    </row>
    <row r="640" spans="1:15" x14ac:dyDescent="0.3">
      <c r="A640" s="43">
        <v>46266</v>
      </c>
      <c r="B640" s="2" t="s">
        <v>12</v>
      </c>
      <c r="C640" s="2" t="s">
        <v>1260</v>
      </c>
      <c r="D640" s="2" t="s">
        <v>275</v>
      </c>
      <c r="E640" s="2" t="str">
        <f>_xlfn.XLOOKUP(F640,Terrain!D:D,Terrain!A:A,"")</f>
        <v>Lower</v>
      </c>
      <c r="F640" s="2" t="s">
        <v>1297</v>
      </c>
      <c r="G640" s="2" t="s">
        <v>1075</v>
      </c>
      <c r="H640" s="2">
        <f t="shared" si="28"/>
        <v>2559</v>
      </c>
      <c r="I640" s="2">
        <v>3156.25</v>
      </c>
      <c r="J640" s="2">
        <v>63.125</v>
      </c>
      <c r="K640" s="2">
        <v>63</v>
      </c>
      <c r="L640" s="2">
        <f t="shared" si="29"/>
        <v>1250</v>
      </c>
      <c r="M640" s="2" t="s">
        <v>1072</v>
      </c>
      <c r="N640" s="40" t="str">
        <f>_xlfn.XLOOKUP(F640,Terrain!D:D,Terrain!H:H,"")</f>
        <v>2559 - 2560</v>
      </c>
      <c r="O640" t="str">
        <f t="shared" si="27"/>
        <v>59-C04-R | 2525 | 215|1</v>
      </c>
    </row>
    <row r="641" spans="1:15" x14ac:dyDescent="0.3">
      <c r="A641" s="43">
        <v>46266</v>
      </c>
      <c r="B641" s="2" t="s">
        <v>12</v>
      </c>
      <c r="C641" s="2" t="s">
        <v>1260</v>
      </c>
      <c r="D641" s="2" t="s">
        <v>283</v>
      </c>
      <c r="E641" s="2" t="str">
        <f>_xlfn.XLOOKUP(F641,Terrain!D:D,Terrain!A:A,"")</f>
        <v>Lower</v>
      </c>
      <c r="F641" s="2" t="s">
        <v>1298</v>
      </c>
      <c r="G641" s="2" t="s">
        <v>864</v>
      </c>
      <c r="H641" s="2">
        <f t="shared" si="28"/>
        <v>2522</v>
      </c>
      <c r="I641" s="2">
        <v>184</v>
      </c>
      <c r="J641" s="2">
        <v>3.68</v>
      </c>
      <c r="K641" s="2">
        <v>4</v>
      </c>
      <c r="L641" s="2">
        <f t="shared" si="29"/>
        <v>1000</v>
      </c>
      <c r="M641" s="2" t="s">
        <v>1076</v>
      </c>
      <c r="N641" s="40" t="str">
        <f>_xlfn.XLOOKUP(F641,Terrain!D:D,Terrain!H:H,"")</f>
        <v>ปาล์มใหญ่</v>
      </c>
      <c r="O641" t="str">
        <f t="shared" ref="O641:O704" si="30">F641 &amp; " | " &amp; G641 &amp; " | " &amp; D641</f>
        <v>22-C05-R | 184 | 154|1</v>
      </c>
    </row>
    <row r="642" spans="1:15" x14ac:dyDescent="0.3">
      <c r="A642" s="43">
        <v>46266</v>
      </c>
      <c r="B642" s="2" t="s">
        <v>12</v>
      </c>
      <c r="C642" s="2" t="s">
        <v>1260</v>
      </c>
      <c r="D642" s="2" t="s">
        <v>291</v>
      </c>
      <c r="E642" s="2" t="str">
        <f>_xlfn.XLOOKUP(F642,Terrain!D:D,Terrain!A:A,"")</f>
        <v>Lower</v>
      </c>
      <c r="F642" s="2" t="s">
        <v>1299</v>
      </c>
      <c r="G642" s="2" t="s">
        <v>865</v>
      </c>
      <c r="H642" s="2">
        <f t="shared" ref="H642:H705" si="31">2500+VALUE(MID(F642,1,2))</f>
        <v>2550</v>
      </c>
      <c r="I642" s="2">
        <v>2792</v>
      </c>
      <c r="J642" s="2">
        <v>55.84</v>
      </c>
      <c r="K642" s="2">
        <v>56</v>
      </c>
      <c r="L642" s="2">
        <f t="shared" ref="L642:L705" si="32">I642*1000/G642</f>
        <v>1000</v>
      </c>
      <c r="M642" s="2" t="s">
        <v>1077</v>
      </c>
      <c r="N642" s="40" t="str">
        <f>_xlfn.XLOOKUP(F642,Terrain!D:D,Terrain!H:H,"")</f>
        <v>2549 - 2552</v>
      </c>
      <c r="O642" t="str">
        <f t="shared" si="30"/>
        <v>50-C05-R | 2792 | 147|1</v>
      </c>
    </row>
    <row r="643" spans="1:15" x14ac:dyDescent="0.3">
      <c r="A643" s="43">
        <v>46266</v>
      </c>
      <c r="B643" s="2" t="s">
        <v>12</v>
      </c>
      <c r="C643" s="2" t="s">
        <v>1260</v>
      </c>
      <c r="D643" s="2" t="s">
        <v>299</v>
      </c>
      <c r="E643" s="2" t="str">
        <f>_xlfn.XLOOKUP(F643,Terrain!D:D,Terrain!A:A,"")</f>
        <v>Lower</v>
      </c>
      <c r="F643" s="2" t="s">
        <v>1300</v>
      </c>
      <c r="G643" s="2" t="s">
        <v>1078</v>
      </c>
      <c r="H643" s="2">
        <f t="shared" si="31"/>
        <v>2560</v>
      </c>
      <c r="I643" s="2">
        <v>900</v>
      </c>
      <c r="J643" s="2">
        <v>18</v>
      </c>
      <c r="K643" s="2">
        <v>18</v>
      </c>
      <c r="L643" s="2">
        <f t="shared" si="32"/>
        <v>1250</v>
      </c>
      <c r="M643" s="2" t="s">
        <v>1072</v>
      </c>
      <c r="N643" s="40" t="str">
        <f>_xlfn.XLOOKUP(F643,Terrain!D:D,Terrain!H:H,"")</f>
        <v>2559 - 2560</v>
      </c>
      <c r="O643" t="str">
        <f t="shared" si="30"/>
        <v>60-C05-R | 720 | 219|1</v>
      </c>
    </row>
    <row r="644" spans="1:15" x14ac:dyDescent="0.3">
      <c r="A644" s="43">
        <v>46266</v>
      </c>
      <c r="B644" s="2" t="s">
        <v>12</v>
      </c>
      <c r="C644" s="2" t="s">
        <v>1260</v>
      </c>
      <c r="D644" s="2" t="s">
        <v>307</v>
      </c>
      <c r="E644" s="2" t="str">
        <f>_xlfn.XLOOKUP(F644,Terrain!D:D,Terrain!A:A,"")</f>
        <v>Lower</v>
      </c>
      <c r="F644" s="2" t="s">
        <v>1301</v>
      </c>
      <c r="G644" s="2" t="s">
        <v>866</v>
      </c>
      <c r="H644" s="2">
        <f t="shared" si="31"/>
        <v>2557</v>
      </c>
      <c r="I644" s="2">
        <v>375</v>
      </c>
      <c r="J644" s="2">
        <v>7.5</v>
      </c>
      <c r="K644" s="2">
        <v>8</v>
      </c>
      <c r="L644" s="2">
        <f t="shared" si="32"/>
        <v>1250</v>
      </c>
      <c r="M644" s="2" t="s">
        <v>1079</v>
      </c>
      <c r="N644" s="40" t="str">
        <f>_xlfn.XLOOKUP(F644,Terrain!D:D,Terrain!H:H,"")</f>
        <v>2555 - 2558</v>
      </c>
      <c r="O644" t="str">
        <f t="shared" si="30"/>
        <v>57-C06 | 300 | 209|1</v>
      </c>
    </row>
    <row r="645" spans="1:15" x14ac:dyDescent="0.3">
      <c r="A645" s="43">
        <v>46266</v>
      </c>
      <c r="B645" s="2" t="s">
        <v>12</v>
      </c>
      <c r="C645" s="2" t="s">
        <v>1260</v>
      </c>
      <c r="D645" s="2" t="s">
        <v>315</v>
      </c>
      <c r="E645" s="2" t="str">
        <f>_xlfn.XLOOKUP(F645,Terrain!D:D,Terrain!A:A,"")</f>
        <v>Lower</v>
      </c>
      <c r="F645" s="2" t="s">
        <v>1302</v>
      </c>
      <c r="G645" s="2" t="s">
        <v>1080</v>
      </c>
      <c r="H645" s="2">
        <f t="shared" si="31"/>
        <v>2557</v>
      </c>
      <c r="I645" s="2">
        <v>3118.75</v>
      </c>
      <c r="J645" s="2">
        <v>62.375</v>
      </c>
      <c r="K645" s="2">
        <v>62</v>
      </c>
      <c r="L645" s="2">
        <f t="shared" si="32"/>
        <v>1250</v>
      </c>
      <c r="M645" s="2" t="s">
        <v>1081</v>
      </c>
      <c r="N645" s="40" t="str">
        <f>_xlfn.XLOOKUP(F645,Terrain!D:D,Terrain!H:H,"")</f>
        <v>2555 - 2558</v>
      </c>
      <c r="O645" t="str">
        <f t="shared" si="30"/>
        <v>57-C06-R | 2495 | 214|1</v>
      </c>
    </row>
    <row r="646" spans="1:15" x14ac:dyDescent="0.3">
      <c r="A646" s="43">
        <v>46266</v>
      </c>
      <c r="B646" s="2" t="s">
        <v>12</v>
      </c>
      <c r="C646" s="2" t="s">
        <v>1260</v>
      </c>
      <c r="D646" s="2" t="s">
        <v>323</v>
      </c>
      <c r="E646" s="2" t="str">
        <f>_xlfn.XLOOKUP(F646,Terrain!D:D,Terrain!A:A,"")</f>
        <v>Lower</v>
      </c>
      <c r="F646" s="2" t="s">
        <v>1303</v>
      </c>
      <c r="G646" s="2" t="s">
        <v>867</v>
      </c>
      <c r="H646" s="2">
        <f t="shared" si="31"/>
        <v>2550</v>
      </c>
      <c r="I646" s="2">
        <v>4202</v>
      </c>
      <c r="J646" s="2">
        <v>84.04</v>
      </c>
      <c r="K646" s="2">
        <v>84</v>
      </c>
      <c r="L646" s="2">
        <f t="shared" si="32"/>
        <v>1000</v>
      </c>
      <c r="M646" s="2" t="s">
        <v>1077</v>
      </c>
      <c r="N646" s="40" t="str">
        <f>_xlfn.XLOOKUP(F646,Terrain!D:D,Terrain!H:H,"")</f>
        <v>2549 - 2552</v>
      </c>
      <c r="O646" t="str">
        <f t="shared" si="30"/>
        <v>50-C07-R | 4202 | 150|1</v>
      </c>
    </row>
    <row r="647" spans="1:15" x14ac:dyDescent="0.3">
      <c r="A647" s="43">
        <v>46266</v>
      </c>
      <c r="B647" s="2" t="s">
        <v>12</v>
      </c>
      <c r="C647" s="2" t="s">
        <v>1260</v>
      </c>
      <c r="D647" s="2" t="s">
        <v>331</v>
      </c>
      <c r="E647" s="2" t="str">
        <f>_xlfn.XLOOKUP(F647,Terrain!D:D,Terrain!A:A,"")</f>
        <v>Lower</v>
      </c>
      <c r="F647" s="2" t="s">
        <v>1304</v>
      </c>
      <c r="G647" s="2" t="s">
        <v>1082</v>
      </c>
      <c r="H647" s="2">
        <f t="shared" si="31"/>
        <v>2559</v>
      </c>
      <c r="I647" s="2">
        <v>3610</v>
      </c>
      <c r="J647" s="2">
        <v>72.2</v>
      </c>
      <c r="K647" s="2">
        <v>72</v>
      </c>
      <c r="L647" s="2">
        <f t="shared" si="32"/>
        <v>1250</v>
      </c>
      <c r="M647" s="2" t="s">
        <v>1072</v>
      </c>
      <c r="N647" s="40" t="str">
        <f>_xlfn.XLOOKUP(F647,Terrain!D:D,Terrain!H:H,"")</f>
        <v>2559 - 2560</v>
      </c>
      <c r="O647" t="str">
        <f t="shared" si="30"/>
        <v>59-C08-R | 2888 | 221|1</v>
      </c>
    </row>
    <row r="648" spans="1:15" x14ac:dyDescent="0.3">
      <c r="A648" s="43">
        <v>46266</v>
      </c>
      <c r="B648" s="2" t="s">
        <v>12</v>
      </c>
      <c r="C648" s="2" t="s">
        <v>1260</v>
      </c>
      <c r="D648" s="2" t="s">
        <v>339</v>
      </c>
      <c r="E648" s="2" t="str">
        <f>_xlfn.XLOOKUP(F648,Terrain!D:D,Terrain!A:A,"")</f>
        <v>Lower</v>
      </c>
      <c r="F648" s="2" t="s">
        <v>1305</v>
      </c>
      <c r="G648" s="2" t="s">
        <v>1083</v>
      </c>
      <c r="H648" s="2">
        <f t="shared" si="31"/>
        <v>2559</v>
      </c>
      <c r="I648" s="2">
        <v>2381.25</v>
      </c>
      <c r="J648" s="2">
        <v>47.625</v>
      </c>
      <c r="K648" s="2">
        <v>48</v>
      </c>
      <c r="L648" s="2">
        <f t="shared" si="32"/>
        <v>1250</v>
      </c>
      <c r="M648" s="2" t="s">
        <v>1072</v>
      </c>
      <c r="N648" s="40" t="str">
        <f>_xlfn.XLOOKUP(F648,Terrain!D:D,Terrain!H:H,"")</f>
        <v>2559 - 2560</v>
      </c>
      <c r="O648" t="str">
        <f t="shared" si="30"/>
        <v>59-C09-R | 1905 | 213|1</v>
      </c>
    </row>
    <row r="649" spans="1:15" x14ac:dyDescent="0.3">
      <c r="A649" s="43">
        <v>46266</v>
      </c>
      <c r="B649" s="2" t="s">
        <v>12</v>
      </c>
      <c r="C649" s="2" t="s">
        <v>1260</v>
      </c>
      <c r="D649" s="2" t="s">
        <v>347</v>
      </c>
      <c r="E649" s="2" t="str">
        <f>_xlfn.XLOOKUP(F649,Terrain!D:D,Terrain!A:A,"")</f>
        <v>Lower</v>
      </c>
      <c r="F649" s="2" t="s">
        <v>1306</v>
      </c>
      <c r="G649" s="2" t="s">
        <v>868</v>
      </c>
      <c r="H649" s="2">
        <f t="shared" si="31"/>
        <v>2556</v>
      </c>
      <c r="I649" s="2">
        <v>3882.5</v>
      </c>
      <c r="J649" s="2">
        <v>77.650000000000006</v>
      </c>
      <c r="K649" s="2">
        <v>78</v>
      </c>
      <c r="L649" s="2">
        <f t="shared" si="32"/>
        <v>1250</v>
      </c>
      <c r="M649" s="2" t="s">
        <v>1081</v>
      </c>
      <c r="N649" s="40" t="str">
        <f>_xlfn.XLOOKUP(F649,Terrain!D:D,Terrain!H:H,"")</f>
        <v>2555 - 2558</v>
      </c>
      <c r="O649" t="str">
        <f t="shared" si="30"/>
        <v>56-C10-R | 3106 | 218|1</v>
      </c>
    </row>
    <row r="650" spans="1:15" x14ac:dyDescent="0.3">
      <c r="A650" s="43">
        <v>46266</v>
      </c>
      <c r="B650" s="2" t="s">
        <v>12</v>
      </c>
      <c r="C650" s="2" t="s">
        <v>1260</v>
      </c>
      <c r="D650" s="2" t="s">
        <v>355</v>
      </c>
      <c r="E650" s="2" t="str">
        <f>_xlfn.XLOOKUP(F650,Terrain!D:D,Terrain!A:A,"")</f>
        <v>Lower</v>
      </c>
      <c r="F650" s="2" t="s">
        <v>1307</v>
      </c>
      <c r="G650" s="2" t="s">
        <v>1084</v>
      </c>
      <c r="H650" s="2">
        <f t="shared" si="31"/>
        <v>2559</v>
      </c>
      <c r="I650" s="2">
        <v>2863.75</v>
      </c>
      <c r="J650" s="2">
        <v>57.274999999999999</v>
      </c>
      <c r="K650" s="2">
        <v>57</v>
      </c>
      <c r="L650" s="2">
        <f t="shared" si="32"/>
        <v>1250</v>
      </c>
      <c r="M650" s="2" t="s">
        <v>1072</v>
      </c>
      <c r="N650" s="40" t="str">
        <f>_xlfn.XLOOKUP(F650,Terrain!D:D,Terrain!H:H,"")</f>
        <v>2559 - 2560</v>
      </c>
      <c r="O650" t="str">
        <f t="shared" si="30"/>
        <v>59-C11-R | 2291 | 224|1</v>
      </c>
    </row>
    <row r="651" spans="1:15" x14ac:dyDescent="0.3">
      <c r="A651" s="43">
        <v>46266</v>
      </c>
      <c r="B651" s="2" t="s">
        <v>12</v>
      </c>
      <c r="C651" s="2" t="s">
        <v>1260</v>
      </c>
      <c r="D651" s="2" t="s">
        <v>363</v>
      </c>
      <c r="E651" s="2" t="str">
        <f>_xlfn.XLOOKUP(F651,Terrain!D:D,Terrain!A:A,"")</f>
        <v>Lower</v>
      </c>
      <c r="F651" s="2" t="s">
        <v>1308</v>
      </c>
      <c r="G651" s="2" t="s">
        <v>863</v>
      </c>
      <c r="H651" s="2">
        <f t="shared" si="31"/>
        <v>2565</v>
      </c>
      <c r="I651" s="2">
        <v>3163.75</v>
      </c>
      <c r="J651" s="2">
        <v>63.274999999999999</v>
      </c>
      <c r="K651" s="2">
        <v>63</v>
      </c>
      <c r="L651" s="2">
        <f t="shared" si="32"/>
        <v>1250</v>
      </c>
      <c r="M651" s="2" t="s">
        <v>1044</v>
      </c>
      <c r="N651" s="40" t="str">
        <f>_xlfn.XLOOKUP(F651,Terrain!D:D,Terrain!H:H,"")</f>
        <v>2563 - 2565</v>
      </c>
      <c r="O651" t="str">
        <f t="shared" si="30"/>
        <v>65-D01-R | 2531 | 296|1</v>
      </c>
    </row>
    <row r="652" spans="1:15" x14ac:dyDescent="0.3">
      <c r="A652" s="43">
        <v>46266</v>
      </c>
      <c r="B652" s="2" t="s">
        <v>12</v>
      </c>
      <c r="C652" s="2" t="s">
        <v>1260</v>
      </c>
      <c r="D652" s="2" t="s">
        <v>371</v>
      </c>
      <c r="E652" s="2" t="str">
        <f>_xlfn.XLOOKUP(F652,Terrain!D:D,Terrain!A:A,"")</f>
        <v>Lower</v>
      </c>
      <c r="F652" s="2" t="s">
        <v>1309</v>
      </c>
      <c r="G652" s="2" t="s">
        <v>869</v>
      </c>
      <c r="H652" s="2">
        <f t="shared" si="31"/>
        <v>2564</v>
      </c>
      <c r="I652" s="2">
        <v>3566.25</v>
      </c>
      <c r="J652" s="2">
        <v>71.325000000000003</v>
      </c>
      <c r="K652" s="2">
        <v>71</v>
      </c>
      <c r="L652" s="2">
        <f t="shared" si="32"/>
        <v>1250</v>
      </c>
      <c r="M652" s="2" t="s">
        <v>1044</v>
      </c>
      <c r="N652" s="40" t="str">
        <f>_xlfn.XLOOKUP(F652,Terrain!D:D,Terrain!H:H,"")</f>
        <v>2563 - 2565</v>
      </c>
      <c r="O652" t="str">
        <f t="shared" si="30"/>
        <v>64-D02-R | 2853 | 290|1</v>
      </c>
    </row>
    <row r="653" spans="1:15" x14ac:dyDescent="0.3">
      <c r="A653" s="43">
        <v>46266</v>
      </c>
      <c r="B653" s="2" t="s">
        <v>12</v>
      </c>
      <c r="C653" s="2" t="s">
        <v>1260</v>
      </c>
      <c r="D653" s="2" t="s">
        <v>379</v>
      </c>
      <c r="E653" s="2" t="str">
        <f>_xlfn.XLOOKUP(F653,Terrain!D:D,Terrain!A:A,"")</f>
        <v>Lower</v>
      </c>
      <c r="F653" s="2" t="s">
        <v>1310</v>
      </c>
      <c r="G653" s="2" t="s">
        <v>870</v>
      </c>
      <c r="H653" s="2">
        <f t="shared" si="31"/>
        <v>2565</v>
      </c>
      <c r="I653" s="2">
        <v>3503.75</v>
      </c>
      <c r="J653" s="2">
        <v>70.075000000000003</v>
      </c>
      <c r="K653" s="2">
        <v>70</v>
      </c>
      <c r="L653" s="2">
        <f t="shared" si="32"/>
        <v>1250</v>
      </c>
      <c r="M653" s="2" t="s">
        <v>1044</v>
      </c>
      <c r="N653" s="40" t="str">
        <f>_xlfn.XLOOKUP(F653,Terrain!D:D,Terrain!H:H,"")</f>
        <v>2563 - 2565</v>
      </c>
      <c r="O653" t="str">
        <f t="shared" si="30"/>
        <v>65-D03-R | 2803 | 293|1</v>
      </c>
    </row>
    <row r="654" spans="1:15" x14ac:dyDescent="0.3">
      <c r="A654" s="43">
        <v>46266</v>
      </c>
      <c r="B654" s="2" t="s">
        <v>12</v>
      </c>
      <c r="C654" s="2" t="s">
        <v>1260</v>
      </c>
      <c r="D654" s="2" t="s">
        <v>387</v>
      </c>
      <c r="E654" s="2" t="str">
        <f>_xlfn.XLOOKUP(F654,Terrain!D:D,Terrain!A:A,"")</f>
        <v>Lower</v>
      </c>
      <c r="F654" s="2" t="s">
        <v>1311</v>
      </c>
      <c r="G654" s="2" t="s">
        <v>871</v>
      </c>
      <c r="H654" s="2">
        <f t="shared" si="31"/>
        <v>2565</v>
      </c>
      <c r="I654" s="2">
        <v>3523.75</v>
      </c>
      <c r="J654" s="2">
        <v>70.474999999999994</v>
      </c>
      <c r="K654" s="2">
        <v>70</v>
      </c>
      <c r="L654" s="2">
        <f t="shared" si="32"/>
        <v>1250</v>
      </c>
      <c r="M654" s="2" t="s">
        <v>1044</v>
      </c>
      <c r="N654" s="40" t="str">
        <f>_xlfn.XLOOKUP(F654,Terrain!D:D,Terrain!H:H,"")</f>
        <v>2563 - 2565</v>
      </c>
      <c r="O654" t="str">
        <f t="shared" si="30"/>
        <v>65-D04-R | 2819 | 295|1</v>
      </c>
    </row>
    <row r="655" spans="1:15" x14ac:dyDescent="0.3">
      <c r="A655" s="43">
        <v>46266</v>
      </c>
      <c r="B655" s="2" t="s">
        <v>12</v>
      </c>
      <c r="C655" s="2" t="s">
        <v>1260</v>
      </c>
      <c r="D655" s="2" t="s">
        <v>395</v>
      </c>
      <c r="E655" s="2" t="str">
        <f>_xlfn.XLOOKUP(F655,Terrain!D:D,Terrain!A:A,"")</f>
        <v>Lower</v>
      </c>
      <c r="F655" s="2" t="s">
        <v>1268</v>
      </c>
      <c r="G655" s="2" t="s">
        <v>1042</v>
      </c>
      <c r="H655" s="2">
        <f t="shared" si="31"/>
        <v>2565</v>
      </c>
      <c r="I655" s="2">
        <v>3358.75</v>
      </c>
      <c r="J655" s="2">
        <v>67.174999999999997</v>
      </c>
      <c r="K655" s="2">
        <v>67</v>
      </c>
      <c r="L655" s="2">
        <f t="shared" si="32"/>
        <v>1250</v>
      </c>
      <c r="M655" s="2" t="s">
        <v>1044</v>
      </c>
      <c r="N655" s="40" t="str">
        <f>_xlfn.XLOOKUP(F655,Terrain!D:D,Terrain!H:H,"")</f>
        <v>2563 - 2565</v>
      </c>
      <c r="O655" t="str">
        <f t="shared" si="30"/>
        <v>65-D05-R | 2687 | 291|1</v>
      </c>
    </row>
    <row r="656" spans="1:15" x14ac:dyDescent="0.3">
      <c r="A656" s="43">
        <v>46266</v>
      </c>
      <c r="B656" s="2" t="s">
        <v>12</v>
      </c>
      <c r="C656" s="2" t="s">
        <v>1260</v>
      </c>
      <c r="D656" s="2" t="s">
        <v>402</v>
      </c>
      <c r="E656" s="2" t="str">
        <f>_xlfn.XLOOKUP(F656,Terrain!D:D,Terrain!A:A,"")</f>
        <v>Lower</v>
      </c>
      <c r="F656" s="2" t="s">
        <v>1312</v>
      </c>
      <c r="G656" s="2" t="s">
        <v>872</v>
      </c>
      <c r="H656" s="2">
        <f t="shared" si="31"/>
        <v>2567</v>
      </c>
      <c r="I656" s="2">
        <v>1432.5</v>
      </c>
      <c r="J656" s="2">
        <v>28.65</v>
      </c>
      <c r="K656" s="2">
        <v>29</v>
      </c>
      <c r="L656" s="2">
        <f t="shared" si="32"/>
        <v>500</v>
      </c>
      <c r="M656" s="2" t="s">
        <v>1085</v>
      </c>
      <c r="N656" s="40">
        <f>_xlfn.XLOOKUP(F656,Terrain!D:D,Terrain!H:H,"")</f>
        <v>2567</v>
      </c>
      <c r="O656" t="str">
        <f t="shared" si="30"/>
        <v>67-D06-R | 2865 | 365|0</v>
      </c>
    </row>
    <row r="657" spans="1:15" x14ac:dyDescent="0.3">
      <c r="A657" s="43">
        <v>46266</v>
      </c>
      <c r="B657" s="2" t="s">
        <v>12</v>
      </c>
      <c r="C657" s="2" t="s">
        <v>1260</v>
      </c>
      <c r="D657" s="2" t="s">
        <v>412</v>
      </c>
      <c r="E657" s="2" t="str">
        <f>_xlfn.XLOOKUP(F657,Terrain!D:D,Terrain!A:A,"")</f>
        <v>Lower</v>
      </c>
      <c r="F657" s="2" t="s">
        <v>1313</v>
      </c>
      <c r="G657" s="2" t="s">
        <v>1086</v>
      </c>
      <c r="H657" s="2">
        <f t="shared" si="31"/>
        <v>2556</v>
      </c>
      <c r="I657" s="2">
        <v>4913.75</v>
      </c>
      <c r="J657" s="2">
        <v>98.275000000000006</v>
      </c>
      <c r="K657" s="2">
        <v>98</v>
      </c>
      <c r="L657" s="2">
        <f t="shared" si="32"/>
        <v>1250</v>
      </c>
      <c r="M657" s="2" t="s">
        <v>1087</v>
      </c>
      <c r="N657" s="40" t="str">
        <f>_xlfn.XLOOKUP(F657,Terrain!D:D,Terrain!H:H,"")</f>
        <v>2555 - 2558</v>
      </c>
      <c r="O657" t="str">
        <f t="shared" si="30"/>
        <v>56-D07-R | 3931 | 217|1</v>
      </c>
    </row>
    <row r="658" spans="1:15" x14ac:dyDescent="0.3">
      <c r="A658" s="43">
        <v>46266</v>
      </c>
      <c r="B658" s="2" t="s">
        <v>12</v>
      </c>
      <c r="C658" s="2" t="s">
        <v>1260</v>
      </c>
      <c r="D658" s="2" t="s">
        <v>420</v>
      </c>
      <c r="E658" s="2" t="str">
        <f>_xlfn.XLOOKUP(F658,Terrain!D:D,Terrain!A:A,"")</f>
        <v>Lower</v>
      </c>
      <c r="F658" s="2" t="s">
        <v>1314</v>
      </c>
      <c r="G658" s="2" t="s">
        <v>1088</v>
      </c>
      <c r="H658" s="2">
        <f t="shared" si="31"/>
        <v>2563</v>
      </c>
      <c r="I658" s="2">
        <v>2956.25</v>
      </c>
      <c r="J658" s="2">
        <v>59.125</v>
      </c>
      <c r="K658" s="2">
        <v>59</v>
      </c>
      <c r="L658" s="2">
        <f t="shared" si="32"/>
        <v>1250</v>
      </c>
      <c r="M658" s="2" t="s">
        <v>1044</v>
      </c>
      <c r="N658" s="40" t="str">
        <f>_xlfn.XLOOKUP(F658,Terrain!D:D,Terrain!H:H,"")</f>
        <v>2563 - 2565</v>
      </c>
      <c r="O658" t="str">
        <f t="shared" si="30"/>
        <v>63-D08-R | 2365 | 297|1</v>
      </c>
    </row>
    <row r="659" spans="1:15" x14ac:dyDescent="0.3">
      <c r="A659" s="43">
        <v>46266</v>
      </c>
      <c r="B659" s="2" t="s">
        <v>12</v>
      </c>
      <c r="C659" s="2" t="s">
        <v>1260</v>
      </c>
      <c r="D659" s="2" t="s">
        <v>428</v>
      </c>
      <c r="E659" s="2" t="str">
        <f>_xlfn.XLOOKUP(F659,Terrain!D:D,Terrain!A:A,"")</f>
        <v>Lower</v>
      </c>
      <c r="F659" s="2" t="s">
        <v>1315</v>
      </c>
      <c r="G659" s="2" t="s">
        <v>873</v>
      </c>
      <c r="H659" s="2">
        <f t="shared" si="31"/>
        <v>2566</v>
      </c>
      <c r="I659" s="2">
        <v>2249.25</v>
      </c>
      <c r="J659" s="2">
        <v>44.984999999999999</v>
      </c>
      <c r="K659" s="2">
        <v>45</v>
      </c>
      <c r="L659" s="2">
        <f t="shared" si="32"/>
        <v>750</v>
      </c>
      <c r="M659" s="2" t="s">
        <v>1089</v>
      </c>
      <c r="N659" s="40">
        <f>_xlfn.XLOOKUP(F659,Terrain!D:D,Terrain!H:H,"")</f>
        <v>2566</v>
      </c>
      <c r="O659" t="str">
        <f t="shared" si="30"/>
        <v>66-D09-R | 2999 | 333|1</v>
      </c>
    </row>
    <row r="660" spans="1:15" x14ac:dyDescent="0.3">
      <c r="A660" s="43">
        <v>46266</v>
      </c>
      <c r="B660" s="2" t="s">
        <v>12</v>
      </c>
      <c r="C660" s="2" t="s">
        <v>1260</v>
      </c>
      <c r="D660" s="2" t="s">
        <v>437</v>
      </c>
      <c r="E660" s="2" t="str">
        <f>_xlfn.XLOOKUP(F660,Terrain!D:D,Terrain!A:A,"")</f>
        <v>Lower</v>
      </c>
      <c r="F660" s="2" t="s">
        <v>1316</v>
      </c>
      <c r="G660" s="2" t="s">
        <v>874</v>
      </c>
      <c r="H660" s="2">
        <f t="shared" si="31"/>
        <v>2567</v>
      </c>
      <c r="I660" s="2">
        <v>1083.5</v>
      </c>
      <c r="J660" s="2">
        <v>21.67</v>
      </c>
      <c r="K660" s="2">
        <v>22</v>
      </c>
      <c r="L660" s="2">
        <f t="shared" si="32"/>
        <v>500</v>
      </c>
      <c r="M660" s="2" t="s">
        <v>1090</v>
      </c>
      <c r="N660" s="40">
        <f>_xlfn.XLOOKUP(F660,Terrain!D:D,Terrain!H:H,"")</f>
        <v>2567</v>
      </c>
      <c r="O660" t="str">
        <f t="shared" si="30"/>
        <v>67-P01-R | 2167 | 366|0</v>
      </c>
    </row>
    <row r="661" spans="1:15" x14ac:dyDescent="0.3">
      <c r="A661" s="43">
        <v>46266</v>
      </c>
      <c r="B661" s="2" t="s">
        <v>12</v>
      </c>
      <c r="C661" s="2" t="s">
        <v>1260</v>
      </c>
      <c r="D661" s="2" t="s">
        <v>446</v>
      </c>
      <c r="E661" s="2" t="str">
        <f>_xlfn.XLOOKUP(F661,Terrain!D:D,Terrain!A:A,"")</f>
        <v>Lower</v>
      </c>
      <c r="F661" s="2" t="s">
        <v>1317</v>
      </c>
      <c r="G661" s="2" t="s">
        <v>875</v>
      </c>
      <c r="H661" s="2">
        <f t="shared" si="31"/>
        <v>2567</v>
      </c>
      <c r="I661" s="2">
        <v>1160</v>
      </c>
      <c r="J661" s="2">
        <v>23.2</v>
      </c>
      <c r="K661" s="2">
        <v>23</v>
      </c>
      <c r="L661" s="2">
        <f t="shared" si="32"/>
        <v>500</v>
      </c>
      <c r="M661" s="2" t="s">
        <v>1090</v>
      </c>
      <c r="N661" s="40">
        <f>_xlfn.XLOOKUP(F661,Terrain!D:D,Terrain!H:H,"")</f>
        <v>2567</v>
      </c>
      <c r="O661" t="str">
        <f t="shared" si="30"/>
        <v>67-P02-R | 2320 | 367|0</v>
      </c>
    </row>
    <row r="662" spans="1:15" x14ac:dyDescent="0.3">
      <c r="A662" s="43">
        <v>46266</v>
      </c>
      <c r="B662" s="2" t="s">
        <v>12</v>
      </c>
      <c r="C662" s="2" t="s">
        <v>1260</v>
      </c>
      <c r="D662" s="2" t="s">
        <v>456</v>
      </c>
      <c r="E662" s="2" t="str">
        <f>_xlfn.XLOOKUP(F662,Terrain!D:D,Terrain!A:A,"")</f>
        <v>Lower</v>
      </c>
      <c r="F662" s="2" t="s">
        <v>1318</v>
      </c>
      <c r="G662" s="2" t="s">
        <v>876</v>
      </c>
      <c r="H662" s="2">
        <f t="shared" si="31"/>
        <v>2566</v>
      </c>
      <c r="I662" s="2">
        <v>1912.5</v>
      </c>
      <c r="J662" s="2">
        <v>38.25</v>
      </c>
      <c r="K662" s="2">
        <v>38</v>
      </c>
      <c r="L662" s="2">
        <f t="shared" si="32"/>
        <v>750</v>
      </c>
      <c r="M662" s="2" t="s">
        <v>1091</v>
      </c>
      <c r="N662" s="40">
        <f>_xlfn.XLOOKUP(F662,Terrain!D:D,Terrain!H:H,"")</f>
        <v>2566</v>
      </c>
      <c r="O662" t="str">
        <f t="shared" si="30"/>
        <v>66-P03-R | 2550 | 330|1</v>
      </c>
    </row>
    <row r="663" spans="1:15" x14ac:dyDescent="0.3">
      <c r="A663" s="43">
        <v>46266</v>
      </c>
      <c r="B663" s="2" t="s">
        <v>12</v>
      </c>
      <c r="C663" s="2" t="s">
        <v>1260</v>
      </c>
      <c r="D663" s="2" t="s">
        <v>466</v>
      </c>
      <c r="E663" s="2" t="str">
        <f>_xlfn.XLOOKUP(F663,Terrain!D:D,Terrain!A:A,"")</f>
        <v>Lower</v>
      </c>
      <c r="F663" s="2" t="s">
        <v>1319</v>
      </c>
      <c r="G663" s="2" t="s">
        <v>877</v>
      </c>
      <c r="H663" s="2">
        <f t="shared" si="31"/>
        <v>2566</v>
      </c>
      <c r="I663" s="2">
        <v>2140.5</v>
      </c>
      <c r="J663" s="2">
        <v>42.81</v>
      </c>
      <c r="K663" s="2">
        <v>43</v>
      </c>
      <c r="L663" s="2">
        <f t="shared" si="32"/>
        <v>750</v>
      </c>
      <c r="M663" s="2" t="s">
        <v>1091</v>
      </c>
      <c r="N663" s="40">
        <f>_xlfn.XLOOKUP(F663,Terrain!D:D,Terrain!H:H,"")</f>
        <v>2566</v>
      </c>
      <c r="O663" t="str">
        <f t="shared" si="30"/>
        <v>66-P04-R | 2854 | 334|1</v>
      </c>
    </row>
    <row r="664" spans="1:15" x14ac:dyDescent="0.3">
      <c r="A664" s="43">
        <v>46266</v>
      </c>
      <c r="B664" s="2" t="s">
        <v>12</v>
      </c>
      <c r="C664" s="2" t="s">
        <v>1260</v>
      </c>
      <c r="D664" s="2" t="s">
        <v>476</v>
      </c>
      <c r="E664" s="2" t="str">
        <f>_xlfn.XLOOKUP(F664,Terrain!D:D,Terrain!A:A,"")</f>
        <v>Lower</v>
      </c>
      <c r="F664" s="2" t="s">
        <v>1320</v>
      </c>
      <c r="G664" s="2" t="s">
        <v>878</v>
      </c>
      <c r="H664" s="2">
        <f t="shared" si="31"/>
        <v>2566</v>
      </c>
      <c r="I664" s="2">
        <v>2333.25</v>
      </c>
      <c r="J664" s="2">
        <v>46.664999999999999</v>
      </c>
      <c r="K664" s="2">
        <v>47</v>
      </c>
      <c r="L664" s="2">
        <f t="shared" si="32"/>
        <v>750</v>
      </c>
      <c r="M664" s="2" t="s">
        <v>1091</v>
      </c>
      <c r="N664" s="40">
        <f>_xlfn.XLOOKUP(F664,Terrain!D:D,Terrain!H:H,"")</f>
        <v>2566</v>
      </c>
      <c r="O664" t="str">
        <f t="shared" si="30"/>
        <v>66-P05-R | 3111 | 332|1</v>
      </c>
    </row>
    <row r="665" spans="1:15" x14ac:dyDescent="0.3">
      <c r="A665" s="43">
        <v>46266</v>
      </c>
      <c r="B665" s="2" t="s">
        <v>12</v>
      </c>
      <c r="C665" s="2" t="s">
        <v>1260</v>
      </c>
      <c r="D665" s="2" t="s">
        <v>486</v>
      </c>
      <c r="E665" s="2" t="str">
        <f>_xlfn.XLOOKUP(F665,Terrain!D:D,Terrain!A:A,"")</f>
        <v>Lower</v>
      </c>
      <c r="F665" s="2" t="s">
        <v>1321</v>
      </c>
      <c r="G665" s="2" t="s">
        <v>879</v>
      </c>
      <c r="H665" s="2">
        <f t="shared" si="31"/>
        <v>2564</v>
      </c>
      <c r="I665" s="2">
        <v>3607.5</v>
      </c>
      <c r="J665" s="2">
        <v>72.150000000000006</v>
      </c>
      <c r="K665" s="2">
        <v>72</v>
      </c>
      <c r="L665" s="2">
        <f t="shared" si="32"/>
        <v>1250</v>
      </c>
      <c r="M665" s="2" t="s">
        <v>1092</v>
      </c>
      <c r="N665" s="40" t="str">
        <f>_xlfn.XLOOKUP(F665,Terrain!D:D,Terrain!H:H,"")</f>
        <v>2563 - 2565</v>
      </c>
      <c r="O665" t="str">
        <f t="shared" si="30"/>
        <v>64-P06-R | 2886 | 298|1</v>
      </c>
    </row>
    <row r="666" spans="1:15" x14ac:dyDescent="0.3">
      <c r="A666" s="43">
        <v>46266</v>
      </c>
      <c r="B666" s="2" t="s">
        <v>12</v>
      </c>
      <c r="C666" s="2" t="s">
        <v>1260</v>
      </c>
      <c r="D666" s="2" t="s">
        <v>494</v>
      </c>
      <c r="E666" s="2" t="str">
        <f>_xlfn.XLOOKUP(F666,Terrain!D:D,Terrain!A:A,"")</f>
        <v>Lower</v>
      </c>
      <c r="F666" s="2" t="s">
        <v>1322</v>
      </c>
      <c r="G666" s="2" t="s">
        <v>880</v>
      </c>
      <c r="H666" s="2">
        <f t="shared" si="31"/>
        <v>2551</v>
      </c>
      <c r="I666" s="2">
        <v>152</v>
      </c>
      <c r="J666" s="2">
        <v>3.04</v>
      </c>
      <c r="K666" s="2">
        <v>3</v>
      </c>
      <c r="L666" s="2">
        <f t="shared" si="32"/>
        <v>1000</v>
      </c>
      <c r="M666" s="2" t="s">
        <v>1093</v>
      </c>
      <c r="N666" s="40" t="str">
        <f>_xlfn.XLOOKUP(F666,Terrain!D:D,Terrain!H:H,"")</f>
        <v>2549 - 2552</v>
      </c>
      <c r="O666" t="str">
        <f t="shared" si="30"/>
        <v>51-P07 | 152 | 153|1</v>
      </c>
    </row>
    <row r="667" spans="1:15" x14ac:dyDescent="0.3">
      <c r="A667" s="43">
        <v>46266</v>
      </c>
      <c r="B667" s="2" t="s">
        <v>12</v>
      </c>
      <c r="C667" s="2" t="s">
        <v>1260</v>
      </c>
      <c r="D667" s="2" t="s">
        <v>502</v>
      </c>
      <c r="E667" s="2" t="str">
        <f>_xlfn.XLOOKUP(F667,Terrain!D:D,Terrain!A:A,"")</f>
        <v>Lower</v>
      </c>
      <c r="F667" s="2" t="s">
        <v>1323</v>
      </c>
      <c r="G667" s="2" t="s">
        <v>881</v>
      </c>
      <c r="H667" s="2">
        <f t="shared" si="31"/>
        <v>2551</v>
      </c>
      <c r="I667" s="2">
        <v>401</v>
      </c>
      <c r="J667" s="2">
        <v>8.02</v>
      </c>
      <c r="K667" s="2">
        <v>8</v>
      </c>
      <c r="L667" s="2">
        <f t="shared" si="32"/>
        <v>1000</v>
      </c>
      <c r="M667" s="2" t="s">
        <v>1094</v>
      </c>
      <c r="N667" s="40" t="str">
        <f>_xlfn.XLOOKUP(F667,Terrain!D:D,Terrain!H:H,"")</f>
        <v>2549 - 2552</v>
      </c>
      <c r="O667" t="str">
        <f t="shared" si="30"/>
        <v>51-P07-R | 401 | 145|1</v>
      </c>
    </row>
    <row r="668" spans="1:15" x14ac:dyDescent="0.3">
      <c r="A668" s="43">
        <v>46266</v>
      </c>
      <c r="B668" s="2" t="s">
        <v>12</v>
      </c>
      <c r="C668" s="2" t="s">
        <v>1260</v>
      </c>
      <c r="D668" s="2" t="s">
        <v>510</v>
      </c>
      <c r="E668" s="2" t="str">
        <f>_xlfn.XLOOKUP(F668,Terrain!D:D,Terrain!A:A,"")</f>
        <v>Lower</v>
      </c>
      <c r="F668" s="2" t="s">
        <v>1324</v>
      </c>
      <c r="G668" s="2" t="s">
        <v>882</v>
      </c>
      <c r="H668" s="2">
        <f t="shared" si="31"/>
        <v>2564</v>
      </c>
      <c r="I668" s="2">
        <v>3223.75</v>
      </c>
      <c r="J668" s="2">
        <v>64.474999999999994</v>
      </c>
      <c r="K668" s="2">
        <v>64</v>
      </c>
      <c r="L668" s="2">
        <f t="shared" si="32"/>
        <v>1250</v>
      </c>
      <c r="M668" s="2" t="s">
        <v>1092</v>
      </c>
      <c r="N668" s="40" t="str">
        <f>_xlfn.XLOOKUP(F668,Terrain!D:D,Terrain!H:H,"")</f>
        <v>2563 - 2565</v>
      </c>
      <c r="O668" t="str">
        <f t="shared" si="30"/>
        <v>64-P07-R | 2579 | 288|1</v>
      </c>
    </row>
    <row r="669" spans="1:15" x14ac:dyDescent="0.3">
      <c r="A669" s="43">
        <v>46266</v>
      </c>
      <c r="B669" s="2" t="s">
        <v>12</v>
      </c>
      <c r="C669" s="2" t="s">
        <v>1260</v>
      </c>
      <c r="D669" s="2" t="s">
        <v>518</v>
      </c>
      <c r="E669" s="2" t="str">
        <f>_xlfn.XLOOKUP(F669,Terrain!D:D,Terrain!A:A,"")</f>
        <v>Lower</v>
      </c>
      <c r="F669" s="2" t="s">
        <v>1325</v>
      </c>
      <c r="G669" s="2" t="s">
        <v>883</v>
      </c>
      <c r="H669" s="2">
        <f t="shared" si="31"/>
        <v>2564</v>
      </c>
      <c r="I669" s="2">
        <v>4252.5</v>
      </c>
      <c r="J669" s="2">
        <v>85.05</v>
      </c>
      <c r="K669" s="2">
        <v>85</v>
      </c>
      <c r="L669" s="2">
        <f t="shared" si="32"/>
        <v>1250</v>
      </c>
      <c r="M669" s="2" t="s">
        <v>1092</v>
      </c>
      <c r="N669" s="40" t="str">
        <f>_xlfn.XLOOKUP(F669,Terrain!D:D,Terrain!H:H,"")</f>
        <v>2563 - 2565</v>
      </c>
      <c r="O669" t="str">
        <f t="shared" si="30"/>
        <v>64-P08-R | 3402 | 292|1</v>
      </c>
    </row>
    <row r="670" spans="1:15" x14ac:dyDescent="0.3">
      <c r="A670" s="43">
        <v>46266</v>
      </c>
      <c r="B670" s="2" t="s">
        <v>12</v>
      </c>
      <c r="C670" s="2" t="s">
        <v>1260</v>
      </c>
      <c r="D670" s="2" t="s">
        <v>526</v>
      </c>
      <c r="E670" s="2" t="str">
        <f>_xlfn.XLOOKUP(F670,Terrain!D:D,Terrain!A:A,"")</f>
        <v>Lower</v>
      </c>
      <c r="F670" s="2" t="s">
        <v>1326</v>
      </c>
      <c r="G670" s="2" t="s">
        <v>884</v>
      </c>
      <c r="H670" s="2">
        <f t="shared" si="31"/>
        <v>2564</v>
      </c>
      <c r="I670" s="2">
        <v>2740</v>
      </c>
      <c r="J670" s="2">
        <v>54.8</v>
      </c>
      <c r="K670" s="2">
        <v>55</v>
      </c>
      <c r="L670" s="2">
        <f t="shared" si="32"/>
        <v>1250</v>
      </c>
      <c r="M670" s="2" t="s">
        <v>1092</v>
      </c>
      <c r="N670" s="40" t="str">
        <f>_xlfn.XLOOKUP(F670,Terrain!D:D,Terrain!H:H,"")</f>
        <v>2563 - 2565</v>
      </c>
      <c r="O670" t="str">
        <f t="shared" si="30"/>
        <v>64-P09-R | 2192 | 300|1</v>
      </c>
    </row>
    <row r="671" spans="1:15" x14ac:dyDescent="0.3">
      <c r="A671" s="43">
        <v>46266</v>
      </c>
      <c r="B671" s="2" t="s">
        <v>12</v>
      </c>
      <c r="C671" s="2" t="s">
        <v>1260</v>
      </c>
      <c r="D671" s="2" t="s">
        <v>534</v>
      </c>
      <c r="E671" s="2" t="str">
        <f>_xlfn.XLOOKUP(F671,Terrain!D:D,Terrain!A:A,"")</f>
        <v>Lower</v>
      </c>
      <c r="F671" s="2" t="s">
        <v>1240</v>
      </c>
      <c r="G671" s="2" t="s">
        <v>885</v>
      </c>
      <c r="H671" s="2">
        <f t="shared" si="31"/>
        <v>2568</v>
      </c>
      <c r="I671" s="2">
        <v>662.2</v>
      </c>
      <c r="J671" s="2">
        <v>13.244</v>
      </c>
      <c r="K671" s="2">
        <v>13</v>
      </c>
      <c r="L671" s="2">
        <f t="shared" si="32"/>
        <v>350</v>
      </c>
      <c r="M671" s="2" t="s">
        <v>1095</v>
      </c>
      <c r="N671" s="40">
        <f>_xlfn.XLOOKUP(F671,Terrain!D:D,Terrain!H:H,"")</f>
        <v>2568</v>
      </c>
      <c r="O671" t="str">
        <f t="shared" si="30"/>
        <v>68-PU1 | 1892 | 397|1</v>
      </c>
    </row>
    <row r="672" spans="1:15" x14ac:dyDescent="0.3">
      <c r="A672" s="43">
        <v>46266</v>
      </c>
      <c r="B672" s="2" t="s">
        <v>12</v>
      </c>
      <c r="C672" s="2" t="s">
        <v>1260</v>
      </c>
      <c r="D672" s="2" t="s">
        <v>544</v>
      </c>
      <c r="E672" s="2" t="str">
        <f>_xlfn.XLOOKUP(F672,Terrain!D:D,Terrain!A:A,"")</f>
        <v>Lower</v>
      </c>
      <c r="F672" s="2" t="s">
        <v>1239</v>
      </c>
      <c r="G672" s="2" t="s">
        <v>886</v>
      </c>
      <c r="H672" s="2">
        <f t="shared" si="31"/>
        <v>2566</v>
      </c>
      <c r="I672" s="2">
        <v>1477.5</v>
      </c>
      <c r="J672" s="2">
        <v>29.55</v>
      </c>
      <c r="K672" s="2">
        <v>30</v>
      </c>
      <c r="L672" s="2">
        <f t="shared" si="32"/>
        <v>750</v>
      </c>
      <c r="M672" s="2" t="s">
        <v>1096</v>
      </c>
      <c r="N672" s="40">
        <f>_xlfn.XLOOKUP(F672,Terrain!D:D,Terrain!H:H,"")</f>
        <v>2566</v>
      </c>
      <c r="O672" t="str">
        <f t="shared" si="30"/>
        <v>66-PU2 | 1970 | 331|1</v>
      </c>
    </row>
    <row r="673" spans="1:15" x14ac:dyDescent="0.3">
      <c r="A673" s="43">
        <v>46266</v>
      </c>
      <c r="B673" s="2" t="s">
        <v>12</v>
      </c>
      <c r="C673" s="2" t="s">
        <v>1260</v>
      </c>
      <c r="D673" s="2" t="s">
        <v>554</v>
      </c>
      <c r="E673" s="2" t="str">
        <f>_xlfn.XLOOKUP(F673,Terrain!D:D,Terrain!A:A,"")</f>
        <v>Lower</v>
      </c>
      <c r="F673" s="2" t="s">
        <v>1241</v>
      </c>
      <c r="G673" s="2" t="s">
        <v>887</v>
      </c>
      <c r="H673" s="2">
        <f t="shared" si="31"/>
        <v>2568</v>
      </c>
      <c r="I673" s="2">
        <v>590.1</v>
      </c>
      <c r="J673" s="2">
        <v>11.802</v>
      </c>
      <c r="K673" s="2">
        <v>12</v>
      </c>
      <c r="L673" s="2">
        <f t="shared" si="32"/>
        <v>350</v>
      </c>
      <c r="M673" s="2" t="s">
        <v>1095</v>
      </c>
      <c r="N673" s="40">
        <f>_xlfn.XLOOKUP(F673,Terrain!D:D,Terrain!H:H,"")</f>
        <v>2568</v>
      </c>
      <c r="O673" t="str">
        <f t="shared" si="30"/>
        <v>68-PU3 | 1686 | 395|1</v>
      </c>
    </row>
    <row r="674" spans="1:15" x14ac:dyDescent="0.3">
      <c r="A674" s="43">
        <v>46266</v>
      </c>
      <c r="B674" s="2" t="s">
        <v>12</v>
      </c>
      <c r="C674" s="2" t="s">
        <v>1260</v>
      </c>
      <c r="D674" s="2" t="s">
        <v>564</v>
      </c>
      <c r="E674" s="2" t="str">
        <f>_xlfn.XLOOKUP(F674,Terrain!D:D,Terrain!A:A,"")</f>
        <v>Lower</v>
      </c>
      <c r="F674" s="2" t="s">
        <v>1242</v>
      </c>
      <c r="G674" s="2" t="s">
        <v>888</v>
      </c>
      <c r="H674" s="2">
        <f t="shared" si="31"/>
        <v>2568</v>
      </c>
      <c r="I674" s="2">
        <v>483</v>
      </c>
      <c r="J674" s="2">
        <v>9.66</v>
      </c>
      <c r="K674" s="2">
        <v>10</v>
      </c>
      <c r="L674" s="2">
        <f t="shared" si="32"/>
        <v>350</v>
      </c>
      <c r="M674" s="2" t="s">
        <v>1095</v>
      </c>
      <c r="N674" s="40">
        <f>_xlfn.XLOOKUP(F674,Terrain!D:D,Terrain!H:H,"")</f>
        <v>2568</v>
      </c>
      <c r="O674" t="str">
        <f t="shared" si="30"/>
        <v>68-PU4 | 1380 | 396|1</v>
      </c>
    </row>
    <row r="675" spans="1:15" x14ac:dyDescent="0.3">
      <c r="A675" s="43">
        <v>46266</v>
      </c>
      <c r="B675" s="2" t="s">
        <v>12</v>
      </c>
      <c r="C675" s="2" t="s">
        <v>1260</v>
      </c>
      <c r="D675" s="2" t="s">
        <v>574</v>
      </c>
      <c r="E675" s="2" t="str">
        <f>_xlfn.XLOOKUP(F675,Terrain!D:D,Terrain!A:A,"")</f>
        <v>Lower</v>
      </c>
      <c r="F675" s="2" t="s">
        <v>1243</v>
      </c>
      <c r="G675" s="2" t="s">
        <v>889</v>
      </c>
      <c r="H675" s="2">
        <f t="shared" si="31"/>
        <v>2568</v>
      </c>
      <c r="I675" s="2">
        <v>262.85000000000002</v>
      </c>
      <c r="J675" s="2">
        <v>5.2569999999999997</v>
      </c>
      <c r="K675" s="2">
        <v>5</v>
      </c>
      <c r="L675" s="2">
        <f t="shared" si="32"/>
        <v>350</v>
      </c>
      <c r="M675" s="2" t="s">
        <v>1097</v>
      </c>
      <c r="N675" s="40">
        <f>_xlfn.XLOOKUP(F675,Terrain!D:D,Terrain!H:H,"")</f>
        <v>2568</v>
      </c>
      <c r="O675" t="str">
        <f t="shared" si="30"/>
        <v>68-PU5 | 751 | 401|1</v>
      </c>
    </row>
    <row r="676" spans="1:15" x14ac:dyDescent="0.3">
      <c r="A676" s="43">
        <v>46266</v>
      </c>
      <c r="B676" s="2" t="s">
        <v>12</v>
      </c>
      <c r="C676" s="2" t="s">
        <v>1260</v>
      </c>
      <c r="D676" s="2" t="s">
        <v>584</v>
      </c>
      <c r="E676" s="2" t="str">
        <f>_xlfn.XLOOKUP(F676,Terrain!D:D,Terrain!A:A,"")</f>
        <v>Lower</v>
      </c>
      <c r="F676" s="2" t="s">
        <v>1327</v>
      </c>
      <c r="G676" s="2" t="s">
        <v>890</v>
      </c>
      <c r="H676" s="2">
        <f t="shared" si="31"/>
        <v>2568</v>
      </c>
      <c r="I676" s="2">
        <v>408.8</v>
      </c>
      <c r="J676" s="2">
        <v>8.1760000000000002</v>
      </c>
      <c r="K676" s="2">
        <v>8</v>
      </c>
      <c r="L676" s="2">
        <f t="shared" si="32"/>
        <v>350</v>
      </c>
      <c r="M676" s="2" t="s">
        <v>1098</v>
      </c>
      <c r="N676" s="40">
        <f>_xlfn.XLOOKUP(F676,Terrain!D:D,Terrain!H:H,"")</f>
        <v>2568</v>
      </c>
      <c r="O676" t="str">
        <f t="shared" si="30"/>
        <v>68-PU5-R | 1168 | 399|1</v>
      </c>
    </row>
    <row r="677" spans="1:15" x14ac:dyDescent="0.3">
      <c r="A677" s="43">
        <v>46266</v>
      </c>
      <c r="B677" s="2" t="s">
        <v>12</v>
      </c>
      <c r="C677" s="2" t="s">
        <v>1260</v>
      </c>
      <c r="D677" s="2" t="s">
        <v>594</v>
      </c>
      <c r="E677" s="2" t="str">
        <f>_xlfn.XLOOKUP(F677,Terrain!D:D,Terrain!A:A,"")</f>
        <v>Lower</v>
      </c>
      <c r="F677" s="2" t="s">
        <v>1245</v>
      </c>
      <c r="G677" s="2" t="s">
        <v>1099</v>
      </c>
      <c r="H677" s="2">
        <f t="shared" si="31"/>
        <v>2568</v>
      </c>
      <c r="I677" s="2">
        <v>50.75</v>
      </c>
      <c r="J677" s="2">
        <v>1.0149999999999999</v>
      </c>
      <c r="K677" s="2">
        <v>1</v>
      </c>
      <c r="L677" s="2">
        <f t="shared" si="32"/>
        <v>350</v>
      </c>
      <c r="M677" s="2" t="s">
        <v>1097</v>
      </c>
      <c r="N677" s="40">
        <f>_xlfn.XLOOKUP(F677,Terrain!D:D,Terrain!H:H,"")</f>
        <v>2568</v>
      </c>
      <c r="O677" t="str">
        <f t="shared" si="30"/>
        <v>68-PU6 | 145 | 400|1</v>
      </c>
    </row>
    <row r="678" spans="1:15" x14ac:dyDescent="0.3">
      <c r="A678" s="43">
        <v>46266</v>
      </c>
      <c r="B678" s="2" t="s">
        <v>12</v>
      </c>
      <c r="C678" s="2" t="s">
        <v>1260</v>
      </c>
      <c r="D678" s="2" t="s">
        <v>604</v>
      </c>
      <c r="E678" s="2" t="str">
        <f>_xlfn.XLOOKUP(F678,Terrain!D:D,Terrain!A:A,"")</f>
        <v>Lower</v>
      </c>
      <c r="F678" s="2" t="s">
        <v>1328</v>
      </c>
      <c r="G678" s="2" t="s">
        <v>1100</v>
      </c>
      <c r="H678" s="2">
        <f t="shared" si="31"/>
        <v>2568</v>
      </c>
      <c r="I678" s="2">
        <v>541.45000000000005</v>
      </c>
      <c r="J678" s="2">
        <v>10.829000000000001</v>
      </c>
      <c r="K678" s="2">
        <v>11</v>
      </c>
      <c r="L678" s="2">
        <f t="shared" si="32"/>
        <v>350</v>
      </c>
      <c r="M678" s="2" t="s">
        <v>1098</v>
      </c>
      <c r="N678" s="40">
        <f>_xlfn.XLOOKUP(F678,Terrain!D:D,Terrain!H:H,"")</f>
        <v>2568</v>
      </c>
      <c r="O678" t="str">
        <f t="shared" si="30"/>
        <v>68-PU6-R | 1547 | 398|1</v>
      </c>
    </row>
    <row r="679" spans="1:15" x14ac:dyDescent="0.3">
      <c r="A679" s="43">
        <v>46266</v>
      </c>
      <c r="B679" s="2" t="s">
        <v>12</v>
      </c>
      <c r="C679" s="2" t="s">
        <v>1260</v>
      </c>
      <c r="D679" s="2" t="s">
        <v>614</v>
      </c>
      <c r="E679" s="2" t="str">
        <f>_xlfn.XLOOKUP(F679,Terrain!D:D,Terrain!A:A,"")</f>
        <v>Upper</v>
      </c>
      <c r="F679" s="2" t="s">
        <v>1329</v>
      </c>
      <c r="G679" s="2" t="s">
        <v>1101</v>
      </c>
      <c r="H679" s="2">
        <f t="shared" si="31"/>
        <v>2568</v>
      </c>
      <c r="I679" s="2">
        <v>1109.8499999999999</v>
      </c>
      <c r="J679" s="2">
        <v>22.196999999999999</v>
      </c>
      <c r="K679" s="2">
        <v>22</v>
      </c>
      <c r="L679" s="2">
        <f t="shared" si="32"/>
        <v>350</v>
      </c>
      <c r="M679" s="2" t="s">
        <v>1102</v>
      </c>
      <c r="N679" s="40">
        <f>_xlfn.XLOOKUP(F679,Terrain!D:D,Terrain!H:H,"")</f>
        <v>2568</v>
      </c>
      <c r="O679" t="str">
        <f t="shared" si="30"/>
        <v>68-T01 | 3171 | 663|1</v>
      </c>
    </row>
    <row r="680" spans="1:15" x14ac:dyDescent="0.3">
      <c r="A680" s="43">
        <v>46266</v>
      </c>
      <c r="B680" s="2" t="s">
        <v>12</v>
      </c>
      <c r="C680" s="2" t="s">
        <v>1260</v>
      </c>
      <c r="D680" s="2" t="s">
        <v>624</v>
      </c>
      <c r="E680" s="2" t="str">
        <f>_xlfn.XLOOKUP(F680,Terrain!D:D,Terrain!A:A,"")</f>
        <v>Upper</v>
      </c>
      <c r="F680" s="2" t="s">
        <v>1330</v>
      </c>
      <c r="G680" s="2" t="s">
        <v>906</v>
      </c>
      <c r="H680" s="2">
        <f t="shared" si="31"/>
        <v>2568</v>
      </c>
      <c r="I680" s="2">
        <v>1032.5</v>
      </c>
      <c r="J680" s="2">
        <v>20.65</v>
      </c>
      <c r="K680" s="2">
        <v>21</v>
      </c>
      <c r="L680" s="2">
        <f t="shared" si="32"/>
        <v>350</v>
      </c>
      <c r="M680" s="2" t="s">
        <v>1102</v>
      </c>
      <c r="N680" s="40">
        <f>_xlfn.XLOOKUP(F680,Terrain!D:D,Terrain!H:H,"")</f>
        <v>2568</v>
      </c>
      <c r="O680" t="str">
        <f t="shared" si="30"/>
        <v>68-T02 | 2950 | 662|1</v>
      </c>
    </row>
    <row r="681" spans="1:15" x14ac:dyDescent="0.3">
      <c r="A681" s="43">
        <v>46266</v>
      </c>
      <c r="B681" s="2" t="s">
        <v>12</v>
      </c>
      <c r="C681" s="2" t="s">
        <v>1260</v>
      </c>
      <c r="D681" s="2" t="s">
        <v>634</v>
      </c>
      <c r="E681" s="2" t="str">
        <f>_xlfn.XLOOKUP(F681,Terrain!D:D,Terrain!A:A,"")</f>
        <v>Upper</v>
      </c>
      <c r="F681" s="2" t="s">
        <v>1331</v>
      </c>
      <c r="G681" s="2" t="s">
        <v>907</v>
      </c>
      <c r="H681" s="2">
        <f t="shared" si="31"/>
        <v>2566</v>
      </c>
      <c r="I681" s="2">
        <v>1836.75</v>
      </c>
      <c r="J681" s="2">
        <v>36.734999999999999</v>
      </c>
      <c r="K681" s="2">
        <v>37</v>
      </c>
      <c r="L681" s="2">
        <f t="shared" si="32"/>
        <v>750</v>
      </c>
      <c r="M681" s="2" t="s">
        <v>1103</v>
      </c>
      <c r="N681" s="40">
        <f>_xlfn.XLOOKUP(F681,Terrain!D:D,Terrain!H:H,"")</f>
        <v>2566</v>
      </c>
      <c r="O681" t="str">
        <f t="shared" si="30"/>
        <v>66-T03 | 2449 | 600|1</v>
      </c>
    </row>
    <row r="682" spans="1:15" x14ac:dyDescent="0.3">
      <c r="A682" s="43">
        <v>46266</v>
      </c>
      <c r="B682" s="2" t="s">
        <v>12</v>
      </c>
      <c r="C682" s="2" t="s">
        <v>1260</v>
      </c>
      <c r="D682" s="2" t="s">
        <v>644</v>
      </c>
      <c r="E682" s="2" t="str">
        <f>_xlfn.XLOOKUP(F682,Terrain!D:D,Terrain!A:A,"")</f>
        <v>Upper</v>
      </c>
      <c r="F682" s="2" t="s">
        <v>1332</v>
      </c>
      <c r="G682" s="2" t="s">
        <v>908</v>
      </c>
      <c r="H682" s="2">
        <f t="shared" si="31"/>
        <v>2566</v>
      </c>
      <c r="I682" s="2">
        <v>1510.5</v>
      </c>
      <c r="J682" s="2">
        <v>30.21</v>
      </c>
      <c r="K682" s="2">
        <v>30</v>
      </c>
      <c r="L682" s="2">
        <f t="shared" si="32"/>
        <v>750</v>
      </c>
      <c r="M682" s="2" t="s">
        <v>1103</v>
      </c>
      <c r="N682" s="40">
        <f>_xlfn.XLOOKUP(F682,Terrain!D:D,Terrain!H:H,"")</f>
        <v>2566</v>
      </c>
      <c r="O682" t="str">
        <f t="shared" si="30"/>
        <v>66-T04 | 2014 | 603|1</v>
      </c>
    </row>
    <row r="683" spans="1:15" x14ac:dyDescent="0.3">
      <c r="A683" s="43">
        <v>46266</v>
      </c>
      <c r="B683" s="2" t="s">
        <v>12</v>
      </c>
      <c r="C683" s="2" t="s">
        <v>1260</v>
      </c>
      <c r="D683" s="2" t="s">
        <v>654</v>
      </c>
      <c r="E683" s="2" t="str">
        <f>_xlfn.XLOOKUP(F683,Terrain!D:D,Terrain!A:A,"")</f>
        <v>Upper</v>
      </c>
      <c r="F683" s="2" t="s">
        <v>1333</v>
      </c>
      <c r="G683" s="2" t="s">
        <v>909</v>
      </c>
      <c r="H683" s="2">
        <f t="shared" si="31"/>
        <v>2563</v>
      </c>
      <c r="I683" s="2">
        <v>3796.25</v>
      </c>
      <c r="J683" s="2">
        <v>75.924999999999997</v>
      </c>
      <c r="K683" s="2">
        <v>76</v>
      </c>
      <c r="L683" s="2">
        <f t="shared" si="32"/>
        <v>1250</v>
      </c>
      <c r="M683" s="2" t="s">
        <v>1104</v>
      </c>
      <c r="N683" s="40" t="str">
        <f>_xlfn.XLOOKUP(F683,Terrain!D:D,Terrain!H:H,"")</f>
        <v>2563 - 2565</v>
      </c>
      <c r="O683" t="str">
        <f t="shared" si="30"/>
        <v>63-T05-R | 3037 | 572|1</v>
      </c>
    </row>
    <row r="684" spans="1:15" x14ac:dyDescent="0.3">
      <c r="A684" s="43">
        <v>46266</v>
      </c>
      <c r="B684" s="2" t="s">
        <v>12</v>
      </c>
      <c r="C684" s="2" t="s">
        <v>1260</v>
      </c>
      <c r="D684" s="2" t="s">
        <v>662</v>
      </c>
      <c r="E684" s="2" t="str">
        <f>_xlfn.XLOOKUP(F684,Terrain!D:D,Terrain!A:A,"")</f>
        <v>Upper</v>
      </c>
      <c r="F684" s="2" t="s">
        <v>1334</v>
      </c>
      <c r="G684" s="2" t="s">
        <v>910</v>
      </c>
      <c r="H684" s="2">
        <f t="shared" si="31"/>
        <v>2566</v>
      </c>
      <c r="I684" s="2">
        <v>2173.5</v>
      </c>
      <c r="J684" s="2">
        <v>43.47</v>
      </c>
      <c r="K684" s="2">
        <v>43</v>
      </c>
      <c r="L684" s="2">
        <f t="shared" si="32"/>
        <v>750</v>
      </c>
      <c r="M684" s="2" t="s">
        <v>1103</v>
      </c>
      <c r="N684" s="40">
        <f>_xlfn.XLOOKUP(F684,Terrain!D:D,Terrain!H:H,"")</f>
        <v>2566</v>
      </c>
      <c r="O684" t="str">
        <f t="shared" si="30"/>
        <v>66-T06 | 2898 | 601|1</v>
      </c>
    </row>
    <row r="685" spans="1:15" x14ac:dyDescent="0.3">
      <c r="A685" s="43">
        <v>46266</v>
      </c>
      <c r="B685" s="2" t="s">
        <v>12</v>
      </c>
      <c r="C685" s="2" t="s">
        <v>1260</v>
      </c>
      <c r="D685" s="2" t="s">
        <v>672</v>
      </c>
      <c r="E685" s="2" t="str">
        <f>_xlfn.XLOOKUP(F685,Terrain!D:D,Terrain!A:A,"")</f>
        <v>Upper</v>
      </c>
      <c r="F685" s="2" t="s">
        <v>1335</v>
      </c>
      <c r="G685" s="2" t="s">
        <v>911</v>
      </c>
      <c r="H685" s="2">
        <f t="shared" si="31"/>
        <v>2566</v>
      </c>
      <c r="I685" s="2">
        <v>1773</v>
      </c>
      <c r="J685" s="2">
        <v>35.46</v>
      </c>
      <c r="K685" s="2">
        <v>35</v>
      </c>
      <c r="L685" s="2">
        <f t="shared" si="32"/>
        <v>750</v>
      </c>
      <c r="M685" s="2" t="s">
        <v>1103</v>
      </c>
      <c r="N685" s="40">
        <f>_xlfn.XLOOKUP(F685,Terrain!D:D,Terrain!H:H,"")</f>
        <v>2566</v>
      </c>
      <c r="O685" t="str">
        <f t="shared" si="30"/>
        <v>66-T07 | 2364 | 602|1</v>
      </c>
    </row>
    <row r="686" spans="1:15" x14ac:dyDescent="0.3">
      <c r="A686" s="43">
        <v>46266</v>
      </c>
      <c r="B686" s="2" t="s">
        <v>12</v>
      </c>
      <c r="C686" s="2" t="s">
        <v>1260</v>
      </c>
      <c r="D686" s="2" t="s">
        <v>682</v>
      </c>
      <c r="E686" s="2" t="str">
        <f>_xlfn.XLOOKUP(F686,Terrain!D:D,Terrain!A:A,"")</f>
        <v>Upper</v>
      </c>
      <c r="F686" s="2" t="s">
        <v>1336</v>
      </c>
      <c r="G686" s="2" t="s">
        <v>912</v>
      </c>
      <c r="H686" s="2">
        <f t="shared" si="31"/>
        <v>2556</v>
      </c>
      <c r="I686" s="2">
        <v>266.25</v>
      </c>
      <c r="J686" s="2">
        <v>5.3250000000000002</v>
      </c>
      <c r="K686" s="2">
        <v>5</v>
      </c>
      <c r="L686" s="2">
        <f t="shared" si="32"/>
        <v>1250</v>
      </c>
      <c r="M686" s="2" t="s">
        <v>1105</v>
      </c>
      <c r="N686" s="40" t="str">
        <f>_xlfn.XLOOKUP(F686,Terrain!D:D,Terrain!H:H,"")</f>
        <v>2555 - 2558</v>
      </c>
      <c r="O686" t="str">
        <f t="shared" si="30"/>
        <v>56-T08 | 213 | 518|1</v>
      </c>
    </row>
    <row r="687" spans="1:15" x14ac:dyDescent="0.3">
      <c r="A687" s="43">
        <v>46266</v>
      </c>
      <c r="B687" s="2" t="s">
        <v>12</v>
      </c>
      <c r="C687" s="2" t="s">
        <v>1260</v>
      </c>
      <c r="D687" s="2" t="s">
        <v>690</v>
      </c>
      <c r="E687" s="2" t="str">
        <f>_xlfn.XLOOKUP(F687,Terrain!D:D,Terrain!A:A,"")</f>
        <v>Upper</v>
      </c>
      <c r="F687" s="2" t="s">
        <v>1337</v>
      </c>
      <c r="G687" s="2" t="s">
        <v>913</v>
      </c>
      <c r="H687" s="2">
        <f t="shared" si="31"/>
        <v>2556</v>
      </c>
      <c r="I687" s="2">
        <v>3520</v>
      </c>
      <c r="J687" s="2">
        <v>70.400000000000006</v>
      </c>
      <c r="K687" s="2">
        <v>70</v>
      </c>
      <c r="L687" s="2">
        <f t="shared" si="32"/>
        <v>1250</v>
      </c>
      <c r="M687" s="2" t="s">
        <v>1106</v>
      </c>
      <c r="N687" s="40" t="str">
        <f>_xlfn.XLOOKUP(F687,Terrain!D:D,Terrain!H:H,"")</f>
        <v>2555 - 2558</v>
      </c>
      <c r="O687" t="str">
        <f t="shared" si="30"/>
        <v>56-T08-R | 2816 | 516|1</v>
      </c>
    </row>
    <row r="688" spans="1:15" x14ac:dyDescent="0.3">
      <c r="A688" s="43">
        <v>46266</v>
      </c>
      <c r="B688" s="2" t="s">
        <v>12</v>
      </c>
      <c r="C688" s="2" t="s">
        <v>1260</v>
      </c>
      <c r="D688" s="2" t="s">
        <v>698</v>
      </c>
      <c r="E688" s="2" t="str">
        <f>_xlfn.XLOOKUP(F688,Terrain!D:D,Terrain!A:A,"")</f>
        <v>Upper</v>
      </c>
      <c r="F688" s="2" t="s">
        <v>1338</v>
      </c>
      <c r="G688" s="2" t="s">
        <v>914</v>
      </c>
      <c r="H688" s="2">
        <f t="shared" si="31"/>
        <v>2558</v>
      </c>
      <c r="I688" s="2">
        <v>3667.5</v>
      </c>
      <c r="J688" s="2">
        <v>73.349999999999994</v>
      </c>
      <c r="K688" s="2">
        <v>73</v>
      </c>
      <c r="L688" s="2">
        <f t="shared" si="32"/>
        <v>1250</v>
      </c>
      <c r="M688" s="2" t="s">
        <v>1106</v>
      </c>
      <c r="N688" s="40" t="str">
        <f>_xlfn.XLOOKUP(F688,Terrain!D:D,Terrain!H:H,"")</f>
        <v>2555 - 2558</v>
      </c>
      <c r="O688" t="str">
        <f t="shared" si="30"/>
        <v>58-T09-R | 2934 | 523|1</v>
      </c>
    </row>
    <row r="689" spans="1:15" x14ac:dyDescent="0.3">
      <c r="A689" s="43">
        <v>46266</v>
      </c>
      <c r="B689" s="2" t="s">
        <v>12</v>
      </c>
      <c r="C689" s="2" t="s">
        <v>1260</v>
      </c>
      <c r="D689" s="2" t="s">
        <v>706</v>
      </c>
      <c r="E689" s="2" t="str">
        <f>_xlfn.XLOOKUP(F689,Terrain!D:D,Terrain!A:A,"")</f>
        <v>Upper</v>
      </c>
      <c r="F689" s="2" t="s">
        <v>1339</v>
      </c>
      <c r="G689" s="2" t="s">
        <v>915</v>
      </c>
      <c r="H689" s="2">
        <f t="shared" si="31"/>
        <v>2550</v>
      </c>
      <c r="I689" s="2">
        <v>2872</v>
      </c>
      <c r="J689" s="2">
        <v>57.44</v>
      </c>
      <c r="K689" s="2">
        <v>57</v>
      </c>
      <c r="L689" s="2">
        <f t="shared" si="32"/>
        <v>1000</v>
      </c>
      <c r="M689" s="2" t="s">
        <v>1107</v>
      </c>
      <c r="N689" s="40" t="str">
        <f>_xlfn.XLOOKUP(F689,Terrain!D:D,Terrain!H:H,"")</f>
        <v>2549 - 2552</v>
      </c>
      <c r="O689" t="str">
        <f t="shared" si="30"/>
        <v>50-T10-R | 2872 | 451|1</v>
      </c>
    </row>
    <row r="690" spans="1:15" x14ac:dyDescent="0.3">
      <c r="A690" s="43">
        <v>46266</v>
      </c>
      <c r="B690" s="2" t="s">
        <v>12</v>
      </c>
      <c r="C690" s="2" t="s">
        <v>1260</v>
      </c>
      <c r="D690" s="2" t="s">
        <v>713</v>
      </c>
      <c r="E690" s="2" t="str">
        <f>_xlfn.XLOOKUP(F690,Terrain!D:D,Terrain!A:A,"")</f>
        <v>Upper</v>
      </c>
      <c r="F690" s="2" t="s">
        <v>1173</v>
      </c>
      <c r="G690" s="2" t="s">
        <v>916</v>
      </c>
      <c r="H690" s="2">
        <f t="shared" si="31"/>
        <v>2567</v>
      </c>
      <c r="I690" s="2">
        <v>30.5</v>
      </c>
      <c r="J690" s="2">
        <v>0.61</v>
      </c>
      <c r="K690" s="2">
        <v>1</v>
      </c>
      <c r="L690" s="2">
        <f t="shared" si="32"/>
        <v>500</v>
      </c>
      <c r="M690" s="2" t="s">
        <v>1108</v>
      </c>
      <c r="N690" s="40">
        <f>_xlfn.XLOOKUP(F690,Terrain!D:D,Terrain!H:H,"")</f>
        <v>2567</v>
      </c>
      <c r="O690" t="str">
        <f t="shared" si="30"/>
        <v>67-T10 | 61 | 643|0</v>
      </c>
    </row>
    <row r="691" spans="1:15" x14ac:dyDescent="0.3">
      <c r="A691" s="43">
        <v>46266</v>
      </c>
      <c r="B691" s="2" t="s">
        <v>12</v>
      </c>
      <c r="C691" s="2" t="s">
        <v>1260</v>
      </c>
      <c r="D691" s="2" t="s">
        <v>723</v>
      </c>
      <c r="E691" s="2" t="str">
        <f>_xlfn.XLOOKUP(F691,Terrain!D:D,Terrain!A:A,"")</f>
        <v>Upper</v>
      </c>
      <c r="F691" s="2" t="s">
        <v>1340</v>
      </c>
      <c r="G691" s="2" t="s">
        <v>917</v>
      </c>
      <c r="H691" s="2">
        <f t="shared" si="31"/>
        <v>2558</v>
      </c>
      <c r="I691" s="2">
        <v>3628.75</v>
      </c>
      <c r="J691" s="2">
        <v>72.575000000000003</v>
      </c>
      <c r="K691" s="2">
        <v>73</v>
      </c>
      <c r="L691" s="2">
        <f t="shared" si="32"/>
        <v>1250</v>
      </c>
      <c r="M691" s="2" t="s">
        <v>1106</v>
      </c>
      <c r="N691" s="40" t="str">
        <f>_xlfn.XLOOKUP(F691,Terrain!D:D,Terrain!H:H,"")</f>
        <v>2555 - 2558</v>
      </c>
      <c r="O691" t="str">
        <f t="shared" si="30"/>
        <v>58-T11-R | 2903 | 522|1</v>
      </c>
    </row>
    <row r="692" spans="1:15" x14ac:dyDescent="0.3">
      <c r="A692" s="43">
        <v>46266</v>
      </c>
      <c r="B692" s="2" t="s">
        <v>12</v>
      </c>
      <c r="C692" s="2" t="s">
        <v>1260</v>
      </c>
      <c r="D692" s="2" t="s">
        <v>731</v>
      </c>
      <c r="E692" s="2" t="str">
        <f>_xlfn.XLOOKUP(F692,Terrain!D:D,Terrain!A:A,"")</f>
        <v>Upper</v>
      </c>
      <c r="F692" s="2" t="s">
        <v>1341</v>
      </c>
      <c r="G692" s="2" t="s">
        <v>918</v>
      </c>
      <c r="H692" s="2">
        <f t="shared" si="31"/>
        <v>2550</v>
      </c>
      <c r="I692" s="2">
        <v>3030</v>
      </c>
      <c r="J692" s="2">
        <v>60.6</v>
      </c>
      <c r="K692" s="2">
        <v>61</v>
      </c>
      <c r="L692" s="2">
        <f t="shared" si="32"/>
        <v>1000</v>
      </c>
      <c r="M692" s="2" t="s">
        <v>1107</v>
      </c>
      <c r="N692" s="40" t="str">
        <f>_xlfn.XLOOKUP(F692,Terrain!D:D,Terrain!H:H,"")</f>
        <v>2549 - 2552</v>
      </c>
      <c r="O692" t="str">
        <f t="shared" si="30"/>
        <v>50-T12-R | 3030 | 458|1</v>
      </c>
    </row>
    <row r="693" spans="1:15" x14ac:dyDescent="0.3">
      <c r="A693" s="43">
        <v>46266</v>
      </c>
      <c r="B693" s="2" t="s">
        <v>12</v>
      </c>
      <c r="C693" s="2" t="s">
        <v>1260</v>
      </c>
      <c r="D693" s="2" t="s">
        <v>739</v>
      </c>
      <c r="E693" s="2" t="str">
        <f>_xlfn.XLOOKUP(F693,Terrain!D:D,Terrain!A:A,"")</f>
        <v>Upper</v>
      </c>
      <c r="F693" s="2" t="s">
        <v>1342</v>
      </c>
      <c r="G693" s="2" t="s">
        <v>919</v>
      </c>
      <c r="H693" s="2">
        <f t="shared" si="31"/>
        <v>2558</v>
      </c>
      <c r="I693" s="2">
        <v>3580</v>
      </c>
      <c r="J693" s="2">
        <v>71.599999999999994</v>
      </c>
      <c r="K693" s="2">
        <v>72</v>
      </c>
      <c r="L693" s="2">
        <f t="shared" si="32"/>
        <v>1250</v>
      </c>
      <c r="M693" s="2" t="s">
        <v>1106</v>
      </c>
      <c r="N693" s="40" t="str">
        <f>_xlfn.XLOOKUP(F693,Terrain!D:D,Terrain!H:H,"")</f>
        <v>2555 - 2558</v>
      </c>
      <c r="O693" t="str">
        <f t="shared" si="30"/>
        <v>58-T13-R | 2864 | 527|1</v>
      </c>
    </row>
    <row r="694" spans="1:15" x14ac:dyDescent="0.3">
      <c r="A694" s="43">
        <v>46266</v>
      </c>
      <c r="B694" s="2" t="s">
        <v>12</v>
      </c>
      <c r="C694" s="2" t="s">
        <v>1260</v>
      </c>
      <c r="D694" s="2" t="s">
        <v>747</v>
      </c>
      <c r="E694" s="2" t="str">
        <f>_xlfn.XLOOKUP(F694,Terrain!D:D,Terrain!A:A,"")</f>
        <v>Upper</v>
      </c>
      <c r="F694" s="2" t="s">
        <v>1343</v>
      </c>
      <c r="G694" s="2" t="s">
        <v>920</v>
      </c>
      <c r="H694" s="2">
        <f t="shared" si="31"/>
        <v>2549</v>
      </c>
      <c r="I694" s="2">
        <v>112</v>
      </c>
      <c r="J694" s="2">
        <v>2.2400000000000002</v>
      </c>
      <c r="K694" s="2">
        <v>2</v>
      </c>
      <c r="L694" s="2">
        <f t="shared" si="32"/>
        <v>1000</v>
      </c>
      <c r="M694" s="2" t="s">
        <v>1107</v>
      </c>
      <c r="N694" s="40" t="str">
        <f>_xlfn.XLOOKUP(F694,Terrain!D:D,Terrain!H:H,"")</f>
        <v>2549 - 2552</v>
      </c>
      <c r="O694" t="str">
        <f t="shared" si="30"/>
        <v>49-T16-R | 112 | 454|1</v>
      </c>
    </row>
    <row r="695" spans="1:15" x14ac:dyDescent="0.3">
      <c r="A695" s="43">
        <v>46266</v>
      </c>
      <c r="B695" s="2" t="s">
        <v>12</v>
      </c>
      <c r="C695" s="2" t="s">
        <v>1260</v>
      </c>
      <c r="D695" s="2" t="s">
        <v>755</v>
      </c>
      <c r="E695" s="2" t="str">
        <f>_xlfn.XLOOKUP(F695,Terrain!D:D,Terrain!A:A,"")</f>
        <v>Upper</v>
      </c>
      <c r="F695" s="2" t="s">
        <v>1344</v>
      </c>
      <c r="G695" s="2" t="s">
        <v>921</v>
      </c>
      <c r="H695" s="2">
        <f t="shared" si="31"/>
        <v>2558</v>
      </c>
      <c r="I695" s="2">
        <v>3531.25</v>
      </c>
      <c r="J695" s="2">
        <v>70.625</v>
      </c>
      <c r="K695" s="2">
        <v>71</v>
      </c>
      <c r="L695" s="2">
        <f t="shared" si="32"/>
        <v>1250</v>
      </c>
      <c r="M695" s="2" t="s">
        <v>1106</v>
      </c>
      <c r="N695" s="40" t="str">
        <f>_xlfn.XLOOKUP(F695,Terrain!D:D,Terrain!H:H,"")</f>
        <v>2555 - 2558</v>
      </c>
      <c r="O695" t="str">
        <f t="shared" si="30"/>
        <v>58-T17-R | 2825 | 530|1</v>
      </c>
    </row>
    <row r="696" spans="1:15" x14ac:dyDescent="0.3">
      <c r="A696" s="43">
        <v>46266</v>
      </c>
      <c r="B696" s="2" t="s">
        <v>12</v>
      </c>
      <c r="C696" s="2" t="s">
        <v>1260</v>
      </c>
      <c r="D696" s="2" t="s">
        <v>763</v>
      </c>
      <c r="E696" s="2" t="str">
        <f>_xlfn.XLOOKUP(F696,Terrain!D:D,Terrain!A:A,"")</f>
        <v>Upper</v>
      </c>
      <c r="F696" s="2" t="s">
        <v>1345</v>
      </c>
      <c r="G696" s="2" t="s">
        <v>922</v>
      </c>
      <c r="H696" s="2">
        <f t="shared" si="31"/>
        <v>2558</v>
      </c>
      <c r="I696" s="2">
        <v>3553.75</v>
      </c>
      <c r="J696" s="2">
        <v>71.075000000000003</v>
      </c>
      <c r="K696" s="2">
        <v>71</v>
      </c>
      <c r="L696" s="2">
        <f t="shared" si="32"/>
        <v>1250</v>
      </c>
      <c r="M696" s="2" t="s">
        <v>1106</v>
      </c>
      <c r="N696" s="40" t="str">
        <f>_xlfn.XLOOKUP(F696,Terrain!D:D,Terrain!H:H,"")</f>
        <v>2555 - 2558</v>
      </c>
      <c r="O696" t="str">
        <f t="shared" si="30"/>
        <v>58-T18-R | 2843 | 521|1</v>
      </c>
    </row>
    <row r="697" spans="1:15" x14ac:dyDescent="0.3">
      <c r="A697" s="43">
        <v>46266</v>
      </c>
      <c r="B697" s="2" t="s">
        <v>12</v>
      </c>
      <c r="C697" s="2" t="s">
        <v>1260</v>
      </c>
      <c r="D697" s="2" t="s">
        <v>770</v>
      </c>
      <c r="E697" s="2" t="str">
        <f>_xlfn.XLOOKUP(F697,Terrain!D:D,Terrain!A:A,"")</f>
        <v>Upper</v>
      </c>
      <c r="F697" s="2" t="s">
        <v>1174</v>
      </c>
      <c r="G697" s="2" t="s">
        <v>923</v>
      </c>
      <c r="H697" s="2">
        <f t="shared" si="31"/>
        <v>2567</v>
      </c>
      <c r="I697" s="2">
        <v>85.5</v>
      </c>
      <c r="J697" s="2">
        <v>1.71</v>
      </c>
      <c r="K697" s="2">
        <v>2</v>
      </c>
      <c r="L697" s="2">
        <f t="shared" si="32"/>
        <v>500</v>
      </c>
      <c r="M697" s="2" t="s">
        <v>1108</v>
      </c>
      <c r="N697" s="40">
        <f>_xlfn.XLOOKUP(F697,Terrain!D:D,Terrain!H:H,"")</f>
        <v>2567</v>
      </c>
      <c r="O697" t="str">
        <f t="shared" si="30"/>
        <v>67-T18 | 171 | 644|0</v>
      </c>
    </row>
    <row r="698" spans="1:15" x14ac:dyDescent="0.3">
      <c r="A698" s="43">
        <v>46266</v>
      </c>
      <c r="B698" s="2" t="s">
        <v>12</v>
      </c>
      <c r="C698" s="2" t="s">
        <v>1260</v>
      </c>
      <c r="D698" s="2" t="s">
        <v>780</v>
      </c>
      <c r="E698" s="2" t="str">
        <f>_xlfn.XLOOKUP(F698,Terrain!D:D,Terrain!A:A,"")</f>
        <v>Upper</v>
      </c>
      <c r="F698" s="2" t="s">
        <v>1346</v>
      </c>
      <c r="G698" s="2" t="s">
        <v>924</v>
      </c>
      <c r="H698" s="2">
        <f t="shared" si="31"/>
        <v>2556</v>
      </c>
      <c r="I698" s="2">
        <v>3998.75</v>
      </c>
      <c r="J698" s="2">
        <v>79.974999999999994</v>
      </c>
      <c r="K698" s="2">
        <v>80</v>
      </c>
      <c r="L698" s="2">
        <f t="shared" si="32"/>
        <v>1250</v>
      </c>
      <c r="M698" s="2" t="s">
        <v>1106</v>
      </c>
      <c r="N698" s="40" t="str">
        <f>_xlfn.XLOOKUP(F698,Terrain!D:D,Terrain!H:H,"")</f>
        <v>2555 - 2558</v>
      </c>
      <c r="O698" t="str">
        <f t="shared" si="30"/>
        <v>56-T19-R | 3199 | 520|1</v>
      </c>
    </row>
    <row r="699" spans="1:15" x14ac:dyDescent="0.3">
      <c r="A699" s="43">
        <v>46266</v>
      </c>
      <c r="B699" s="2" t="s">
        <v>12</v>
      </c>
      <c r="C699" s="2" t="s">
        <v>1260</v>
      </c>
      <c r="D699" s="2" t="s">
        <v>788</v>
      </c>
      <c r="E699" s="2" t="str">
        <f>_xlfn.XLOOKUP(F699,Terrain!D:D,Terrain!A:A,"")</f>
        <v>Upper</v>
      </c>
      <c r="F699" s="2" t="s">
        <v>1267</v>
      </c>
      <c r="G699" s="2" t="s">
        <v>925</v>
      </c>
      <c r="H699" s="2">
        <f t="shared" si="31"/>
        <v>2549</v>
      </c>
      <c r="I699" s="2">
        <v>2833</v>
      </c>
      <c r="J699" s="2">
        <v>56.66</v>
      </c>
      <c r="K699" s="2">
        <v>57</v>
      </c>
      <c r="L699" s="2">
        <f t="shared" si="32"/>
        <v>1000</v>
      </c>
      <c r="M699" s="2" t="s">
        <v>1107</v>
      </c>
      <c r="N699" s="40" t="str">
        <f>_xlfn.XLOOKUP(F699,Terrain!D:D,Terrain!H:H,"")</f>
        <v>2549 - 2552</v>
      </c>
      <c r="O699" t="str">
        <f t="shared" si="30"/>
        <v>49-T20-R | 2833 | 455|1</v>
      </c>
    </row>
    <row r="700" spans="1:15" x14ac:dyDescent="0.3">
      <c r="A700" s="43">
        <v>46266</v>
      </c>
      <c r="B700" s="2" t="s">
        <v>12</v>
      </c>
      <c r="C700" s="2" t="s">
        <v>1260</v>
      </c>
      <c r="D700" s="2" t="s">
        <v>796</v>
      </c>
      <c r="E700" s="2" t="str">
        <f>_xlfn.XLOOKUP(F700,Terrain!D:D,Terrain!A:A,"")</f>
        <v>Upper</v>
      </c>
      <c r="F700" s="2" t="s">
        <v>1347</v>
      </c>
      <c r="G700" s="2" t="s">
        <v>926</v>
      </c>
      <c r="H700" s="2">
        <f t="shared" si="31"/>
        <v>2556</v>
      </c>
      <c r="I700" s="2">
        <v>3768.75</v>
      </c>
      <c r="J700" s="2">
        <v>75.375</v>
      </c>
      <c r="K700" s="2">
        <v>75</v>
      </c>
      <c r="L700" s="2">
        <f t="shared" si="32"/>
        <v>1250</v>
      </c>
      <c r="M700" s="2" t="s">
        <v>1106</v>
      </c>
      <c r="N700" s="40" t="str">
        <f>_xlfn.XLOOKUP(F700,Terrain!D:D,Terrain!H:H,"")</f>
        <v>2555 - 2558</v>
      </c>
      <c r="O700" t="str">
        <f t="shared" si="30"/>
        <v>56-T21-R | 3015 | 526|1</v>
      </c>
    </row>
    <row r="701" spans="1:15" x14ac:dyDescent="0.3">
      <c r="A701" s="43">
        <v>46266</v>
      </c>
      <c r="B701" s="2" t="s">
        <v>12</v>
      </c>
      <c r="C701" s="2" t="s">
        <v>1260</v>
      </c>
      <c r="D701" s="2" t="s">
        <v>803</v>
      </c>
      <c r="E701" s="2" t="str">
        <f>_xlfn.XLOOKUP(F701,Terrain!D:D,Terrain!A:A,"")</f>
        <v>Upper</v>
      </c>
      <c r="F701" s="2" t="s">
        <v>1175</v>
      </c>
      <c r="G701" s="2" t="s">
        <v>927</v>
      </c>
      <c r="H701" s="2">
        <f t="shared" si="31"/>
        <v>2567</v>
      </c>
      <c r="I701" s="2">
        <v>120.5</v>
      </c>
      <c r="J701" s="2">
        <v>2.41</v>
      </c>
      <c r="K701" s="2">
        <v>2</v>
      </c>
      <c r="L701" s="2">
        <f t="shared" si="32"/>
        <v>500</v>
      </c>
      <c r="M701" s="2" t="s">
        <v>1108</v>
      </c>
      <c r="N701" s="40">
        <f>_xlfn.XLOOKUP(F701,Terrain!D:D,Terrain!H:H,"")</f>
        <v>2567</v>
      </c>
      <c r="O701" t="str">
        <f t="shared" si="30"/>
        <v>67-T21 | 241 | 641|0</v>
      </c>
    </row>
    <row r="702" spans="1:15" x14ac:dyDescent="0.3">
      <c r="A702" s="43">
        <v>46266</v>
      </c>
      <c r="B702" s="2" t="s">
        <v>12</v>
      </c>
      <c r="C702" s="2" t="s">
        <v>1260</v>
      </c>
      <c r="D702" s="2" t="s">
        <v>813</v>
      </c>
      <c r="E702" s="2" t="str">
        <f>_xlfn.XLOOKUP(F702,Terrain!D:D,Terrain!A:A,"")</f>
        <v>Upper</v>
      </c>
      <c r="F702" s="2" t="s">
        <v>1348</v>
      </c>
      <c r="G702" s="2" t="s">
        <v>928</v>
      </c>
      <c r="H702" s="2">
        <f t="shared" si="31"/>
        <v>2563</v>
      </c>
      <c r="I702" s="2">
        <v>1052.5</v>
      </c>
      <c r="J702" s="2">
        <v>21.05</v>
      </c>
      <c r="K702" s="2">
        <v>21</v>
      </c>
      <c r="L702" s="2">
        <f t="shared" si="32"/>
        <v>1250</v>
      </c>
      <c r="M702" s="2" t="s">
        <v>1104</v>
      </c>
      <c r="N702" s="40" t="str">
        <f>_xlfn.XLOOKUP(F702,Terrain!D:D,Terrain!H:H,"")</f>
        <v>2563 - 2565</v>
      </c>
      <c r="O702" t="str">
        <f t="shared" si="30"/>
        <v>63-T22-R | 842 | 575|1</v>
      </c>
    </row>
    <row r="703" spans="1:15" x14ac:dyDescent="0.3">
      <c r="A703" s="43">
        <v>46266</v>
      </c>
      <c r="B703" s="2" t="s">
        <v>12</v>
      </c>
      <c r="C703" s="2" t="s">
        <v>1260</v>
      </c>
      <c r="D703" s="2" t="s">
        <v>821</v>
      </c>
      <c r="E703" s="2" t="str">
        <f>_xlfn.XLOOKUP(F703,Terrain!D:D,Terrain!A:A,"")</f>
        <v>Upper</v>
      </c>
      <c r="F703" s="2" t="s">
        <v>1349</v>
      </c>
      <c r="G703" s="2" t="s">
        <v>929</v>
      </c>
      <c r="H703" s="2">
        <f t="shared" si="31"/>
        <v>2563</v>
      </c>
      <c r="I703" s="2">
        <v>1055</v>
      </c>
      <c r="J703" s="2">
        <v>21.1</v>
      </c>
      <c r="K703" s="2">
        <v>21</v>
      </c>
      <c r="L703" s="2">
        <f t="shared" si="32"/>
        <v>1250</v>
      </c>
      <c r="M703" s="2" t="s">
        <v>1104</v>
      </c>
      <c r="N703" s="40" t="str">
        <f>_xlfn.XLOOKUP(F703,Terrain!D:D,Terrain!H:H,"")</f>
        <v>2563 - 2565</v>
      </c>
      <c r="O703" t="str">
        <f t="shared" si="30"/>
        <v>63-T23-R | 844 | 576|1</v>
      </c>
    </row>
    <row r="704" spans="1:15" x14ac:dyDescent="0.3">
      <c r="A704" s="43">
        <v>46266</v>
      </c>
      <c r="B704" s="2" t="s">
        <v>12</v>
      </c>
      <c r="C704" s="2" t="s">
        <v>1260</v>
      </c>
      <c r="D704" s="2" t="s">
        <v>829</v>
      </c>
      <c r="E704" s="2" t="str">
        <f>_xlfn.XLOOKUP(F704,Terrain!D:D,Terrain!A:A,"")</f>
        <v>Upper</v>
      </c>
      <c r="F704" s="2" t="s">
        <v>1350</v>
      </c>
      <c r="G704" s="2" t="s">
        <v>930</v>
      </c>
      <c r="H704" s="2">
        <f t="shared" si="31"/>
        <v>2552</v>
      </c>
      <c r="I704" s="2">
        <v>92</v>
      </c>
      <c r="J704" s="2">
        <v>1.84</v>
      </c>
      <c r="K704" s="2">
        <v>2</v>
      </c>
      <c r="L704" s="2">
        <f t="shared" si="32"/>
        <v>1000</v>
      </c>
      <c r="M704" s="2" t="s">
        <v>1107</v>
      </c>
      <c r="N704" s="40" t="str">
        <f>_xlfn.XLOOKUP(F704,Terrain!D:D,Terrain!H:H,"")</f>
        <v>2549 - 2552</v>
      </c>
      <c r="O704" t="str">
        <f t="shared" si="30"/>
        <v>52-T28-R | 92 | 450|1</v>
      </c>
    </row>
    <row r="705" spans="1:15" x14ac:dyDescent="0.3">
      <c r="A705" s="43">
        <v>46266</v>
      </c>
      <c r="B705" s="2" t="s">
        <v>12</v>
      </c>
      <c r="C705" s="2" t="s">
        <v>1260</v>
      </c>
      <c r="D705" s="2" t="s">
        <v>837</v>
      </c>
      <c r="E705" s="2" t="str">
        <f>_xlfn.XLOOKUP(F705,Terrain!D:D,Terrain!A:A,"")</f>
        <v>Upper</v>
      </c>
      <c r="F705" s="2" t="s">
        <v>1351</v>
      </c>
      <c r="G705" s="2" t="s">
        <v>931</v>
      </c>
      <c r="H705" s="2">
        <f t="shared" si="31"/>
        <v>2556</v>
      </c>
      <c r="I705" s="2">
        <v>1753.75</v>
      </c>
      <c r="J705" s="2">
        <v>35.075000000000003</v>
      </c>
      <c r="K705" s="2">
        <v>35</v>
      </c>
      <c r="L705" s="2">
        <f t="shared" si="32"/>
        <v>1250</v>
      </c>
      <c r="M705" s="2" t="s">
        <v>1106</v>
      </c>
      <c r="N705" s="40" t="str">
        <f>_xlfn.XLOOKUP(F705,Terrain!D:D,Terrain!H:H,"")</f>
        <v>2555 - 2558</v>
      </c>
      <c r="O705" t="str">
        <f t="shared" ref="O705:O763" si="33">F705 &amp; " | " &amp; G705 &amp; " | " &amp; D705</f>
        <v>56-T28-R | 1403 | 529|1</v>
      </c>
    </row>
    <row r="706" spans="1:15" x14ac:dyDescent="0.3">
      <c r="A706" s="43">
        <v>46266</v>
      </c>
      <c r="B706" s="2" t="s">
        <v>12</v>
      </c>
      <c r="C706" s="2" t="s">
        <v>1260</v>
      </c>
      <c r="D706" s="2" t="s">
        <v>844</v>
      </c>
      <c r="E706" s="2" t="str">
        <f>_xlfn.XLOOKUP(F706,Terrain!D:D,Terrain!A:A,"")</f>
        <v>Upper</v>
      </c>
      <c r="F706" s="2" t="s">
        <v>1176</v>
      </c>
      <c r="G706" s="2" t="s">
        <v>932</v>
      </c>
      <c r="H706" s="2">
        <f t="shared" ref="H706:H763" si="34">2500+VALUE(MID(F706,1,2))</f>
        <v>2567</v>
      </c>
      <c r="I706" s="2">
        <v>1535</v>
      </c>
      <c r="J706" s="2">
        <v>30.7</v>
      </c>
      <c r="K706" s="2">
        <v>31</v>
      </c>
      <c r="L706" s="2">
        <f t="shared" ref="L706:L759" si="35">I706*1000/G706</f>
        <v>500</v>
      </c>
      <c r="M706" s="2" t="s">
        <v>1109</v>
      </c>
      <c r="N706" s="40">
        <f>_xlfn.XLOOKUP(F706,Terrain!D:D,Terrain!H:H,"")</f>
        <v>2567</v>
      </c>
      <c r="O706" t="str">
        <f t="shared" si="33"/>
        <v>67-T29 | 3070 | 645|0</v>
      </c>
    </row>
    <row r="707" spans="1:15" x14ac:dyDescent="0.3">
      <c r="A707" s="43">
        <v>46266</v>
      </c>
      <c r="B707" s="2" t="s">
        <v>12</v>
      </c>
      <c r="C707" s="2" t="s">
        <v>1260</v>
      </c>
      <c r="D707" s="2" t="s">
        <v>853</v>
      </c>
      <c r="E707" s="2" t="str">
        <f>_xlfn.XLOOKUP(F707,Terrain!D:D,Terrain!A:A,"")</f>
        <v>Upper</v>
      </c>
      <c r="F707" s="2" t="s">
        <v>1177</v>
      </c>
      <c r="G707" s="2" t="s">
        <v>933</v>
      </c>
      <c r="H707" s="2">
        <f t="shared" si="34"/>
        <v>2567</v>
      </c>
      <c r="I707" s="2">
        <v>1635</v>
      </c>
      <c r="J707" s="2">
        <v>32.700000000000003</v>
      </c>
      <c r="K707" s="2">
        <v>33</v>
      </c>
      <c r="L707" s="2">
        <f t="shared" si="35"/>
        <v>500</v>
      </c>
      <c r="M707" s="2" t="s">
        <v>1109</v>
      </c>
      <c r="N707" s="40">
        <f>_xlfn.XLOOKUP(F707,Terrain!D:D,Terrain!H:H,"")</f>
        <v>2567</v>
      </c>
      <c r="O707" t="str">
        <f t="shared" si="33"/>
        <v>67-T30 | 3270 | 642|0</v>
      </c>
    </row>
    <row r="708" spans="1:15" x14ac:dyDescent="0.3">
      <c r="A708" s="43">
        <v>46296</v>
      </c>
      <c r="B708" s="2" t="s">
        <v>10</v>
      </c>
      <c r="C708" s="2" t="s">
        <v>1261</v>
      </c>
      <c r="D708" s="2" t="s">
        <v>403</v>
      </c>
      <c r="E708" s="2" t="str">
        <f>_xlfn.XLOOKUP(F708,Terrain!D:D,Terrain!A:A,"")</f>
        <v>Lower</v>
      </c>
      <c r="F708" s="2" t="s">
        <v>1312</v>
      </c>
      <c r="G708" s="2" t="s">
        <v>872</v>
      </c>
      <c r="H708" s="2">
        <f t="shared" si="34"/>
        <v>2567</v>
      </c>
      <c r="I708" s="2">
        <v>3581.25</v>
      </c>
      <c r="J708" s="2">
        <v>71.625</v>
      </c>
      <c r="K708" s="2">
        <v>72</v>
      </c>
      <c r="L708" s="2">
        <f t="shared" si="35"/>
        <v>1250</v>
      </c>
      <c r="M708" s="2" t="s">
        <v>1085</v>
      </c>
      <c r="N708" s="40">
        <f>_xlfn.XLOOKUP(F708,Terrain!D:D,Terrain!H:H,"")</f>
        <v>2567</v>
      </c>
      <c r="O708" t="str">
        <f t="shared" si="33"/>
        <v>67-D06-R | 2865 | 368|0</v>
      </c>
    </row>
    <row r="709" spans="1:15" x14ac:dyDescent="0.3">
      <c r="A709" s="43">
        <v>46296</v>
      </c>
      <c r="B709" s="2" t="s">
        <v>10</v>
      </c>
      <c r="C709" s="2" t="s">
        <v>1261</v>
      </c>
      <c r="D709" s="2" t="s">
        <v>429</v>
      </c>
      <c r="E709" s="2" t="str">
        <f>_xlfn.XLOOKUP(F709,Terrain!D:D,Terrain!A:A,"")</f>
        <v>Lower</v>
      </c>
      <c r="F709" s="2" t="s">
        <v>1315</v>
      </c>
      <c r="G709" s="2" t="s">
        <v>873</v>
      </c>
      <c r="H709" s="2">
        <f t="shared" si="34"/>
        <v>2566</v>
      </c>
      <c r="I709" s="2">
        <v>3748.75</v>
      </c>
      <c r="J709" s="2">
        <v>74.974999999999994</v>
      </c>
      <c r="K709" s="2">
        <v>75</v>
      </c>
      <c r="L709" s="2">
        <f t="shared" si="35"/>
        <v>1250</v>
      </c>
      <c r="M709" s="2" t="s">
        <v>1089</v>
      </c>
      <c r="N709" s="40">
        <f>_xlfn.XLOOKUP(F709,Terrain!D:D,Terrain!H:H,"")</f>
        <v>2566</v>
      </c>
      <c r="O709" t="str">
        <f t="shared" si="33"/>
        <v>66-D09-R | 2999 | 343|0</v>
      </c>
    </row>
    <row r="710" spans="1:15" x14ac:dyDescent="0.3">
      <c r="A710" s="43">
        <v>46296</v>
      </c>
      <c r="B710" s="2" t="s">
        <v>10</v>
      </c>
      <c r="C710" s="2" t="s">
        <v>1261</v>
      </c>
      <c r="D710" s="2" t="s">
        <v>438</v>
      </c>
      <c r="E710" s="2" t="str">
        <f>_xlfn.XLOOKUP(F710,Terrain!D:D,Terrain!A:A,"")</f>
        <v>Lower</v>
      </c>
      <c r="F710" s="2" t="s">
        <v>1316</v>
      </c>
      <c r="G710" s="2" t="s">
        <v>874</v>
      </c>
      <c r="H710" s="2">
        <f t="shared" si="34"/>
        <v>2567</v>
      </c>
      <c r="I710" s="2">
        <v>2708.75</v>
      </c>
      <c r="J710" s="2">
        <v>54.174999999999997</v>
      </c>
      <c r="K710" s="2">
        <v>54</v>
      </c>
      <c r="L710" s="2">
        <f t="shared" si="35"/>
        <v>1250</v>
      </c>
      <c r="M710" s="2" t="s">
        <v>1090</v>
      </c>
      <c r="N710" s="40">
        <f>_xlfn.XLOOKUP(F710,Terrain!D:D,Terrain!H:H,"")</f>
        <v>2567</v>
      </c>
      <c r="O710" t="str">
        <f t="shared" si="33"/>
        <v>67-P01-R | 2167 | 369|0</v>
      </c>
    </row>
    <row r="711" spans="1:15" x14ac:dyDescent="0.3">
      <c r="A711" s="43">
        <v>46296</v>
      </c>
      <c r="B711" s="2" t="s">
        <v>10</v>
      </c>
      <c r="C711" s="2" t="s">
        <v>1261</v>
      </c>
      <c r="D711" s="2" t="s">
        <v>447</v>
      </c>
      <c r="E711" s="2" t="str">
        <f>_xlfn.XLOOKUP(F711,Terrain!D:D,Terrain!A:A,"")</f>
        <v>Lower</v>
      </c>
      <c r="F711" s="2" t="s">
        <v>1317</v>
      </c>
      <c r="G711" s="2" t="s">
        <v>875</v>
      </c>
      <c r="H711" s="2">
        <f t="shared" si="34"/>
        <v>2567</v>
      </c>
      <c r="I711" s="2">
        <v>2900</v>
      </c>
      <c r="J711" s="2">
        <v>58</v>
      </c>
      <c r="K711" s="2">
        <v>58</v>
      </c>
      <c r="L711" s="2">
        <f t="shared" si="35"/>
        <v>1250</v>
      </c>
      <c r="M711" s="2" t="s">
        <v>1090</v>
      </c>
      <c r="N711" s="40">
        <f>_xlfn.XLOOKUP(F711,Terrain!D:D,Terrain!H:H,"")</f>
        <v>2567</v>
      </c>
      <c r="O711" t="str">
        <f t="shared" si="33"/>
        <v>67-P02-R | 2320 | 370|0</v>
      </c>
    </row>
    <row r="712" spans="1:15" x14ac:dyDescent="0.3">
      <c r="A712" s="43">
        <v>46296</v>
      </c>
      <c r="B712" s="2" t="s">
        <v>10</v>
      </c>
      <c r="C712" s="2" t="s">
        <v>1261</v>
      </c>
      <c r="D712" s="2" t="s">
        <v>457</v>
      </c>
      <c r="E712" s="2" t="str">
        <f>_xlfn.XLOOKUP(F712,Terrain!D:D,Terrain!A:A,"")</f>
        <v>Lower</v>
      </c>
      <c r="F712" s="2" t="s">
        <v>1318</v>
      </c>
      <c r="G712" s="2" t="s">
        <v>876</v>
      </c>
      <c r="H712" s="2">
        <f t="shared" si="34"/>
        <v>2566</v>
      </c>
      <c r="I712" s="2">
        <v>3187.5</v>
      </c>
      <c r="J712" s="2">
        <v>63.75</v>
      </c>
      <c r="K712" s="2">
        <v>64</v>
      </c>
      <c r="L712" s="2">
        <f t="shared" si="35"/>
        <v>1250</v>
      </c>
      <c r="M712" s="2" t="s">
        <v>1091</v>
      </c>
      <c r="N712" s="40">
        <f>_xlfn.XLOOKUP(F712,Terrain!D:D,Terrain!H:H,"")</f>
        <v>2566</v>
      </c>
      <c r="O712" t="str">
        <f t="shared" si="33"/>
        <v>66-P03-R | 2550 | 340|0</v>
      </c>
    </row>
    <row r="713" spans="1:15" x14ac:dyDescent="0.3">
      <c r="A713" s="43">
        <v>46296</v>
      </c>
      <c r="B713" s="2" t="s">
        <v>10</v>
      </c>
      <c r="C713" s="2" t="s">
        <v>1261</v>
      </c>
      <c r="D713" s="2" t="s">
        <v>467</v>
      </c>
      <c r="E713" s="2" t="str">
        <f>_xlfn.XLOOKUP(F713,Terrain!D:D,Terrain!A:A,"")</f>
        <v>Lower</v>
      </c>
      <c r="F713" s="2" t="s">
        <v>1319</v>
      </c>
      <c r="G713" s="2" t="s">
        <v>877</v>
      </c>
      <c r="H713" s="2">
        <f t="shared" si="34"/>
        <v>2566</v>
      </c>
      <c r="I713" s="2">
        <v>3567.5</v>
      </c>
      <c r="J713" s="2">
        <v>71.349999999999994</v>
      </c>
      <c r="K713" s="2">
        <v>71</v>
      </c>
      <c r="L713" s="2">
        <f t="shared" si="35"/>
        <v>1250</v>
      </c>
      <c r="M713" s="2" t="s">
        <v>1091</v>
      </c>
      <c r="N713" s="40">
        <f>_xlfn.XLOOKUP(F713,Terrain!D:D,Terrain!H:H,"")</f>
        <v>2566</v>
      </c>
      <c r="O713" t="str">
        <f t="shared" si="33"/>
        <v>66-P04-R | 2854 | 344|0</v>
      </c>
    </row>
    <row r="714" spans="1:15" x14ac:dyDescent="0.3">
      <c r="A714" s="43">
        <v>46296</v>
      </c>
      <c r="B714" s="2" t="s">
        <v>10</v>
      </c>
      <c r="C714" s="2" t="s">
        <v>1261</v>
      </c>
      <c r="D714" s="2" t="s">
        <v>477</v>
      </c>
      <c r="E714" s="2" t="str">
        <f>_xlfn.XLOOKUP(F714,Terrain!D:D,Terrain!A:A,"")</f>
        <v>Lower</v>
      </c>
      <c r="F714" s="2" t="s">
        <v>1320</v>
      </c>
      <c r="G714" s="2" t="s">
        <v>878</v>
      </c>
      <c r="H714" s="2">
        <f t="shared" si="34"/>
        <v>2566</v>
      </c>
      <c r="I714" s="2">
        <v>3888.75</v>
      </c>
      <c r="J714" s="2">
        <v>77.775000000000006</v>
      </c>
      <c r="K714" s="2">
        <v>78</v>
      </c>
      <c r="L714" s="2">
        <f t="shared" si="35"/>
        <v>1250</v>
      </c>
      <c r="M714" s="2" t="s">
        <v>1091</v>
      </c>
      <c r="N714" s="40">
        <f>_xlfn.XLOOKUP(F714,Terrain!D:D,Terrain!H:H,"")</f>
        <v>2566</v>
      </c>
      <c r="O714" t="str">
        <f t="shared" si="33"/>
        <v>66-P05-R | 3111 | 342|0</v>
      </c>
    </row>
    <row r="715" spans="1:15" x14ac:dyDescent="0.3">
      <c r="A715" s="43">
        <v>46296</v>
      </c>
      <c r="B715" s="2" t="s">
        <v>10</v>
      </c>
      <c r="C715" s="2" t="s">
        <v>1261</v>
      </c>
      <c r="D715" s="2" t="s">
        <v>535</v>
      </c>
      <c r="E715" s="2" t="str">
        <f>_xlfn.XLOOKUP(F715,Terrain!D:D,Terrain!A:A,"")</f>
        <v>Lower</v>
      </c>
      <c r="F715" s="2" t="s">
        <v>1240</v>
      </c>
      <c r="G715" s="2" t="s">
        <v>885</v>
      </c>
      <c r="H715" s="2">
        <f t="shared" si="34"/>
        <v>2568</v>
      </c>
      <c r="I715" s="2">
        <v>946</v>
      </c>
      <c r="J715" s="2">
        <v>18.920000000000002</v>
      </c>
      <c r="K715" s="2">
        <v>19</v>
      </c>
      <c r="L715" s="2">
        <f t="shared" si="35"/>
        <v>500</v>
      </c>
      <c r="M715" s="2" t="s">
        <v>1095</v>
      </c>
      <c r="N715" s="40">
        <f>_xlfn.XLOOKUP(F715,Terrain!D:D,Terrain!H:H,"")</f>
        <v>2568</v>
      </c>
      <c r="O715" t="str">
        <f t="shared" si="33"/>
        <v>68-PU1 | 1892 | 411|0</v>
      </c>
    </row>
    <row r="716" spans="1:15" x14ac:dyDescent="0.3">
      <c r="A716" s="43">
        <v>46296</v>
      </c>
      <c r="B716" s="2" t="s">
        <v>10</v>
      </c>
      <c r="C716" s="2" t="s">
        <v>1261</v>
      </c>
      <c r="D716" s="2" t="s">
        <v>545</v>
      </c>
      <c r="E716" s="2" t="str">
        <f>_xlfn.XLOOKUP(F716,Terrain!D:D,Terrain!A:A,"")</f>
        <v>Lower</v>
      </c>
      <c r="F716" s="2" t="s">
        <v>1239</v>
      </c>
      <c r="G716" s="2" t="s">
        <v>886</v>
      </c>
      <c r="H716" s="2">
        <f t="shared" si="34"/>
        <v>2566</v>
      </c>
      <c r="I716" s="2">
        <v>2462.5</v>
      </c>
      <c r="J716" s="2">
        <v>49.25</v>
      </c>
      <c r="K716" s="2">
        <v>49</v>
      </c>
      <c r="L716" s="2">
        <f t="shared" si="35"/>
        <v>1250</v>
      </c>
      <c r="M716" s="2" t="s">
        <v>1096</v>
      </c>
      <c r="N716" s="40">
        <f>_xlfn.XLOOKUP(F716,Terrain!D:D,Terrain!H:H,"")</f>
        <v>2566</v>
      </c>
      <c r="O716" t="str">
        <f t="shared" si="33"/>
        <v>66-PU2 | 1970 | 341|0</v>
      </c>
    </row>
    <row r="717" spans="1:15" x14ac:dyDescent="0.3">
      <c r="A717" s="43">
        <v>46296</v>
      </c>
      <c r="B717" s="2" t="s">
        <v>10</v>
      </c>
      <c r="C717" s="2" t="s">
        <v>1261</v>
      </c>
      <c r="D717" s="2" t="s">
        <v>555</v>
      </c>
      <c r="E717" s="2" t="str">
        <f>_xlfn.XLOOKUP(F717,Terrain!D:D,Terrain!A:A,"")</f>
        <v>Lower</v>
      </c>
      <c r="F717" s="2" t="s">
        <v>1241</v>
      </c>
      <c r="G717" s="2" t="s">
        <v>887</v>
      </c>
      <c r="H717" s="2">
        <f t="shared" si="34"/>
        <v>2568</v>
      </c>
      <c r="I717" s="2">
        <v>843</v>
      </c>
      <c r="J717" s="2">
        <v>16.86</v>
      </c>
      <c r="K717" s="2">
        <v>17</v>
      </c>
      <c r="L717" s="2">
        <f t="shared" si="35"/>
        <v>500</v>
      </c>
      <c r="M717" s="2" t="s">
        <v>1095</v>
      </c>
      <c r="N717" s="40">
        <f>_xlfn.XLOOKUP(F717,Terrain!D:D,Terrain!H:H,"")</f>
        <v>2568</v>
      </c>
      <c r="O717" t="str">
        <f t="shared" si="33"/>
        <v>68-PU3 | 1686 | 409|0</v>
      </c>
    </row>
    <row r="718" spans="1:15" x14ac:dyDescent="0.3">
      <c r="A718" s="43">
        <v>46296</v>
      </c>
      <c r="B718" s="2" t="s">
        <v>10</v>
      </c>
      <c r="C718" s="2" t="s">
        <v>1261</v>
      </c>
      <c r="D718" s="2" t="s">
        <v>565</v>
      </c>
      <c r="E718" s="2" t="str">
        <f>_xlfn.XLOOKUP(F718,Terrain!D:D,Terrain!A:A,"")</f>
        <v>Lower</v>
      </c>
      <c r="F718" s="2" t="s">
        <v>1242</v>
      </c>
      <c r="G718" s="2" t="s">
        <v>888</v>
      </c>
      <c r="H718" s="2">
        <f t="shared" si="34"/>
        <v>2568</v>
      </c>
      <c r="I718" s="2">
        <v>690</v>
      </c>
      <c r="J718" s="2">
        <v>13.8</v>
      </c>
      <c r="K718" s="2">
        <v>14</v>
      </c>
      <c r="L718" s="2">
        <f t="shared" si="35"/>
        <v>500</v>
      </c>
      <c r="M718" s="2" t="s">
        <v>1095</v>
      </c>
      <c r="N718" s="40">
        <f>_xlfn.XLOOKUP(F718,Terrain!D:D,Terrain!H:H,"")</f>
        <v>2568</v>
      </c>
      <c r="O718" t="str">
        <f t="shared" si="33"/>
        <v>68-PU4 | 1380 | 410|0</v>
      </c>
    </row>
    <row r="719" spans="1:15" x14ac:dyDescent="0.3">
      <c r="A719" s="43">
        <v>46296</v>
      </c>
      <c r="B719" s="2" t="s">
        <v>10</v>
      </c>
      <c r="C719" s="2" t="s">
        <v>1261</v>
      </c>
      <c r="D719" s="2" t="s">
        <v>575</v>
      </c>
      <c r="E719" s="2" t="str">
        <f>_xlfn.XLOOKUP(F719,Terrain!D:D,Terrain!A:A,"")</f>
        <v>Lower</v>
      </c>
      <c r="F719" s="2" t="s">
        <v>1243</v>
      </c>
      <c r="G719" s="2" t="s">
        <v>889</v>
      </c>
      <c r="H719" s="2">
        <f t="shared" si="34"/>
        <v>2568</v>
      </c>
      <c r="I719" s="2">
        <v>375.5</v>
      </c>
      <c r="J719" s="2">
        <v>7.51</v>
      </c>
      <c r="K719" s="2">
        <v>8</v>
      </c>
      <c r="L719" s="2">
        <f t="shared" si="35"/>
        <v>500</v>
      </c>
      <c r="M719" s="2" t="s">
        <v>1097</v>
      </c>
      <c r="N719" s="40">
        <f>_xlfn.XLOOKUP(F719,Terrain!D:D,Terrain!H:H,"")</f>
        <v>2568</v>
      </c>
      <c r="O719" t="str">
        <f t="shared" si="33"/>
        <v>68-PU5 | 751 | 415|0</v>
      </c>
    </row>
    <row r="720" spans="1:15" x14ac:dyDescent="0.3">
      <c r="A720" s="43">
        <v>46296</v>
      </c>
      <c r="B720" s="2" t="s">
        <v>10</v>
      </c>
      <c r="C720" s="2" t="s">
        <v>1261</v>
      </c>
      <c r="D720" s="2" t="s">
        <v>585</v>
      </c>
      <c r="E720" s="2" t="str">
        <f>_xlfn.XLOOKUP(F720,Terrain!D:D,Terrain!A:A,"")</f>
        <v>Lower</v>
      </c>
      <c r="F720" s="2" t="s">
        <v>1327</v>
      </c>
      <c r="G720" s="2" t="s">
        <v>890</v>
      </c>
      <c r="H720" s="2">
        <f t="shared" si="34"/>
        <v>2568</v>
      </c>
      <c r="I720" s="2">
        <v>584</v>
      </c>
      <c r="J720" s="2">
        <v>11.68</v>
      </c>
      <c r="K720" s="2">
        <v>12</v>
      </c>
      <c r="L720" s="2">
        <f t="shared" si="35"/>
        <v>500</v>
      </c>
      <c r="M720" s="2" t="s">
        <v>1098</v>
      </c>
      <c r="N720" s="40">
        <f>_xlfn.XLOOKUP(F720,Terrain!D:D,Terrain!H:H,"")</f>
        <v>2568</v>
      </c>
      <c r="O720" t="str">
        <f t="shared" si="33"/>
        <v>68-PU5-R | 1168 | 413|0</v>
      </c>
    </row>
    <row r="721" spans="1:15" x14ac:dyDescent="0.3">
      <c r="A721" s="43">
        <v>46296</v>
      </c>
      <c r="B721" s="2" t="s">
        <v>10</v>
      </c>
      <c r="C721" s="2" t="s">
        <v>1261</v>
      </c>
      <c r="D721" s="2" t="s">
        <v>595</v>
      </c>
      <c r="E721" s="2" t="str">
        <f>_xlfn.XLOOKUP(F721,Terrain!D:D,Terrain!A:A,"")</f>
        <v>Lower</v>
      </c>
      <c r="F721" s="2" t="s">
        <v>1245</v>
      </c>
      <c r="G721" s="2" t="s">
        <v>1099</v>
      </c>
      <c r="H721" s="2">
        <f t="shared" si="34"/>
        <v>2568</v>
      </c>
      <c r="I721" s="2">
        <v>72.5</v>
      </c>
      <c r="J721" s="2">
        <v>1.45</v>
      </c>
      <c r="K721" s="2">
        <v>1</v>
      </c>
      <c r="L721" s="2">
        <f t="shared" si="35"/>
        <v>500</v>
      </c>
      <c r="M721" s="2" t="s">
        <v>1097</v>
      </c>
      <c r="N721" s="40">
        <f>_xlfn.XLOOKUP(F721,Terrain!D:D,Terrain!H:H,"")</f>
        <v>2568</v>
      </c>
      <c r="O721" t="str">
        <f t="shared" si="33"/>
        <v>68-PU6 | 145 | 414|0</v>
      </c>
    </row>
    <row r="722" spans="1:15" x14ac:dyDescent="0.3">
      <c r="A722" s="43">
        <v>46296</v>
      </c>
      <c r="B722" s="2" t="s">
        <v>10</v>
      </c>
      <c r="C722" s="2" t="s">
        <v>1261</v>
      </c>
      <c r="D722" s="2" t="s">
        <v>605</v>
      </c>
      <c r="E722" s="2" t="str">
        <f>_xlfn.XLOOKUP(F722,Terrain!D:D,Terrain!A:A,"")</f>
        <v>Lower</v>
      </c>
      <c r="F722" s="2" t="s">
        <v>1328</v>
      </c>
      <c r="G722" s="2" t="s">
        <v>1100</v>
      </c>
      <c r="H722" s="2">
        <f t="shared" si="34"/>
        <v>2568</v>
      </c>
      <c r="I722" s="2">
        <v>773.5</v>
      </c>
      <c r="J722" s="2">
        <v>15.47</v>
      </c>
      <c r="K722" s="2">
        <v>15</v>
      </c>
      <c r="L722" s="2">
        <f t="shared" si="35"/>
        <v>500</v>
      </c>
      <c r="M722" s="2" t="s">
        <v>1098</v>
      </c>
      <c r="N722" s="40">
        <f>_xlfn.XLOOKUP(F722,Terrain!D:D,Terrain!H:H,"")</f>
        <v>2568</v>
      </c>
      <c r="O722" t="str">
        <f t="shared" si="33"/>
        <v>68-PU6-R | 1547 | 412|0</v>
      </c>
    </row>
    <row r="723" spans="1:15" x14ac:dyDescent="0.3">
      <c r="A723" s="43">
        <v>46296</v>
      </c>
      <c r="B723" s="2" t="s">
        <v>10</v>
      </c>
      <c r="C723" s="2" t="s">
        <v>1261</v>
      </c>
      <c r="D723" s="2" t="s">
        <v>615</v>
      </c>
      <c r="E723" s="2" t="str">
        <f>_xlfn.XLOOKUP(F723,Terrain!D:D,Terrain!A:A,"")</f>
        <v>Upper</v>
      </c>
      <c r="F723" s="2" t="s">
        <v>1329</v>
      </c>
      <c r="G723" s="2" t="s">
        <v>1101</v>
      </c>
      <c r="H723" s="2">
        <f t="shared" si="34"/>
        <v>2568</v>
      </c>
      <c r="I723" s="2">
        <v>1585.5</v>
      </c>
      <c r="J723" s="2">
        <v>31.71</v>
      </c>
      <c r="K723" s="2">
        <v>32</v>
      </c>
      <c r="L723" s="2">
        <f t="shared" si="35"/>
        <v>500</v>
      </c>
      <c r="M723" s="2" t="s">
        <v>1102</v>
      </c>
      <c r="N723" s="40">
        <f>_xlfn.XLOOKUP(F723,Terrain!D:D,Terrain!H:H,"")</f>
        <v>2568</v>
      </c>
      <c r="O723" t="str">
        <f t="shared" si="33"/>
        <v>68-T01 | 3171 | 667|0</v>
      </c>
    </row>
    <row r="724" spans="1:15" x14ac:dyDescent="0.3">
      <c r="A724" s="43">
        <v>46296</v>
      </c>
      <c r="B724" s="2" t="s">
        <v>10</v>
      </c>
      <c r="C724" s="2" t="s">
        <v>1261</v>
      </c>
      <c r="D724" s="2" t="s">
        <v>625</v>
      </c>
      <c r="E724" s="2" t="str">
        <f>_xlfn.XLOOKUP(F724,Terrain!D:D,Terrain!A:A,"")</f>
        <v>Upper</v>
      </c>
      <c r="F724" s="2" t="s">
        <v>1330</v>
      </c>
      <c r="G724" s="2" t="s">
        <v>906</v>
      </c>
      <c r="H724" s="2">
        <f t="shared" si="34"/>
        <v>2568</v>
      </c>
      <c r="I724" s="2">
        <v>1475</v>
      </c>
      <c r="J724" s="2">
        <v>29.5</v>
      </c>
      <c r="K724" s="2">
        <v>30</v>
      </c>
      <c r="L724" s="2">
        <f t="shared" si="35"/>
        <v>500</v>
      </c>
      <c r="M724" s="2" t="s">
        <v>1102</v>
      </c>
      <c r="N724" s="40">
        <f>_xlfn.XLOOKUP(F724,Terrain!D:D,Terrain!H:H,"")</f>
        <v>2568</v>
      </c>
      <c r="O724" t="str">
        <f t="shared" si="33"/>
        <v>68-T02 | 2950 | 666|0</v>
      </c>
    </row>
    <row r="725" spans="1:15" x14ac:dyDescent="0.3">
      <c r="A725" s="43">
        <v>46296</v>
      </c>
      <c r="B725" s="2" t="s">
        <v>10</v>
      </c>
      <c r="C725" s="2" t="s">
        <v>1261</v>
      </c>
      <c r="D725" s="2" t="s">
        <v>635</v>
      </c>
      <c r="E725" s="2" t="str">
        <f>_xlfn.XLOOKUP(F725,Terrain!D:D,Terrain!A:A,"")</f>
        <v>Upper</v>
      </c>
      <c r="F725" s="2" t="s">
        <v>1331</v>
      </c>
      <c r="G725" s="2" t="s">
        <v>907</v>
      </c>
      <c r="H725" s="2">
        <f t="shared" si="34"/>
        <v>2566</v>
      </c>
      <c r="I725" s="2">
        <v>3061.25</v>
      </c>
      <c r="J725" s="2">
        <v>61.225000000000001</v>
      </c>
      <c r="K725" s="2">
        <v>61</v>
      </c>
      <c r="L725" s="2">
        <f t="shared" si="35"/>
        <v>1250</v>
      </c>
      <c r="M725" s="2" t="s">
        <v>1103</v>
      </c>
      <c r="N725" s="40">
        <f>_xlfn.XLOOKUP(F725,Terrain!D:D,Terrain!H:H,"")</f>
        <v>2566</v>
      </c>
      <c r="O725" t="str">
        <f t="shared" si="33"/>
        <v>66-T03 | 2449 | 608|0</v>
      </c>
    </row>
    <row r="726" spans="1:15" x14ac:dyDescent="0.3">
      <c r="A726" s="43">
        <v>46296</v>
      </c>
      <c r="B726" s="2" t="s">
        <v>10</v>
      </c>
      <c r="C726" s="2" t="s">
        <v>1261</v>
      </c>
      <c r="D726" s="2" t="s">
        <v>645</v>
      </c>
      <c r="E726" s="2" t="str">
        <f>_xlfn.XLOOKUP(F726,Terrain!D:D,Terrain!A:A,"")</f>
        <v>Upper</v>
      </c>
      <c r="F726" s="2" t="s">
        <v>1332</v>
      </c>
      <c r="G726" s="2" t="s">
        <v>908</v>
      </c>
      <c r="H726" s="2">
        <f t="shared" si="34"/>
        <v>2566</v>
      </c>
      <c r="I726" s="2">
        <v>2517.5</v>
      </c>
      <c r="J726" s="2">
        <v>50.35</v>
      </c>
      <c r="K726" s="2">
        <v>50</v>
      </c>
      <c r="L726" s="2">
        <f t="shared" si="35"/>
        <v>1250</v>
      </c>
      <c r="M726" s="2" t="s">
        <v>1103</v>
      </c>
      <c r="N726" s="40">
        <f>_xlfn.XLOOKUP(F726,Terrain!D:D,Terrain!H:H,"")</f>
        <v>2566</v>
      </c>
      <c r="O726" t="str">
        <f t="shared" si="33"/>
        <v>66-T04 | 2014 | 611|0</v>
      </c>
    </row>
    <row r="727" spans="1:15" x14ac:dyDescent="0.3">
      <c r="A727" s="43">
        <v>46296</v>
      </c>
      <c r="B727" s="2" t="s">
        <v>10</v>
      </c>
      <c r="C727" s="2" t="s">
        <v>1261</v>
      </c>
      <c r="D727" s="2" t="s">
        <v>663</v>
      </c>
      <c r="E727" s="2" t="str">
        <f>_xlfn.XLOOKUP(F727,Terrain!D:D,Terrain!A:A,"")</f>
        <v>Upper</v>
      </c>
      <c r="F727" s="2" t="s">
        <v>1334</v>
      </c>
      <c r="G727" s="2" t="s">
        <v>910</v>
      </c>
      <c r="H727" s="2">
        <f t="shared" si="34"/>
        <v>2566</v>
      </c>
      <c r="I727" s="2">
        <v>3622.5</v>
      </c>
      <c r="J727" s="2">
        <v>72.45</v>
      </c>
      <c r="K727" s="2">
        <v>72</v>
      </c>
      <c r="L727" s="2">
        <f t="shared" si="35"/>
        <v>1250</v>
      </c>
      <c r="M727" s="2" t="s">
        <v>1103</v>
      </c>
      <c r="N727" s="40">
        <f>_xlfn.XLOOKUP(F727,Terrain!D:D,Terrain!H:H,"")</f>
        <v>2566</v>
      </c>
      <c r="O727" t="str">
        <f t="shared" si="33"/>
        <v>66-T06 | 2898 | 609|0</v>
      </c>
    </row>
    <row r="728" spans="1:15" x14ac:dyDescent="0.3">
      <c r="A728" s="43">
        <v>46296</v>
      </c>
      <c r="B728" s="2" t="s">
        <v>10</v>
      </c>
      <c r="C728" s="2" t="s">
        <v>1261</v>
      </c>
      <c r="D728" s="2" t="s">
        <v>673</v>
      </c>
      <c r="E728" s="2" t="str">
        <f>_xlfn.XLOOKUP(F728,Terrain!D:D,Terrain!A:A,"")</f>
        <v>Upper</v>
      </c>
      <c r="F728" s="2" t="s">
        <v>1335</v>
      </c>
      <c r="G728" s="2" t="s">
        <v>911</v>
      </c>
      <c r="H728" s="2">
        <f t="shared" si="34"/>
        <v>2566</v>
      </c>
      <c r="I728" s="2">
        <v>2955</v>
      </c>
      <c r="J728" s="2">
        <v>59.1</v>
      </c>
      <c r="K728" s="2">
        <v>59</v>
      </c>
      <c r="L728" s="2">
        <f t="shared" si="35"/>
        <v>1250</v>
      </c>
      <c r="M728" s="2" t="s">
        <v>1103</v>
      </c>
      <c r="N728" s="40">
        <f>_xlfn.XLOOKUP(F728,Terrain!D:D,Terrain!H:H,"")</f>
        <v>2566</v>
      </c>
      <c r="O728" t="str">
        <f t="shared" si="33"/>
        <v>66-T07 | 2364 | 610|0</v>
      </c>
    </row>
    <row r="729" spans="1:15" x14ac:dyDescent="0.3">
      <c r="A729" s="43">
        <v>46296</v>
      </c>
      <c r="B729" s="2" t="s">
        <v>10</v>
      </c>
      <c r="C729" s="2" t="s">
        <v>1261</v>
      </c>
      <c r="D729" s="2" t="s">
        <v>714</v>
      </c>
      <c r="E729" s="2" t="str">
        <f>_xlfn.XLOOKUP(F729,Terrain!D:D,Terrain!A:A,"")</f>
        <v>Upper</v>
      </c>
      <c r="F729" s="2" t="s">
        <v>1173</v>
      </c>
      <c r="G729" s="2" t="s">
        <v>916</v>
      </c>
      <c r="H729" s="2">
        <f t="shared" si="34"/>
        <v>2567</v>
      </c>
      <c r="I729" s="2">
        <v>76.25</v>
      </c>
      <c r="J729" s="2">
        <v>1.5249999999999999</v>
      </c>
      <c r="K729" s="2">
        <v>2</v>
      </c>
      <c r="L729" s="2">
        <f t="shared" si="35"/>
        <v>1250</v>
      </c>
      <c r="M729" s="2" t="s">
        <v>1108</v>
      </c>
      <c r="N729" s="40">
        <f>_xlfn.XLOOKUP(F729,Terrain!D:D,Terrain!H:H,"")</f>
        <v>2567</v>
      </c>
      <c r="O729" t="str">
        <f t="shared" si="33"/>
        <v>67-T10 | 61 | 648|0</v>
      </c>
    </row>
    <row r="730" spans="1:15" x14ac:dyDescent="0.3">
      <c r="A730" s="43">
        <v>46296</v>
      </c>
      <c r="B730" s="2" t="s">
        <v>10</v>
      </c>
      <c r="C730" s="2" t="s">
        <v>1261</v>
      </c>
      <c r="D730" s="2" t="s">
        <v>771</v>
      </c>
      <c r="E730" s="2" t="str">
        <f>_xlfn.XLOOKUP(F730,Terrain!D:D,Terrain!A:A,"")</f>
        <v>Upper</v>
      </c>
      <c r="F730" s="2" t="s">
        <v>1174</v>
      </c>
      <c r="G730" s="2" t="s">
        <v>923</v>
      </c>
      <c r="H730" s="2">
        <f t="shared" si="34"/>
        <v>2567</v>
      </c>
      <c r="I730" s="2">
        <v>213.75</v>
      </c>
      <c r="J730" s="2">
        <v>4.2750000000000004</v>
      </c>
      <c r="K730" s="2">
        <v>4</v>
      </c>
      <c r="L730" s="2">
        <f t="shared" si="35"/>
        <v>1250</v>
      </c>
      <c r="M730" s="2" t="s">
        <v>1108</v>
      </c>
      <c r="N730" s="40">
        <f>_xlfn.XLOOKUP(F730,Terrain!D:D,Terrain!H:H,"")</f>
        <v>2567</v>
      </c>
      <c r="O730" t="str">
        <f t="shared" si="33"/>
        <v>67-T18 | 171 | 649|0</v>
      </c>
    </row>
    <row r="731" spans="1:15" x14ac:dyDescent="0.3">
      <c r="A731" s="43">
        <v>46296</v>
      </c>
      <c r="B731" s="2" t="s">
        <v>10</v>
      </c>
      <c r="C731" s="2" t="s">
        <v>1261</v>
      </c>
      <c r="D731" s="2" t="s">
        <v>804</v>
      </c>
      <c r="E731" s="2" t="str">
        <f>_xlfn.XLOOKUP(F731,Terrain!D:D,Terrain!A:A,"")</f>
        <v>Upper</v>
      </c>
      <c r="F731" s="2" t="s">
        <v>1175</v>
      </c>
      <c r="G731" s="2" t="s">
        <v>927</v>
      </c>
      <c r="H731" s="2">
        <f t="shared" si="34"/>
        <v>2567</v>
      </c>
      <c r="I731" s="2">
        <v>301.25</v>
      </c>
      <c r="J731" s="2">
        <v>6.0250000000000004</v>
      </c>
      <c r="K731" s="2">
        <v>6</v>
      </c>
      <c r="L731" s="2">
        <f t="shared" si="35"/>
        <v>1250</v>
      </c>
      <c r="M731" s="2" t="s">
        <v>1108</v>
      </c>
      <c r="N731" s="40">
        <f>_xlfn.XLOOKUP(F731,Terrain!D:D,Terrain!H:H,"")</f>
        <v>2567</v>
      </c>
      <c r="O731" t="str">
        <f t="shared" si="33"/>
        <v>67-T21 | 241 | 646|0</v>
      </c>
    </row>
    <row r="732" spans="1:15" x14ac:dyDescent="0.3">
      <c r="A732" s="43">
        <v>46296</v>
      </c>
      <c r="B732" s="2" t="s">
        <v>10</v>
      </c>
      <c r="C732" s="2" t="s">
        <v>1261</v>
      </c>
      <c r="D732" s="2" t="s">
        <v>845</v>
      </c>
      <c r="E732" s="2" t="str">
        <f>_xlfn.XLOOKUP(F732,Terrain!D:D,Terrain!A:A,"")</f>
        <v>Upper</v>
      </c>
      <c r="F732" s="2" t="s">
        <v>1176</v>
      </c>
      <c r="G732" s="2" t="s">
        <v>932</v>
      </c>
      <c r="H732" s="2">
        <f t="shared" si="34"/>
        <v>2567</v>
      </c>
      <c r="I732" s="2">
        <v>3837.5</v>
      </c>
      <c r="J732" s="2">
        <v>76.75</v>
      </c>
      <c r="K732" s="2">
        <v>77</v>
      </c>
      <c r="L732" s="2">
        <f t="shared" si="35"/>
        <v>1250</v>
      </c>
      <c r="M732" s="2" t="s">
        <v>1109</v>
      </c>
      <c r="N732" s="40">
        <f>_xlfn.XLOOKUP(F732,Terrain!D:D,Terrain!H:H,"")</f>
        <v>2567</v>
      </c>
      <c r="O732" t="str">
        <f t="shared" si="33"/>
        <v>67-T29 | 3070 | 650|0</v>
      </c>
    </row>
    <row r="733" spans="1:15" x14ac:dyDescent="0.3">
      <c r="A733" s="43">
        <v>46296</v>
      </c>
      <c r="B733" s="2" t="s">
        <v>10</v>
      </c>
      <c r="C733" s="2" t="s">
        <v>1261</v>
      </c>
      <c r="D733" s="2" t="s">
        <v>854</v>
      </c>
      <c r="E733" s="2" t="str">
        <f>_xlfn.XLOOKUP(F733,Terrain!D:D,Terrain!A:A,"")</f>
        <v>Upper</v>
      </c>
      <c r="F733" s="2" t="s">
        <v>1177</v>
      </c>
      <c r="G733" s="2" t="s">
        <v>933</v>
      </c>
      <c r="H733" s="2">
        <f t="shared" si="34"/>
        <v>2567</v>
      </c>
      <c r="I733" s="2">
        <v>4087.5</v>
      </c>
      <c r="J733" s="2">
        <v>81.75</v>
      </c>
      <c r="K733" s="2">
        <v>82</v>
      </c>
      <c r="L733" s="2">
        <f t="shared" si="35"/>
        <v>1250</v>
      </c>
      <c r="M733" s="2" t="s">
        <v>1109</v>
      </c>
      <c r="N733" s="40">
        <f>_xlfn.XLOOKUP(F733,Terrain!D:D,Terrain!H:H,"")</f>
        <v>2567</v>
      </c>
      <c r="O733" t="str">
        <f t="shared" si="33"/>
        <v>67-T30 | 3270 | 647|0</v>
      </c>
    </row>
    <row r="734" spans="1:15" x14ac:dyDescent="0.3">
      <c r="A734" s="43">
        <v>46327</v>
      </c>
      <c r="B734" s="2" t="s">
        <v>12</v>
      </c>
      <c r="C734" s="2" t="s">
        <v>1262</v>
      </c>
      <c r="D734" s="2" t="s">
        <v>404</v>
      </c>
      <c r="E734" s="2" t="str">
        <f>_xlfn.XLOOKUP(F734,Terrain!D:D,Terrain!A:A,"")</f>
        <v>Lower</v>
      </c>
      <c r="F734" s="2" t="s">
        <v>1312</v>
      </c>
      <c r="G734" s="2" t="s">
        <v>872</v>
      </c>
      <c r="H734" s="2">
        <f t="shared" si="34"/>
        <v>2567</v>
      </c>
      <c r="I734" s="2">
        <v>2148.75</v>
      </c>
      <c r="J734" s="2">
        <v>42.975000000000001</v>
      </c>
      <c r="K734" s="2">
        <v>43</v>
      </c>
      <c r="L734" s="2">
        <f t="shared" si="35"/>
        <v>750</v>
      </c>
      <c r="M734" s="2" t="s">
        <v>1085</v>
      </c>
      <c r="N734" s="40">
        <f>_xlfn.XLOOKUP(F734,Terrain!D:D,Terrain!H:H,"")</f>
        <v>2567</v>
      </c>
      <c r="O734" t="str">
        <f t="shared" si="33"/>
        <v>67-D06-R | 2865 | 371|0</v>
      </c>
    </row>
    <row r="735" spans="1:15" x14ac:dyDescent="0.3">
      <c r="A735" s="43">
        <v>46327</v>
      </c>
      <c r="B735" s="2" t="s">
        <v>12</v>
      </c>
      <c r="C735" s="2" t="s">
        <v>1262</v>
      </c>
      <c r="D735" s="2" t="s">
        <v>430</v>
      </c>
      <c r="E735" s="2" t="str">
        <f>_xlfn.XLOOKUP(F735,Terrain!D:D,Terrain!A:A,"")</f>
        <v>Lower</v>
      </c>
      <c r="F735" s="2" t="s">
        <v>1315</v>
      </c>
      <c r="G735" s="2" t="s">
        <v>873</v>
      </c>
      <c r="H735" s="2">
        <f t="shared" si="34"/>
        <v>2566</v>
      </c>
      <c r="I735" s="2">
        <v>2249.25</v>
      </c>
      <c r="J735" s="2">
        <v>44.984999999999999</v>
      </c>
      <c r="K735" s="2">
        <v>45</v>
      </c>
      <c r="L735" s="2">
        <f t="shared" si="35"/>
        <v>750</v>
      </c>
      <c r="M735" s="2" t="s">
        <v>1089</v>
      </c>
      <c r="N735" s="40">
        <f>_xlfn.XLOOKUP(F735,Terrain!D:D,Terrain!H:H,"")</f>
        <v>2566</v>
      </c>
      <c r="O735" t="str">
        <f t="shared" si="33"/>
        <v>66-D09-R | 2999 | 348|0</v>
      </c>
    </row>
    <row r="736" spans="1:15" x14ac:dyDescent="0.3">
      <c r="A736" s="43">
        <v>46327</v>
      </c>
      <c r="B736" s="2" t="s">
        <v>12</v>
      </c>
      <c r="C736" s="2" t="s">
        <v>1262</v>
      </c>
      <c r="D736" s="2" t="s">
        <v>439</v>
      </c>
      <c r="E736" s="2" t="str">
        <f>_xlfn.XLOOKUP(F736,Terrain!D:D,Terrain!A:A,"")</f>
        <v>Lower</v>
      </c>
      <c r="F736" s="2" t="s">
        <v>1316</v>
      </c>
      <c r="G736" s="2" t="s">
        <v>874</v>
      </c>
      <c r="H736" s="2">
        <f t="shared" si="34"/>
        <v>2567</v>
      </c>
      <c r="I736" s="2">
        <v>1625.25</v>
      </c>
      <c r="J736" s="2">
        <v>32.505000000000003</v>
      </c>
      <c r="K736" s="2">
        <v>33</v>
      </c>
      <c r="L736" s="2">
        <f t="shared" si="35"/>
        <v>750</v>
      </c>
      <c r="M736" s="2" t="s">
        <v>1090</v>
      </c>
      <c r="N736" s="40">
        <f>_xlfn.XLOOKUP(F736,Terrain!D:D,Terrain!H:H,"")</f>
        <v>2567</v>
      </c>
      <c r="O736" t="str">
        <f t="shared" si="33"/>
        <v>67-P01-R | 2167 | 372|0</v>
      </c>
    </row>
    <row r="737" spans="1:15" x14ac:dyDescent="0.3">
      <c r="A737" s="43">
        <v>46327</v>
      </c>
      <c r="B737" s="2" t="s">
        <v>12</v>
      </c>
      <c r="C737" s="2" t="s">
        <v>1262</v>
      </c>
      <c r="D737" s="2" t="s">
        <v>448</v>
      </c>
      <c r="E737" s="2" t="str">
        <f>_xlfn.XLOOKUP(F737,Terrain!D:D,Terrain!A:A,"")</f>
        <v>Lower</v>
      </c>
      <c r="F737" s="2" t="s">
        <v>1317</v>
      </c>
      <c r="G737" s="2" t="s">
        <v>875</v>
      </c>
      <c r="H737" s="2">
        <f t="shared" si="34"/>
        <v>2567</v>
      </c>
      <c r="I737" s="2">
        <v>1740</v>
      </c>
      <c r="J737" s="2">
        <v>34.799999999999997</v>
      </c>
      <c r="K737" s="2">
        <v>35</v>
      </c>
      <c r="L737" s="2">
        <f t="shared" si="35"/>
        <v>750</v>
      </c>
      <c r="M737" s="2" t="s">
        <v>1090</v>
      </c>
      <c r="N737" s="40">
        <f>_xlfn.XLOOKUP(F737,Terrain!D:D,Terrain!H:H,"")</f>
        <v>2567</v>
      </c>
      <c r="O737" t="str">
        <f t="shared" si="33"/>
        <v>67-P02-R | 2320 | 373|0</v>
      </c>
    </row>
    <row r="738" spans="1:15" x14ac:dyDescent="0.3">
      <c r="A738" s="43">
        <v>46327</v>
      </c>
      <c r="B738" s="2" t="s">
        <v>12</v>
      </c>
      <c r="C738" s="2" t="s">
        <v>1262</v>
      </c>
      <c r="D738" s="2" t="s">
        <v>458</v>
      </c>
      <c r="E738" s="2" t="str">
        <f>_xlfn.XLOOKUP(F738,Terrain!D:D,Terrain!A:A,"")</f>
        <v>Lower</v>
      </c>
      <c r="F738" s="2" t="s">
        <v>1318</v>
      </c>
      <c r="G738" s="2" t="s">
        <v>876</v>
      </c>
      <c r="H738" s="2">
        <f t="shared" si="34"/>
        <v>2566</v>
      </c>
      <c r="I738" s="2">
        <v>1912.5</v>
      </c>
      <c r="J738" s="2">
        <v>38.25</v>
      </c>
      <c r="K738" s="2">
        <v>38</v>
      </c>
      <c r="L738" s="2">
        <f t="shared" si="35"/>
        <v>750</v>
      </c>
      <c r="M738" s="2" t="s">
        <v>1091</v>
      </c>
      <c r="N738" s="40">
        <f>_xlfn.XLOOKUP(F738,Terrain!D:D,Terrain!H:H,"")</f>
        <v>2566</v>
      </c>
      <c r="O738" t="str">
        <f t="shared" si="33"/>
        <v>66-P03-R | 2550 | 345|0</v>
      </c>
    </row>
    <row r="739" spans="1:15" x14ac:dyDescent="0.3">
      <c r="A739" s="43">
        <v>46327</v>
      </c>
      <c r="B739" s="2" t="s">
        <v>12</v>
      </c>
      <c r="C739" s="2" t="s">
        <v>1262</v>
      </c>
      <c r="D739" s="2" t="s">
        <v>468</v>
      </c>
      <c r="E739" s="2" t="str">
        <f>_xlfn.XLOOKUP(F739,Terrain!D:D,Terrain!A:A,"")</f>
        <v>Lower</v>
      </c>
      <c r="F739" s="2" t="s">
        <v>1319</v>
      </c>
      <c r="G739" s="2" t="s">
        <v>877</v>
      </c>
      <c r="H739" s="2">
        <f t="shared" si="34"/>
        <v>2566</v>
      </c>
      <c r="I739" s="2">
        <v>2140.5</v>
      </c>
      <c r="J739" s="2">
        <v>42.81</v>
      </c>
      <c r="K739" s="2">
        <v>43</v>
      </c>
      <c r="L739" s="2">
        <f t="shared" si="35"/>
        <v>750</v>
      </c>
      <c r="M739" s="2" t="s">
        <v>1091</v>
      </c>
      <c r="N739" s="40">
        <f>_xlfn.XLOOKUP(F739,Terrain!D:D,Terrain!H:H,"")</f>
        <v>2566</v>
      </c>
      <c r="O739" t="str">
        <f t="shared" si="33"/>
        <v>66-P04-R | 2854 | 349|0</v>
      </c>
    </row>
    <row r="740" spans="1:15" x14ac:dyDescent="0.3">
      <c r="A740" s="43">
        <v>46327</v>
      </c>
      <c r="B740" s="2" t="s">
        <v>12</v>
      </c>
      <c r="C740" s="2" t="s">
        <v>1262</v>
      </c>
      <c r="D740" s="2" t="s">
        <v>478</v>
      </c>
      <c r="E740" s="2" t="str">
        <f>_xlfn.XLOOKUP(F740,Terrain!D:D,Terrain!A:A,"")</f>
        <v>Lower</v>
      </c>
      <c r="F740" s="2" t="s">
        <v>1320</v>
      </c>
      <c r="G740" s="2" t="s">
        <v>878</v>
      </c>
      <c r="H740" s="2">
        <f t="shared" si="34"/>
        <v>2566</v>
      </c>
      <c r="I740" s="2">
        <v>2333.25</v>
      </c>
      <c r="J740" s="2">
        <v>46.664999999999999</v>
      </c>
      <c r="K740" s="2">
        <v>47</v>
      </c>
      <c r="L740" s="2">
        <f t="shared" si="35"/>
        <v>750</v>
      </c>
      <c r="M740" s="2" t="s">
        <v>1091</v>
      </c>
      <c r="N740" s="40">
        <f>_xlfn.XLOOKUP(F740,Terrain!D:D,Terrain!H:H,"")</f>
        <v>2566</v>
      </c>
      <c r="O740" t="str">
        <f t="shared" si="33"/>
        <v>66-P05-R | 3111 | 347|0</v>
      </c>
    </row>
    <row r="741" spans="1:15" x14ac:dyDescent="0.3">
      <c r="A741" s="43">
        <v>46327</v>
      </c>
      <c r="B741" s="2" t="s">
        <v>12</v>
      </c>
      <c r="C741" s="2" t="s">
        <v>1262</v>
      </c>
      <c r="D741" s="2" t="s">
        <v>536</v>
      </c>
      <c r="E741" s="2" t="str">
        <f>_xlfn.XLOOKUP(F741,Terrain!D:D,Terrain!A:A,"")</f>
        <v>Lower</v>
      </c>
      <c r="F741" s="2" t="s">
        <v>1240</v>
      </c>
      <c r="G741" s="2" t="s">
        <v>885</v>
      </c>
      <c r="H741" s="2">
        <f t="shared" si="34"/>
        <v>2568</v>
      </c>
      <c r="I741" s="2">
        <v>946</v>
      </c>
      <c r="J741" s="2">
        <v>18.920000000000002</v>
      </c>
      <c r="K741" s="2">
        <v>19</v>
      </c>
      <c r="L741" s="2">
        <f t="shared" si="35"/>
        <v>500</v>
      </c>
      <c r="M741" s="2" t="s">
        <v>1095</v>
      </c>
      <c r="N741" s="40">
        <f>_xlfn.XLOOKUP(F741,Terrain!D:D,Terrain!H:H,"")</f>
        <v>2568</v>
      </c>
      <c r="O741" t="str">
        <f t="shared" si="33"/>
        <v>68-PU1 | 1892 | 418|0</v>
      </c>
    </row>
    <row r="742" spans="1:15" x14ac:dyDescent="0.3">
      <c r="A742" s="43">
        <v>46327</v>
      </c>
      <c r="B742" s="2" t="s">
        <v>12</v>
      </c>
      <c r="C742" s="2" t="s">
        <v>1262</v>
      </c>
      <c r="D742" s="2" t="s">
        <v>546</v>
      </c>
      <c r="E742" s="2" t="str">
        <f>_xlfn.XLOOKUP(F742,Terrain!D:D,Terrain!A:A,"")</f>
        <v>Lower</v>
      </c>
      <c r="F742" s="2" t="s">
        <v>1239</v>
      </c>
      <c r="G742" s="2" t="s">
        <v>886</v>
      </c>
      <c r="H742" s="2">
        <f t="shared" si="34"/>
        <v>2566</v>
      </c>
      <c r="I742" s="2">
        <v>1477.5</v>
      </c>
      <c r="J742" s="2">
        <v>29.55</v>
      </c>
      <c r="K742" s="2">
        <v>30</v>
      </c>
      <c r="L742" s="2">
        <f t="shared" si="35"/>
        <v>750</v>
      </c>
      <c r="M742" s="2" t="s">
        <v>1096</v>
      </c>
      <c r="N742" s="40">
        <f>_xlfn.XLOOKUP(F742,Terrain!D:D,Terrain!H:H,"")</f>
        <v>2566</v>
      </c>
      <c r="O742" t="str">
        <f t="shared" si="33"/>
        <v>66-PU2 | 1970 | 346|0</v>
      </c>
    </row>
    <row r="743" spans="1:15" x14ac:dyDescent="0.3">
      <c r="A743" s="43">
        <v>46327</v>
      </c>
      <c r="B743" s="2" t="s">
        <v>12</v>
      </c>
      <c r="C743" s="2" t="s">
        <v>1262</v>
      </c>
      <c r="D743" s="2" t="s">
        <v>556</v>
      </c>
      <c r="E743" s="2" t="str">
        <f>_xlfn.XLOOKUP(F743,Terrain!D:D,Terrain!A:A,"")</f>
        <v>Lower</v>
      </c>
      <c r="F743" s="2" t="s">
        <v>1241</v>
      </c>
      <c r="G743" s="2" t="s">
        <v>887</v>
      </c>
      <c r="H743" s="2">
        <f t="shared" si="34"/>
        <v>2568</v>
      </c>
      <c r="I743" s="2">
        <v>843</v>
      </c>
      <c r="J743" s="2">
        <v>16.86</v>
      </c>
      <c r="K743" s="2">
        <v>17</v>
      </c>
      <c r="L743" s="2">
        <f t="shared" si="35"/>
        <v>500</v>
      </c>
      <c r="M743" s="2" t="s">
        <v>1095</v>
      </c>
      <c r="N743" s="40">
        <f>_xlfn.XLOOKUP(F743,Terrain!D:D,Terrain!H:H,"")</f>
        <v>2568</v>
      </c>
      <c r="O743" t="str">
        <f t="shared" si="33"/>
        <v>68-PU3 | 1686 | 416|0</v>
      </c>
    </row>
    <row r="744" spans="1:15" x14ac:dyDescent="0.3">
      <c r="A744" s="43">
        <v>46327</v>
      </c>
      <c r="B744" s="2" t="s">
        <v>12</v>
      </c>
      <c r="C744" s="2" t="s">
        <v>1262</v>
      </c>
      <c r="D744" s="2" t="s">
        <v>566</v>
      </c>
      <c r="E744" s="2" t="str">
        <f>_xlfn.XLOOKUP(F744,Terrain!D:D,Terrain!A:A,"")</f>
        <v>Lower</v>
      </c>
      <c r="F744" s="2" t="s">
        <v>1242</v>
      </c>
      <c r="G744" s="2" t="s">
        <v>888</v>
      </c>
      <c r="H744" s="2">
        <f t="shared" si="34"/>
        <v>2568</v>
      </c>
      <c r="I744" s="2">
        <v>690</v>
      </c>
      <c r="J744" s="2">
        <v>13.8</v>
      </c>
      <c r="K744" s="2">
        <v>14</v>
      </c>
      <c r="L744" s="2">
        <f t="shared" si="35"/>
        <v>500</v>
      </c>
      <c r="M744" s="2" t="s">
        <v>1095</v>
      </c>
      <c r="N744" s="40">
        <f>_xlfn.XLOOKUP(F744,Terrain!D:D,Terrain!H:H,"")</f>
        <v>2568</v>
      </c>
      <c r="O744" t="str">
        <f t="shared" si="33"/>
        <v>68-PU4 | 1380 | 417|0</v>
      </c>
    </row>
    <row r="745" spans="1:15" x14ac:dyDescent="0.3">
      <c r="A745" s="43">
        <v>46327</v>
      </c>
      <c r="B745" s="2" t="s">
        <v>12</v>
      </c>
      <c r="C745" s="2" t="s">
        <v>1262</v>
      </c>
      <c r="D745" s="2" t="s">
        <v>576</v>
      </c>
      <c r="E745" s="2" t="str">
        <f>_xlfn.XLOOKUP(F745,Terrain!D:D,Terrain!A:A,"")</f>
        <v>Lower</v>
      </c>
      <c r="F745" s="2" t="s">
        <v>1243</v>
      </c>
      <c r="G745" s="2" t="s">
        <v>889</v>
      </c>
      <c r="H745" s="2">
        <f t="shared" si="34"/>
        <v>2568</v>
      </c>
      <c r="I745" s="2">
        <v>375.5</v>
      </c>
      <c r="J745" s="2">
        <v>7.51</v>
      </c>
      <c r="K745" s="2">
        <v>8</v>
      </c>
      <c r="L745" s="2">
        <f t="shared" si="35"/>
        <v>500</v>
      </c>
      <c r="M745" s="2" t="s">
        <v>1097</v>
      </c>
      <c r="N745" s="40">
        <f>_xlfn.XLOOKUP(F745,Terrain!D:D,Terrain!H:H,"")</f>
        <v>2568</v>
      </c>
      <c r="O745" t="str">
        <f t="shared" si="33"/>
        <v>68-PU5 | 751 | 422|0</v>
      </c>
    </row>
    <row r="746" spans="1:15" x14ac:dyDescent="0.3">
      <c r="A746" s="43">
        <v>46327</v>
      </c>
      <c r="B746" s="2" t="s">
        <v>12</v>
      </c>
      <c r="C746" s="2" t="s">
        <v>1262</v>
      </c>
      <c r="D746" s="2" t="s">
        <v>586</v>
      </c>
      <c r="E746" s="2" t="str">
        <f>_xlfn.XLOOKUP(F746,Terrain!D:D,Terrain!A:A,"")</f>
        <v>Lower</v>
      </c>
      <c r="F746" s="2" t="s">
        <v>1327</v>
      </c>
      <c r="G746" s="2" t="s">
        <v>890</v>
      </c>
      <c r="H746" s="2">
        <f t="shared" si="34"/>
        <v>2568</v>
      </c>
      <c r="I746" s="2">
        <v>584</v>
      </c>
      <c r="J746" s="2">
        <v>11.68</v>
      </c>
      <c r="K746" s="2">
        <v>12</v>
      </c>
      <c r="L746" s="2">
        <f t="shared" si="35"/>
        <v>500</v>
      </c>
      <c r="M746" s="2" t="s">
        <v>1098</v>
      </c>
      <c r="N746" s="40">
        <f>_xlfn.XLOOKUP(F746,Terrain!D:D,Terrain!H:H,"")</f>
        <v>2568</v>
      </c>
      <c r="O746" t="str">
        <f t="shared" si="33"/>
        <v>68-PU5-R | 1168 | 420|0</v>
      </c>
    </row>
    <row r="747" spans="1:15" x14ac:dyDescent="0.3">
      <c r="A747" s="43">
        <v>46327</v>
      </c>
      <c r="B747" s="2" t="s">
        <v>12</v>
      </c>
      <c r="C747" s="2" t="s">
        <v>1262</v>
      </c>
      <c r="D747" s="2" t="s">
        <v>596</v>
      </c>
      <c r="E747" s="2" t="str">
        <f>_xlfn.XLOOKUP(F747,Terrain!D:D,Terrain!A:A,"")</f>
        <v>Lower</v>
      </c>
      <c r="F747" s="2" t="s">
        <v>1245</v>
      </c>
      <c r="G747" s="2" t="s">
        <v>1099</v>
      </c>
      <c r="H747" s="2">
        <f t="shared" si="34"/>
        <v>2568</v>
      </c>
      <c r="I747" s="2">
        <v>72.5</v>
      </c>
      <c r="J747" s="2">
        <v>1.45</v>
      </c>
      <c r="K747" s="2">
        <v>1</v>
      </c>
      <c r="L747" s="2">
        <f t="shared" si="35"/>
        <v>500</v>
      </c>
      <c r="M747" s="2" t="s">
        <v>1097</v>
      </c>
      <c r="N747" s="40">
        <f>_xlfn.XLOOKUP(F747,Terrain!D:D,Terrain!H:H,"")</f>
        <v>2568</v>
      </c>
      <c r="O747" t="str">
        <f t="shared" si="33"/>
        <v>68-PU6 | 145 | 421|0</v>
      </c>
    </row>
    <row r="748" spans="1:15" x14ac:dyDescent="0.3">
      <c r="A748" s="43">
        <v>46327</v>
      </c>
      <c r="B748" s="2" t="s">
        <v>12</v>
      </c>
      <c r="C748" s="2" t="s">
        <v>1262</v>
      </c>
      <c r="D748" s="2" t="s">
        <v>606</v>
      </c>
      <c r="E748" s="2" t="str">
        <f>_xlfn.XLOOKUP(F748,Terrain!D:D,Terrain!A:A,"")</f>
        <v>Lower</v>
      </c>
      <c r="F748" s="2" t="s">
        <v>1328</v>
      </c>
      <c r="G748" s="2" t="s">
        <v>1100</v>
      </c>
      <c r="H748" s="2">
        <f t="shared" si="34"/>
        <v>2568</v>
      </c>
      <c r="I748" s="2">
        <v>773.5</v>
      </c>
      <c r="J748" s="2">
        <v>15.47</v>
      </c>
      <c r="K748" s="2">
        <v>15</v>
      </c>
      <c r="L748" s="11">
        <f t="shared" si="35"/>
        <v>500</v>
      </c>
      <c r="M748" s="2" t="s">
        <v>1098</v>
      </c>
      <c r="N748" s="40">
        <f>_xlfn.XLOOKUP(F748,Terrain!D:D,Terrain!H:H,"")</f>
        <v>2568</v>
      </c>
      <c r="O748" t="str">
        <f t="shared" si="33"/>
        <v>68-PU6-R | 1547 | 419|0</v>
      </c>
    </row>
    <row r="749" spans="1:15" x14ac:dyDescent="0.3">
      <c r="A749" s="43">
        <v>46327</v>
      </c>
      <c r="B749" s="2" t="s">
        <v>12</v>
      </c>
      <c r="C749" s="2" t="s">
        <v>1262</v>
      </c>
      <c r="D749" s="2" t="s">
        <v>616</v>
      </c>
      <c r="E749" s="2" t="str">
        <f>_xlfn.XLOOKUP(F749,Terrain!D:D,Terrain!A:A,"")</f>
        <v>Upper</v>
      </c>
      <c r="F749" s="2" t="s">
        <v>1329</v>
      </c>
      <c r="G749" s="2" t="s">
        <v>1101</v>
      </c>
      <c r="H749" s="2">
        <f t="shared" si="34"/>
        <v>2568</v>
      </c>
      <c r="I749" s="2">
        <v>1585.5</v>
      </c>
      <c r="J749" s="2">
        <v>31.71</v>
      </c>
      <c r="K749" s="2">
        <v>32</v>
      </c>
      <c r="L749" s="11">
        <f t="shared" si="35"/>
        <v>500</v>
      </c>
      <c r="M749" s="2" t="s">
        <v>1102</v>
      </c>
      <c r="N749" s="40">
        <f>_xlfn.XLOOKUP(F749,Terrain!D:D,Terrain!H:H,"")</f>
        <v>2568</v>
      </c>
      <c r="O749" t="str">
        <f t="shared" si="33"/>
        <v>68-T01 | 3171 | 669|0</v>
      </c>
    </row>
    <row r="750" spans="1:15" x14ac:dyDescent="0.3">
      <c r="A750" s="43">
        <v>46327</v>
      </c>
      <c r="B750" s="2" t="s">
        <v>12</v>
      </c>
      <c r="C750" s="2" t="s">
        <v>1262</v>
      </c>
      <c r="D750" s="2" t="s">
        <v>626</v>
      </c>
      <c r="E750" s="2" t="str">
        <f>_xlfn.XLOOKUP(F750,Terrain!D:D,Terrain!A:A,"")</f>
        <v>Upper</v>
      </c>
      <c r="F750" s="2" t="s">
        <v>1330</v>
      </c>
      <c r="G750" s="2" t="s">
        <v>906</v>
      </c>
      <c r="H750" s="2">
        <f t="shared" si="34"/>
        <v>2568</v>
      </c>
      <c r="I750" s="2">
        <v>1475</v>
      </c>
      <c r="J750" s="2">
        <v>29.5</v>
      </c>
      <c r="K750" s="2">
        <v>30</v>
      </c>
      <c r="L750" s="2">
        <f t="shared" si="35"/>
        <v>500</v>
      </c>
      <c r="M750" s="2" t="s">
        <v>1102</v>
      </c>
      <c r="N750" s="40">
        <f>_xlfn.XLOOKUP(F750,Terrain!D:D,Terrain!H:H,"")</f>
        <v>2568</v>
      </c>
      <c r="O750" t="str">
        <f t="shared" si="33"/>
        <v>68-T02 | 2950 | 668|0</v>
      </c>
    </row>
    <row r="751" spans="1:15" x14ac:dyDescent="0.3">
      <c r="A751" s="43">
        <v>46327</v>
      </c>
      <c r="B751" s="2" t="s">
        <v>12</v>
      </c>
      <c r="C751" s="2" t="s">
        <v>1262</v>
      </c>
      <c r="D751" s="2" t="s">
        <v>636</v>
      </c>
      <c r="E751" s="2" t="str">
        <f>_xlfn.XLOOKUP(F751,Terrain!D:D,Terrain!A:A,"")</f>
        <v>Upper</v>
      </c>
      <c r="F751" s="2" t="s">
        <v>1331</v>
      </c>
      <c r="G751" s="2" t="s">
        <v>907</v>
      </c>
      <c r="H751" s="2">
        <f t="shared" si="34"/>
        <v>2566</v>
      </c>
      <c r="I751" s="2">
        <v>1836.75</v>
      </c>
      <c r="J751" s="2">
        <v>36.734999999999999</v>
      </c>
      <c r="K751" s="2">
        <v>37</v>
      </c>
      <c r="L751" s="2">
        <f t="shared" si="35"/>
        <v>750</v>
      </c>
      <c r="M751" s="2" t="s">
        <v>1103</v>
      </c>
      <c r="N751" s="40">
        <f>_xlfn.XLOOKUP(F751,Terrain!D:D,Terrain!H:H,"")</f>
        <v>2566</v>
      </c>
      <c r="O751" t="str">
        <f t="shared" si="33"/>
        <v>66-T03 | 2449 | 612|0</v>
      </c>
    </row>
    <row r="752" spans="1:15" x14ac:dyDescent="0.3">
      <c r="A752" s="43">
        <v>46327</v>
      </c>
      <c r="B752" s="2" t="s">
        <v>12</v>
      </c>
      <c r="C752" s="2" t="s">
        <v>1262</v>
      </c>
      <c r="D752" s="2" t="s">
        <v>646</v>
      </c>
      <c r="E752" s="2" t="str">
        <f>_xlfn.XLOOKUP(F752,Terrain!D:D,Terrain!A:A,"")</f>
        <v>Upper</v>
      </c>
      <c r="F752" s="2" t="s">
        <v>1332</v>
      </c>
      <c r="G752" s="2" t="s">
        <v>908</v>
      </c>
      <c r="H752" s="2">
        <f t="shared" si="34"/>
        <v>2566</v>
      </c>
      <c r="I752" s="2">
        <v>1510.5</v>
      </c>
      <c r="J752" s="2">
        <v>30.21</v>
      </c>
      <c r="K752" s="2">
        <v>30</v>
      </c>
      <c r="L752" s="2">
        <f t="shared" si="35"/>
        <v>750</v>
      </c>
      <c r="M752" s="2" t="s">
        <v>1103</v>
      </c>
      <c r="N752" s="40">
        <f>_xlfn.XLOOKUP(F752,Terrain!D:D,Terrain!H:H,"")</f>
        <v>2566</v>
      </c>
      <c r="O752" t="str">
        <f t="shared" si="33"/>
        <v>66-T04 | 2014 | 615|0</v>
      </c>
    </row>
    <row r="753" spans="1:15" x14ac:dyDescent="0.3">
      <c r="A753" s="43">
        <v>46327</v>
      </c>
      <c r="B753" s="2" t="s">
        <v>12</v>
      </c>
      <c r="C753" s="2" t="s">
        <v>1262</v>
      </c>
      <c r="D753" s="2" t="s">
        <v>664</v>
      </c>
      <c r="E753" s="2" t="str">
        <f>_xlfn.XLOOKUP(F753,Terrain!D:D,Terrain!A:A,"")</f>
        <v>Upper</v>
      </c>
      <c r="F753" s="2" t="s">
        <v>1334</v>
      </c>
      <c r="G753" s="2" t="s">
        <v>910</v>
      </c>
      <c r="H753" s="2">
        <f t="shared" si="34"/>
        <v>2566</v>
      </c>
      <c r="I753" s="2">
        <v>2173.5</v>
      </c>
      <c r="J753" s="2">
        <v>43.47</v>
      </c>
      <c r="K753" s="2">
        <v>43</v>
      </c>
      <c r="L753" s="2">
        <f t="shared" si="35"/>
        <v>750</v>
      </c>
      <c r="M753" s="2" t="s">
        <v>1103</v>
      </c>
      <c r="N753" s="40">
        <f>_xlfn.XLOOKUP(F753,Terrain!D:D,Terrain!H:H,"")</f>
        <v>2566</v>
      </c>
      <c r="O753" t="str">
        <f t="shared" si="33"/>
        <v>66-T06 | 2898 | 613|0</v>
      </c>
    </row>
    <row r="754" spans="1:15" x14ac:dyDescent="0.3">
      <c r="A754" s="43">
        <v>46327</v>
      </c>
      <c r="B754" s="2" t="s">
        <v>12</v>
      </c>
      <c r="C754" s="2" t="s">
        <v>1262</v>
      </c>
      <c r="D754" s="2" t="s">
        <v>674</v>
      </c>
      <c r="E754" s="2" t="str">
        <f>_xlfn.XLOOKUP(F754,Terrain!D:D,Terrain!A:A,"")</f>
        <v>Upper</v>
      </c>
      <c r="F754" s="2" t="s">
        <v>1335</v>
      </c>
      <c r="G754" s="2" t="s">
        <v>911</v>
      </c>
      <c r="H754" s="2">
        <f t="shared" si="34"/>
        <v>2566</v>
      </c>
      <c r="I754" s="2">
        <v>1773</v>
      </c>
      <c r="J754" s="2">
        <v>35.46</v>
      </c>
      <c r="K754" s="2">
        <v>35</v>
      </c>
      <c r="L754" s="2">
        <f t="shared" si="35"/>
        <v>750</v>
      </c>
      <c r="M754" s="2" t="s">
        <v>1103</v>
      </c>
      <c r="N754" s="40">
        <f>_xlfn.XLOOKUP(F754,Terrain!D:D,Terrain!H:H,"")</f>
        <v>2566</v>
      </c>
      <c r="O754" t="str">
        <f t="shared" si="33"/>
        <v>66-T07 | 2364 | 614|0</v>
      </c>
    </row>
    <row r="755" spans="1:15" x14ac:dyDescent="0.3">
      <c r="A755" s="43">
        <v>46327</v>
      </c>
      <c r="B755" s="2" t="s">
        <v>12</v>
      </c>
      <c r="C755" s="2" t="s">
        <v>1262</v>
      </c>
      <c r="D755" s="2" t="s">
        <v>715</v>
      </c>
      <c r="E755" s="2" t="str">
        <f>_xlfn.XLOOKUP(F755,Terrain!D:D,Terrain!A:A,"")</f>
        <v>Upper</v>
      </c>
      <c r="F755" s="2" t="s">
        <v>1173</v>
      </c>
      <c r="G755" s="2" t="s">
        <v>916</v>
      </c>
      <c r="H755" s="2">
        <f t="shared" si="34"/>
        <v>2567</v>
      </c>
      <c r="I755" s="2">
        <v>45.75</v>
      </c>
      <c r="J755" s="2">
        <v>0.91500000000000004</v>
      </c>
      <c r="K755" s="2">
        <v>1</v>
      </c>
      <c r="L755" s="2">
        <f t="shared" si="35"/>
        <v>750</v>
      </c>
      <c r="M755" s="2" t="s">
        <v>1108</v>
      </c>
      <c r="N755" s="40">
        <f>_xlfn.XLOOKUP(F755,Terrain!D:D,Terrain!H:H,"")</f>
        <v>2567</v>
      </c>
      <c r="O755" t="str">
        <f t="shared" si="33"/>
        <v>67-T10 | 61 | 653|0</v>
      </c>
    </row>
    <row r="756" spans="1:15" x14ac:dyDescent="0.3">
      <c r="A756" s="43">
        <v>46327</v>
      </c>
      <c r="B756" s="2" t="s">
        <v>12</v>
      </c>
      <c r="C756" s="2" t="s">
        <v>1262</v>
      </c>
      <c r="D756" s="2" t="s">
        <v>772</v>
      </c>
      <c r="E756" s="2" t="str">
        <f>_xlfn.XLOOKUP(F756,Terrain!D:D,Terrain!A:A,"")</f>
        <v>Upper</v>
      </c>
      <c r="F756" s="2" t="s">
        <v>1174</v>
      </c>
      <c r="G756" s="2" t="s">
        <v>923</v>
      </c>
      <c r="H756" s="2">
        <f t="shared" si="34"/>
        <v>2567</v>
      </c>
      <c r="I756" s="2">
        <v>128.25</v>
      </c>
      <c r="J756" s="2">
        <v>2.5649999999999999</v>
      </c>
      <c r="K756" s="2">
        <v>3</v>
      </c>
      <c r="L756" s="2">
        <f t="shared" si="35"/>
        <v>750</v>
      </c>
      <c r="M756" s="2" t="s">
        <v>1108</v>
      </c>
      <c r="N756" s="40">
        <f>_xlfn.XLOOKUP(F756,Terrain!D:D,Terrain!H:H,"")</f>
        <v>2567</v>
      </c>
      <c r="O756" t="str">
        <f t="shared" si="33"/>
        <v>67-T18 | 171 | 654|0</v>
      </c>
    </row>
    <row r="757" spans="1:15" x14ac:dyDescent="0.3">
      <c r="A757" s="43">
        <v>46327</v>
      </c>
      <c r="B757" s="2" t="s">
        <v>12</v>
      </c>
      <c r="C757" s="2" t="s">
        <v>1262</v>
      </c>
      <c r="D757" s="2" t="s">
        <v>805</v>
      </c>
      <c r="E757" s="2" t="str">
        <f>_xlfn.XLOOKUP(F757,Terrain!D:D,Terrain!A:A,"")</f>
        <v>Upper</v>
      </c>
      <c r="F757" s="2" t="s">
        <v>1175</v>
      </c>
      <c r="G757" s="2" t="s">
        <v>927</v>
      </c>
      <c r="H757" s="2">
        <f t="shared" si="34"/>
        <v>2567</v>
      </c>
      <c r="I757" s="2">
        <v>180.75</v>
      </c>
      <c r="J757" s="2">
        <v>3.6150000000000002</v>
      </c>
      <c r="K757" s="2">
        <v>4</v>
      </c>
      <c r="L757" s="2">
        <f t="shared" si="35"/>
        <v>750</v>
      </c>
      <c r="M757" s="2" t="s">
        <v>1108</v>
      </c>
      <c r="N757" s="40">
        <f>_xlfn.XLOOKUP(F757,Terrain!D:D,Terrain!H:H,"")</f>
        <v>2567</v>
      </c>
      <c r="O757" t="str">
        <f t="shared" si="33"/>
        <v>67-T21 | 241 | 651|0</v>
      </c>
    </row>
    <row r="758" spans="1:15" x14ac:dyDescent="0.3">
      <c r="A758" s="43">
        <v>46327</v>
      </c>
      <c r="B758" s="2" t="s">
        <v>12</v>
      </c>
      <c r="C758" s="2" t="s">
        <v>1262</v>
      </c>
      <c r="D758" s="2" t="s">
        <v>846</v>
      </c>
      <c r="E758" s="2" t="str">
        <f>_xlfn.XLOOKUP(F758,Terrain!D:D,Terrain!A:A,"")</f>
        <v>Upper</v>
      </c>
      <c r="F758" s="2" t="s">
        <v>1176</v>
      </c>
      <c r="G758" s="2" t="s">
        <v>932</v>
      </c>
      <c r="H758" s="2">
        <f t="shared" si="34"/>
        <v>2567</v>
      </c>
      <c r="I758" s="2">
        <v>2302.5</v>
      </c>
      <c r="J758" s="2">
        <v>46.05</v>
      </c>
      <c r="K758" s="2">
        <v>46</v>
      </c>
      <c r="L758" s="2">
        <f t="shared" si="35"/>
        <v>750</v>
      </c>
      <c r="M758" s="2" t="s">
        <v>1109</v>
      </c>
      <c r="N758" s="40">
        <f>_xlfn.XLOOKUP(F758,Terrain!D:D,Terrain!H:H,"")</f>
        <v>2567</v>
      </c>
      <c r="O758" t="str">
        <f t="shared" si="33"/>
        <v>67-T29 | 3070 | 655|0</v>
      </c>
    </row>
    <row r="759" spans="1:15" x14ac:dyDescent="0.3">
      <c r="A759" s="43">
        <v>46327</v>
      </c>
      <c r="B759" s="2" t="s">
        <v>12</v>
      </c>
      <c r="C759" s="2" t="s">
        <v>1262</v>
      </c>
      <c r="D759" s="2" t="s">
        <v>855</v>
      </c>
      <c r="E759" s="2" t="str">
        <f>_xlfn.XLOOKUP(F759,Terrain!D:D,Terrain!A:A,"")</f>
        <v>Upper</v>
      </c>
      <c r="F759" s="2" t="s">
        <v>1177</v>
      </c>
      <c r="G759" s="2" t="s">
        <v>933</v>
      </c>
      <c r="H759" s="2">
        <f t="shared" si="34"/>
        <v>2567</v>
      </c>
      <c r="I759" s="2">
        <v>2452.5</v>
      </c>
      <c r="J759" s="2">
        <v>49.05</v>
      </c>
      <c r="K759" s="2">
        <v>49</v>
      </c>
      <c r="L759" s="2">
        <f t="shared" si="35"/>
        <v>750</v>
      </c>
      <c r="M759" s="2" t="s">
        <v>1109</v>
      </c>
      <c r="N759" s="40">
        <f>_xlfn.XLOOKUP(F759,Terrain!D:D,Terrain!H:H,"")</f>
        <v>2567</v>
      </c>
      <c r="O759" t="str">
        <f t="shared" si="33"/>
        <v>67-T30 | 3270 | 652|0</v>
      </c>
    </row>
    <row r="760" spans="1:15" x14ac:dyDescent="0.3">
      <c r="C760" s="2">
        <f>_xlfn.XLOOKUP(B760,Fertilizer!A:A,Fertilizer!B:B,"")</f>
        <v>0</v>
      </c>
      <c r="E760" s="2" t="str">
        <f ca="1">_xlfn.XLOOKUP(F760,Terrain!D:D,Terrain!A:A,"")</f>
        <v/>
      </c>
      <c r="F760">
        <f ca="1">IF(RIGHT(Table2[[#This Row],[terrain]],2)="-R",MID(Table2[[#This Row],[terrain]],FIND("-",Table2[[#This Row],[terrain]])+1,LEN(Table2[[#This Row],[terrain]])-FIND("-",Table2[[#This Row],[terrain]])-2)&amp;"-"&amp;LEFT(Table2[[#This Row],[terrain]],FIND("-",Table2[[#This Row],[terrain]])-1)&amp;"-R",MID(Table2[[#This Row],[terrain]],FIND("-",Table2[[#This Row],[terrain]])+1,99)&amp;"-"&amp;LEFT(Table2[[#This Row],[terrain]],FIND("-",Table2[[#This Row],[terrain]])-1))</f>
        <v>0</v>
      </c>
      <c r="H760" s="2">
        <f t="shared" ca="1" si="34"/>
        <v>2556</v>
      </c>
      <c r="L760" s="2" t="e">
        <f t="shared" ref="L760:L763" si="36">I760*1000/G760</f>
        <v>#DIV/0!</v>
      </c>
      <c r="N760" s="40" t="str">
        <f ca="1">_xlfn.XLOOKUP(F760,Terrain!D:D,Terrain!H:H,"")</f>
        <v/>
      </c>
      <c r="O760" t="str">
        <f t="shared" ca="1" si="33"/>
        <v xml:space="preserve"> |  | </v>
      </c>
    </row>
    <row r="761" spans="1:15" x14ac:dyDescent="0.3">
      <c r="C761" s="2">
        <f>_xlfn.XLOOKUP(B761,Fertilizer!A:A,Fertilizer!B:B,"")</f>
        <v>0</v>
      </c>
      <c r="E761" s="2" t="str">
        <f ca="1">_xlfn.XLOOKUP(F761,Terrain!D:D,Terrain!A:A,"")</f>
        <v/>
      </c>
      <c r="F761">
        <f ca="1">IF(RIGHT(Table2[[#This Row],[terrain]],2)="-R",MID(Table2[[#This Row],[terrain]],FIND("-",Table2[[#This Row],[terrain]])+1,LEN(Table2[[#This Row],[terrain]])-FIND("-",Table2[[#This Row],[terrain]])-2)&amp;"-"&amp;LEFT(Table2[[#This Row],[terrain]],FIND("-",Table2[[#This Row],[terrain]])-1)&amp;"-R",MID(Table2[[#This Row],[terrain]],FIND("-",Table2[[#This Row],[terrain]])+1,99)&amp;"-"&amp;LEFT(Table2[[#This Row],[terrain]],FIND("-",Table2[[#This Row],[terrain]])-1))</f>
        <v>0</v>
      </c>
      <c r="H761" s="2">
        <f t="shared" ca="1" si="34"/>
        <v>2556</v>
      </c>
      <c r="K761" s="2"/>
      <c r="L761" s="2" t="e">
        <f t="shared" si="36"/>
        <v>#DIV/0!</v>
      </c>
      <c r="N761" s="40" t="str">
        <f ca="1">_xlfn.XLOOKUP(F761,Terrain!D:D,Terrain!H:H,"")</f>
        <v/>
      </c>
      <c r="O761" t="str">
        <f t="shared" ca="1" si="33"/>
        <v xml:space="preserve"> |  | </v>
      </c>
    </row>
    <row r="762" spans="1:15" x14ac:dyDescent="0.3">
      <c r="C762" s="2">
        <f>_xlfn.XLOOKUP(B762,Fertilizer!A:A,Fertilizer!B:B,"")</f>
        <v>0</v>
      </c>
      <c r="E762" s="2">
        <f ca="1">_xlfn.XLOOKUP(F762,Terrain!D:D,Terrain!A:A,"")</f>
        <v>0</v>
      </c>
      <c r="F762">
        <f ca="1">IF(RIGHT(Table2[[#This Row],[terrain]],2)="-R",MID(Table2[[#This Row],[terrain]],FIND("-",Table2[[#This Row],[terrain]])+1,LEN(Table2[[#This Row],[terrain]])-FIND("-",Table2[[#This Row],[terrain]])-2)&amp;"-"&amp;LEFT(Table2[[#This Row],[terrain]],FIND("-",Table2[[#This Row],[terrain]])-1)&amp;"-R",MID(Table2[[#This Row],[terrain]],FIND("-",Table2[[#This Row],[terrain]])+1,99)&amp;"-"&amp;LEFT(Table2[[#This Row],[terrain]],FIND("-",Table2[[#This Row],[terrain]])-1))</f>
        <v>0</v>
      </c>
      <c r="H762" s="2">
        <f t="shared" ca="1" si="34"/>
        <v>2556</v>
      </c>
      <c r="L762" s="2" t="e">
        <f t="shared" si="36"/>
        <v>#DIV/0!</v>
      </c>
      <c r="N762" s="40" t="str">
        <f ca="1">_xlfn.XLOOKUP(F762,Terrain!D:D,Terrain!H:H,"")</f>
        <v/>
      </c>
      <c r="O762" t="str">
        <f t="shared" ca="1" si="33"/>
        <v xml:space="preserve"> |  | </v>
      </c>
    </row>
    <row r="763" spans="1:15" x14ac:dyDescent="0.3">
      <c r="C763" s="2">
        <f>_xlfn.XLOOKUP(B763,Fertilizer!A:A,Fertilizer!B:B,"")</f>
        <v>0</v>
      </c>
      <c r="E763" s="2" t="str">
        <f ca="1">_xlfn.XLOOKUP(F763,Terrain!D:D,Terrain!A:A,"")</f>
        <v/>
      </c>
      <c r="F763">
        <f ca="1">IF(RIGHT(Table2[[#This Row],[terrain]],2)="-R",MID(Table2[[#This Row],[terrain]],FIND("-",Table2[[#This Row],[terrain]])+1,LEN(Table2[[#This Row],[terrain]])-FIND("-",Table2[[#This Row],[terrain]])-2)&amp;"-"&amp;LEFT(Table2[[#This Row],[terrain]],FIND("-",Table2[[#This Row],[terrain]])-1)&amp;"-R",MID(Table2[[#This Row],[terrain]],FIND("-",Table2[[#This Row],[terrain]])+1,99)&amp;"-"&amp;LEFT(Table2[[#This Row],[terrain]],FIND("-",Table2[[#This Row],[terrain]])-1))</f>
        <v>0</v>
      </c>
      <c r="H763" s="2">
        <f t="shared" ca="1" si="34"/>
        <v>2556</v>
      </c>
      <c r="J763" s="2"/>
      <c r="K763" s="2"/>
      <c r="L763" s="2" t="e">
        <f t="shared" si="36"/>
        <v>#DIV/0!</v>
      </c>
      <c r="N763" s="40" t="str">
        <f ca="1">_xlfn.XLOOKUP(F763,Terrain!D:D,Terrain!H:H,"")</f>
        <v/>
      </c>
      <c r="O763" t="str">
        <f t="shared" ca="1" si="33"/>
        <v xml:space="preserve"> |  | </v>
      </c>
    </row>
  </sheetData>
  <pageMargins left="0.75" right="0.75" top="1" bottom="1" header="0.5" footer="0.5"/>
  <pageSetup paperSize="9" orientation="portrait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D533C-3114-4140-B91B-C577FD4EFF4F}">
  <dimension ref="A3:AJ128"/>
  <sheetViews>
    <sheetView topLeftCell="A4" workbookViewId="0">
      <selection activeCell="Q2" sqref="Q2"/>
    </sheetView>
  </sheetViews>
  <sheetFormatPr defaultRowHeight="14.4" x14ac:dyDescent="0.3"/>
  <cols>
    <col min="1" max="1" width="17.44140625" bestFit="1" customWidth="1"/>
    <col min="2" max="2" width="15.5546875" bestFit="1" customWidth="1"/>
    <col min="3" max="4" width="5" bestFit="1" customWidth="1"/>
    <col min="5" max="5" width="6" bestFit="1" customWidth="1"/>
    <col min="6" max="6" width="10.109375" bestFit="1" customWidth="1"/>
    <col min="7" max="8" width="5" bestFit="1" customWidth="1"/>
    <col min="9" max="9" width="11.109375" bestFit="1" customWidth="1"/>
    <col min="10" max="10" width="4" bestFit="1" customWidth="1"/>
    <col min="11" max="13" width="5" bestFit="1" customWidth="1"/>
    <col min="14" max="14" width="11.109375" bestFit="1" customWidth="1"/>
    <col min="15" max="16" width="4" bestFit="1" customWidth="1"/>
    <col min="17" max="18" width="5" bestFit="1" customWidth="1"/>
    <col min="19" max="19" width="7.77734375" bestFit="1" customWidth="1"/>
    <col min="20" max="21" width="4" bestFit="1" customWidth="1"/>
    <col min="22" max="22" width="11.109375" bestFit="1" customWidth="1"/>
    <col min="23" max="26" width="5" bestFit="1" customWidth="1"/>
    <col min="27" max="27" width="11.109375" bestFit="1" customWidth="1"/>
    <col min="28" max="29" width="4" bestFit="1" customWidth="1"/>
    <col min="30" max="31" width="5" bestFit="1" customWidth="1"/>
    <col min="32" max="32" width="11.109375" bestFit="1" customWidth="1"/>
    <col min="33" max="33" width="5" bestFit="1" customWidth="1"/>
    <col min="34" max="34" width="11.109375" bestFit="1" customWidth="1"/>
    <col min="35" max="35" width="4" bestFit="1" customWidth="1"/>
    <col min="36" max="36" width="10.77734375" bestFit="1" customWidth="1"/>
    <col min="37" max="37" width="5" bestFit="1" customWidth="1"/>
    <col min="38" max="38" width="13.88671875" bestFit="1" customWidth="1"/>
    <col min="39" max="39" width="11.109375" bestFit="1" customWidth="1"/>
    <col min="40" max="40" width="5" bestFit="1" customWidth="1"/>
    <col min="41" max="41" width="13.88671875" bestFit="1" customWidth="1"/>
    <col min="42" max="42" width="11.109375" bestFit="1" customWidth="1"/>
    <col min="43" max="43" width="4" bestFit="1" customWidth="1"/>
    <col min="44" max="44" width="13.88671875" bestFit="1" customWidth="1"/>
    <col min="45" max="45" width="10.77734375" bestFit="1" customWidth="1"/>
    <col min="46" max="46" width="11.109375" bestFit="1" customWidth="1"/>
    <col min="47" max="47" width="5" bestFit="1" customWidth="1"/>
    <col min="48" max="48" width="13.88671875" bestFit="1" customWidth="1"/>
    <col min="49" max="49" width="9.44140625" bestFit="1" customWidth="1"/>
    <col min="50" max="50" width="11.109375" bestFit="1" customWidth="1"/>
    <col min="51" max="51" width="4" bestFit="1" customWidth="1"/>
    <col min="52" max="52" width="13.88671875" bestFit="1" customWidth="1"/>
    <col min="53" max="53" width="9.6640625" bestFit="1" customWidth="1"/>
    <col min="54" max="54" width="10.77734375" bestFit="1" customWidth="1"/>
    <col min="55" max="55" width="13.88671875" bestFit="1" customWidth="1"/>
    <col min="56" max="56" width="11.109375" bestFit="1" customWidth="1"/>
    <col min="57" max="57" width="9.44140625" bestFit="1" customWidth="1"/>
    <col min="58" max="58" width="11.109375" bestFit="1" customWidth="1"/>
    <col min="59" max="59" width="4" bestFit="1" customWidth="1"/>
    <col min="60" max="60" width="13.88671875" bestFit="1" customWidth="1"/>
    <col min="61" max="61" width="11.33203125" bestFit="1" customWidth="1"/>
    <col min="62" max="62" width="9.6640625" bestFit="1" customWidth="1"/>
    <col min="63" max="63" width="10.77734375" bestFit="1" customWidth="1"/>
    <col min="64" max="64" width="11.109375" bestFit="1" customWidth="1"/>
    <col min="65" max="65" width="4" bestFit="1" customWidth="1"/>
    <col min="66" max="66" width="13.88671875" bestFit="1" customWidth="1"/>
    <col min="67" max="67" width="11.33203125" bestFit="1" customWidth="1"/>
    <col min="68" max="68" width="9.6640625" bestFit="1" customWidth="1"/>
    <col min="69" max="69" width="10.77734375" bestFit="1" customWidth="1"/>
  </cols>
  <sheetData>
    <row r="3" spans="1:36" x14ac:dyDescent="0.3">
      <c r="A3" s="175" t="s">
        <v>857</v>
      </c>
      <c r="B3" s="175" t="s">
        <v>1353</v>
      </c>
    </row>
    <row r="4" spans="1:36" x14ac:dyDescent="0.3">
      <c r="B4" s="2" t="s">
        <v>1121</v>
      </c>
      <c r="F4" s="2" t="s">
        <v>1120</v>
      </c>
      <c r="I4" s="2" t="s">
        <v>1117</v>
      </c>
      <c r="N4" s="2" t="s">
        <v>1113</v>
      </c>
      <c r="S4" s="2" t="s">
        <v>1116</v>
      </c>
      <c r="V4" s="2" t="s">
        <v>1118</v>
      </c>
      <c r="AA4" s="2" t="s">
        <v>1114</v>
      </c>
      <c r="AF4" s="2" t="s">
        <v>1119</v>
      </c>
      <c r="AH4" s="2" t="s">
        <v>1115</v>
      </c>
      <c r="AJ4" s="2" t="s">
        <v>856</v>
      </c>
    </row>
    <row r="5" spans="1:36" x14ac:dyDescent="0.3">
      <c r="B5" s="2" t="s">
        <v>1254</v>
      </c>
      <c r="F5" s="2" t="s">
        <v>1256</v>
      </c>
      <c r="I5" s="2" t="s">
        <v>1257</v>
      </c>
      <c r="N5" s="2" t="s">
        <v>1258</v>
      </c>
      <c r="S5" s="2" t="s">
        <v>1251</v>
      </c>
      <c r="V5" s="2" t="s">
        <v>1259</v>
      </c>
      <c r="AA5" s="2" t="s">
        <v>1260</v>
      </c>
      <c r="AF5" s="2" t="s">
        <v>1261</v>
      </c>
      <c r="AH5" s="2" t="s">
        <v>1262</v>
      </c>
    </row>
    <row r="6" spans="1:36" x14ac:dyDescent="0.3">
      <c r="A6" s="175" t="s">
        <v>1352</v>
      </c>
      <c r="B6" s="2">
        <v>500</v>
      </c>
      <c r="C6" s="2">
        <v>1000</v>
      </c>
      <c r="D6" s="2">
        <v>1500</v>
      </c>
      <c r="E6" s="2">
        <v>2000</v>
      </c>
      <c r="F6" s="2">
        <v>500</v>
      </c>
      <c r="G6" s="2">
        <v>1500</v>
      </c>
      <c r="H6" s="2">
        <v>2000</v>
      </c>
      <c r="I6" s="2">
        <v>250</v>
      </c>
      <c r="J6" s="2">
        <v>750</v>
      </c>
      <c r="K6" s="2">
        <v>1250</v>
      </c>
      <c r="L6" s="2">
        <v>1500</v>
      </c>
      <c r="M6" s="2">
        <v>1750</v>
      </c>
      <c r="N6" s="2">
        <v>350</v>
      </c>
      <c r="O6" s="2">
        <v>500</v>
      </c>
      <c r="P6" s="2">
        <v>750</v>
      </c>
      <c r="Q6" s="2">
        <v>1000</v>
      </c>
      <c r="R6" s="2">
        <v>1250</v>
      </c>
      <c r="S6" s="2">
        <v>50</v>
      </c>
      <c r="T6" s="2">
        <v>99.999999999999986</v>
      </c>
      <c r="U6" s="2">
        <v>100</v>
      </c>
      <c r="V6" s="2">
        <v>250</v>
      </c>
      <c r="W6" s="2">
        <v>1000</v>
      </c>
      <c r="X6" s="2">
        <v>1250</v>
      </c>
      <c r="Y6" s="2">
        <v>1500</v>
      </c>
      <c r="Z6" s="2">
        <v>1750</v>
      </c>
      <c r="AA6" s="2">
        <v>350</v>
      </c>
      <c r="AB6" s="2">
        <v>500</v>
      </c>
      <c r="AC6" s="2">
        <v>750</v>
      </c>
      <c r="AD6" s="2">
        <v>1000</v>
      </c>
      <c r="AE6" s="2">
        <v>1250</v>
      </c>
      <c r="AF6" s="2">
        <v>500</v>
      </c>
      <c r="AG6" s="2">
        <v>1250</v>
      </c>
      <c r="AH6" s="2">
        <v>500</v>
      </c>
      <c r="AI6" s="2">
        <v>750</v>
      </c>
    </row>
    <row r="7" spans="1:36" x14ac:dyDescent="0.3">
      <c r="A7" s="3" t="s">
        <v>1029</v>
      </c>
      <c r="B7" s="7">
        <v>172</v>
      </c>
      <c r="C7" s="7">
        <v>834</v>
      </c>
      <c r="D7" s="7">
        <v>1744</v>
      </c>
      <c r="E7" s="7">
        <v>6320</v>
      </c>
      <c r="F7" s="7">
        <v>222</v>
      </c>
      <c r="G7" s="7">
        <v>874</v>
      </c>
      <c r="H7" s="7">
        <v>3157</v>
      </c>
      <c r="I7" s="7">
        <v>43</v>
      </c>
      <c r="J7" s="7">
        <v>111</v>
      </c>
      <c r="K7" s="7">
        <v>337</v>
      </c>
      <c r="L7" s="7">
        <v>874</v>
      </c>
      <c r="M7" s="7">
        <v>2767</v>
      </c>
      <c r="N7" s="7">
        <v>60</v>
      </c>
      <c r="O7" s="7">
        <v>74</v>
      </c>
      <c r="P7" s="7">
        <v>203</v>
      </c>
      <c r="Q7" s="7">
        <v>581</v>
      </c>
      <c r="R7" s="7">
        <v>1974</v>
      </c>
      <c r="S7" s="7">
        <v>17</v>
      </c>
      <c r="T7" s="7">
        <v>10</v>
      </c>
      <c r="U7" s="7">
        <v>504</v>
      </c>
      <c r="V7" s="7">
        <v>43</v>
      </c>
      <c r="W7" s="7">
        <v>146</v>
      </c>
      <c r="X7" s="7">
        <v>337</v>
      </c>
      <c r="Y7" s="7">
        <v>874</v>
      </c>
      <c r="Z7" s="7">
        <v>2767</v>
      </c>
      <c r="AA7" s="7">
        <v>60</v>
      </c>
      <c r="AB7" s="7">
        <v>74</v>
      </c>
      <c r="AC7" s="7">
        <v>203</v>
      </c>
      <c r="AD7" s="7">
        <v>581</v>
      </c>
      <c r="AE7" s="7">
        <v>1974</v>
      </c>
      <c r="AF7" s="7">
        <v>86</v>
      </c>
      <c r="AG7" s="7">
        <v>521</v>
      </c>
      <c r="AH7" s="7">
        <v>86</v>
      </c>
      <c r="AI7" s="7">
        <v>314</v>
      </c>
      <c r="AJ7" s="7">
        <v>28944</v>
      </c>
    </row>
    <row r="8" spans="1:36" x14ac:dyDescent="0.3">
      <c r="A8" s="10">
        <v>2566</v>
      </c>
      <c r="B8" s="7"/>
      <c r="C8" s="7">
        <v>539</v>
      </c>
      <c r="D8" s="7"/>
      <c r="E8" s="7"/>
      <c r="F8" s="7">
        <v>136</v>
      </c>
      <c r="G8" s="7"/>
      <c r="H8" s="7"/>
      <c r="I8" s="7"/>
      <c r="J8" s="7"/>
      <c r="K8" s="7">
        <v>337</v>
      </c>
      <c r="L8" s="7"/>
      <c r="M8" s="7"/>
      <c r="N8" s="7"/>
      <c r="O8" s="7"/>
      <c r="P8" s="7">
        <v>203</v>
      </c>
      <c r="Q8" s="7"/>
      <c r="R8" s="7"/>
      <c r="S8" s="7"/>
      <c r="T8" s="7"/>
      <c r="U8" s="7">
        <v>53</v>
      </c>
      <c r="V8" s="7"/>
      <c r="W8" s="7"/>
      <c r="X8" s="7">
        <v>337</v>
      </c>
      <c r="Y8" s="7"/>
      <c r="Z8" s="7"/>
      <c r="AA8" s="7"/>
      <c r="AB8" s="7"/>
      <c r="AC8" s="7">
        <v>203</v>
      </c>
      <c r="AD8" s="7"/>
      <c r="AE8" s="7"/>
      <c r="AF8" s="7"/>
      <c r="AG8" s="7">
        <v>337</v>
      </c>
      <c r="AH8" s="7"/>
      <c r="AI8" s="7">
        <v>203</v>
      </c>
      <c r="AJ8" s="7">
        <v>2348</v>
      </c>
    </row>
    <row r="9" spans="1:36" x14ac:dyDescent="0.3">
      <c r="A9" s="176" t="s">
        <v>1315</v>
      </c>
      <c r="B9" s="7"/>
      <c r="C9" s="7">
        <v>120</v>
      </c>
      <c r="D9" s="7"/>
      <c r="E9" s="7"/>
      <c r="F9" s="7">
        <v>30</v>
      </c>
      <c r="G9" s="7"/>
      <c r="H9" s="7"/>
      <c r="I9" s="7"/>
      <c r="J9" s="7"/>
      <c r="K9" s="7">
        <v>75</v>
      </c>
      <c r="L9" s="7"/>
      <c r="M9" s="7"/>
      <c r="N9" s="7"/>
      <c r="O9" s="7"/>
      <c r="P9" s="7">
        <v>45</v>
      </c>
      <c r="Q9" s="7"/>
      <c r="R9" s="7"/>
      <c r="S9" s="7"/>
      <c r="T9" s="7"/>
      <c r="U9" s="7">
        <v>12</v>
      </c>
      <c r="V9" s="7"/>
      <c r="W9" s="7"/>
      <c r="X9" s="7">
        <v>75</v>
      </c>
      <c r="Y9" s="7"/>
      <c r="Z9" s="7"/>
      <c r="AA9" s="7"/>
      <c r="AB9" s="7"/>
      <c r="AC9" s="7">
        <v>45</v>
      </c>
      <c r="AD9" s="7"/>
      <c r="AE9" s="7"/>
      <c r="AF9" s="7"/>
      <c r="AG9" s="7">
        <v>75</v>
      </c>
      <c r="AH9" s="7"/>
      <c r="AI9" s="7">
        <v>45</v>
      </c>
      <c r="AJ9" s="7">
        <v>522</v>
      </c>
    </row>
    <row r="10" spans="1:36" x14ac:dyDescent="0.3">
      <c r="A10" s="176" t="s">
        <v>1318</v>
      </c>
      <c r="B10" s="7"/>
      <c r="C10" s="7">
        <v>102</v>
      </c>
      <c r="D10" s="7"/>
      <c r="E10" s="7"/>
      <c r="F10" s="7">
        <v>26</v>
      </c>
      <c r="G10" s="7"/>
      <c r="H10" s="7"/>
      <c r="I10" s="7"/>
      <c r="J10" s="7"/>
      <c r="K10" s="7">
        <v>64</v>
      </c>
      <c r="L10" s="7"/>
      <c r="M10" s="7"/>
      <c r="N10" s="7"/>
      <c r="O10" s="7"/>
      <c r="P10" s="7">
        <v>38</v>
      </c>
      <c r="Q10" s="7"/>
      <c r="R10" s="7"/>
      <c r="S10" s="7"/>
      <c r="T10" s="7"/>
      <c r="U10" s="7">
        <v>10</v>
      </c>
      <c r="V10" s="7"/>
      <c r="W10" s="7"/>
      <c r="X10" s="7">
        <v>64</v>
      </c>
      <c r="Y10" s="7"/>
      <c r="Z10" s="7"/>
      <c r="AA10" s="7"/>
      <c r="AB10" s="7"/>
      <c r="AC10" s="7">
        <v>38</v>
      </c>
      <c r="AD10" s="7"/>
      <c r="AE10" s="7"/>
      <c r="AF10" s="7"/>
      <c r="AG10" s="7">
        <v>64</v>
      </c>
      <c r="AH10" s="7"/>
      <c r="AI10" s="7">
        <v>38</v>
      </c>
      <c r="AJ10" s="7">
        <v>444</v>
      </c>
    </row>
    <row r="11" spans="1:36" x14ac:dyDescent="0.3">
      <c r="A11" s="176" t="s">
        <v>1319</v>
      </c>
      <c r="B11" s="7"/>
      <c r="C11" s="7">
        <v>114</v>
      </c>
      <c r="D11" s="7"/>
      <c r="E11" s="7"/>
      <c r="F11" s="7">
        <v>29</v>
      </c>
      <c r="G11" s="7"/>
      <c r="H11" s="7"/>
      <c r="I11" s="7"/>
      <c r="J11" s="7"/>
      <c r="K11" s="7">
        <v>71</v>
      </c>
      <c r="L11" s="7"/>
      <c r="M11" s="7"/>
      <c r="N11" s="7"/>
      <c r="O11" s="7"/>
      <c r="P11" s="7">
        <v>43</v>
      </c>
      <c r="Q11" s="7"/>
      <c r="R11" s="7"/>
      <c r="S11" s="7"/>
      <c r="T11" s="7"/>
      <c r="U11" s="7">
        <v>11</v>
      </c>
      <c r="V11" s="7"/>
      <c r="W11" s="7"/>
      <c r="X11" s="7">
        <v>71</v>
      </c>
      <c r="Y11" s="7"/>
      <c r="Z11" s="7"/>
      <c r="AA11" s="7"/>
      <c r="AB11" s="7"/>
      <c r="AC11" s="7">
        <v>43</v>
      </c>
      <c r="AD11" s="7"/>
      <c r="AE11" s="7"/>
      <c r="AF11" s="7"/>
      <c r="AG11" s="7">
        <v>71</v>
      </c>
      <c r="AH11" s="7"/>
      <c r="AI11" s="7">
        <v>43</v>
      </c>
      <c r="AJ11" s="7">
        <v>496</v>
      </c>
    </row>
    <row r="12" spans="1:36" x14ac:dyDescent="0.3">
      <c r="A12" s="176" t="s">
        <v>1320</v>
      </c>
      <c r="B12" s="7"/>
      <c r="C12" s="7">
        <v>124</v>
      </c>
      <c r="D12" s="7"/>
      <c r="E12" s="7"/>
      <c r="F12" s="7">
        <v>31</v>
      </c>
      <c r="G12" s="7"/>
      <c r="H12" s="7"/>
      <c r="I12" s="7"/>
      <c r="J12" s="7"/>
      <c r="K12" s="7">
        <v>78</v>
      </c>
      <c r="L12" s="7"/>
      <c r="M12" s="7"/>
      <c r="N12" s="7"/>
      <c r="O12" s="7"/>
      <c r="P12" s="7">
        <v>47</v>
      </c>
      <c r="Q12" s="7"/>
      <c r="R12" s="7"/>
      <c r="S12" s="7"/>
      <c r="T12" s="7"/>
      <c r="U12" s="7">
        <v>12</v>
      </c>
      <c r="V12" s="7"/>
      <c r="W12" s="7"/>
      <c r="X12" s="7">
        <v>78</v>
      </c>
      <c r="Y12" s="7"/>
      <c r="Z12" s="7"/>
      <c r="AA12" s="7"/>
      <c r="AB12" s="7"/>
      <c r="AC12" s="7">
        <v>47</v>
      </c>
      <c r="AD12" s="7"/>
      <c r="AE12" s="7"/>
      <c r="AF12" s="7"/>
      <c r="AG12" s="7">
        <v>78</v>
      </c>
      <c r="AH12" s="7"/>
      <c r="AI12" s="7">
        <v>47</v>
      </c>
      <c r="AJ12" s="7">
        <v>542</v>
      </c>
    </row>
    <row r="13" spans="1:36" x14ac:dyDescent="0.3">
      <c r="A13" s="176" t="s">
        <v>1239</v>
      </c>
      <c r="B13" s="7"/>
      <c r="C13" s="7">
        <v>79</v>
      </c>
      <c r="D13" s="7"/>
      <c r="E13" s="7"/>
      <c r="F13" s="7">
        <v>20</v>
      </c>
      <c r="G13" s="7"/>
      <c r="H13" s="7"/>
      <c r="I13" s="7"/>
      <c r="J13" s="7"/>
      <c r="K13" s="7">
        <v>49</v>
      </c>
      <c r="L13" s="7"/>
      <c r="M13" s="7"/>
      <c r="N13" s="7"/>
      <c r="O13" s="7"/>
      <c r="P13" s="7">
        <v>30</v>
      </c>
      <c r="Q13" s="7"/>
      <c r="R13" s="7"/>
      <c r="S13" s="7"/>
      <c r="T13" s="7"/>
      <c r="U13" s="7">
        <v>8</v>
      </c>
      <c r="V13" s="7"/>
      <c r="W13" s="7"/>
      <c r="X13" s="7">
        <v>49</v>
      </c>
      <c r="Y13" s="7"/>
      <c r="Z13" s="7"/>
      <c r="AA13" s="7"/>
      <c r="AB13" s="7"/>
      <c r="AC13" s="7">
        <v>30</v>
      </c>
      <c r="AD13" s="7"/>
      <c r="AE13" s="7"/>
      <c r="AF13" s="7"/>
      <c r="AG13" s="7">
        <v>49</v>
      </c>
      <c r="AH13" s="7"/>
      <c r="AI13" s="7">
        <v>30</v>
      </c>
      <c r="AJ13" s="7">
        <v>344</v>
      </c>
    </row>
    <row r="14" spans="1:36" x14ac:dyDescent="0.3">
      <c r="A14" s="10">
        <v>2567</v>
      </c>
      <c r="B14" s="7"/>
      <c r="C14" s="7">
        <v>295</v>
      </c>
      <c r="D14" s="7"/>
      <c r="E14" s="7"/>
      <c r="F14" s="7"/>
      <c r="G14" s="7"/>
      <c r="H14" s="7"/>
      <c r="I14" s="7"/>
      <c r="J14" s="7">
        <v>111</v>
      </c>
      <c r="K14" s="7"/>
      <c r="L14" s="7"/>
      <c r="M14" s="7"/>
      <c r="N14" s="7"/>
      <c r="O14" s="7">
        <v>74</v>
      </c>
      <c r="P14" s="7"/>
      <c r="Q14" s="7"/>
      <c r="R14" s="7"/>
      <c r="S14" s="7"/>
      <c r="T14" s="7"/>
      <c r="U14" s="7">
        <v>29</v>
      </c>
      <c r="V14" s="7"/>
      <c r="W14" s="7">
        <v>146</v>
      </c>
      <c r="X14" s="7"/>
      <c r="Y14" s="7"/>
      <c r="Z14" s="7"/>
      <c r="AA14" s="7"/>
      <c r="AB14" s="7">
        <v>74</v>
      </c>
      <c r="AC14" s="7"/>
      <c r="AD14" s="7"/>
      <c r="AE14" s="7"/>
      <c r="AF14" s="7"/>
      <c r="AG14" s="7">
        <v>184</v>
      </c>
      <c r="AH14" s="7"/>
      <c r="AI14" s="7">
        <v>111</v>
      </c>
      <c r="AJ14" s="7">
        <v>1024</v>
      </c>
    </row>
    <row r="15" spans="1:36" x14ac:dyDescent="0.3">
      <c r="A15" s="176" t="s">
        <v>1312</v>
      </c>
      <c r="B15" s="7"/>
      <c r="C15" s="7">
        <v>115</v>
      </c>
      <c r="D15" s="7"/>
      <c r="E15" s="7"/>
      <c r="F15" s="7"/>
      <c r="G15" s="7"/>
      <c r="H15" s="7"/>
      <c r="I15" s="7"/>
      <c r="J15" s="7">
        <v>43</v>
      </c>
      <c r="K15" s="7"/>
      <c r="L15" s="7"/>
      <c r="M15" s="7"/>
      <c r="N15" s="7"/>
      <c r="O15" s="7">
        <v>29</v>
      </c>
      <c r="P15" s="7"/>
      <c r="Q15" s="7"/>
      <c r="R15" s="7"/>
      <c r="S15" s="7"/>
      <c r="T15" s="7"/>
      <c r="U15" s="7">
        <v>11</v>
      </c>
      <c r="V15" s="7"/>
      <c r="W15" s="7">
        <v>57</v>
      </c>
      <c r="X15" s="7"/>
      <c r="Y15" s="7"/>
      <c r="Z15" s="7"/>
      <c r="AA15" s="7"/>
      <c r="AB15" s="7">
        <v>29</v>
      </c>
      <c r="AC15" s="7"/>
      <c r="AD15" s="7"/>
      <c r="AE15" s="7"/>
      <c r="AF15" s="7"/>
      <c r="AG15" s="7">
        <v>72</v>
      </c>
      <c r="AH15" s="7"/>
      <c r="AI15" s="7">
        <v>43</v>
      </c>
      <c r="AJ15" s="7">
        <v>399</v>
      </c>
    </row>
    <row r="16" spans="1:36" x14ac:dyDescent="0.3">
      <c r="A16" s="176" t="s">
        <v>1316</v>
      </c>
      <c r="B16" s="7"/>
      <c r="C16" s="7">
        <v>87</v>
      </c>
      <c r="D16" s="7"/>
      <c r="E16" s="7"/>
      <c r="F16" s="7"/>
      <c r="G16" s="7"/>
      <c r="H16" s="7"/>
      <c r="I16" s="7"/>
      <c r="J16" s="7">
        <v>33</v>
      </c>
      <c r="K16" s="7"/>
      <c r="L16" s="7"/>
      <c r="M16" s="7"/>
      <c r="N16" s="7"/>
      <c r="O16" s="7">
        <v>22</v>
      </c>
      <c r="P16" s="7"/>
      <c r="Q16" s="7"/>
      <c r="R16" s="7"/>
      <c r="S16" s="7"/>
      <c r="T16" s="7"/>
      <c r="U16" s="7">
        <v>9</v>
      </c>
      <c r="V16" s="7"/>
      <c r="W16" s="7">
        <v>43</v>
      </c>
      <c r="X16" s="7"/>
      <c r="Y16" s="7"/>
      <c r="Z16" s="7"/>
      <c r="AA16" s="7"/>
      <c r="AB16" s="7">
        <v>22</v>
      </c>
      <c r="AC16" s="7"/>
      <c r="AD16" s="7"/>
      <c r="AE16" s="7"/>
      <c r="AF16" s="7"/>
      <c r="AG16" s="7">
        <v>54</v>
      </c>
      <c r="AH16" s="7"/>
      <c r="AI16" s="7">
        <v>33</v>
      </c>
      <c r="AJ16" s="7">
        <v>303</v>
      </c>
    </row>
    <row r="17" spans="1:36" x14ac:dyDescent="0.3">
      <c r="A17" s="176" t="s">
        <v>1317</v>
      </c>
      <c r="B17" s="7"/>
      <c r="C17" s="7">
        <v>93</v>
      </c>
      <c r="D17" s="7"/>
      <c r="E17" s="7"/>
      <c r="F17" s="7"/>
      <c r="G17" s="7"/>
      <c r="H17" s="7"/>
      <c r="I17" s="7"/>
      <c r="J17" s="7">
        <v>35</v>
      </c>
      <c r="K17" s="7"/>
      <c r="L17" s="7"/>
      <c r="M17" s="7"/>
      <c r="N17" s="7"/>
      <c r="O17" s="7">
        <v>23</v>
      </c>
      <c r="P17" s="7"/>
      <c r="Q17" s="7"/>
      <c r="R17" s="7"/>
      <c r="S17" s="7"/>
      <c r="T17" s="7"/>
      <c r="U17" s="7">
        <v>9</v>
      </c>
      <c r="V17" s="7"/>
      <c r="W17" s="7">
        <v>46</v>
      </c>
      <c r="X17" s="7"/>
      <c r="Y17" s="7"/>
      <c r="Z17" s="7"/>
      <c r="AA17" s="7"/>
      <c r="AB17" s="7">
        <v>23</v>
      </c>
      <c r="AC17" s="7"/>
      <c r="AD17" s="7"/>
      <c r="AE17" s="7"/>
      <c r="AF17" s="7"/>
      <c r="AG17" s="7">
        <v>58</v>
      </c>
      <c r="AH17" s="7"/>
      <c r="AI17" s="7">
        <v>35</v>
      </c>
      <c r="AJ17" s="7">
        <v>322</v>
      </c>
    </row>
    <row r="18" spans="1:36" x14ac:dyDescent="0.3">
      <c r="A18" s="10">
        <v>2568</v>
      </c>
      <c r="B18" s="7">
        <v>172</v>
      </c>
      <c r="C18" s="7"/>
      <c r="D18" s="7"/>
      <c r="E18" s="7"/>
      <c r="F18" s="7">
        <v>86</v>
      </c>
      <c r="G18" s="7"/>
      <c r="H18" s="7"/>
      <c r="I18" s="7">
        <v>43</v>
      </c>
      <c r="J18" s="7"/>
      <c r="K18" s="7"/>
      <c r="L18" s="7"/>
      <c r="M18" s="7"/>
      <c r="N18" s="7">
        <v>60</v>
      </c>
      <c r="O18" s="7"/>
      <c r="P18" s="7"/>
      <c r="Q18" s="7"/>
      <c r="R18" s="7"/>
      <c r="S18" s="7">
        <v>17</v>
      </c>
      <c r="T18" s="7"/>
      <c r="U18" s="7"/>
      <c r="V18" s="7">
        <v>43</v>
      </c>
      <c r="W18" s="7"/>
      <c r="X18" s="7"/>
      <c r="Y18" s="7"/>
      <c r="Z18" s="7"/>
      <c r="AA18" s="7">
        <v>60</v>
      </c>
      <c r="AB18" s="7"/>
      <c r="AC18" s="7"/>
      <c r="AD18" s="7"/>
      <c r="AE18" s="7"/>
      <c r="AF18" s="7">
        <v>86</v>
      </c>
      <c r="AG18" s="7"/>
      <c r="AH18" s="7">
        <v>86</v>
      </c>
      <c r="AI18" s="7"/>
      <c r="AJ18" s="7">
        <v>653</v>
      </c>
    </row>
    <row r="19" spans="1:36" x14ac:dyDescent="0.3">
      <c r="A19" s="176" t="s">
        <v>1240</v>
      </c>
      <c r="B19" s="7">
        <v>38</v>
      </c>
      <c r="C19" s="7"/>
      <c r="D19" s="7"/>
      <c r="E19" s="7"/>
      <c r="F19" s="7">
        <v>19</v>
      </c>
      <c r="G19" s="7"/>
      <c r="H19" s="7"/>
      <c r="I19" s="7">
        <v>9</v>
      </c>
      <c r="J19" s="7"/>
      <c r="K19" s="7"/>
      <c r="L19" s="7"/>
      <c r="M19" s="7"/>
      <c r="N19" s="7">
        <v>13</v>
      </c>
      <c r="O19" s="7"/>
      <c r="P19" s="7"/>
      <c r="Q19" s="7"/>
      <c r="R19" s="7"/>
      <c r="S19" s="7">
        <v>4</v>
      </c>
      <c r="T19" s="7"/>
      <c r="U19" s="7"/>
      <c r="V19" s="7">
        <v>9</v>
      </c>
      <c r="W19" s="7"/>
      <c r="X19" s="7"/>
      <c r="Y19" s="7"/>
      <c r="Z19" s="7"/>
      <c r="AA19" s="7">
        <v>13</v>
      </c>
      <c r="AB19" s="7"/>
      <c r="AC19" s="7"/>
      <c r="AD19" s="7"/>
      <c r="AE19" s="7"/>
      <c r="AF19" s="7">
        <v>19</v>
      </c>
      <c r="AG19" s="7"/>
      <c r="AH19" s="7">
        <v>19</v>
      </c>
      <c r="AI19" s="7"/>
      <c r="AJ19" s="7">
        <v>143</v>
      </c>
    </row>
    <row r="20" spans="1:36" x14ac:dyDescent="0.3">
      <c r="A20" s="176" t="s">
        <v>1241</v>
      </c>
      <c r="B20" s="7">
        <v>34</v>
      </c>
      <c r="C20" s="7"/>
      <c r="D20" s="7"/>
      <c r="E20" s="7"/>
      <c r="F20" s="7">
        <v>17</v>
      </c>
      <c r="G20" s="7"/>
      <c r="H20" s="7"/>
      <c r="I20" s="7">
        <v>8</v>
      </c>
      <c r="J20" s="7"/>
      <c r="K20" s="7"/>
      <c r="L20" s="7"/>
      <c r="M20" s="7"/>
      <c r="N20" s="7">
        <v>12</v>
      </c>
      <c r="O20" s="7"/>
      <c r="P20" s="7"/>
      <c r="Q20" s="7"/>
      <c r="R20" s="7"/>
      <c r="S20" s="7">
        <v>3</v>
      </c>
      <c r="T20" s="7"/>
      <c r="U20" s="7"/>
      <c r="V20" s="7">
        <v>8</v>
      </c>
      <c r="W20" s="7"/>
      <c r="X20" s="7"/>
      <c r="Y20" s="7"/>
      <c r="Z20" s="7"/>
      <c r="AA20" s="7">
        <v>12</v>
      </c>
      <c r="AB20" s="7"/>
      <c r="AC20" s="7"/>
      <c r="AD20" s="7"/>
      <c r="AE20" s="7"/>
      <c r="AF20" s="7">
        <v>17</v>
      </c>
      <c r="AG20" s="7"/>
      <c r="AH20" s="7">
        <v>17</v>
      </c>
      <c r="AI20" s="7"/>
      <c r="AJ20" s="7">
        <v>128</v>
      </c>
    </row>
    <row r="21" spans="1:36" x14ac:dyDescent="0.3">
      <c r="A21" s="176" t="s">
        <v>1242</v>
      </c>
      <c r="B21" s="7">
        <v>28</v>
      </c>
      <c r="C21" s="7"/>
      <c r="D21" s="7"/>
      <c r="E21" s="7"/>
      <c r="F21" s="7">
        <v>14</v>
      </c>
      <c r="G21" s="7"/>
      <c r="H21" s="7"/>
      <c r="I21" s="7">
        <v>7</v>
      </c>
      <c r="J21" s="7"/>
      <c r="K21" s="7"/>
      <c r="L21" s="7"/>
      <c r="M21" s="7"/>
      <c r="N21" s="7">
        <v>10</v>
      </c>
      <c r="O21" s="7"/>
      <c r="P21" s="7"/>
      <c r="Q21" s="7"/>
      <c r="R21" s="7"/>
      <c r="S21" s="7">
        <v>3</v>
      </c>
      <c r="T21" s="7"/>
      <c r="U21" s="7"/>
      <c r="V21" s="7">
        <v>7</v>
      </c>
      <c r="W21" s="7"/>
      <c r="X21" s="7"/>
      <c r="Y21" s="7"/>
      <c r="Z21" s="7"/>
      <c r="AA21" s="7">
        <v>10</v>
      </c>
      <c r="AB21" s="7"/>
      <c r="AC21" s="7"/>
      <c r="AD21" s="7"/>
      <c r="AE21" s="7"/>
      <c r="AF21" s="7">
        <v>14</v>
      </c>
      <c r="AG21" s="7"/>
      <c r="AH21" s="7">
        <v>14</v>
      </c>
      <c r="AI21" s="7"/>
      <c r="AJ21" s="7">
        <v>107</v>
      </c>
    </row>
    <row r="22" spans="1:36" x14ac:dyDescent="0.3">
      <c r="A22" s="176" t="s">
        <v>1243</v>
      </c>
      <c r="B22" s="7">
        <v>15</v>
      </c>
      <c r="C22" s="7"/>
      <c r="D22" s="7"/>
      <c r="E22" s="7"/>
      <c r="F22" s="7">
        <v>8</v>
      </c>
      <c r="G22" s="7"/>
      <c r="H22" s="7"/>
      <c r="I22" s="7">
        <v>4</v>
      </c>
      <c r="J22" s="7"/>
      <c r="K22" s="7"/>
      <c r="L22" s="7"/>
      <c r="M22" s="7"/>
      <c r="N22" s="7">
        <v>5</v>
      </c>
      <c r="O22" s="7"/>
      <c r="P22" s="7"/>
      <c r="Q22" s="7"/>
      <c r="R22" s="7"/>
      <c r="S22" s="7">
        <v>2</v>
      </c>
      <c r="T22" s="7"/>
      <c r="U22" s="7"/>
      <c r="V22" s="7">
        <v>4</v>
      </c>
      <c r="W22" s="7"/>
      <c r="X22" s="7"/>
      <c r="Y22" s="7"/>
      <c r="Z22" s="7"/>
      <c r="AA22" s="7">
        <v>5</v>
      </c>
      <c r="AB22" s="7"/>
      <c r="AC22" s="7"/>
      <c r="AD22" s="7"/>
      <c r="AE22" s="7"/>
      <c r="AF22" s="7">
        <v>8</v>
      </c>
      <c r="AG22" s="7"/>
      <c r="AH22" s="7">
        <v>8</v>
      </c>
      <c r="AI22" s="7"/>
      <c r="AJ22" s="7">
        <v>59</v>
      </c>
    </row>
    <row r="23" spans="1:36" x14ac:dyDescent="0.3">
      <c r="A23" s="176" t="s">
        <v>1327</v>
      </c>
      <c r="B23" s="7">
        <v>23</v>
      </c>
      <c r="C23" s="7"/>
      <c r="D23" s="7"/>
      <c r="E23" s="7"/>
      <c r="F23" s="7">
        <v>12</v>
      </c>
      <c r="G23" s="7"/>
      <c r="H23" s="7"/>
      <c r="I23" s="7">
        <v>6</v>
      </c>
      <c r="J23" s="7"/>
      <c r="K23" s="7"/>
      <c r="L23" s="7"/>
      <c r="M23" s="7"/>
      <c r="N23" s="7">
        <v>8</v>
      </c>
      <c r="O23" s="7"/>
      <c r="P23" s="7"/>
      <c r="Q23" s="7"/>
      <c r="R23" s="7"/>
      <c r="S23" s="7">
        <v>2</v>
      </c>
      <c r="T23" s="7"/>
      <c r="U23" s="7"/>
      <c r="V23" s="7">
        <v>6</v>
      </c>
      <c r="W23" s="7"/>
      <c r="X23" s="7"/>
      <c r="Y23" s="7"/>
      <c r="Z23" s="7"/>
      <c r="AA23" s="7">
        <v>8</v>
      </c>
      <c r="AB23" s="7"/>
      <c r="AC23" s="7"/>
      <c r="AD23" s="7"/>
      <c r="AE23" s="7"/>
      <c r="AF23" s="7">
        <v>12</v>
      </c>
      <c r="AG23" s="7"/>
      <c r="AH23" s="7">
        <v>12</v>
      </c>
      <c r="AI23" s="7"/>
      <c r="AJ23" s="7">
        <v>89</v>
      </c>
    </row>
    <row r="24" spans="1:36" x14ac:dyDescent="0.3">
      <c r="A24" s="176" t="s">
        <v>1245</v>
      </c>
      <c r="B24" s="7">
        <v>3</v>
      </c>
      <c r="C24" s="7"/>
      <c r="D24" s="7"/>
      <c r="E24" s="7"/>
      <c r="F24" s="7">
        <v>1</v>
      </c>
      <c r="G24" s="7"/>
      <c r="H24" s="7"/>
      <c r="I24" s="7">
        <v>1</v>
      </c>
      <c r="J24" s="7"/>
      <c r="K24" s="7"/>
      <c r="L24" s="7"/>
      <c r="M24" s="7"/>
      <c r="N24" s="7">
        <v>1</v>
      </c>
      <c r="O24" s="7"/>
      <c r="P24" s="7"/>
      <c r="Q24" s="7"/>
      <c r="R24" s="7"/>
      <c r="S24" s="7">
        <v>0</v>
      </c>
      <c r="T24" s="7"/>
      <c r="U24" s="7"/>
      <c r="V24" s="7">
        <v>1</v>
      </c>
      <c r="W24" s="7"/>
      <c r="X24" s="7"/>
      <c r="Y24" s="7"/>
      <c r="Z24" s="7"/>
      <c r="AA24" s="7">
        <v>1</v>
      </c>
      <c r="AB24" s="7"/>
      <c r="AC24" s="7"/>
      <c r="AD24" s="7"/>
      <c r="AE24" s="7"/>
      <c r="AF24" s="7">
        <v>1</v>
      </c>
      <c r="AG24" s="7"/>
      <c r="AH24" s="7">
        <v>1</v>
      </c>
      <c r="AI24" s="7"/>
      <c r="AJ24" s="7">
        <v>10</v>
      </c>
    </row>
    <row r="25" spans="1:36" x14ac:dyDescent="0.3">
      <c r="A25" s="176" t="s">
        <v>1328</v>
      </c>
      <c r="B25" s="7">
        <v>31</v>
      </c>
      <c r="C25" s="7"/>
      <c r="D25" s="7"/>
      <c r="E25" s="7"/>
      <c r="F25" s="7">
        <v>15</v>
      </c>
      <c r="G25" s="7"/>
      <c r="H25" s="7"/>
      <c r="I25" s="7">
        <v>8</v>
      </c>
      <c r="J25" s="7"/>
      <c r="K25" s="7"/>
      <c r="L25" s="7"/>
      <c r="M25" s="7"/>
      <c r="N25" s="7">
        <v>11</v>
      </c>
      <c r="O25" s="7"/>
      <c r="P25" s="7"/>
      <c r="Q25" s="7"/>
      <c r="R25" s="7"/>
      <c r="S25" s="7">
        <v>3</v>
      </c>
      <c r="T25" s="7"/>
      <c r="U25" s="7"/>
      <c r="V25" s="7">
        <v>8</v>
      </c>
      <c r="W25" s="7"/>
      <c r="X25" s="7"/>
      <c r="Y25" s="7"/>
      <c r="Z25" s="7"/>
      <c r="AA25" s="7">
        <v>11</v>
      </c>
      <c r="AB25" s="7"/>
      <c r="AC25" s="7"/>
      <c r="AD25" s="7"/>
      <c r="AE25" s="7"/>
      <c r="AF25" s="7">
        <v>15</v>
      </c>
      <c r="AG25" s="7"/>
      <c r="AH25" s="7">
        <v>15</v>
      </c>
      <c r="AI25" s="7"/>
      <c r="AJ25" s="7">
        <v>117</v>
      </c>
    </row>
    <row r="26" spans="1:36" x14ac:dyDescent="0.3">
      <c r="A26" s="10" t="s">
        <v>1132</v>
      </c>
      <c r="B26" s="7"/>
      <c r="C26" s="7"/>
      <c r="D26" s="7">
        <v>1733</v>
      </c>
      <c r="E26" s="7"/>
      <c r="F26" s="7"/>
      <c r="G26" s="7">
        <v>868</v>
      </c>
      <c r="H26" s="7"/>
      <c r="I26" s="7"/>
      <c r="J26" s="7"/>
      <c r="K26" s="7"/>
      <c r="L26" s="7">
        <v>868</v>
      </c>
      <c r="M26" s="7"/>
      <c r="N26" s="7"/>
      <c r="O26" s="7"/>
      <c r="P26" s="7"/>
      <c r="Q26" s="7">
        <v>577</v>
      </c>
      <c r="R26" s="7"/>
      <c r="S26" s="7"/>
      <c r="T26" s="7"/>
      <c r="U26" s="7">
        <v>116</v>
      </c>
      <c r="V26" s="7"/>
      <c r="W26" s="7"/>
      <c r="X26" s="7"/>
      <c r="Y26" s="7">
        <v>868</v>
      </c>
      <c r="Z26" s="7"/>
      <c r="AA26" s="7"/>
      <c r="AB26" s="7"/>
      <c r="AC26" s="7"/>
      <c r="AD26" s="7">
        <v>577</v>
      </c>
      <c r="AE26" s="7"/>
      <c r="AF26" s="7"/>
      <c r="AG26" s="7"/>
      <c r="AH26" s="7"/>
      <c r="AI26" s="7"/>
      <c r="AJ26" s="7">
        <v>5607</v>
      </c>
    </row>
    <row r="27" spans="1:36" x14ac:dyDescent="0.3">
      <c r="A27" s="176" t="s">
        <v>1288</v>
      </c>
      <c r="B27" s="7"/>
      <c r="C27" s="7"/>
      <c r="D27" s="7">
        <v>167</v>
      </c>
      <c r="E27" s="7"/>
      <c r="F27" s="7"/>
      <c r="G27" s="7">
        <v>84</v>
      </c>
      <c r="H27" s="7"/>
      <c r="I27" s="7"/>
      <c r="J27" s="7"/>
      <c r="K27" s="7"/>
      <c r="L27" s="7">
        <v>84</v>
      </c>
      <c r="M27" s="7"/>
      <c r="N27" s="7"/>
      <c r="O27" s="7"/>
      <c r="P27" s="7"/>
      <c r="Q27" s="7">
        <v>56</v>
      </c>
      <c r="R27" s="7"/>
      <c r="S27" s="7"/>
      <c r="T27" s="7"/>
      <c r="U27" s="7">
        <v>11</v>
      </c>
      <c r="V27" s="7"/>
      <c r="W27" s="7"/>
      <c r="X27" s="7"/>
      <c r="Y27" s="7">
        <v>84</v>
      </c>
      <c r="Z27" s="7"/>
      <c r="AA27" s="7"/>
      <c r="AB27" s="7"/>
      <c r="AC27" s="7"/>
      <c r="AD27" s="7">
        <v>56</v>
      </c>
      <c r="AE27" s="7"/>
      <c r="AF27" s="7"/>
      <c r="AG27" s="7"/>
      <c r="AH27" s="7"/>
      <c r="AI27" s="7"/>
      <c r="AJ27" s="7">
        <v>542</v>
      </c>
    </row>
    <row r="28" spans="1:36" x14ac:dyDescent="0.3">
      <c r="A28" s="176" t="s">
        <v>1289</v>
      </c>
      <c r="B28" s="7"/>
      <c r="C28" s="7"/>
      <c r="D28" s="7">
        <v>145</v>
      </c>
      <c r="E28" s="7"/>
      <c r="F28" s="7"/>
      <c r="G28" s="7">
        <v>73</v>
      </c>
      <c r="H28" s="7"/>
      <c r="I28" s="7"/>
      <c r="J28" s="7"/>
      <c r="K28" s="7"/>
      <c r="L28" s="7">
        <v>73</v>
      </c>
      <c r="M28" s="7"/>
      <c r="N28" s="7"/>
      <c r="O28" s="7"/>
      <c r="P28" s="7"/>
      <c r="Q28" s="7">
        <v>48</v>
      </c>
      <c r="R28" s="7"/>
      <c r="S28" s="7"/>
      <c r="T28" s="7"/>
      <c r="U28" s="7">
        <v>10</v>
      </c>
      <c r="V28" s="7"/>
      <c r="W28" s="7"/>
      <c r="X28" s="7"/>
      <c r="Y28" s="7">
        <v>73</v>
      </c>
      <c r="Z28" s="7"/>
      <c r="AA28" s="7"/>
      <c r="AB28" s="7"/>
      <c r="AC28" s="7"/>
      <c r="AD28" s="7">
        <v>48</v>
      </c>
      <c r="AE28" s="7"/>
      <c r="AF28" s="7"/>
      <c r="AG28" s="7"/>
      <c r="AH28" s="7"/>
      <c r="AI28" s="7"/>
      <c r="AJ28" s="7">
        <v>470</v>
      </c>
    </row>
    <row r="29" spans="1:36" x14ac:dyDescent="0.3">
      <c r="A29" s="176" t="s">
        <v>1290</v>
      </c>
      <c r="B29" s="7"/>
      <c r="C29" s="7"/>
      <c r="D29" s="7">
        <v>226</v>
      </c>
      <c r="E29" s="7"/>
      <c r="F29" s="7"/>
      <c r="G29" s="7">
        <v>113</v>
      </c>
      <c r="H29" s="7"/>
      <c r="I29" s="7"/>
      <c r="J29" s="7"/>
      <c r="K29" s="7"/>
      <c r="L29" s="7">
        <v>113</v>
      </c>
      <c r="M29" s="7"/>
      <c r="N29" s="7"/>
      <c r="O29" s="7"/>
      <c r="P29" s="7"/>
      <c r="Q29" s="7">
        <v>75</v>
      </c>
      <c r="R29" s="7"/>
      <c r="S29" s="7"/>
      <c r="T29" s="7"/>
      <c r="U29" s="7">
        <v>15</v>
      </c>
      <c r="V29" s="7"/>
      <c r="W29" s="7"/>
      <c r="X29" s="7"/>
      <c r="Y29" s="7">
        <v>113</v>
      </c>
      <c r="Z29" s="7"/>
      <c r="AA29" s="7"/>
      <c r="AB29" s="7"/>
      <c r="AC29" s="7"/>
      <c r="AD29" s="7">
        <v>75</v>
      </c>
      <c r="AE29" s="7"/>
      <c r="AF29" s="7"/>
      <c r="AG29" s="7"/>
      <c r="AH29" s="7"/>
      <c r="AI29" s="7"/>
      <c r="AJ29" s="7">
        <v>730</v>
      </c>
    </row>
    <row r="30" spans="1:36" x14ac:dyDescent="0.3">
      <c r="A30" s="176" t="s">
        <v>1291</v>
      </c>
      <c r="B30" s="7"/>
      <c r="C30" s="7"/>
      <c r="D30" s="7">
        <v>174</v>
      </c>
      <c r="E30" s="7"/>
      <c r="F30" s="7"/>
      <c r="G30" s="7">
        <v>87</v>
      </c>
      <c r="H30" s="7"/>
      <c r="I30" s="7"/>
      <c r="J30" s="7"/>
      <c r="K30" s="7"/>
      <c r="L30" s="7">
        <v>87</v>
      </c>
      <c r="M30" s="7"/>
      <c r="N30" s="7"/>
      <c r="O30" s="7"/>
      <c r="P30" s="7"/>
      <c r="Q30" s="7">
        <v>58</v>
      </c>
      <c r="R30" s="7"/>
      <c r="S30" s="7"/>
      <c r="T30" s="7"/>
      <c r="U30" s="7">
        <v>12</v>
      </c>
      <c r="V30" s="7"/>
      <c r="W30" s="7"/>
      <c r="X30" s="7"/>
      <c r="Y30" s="7">
        <v>87</v>
      </c>
      <c r="Z30" s="7"/>
      <c r="AA30" s="7"/>
      <c r="AB30" s="7"/>
      <c r="AC30" s="7"/>
      <c r="AD30" s="7">
        <v>58</v>
      </c>
      <c r="AE30" s="7"/>
      <c r="AF30" s="7"/>
      <c r="AG30" s="7"/>
      <c r="AH30" s="7"/>
      <c r="AI30" s="7"/>
      <c r="AJ30" s="7">
        <v>563</v>
      </c>
    </row>
    <row r="31" spans="1:36" x14ac:dyDescent="0.3">
      <c r="A31" s="176" t="s">
        <v>1271</v>
      </c>
      <c r="B31" s="7"/>
      <c r="C31" s="7"/>
      <c r="D31" s="7">
        <v>292</v>
      </c>
      <c r="E31" s="7"/>
      <c r="F31" s="7"/>
      <c r="G31" s="7">
        <v>146</v>
      </c>
      <c r="H31" s="7"/>
      <c r="I31" s="7"/>
      <c r="J31" s="7"/>
      <c r="K31" s="7"/>
      <c r="L31" s="7">
        <v>146</v>
      </c>
      <c r="M31" s="7"/>
      <c r="N31" s="7"/>
      <c r="O31" s="7"/>
      <c r="P31" s="7"/>
      <c r="Q31" s="7">
        <v>97</v>
      </c>
      <c r="R31" s="7"/>
      <c r="S31" s="7"/>
      <c r="T31" s="7"/>
      <c r="U31" s="7">
        <v>19</v>
      </c>
      <c r="V31" s="7"/>
      <c r="W31" s="7"/>
      <c r="X31" s="7"/>
      <c r="Y31" s="7">
        <v>146</v>
      </c>
      <c r="Z31" s="7"/>
      <c r="AA31" s="7"/>
      <c r="AB31" s="7"/>
      <c r="AC31" s="7"/>
      <c r="AD31" s="7">
        <v>97</v>
      </c>
      <c r="AE31" s="7"/>
      <c r="AF31" s="7"/>
      <c r="AG31" s="7"/>
      <c r="AH31" s="7"/>
      <c r="AI31" s="7"/>
      <c r="AJ31" s="7">
        <v>943</v>
      </c>
    </row>
    <row r="32" spans="1:36" x14ac:dyDescent="0.3">
      <c r="A32" s="176" t="s">
        <v>1272</v>
      </c>
      <c r="B32" s="7"/>
      <c r="C32" s="7"/>
      <c r="D32" s="7">
        <v>276</v>
      </c>
      <c r="E32" s="7"/>
      <c r="F32" s="7"/>
      <c r="G32" s="7">
        <v>138</v>
      </c>
      <c r="H32" s="7"/>
      <c r="I32" s="7"/>
      <c r="J32" s="7"/>
      <c r="K32" s="7"/>
      <c r="L32" s="7">
        <v>138</v>
      </c>
      <c r="M32" s="7"/>
      <c r="N32" s="7"/>
      <c r="O32" s="7"/>
      <c r="P32" s="7"/>
      <c r="Q32" s="7">
        <v>92</v>
      </c>
      <c r="R32" s="7"/>
      <c r="S32" s="7"/>
      <c r="T32" s="7"/>
      <c r="U32" s="7">
        <v>18</v>
      </c>
      <c r="V32" s="7"/>
      <c r="W32" s="7"/>
      <c r="X32" s="7"/>
      <c r="Y32" s="7">
        <v>138</v>
      </c>
      <c r="Z32" s="7"/>
      <c r="AA32" s="7"/>
      <c r="AB32" s="7"/>
      <c r="AC32" s="7"/>
      <c r="AD32" s="7">
        <v>92</v>
      </c>
      <c r="AE32" s="7"/>
      <c r="AF32" s="7"/>
      <c r="AG32" s="7"/>
      <c r="AH32" s="7"/>
      <c r="AI32" s="7"/>
      <c r="AJ32" s="7">
        <v>892</v>
      </c>
    </row>
    <row r="33" spans="1:36" x14ac:dyDescent="0.3">
      <c r="A33" s="176" t="s">
        <v>1299</v>
      </c>
      <c r="B33" s="7"/>
      <c r="C33" s="7"/>
      <c r="D33" s="7">
        <v>168</v>
      </c>
      <c r="E33" s="7"/>
      <c r="F33" s="7"/>
      <c r="G33" s="7">
        <v>84</v>
      </c>
      <c r="H33" s="7"/>
      <c r="I33" s="7"/>
      <c r="J33" s="7"/>
      <c r="K33" s="7"/>
      <c r="L33" s="7">
        <v>84</v>
      </c>
      <c r="M33" s="7"/>
      <c r="N33" s="7"/>
      <c r="O33" s="7"/>
      <c r="P33" s="7"/>
      <c r="Q33" s="7">
        <v>56</v>
      </c>
      <c r="R33" s="7"/>
      <c r="S33" s="7"/>
      <c r="T33" s="7"/>
      <c r="U33" s="7">
        <v>11</v>
      </c>
      <c r="V33" s="7"/>
      <c r="W33" s="7"/>
      <c r="X33" s="7"/>
      <c r="Y33" s="7">
        <v>84</v>
      </c>
      <c r="Z33" s="7"/>
      <c r="AA33" s="7"/>
      <c r="AB33" s="7"/>
      <c r="AC33" s="7"/>
      <c r="AD33" s="7">
        <v>56</v>
      </c>
      <c r="AE33" s="7"/>
      <c r="AF33" s="7"/>
      <c r="AG33" s="7"/>
      <c r="AH33" s="7"/>
      <c r="AI33" s="7"/>
      <c r="AJ33" s="7">
        <v>543</v>
      </c>
    </row>
    <row r="34" spans="1:36" x14ac:dyDescent="0.3">
      <c r="A34" s="176" t="s">
        <v>1303</v>
      </c>
      <c r="B34" s="7"/>
      <c r="C34" s="7"/>
      <c r="D34" s="7">
        <v>252</v>
      </c>
      <c r="E34" s="7"/>
      <c r="F34" s="7"/>
      <c r="G34" s="7">
        <v>126</v>
      </c>
      <c r="H34" s="7"/>
      <c r="I34" s="7"/>
      <c r="J34" s="7"/>
      <c r="K34" s="7"/>
      <c r="L34" s="7">
        <v>126</v>
      </c>
      <c r="M34" s="7"/>
      <c r="N34" s="7"/>
      <c r="O34" s="7"/>
      <c r="P34" s="7"/>
      <c r="Q34" s="7">
        <v>84</v>
      </c>
      <c r="R34" s="7"/>
      <c r="S34" s="7"/>
      <c r="T34" s="7"/>
      <c r="U34" s="7">
        <v>17</v>
      </c>
      <c r="V34" s="7"/>
      <c r="W34" s="7"/>
      <c r="X34" s="7"/>
      <c r="Y34" s="7">
        <v>126</v>
      </c>
      <c r="Z34" s="7"/>
      <c r="AA34" s="7"/>
      <c r="AB34" s="7"/>
      <c r="AC34" s="7"/>
      <c r="AD34" s="7">
        <v>84</v>
      </c>
      <c r="AE34" s="7"/>
      <c r="AF34" s="7"/>
      <c r="AG34" s="7"/>
      <c r="AH34" s="7"/>
      <c r="AI34" s="7"/>
      <c r="AJ34" s="7">
        <v>815</v>
      </c>
    </row>
    <row r="35" spans="1:36" x14ac:dyDescent="0.3">
      <c r="A35" s="176" t="s">
        <v>1322</v>
      </c>
      <c r="B35" s="7"/>
      <c r="C35" s="7"/>
      <c r="D35" s="7">
        <v>9</v>
      </c>
      <c r="E35" s="7"/>
      <c r="F35" s="7"/>
      <c r="G35" s="7">
        <v>5</v>
      </c>
      <c r="H35" s="7"/>
      <c r="I35" s="7"/>
      <c r="J35" s="7"/>
      <c r="K35" s="7"/>
      <c r="L35" s="7">
        <v>5</v>
      </c>
      <c r="M35" s="7"/>
      <c r="N35" s="7"/>
      <c r="O35" s="7"/>
      <c r="P35" s="7"/>
      <c r="Q35" s="7">
        <v>3</v>
      </c>
      <c r="R35" s="7"/>
      <c r="S35" s="7"/>
      <c r="T35" s="7"/>
      <c r="U35" s="7">
        <v>1</v>
      </c>
      <c r="V35" s="7"/>
      <c r="W35" s="7"/>
      <c r="X35" s="7"/>
      <c r="Y35" s="7">
        <v>5</v>
      </c>
      <c r="Z35" s="7"/>
      <c r="AA35" s="7"/>
      <c r="AB35" s="7"/>
      <c r="AC35" s="7"/>
      <c r="AD35" s="7">
        <v>3</v>
      </c>
      <c r="AE35" s="7"/>
      <c r="AF35" s="7"/>
      <c r="AG35" s="7"/>
      <c r="AH35" s="7"/>
      <c r="AI35" s="7"/>
      <c r="AJ35" s="7">
        <v>31</v>
      </c>
    </row>
    <row r="36" spans="1:36" x14ac:dyDescent="0.3">
      <c r="A36" s="176" t="s">
        <v>1323</v>
      </c>
      <c r="B36" s="7"/>
      <c r="C36" s="7"/>
      <c r="D36" s="7">
        <v>24</v>
      </c>
      <c r="E36" s="7"/>
      <c r="F36" s="7"/>
      <c r="G36" s="7">
        <v>12</v>
      </c>
      <c r="H36" s="7"/>
      <c r="I36" s="7"/>
      <c r="J36" s="7"/>
      <c r="K36" s="7"/>
      <c r="L36" s="7">
        <v>12</v>
      </c>
      <c r="M36" s="7"/>
      <c r="N36" s="7"/>
      <c r="O36" s="7"/>
      <c r="P36" s="7"/>
      <c r="Q36" s="7">
        <v>8</v>
      </c>
      <c r="R36" s="7"/>
      <c r="S36" s="7"/>
      <c r="T36" s="7"/>
      <c r="U36" s="7">
        <v>2</v>
      </c>
      <c r="V36" s="7"/>
      <c r="W36" s="7"/>
      <c r="X36" s="7"/>
      <c r="Y36" s="7">
        <v>12</v>
      </c>
      <c r="Z36" s="7"/>
      <c r="AA36" s="7"/>
      <c r="AB36" s="7"/>
      <c r="AC36" s="7"/>
      <c r="AD36" s="7">
        <v>8</v>
      </c>
      <c r="AE36" s="7"/>
      <c r="AF36" s="7"/>
      <c r="AG36" s="7"/>
      <c r="AH36" s="7"/>
      <c r="AI36" s="7"/>
      <c r="AJ36" s="7">
        <v>78</v>
      </c>
    </row>
    <row r="37" spans="1:36" x14ac:dyDescent="0.3">
      <c r="A37" s="10" t="s">
        <v>1138</v>
      </c>
      <c r="B37" s="7"/>
      <c r="C37" s="7"/>
      <c r="D37" s="7"/>
      <c r="E37" s="7">
        <v>2073</v>
      </c>
      <c r="F37" s="7"/>
      <c r="G37" s="7"/>
      <c r="H37" s="7">
        <v>1035</v>
      </c>
      <c r="I37" s="7"/>
      <c r="J37" s="7"/>
      <c r="K37" s="7"/>
      <c r="L37" s="7"/>
      <c r="M37" s="7">
        <v>907</v>
      </c>
      <c r="N37" s="7"/>
      <c r="O37" s="7"/>
      <c r="P37" s="7"/>
      <c r="Q37" s="7"/>
      <c r="R37" s="7">
        <v>649</v>
      </c>
      <c r="S37" s="7"/>
      <c r="T37" s="7"/>
      <c r="U37" s="7">
        <v>102</v>
      </c>
      <c r="V37" s="7"/>
      <c r="W37" s="7"/>
      <c r="X37" s="7"/>
      <c r="Y37" s="7"/>
      <c r="Z37" s="7">
        <v>907</v>
      </c>
      <c r="AA37" s="7"/>
      <c r="AB37" s="7"/>
      <c r="AC37" s="7"/>
      <c r="AD37" s="7"/>
      <c r="AE37" s="7">
        <v>649</v>
      </c>
      <c r="AF37" s="7"/>
      <c r="AG37" s="7"/>
      <c r="AH37" s="7"/>
      <c r="AI37" s="7"/>
      <c r="AJ37" s="7">
        <v>6322</v>
      </c>
    </row>
    <row r="38" spans="1:36" x14ac:dyDescent="0.3">
      <c r="A38" s="176" t="s">
        <v>1269</v>
      </c>
      <c r="B38" s="7"/>
      <c r="C38" s="7"/>
      <c r="D38" s="7"/>
      <c r="E38" s="7">
        <v>156</v>
      </c>
      <c r="F38" s="7"/>
      <c r="G38" s="7"/>
      <c r="H38" s="7">
        <v>78</v>
      </c>
      <c r="I38" s="7"/>
      <c r="J38" s="7"/>
      <c r="K38" s="7"/>
      <c r="L38" s="7"/>
      <c r="M38" s="7">
        <v>68</v>
      </c>
      <c r="N38" s="7"/>
      <c r="O38" s="7"/>
      <c r="P38" s="7"/>
      <c r="Q38" s="7"/>
      <c r="R38" s="7">
        <v>49</v>
      </c>
      <c r="S38" s="7"/>
      <c r="T38" s="7"/>
      <c r="U38" s="7">
        <v>8</v>
      </c>
      <c r="V38" s="7"/>
      <c r="W38" s="7"/>
      <c r="X38" s="7"/>
      <c r="Y38" s="7"/>
      <c r="Z38" s="7">
        <v>68</v>
      </c>
      <c r="AA38" s="7"/>
      <c r="AB38" s="7"/>
      <c r="AC38" s="7"/>
      <c r="AD38" s="7"/>
      <c r="AE38" s="7">
        <v>49</v>
      </c>
      <c r="AF38" s="7"/>
      <c r="AG38" s="7"/>
      <c r="AH38" s="7"/>
      <c r="AI38" s="7"/>
      <c r="AJ38" s="7">
        <v>476</v>
      </c>
    </row>
    <row r="39" spans="1:36" x14ac:dyDescent="0.3">
      <c r="A39" s="176" t="s">
        <v>1270</v>
      </c>
      <c r="B39" s="7"/>
      <c r="C39" s="7"/>
      <c r="D39" s="7"/>
      <c r="E39" s="7">
        <v>307</v>
      </c>
      <c r="F39" s="7"/>
      <c r="G39" s="7"/>
      <c r="H39" s="7">
        <v>153</v>
      </c>
      <c r="I39" s="7"/>
      <c r="J39" s="7"/>
      <c r="K39" s="7"/>
      <c r="L39" s="7"/>
      <c r="M39" s="7">
        <v>134</v>
      </c>
      <c r="N39" s="7"/>
      <c r="O39" s="7"/>
      <c r="P39" s="7"/>
      <c r="Q39" s="7"/>
      <c r="R39" s="7">
        <v>96</v>
      </c>
      <c r="S39" s="7"/>
      <c r="T39" s="7"/>
      <c r="U39" s="7">
        <v>15</v>
      </c>
      <c r="V39" s="7"/>
      <c r="W39" s="7"/>
      <c r="X39" s="7"/>
      <c r="Y39" s="7"/>
      <c r="Z39" s="7">
        <v>134</v>
      </c>
      <c r="AA39" s="7"/>
      <c r="AB39" s="7"/>
      <c r="AC39" s="7"/>
      <c r="AD39" s="7"/>
      <c r="AE39" s="7">
        <v>96</v>
      </c>
      <c r="AF39" s="7"/>
      <c r="AG39" s="7"/>
      <c r="AH39" s="7"/>
      <c r="AI39" s="7"/>
      <c r="AJ39" s="7">
        <v>935</v>
      </c>
    </row>
    <row r="40" spans="1:36" x14ac:dyDescent="0.3">
      <c r="A40" s="176" t="s">
        <v>1283</v>
      </c>
      <c r="B40" s="7"/>
      <c r="C40" s="7"/>
      <c r="D40" s="7"/>
      <c r="E40" s="7">
        <v>170</v>
      </c>
      <c r="F40" s="7"/>
      <c r="G40" s="7"/>
      <c r="H40" s="7">
        <v>85</v>
      </c>
      <c r="I40" s="7"/>
      <c r="J40" s="7"/>
      <c r="K40" s="7"/>
      <c r="L40" s="7"/>
      <c r="M40" s="7">
        <v>74</v>
      </c>
      <c r="N40" s="7"/>
      <c r="O40" s="7"/>
      <c r="P40" s="7"/>
      <c r="Q40" s="7"/>
      <c r="R40" s="7">
        <v>53</v>
      </c>
      <c r="S40" s="7"/>
      <c r="T40" s="7"/>
      <c r="U40" s="7">
        <v>8</v>
      </c>
      <c r="V40" s="7"/>
      <c r="W40" s="7"/>
      <c r="X40" s="7"/>
      <c r="Y40" s="7"/>
      <c r="Z40" s="7">
        <v>74</v>
      </c>
      <c r="AA40" s="7"/>
      <c r="AB40" s="7"/>
      <c r="AC40" s="7"/>
      <c r="AD40" s="7"/>
      <c r="AE40" s="7">
        <v>53</v>
      </c>
      <c r="AF40" s="7"/>
      <c r="AG40" s="7"/>
      <c r="AH40" s="7"/>
      <c r="AI40" s="7"/>
      <c r="AJ40" s="7">
        <v>517</v>
      </c>
    </row>
    <row r="41" spans="1:36" x14ac:dyDescent="0.3">
      <c r="A41" s="176" t="s">
        <v>1306</v>
      </c>
      <c r="B41" s="7"/>
      <c r="C41" s="7"/>
      <c r="D41" s="7"/>
      <c r="E41" s="7">
        <v>248</v>
      </c>
      <c r="F41" s="7"/>
      <c r="G41" s="7"/>
      <c r="H41" s="7">
        <v>124</v>
      </c>
      <c r="I41" s="7"/>
      <c r="J41" s="7"/>
      <c r="K41" s="7"/>
      <c r="L41" s="7"/>
      <c r="M41" s="7">
        <v>109</v>
      </c>
      <c r="N41" s="7"/>
      <c r="O41" s="7"/>
      <c r="P41" s="7"/>
      <c r="Q41" s="7"/>
      <c r="R41" s="7">
        <v>78</v>
      </c>
      <c r="S41" s="7"/>
      <c r="T41" s="7"/>
      <c r="U41" s="7">
        <v>12</v>
      </c>
      <c r="V41" s="7"/>
      <c r="W41" s="7"/>
      <c r="X41" s="7"/>
      <c r="Y41" s="7"/>
      <c r="Z41" s="7">
        <v>109</v>
      </c>
      <c r="AA41" s="7"/>
      <c r="AB41" s="7"/>
      <c r="AC41" s="7"/>
      <c r="AD41" s="7"/>
      <c r="AE41" s="7">
        <v>78</v>
      </c>
      <c r="AF41" s="7"/>
      <c r="AG41" s="7"/>
      <c r="AH41" s="7"/>
      <c r="AI41" s="7"/>
      <c r="AJ41" s="7">
        <v>758</v>
      </c>
    </row>
    <row r="42" spans="1:36" x14ac:dyDescent="0.3">
      <c r="A42" s="176" t="s">
        <v>1313</v>
      </c>
      <c r="B42" s="7"/>
      <c r="C42" s="7"/>
      <c r="D42" s="7"/>
      <c r="E42" s="7">
        <v>314</v>
      </c>
      <c r="F42" s="7"/>
      <c r="G42" s="7"/>
      <c r="H42" s="7">
        <v>157</v>
      </c>
      <c r="I42" s="7"/>
      <c r="J42" s="7"/>
      <c r="K42" s="7"/>
      <c r="L42" s="7"/>
      <c r="M42" s="7">
        <v>138</v>
      </c>
      <c r="N42" s="7"/>
      <c r="O42" s="7"/>
      <c r="P42" s="7"/>
      <c r="Q42" s="7"/>
      <c r="R42" s="7">
        <v>98</v>
      </c>
      <c r="S42" s="7"/>
      <c r="T42" s="7"/>
      <c r="U42" s="7">
        <v>16</v>
      </c>
      <c r="V42" s="7"/>
      <c r="W42" s="7"/>
      <c r="X42" s="7"/>
      <c r="Y42" s="7"/>
      <c r="Z42" s="7">
        <v>138</v>
      </c>
      <c r="AA42" s="7"/>
      <c r="AB42" s="7"/>
      <c r="AC42" s="7"/>
      <c r="AD42" s="7"/>
      <c r="AE42" s="7">
        <v>98</v>
      </c>
      <c r="AF42" s="7"/>
      <c r="AG42" s="7"/>
      <c r="AH42" s="7"/>
      <c r="AI42" s="7"/>
      <c r="AJ42" s="7">
        <v>959</v>
      </c>
    </row>
    <row r="43" spans="1:36" x14ac:dyDescent="0.3">
      <c r="A43" s="176" t="s">
        <v>1286</v>
      </c>
      <c r="B43" s="7"/>
      <c r="C43" s="7"/>
      <c r="D43" s="7"/>
      <c r="E43" s="7">
        <v>345</v>
      </c>
      <c r="F43" s="7"/>
      <c r="G43" s="7"/>
      <c r="H43" s="7">
        <v>172</v>
      </c>
      <c r="I43" s="7"/>
      <c r="J43" s="7"/>
      <c r="K43" s="7"/>
      <c r="L43" s="7"/>
      <c r="M43" s="7">
        <v>151</v>
      </c>
      <c r="N43" s="7"/>
      <c r="O43" s="7"/>
      <c r="P43" s="7"/>
      <c r="Q43" s="7"/>
      <c r="R43" s="7">
        <v>108</v>
      </c>
      <c r="S43" s="7"/>
      <c r="T43" s="7"/>
      <c r="U43" s="7">
        <v>17</v>
      </c>
      <c r="V43" s="7"/>
      <c r="W43" s="7"/>
      <c r="X43" s="7"/>
      <c r="Y43" s="7"/>
      <c r="Z43" s="7">
        <v>151</v>
      </c>
      <c r="AA43" s="7"/>
      <c r="AB43" s="7"/>
      <c r="AC43" s="7"/>
      <c r="AD43" s="7"/>
      <c r="AE43" s="7">
        <v>108</v>
      </c>
      <c r="AF43" s="7"/>
      <c r="AG43" s="7"/>
      <c r="AH43" s="7"/>
      <c r="AI43" s="7"/>
      <c r="AJ43" s="7">
        <v>1052</v>
      </c>
    </row>
    <row r="44" spans="1:36" x14ac:dyDescent="0.3">
      <c r="A44" s="176" t="s">
        <v>1287</v>
      </c>
      <c r="B44" s="7"/>
      <c r="C44" s="7"/>
      <c r="D44" s="7"/>
      <c r="E44" s="7">
        <v>309</v>
      </c>
      <c r="F44" s="7"/>
      <c r="G44" s="7"/>
      <c r="H44" s="7">
        <v>154</v>
      </c>
      <c r="I44" s="7"/>
      <c r="J44" s="7"/>
      <c r="K44" s="7"/>
      <c r="L44" s="7"/>
      <c r="M44" s="7">
        <v>135</v>
      </c>
      <c r="N44" s="7"/>
      <c r="O44" s="7"/>
      <c r="P44" s="7"/>
      <c r="Q44" s="7"/>
      <c r="R44" s="7">
        <v>97</v>
      </c>
      <c r="S44" s="7"/>
      <c r="T44" s="7"/>
      <c r="U44" s="7">
        <v>15</v>
      </c>
      <c r="V44" s="7"/>
      <c r="W44" s="7"/>
      <c r="X44" s="7"/>
      <c r="Y44" s="7"/>
      <c r="Z44" s="7">
        <v>135</v>
      </c>
      <c r="AA44" s="7"/>
      <c r="AB44" s="7"/>
      <c r="AC44" s="7"/>
      <c r="AD44" s="7"/>
      <c r="AE44" s="7">
        <v>97</v>
      </c>
      <c r="AF44" s="7"/>
      <c r="AG44" s="7"/>
      <c r="AH44" s="7"/>
      <c r="AI44" s="7"/>
      <c r="AJ44" s="7">
        <v>942</v>
      </c>
    </row>
    <row r="45" spans="1:36" x14ac:dyDescent="0.3">
      <c r="A45" s="176" t="s">
        <v>1301</v>
      </c>
      <c r="B45" s="7"/>
      <c r="C45" s="7"/>
      <c r="D45" s="7"/>
      <c r="E45" s="7">
        <v>24</v>
      </c>
      <c r="F45" s="7"/>
      <c r="G45" s="7"/>
      <c r="H45" s="7">
        <v>12</v>
      </c>
      <c r="I45" s="7"/>
      <c r="J45" s="7"/>
      <c r="K45" s="7"/>
      <c r="L45" s="7"/>
      <c r="M45" s="7">
        <v>11</v>
      </c>
      <c r="N45" s="7"/>
      <c r="O45" s="7"/>
      <c r="P45" s="7"/>
      <c r="Q45" s="7"/>
      <c r="R45" s="7">
        <v>8</v>
      </c>
      <c r="S45" s="7"/>
      <c r="T45" s="7"/>
      <c r="U45" s="7">
        <v>1</v>
      </c>
      <c r="V45" s="7"/>
      <c r="W45" s="7"/>
      <c r="X45" s="7"/>
      <c r="Y45" s="7"/>
      <c r="Z45" s="7">
        <v>11</v>
      </c>
      <c r="AA45" s="7"/>
      <c r="AB45" s="7"/>
      <c r="AC45" s="7"/>
      <c r="AD45" s="7"/>
      <c r="AE45" s="7">
        <v>8</v>
      </c>
      <c r="AF45" s="7"/>
      <c r="AG45" s="7"/>
      <c r="AH45" s="7"/>
      <c r="AI45" s="7"/>
      <c r="AJ45" s="7">
        <v>75</v>
      </c>
    </row>
    <row r="46" spans="1:36" x14ac:dyDescent="0.3">
      <c r="A46" s="176" t="s">
        <v>1302</v>
      </c>
      <c r="B46" s="7"/>
      <c r="C46" s="7"/>
      <c r="D46" s="7"/>
      <c r="E46" s="7">
        <v>200</v>
      </c>
      <c r="F46" s="7"/>
      <c r="G46" s="7"/>
      <c r="H46" s="7">
        <v>100</v>
      </c>
      <c r="I46" s="7"/>
      <c r="J46" s="7"/>
      <c r="K46" s="7"/>
      <c r="L46" s="7"/>
      <c r="M46" s="7">
        <v>87</v>
      </c>
      <c r="N46" s="7"/>
      <c r="O46" s="7"/>
      <c r="P46" s="7"/>
      <c r="Q46" s="7"/>
      <c r="R46" s="7">
        <v>62</v>
      </c>
      <c r="S46" s="7"/>
      <c r="T46" s="7"/>
      <c r="U46" s="7">
        <v>10</v>
      </c>
      <c r="V46" s="7"/>
      <c r="W46" s="7"/>
      <c r="X46" s="7"/>
      <c r="Y46" s="7"/>
      <c r="Z46" s="7">
        <v>87</v>
      </c>
      <c r="AA46" s="7"/>
      <c r="AB46" s="7"/>
      <c r="AC46" s="7"/>
      <c r="AD46" s="7"/>
      <c r="AE46" s="7">
        <v>62</v>
      </c>
      <c r="AF46" s="7"/>
      <c r="AG46" s="7"/>
      <c r="AH46" s="7"/>
      <c r="AI46" s="7"/>
      <c r="AJ46" s="7">
        <v>608</v>
      </c>
    </row>
    <row r="47" spans="1:36" x14ac:dyDescent="0.3">
      <c r="A47" s="10" t="s">
        <v>1266</v>
      </c>
      <c r="B47" s="7"/>
      <c r="C47" s="7"/>
      <c r="D47" s="7"/>
      <c r="E47" s="7">
        <v>1742</v>
      </c>
      <c r="F47" s="7"/>
      <c r="G47" s="7"/>
      <c r="H47" s="7">
        <v>870</v>
      </c>
      <c r="I47" s="7"/>
      <c r="J47" s="7"/>
      <c r="K47" s="7"/>
      <c r="L47" s="7"/>
      <c r="M47" s="7">
        <v>762</v>
      </c>
      <c r="N47" s="7"/>
      <c r="O47" s="7"/>
      <c r="P47" s="7"/>
      <c r="Q47" s="7"/>
      <c r="R47" s="7">
        <v>543</v>
      </c>
      <c r="S47" s="7"/>
      <c r="T47" s="7"/>
      <c r="U47" s="7">
        <v>88</v>
      </c>
      <c r="V47" s="7"/>
      <c r="W47" s="7"/>
      <c r="X47" s="7"/>
      <c r="Y47" s="7"/>
      <c r="Z47" s="7">
        <v>762</v>
      </c>
      <c r="AA47" s="7"/>
      <c r="AB47" s="7"/>
      <c r="AC47" s="7"/>
      <c r="AD47" s="7"/>
      <c r="AE47" s="7">
        <v>543</v>
      </c>
      <c r="AF47" s="7"/>
      <c r="AG47" s="7"/>
      <c r="AH47" s="7"/>
      <c r="AI47" s="7"/>
      <c r="AJ47" s="7">
        <v>5310</v>
      </c>
    </row>
    <row r="48" spans="1:36" x14ac:dyDescent="0.3">
      <c r="A48" s="176" t="s">
        <v>1296</v>
      </c>
      <c r="B48" s="7"/>
      <c r="C48" s="7"/>
      <c r="D48" s="7"/>
      <c r="E48" s="7">
        <v>267</v>
      </c>
      <c r="F48" s="7"/>
      <c r="G48" s="7"/>
      <c r="H48" s="7">
        <v>133</v>
      </c>
      <c r="I48" s="7"/>
      <c r="J48" s="7"/>
      <c r="K48" s="7"/>
      <c r="L48" s="7"/>
      <c r="M48" s="7">
        <v>117</v>
      </c>
      <c r="N48" s="7"/>
      <c r="O48" s="7"/>
      <c r="P48" s="7"/>
      <c r="Q48" s="7"/>
      <c r="R48" s="7">
        <v>83</v>
      </c>
      <c r="S48" s="7"/>
      <c r="T48" s="7"/>
      <c r="U48" s="7">
        <v>13</v>
      </c>
      <c r="V48" s="7"/>
      <c r="W48" s="7"/>
      <c r="X48" s="7"/>
      <c r="Y48" s="7"/>
      <c r="Z48" s="7">
        <v>117</v>
      </c>
      <c r="AA48" s="7"/>
      <c r="AB48" s="7"/>
      <c r="AC48" s="7"/>
      <c r="AD48" s="7"/>
      <c r="AE48" s="7">
        <v>83</v>
      </c>
      <c r="AF48" s="7"/>
      <c r="AG48" s="7"/>
      <c r="AH48" s="7"/>
      <c r="AI48" s="7"/>
      <c r="AJ48" s="7">
        <v>813</v>
      </c>
    </row>
    <row r="49" spans="1:36" x14ac:dyDescent="0.3">
      <c r="A49" s="176" t="s">
        <v>1297</v>
      </c>
      <c r="B49" s="7"/>
      <c r="C49" s="7"/>
      <c r="D49" s="7"/>
      <c r="E49" s="7">
        <v>202</v>
      </c>
      <c r="F49" s="7"/>
      <c r="G49" s="7"/>
      <c r="H49" s="7">
        <v>101</v>
      </c>
      <c r="I49" s="7"/>
      <c r="J49" s="7"/>
      <c r="K49" s="7"/>
      <c r="L49" s="7"/>
      <c r="M49" s="7">
        <v>88</v>
      </c>
      <c r="N49" s="7"/>
      <c r="O49" s="7"/>
      <c r="P49" s="7"/>
      <c r="Q49" s="7"/>
      <c r="R49" s="7">
        <v>63</v>
      </c>
      <c r="S49" s="7"/>
      <c r="T49" s="7"/>
      <c r="U49" s="7">
        <v>10</v>
      </c>
      <c r="V49" s="7"/>
      <c r="W49" s="7"/>
      <c r="X49" s="7"/>
      <c r="Y49" s="7"/>
      <c r="Z49" s="7">
        <v>88</v>
      </c>
      <c r="AA49" s="7"/>
      <c r="AB49" s="7"/>
      <c r="AC49" s="7"/>
      <c r="AD49" s="7"/>
      <c r="AE49" s="7">
        <v>63</v>
      </c>
      <c r="AF49" s="7"/>
      <c r="AG49" s="7"/>
      <c r="AH49" s="7"/>
      <c r="AI49" s="7"/>
      <c r="AJ49" s="7">
        <v>615</v>
      </c>
    </row>
    <row r="50" spans="1:36" x14ac:dyDescent="0.3">
      <c r="A50" s="176" t="s">
        <v>1304</v>
      </c>
      <c r="B50" s="7"/>
      <c r="C50" s="7"/>
      <c r="D50" s="7"/>
      <c r="E50" s="7">
        <v>231</v>
      </c>
      <c r="F50" s="7"/>
      <c r="G50" s="7"/>
      <c r="H50" s="7">
        <v>116</v>
      </c>
      <c r="I50" s="7"/>
      <c r="J50" s="7"/>
      <c r="K50" s="7"/>
      <c r="L50" s="7"/>
      <c r="M50" s="7">
        <v>101</v>
      </c>
      <c r="N50" s="7"/>
      <c r="O50" s="7"/>
      <c r="P50" s="7"/>
      <c r="Q50" s="7"/>
      <c r="R50" s="7">
        <v>72</v>
      </c>
      <c r="S50" s="7"/>
      <c r="T50" s="7"/>
      <c r="U50" s="7">
        <v>12</v>
      </c>
      <c r="V50" s="7"/>
      <c r="W50" s="7"/>
      <c r="X50" s="7"/>
      <c r="Y50" s="7"/>
      <c r="Z50" s="7">
        <v>101</v>
      </c>
      <c r="AA50" s="7"/>
      <c r="AB50" s="7"/>
      <c r="AC50" s="7"/>
      <c r="AD50" s="7"/>
      <c r="AE50" s="7">
        <v>72</v>
      </c>
      <c r="AF50" s="7"/>
      <c r="AG50" s="7"/>
      <c r="AH50" s="7"/>
      <c r="AI50" s="7"/>
      <c r="AJ50" s="7">
        <v>705</v>
      </c>
    </row>
    <row r="51" spans="1:36" x14ac:dyDescent="0.3">
      <c r="A51" s="176" t="s">
        <v>1305</v>
      </c>
      <c r="B51" s="7"/>
      <c r="C51" s="7"/>
      <c r="D51" s="7"/>
      <c r="E51" s="7">
        <v>152</v>
      </c>
      <c r="F51" s="7"/>
      <c r="G51" s="7"/>
      <c r="H51" s="7">
        <v>76</v>
      </c>
      <c r="I51" s="7"/>
      <c r="J51" s="7"/>
      <c r="K51" s="7"/>
      <c r="L51" s="7"/>
      <c r="M51" s="7">
        <v>67</v>
      </c>
      <c r="N51" s="7"/>
      <c r="O51" s="7"/>
      <c r="P51" s="7"/>
      <c r="Q51" s="7"/>
      <c r="R51" s="7">
        <v>48</v>
      </c>
      <c r="S51" s="7"/>
      <c r="T51" s="7"/>
      <c r="U51" s="7">
        <v>8</v>
      </c>
      <c r="V51" s="7"/>
      <c r="W51" s="7"/>
      <c r="X51" s="7"/>
      <c r="Y51" s="7"/>
      <c r="Z51" s="7">
        <v>67</v>
      </c>
      <c r="AA51" s="7"/>
      <c r="AB51" s="7"/>
      <c r="AC51" s="7"/>
      <c r="AD51" s="7"/>
      <c r="AE51" s="7">
        <v>48</v>
      </c>
      <c r="AF51" s="7"/>
      <c r="AG51" s="7"/>
      <c r="AH51" s="7"/>
      <c r="AI51" s="7"/>
      <c r="AJ51" s="7">
        <v>466</v>
      </c>
    </row>
    <row r="52" spans="1:36" x14ac:dyDescent="0.3">
      <c r="A52" s="176" t="s">
        <v>1307</v>
      </c>
      <c r="B52" s="7"/>
      <c r="C52" s="7"/>
      <c r="D52" s="7"/>
      <c r="E52" s="7">
        <v>183</v>
      </c>
      <c r="F52" s="7"/>
      <c r="G52" s="7"/>
      <c r="H52" s="7">
        <v>92</v>
      </c>
      <c r="I52" s="7"/>
      <c r="J52" s="7"/>
      <c r="K52" s="7"/>
      <c r="L52" s="7"/>
      <c r="M52" s="7">
        <v>80</v>
      </c>
      <c r="N52" s="7"/>
      <c r="O52" s="7"/>
      <c r="P52" s="7"/>
      <c r="Q52" s="7"/>
      <c r="R52" s="7">
        <v>57</v>
      </c>
      <c r="S52" s="7"/>
      <c r="T52" s="7"/>
      <c r="U52" s="7">
        <v>9</v>
      </c>
      <c r="V52" s="7"/>
      <c r="W52" s="7"/>
      <c r="X52" s="7"/>
      <c r="Y52" s="7"/>
      <c r="Z52" s="7">
        <v>80</v>
      </c>
      <c r="AA52" s="7"/>
      <c r="AB52" s="7"/>
      <c r="AC52" s="7"/>
      <c r="AD52" s="7"/>
      <c r="AE52" s="7">
        <v>57</v>
      </c>
      <c r="AF52" s="7"/>
      <c r="AG52" s="7"/>
      <c r="AH52" s="7"/>
      <c r="AI52" s="7"/>
      <c r="AJ52" s="7">
        <v>558</v>
      </c>
    </row>
    <row r="53" spans="1:36" x14ac:dyDescent="0.3">
      <c r="A53" s="176" t="s">
        <v>1273</v>
      </c>
      <c r="B53" s="7"/>
      <c r="C53" s="7"/>
      <c r="D53" s="7"/>
      <c r="E53" s="7">
        <v>261</v>
      </c>
      <c r="F53" s="7"/>
      <c r="G53" s="7"/>
      <c r="H53" s="7">
        <v>130</v>
      </c>
      <c r="I53" s="7"/>
      <c r="J53" s="7"/>
      <c r="K53" s="7"/>
      <c r="L53" s="7"/>
      <c r="M53" s="7">
        <v>114</v>
      </c>
      <c r="N53" s="7"/>
      <c r="O53" s="7"/>
      <c r="P53" s="7"/>
      <c r="Q53" s="7"/>
      <c r="R53" s="7">
        <v>81</v>
      </c>
      <c r="S53" s="7"/>
      <c r="T53" s="7"/>
      <c r="U53" s="7">
        <v>13</v>
      </c>
      <c r="V53" s="7"/>
      <c r="W53" s="7"/>
      <c r="X53" s="7"/>
      <c r="Y53" s="7"/>
      <c r="Z53" s="7">
        <v>114</v>
      </c>
      <c r="AA53" s="7"/>
      <c r="AB53" s="7"/>
      <c r="AC53" s="7"/>
      <c r="AD53" s="7"/>
      <c r="AE53" s="7">
        <v>81</v>
      </c>
      <c r="AF53" s="7"/>
      <c r="AG53" s="7"/>
      <c r="AH53" s="7"/>
      <c r="AI53" s="7"/>
      <c r="AJ53" s="7">
        <v>794</v>
      </c>
    </row>
    <row r="54" spans="1:36" x14ac:dyDescent="0.3">
      <c r="A54" s="176" t="s">
        <v>1294</v>
      </c>
      <c r="B54" s="7"/>
      <c r="C54" s="7"/>
      <c r="D54" s="7"/>
      <c r="E54" s="7">
        <v>217</v>
      </c>
      <c r="F54" s="7"/>
      <c r="G54" s="7"/>
      <c r="H54" s="7">
        <v>108</v>
      </c>
      <c r="I54" s="7"/>
      <c r="J54" s="7"/>
      <c r="K54" s="7"/>
      <c r="L54" s="7"/>
      <c r="M54" s="7">
        <v>95</v>
      </c>
      <c r="N54" s="7"/>
      <c r="O54" s="7"/>
      <c r="P54" s="7"/>
      <c r="Q54" s="7"/>
      <c r="R54" s="7">
        <v>68</v>
      </c>
      <c r="S54" s="7"/>
      <c r="T54" s="7"/>
      <c r="U54" s="7">
        <v>11</v>
      </c>
      <c r="V54" s="7"/>
      <c r="W54" s="7"/>
      <c r="X54" s="7"/>
      <c r="Y54" s="7"/>
      <c r="Z54" s="7">
        <v>95</v>
      </c>
      <c r="AA54" s="7"/>
      <c r="AB54" s="7"/>
      <c r="AC54" s="7"/>
      <c r="AD54" s="7"/>
      <c r="AE54" s="7">
        <v>68</v>
      </c>
      <c r="AF54" s="7"/>
      <c r="AG54" s="7"/>
      <c r="AH54" s="7"/>
      <c r="AI54" s="7"/>
      <c r="AJ54" s="7">
        <v>662</v>
      </c>
    </row>
    <row r="55" spans="1:36" x14ac:dyDescent="0.3">
      <c r="A55" s="176" t="s">
        <v>1295</v>
      </c>
      <c r="B55" s="7"/>
      <c r="C55" s="7"/>
      <c r="D55" s="7"/>
      <c r="E55" s="7">
        <v>171</v>
      </c>
      <c r="F55" s="7"/>
      <c r="G55" s="7"/>
      <c r="H55" s="7">
        <v>85</v>
      </c>
      <c r="I55" s="7"/>
      <c r="J55" s="7"/>
      <c r="K55" s="7"/>
      <c r="L55" s="7"/>
      <c r="M55" s="7">
        <v>75</v>
      </c>
      <c r="N55" s="7"/>
      <c r="O55" s="7"/>
      <c r="P55" s="7"/>
      <c r="Q55" s="7"/>
      <c r="R55" s="7">
        <v>53</v>
      </c>
      <c r="S55" s="7"/>
      <c r="T55" s="7"/>
      <c r="U55" s="7">
        <v>9</v>
      </c>
      <c r="V55" s="7"/>
      <c r="W55" s="7"/>
      <c r="X55" s="7"/>
      <c r="Y55" s="7"/>
      <c r="Z55" s="7">
        <v>75</v>
      </c>
      <c r="AA55" s="7"/>
      <c r="AB55" s="7"/>
      <c r="AC55" s="7"/>
      <c r="AD55" s="7"/>
      <c r="AE55" s="7">
        <v>53</v>
      </c>
      <c r="AF55" s="7"/>
      <c r="AG55" s="7"/>
      <c r="AH55" s="7"/>
      <c r="AI55" s="7"/>
      <c r="AJ55" s="7">
        <v>521</v>
      </c>
    </row>
    <row r="56" spans="1:36" x14ac:dyDescent="0.3">
      <c r="A56" s="176" t="s">
        <v>1300</v>
      </c>
      <c r="B56" s="7"/>
      <c r="C56" s="7"/>
      <c r="D56" s="7"/>
      <c r="E56" s="7">
        <v>58</v>
      </c>
      <c r="F56" s="7"/>
      <c r="G56" s="7"/>
      <c r="H56" s="7">
        <v>29</v>
      </c>
      <c r="I56" s="7"/>
      <c r="J56" s="7"/>
      <c r="K56" s="7"/>
      <c r="L56" s="7"/>
      <c r="M56" s="7">
        <v>25</v>
      </c>
      <c r="N56" s="7"/>
      <c r="O56" s="7"/>
      <c r="P56" s="7"/>
      <c r="Q56" s="7"/>
      <c r="R56" s="7">
        <v>18</v>
      </c>
      <c r="S56" s="7"/>
      <c r="T56" s="7"/>
      <c r="U56" s="7">
        <v>3</v>
      </c>
      <c r="V56" s="7"/>
      <c r="W56" s="7"/>
      <c r="X56" s="7"/>
      <c r="Y56" s="7"/>
      <c r="Z56" s="7">
        <v>25</v>
      </c>
      <c r="AA56" s="7"/>
      <c r="AB56" s="7"/>
      <c r="AC56" s="7"/>
      <c r="AD56" s="7"/>
      <c r="AE56" s="7">
        <v>18</v>
      </c>
      <c r="AF56" s="7"/>
      <c r="AG56" s="7"/>
      <c r="AH56" s="7"/>
      <c r="AI56" s="7"/>
      <c r="AJ56" s="7">
        <v>176</v>
      </c>
    </row>
    <row r="57" spans="1:36" x14ac:dyDescent="0.3">
      <c r="A57" s="10" t="s">
        <v>1148</v>
      </c>
      <c r="B57" s="7"/>
      <c r="C57" s="7"/>
      <c r="D57" s="7"/>
      <c r="E57" s="7">
        <v>2505</v>
      </c>
      <c r="F57" s="7"/>
      <c r="G57" s="7"/>
      <c r="H57" s="7">
        <v>1252</v>
      </c>
      <c r="I57" s="7"/>
      <c r="J57" s="7"/>
      <c r="K57" s="7"/>
      <c r="L57" s="7"/>
      <c r="M57" s="7">
        <v>1098</v>
      </c>
      <c r="N57" s="7"/>
      <c r="O57" s="7"/>
      <c r="P57" s="7"/>
      <c r="Q57" s="7"/>
      <c r="R57" s="7">
        <v>782</v>
      </c>
      <c r="S57" s="7"/>
      <c r="T57" s="7">
        <v>10</v>
      </c>
      <c r="U57" s="7">
        <v>115</v>
      </c>
      <c r="V57" s="7"/>
      <c r="W57" s="7"/>
      <c r="X57" s="7"/>
      <c r="Y57" s="7"/>
      <c r="Z57" s="7">
        <v>1098</v>
      </c>
      <c r="AA57" s="7"/>
      <c r="AB57" s="7"/>
      <c r="AC57" s="7"/>
      <c r="AD57" s="7"/>
      <c r="AE57" s="7">
        <v>782</v>
      </c>
      <c r="AF57" s="7"/>
      <c r="AG57" s="7"/>
      <c r="AH57" s="7"/>
      <c r="AI57" s="7"/>
      <c r="AJ57" s="7">
        <v>7642</v>
      </c>
    </row>
    <row r="58" spans="1:36" x14ac:dyDescent="0.3">
      <c r="A58" s="176" t="s">
        <v>1282</v>
      </c>
      <c r="B58" s="7"/>
      <c r="C58" s="7"/>
      <c r="D58" s="7"/>
      <c r="E58" s="7">
        <v>43</v>
      </c>
      <c r="F58" s="7"/>
      <c r="G58" s="7"/>
      <c r="H58" s="7">
        <v>21</v>
      </c>
      <c r="I58" s="7"/>
      <c r="J58" s="7"/>
      <c r="K58" s="7"/>
      <c r="L58" s="7"/>
      <c r="M58" s="7">
        <v>19</v>
      </c>
      <c r="N58" s="7"/>
      <c r="O58" s="7"/>
      <c r="P58" s="7"/>
      <c r="Q58" s="7"/>
      <c r="R58" s="7">
        <v>13</v>
      </c>
      <c r="S58" s="7"/>
      <c r="T58" s="7"/>
      <c r="U58" s="7">
        <v>2</v>
      </c>
      <c r="V58" s="7"/>
      <c r="W58" s="7"/>
      <c r="X58" s="7"/>
      <c r="Y58" s="7"/>
      <c r="Z58" s="7">
        <v>19</v>
      </c>
      <c r="AA58" s="7"/>
      <c r="AB58" s="7"/>
      <c r="AC58" s="7"/>
      <c r="AD58" s="7"/>
      <c r="AE58" s="7">
        <v>13</v>
      </c>
      <c r="AF58" s="7"/>
      <c r="AG58" s="7"/>
      <c r="AH58" s="7"/>
      <c r="AI58" s="7"/>
      <c r="AJ58" s="7">
        <v>130</v>
      </c>
    </row>
    <row r="59" spans="1:36" x14ac:dyDescent="0.3">
      <c r="A59" s="176" t="s">
        <v>1284</v>
      </c>
      <c r="B59" s="7"/>
      <c r="C59" s="7"/>
      <c r="D59" s="7"/>
      <c r="E59" s="7">
        <v>78</v>
      </c>
      <c r="F59" s="7"/>
      <c r="G59" s="7"/>
      <c r="H59" s="7">
        <v>39</v>
      </c>
      <c r="I59" s="7"/>
      <c r="J59" s="7"/>
      <c r="K59" s="7"/>
      <c r="L59" s="7"/>
      <c r="M59" s="7">
        <v>34</v>
      </c>
      <c r="N59" s="7"/>
      <c r="O59" s="7"/>
      <c r="P59" s="7"/>
      <c r="Q59" s="7"/>
      <c r="R59" s="7">
        <v>25</v>
      </c>
      <c r="S59" s="7"/>
      <c r="T59" s="7"/>
      <c r="U59" s="7">
        <v>4</v>
      </c>
      <c r="V59" s="7"/>
      <c r="W59" s="7"/>
      <c r="X59" s="7"/>
      <c r="Y59" s="7"/>
      <c r="Z59" s="7">
        <v>34</v>
      </c>
      <c r="AA59" s="7"/>
      <c r="AB59" s="7"/>
      <c r="AC59" s="7"/>
      <c r="AD59" s="7"/>
      <c r="AE59" s="7">
        <v>25</v>
      </c>
      <c r="AF59" s="7"/>
      <c r="AG59" s="7"/>
      <c r="AH59" s="7"/>
      <c r="AI59" s="7"/>
      <c r="AJ59" s="7">
        <v>239</v>
      </c>
    </row>
    <row r="60" spans="1:36" x14ac:dyDescent="0.3">
      <c r="A60" s="176" t="s">
        <v>1274</v>
      </c>
      <c r="B60" s="7"/>
      <c r="C60" s="7"/>
      <c r="D60" s="7"/>
      <c r="E60" s="7">
        <v>191</v>
      </c>
      <c r="F60" s="7"/>
      <c r="G60" s="7"/>
      <c r="H60" s="7">
        <v>96</v>
      </c>
      <c r="I60" s="7"/>
      <c r="J60" s="7"/>
      <c r="K60" s="7"/>
      <c r="L60" s="7"/>
      <c r="M60" s="7">
        <v>84</v>
      </c>
      <c r="N60" s="7"/>
      <c r="O60" s="7"/>
      <c r="P60" s="7"/>
      <c r="Q60" s="7"/>
      <c r="R60" s="7">
        <v>60</v>
      </c>
      <c r="S60" s="7"/>
      <c r="T60" s="7"/>
      <c r="U60" s="7">
        <v>10</v>
      </c>
      <c r="V60" s="7"/>
      <c r="W60" s="7"/>
      <c r="X60" s="7"/>
      <c r="Y60" s="7"/>
      <c r="Z60" s="7">
        <v>84</v>
      </c>
      <c r="AA60" s="7"/>
      <c r="AB60" s="7"/>
      <c r="AC60" s="7"/>
      <c r="AD60" s="7"/>
      <c r="AE60" s="7">
        <v>60</v>
      </c>
      <c r="AF60" s="7"/>
      <c r="AG60" s="7"/>
      <c r="AH60" s="7"/>
      <c r="AI60" s="7"/>
      <c r="AJ60" s="7">
        <v>585</v>
      </c>
    </row>
    <row r="61" spans="1:36" x14ac:dyDescent="0.3">
      <c r="A61" s="176" t="s">
        <v>1285</v>
      </c>
      <c r="B61" s="7"/>
      <c r="C61" s="7"/>
      <c r="D61" s="7"/>
      <c r="E61" s="7">
        <v>25</v>
      </c>
      <c r="F61" s="7"/>
      <c r="G61" s="7"/>
      <c r="H61" s="7">
        <v>12</v>
      </c>
      <c r="I61" s="7"/>
      <c r="J61" s="7"/>
      <c r="K61" s="7"/>
      <c r="L61" s="7"/>
      <c r="M61" s="7">
        <v>11</v>
      </c>
      <c r="N61" s="7"/>
      <c r="O61" s="7"/>
      <c r="P61" s="7"/>
      <c r="Q61" s="7"/>
      <c r="R61" s="7">
        <v>8</v>
      </c>
      <c r="S61" s="7"/>
      <c r="T61" s="7"/>
      <c r="U61" s="7">
        <v>1</v>
      </c>
      <c r="V61" s="7"/>
      <c r="W61" s="7"/>
      <c r="X61" s="7"/>
      <c r="Y61" s="7"/>
      <c r="Z61" s="7">
        <v>11</v>
      </c>
      <c r="AA61" s="7"/>
      <c r="AB61" s="7"/>
      <c r="AC61" s="7"/>
      <c r="AD61" s="7"/>
      <c r="AE61" s="7">
        <v>8</v>
      </c>
      <c r="AF61" s="7"/>
      <c r="AG61" s="7"/>
      <c r="AH61" s="7"/>
      <c r="AI61" s="7"/>
      <c r="AJ61" s="7">
        <v>76</v>
      </c>
    </row>
    <row r="62" spans="1:36" x14ac:dyDescent="0.3">
      <c r="A62" s="176" t="s">
        <v>1314</v>
      </c>
      <c r="B62" s="7"/>
      <c r="C62" s="7"/>
      <c r="D62" s="7"/>
      <c r="E62" s="7">
        <v>189</v>
      </c>
      <c r="F62" s="7"/>
      <c r="G62" s="7"/>
      <c r="H62" s="7">
        <v>95</v>
      </c>
      <c r="I62" s="7"/>
      <c r="J62" s="7"/>
      <c r="K62" s="7"/>
      <c r="L62" s="7"/>
      <c r="M62" s="7">
        <v>83</v>
      </c>
      <c r="N62" s="7"/>
      <c r="O62" s="7"/>
      <c r="P62" s="7"/>
      <c r="Q62" s="7"/>
      <c r="R62" s="7">
        <v>59</v>
      </c>
      <c r="S62" s="7"/>
      <c r="T62" s="7"/>
      <c r="U62" s="7">
        <v>9</v>
      </c>
      <c r="V62" s="7"/>
      <c r="W62" s="7"/>
      <c r="X62" s="7"/>
      <c r="Y62" s="7"/>
      <c r="Z62" s="7">
        <v>83</v>
      </c>
      <c r="AA62" s="7"/>
      <c r="AB62" s="7"/>
      <c r="AC62" s="7"/>
      <c r="AD62" s="7"/>
      <c r="AE62" s="7">
        <v>59</v>
      </c>
      <c r="AF62" s="7"/>
      <c r="AG62" s="7"/>
      <c r="AH62" s="7"/>
      <c r="AI62" s="7"/>
      <c r="AJ62" s="7">
        <v>577</v>
      </c>
    </row>
    <row r="63" spans="1:36" x14ac:dyDescent="0.3">
      <c r="A63" s="176" t="s">
        <v>1309</v>
      </c>
      <c r="B63" s="7"/>
      <c r="C63" s="7"/>
      <c r="D63" s="7"/>
      <c r="E63" s="7">
        <v>228</v>
      </c>
      <c r="F63" s="7"/>
      <c r="G63" s="7"/>
      <c r="H63" s="7">
        <v>114</v>
      </c>
      <c r="I63" s="7"/>
      <c r="J63" s="7"/>
      <c r="K63" s="7"/>
      <c r="L63" s="7"/>
      <c r="M63" s="7">
        <v>100</v>
      </c>
      <c r="N63" s="7"/>
      <c r="O63" s="7"/>
      <c r="P63" s="7"/>
      <c r="Q63" s="7"/>
      <c r="R63" s="7">
        <v>71</v>
      </c>
      <c r="S63" s="7"/>
      <c r="T63" s="7"/>
      <c r="U63" s="7">
        <v>11</v>
      </c>
      <c r="V63" s="7"/>
      <c r="W63" s="7"/>
      <c r="X63" s="7"/>
      <c r="Y63" s="7"/>
      <c r="Z63" s="7">
        <v>100</v>
      </c>
      <c r="AA63" s="7"/>
      <c r="AB63" s="7"/>
      <c r="AC63" s="7"/>
      <c r="AD63" s="7"/>
      <c r="AE63" s="7">
        <v>71</v>
      </c>
      <c r="AF63" s="7"/>
      <c r="AG63" s="7"/>
      <c r="AH63" s="7"/>
      <c r="AI63" s="7"/>
      <c r="AJ63" s="7">
        <v>695</v>
      </c>
    </row>
    <row r="64" spans="1:36" x14ac:dyDescent="0.3">
      <c r="A64" s="176" t="s">
        <v>1321</v>
      </c>
      <c r="B64" s="7"/>
      <c r="C64" s="7"/>
      <c r="D64" s="7"/>
      <c r="E64" s="7">
        <v>231</v>
      </c>
      <c r="F64" s="7"/>
      <c r="G64" s="7"/>
      <c r="H64" s="7">
        <v>115</v>
      </c>
      <c r="I64" s="7"/>
      <c r="J64" s="7"/>
      <c r="K64" s="7"/>
      <c r="L64" s="7"/>
      <c r="M64" s="7">
        <v>101</v>
      </c>
      <c r="N64" s="7"/>
      <c r="O64" s="7"/>
      <c r="P64" s="7"/>
      <c r="Q64" s="7"/>
      <c r="R64" s="7">
        <v>72</v>
      </c>
      <c r="S64" s="7"/>
      <c r="T64" s="7"/>
      <c r="U64" s="7">
        <v>12</v>
      </c>
      <c r="V64" s="7"/>
      <c r="W64" s="7"/>
      <c r="X64" s="7"/>
      <c r="Y64" s="7"/>
      <c r="Z64" s="7">
        <v>101</v>
      </c>
      <c r="AA64" s="7"/>
      <c r="AB64" s="7"/>
      <c r="AC64" s="7"/>
      <c r="AD64" s="7"/>
      <c r="AE64" s="7">
        <v>72</v>
      </c>
      <c r="AF64" s="7"/>
      <c r="AG64" s="7"/>
      <c r="AH64" s="7"/>
      <c r="AI64" s="7"/>
      <c r="AJ64" s="7">
        <v>704</v>
      </c>
    </row>
    <row r="65" spans="1:36" x14ac:dyDescent="0.3">
      <c r="A65" s="176" t="s">
        <v>1324</v>
      </c>
      <c r="B65" s="7"/>
      <c r="C65" s="7"/>
      <c r="D65" s="7"/>
      <c r="E65" s="7">
        <v>206</v>
      </c>
      <c r="F65" s="7"/>
      <c r="G65" s="7"/>
      <c r="H65" s="7">
        <v>103</v>
      </c>
      <c r="I65" s="7"/>
      <c r="J65" s="7"/>
      <c r="K65" s="7"/>
      <c r="L65" s="7"/>
      <c r="M65" s="7">
        <v>90</v>
      </c>
      <c r="N65" s="7"/>
      <c r="O65" s="7"/>
      <c r="P65" s="7"/>
      <c r="Q65" s="7"/>
      <c r="R65" s="7">
        <v>64</v>
      </c>
      <c r="S65" s="7"/>
      <c r="T65" s="7">
        <v>10</v>
      </c>
      <c r="U65" s="7"/>
      <c r="V65" s="7"/>
      <c r="W65" s="7"/>
      <c r="X65" s="7"/>
      <c r="Y65" s="7"/>
      <c r="Z65" s="7">
        <v>90</v>
      </c>
      <c r="AA65" s="7"/>
      <c r="AB65" s="7"/>
      <c r="AC65" s="7"/>
      <c r="AD65" s="7"/>
      <c r="AE65" s="7">
        <v>64</v>
      </c>
      <c r="AF65" s="7"/>
      <c r="AG65" s="7"/>
      <c r="AH65" s="7"/>
      <c r="AI65" s="7"/>
      <c r="AJ65" s="7">
        <v>627</v>
      </c>
    </row>
    <row r="66" spans="1:36" x14ac:dyDescent="0.3">
      <c r="A66" s="176" t="s">
        <v>1325</v>
      </c>
      <c r="B66" s="7"/>
      <c r="C66" s="7"/>
      <c r="D66" s="7"/>
      <c r="E66" s="7">
        <v>272</v>
      </c>
      <c r="F66" s="7"/>
      <c r="G66" s="7"/>
      <c r="H66" s="7">
        <v>136</v>
      </c>
      <c r="I66" s="7"/>
      <c r="J66" s="7"/>
      <c r="K66" s="7"/>
      <c r="L66" s="7"/>
      <c r="M66" s="7">
        <v>119</v>
      </c>
      <c r="N66" s="7"/>
      <c r="O66" s="7"/>
      <c r="P66" s="7"/>
      <c r="Q66" s="7"/>
      <c r="R66" s="7">
        <v>85</v>
      </c>
      <c r="S66" s="7"/>
      <c r="T66" s="7"/>
      <c r="U66" s="7">
        <v>14</v>
      </c>
      <c r="V66" s="7"/>
      <c r="W66" s="7"/>
      <c r="X66" s="7"/>
      <c r="Y66" s="7"/>
      <c r="Z66" s="7">
        <v>119</v>
      </c>
      <c r="AA66" s="7"/>
      <c r="AB66" s="7"/>
      <c r="AC66" s="7"/>
      <c r="AD66" s="7"/>
      <c r="AE66" s="7">
        <v>85</v>
      </c>
      <c r="AF66" s="7"/>
      <c r="AG66" s="7"/>
      <c r="AH66" s="7"/>
      <c r="AI66" s="7"/>
      <c r="AJ66" s="7">
        <v>830</v>
      </c>
    </row>
    <row r="67" spans="1:36" x14ac:dyDescent="0.3">
      <c r="A67" s="176" t="s">
        <v>1326</v>
      </c>
      <c r="B67" s="7"/>
      <c r="C67" s="7"/>
      <c r="D67" s="7"/>
      <c r="E67" s="7">
        <v>175</v>
      </c>
      <c r="F67" s="7"/>
      <c r="G67" s="7"/>
      <c r="H67" s="7">
        <v>88</v>
      </c>
      <c r="I67" s="7"/>
      <c r="J67" s="7"/>
      <c r="K67" s="7"/>
      <c r="L67" s="7"/>
      <c r="M67" s="7">
        <v>77</v>
      </c>
      <c r="N67" s="7"/>
      <c r="O67" s="7"/>
      <c r="P67" s="7"/>
      <c r="Q67" s="7"/>
      <c r="R67" s="7">
        <v>55</v>
      </c>
      <c r="S67" s="7"/>
      <c r="T67" s="7"/>
      <c r="U67" s="7">
        <v>9</v>
      </c>
      <c r="V67" s="7"/>
      <c r="W67" s="7"/>
      <c r="X67" s="7"/>
      <c r="Y67" s="7"/>
      <c r="Z67" s="7">
        <v>77</v>
      </c>
      <c r="AA67" s="7"/>
      <c r="AB67" s="7"/>
      <c r="AC67" s="7"/>
      <c r="AD67" s="7"/>
      <c r="AE67" s="7">
        <v>55</v>
      </c>
      <c r="AF67" s="7"/>
      <c r="AG67" s="7"/>
      <c r="AH67" s="7"/>
      <c r="AI67" s="7"/>
      <c r="AJ67" s="7">
        <v>536</v>
      </c>
    </row>
    <row r="68" spans="1:36" x14ac:dyDescent="0.3">
      <c r="A68" s="176" t="s">
        <v>1308</v>
      </c>
      <c r="B68" s="7"/>
      <c r="C68" s="7"/>
      <c r="D68" s="7"/>
      <c r="E68" s="7">
        <v>202</v>
      </c>
      <c r="F68" s="7"/>
      <c r="G68" s="7"/>
      <c r="H68" s="7">
        <v>101</v>
      </c>
      <c r="I68" s="7"/>
      <c r="J68" s="7"/>
      <c r="K68" s="7"/>
      <c r="L68" s="7"/>
      <c r="M68" s="7">
        <v>89</v>
      </c>
      <c r="N68" s="7"/>
      <c r="O68" s="7"/>
      <c r="P68" s="7"/>
      <c r="Q68" s="7"/>
      <c r="R68" s="7">
        <v>63</v>
      </c>
      <c r="S68" s="7"/>
      <c r="T68" s="7"/>
      <c r="U68" s="7">
        <v>10</v>
      </c>
      <c r="V68" s="7"/>
      <c r="W68" s="7"/>
      <c r="X68" s="7"/>
      <c r="Y68" s="7"/>
      <c r="Z68" s="7">
        <v>89</v>
      </c>
      <c r="AA68" s="7"/>
      <c r="AB68" s="7"/>
      <c r="AC68" s="7"/>
      <c r="AD68" s="7"/>
      <c r="AE68" s="7">
        <v>63</v>
      </c>
      <c r="AF68" s="7"/>
      <c r="AG68" s="7"/>
      <c r="AH68" s="7"/>
      <c r="AI68" s="7"/>
      <c r="AJ68" s="7">
        <v>617</v>
      </c>
    </row>
    <row r="69" spans="1:36" x14ac:dyDescent="0.3">
      <c r="A69" s="176" t="s">
        <v>1310</v>
      </c>
      <c r="B69" s="7"/>
      <c r="C69" s="7"/>
      <c r="D69" s="7"/>
      <c r="E69" s="7">
        <v>224</v>
      </c>
      <c r="F69" s="7"/>
      <c r="G69" s="7"/>
      <c r="H69" s="7">
        <v>112</v>
      </c>
      <c r="I69" s="7"/>
      <c r="J69" s="7"/>
      <c r="K69" s="7"/>
      <c r="L69" s="7"/>
      <c r="M69" s="7">
        <v>98</v>
      </c>
      <c r="N69" s="7"/>
      <c r="O69" s="7"/>
      <c r="P69" s="7"/>
      <c r="Q69" s="7"/>
      <c r="R69" s="7">
        <v>70</v>
      </c>
      <c r="S69" s="7"/>
      <c r="T69" s="7"/>
      <c r="U69" s="7">
        <v>11</v>
      </c>
      <c r="V69" s="7"/>
      <c r="W69" s="7"/>
      <c r="X69" s="7"/>
      <c r="Y69" s="7"/>
      <c r="Z69" s="7">
        <v>98</v>
      </c>
      <c r="AA69" s="7"/>
      <c r="AB69" s="7"/>
      <c r="AC69" s="7"/>
      <c r="AD69" s="7"/>
      <c r="AE69" s="7">
        <v>70</v>
      </c>
      <c r="AF69" s="7"/>
      <c r="AG69" s="7"/>
      <c r="AH69" s="7"/>
      <c r="AI69" s="7"/>
      <c r="AJ69" s="7">
        <v>683</v>
      </c>
    </row>
    <row r="70" spans="1:36" x14ac:dyDescent="0.3">
      <c r="A70" s="176" t="s">
        <v>1311</v>
      </c>
      <c r="B70" s="7"/>
      <c r="C70" s="7"/>
      <c r="D70" s="7"/>
      <c r="E70" s="7">
        <v>226</v>
      </c>
      <c r="F70" s="7"/>
      <c r="G70" s="7"/>
      <c r="H70" s="7">
        <v>113</v>
      </c>
      <c r="I70" s="7"/>
      <c r="J70" s="7"/>
      <c r="K70" s="7"/>
      <c r="L70" s="7"/>
      <c r="M70" s="7">
        <v>99</v>
      </c>
      <c r="N70" s="7"/>
      <c r="O70" s="7"/>
      <c r="P70" s="7"/>
      <c r="Q70" s="7"/>
      <c r="R70" s="7">
        <v>70</v>
      </c>
      <c r="S70" s="7"/>
      <c r="T70" s="7"/>
      <c r="U70" s="7">
        <v>11</v>
      </c>
      <c r="V70" s="7"/>
      <c r="W70" s="7"/>
      <c r="X70" s="7"/>
      <c r="Y70" s="7"/>
      <c r="Z70" s="7">
        <v>99</v>
      </c>
      <c r="AA70" s="7"/>
      <c r="AB70" s="7"/>
      <c r="AC70" s="7"/>
      <c r="AD70" s="7"/>
      <c r="AE70" s="7">
        <v>70</v>
      </c>
      <c r="AF70" s="7"/>
      <c r="AG70" s="7"/>
      <c r="AH70" s="7"/>
      <c r="AI70" s="7"/>
      <c r="AJ70" s="7">
        <v>688</v>
      </c>
    </row>
    <row r="71" spans="1:36" x14ac:dyDescent="0.3">
      <c r="A71" s="176" t="s">
        <v>1268</v>
      </c>
      <c r="B71" s="7"/>
      <c r="C71" s="7"/>
      <c r="D71" s="7"/>
      <c r="E71" s="7">
        <v>215</v>
      </c>
      <c r="F71" s="7"/>
      <c r="G71" s="7"/>
      <c r="H71" s="7">
        <v>107</v>
      </c>
      <c r="I71" s="7"/>
      <c r="J71" s="7"/>
      <c r="K71" s="7"/>
      <c r="L71" s="7"/>
      <c r="M71" s="7">
        <v>94</v>
      </c>
      <c r="N71" s="7"/>
      <c r="O71" s="7"/>
      <c r="P71" s="7"/>
      <c r="Q71" s="7"/>
      <c r="R71" s="7">
        <v>67</v>
      </c>
      <c r="S71" s="7"/>
      <c r="T71" s="7"/>
      <c r="U71" s="7">
        <v>11</v>
      </c>
      <c r="V71" s="7"/>
      <c r="W71" s="7"/>
      <c r="X71" s="7"/>
      <c r="Y71" s="7"/>
      <c r="Z71" s="7">
        <v>94</v>
      </c>
      <c r="AA71" s="7"/>
      <c r="AB71" s="7"/>
      <c r="AC71" s="7"/>
      <c r="AD71" s="7"/>
      <c r="AE71" s="7">
        <v>67</v>
      </c>
      <c r="AF71" s="7"/>
      <c r="AG71" s="7"/>
      <c r="AH71" s="7"/>
      <c r="AI71" s="7"/>
      <c r="AJ71" s="7">
        <v>655</v>
      </c>
    </row>
    <row r="72" spans="1:36" x14ac:dyDescent="0.3">
      <c r="A72" s="10" t="s">
        <v>955</v>
      </c>
      <c r="B72" s="7"/>
      <c r="C72" s="7"/>
      <c r="D72" s="7">
        <v>11</v>
      </c>
      <c r="E72" s="7"/>
      <c r="F72" s="7"/>
      <c r="G72" s="7">
        <v>6</v>
      </c>
      <c r="H72" s="7"/>
      <c r="I72" s="7"/>
      <c r="J72" s="7"/>
      <c r="K72" s="7"/>
      <c r="L72" s="7">
        <v>6</v>
      </c>
      <c r="M72" s="7"/>
      <c r="N72" s="7"/>
      <c r="O72" s="7"/>
      <c r="P72" s="7"/>
      <c r="Q72" s="7">
        <v>4</v>
      </c>
      <c r="R72" s="7"/>
      <c r="S72" s="7"/>
      <c r="T72" s="7"/>
      <c r="U72" s="7">
        <v>1</v>
      </c>
      <c r="V72" s="7"/>
      <c r="W72" s="7"/>
      <c r="X72" s="7"/>
      <c r="Y72" s="7">
        <v>6</v>
      </c>
      <c r="Z72" s="7"/>
      <c r="AA72" s="7"/>
      <c r="AB72" s="7"/>
      <c r="AC72" s="7"/>
      <c r="AD72" s="7">
        <v>4</v>
      </c>
      <c r="AE72" s="7"/>
      <c r="AF72" s="7"/>
      <c r="AG72" s="7"/>
      <c r="AH72" s="7"/>
      <c r="AI72" s="7"/>
      <c r="AJ72" s="7">
        <v>38</v>
      </c>
    </row>
    <row r="73" spans="1:36" x14ac:dyDescent="0.3">
      <c r="A73" s="176" t="s">
        <v>1298</v>
      </c>
      <c r="B73" s="7"/>
      <c r="C73" s="7"/>
      <c r="D73" s="7">
        <v>11</v>
      </c>
      <c r="E73" s="7"/>
      <c r="F73" s="7"/>
      <c r="G73" s="7">
        <v>6</v>
      </c>
      <c r="H73" s="7"/>
      <c r="I73" s="7"/>
      <c r="J73" s="7"/>
      <c r="K73" s="7"/>
      <c r="L73" s="7">
        <v>6</v>
      </c>
      <c r="M73" s="7"/>
      <c r="N73" s="7"/>
      <c r="O73" s="7"/>
      <c r="P73" s="7"/>
      <c r="Q73" s="7">
        <v>4</v>
      </c>
      <c r="R73" s="7"/>
      <c r="S73" s="7"/>
      <c r="T73" s="7"/>
      <c r="U73" s="7">
        <v>1</v>
      </c>
      <c r="V73" s="7"/>
      <c r="W73" s="7"/>
      <c r="X73" s="7"/>
      <c r="Y73" s="7">
        <v>6</v>
      </c>
      <c r="Z73" s="7"/>
      <c r="AA73" s="7"/>
      <c r="AB73" s="7"/>
      <c r="AC73" s="7"/>
      <c r="AD73" s="7">
        <v>4</v>
      </c>
      <c r="AE73" s="7"/>
      <c r="AF73" s="7"/>
      <c r="AG73" s="7"/>
      <c r="AH73" s="7"/>
      <c r="AI73" s="7"/>
      <c r="AJ73" s="7">
        <v>38</v>
      </c>
    </row>
    <row r="74" spans="1:36" x14ac:dyDescent="0.3">
      <c r="A74" s="3" t="s">
        <v>1030</v>
      </c>
      <c r="B74" s="7">
        <v>122</v>
      </c>
      <c r="C74" s="7">
        <v>663</v>
      </c>
      <c r="D74" s="7">
        <v>1293</v>
      </c>
      <c r="E74" s="7">
        <v>5413</v>
      </c>
      <c r="F74" s="7">
        <v>159</v>
      </c>
      <c r="G74" s="7">
        <v>646</v>
      </c>
      <c r="H74" s="7">
        <v>2711</v>
      </c>
      <c r="I74" s="7">
        <v>31</v>
      </c>
      <c r="J74" s="7">
        <v>103</v>
      </c>
      <c r="K74" s="7">
        <v>242</v>
      </c>
      <c r="L74" s="7">
        <v>646</v>
      </c>
      <c r="M74" s="7">
        <v>2370</v>
      </c>
      <c r="N74" s="7">
        <v>43</v>
      </c>
      <c r="O74" s="7">
        <v>69</v>
      </c>
      <c r="P74" s="7">
        <v>145</v>
      </c>
      <c r="Q74" s="7">
        <v>431</v>
      </c>
      <c r="R74" s="7">
        <v>1694</v>
      </c>
      <c r="S74" s="7">
        <v>12</v>
      </c>
      <c r="T74" s="7"/>
      <c r="U74" s="7">
        <v>422</v>
      </c>
      <c r="V74" s="7">
        <v>31</v>
      </c>
      <c r="W74" s="7">
        <v>135</v>
      </c>
      <c r="X74" s="7">
        <v>242</v>
      </c>
      <c r="Y74" s="7">
        <v>646</v>
      </c>
      <c r="Z74" s="7">
        <v>2370</v>
      </c>
      <c r="AA74" s="7">
        <v>43</v>
      </c>
      <c r="AB74" s="7">
        <v>69</v>
      </c>
      <c r="AC74" s="7">
        <v>145</v>
      </c>
      <c r="AD74" s="7">
        <v>431</v>
      </c>
      <c r="AE74" s="7">
        <v>1694</v>
      </c>
      <c r="AF74" s="7">
        <v>62</v>
      </c>
      <c r="AG74" s="7">
        <v>413</v>
      </c>
      <c r="AH74" s="7">
        <v>62</v>
      </c>
      <c r="AI74" s="7">
        <v>248</v>
      </c>
      <c r="AJ74" s="7">
        <v>23806</v>
      </c>
    </row>
    <row r="75" spans="1:36" x14ac:dyDescent="0.3">
      <c r="A75" s="10">
        <v>2566</v>
      </c>
      <c r="B75" s="7"/>
      <c r="C75" s="7">
        <v>390</v>
      </c>
      <c r="D75" s="7"/>
      <c r="E75" s="7"/>
      <c r="F75" s="7">
        <v>97</v>
      </c>
      <c r="G75" s="7"/>
      <c r="H75" s="7"/>
      <c r="I75" s="7"/>
      <c r="J75" s="7"/>
      <c r="K75" s="7">
        <v>242</v>
      </c>
      <c r="L75" s="7"/>
      <c r="M75" s="7"/>
      <c r="N75" s="7"/>
      <c r="O75" s="7"/>
      <c r="P75" s="7">
        <v>145</v>
      </c>
      <c r="Q75" s="7"/>
      <c r="R75" s="7"/>
      <c r="S75" s="7"/>
      <c r="T75" s="7"/>
      <c r="U75" s="7">
        <v>39</v>
      </c>
      <c r="V75" s="7"/>
      <c r="W75" s="7"/>
      <c r="X75" s="7">
        <v>242</v>
      </c>
      <c r="Y75" s="7"/>
      <c r="Z75" s="7"/>
      <c r="AA75" s="7"/>
      <c r="AB75" s="7"/>
      <c r="AC75" s="7">
        <v>145</v>
      </c>
      <c r="AD75" s="7"/>
      <c r="AE75" s="7"/>
      <c r="AF75" s="7"/>
      <c r="AG75" s="7">
        <v>242</v>
      </c>
      <c r="AH75" s="7"/>
      <c r="AI75" s="7">
        <v>145</v>
      </c>
      <c r="AJ75" s="7">
        <v>1687</v>
      </c>
    </row>
    <row r="76" spans="1:36" x14ac:dyDescent="0.3">
      <c r="A76" s="176" t="s">
        <v>1331</v>
      </c>
      <c r="B76" s="7"/>
      <c r="C76" s="7">
        <v>98</v>
      </c>
      <c r="D76" s="7"/>
      <c r="E76" s="7"/>
      <c r="F76" s="7">
        <v>24</v>
      </c>
      <c r="G76" s="7"/>
      <c r="H76" s="7"/>
      <c r="I76" s="7"/>
      <c r="J76" s="7"/>
      <c r="K76" s="7">
        <v>61</v>
      </c>
      <c r="L76" s="7"/>
      <c r="M76" s="7"/>
      <c r="N76" s="7"/>
      <c r="O76" s="7"/>
      <c r="P76" s="7">
        <v>37</v>
      </c>
      <c r="Q76" s="7"/>
      <c r="R76" s="7"/>
      <c r="S76" s="7"/>
      <c r="T76" s="7"/>
      <c r="U76" s="7">
        <v>10</v>
      </c>
      <c r="V76" s="7"/>
      <c r="W76" s="7"/>
      <c r="X76" s="7">
        <v>61</v>
      </c>
      <c r="Y76" s="7"/>
      <c r="Z76" s="7"/>
      <c r="AA76" s="7"/>
      <c r="AB76" s="7"/>
      <c r="AC76" s="7">
        <v>37</v>
      </c>
      <c r="AD76" s="7"/>
      <c r="AE76" s="7"/>
      <c r="AF76" s="7"/>
      <c r="AG76" s="7">
        <v>61</v>
      </c>
      <c r="AH76" s="7"/>
      <c r="AI76" s="7">
        <v>37</v>
      </c>
      <c r="AJ76" s="7">
        <v>426</v>
      </c>
    </row>
    <row r="77" spans="1:36" x14ac:dyDescent="0.3">
      <c r="A77" s="176" t="s">
        <v>1332</v>
      </c>
      <c r="B77" s="7"/>
      <c r="C77" s="7">
        <v>81</v>
      </c>
      <c r="D77" s="7"/>
      <c r="E77" s="7"/>
      <c r="F77" s="7">
        <v>20</v>
      </c>
      <c r="G77" s="7"/>
      <c r="H77" s="7"/>
      <c r="I77" s="7"/>
      <c r="J77" s="7"/>
      <c r="K77" s="7">
        <v>50</v>
      </c>
      <c r="L77" s="7"/>
      <c r="M77" s="7"/>
      <c r="N77" s="7"/>
      <c r="O77" s="7"/>
      <c r="P77" s="7">
        <v>30</v>
      </c>
      <c r="Q77" s="7"/>
      <c r="R77" s="7"/>
      <c r="S77" s="7"/>
      <c r="T77" s="7"/>
      <c r="U77" s="7">
        <v>8</v>
      </c>
      <c r="V77" s="7"/>
      <c r="W77" s="7"/>
      <c r="X77" s="7">
        <v>50</v>
      </c>
      <c r="Y77" s="7"/>
      <c r="Z77" s="7"/>
      <c r="AA77" s="7"/>
      <c r="AB77" s="7"/>
      <c r="AC77" s="7">
        <v>30</v>
      </c>
      <c r="AD77" s="7"/>
      <c r="AE77" s="7"/>
      <c r="AF77" s="7"/>
      <c r="AG77" s="7">
        <v>50</v>
      </c>
      <c r="AH77" s="7"/>
      <c r="AI77" s="7">
        <v>30</v>
      </c>
      <c r="AJ77" s="7">
        <v>349</v>
      </c>
    </row>
    <row r="78" spans="1:36" x14ac:dyDescent="0.3">
      <c r="A78" s="176" t="s">
        <v>1334</v>
      </c>
      <c r="B78" s="7"/>
      <c r="C78" s="7">
        <v>116</v>
      </c>
      <c r="D78" s="7"/>
      <c r="E78" s="7"/>
      <c r="F78" s="7">
        <v>29</v>
      </c>
      <c r="G78" s="7"/>
      <c r="H78" s="7"/>
      <c r="I78" s="7"/>
      <c r="J78" s="7"/>
      <c r="K78" s="7">
        <v>72</v>
      </c>
      <c r="L78" s="7"/>
      <c r="M78" s="7"/>
      <c r="N78" s="7"/>
      <c r="O78" s="7"/>
      <c r="P78" s="7">
        <v>43</v>
      </c>
      <c r="Q78" s="7"/>
      <c r="R78" s="7"/>
      <c r="S78" s="7"/>
      <c r="T78" s="7"/>
      <c r="U78" s="7">
        <v>12</v>
      </c>
      <c r="V78" s="7"/>
      <c r="W78" s="7"/>
      <c r="X78" s="7">
        <v>72</v>
      </c>
      <c r="Y78" s="7"/>
      <c r="Z78" s="7"/>
      <c r="AA78" s="7"/>
      <c r="AB78" s="7"/>
      <c r="AC78" s="7">
        <v>43</v>
      </c>
      <c r="AD78" s="7"/>
      <c r="AE78" s="7"/>
      <c r="AF78" s="7"/>
      <c r="AG78" s="7">
        <v>72</v>
      </c>
      <c r="AH78" s="7"/>
      <c r="AI78" s="7">
        <v>43</v>
      </c>
      <c r="AJ78" s="7">
        <v>502</v>
      </c>
    </row>
    <row r="79" spans="1:36" x14ac:dyDescent="0.3">
      <c r="A79" s="176" t="s">
        <v>1335</v>
      </c>
      <c r="B79" s="7"/>
      <c r="C79" s="7">
        <v>95</v>
      </c>
      <c r="D79" s="7"/>
      <c r="E79" s="7"/>
      <c r="F79" s="7">
        <v>24</v>
      </c>
      <c r="G79" s="7"/>
      <c r="H79" s="7"/>
      <c r="I79" s="7"/>
      <c r="J79" s="7"/>
      <c r="K79" s="7">
        <v>59</v>
      </c>
      <c r="L79" s="7"/>
      <c r="M79" s="7"/>
      <c r="N79" s="7"/>
      <c r="O79" s="7"/>
      <c r="P79" s="7">
        <v>35</v>
      </c>
      <c r="Q79" s="7"/>
      <c r="R79" s="7"/>
      <c r="S79" s="7"/>
      <c r="T79" s="7"/>
      <c r="U79" s="7">
        <v>9</v>
      </c>
      <c r="V79" s="7"/>
      <c r="W79" s="7"/>
      <c r="X79" s="7">
        <v>59</v>
      </c>
      <c r="Y79" s="7"/>
      <c r="Z79" s="7"/>
      <c r="AA79" s="7"/>
      <c r="AB79" s="7"/>
      <c r="AC79" s="7">
        <v>35</v>
      </c>
      <c r="AD79" s="7"/>
      <c r="AE79" s="7"/>
      <c r="AF79" s="7"/>
      <c r="AG79" s="7">
        <v>59</v>
      </c>
      <c r="AH79" s="7"/>
      <c r="AI79" s="7">
        <v>35</v>
      </c>
      <c r="AJ79" s="7">
        <v>410</v>
      </c>
    </row>
    <row r="80" spans="1:36" x14ac:dyDescent="0.3">
      <c r="A80" s="10">
        <v>2567</v>
      </c>
      <c r="B80" s="7"/>
      <c r="C80" s="7">
        <v>273</v>
      </c>
      <c r="D80" s="7"/>
      <c r="E80" s="7"/>
      <c r="F80" s="7"/>
      <c r="G80" s="7"/>
      <c r="H80" s="7"/>
      <c r="I80" s="7"/>
      <c r="J80" s="7">
        <v>103</v>
      </c>
      <c r="K80" s="7"/>
      <c r="L80" s="7"/>
      <c r="M80" s="7"/>
      <c r="N80" s="7"/>
      <c r="O80" s="7">
        <v>69</v>
      </c>
      <c r="P80" s="7"/>
      <c r="Q80" s="7"/>
      <c r="R80" s="7"/>
      <c r="S80" s="7"/>
      <c r="T80" s="7"/>
      <c r="U80" s="7">
        <v>27</v>
      </c>
      <c r="V80" s="7"/>
      <c r="W80" s="7">
        <v>135</v>
      </c>
      <c r="X80" s="7"/>
      <c r="Y80" s="7"/>
      <c r="Z80" s="7"/>
      <c r="AA80" s="7"/>
      <c r="AB80" s="7">
        <v>69</v>
      </c>
      <c r="AC80" s="7"/>
      <c r="AD80" s="7"/>
      <c r="AE80" s="7"/>
      <c r="AF80" s="7"/>
      <c r="AG80" s="7">
        <v>171</v>
      </c>
      <c r="AH80" s="7"/>
      <c r="AI80" s="7">
        <v>103</v>
      </c>
      <c r="AJ80" s="7">
        <v>950</v>
      </c>
    </row>
    <row r="81" spans="1:36" x14ac:dyDescent="0.3">
      <c r="A81" s="176" t="s">
        <v>1173</v>
      </c>
      <c r="B81" s="7"/>
      <c r="C81" s="7">
        <v>2</v>
      </c>
      <c r="D81" s="7"/>
      <c r="E81" s="7"/>
      <c r="F81" s="7"/>
      <c r="G81" s="7"/>
      <c r="H81" s="7"/>
      <c r="I81" s="7"/>
      <c r="J81" s="7">
        <v>1</v>
      </c>
      <c r="K81" s="7"/>
      <c r="L81" s="7"/>
      <c r="M81" s="7"/>
      <c r="N81" s="7"/>
      <c r="O81" s="7">
        <v>1</v>
      </c>
      <c r="P81" s="7"/>
      <c r="Q81" s="7"/>
      <c r="R81" s="7"/>
      <c r="S81" s="7"/>
      <c r="T81" s="7"/>
      <c r="U81" s="7">
        <v>0</v>
      </c>
      <c r="V81" s="7"/>
      <c r="W81" s="7">
        <v>1</v>
      </c>
      <c r="X81" s="7"/>
      <c r="Y81" s="7"/>
      <c r="Z81" s="7"/>
      <c r="AA81" s="7"/>
      <c r="AB81" s="7">
        <v>1</v>
      </c>
      <c r="AC81" s="7"/>
      <c r="AD81" s="7"/>
      <c r="AE81" s="7"/>
      <c r="AF81" s="7"/>
      <c r="AG81" s="7">
        <v>2</v>
      </c>
      <c r="AH81" s="7"/>
      <c r="AI81" s="7">
        <v>1</v>
      </c>
      <c r="AJ81" s="7">
        <v>9</v>
      </c>
    </row>
    <row r="82" spans="1:36" x14ac:dyDescent="0.3">
      <c r="A82" s="176" t="s">
        <v>1174</v>
      </c>
      <c r="B82" s="7"/>
      <c r="C82" s="7">
        <v>7</v>
      </c>
      <c r="D82" s="7"/>
      <c r="E82" s="7"/>
      <c r="F82" s="7"/>
      <c r="G82" s="7"/>
      <c r="H82" s="7"/>
      <c r="I82" s="7"/>
      <c r="J82" s="7">
        <v>3</v>
      </c>
      <c r="K82" s="7"/>
      <c r="L82" s="7"/>
      <c r="M82" s="7"/>
      <c r="N82" s="7"/>
      <c r="O82" s="7">
        <v>2</v>
      </c>
      <c r="P82" s="7"/>
      <c r="Q82" s="7"/>
      <c r="R82" s="7"/>
      <c r="S82" s="7"/>
      <c r="T82" s="7"/>
      <c r="U82" s="7">
        <v>1</v>
      </c>
      <c r="V82" s="7"/>
      <c r="W82" s="7">
        <v>3</v>
      </c>
      <c r="X82" s="7"/>
      <c r="Y82" s="7"/>
      <c r="Z82" s="7"/>
      <c r="AA82" s="7"/>
      <c r="AB82" s="7">
        <v>2</v>
      </c>
      <c r="AC82" s="7"/>
      <c r="AD82" s="7"/>
      <c r="AE82" s="7"/>
      <c r="AF82" s="7"/>
      <c r="AG82" s="7">
        <v>4</v>
      </c>
      <c r="AH82" s="7"/>
      <c r="AI82" s="7">
        <v>3</v>
      </c>
      <c r="AJ82" s="7">
        <v>25</v>
      </c>
    </row>
    <row r="83" spans="1:36" x14ac:dyDescent="0.3">
      <c r="A83" s="176" t="s">
        <v>1175</v>
      </c>
      <c r="B83" s="7"/>
      <c r="C83" s="7">
        <v>10</v>
      </c>
      <c r="D83" s="7"/>
      <c r="E83" s="7"/>
      <c r="F83" s="7"/>
      <c r="G83" s="7"/>
      <c r="H83" s="7"/>
      <c r="I83" s="7"/>
      <c r="J83" s="7">
        <v>4</v>
      </c>
      <c r="K83" s="7"/>
      <c r="L83" s="7"/>
      <c r="M83" s="7"/>
      <c r="N83" s="7"/>
      <c r="O83" s="7">
        <v>2</v>
      </c>
      <c r="P83" s="7"/>
      <c r="Q83" s="7"/>
      <c r="R83" s="7"/>
      <c r="S83" s="7"/>
      <c r="T83" s="7"/>
      <c r="U83" s="7">
        <v>1</v>
      </c>
      <c r="V83" s="7"/>
      <c r="W83" s="7">
        <v>5</v>
      </c>
      <c r="X83" s="7"/>
      <c r="Y83" s="7"/>
      <c r="Z83" s="7"/>
      <c r="AA83" s="7"/>
      <c r="AB83" s="7">
        <v>2</v>
      </c>
      <c r="AC83" s="7"/>
      <c r="AD83" s="7"/>
      <c r="AE83" s="7"/>
      <c r="AF83" s="7"/>
      <c r="AG83" s="7">
        <v>6</v>
      </c>
      <c r="AH83" s="7"/>
      <c r="AI83" s="7">
        <v>4</v>
      </c>
      <c r="AJ83" s="7">
        <v>34</v>
      </c>
    </row>
    <row r="84" spans="1:36" x14ac:dyDescent="0.3">
      <c r="A84" s="176" t="s">
        <v>1176</v>
      </c>
      <c r="B84" s="7"/>
      <c r="C84" s="7">
        <v>123</v>
      </c>
      <c r="D84" s="7"/>
      <c r="E84" s="7"/>
      <c r="F84" s="7"/>
      <c r="G84" s="7"/>
      <c r="H84" s="7"/>
      <c r="I84" s="7"/>
      <c r="J84" s="7">
        <v>46</v>
      </c>
      <c r="K84" s="7"/>
      <c r="L84" s="7"/>
      <c r="M84" s="7"/>
      <c r="N84" s="7"/>
      <c r="O84" s="7">
        <v>31</v>
      </c>
      <c r="P84" s="7"/>
      <c r="Q84" s="7"/>
      <c r="R84" s="7"/>
      <c r="S84" s="7"/>
      <c r="T84" s="7"/>
      <c r="U84" s="7">
        <v>12</v>
      </c>
      <c r="V84" s="7"/>
      <c r="W84" s="7">
        <v>61</v>
      </c>
      <c r="X84" s="7"/>
      <c r="Y84" s="7"/>
      <c r="Z84" s="7"/>
      <c r="AA84" s="7"/>
      <c r="AB84" s="7">
        <v>31</v>
      </c>
      <c r="AC84" s="7"/>
      <c r="AD84" s="7"/>
      <c r="AE84" s="7"/>
      <c r="AF84" s="7"/>
      <c r="AG84" s="7">
        <v>77</v>
      </c>
      <c r="AH84" s="7"/>
      <c r="AI84" s="7">
        <v>46</v>
      </c>
      <c r="AJ84" s="7">
        <v>427</v>
      </c>
    </row>
    <row r="85" spans="1:36" x14ac:dyDescent="0.3">
      <c r="A85" s="176" t="s">
        <v>1177</v>
      </c>
      <c r="B85" s="7"/>
      <c r="C85" s="7">
        <v>131</v>
      </c>
      <c r="D85" s="7"/>
      <c r="E85" s="7"/>
      <c r="F85" s="7"/>
      <c r="G85" s="7"/>
      <c r="H85" s="7"/>
      <c r="I85" s="7"/>
      <c r="J85" s="7">
        <v>49</v>
      </c>
      <c r="K85" s="7"/>
      <c r="L85" s="7"/>
      <c r="M85" s="7"/>
      <c r="N85" s="7"/>
      <c r="O85" s="7">
        <v>33</v>
      </c>
      <c r="P85" s="7"/>
      <c r="Q85" s="7"/>
      <c r="R85" s="7"/>
      <c r="S85" s="7"/>
      <c r="T85" s="7"/>
      <c r="U85" s="7">
        <v>13</v>
      </c>
      <c r="V85" s="7"/>
      <c r="W85" s="7">
        <v>65</v>
      </c>
      <c r="X85" s="7"/>
      <c r="Y85" s="7"/>
      <c r="Z85" s="7"/>
      <c r="AA85" s="7"/>
      <c r="AB85" s="7">
        <v>33</v>
      </c>
      <c r="AC85" s="7"/>
      <c r="AD85" s="7"/>
      <c r="AE85" s="7"/>
      <c r="AF85" s="7"/>
      <c r="AG85" s="7">
        <v>82</v>
      </c>
      <c r="AH85" s="7"/>
      <c r="AI85" s="7">
        <v>49</v>
      </c>
      <c r="AJ85" s="7">
        <v>455</v>
      </c>
    </row>
    <row r="86" spans="1:36" x14ac:dyDescent="0.3">
      <c r="A86" s="10">
        <v>2568</v>
      </c>
      <c r="B86" s="7">
        <v>122</v>
      </c>
      <c r="C86" s="7"/>
      <c r="D86" s="7"/>
      <c r="E86" s="7"/>
      <c r="F86" s="7">
        <v>62</v>
      </c>
      <c r="G86" s="7"/>
      <c r="H86" s="7"/>
      <c r="I86" s="7">
        <v>31</v>
      </c>
      <c r="J86" s="7"/>
      <c r="K86" s="7"/>
      <c r="L86" s="7"/>
      <c r="M86" s="7"/>
      <c r="N86" s="7">
        <v>43</v>
      </c>
      <c r="O86" s="7"/>
      <c r="P86" s="7"/>
      <c r="Q86" s="7"/>
      <c r="R86" s="7"/>
      <c r="S86" s="7">
        <v>12</v>
      </c>
      <c r="T86" s="7"/>
      <c r="U86" s="7"/>
      <c r="V86" s="7">
        <v>31</v>
      </c>
      <c r="W86" s="7"/>
      <c r="X86" s="7"/>
      <c r="Y86" s="7"/>
      <c r="Z86" s="7"/>
      <c r="AA86" s="7">
        <v>43</v>
      </c>
      <c r="AB86" s="7"/>
      <c r="AC86" s="7"/>
      <c r="AD86" s="7"/>
      <c r="AE86" s="7"/>
      <c r="AF86" s="7">
        <v>62</v>
      </c>
      <c r="AG86" s="7"/>
      <c r="AH86" s="7">
        <v>62</v>
      </c>
      <c r="AI86" s="7"/>
      <c r="AJ86" s="7">
        <v>468</v>
      </c>
    </row>
    <row r="87" spans="1:36" x14ac:dyDescent="0.3">
      <c r="A87" s="176" t="s">
        <v>1329</v>
      </c>
      <c r="B87" s="7">
        <v>63</v>
      </c>
      <c r="C87" s="7"/>
      <c r="D87" s="7"/>
      <c r="E87" s="7"/>
      <c r="F87" s="7">
        <v>32</v>
      </c>
      <c r="G87" s="7"/>
      <c r="H87" s="7"/>
      <c r="I87" s="7">
        <v>16</v>
      </c>
      <c r="J87" s="7"/>
      <c r="K87" s="7"/>
      <c r="L87" s="7"/>
      <c r="M87" s="7"/>
      <c r="N87" s="7">
        <v>22</v>
      </c>
      <c r="O87" s="7"/>
      <c r="P87" s="7"/>
      <c r="Q87" s="7"/>
      <c r="R87" s="7"/>
      <c r="S87" s="7">
        <v>6</v>
      </c>
      <c r="T87" s="7"/>
      <c r="U87" s="7"/>
      <c r="V87" s="7">
        <v>16</v>
      </c>
      <c r="W87" s="7"/>
      <c r="X87" s="7"/>
      <c r="Y87" s="7"/>
      <c r="Z87" s="7"/>
      <c r="AA87" s="7">
        <v>22</v>
      </c>
      <c r="AB87" s="7"/>
      <c r="AC87" s="7"/>
      <c r="AD87" s="7"/>
      <c r="AE87" s="7"/>
      <c r="AF87" s="7">
        <v>32</v>
      </c>
      <c r="AG87" s="7"/>
      <c r="AH87" s="7">
        <v>32</v>
      </c>
      <c r="AI87" s="7"/>
      <c r="AJ87" s="7">
        <v>241</v>
      </c>
    </row>
    <row r="88" spans="1:36" x14ac:dyDescent="0.3">
      <c r="A88" s="176" t="s">
        <v>1330</v>
      </c>
      <c r="B88" s="7">
        <v>59</v>
      </c>
      <c r="C88" s="7"/>
      <c r="D88" s="7"/>
      <c r="E88" s="7"/>
      <c r="F88" s="7">
        <v>30</v>
      </c>
      <c r="G88" s="7"/>
      <c r="H88" s="7"/>
      <c r="I88" s="7">
        <v>15</v>
      </c>
      <c r="J88" s="7"/>
      <c r="K88" s="7"/>
      <c r="L88" s="7"/>
      <c r="M88" s="7"/>
      <c r="N88" s="7">
        <v>21</v>
      </c>
      <c r="O88" s="7"/>
      <c r="P88" s="7"/>
      <c r="Q88" s="7"/>
      <c r="R88" s="7"/>
      <c r="S88" s="7">
        <v>6</v>
      </c>
      <c r="T88" s="7"/>
      <c r="U88" s="7"/>
      <c r="V88" s="7">
        <v>15</v>
      </c>
      <c r="W88" s="7"/>
      <c r="X88" s="7"/>
      <c r="Y88" s="7"/>
      <c r="Z88" s="7"/>
      <c r="AA88" s="7">
        <v>21</v>
      </c>
      <c r="AB88" s="7"/>
      <c r="AC88" s="7"/>
      <c r="AD88" s="7"/>
      <c r="AE88" s="7"/>
      <c r="AF88" s="7">
        <v>30</v>
      </c>
      <c r="AG88" s="7"/>
      <c r="AH88" s="7">
        <v>30</v>
      </c>
      <c r="AI88" s="7"/>
      <c r="AJ88" s="7">
        <v>227</v>
      </c>
    </row>
    <row r="89" spans="1:36" x14ac:dyDescent="0.3">
      <c r="A89" s="10" t="s">
        <v>1132</v>
      </c>
      <c r="B89" s="7"/>
      <c r="C89" s="7"/>
      <c r="D89" s="7">
        <v>1033</v>
      </c>
      <c r="E89" s="7"/>
      <c r="F89" s="7"/>
      <c r="G89" s="7">
        <v>516</v>
      </c>
      <c r="H89" s="7"/>
      <c r="I89" s="7"/>
      <c r="J89" s="7"/>
      <c r="K89" s="7"/>
      <c r="L89" s="7">
        <v>516</v>
      </c>
      <c r="M89" s="7"/>
      <c r="N89" s="7"/>
      <c r="O89" s="7"/>
      <c r="P89" s="7"/>
      <c r="Q89" s="7">
        <v>344</v>
      </c>
      <c r="R89" s="7"/>
      <c r="S89" s="7"/>
      <c r="T89" s="7"/>
      <c r="U89" s="7">
        <v>67</v>
      </c>
      <c r="V89" s="7"/>
      <c r="W89" s="7"/>
      <c r="X89" s="7"/>
      <c r="Y89" s="7">
        <v>516</v>
      </c>
      <c r="Z89" s="7"/>
      <c r="AA89" s="7"/>
      <c r="AB89" s="7"/>
      <c r="AC89" s="7"/>
      <c r="AD89" s="7">
        <v>344</v>
      </c>
      <c r="AE89" s="7"/>
      <c r="AF89" s="7"/>
      <c r="AG89" s="7"/>
      <c r="AH89" s="7"/>
      <c r="AI89" s="7"/>
      <c r="AJ89" s="7">
        <v>3336</v>
      </c>
    </row>
    <row r="90" spans="1:36" x14ac:dyDescent="0.3">
      <c r="A90" s="176" t="s">
        <v>1343</v>
      </c>
      <c r="B90" s="7"/>
      <c r="C90" s="7"/>
      <c r="D90" s="7">
        <v>7</v>
      </c>
      <c r="E90" s="7"/>
      <c r="F90" s="7"/>
      <c r="G90" s="7">
        <v>3</v>
      </c>
      <c r="H90" s="7"/>
      <c r="I90" s="7"/>
      <c r="J90" s="7"/>
      <c r="K90" s="7"/>
      <c r="L90" s="7">
        <v>3</v>
      </c>
      <c r="M90" s="7"/>
      <c r="N90" s="7"/>
      <c r="O90" s="7"/>
      <c r="P90" s="7"/>
      <c r="Q90" s="7">
        <v>2</v>
      </c>
      <c r="R90" s="7"/>
      <c r="S90" s="7"/>
      <c r="T90" s="7"/>
      <c r="U90" s="7">
        <v>0</v>
      </c>
      <c r="V90" s="7"/>
      <c r="W90" s="7"/>
      <c r="X90" s="7"/>
      <c r="Y90" s="7">
        <v>3</v>
      </c>
      <c r="Z90" s="7"/>
      <c r="AA90" s="7"/>
      <c r="AB90" s="7"/>
      <c r="AC90" s="7"/>
      <c r="AD90" s="7">
        <v>2</v>
      </c>
      <c r="AE90" s="7"/>
      <c r="AF90" s="7"/>
      <c r="AG90" s="7"/>
      <c r="AH90" s="7"/>
      <c r="AI90" s="7"/>
      <c r="AJ90" s="7">
        <v>20</v>
      </c>
    </row>
    <row r="91" spans="1:36" x14ac:dyDescent="0.3">
      <c r="A91" s="176" t="s">
        <v>1267</v>
      </c>
      <c r="B91" s="7"/>
      <c r="C91" s="7"/>
      <c r="D91" s="7">
        <v>170</v>
      </c>
      <c r="E91" s="7"/>
      <c r="F91" s="7"/>
      <c r="G91" s="7">
        <v>85</v>
      </c>
      <c r="H91" s="7"/>
      <c r="I91" s="7"/>
      <c r="J91" s="7"/>
      <c r="K91" s="7"/>
      <c r="L91" s="7">
        <v>85</v>
      </c>
      <c r="M91" s="7"/>
      <c r="N91" s="7"/>
      <c r="O91" s="7"/>
      <c r="P91" s="7"/>
      <c r="Q91" s="7">
        <v>57</v>
      </c>
      <c r="R91" s="7"/>
      <c r="S91" s="7"/>
      <c r="T91" s="7"/>
      <c r="U91" s="7">
        <v>11</v>
      </c>
      <c r="V91" s="7"/>
      <c r="W91" s="7"/>
      <c r="X91" s="7"/>
      <c r="Y91" s="7">
        <v>85</v>
      </c>
      <c r="Z91" s="7"/>
      <c r="AA91" s="7"/>
      <c r="AB91" s="7"/>
      <c r="AC91" s="7"/>
      <c r="AD91" s="7">
        <v>57</v>
      </c>
      <c r="AE91" s="7"/>
      <c r="AF91" s="7"/>
      <c r="AG91" s="7"/>
      <c r="AH91" s="7"/>
      <c r="AI91" s="7"/>
      <c r="AJ91" s="7">
        <v>550</v>
      </c>
    </row>
    <row r="92" spans="1:36" x14ac:dyDescent="0.3">
      <c r="A92" s="176" t="s">
        <v>1281</v>
      </c>
      <c r="B92" s="7"/>
      <c r="C92" s="7"/>
      <c r="D92" s="7">
        <v>241</v>
      </c>
      <c r="E92" s="7"/>
      <c r="F92" s="7"/>
      <c r="G92" s="7">
        <v>121</v>
      </c>
      <c r="H92" s="7"/>
      <c r="I92" s="7"/>
      <c r="J92" s="7"/>
      <c r="K92" s="7"/>
      <c r="L92" s="7">
        <v>121</v>
      </c>
      <c r="M92" s="7"/>
      <c r="N92" s="7"/>
      <c r="O92" s="7"/>
      <c r="P92" s="7"/>
      <c r="Q92" s="7">
        <v>80</v>
      </c>
      <c r="R92" s="7"/>
      <c r="S92" s="7"/>
      <c r="T92" s="7"/>
      <c r="U92" s="7">
        <v>16</v>
      </c>
      <c r="V92" s="7"/>
      <c r="W92" s="7"/>
      <c r="X92" s="7"/>
      <c r="Y92" s="7">
        <v>121</v>
      </c>
      <c r="Z92" s="7"/>
      <c r="AA92" s="7"/>
      <c r="AB92" s="7"/>
      <c r="AC92" s="7"/>
      <c r="AD92" s="7">
        <v>80</v>
      </c>
      <c r="AE92" s="7"/>
      <c r="AF92" s="7"/>
      <c r="AG92" s="7"/>
      <c r="AH92" s="7"/>
      <c r="AI92" s="7"/>
      <c r="AJ92" s="7">
        <v>780</v>
      </c>
    </row>
    <row r="93" spans="1:36" x14ac:dyDescent="0.3">
      <c r="A93" s="176" t="s">
        <v>1135</v>
      </c>
      <c r="B93" s="7"/>
      <c r="C93" s="7"/>
      <c r="D93" s="7">
        <v>255</v>
      </c>
      <c r="E93" s="7"/>
      <c r="F93" s="7"/>
      <c r="G93" s="7">
        <v>127</v>
      </c>
      <c r="H93" s="7"/>
      <c r="I93" s="7"/>
      <c r="J93" s="7"/>
      <c r="K93" s="7"/>
      <c r="L93" s="7">
        <v>127</v>
      </c>
      <c r="M93" s="7"/>
      <c r="N93" s="7"/>
      <c r="O93" s="7"/>
      <c r="P93" s="7"/>
      <c r="Q93" s="7">
        <v>85</v>
      </c>
      <c r="R93" s="7"/>
      <c r="S93" s="7"/>
      <c r="T93" s="7"/>
      <c r="U93" s="7">
        <v>17</v>
      </c>
      <c r="V93" s="7"/>
      <c r="W93" s="7"/>
      <c r="X93" s="7"/>
      <c r="Y93" s="7">
        <v>127</v>
      </c>
      <c r="Z93" s="7"/>
      <c r="AA93" s="7"/>
      <c r="AB93" s="7"/>
      <c r="AC93" s="7"/>
      <c r="AD93" s="7">
        <v>85</v>
      </c>
      <c r="AE93" s="7"/>
      <c r="AF93" s="7"/>
      <c r="AG93" s="7"/>
      <c r="AH93" s="7"/>
      <c r="AI93" s="7"/>
      <c r="AJ93" s="7">
        <v>823</v>
      </c>
    </row>
    <row r="94" spans="1:36" x14ac:dyDescent="0.3">
      <c r="A94" s="176" t="s">
        <v>1339</v>
      </c>
      <c r="B94" s="7"/>
      <c r="C94" s="7"/>
      <c r="D94" s="7">
        <v>172</v>
      </c>
      <c r="E94" s="7"/>
      <c r="F94" s="7"/>
      <c r="G94" s="7">
        <v>86</v>
      </c>
      <c r="H94" s="7"/>
      <c r="I94" s="7"/>
      <c r="J94" s="7"/>
      <c r="K94" s="7"/>
      <c r="L94" s="7">
        <v>86</v>
      </c>
      <c r="M94" s="7"/>
      <c r="N94" s="7"/>
      <c r="O94" s="7"/>
      <c r="P94" s="7"/>
      <c r="Q94" s="7">
        <v>57</v>
      </c>
      <c r="R94" s="7"/>
      <c r="S94" s="7"/>
      <c r="T94" s="7"/>
      <c r="U94" s="7">
        <v>11</v>
      </c>
      <c r="V94" s="7"/>
      <c r="W94" s="7"/>
      <c r="X94" s="7"/>
      <c r="Y94" s="7">
        <v>86</v>
      </c>
      <c r="Z94" s="7"/>
      <c r="AA94" s="7"/>
      <c r="AB94" s="7"/>
      <c r="AC94" s="7"/>
      <c r="AD94" s="7">
        <v>57</v>
      </c>
      <c r="AE94" s="7"/>
      <c r="AF94" s="7"/>
      <c r="AG94" s="7"/>
      <c r="AH94" s="7"/>
      <c r="AI94" s="7"/>
      <c r="AJ94" s="7">
        <v>555</v>
      </c>
    </row>
    <row r="95" spans="1:36" x14ac:dyDescent="0.3">
      <c r="A95" s="176" t="s">
        <v>1341</v>
      </c>
      <c r="B95" s="7"/>
      <c r="C95" s="7"/>
      <c r="D95" s="7">
        <v>182</v>
      </c>
      <c r="E95" s="7"/>
      <c r="F95" s="7"/>
      <c r="G95" s="7">
        <v>91</v>
      </c>
      <c r="H95" s="7"/>
      <c r="I95" s="7"/>
      <c r="J95" s="7"/>
      <c r="K95" s="7"/>
      <c r="L95" s="7">
        <v>91</v>
      </c>
      <c r="M95" s="7"/>
      <c r="N95" s="7"/>
      <c r="O95" s="7"/>
      <c r="P95" s="7"/>
      <c r="Q95" s="7">
        <v>61</v>
      </c>
      <c r="R95" s="7"/>
      <c r="S95" s="7"/>
      <c r="T95" s="7"/>
      <c r="U95" s="7">
        <v>12</v>
      </c>
      <c r="V95" s="7"/>
      <c r="W95" s="7"/>
      <c r="X95" s="7"/>
      <c r="Y95" s="7">
        <v>91</v>
      </c>
      <c r="Z95" s="7"/>
      <c r="AA95" s="7"/>
      <c r="AB95" s="7"/>
      <c r="AC95" s="7"/>
      <c r="AD95" s="7">
        <v>61</v>
      </c>
      <c r="AE95" s="7"/>
      <c r="AF95" s="7"/>
      <c r="AG95" s="7"/>
      <c r="AH95" s="7"/>
      <c r="AI95" s="7"/>
      <c r="AJ95" s="7">
        <v>589</v>
      </c>
    </row>
    <row r="96" spans="1:36" x14ac:dyDescent="0.3">
      <c r="A96" s="176" t="s">
        <v>1350</v>
      </c>
      <c r="B96" s="7"/>
      <c r="C96" s="7"/>
      <c r="D96" s="7">
        <v>6</v>
      </c>
      <c r="E96" s="7"/>
      <c r="F96" s="7"/>
      <c r="G96" s="7">
        <v>3</v>
      </c>
      <c r="H96" s="7"/>
      <c r="I96" s="7"/>
      <c r="J96" s="7"/>
      <c r="K96" s="7"/>
      <c r="L96" s="7">
        <v>3</v>
      </c>
      <c r="M96" s="7"/>
      <c r="N96" s="7"/>
      <c r="O96" s="7"/>
      <c r="P96" s="7"/>
      <c r="Q96" s="7">
        <v>2</v>
      </c>
      <c r="R96" s="7"/>
      <c r="S96" s="7"/>
      <c r="T96" s="7"/>
      <c r="U96" s="7">
        <v>0</v>
      </c>
      <c r="V96" s="7"/>
      <c r="W96" s="7"/>
      <c r="X96" s="7"/>
      <c r="Y96" s="7">
        <v>3</v>
      </c>
      <c r="Z96" s="7"/>
      <c r="AA96" s="7"/>
      <c r="AB96" s="7"/>
      <c r="AC96" s="7"/>
      <c r="AD96" s="7">
        <v>2</v>
      </c>
      <c r="AE96" s="7"/>
      <c r="AF96" s="7"/>
      <c r="AG96" s="7"/>
      <c r="AH96" s="7"/>
      <c r="AI96" s="7"/>
      <c r="AJ96" s="7">
        <v>19</v>
      </c>
    </row>
    <row r="97" spans="1:36" x14ac:dyDescent="0.3">
      <c r="A97" s="10" t="s">
        <v>1138</v>
      </c>
      <c r="B97" s="7"/>
      <c r="C97" s="7"/>
      <c r="D97" s="7"/>
      <c r="E97" s="7">
        <v>2812</v>
      </c>
      <c r="F97" s="7"/>
      <c r="G97" s="7"/>
      <c r="H97" s="7">
        <v>1409</v>
      </c>
      <c r="I97" s="7"/>
      <c r="J97" s="7"/>
      <c r="K97" s="7"/>
      <c r="L97" s="7"/>
      <c r="M97" s="7">
        <v>1232</v>
      </c>
      <c r="N97" s="7"/>
      <c r="O97" s="7"/>
      <c r="P97" s="7"/>
      <c r="Q97" s="7"/>
      <c r="R97" s="7">
        <v>880</v>
      </c>
      <c r="S97" s="7"/>
      <c r="T97" s="7"/>
      <c r="U97" s="7">
        <v>141</v>
      </c>
      <c r="V97" s="7"/>
      <c r="W97" s="7"/>
      <c r="X97" s="7"/>
      <c r="Y97" s="7"/>
      <c r="Z97" s="7">
        <v>1232</v>
      </c>
      <c r="AA97" s="7"/>
      <c r="AB97" s="7"/>
      <c r="AC97" s="7"/>
      <c r="AD97" s="7"/>
      <c r="AE97" s="7">
        <v>880</v>
      </c>
      <c r="AF97" s="7"/>
      <c r="AG97" s="7"/>
      <c r="AH97" s="7"/>
      <c r="AI97" s="7"/>
      <c r="AJ97" s="7">
        <v>8586</v>
      </c>
    </row>
    <row r="98" spans="1:36" x14ac:dyDescent="0.3">
      <c r="A98" s="176" t="s">
        <v>1336</v>
      </c>
      <c r="B98" s="7"/>
      <c r="C98" s="7"/>
      <c r="D98" s="7"/>
      <c r="E98" s="7">
        <v>17</v>
      </c>
      <c r="F98" s="7"/>
      <c r="G98" s="7"/>
      <c r="H98" s="7">
        <v>9</v>
      </c>
      <c r="I98" s="7"/>
      <c r="J98" s="7"/>
      <c r="K98" s="7"/>
      <c r="L98" s="7"/>
      <c r="M98" s="7">
        <v>7</v>
      </c>
      <c r="N98" s="7"/>
      <c r="O98" s="7"/>
      <c r="P98" s="7"/>
      <c r="Q98" s="7"/>
      <c r="R98" s="7">
        <v>5</v>
      </c>
      <c r="S98" s="7"/>
      <c r="T98" s="7"/>
      <c r="U98" s="7">
        <v>1</v>
      </c>
      <c r="V98" s="7"/>
      <c r="W98" s="7"/>
      <c r="X98" s="7"/>
      <c r="Y98" s="7"/>
      <c r="Z98" s="7">
        <v>7</v>
      </c>
      <c r="AA98" s="7"/>
      <c r="AB98" s="7"/>
      <c r="AC98" s="7"/>
      <c r="AD98" s="7"/>
      <c r="AE98" s="7">
        <v>5</v>
      </c>
      <c r="AF98" s="7"/>
      <c r="AG98" s="7"/>
      <c r="AH98" s="7"/>
      <c r="AI98" s="7"/>
      <c r="AJ98" s="7">
        <v>51</v>
      </c>
    </row>
    <row r="99" spans="1:36" x14ac:dyDescent="0.3">
      <c r="A99" s="176" t="s">
        <v>1337</v>
      </c>
      <c r="B99" s="7"/>
      <c r="C99" s="7"/>
      <c r="D99" s="7"/>
      <c r="E99" s="7">
        <v>225</v>
      </c>
      <c r="F99" s="7"/>
      <c r="G99" s="7"/>
      <c r="H99" s="7">
        <v>113</v>
      </c>
      <c r="I99" s="7"/>
      <c r="J99" s="7"/>
      <c r="K99" s="7"/>
      <c r="L99" s="7"/>
      <c r="M99" s="7">
        <v>99</v>
      </c>
      <c r="N99" s="7"/>
      <c r="O99" s="7"/>
      <c r="P99" s="7"/>
      <c r="Q99" s="7"/>
      <c r="R99" s="7">
        <v>70</v>
      </c>
      <c r="S99" s="7"/>
      <c r="T99" s="7"/>
      <c r="U99" s="7">
        <v>11</v>
      </c>
      <c r="V99" s="7"/>
      <c r="W99" s="7"/>
      <c r="X99" s="7"/>
      <c r="Y99" s="7"/>
      <c r="Z99" s="7">
        <v>99</v>
      </c>
      <c r="AA99" s="7"/>
      <c r="AB99" s="7"/>
      <c r="AC99" s="7"/>
      <c r="AD99" s="7"/>
      <c r="AE99" s="7">
        <v>70</v>
      </c>
      <c r="AF99" s="7"/>
      <c r="AG99" s="7"/>
      <c r="AH99" s="7"/>
      <c r="AI99" s="7"/>
      <c r="AJ99" s="7">
        <v>687</v>
      </c>
    </row>
    <row r="100" spans="1:36" x14ac:dyDescent="0.3">
      <c r="A100" s="176" t="s">
        <v>1346</v>
      </c>
      <c r="B100" s="7"/>
      <c r="C100" s="7"/>
      <c r="D100" s="7"/>
      <c r="E100" s="7">
        <v>256</v>
      </c>
      <c r="F100" s="7"/>
      <c r="G100" s="7"/>
      <c r="H100" s="7">
        <v>128</v>
      </c>
      <c r="I100" s="7"/>
      <c r="J100" s="7"/>
      <c r="K100" s="7"/>
      <c r="L100" s="7"/>
      <c r="M100" s="7">
        <v>112</v>
      </c>
      <c r="N100" s="7"/>
      <c r="O100" s="7"/>
      <c r="P100" s="7"/>
      <c r="Q100" s="7"/>
      <c r="R100" s="7">
        <v>80</v>
      </c>
      <c r="S100" s="7"/>
      <c r="T100" s="7"/>
      <c r="U100" s="7">
        <v>13</v>
      </c>
      <c r="V100" s="7"/>
      <c r="W100" s="7"/>
      <c r="X100" s="7"/>
      <c r="Y100" s="7"/>
      <c r="Z100" s="7">
        <v>112</v>
      </c>
      <c r="AA100" s="7"/>
      <c r="AB100" s="7"/>
      <c r="AC100" s="7"/>
      <c r="AD100" s="7"/>
      <c r="AE100" s="7">
        <v>80</v>
      </c>
      <c r="AF100" s="7"/>
      <c r="AG100" s="7"/>
      <c r="AH100" s="7"/>
      <c r="AI100" s="7"/>
      <c r="AJ100" s="7">
        <v>781</v>
      </c>
    </row>
    <row r="101" spans="1:36" x14ac:dyDescent="0.3">
      <c r="A101" s="176" t="s">
        <v>1347</v>
      </c>
      <c r="B101" s="7"/>
      <c r="C101" s="7"/>
      <c r="D101" s="7"/>
      <c r="E101" s="7">
        <v>241</v>
      </c>
      <c r="F101" s="7"/>
      <c r="G101" s="7"/>
      <c r="H101" s="7">
        <v>121</v>
      </c>
      <c r="I101" s="7"/>
      <c r="J101" s="7"/>
      <c r="K101" s="7"/>
      <c r="L101" s="7"/>
      <c r="M101" s="7">
        <v>106</v>
      </c>
      <c r="N101" s="7"/>
      <c r="O101" s="7"/>
      <c r="P101" s="7"/>
      <c r="Q101" s="7"/>
      <c r="R101" s="7">
        <v>75</v>
      </c>
      <c r="S101" s="7"/>
      <c r="T101" s="7"/>
      <c r="U101" s="7">
        <v>12</v>
      </c>
      <c r="V101" s="7"/>
      <c r="W101" s="7"/>
      <c r="X101" s="7"/>
      <c r="Y101" s="7"/>
      <c r="Z101" s="7">
        <v>106</v>
      </c>
      <c r="AA101" s="7"/>
      <c r="AB101" s="7"/>
      <c r="AC101" s="7"/>
      <c r="AD101" s="7"/>
      <c r="AE101" s="7">
        <v>75</v>
      </c>
      <c r="AF101" s="7"/>
      <c r="AG101" s="7"/>
      <c r="AH101" s="7"/>
      <c r="AI101" s="7"/>
      <c r="AJ101" s="7">
        <v>736</v>
      </c>
    </row>
    <row r="102" spans="1:36" x14ac:dyDescent="0.3">
      <c r="A102" s="176" t="s">
        <v>1351</v>
      </c>
      <c r="B102" s="7"/>
      <c r="C102" s="7"/>
      <c r="D102" s="7"/>
      <c r="E102" s="7">
        <v>112</v>
      </c>
      <c r="F102" s="7"/>
      <c r="G102" s="7"/>
      <c r="H102" s="7">
        <v>56</v>
      </c>
      <c r="I102" s="7"/>
      <c r="J102" s="7"/>
      <c r="K102" s="7"/>
      <c r="L102" s="7"/>
      <c r="M102" s="7">
        <v>49</v>
      </c>
      <c r="N102" s="7"/>
      <c r="O102" s="7"/>
      <c r="P102" s="7"/>
      <c r="Q102" s="7"/>
      <c r="R102" s="7">
        <v>35</v>
      </c>
      <c r="S102" s="7"/>
      <c r="T102" s="7"/>
      <c r="U102" s="7">
        <v>6</v>
      </c>
      <c r="V102" s="7"/>
      <c r="W102" s="7"/>
      <c r="X102" s="7"/>
      <c r="Y102" s="7"/>
      <c r="Z102" s="7">
        <v>49</v>
      </c>
      <c r="AA102" s="7"/>
      <c r="AB102" s="7"/>
      <c r="AC102" s="7"/>
      <c r="AD102" s="7"/>
      <c r="AE102" s="7">
        <v>35</v>
      </c>
      <c r="AF102" s="7"/>
      <c r="AG102" s="7"/>
      <c r="AH102" s="7"/>
      <c r="AI102" s="7"/>
      <c r="AJ102" s="7">
        <v>342</v>
      </c>
    </row>
    <row r="103" spans="1:36" x14ac:dyDescent="0.3">
      <c r="A103" s="176" t="s">
        <v>1277</v>
      </c>
      <c r="B103" s="7"/>
      <c r="C103" s="7"/>
      <c r="D103" s="7"/>
      <c r="E103" s="7">
        <v>338</v>
      </c>
      <c r="F103" s="7"/>
      <c r="G103" s="7"/>
      <c r="H103" s="7">
        <v>169</v>
      </c>
      <c r="I103" s="7"/>
      <c r="J103" s="7"/>
      <c r="K103" s="7"/>
      <c r="L103" s="7"/>
      <c r="M103" s="7">
        <v>148</v>
      </c>
      <c r="N103" s="7"/>
      <c r="O103" s="7"/>
      <c r="P103" s="7"/>
      <c r="Q103" s="7"/>
      <c r="R103" s="7">
        <v>106</v>
      </c>
      <c r="S103" s="7"/>
      <c r="T103" s="7"/>
      <c r="U103" s="7">
        <v>17</v>
      </c>
      <c r="V103" s="7"/>
      <c r="W103" s="7"/>
      <c r="X103" s="7"/>
      <c r="Y103" s="7"/>
      <c r="Z103" s="7">
        <v>148</v>
      </c>
      <c r="AA103" s="7"/>
      <c r="AB103" s="7"/>
      <c r="AC103" s="7"/>
      <c r="AD103" s="7"/>
      <c r="AE103" s="7">
        <v>106</v>
      </c>
      <c r="AF103" s="7"/>
      <c r="AG103" s="7"/>
      <c r="AH103" s="7"/>
      <c r="AI103" s="7"/>
      <c r="AJ103" s="7">
        <v>1032</v>
      </c>
    </row>
    <row r="104" spans="1:36" x14ac:dyDescent="0.3">
      <c r="A104" s="176" t="s">
        <v>1137</v>
      </c>
      <c r="B104" s="7"/>
      <c r="C104" s="7"/>
      <c r="D104" s="7"/>
      <c r="E104" s="7">
        <v>341</v>
      </c>
      <c r="F104" s="7"/>
      <c r="G104" s="7"/>
      <c r="H104" s="7">
        <v>171</v>
      </c>
      <c r="I104" s="7"/>
      <c r="J104" s="7"/>
      <c r="K104" s="7"/>
      <c r="L104" s="7"/>
      <c r="M104" s="7">
        <v>149</v>
      </c>
      <c r="N104" s="7"/>
      <c r="O104" s="7"/>
      <c r="P104" s="7"/>
      <c r="Q104" s="7"/>
      <c r="R104" s="7">
        <v>107</v>
      </c>
      <c r="S104" s="7"/>
      <c r="T104" s="7"/>
      <c r="U104" s="7">
        <v>17</v>
      </c>
      <c r="V104" s="7"/>
      <c r="W104" s="7"/>
      <c r="X104" s="7"/>
      <c r="Y104" s="7"/>
      <c r="Z104" s="7">
        <v>149</v>
      </c>
      <c r="AA104" s="7"/>
      <c r="AB104" s="7"/>
      <c r="AC104" s="7"/>
      <c r="AD104" s="7"/>
      <c r="AE104" s="7">
        <v>107</v>
      </c>
      <c r="AF104" s="7"/>
      <c r="AG104" s="7"/>
      <c r="AH104" s="7"/>
      <c r="AI104" s="7"/>
      <c r="AJ104" s="7">
        <v>1041</v>
      </c>
    </row>
    <row r="105" spans="1:36" x14ac:dyDescent="0.3">
      <c r="A105" s="176" t="s">
        <v>1139</v>
      </c>
      <c r="B105" s="7"/>
      <c r="C105" s="7"/>
      <c r="D105" s="7"/>
      <c r="E105" s="7">
        <v>133</v>
      </c>
      <c r="F105" s="7"/>
      <c r="G105" s="7"/>
      <c r="H105" s="7">
        <v>67</v>
      </c>
      <c r="I105" s="7"/>
      <c r="J105" s="7"/>
      <c r="K105" s="7"/>
      <c r="L105" s="7"/>
      <c r="M105" s="7">
        <v>58</v>
      </c>
      <c r="N105" s="7"/>
      <c r="O105" s="7"/>
      <c r="P105" s="7"/>
      <c r="Q105" s="7"/>
      <c r="R105" s="7">
        <v>42</v>
      </c>
      <c r="S105" s="7"/>
      <c r="T105" s="7"/>
      <c r="U105" s="7">
        <v>7</v>
      </c>
      <c r="V105" s="7"/>
      <c r="W105" s="7"/>
      <c r="X105" s="7"/>
      <c r="Y105" s="7"/>
      <c r="Z105" s="7">
        <v>58</v>
      </c>
      <c r="AA105" s="7"/>
      <c r="AB105" s="7"/>
      <c r="AC105" s="7"/>
      <c r="AD105" s="7"/>
      <c r="AE105" s="7">
        <v>42</v>
      </c>
      <c r="AF105" s="7"/>
      <c r="AG105" s="7"/>
      <c r="AH105" s="7"/>
      <c r="AI105" s="7"/>
      <c r="AJ105" s="7">
        <v>407</v>
      </c>
    </row>
    <row r="106" spans="1:36" x14ac:dyDescent="0.3">
      <c r="A106" s="176" t="s">
        <v>1338</v>
      </c>
      <c r="B106" s="7"/>
      <c r="C106" s="7"/>
      <c r="D106" s="7"/>
      <c r="E106" s="7">
        <v>235</v>
      </c>
      <c r="F106" s="7"/>
      <c r="G106" s="7"/>
      <c r="H106" s="7">
        <v>117</v>
      </c>
      <c r="I106" s="7"/>
      <c r="J106" s="7"/>
      <c r="K106" s="7"/>
      <c r="L106" s="7"/>
      <c r="M106" s="7">
        <v>103</v>
      </c>
      <c r="N106" s="7"/>
      <c r="O106" s="7"/>
      <c r="P106" s="7"/>
      <c r="Q106" s="7"/>
      <c r="R106" s="7">
        <v>73</v>
      </c>
      <c r="S106" s="7"/>
      <c r="T106" s="7"/>
      <c r="U106" s="7">
        <v>12</v>
      </c>
      <c r="V106" s="7"/>
      <c r="W106" s="7"/>
      <c r="X106" s="7"/>
      <c r="Y106" s="7"/>
      <c r="Z106" s="7">
        <v>103</v>
      </c>
      <c r="AA106" s="7"/>
      <c r="AB106" s="7"/>
      <c r="AC106" s="7"/>
      <c r="AD106" s="7"/>
      <c r="AE106" s="7">
        <v>73</v>
      </c>
      <c r="AF106" s="7"/>
      <c r="AG106" s="7"/>
      <c r="AH106" s="7"/>
      <c r="AI106" s="7"/>
      <c r="AJ106" s="7">
        <v>716</v>
      </c>
    </row>
    <row r="107" spans="1:36" x14ac:dyDescent="0.3">
      <c r="A107" s="176" t="s">
        <v>1340</v>
      </c>
      <c r="B107" s="7"/>
      <c r="C107" s="7"/>
      <c r="D107" s="7"/>
      <c r="E107" s="7">
        <v>232</v>
      </c>
      <c r="F107" s="7"/>
      <c r="G107" s="7"/>
      <c r="H107" s="7">
        <v>116</v>
      </c>
      <c r="I107" s="7"/>
      <c r="J107" s="7"/>
      <c r="K107" s="7"/>
      <c r="L107" s="7"/>
      <c r="M107" s="7">
        <v>102</v>
      </c>
      <c r="N107" s="7"/>
      <c r="O107" s="7"/>
      <c r="P107" s="7"/>
      <c r="Q107" s="7"/>
      <c r="R107" s="7">
        <v>73</v>
      </c>
      <c r="S107" s="7"/>
      <c r="T107" s="7"/>
      <c r="U107" s="7">
        <v>12</v>
      </c>
      <c r="V107" s="7"/>
      <c r="W107" s="7"/>
      <c r="X107" s="7"/>
      <c r="Y107" s="7"/>
      <c r="Z107" s="7">
        <v>102</v>
      </c>
      <c r="AA107" s="7"/>
      <c r="AB107" s="7"/>
      <c r="AC107" s="7"/>
      <c r="AD107" s="7"/>
      <c r="AE107" s="7">
        <v>73</v>
      </c>
      <c r="AF107" s="7"/>
      <c r="AG107" s="7"/>
      <c r="AH107" s="7"/>
      <c r="AI107" s="7"/>
      <c r="AJ107" s="7">
        <v>710</v>
      </c>
    </row>
    <row r="108" spans="1:36" x14ac:dyDescent="0.3">
      <c r="A108" s="176" t="s">
        <v>1342</v>
      </c>
      <c r="B108" s="7"/>
      <c r="C108" s="7"/>
      <c r="D108" s="7"/>
      <c r="E108" s="7">
        <v>229</v>
      </c>
      <c r="F108" s="7"/>
      <c r="G108" s="7"/>
      <c r="H108" s="7">
        <v>115</v>
      </c>
      <c r="I108" s="7"/>
      <c r="J108" s="7"/>
      <c r="K108" s="7"/>
      <c r="L108" s="7"/>
      <c r="M108" s="7">
        <v>100</v>
      </c>
      <c r="N108" s="7"/>
      <c r="O108" s="7"/>
      <c r="P108" s="7"/>
      <c r="Q108" s="7"/>
      <c r="R108" s="7">
        <v>72</v>
      </c>
      <c r="S108" s="7"/>
      <c r="T108" s="7"/>
      <c r="U108" s="7">
        <v>11</v>
      </c>
      <c r="V108" s="7"/>
      <c r="W108" s="7"/>
      <c r="X108" s="7"/>
      <c r="Y108" s="7"/>
      <c r="Z108" s="7">
        <v>100</v>
      </c>
      <c r="AA108" s="7"/>
      <c r="AB108" s="7"/>
      <c r="AC108" s="7"/>
      <c r="AD108" s="7"/>
      <c r="AE108" s="7">
        <v>72</v>
      </c>
      <c r="AF108" s="7"/>
      <c r="AG108" s="7"/>
      <c r="AH108" s="7"/>
      <c r="AI108" s="7"/>
      <c r="AJ108" s="7">
        <v>699</v>
      </c>
    </row>
    <row r="109" spans="1:36" x14ac:dyDescent="0.3">
      <c r="A109" s="176" t="s">
        <v>1344</v>
      </c>
      <c r="B109" s="7"/>
      <c r="C109" s="7"/>
      <c r="D109" s="7"/>
      <c r="E109" s="7">
        <v>226</v>
      </c>
      <c r="F109" s="7"/>
      <c r="G109" s="7"/>
      <c r="H109" s="7">
        <v>113</v>
      </c>
      <c r="I109" s="7"/>
      <c r="J109" s="7"/>
      <c r="K109" s="7"/>
      <c r="L109" s="7"/>
      <c r="M109" s="7">
        <v>99</v>
      </c>
      <c r="N109" s="7"/>
      <c r="O109" s="7"/>
      <c r="P109" s="7"/>
      <c r="Q109" s="7"/>
      <c r="R109" s="7">
        <v>71</v>
      </c>
      <c r="S109" s="7"/>
      <c r="T109" s="7"/>
      <c r="U109" s="7">
        <v>11</v>
      </c>
      <c r="V109" s="7"/>
      <c r="W109" s="7"/>
      <c r="X109" s="7"/>
      <c r="Y109" s="7"/>
      <c r="Z109" s="7">
        <v>99</v>
      </c>
      <c r="AA109" s="7"/>
      <c r="AB109" s="7"/>
      <c r="AC109" s="7"/>
      <c r="AD109" s="7"/>
      <c r="AE109" s="7">
        <v>71</v>
      </c>
      <c r="AF109" s="7"/>
      <c r="AG109" s="7"/>
      <c r="AH109" s="7"/>
      <c r="AI109" s="7"/>
      <c r="AJ109" s="7">
        <v>690</v>
      </c>
    </row>
    <row r="110" spans="1:36" x14ac:dyDescent="0.3">
      <c r="A110" s="176" t="s">
        <v>1345</v>
      </c>
      <c r="B110" s="7"/>
      <c r="C110" s="7"/>
      <c r="D110" s="7"/>
      <c r="E110" s="7">
        <v>227</v>
      </c>
      <c r="F110" s="7"/>
      <c r="G110" s="7"/>
      <c r="H110" s="7">
        <v>114</v>
      </c>
      <c r="I110" s="7"/>
      <c r="J110" s="7"/>
      <c r="K110" s="7"/>
      <c r="L110" s="7"/>
      <c r="M110" s="7">
        <v>100</v>
      </c>
      <c r="N110" s="7"/>
      <c r="O110" s="7"/>
      <c r="P110" s="7"/>
      <c r="Q110" s="7"/>
      <c r="R110" s="7">
        <v>71</v>
      </c>
      <c r="S110" s="7"/>
      <c r="T110" s="7"/>
      <c r="U110" s="7">
        <v>11</v>
      </c>
      <c r="V110" s="7"/>
      <c r="W110" s="7"/>
      <c r="X110" s="7"/>
      <c r="Y110" s="7"/>
      <c r="Z110" s="7">
        <v>100</v>
      </c>
      <c r="AA110" s="7"/>
      <c r="AB110" s="7"/>
      <c r="AC110" s="7"/>
      <c r="AD110" s="7"/>
      <c r="AE110" s="7">
        <v>71</v>
      </c>
      <c r="AF110" s="7"/>
      <c r="AG110" s="7"/>
      <c r="AH110" s="7"/>
      <c r="AI110" s="7"/>
      <c r="AJ110" s="7">
        <v>694</v>
      </c>
    </row>
    <row r="111" spans="1:36" x14ac:dyDescent="0.3">
      <c r="A111" s="10" t="s">
        <v>1266</v>
      </c>
      <c r="B111" s="7"/>
      <c r="C111" s="7"/>
      <c r="D111" s="7"/>
      <c r="E111" s="7">
        <v>916</v>
      </c>
      <c r="F111" s="7"/>
      <c r="G111" s="7"/>
      <c r="H111" s="7">
        <v>458</v>
      </c>
      <c r="I111" s="7"/>
      <c r="J111" s="7"/>
      <c r="K111" s="7"/>
      <c r="L111" s="7"/>
      <c r="M111" s="7">
        <v>401</v>
      </c>
      <c r="N111" s="7"/>
      <c r="O111" s="7"/>
      <c r="P111" s="7"/>
      <c r="Q111" s="7"/>
      <c r="R111" s="7">
        <v>286</v>
      </c>
      <c r="S111" s="7"/>
      <c r="T111" s="7"/>
      <c r="U111" s="7">
        <v>46</v>
      </c>
      <c r="V111" s="7"/>
      <c r="W111" s="7"/>
      <c r="X111" s="7"/>
      <c r="Y111" s="7"/>
      <c r="Z111" s="7">
        <v>401</v>
      </c>
      <c r="AA111" s="7"/>
      <c r="AB111" s="7"/>
      <c r="AC111" s="7"/>
      <c r="AD111" s="7"/>
      <c r="AE111" s="7">
        <v>286</v>
      </c>
      <c r="AF111" s="7"/>
      <c r="AG111" s="7"/>
      <c r="AH111" s="7"/>
      <c r="AI111" s="7"/>
      <c r="AJ111" s="7">
        <v>2794</v>
      </c>
    </row>
    <row r="112" spans="1:36" x14ac:dyDescent="0.3">
      <c r="A112" s="176" t="s">
        <v>1278</v>
      </c>
      <c r="B112" s="7"/>
      <c r="C112" s="7"/>
      <c r="D112" s="7"/>
      <c r="E112" s="7">
        <v>308</v>
      </c>
      <c r="F112" s="7"/>
      <c r="G112" s="7"/>
      <c r="H112" s="7">
        <v>154</v>
      </c>
      <c r="I112" s="7"/>
      <c r="J112" s="7"/>
      <c r="K112" s="7"/>
      <c r="L112" s="7"/>
      <c r="M112" s="7">
        <v>135</v>
      </c>
      <c r="N112" s="7"/>
      <c r="O112" s="7"/>
      <c r="P112" s="7"/>
      <c r="Q112" s="7"/>
      <c r="R112" s="7">
        <v>96</v>
      </c>
      <c r="S112" s="7"/>
      <c r="T112" s="7"/>
      <c r="U112" s="7">
        <v>15</v>
      </c>
      <c r="V112" s="7"/>
      <c r="W112" s="7"/>
      <c r="X112" s="7"/>
      <c r="Y112" s="7"/>
      <c r="Z112" s="7">
        <v>135</v>
      </c>
      <c r="AA112" s="7"/>
      <c r="AB112" s="7"/>
      <c r="AC112" s="7"/>
      <c r="AD112" s="7"/>
      <c r="AE112" s="7">
        <v>96</v>
      </c>
      <c r="AF112" s="7"/>
      <c r="AG112" s="7"/>
      <c r="AH112" s="7"/>
      <c r="AI112" s="7"/>
      <c r="AJ112" s="7">
        <v>939</v>
      </c>
    </row>
    <row r="113" spans="1:36" x14ac:dyDescent="0.3">
      <c r="A113" s="176" t="s">
        <v>1292</v>
      </c>
      <c r="B113" s="7"/>
      <c r="C113" s="7"/>
      <c r="D113" s="7"/>
      <c r="E113" s="7">
        <v>278</v>
      </c>
      <c r="F113" s="7"/>
      <c r="G113" s="7"/>
      <c r="H113" s="7">
        <v>139</v>
      </c>
      <c r="I113" s="7"/>
      <c r="J113" s="7"/>
      <c r="K113" s="7"/>
      <c r="L113" s="7"/>
      <c r="M113" s="7">
        <v>122</v>
      </c>
      <c r="N113" s="7"/>
      <c r="O113" s="7"/>
      <c r="P113" s="7"/>
      <c r="Q113" s="7"/>
      <c r="R113" s="7">
        <v>87</v>
      </c>
      <c r="S113" s="7"/>
      <c r="T113" s="7"/>
      <c r="U113" s="7">
        <v>14</v>
      </c>
      <c r="V113" s="7"/>
      <c r="W113" s="7"/>
      <c r="X113" s="7"/>
      <c r="Y113" s="7"/>
      <c r="Z113" s="7">
        <v>122</v>
      </c>
      <c r="AA113" s="7"/>
      <c r="AB113" s="7"/>
      <c r="AC113" s="7"/>
      <c r="AD113" s="7"/>
      <c r="AE113" s="7">
        <v>87</v>
      </c>
      <c r="AF113" s="7"/>
      <c r="AG113" s="7"/>
      <c r="AH113" s="7"/>
      <c r="AI113" s="7"/>
      <c r="AJ113" s="7">
        <v>849</v>
      </c>
    </row>
    <row r="114" spans="1:36" x14ac:dyDescent="0.3">
      <c r="A114" s="176" t="s">
        <v>1293</v>
      </c>
      <c r="B114" s="7"/>
      <c r="C114" s="7"/>
      <c r="D114" s="7"/>
      <c r="E114" s="7">
        <v>330</v>
      </c>
      <c r="F114" s="7"/>
      <c r="G114" s="7"/>
      <c r="H114" s="7">
        <v>165</v>
      </c>
      <c r="I114" s="7"/>
      <c r="J114" s="7"/>
      <c r="K114" s="7"/>
      <c r="L114" s="7"/>
      <c r="M114" s="7">
        <v>144</v>
      </c>
      <c r="N114" s="7"/>
      <c r="O114" s="7"/>
      <c r="P114" s="7"/>
      <c r="Q114" s="7"/>
      <c r="R114" s="7">
        <v>103</v>
      </c>
      <c r="S114" s="7"/>
      <c r="T114" s="7"/>
      <c r="U114" s="7">
        <v>17</v>
      </c>
      <c r="V114" s="7"/>
      <c r="W114" s="7"/>
      <c r="X114" s="7"/>
      <c r="Y114" s="7"/>
      <c r="Z114" s="7">
        <v>144</v>
      </c>
      <c r="AA114" s="7"/>
      <c r="AB114" s="7"/>
      <c r="AC114" s="7"/>
      <c r="AD114" s="7"/>
      <c r="AE114" s="7">
        <v>103</v>
      </c>
      <c r="AF114" s="7"/>
      <c r="AG114" s="7"/>
      <c r="AH114" s="7"/>
      <c r="AI114" s="7"/>
      <c r="AJ114" s="7">
        <v>1006</v>
      </c>
    </row>
    <row r="115" spans="1:36" x14ac:dyDescent="0.3">
      <c r="A115" s="10" t="s">
        <v>1144</v>
      </c>
      <c r="B115" s="7"/>
      <c r="C115" s="7"/>
      <c r="D115" s="7"/>
      <c r="E115" s="7">
        <v>823</v>
      </c>
      <c r="F115" s="7"/>
      <c r="G115" s="7"/>
      <c r="H115" s="7">
        <v>412</v>
      </c>
      <c r="I115" s="7"/>
      <c r="J115" s="7"/>
      <c r="K115" s="7"/>
      <c r="L115" s="7"/>
      <c r="M115" s="7">
        <v>360</v>
      </c>
      <c r="N115" s="7"/>
      <c r="O115" s="7"/>
      <c r="P115" s="7"/>
      <c r="Q115" s="7"/>
      <c r="R115" s="7">
        <v>258</v>
      </c>
      <c r="S115" s="7"/>
      <c r="T115" s="7"/>
      <c r="U115" s="7">
        <v>42</v>
      </c>
      <c r="V115" s="7"/>
      <c r="W115" s="7"/>
      <c r="X115" s="7"/>
      <c r="Y115" s="7"/>
      <c r="Z115" s="7">
        <v>360</v>
      </c>
      <c r="AA115" s="7"/>
      <c r="AB115" s="7"/>
      <c r="AC115" s="7"/>
      <c r="AD115" s="7"/>
      <c r="AE115" s="7">
        <v>258</v>
      </c>
      <c r="AF115" s="7"/>
      <c r="AG115" s="7"/>
      <c r="AH115" s="7"/>
      <c r="AI115" s="7"/>
      <c r="AJ115" s="7">
        <v>2513</v>
      </c>
    </row>
    <row r="116" spans="1:36" x14ac:dyDescent="0.3">
      <c r="A116" s="176" t="s">
        <v>1276</v>
      </c>
      <c r="B116" s="7"/>
      <c r="C116" s="7"/>
      <c r="D116" s="7"/>
      <c r="E116" s="7">
        <v>278</v>
      </c>
      <c r="F116" s="7"/>
      <c r="G116" s="7"/>
      <c r="H116" s="7">
        <v>139</v>
      </c>
      <c r="I116" s="7"/>
      <c r="J116" s="7"/>
      <c r="K116" s="7"/>
      <c r="L116" s="7"/>
      <c r="M116" s="7">
        <v>122</v>
      </c>
      <c r="N116" s="7"/>
      <c r="O116" s="7"/>
      <c r="P116" s="7"/>
      <c r="Q116" s="7"/>
      <c r="R116" s="7">
        <v>87</v>
      </c>
      <c r="S116" s="7"/>
      <c r="T116" s="7"/>
      <c r="U116" s="7">
        <v>14</v>
      </c>
      <c r="V116" s="7"/>
      <c r="W116" s="7"/>
      <c r="X116" s="7"/>
      <c r="Y116" s="7"/>
      <c r="Z116" s="7">
        <v>122</v>
      </c>
      <c r="AA116" s="7"/>
      <c r="AB116" s="7"/>
      <c r="AC116" s="7"/>
      <c r="AD116" s="7"/>
      <c r="AE116" s="7">
        <v>87</v>
      </c>
      <c r="AF116" s="7"/>
      <c r="AG116" s="7"/>
      <c r="AH116" s="7"/>
      <c r="AI116" s="7"/>
      <c r="AJ116" s="7">
        <v>849</v>
      </c>
    </row>
    <row r="117" spans="1:36" x14ac:dyDescent="0.3">
      <c r="A117" s="176" t="s">
        <v>1279</v>
      </c>
      <c r="B117" s="7"/>
      <c r="C117" s="7"/>
      <c r="D117" s="7"/>
      <c r="E117" s="7">
        <v>251</v>
      </c>
      <c r="F117" s="7"/>
      <c r="G117" s="7"/>
      <c r="H117" s="7">
        <v>126</v>
      </c>
      <c r="I117" s="7"/>
      <c r="J117" s="7"/>
      <c r="K117" s="7"/>
      <c r="L117" s="7"/>
      <c r="M117" s="7">
        <v>110</v>
      </c>
      <c r="N117" s="7"/>
      <c r="O117" s="7"/>
      <c r="P117" s="7"/>
      <c r="Q117" s="7"/>
      <c r="R117" s="7">
        <v>79</v>
      </c>
      <c r="S117" s="7"/>
      <c r="T117" s="7"/>
      <c r="U117" s="7">
        <v>13</v>
      </c>
      <c r="V117" s="7"/>
      <c r="W117" s="7"/>
      <c r="X117" s="7"/>
      <c r="Y117" s="7"/>
      <c r="Z117" s="7">
        <v>110</v>
      </c>
      <c r="AA117" s="7"/>
      <c r="AB117" s="7"/>
      <c r="AC117" s="7"/>
      <c r="AD117" s="7"/>
      <c r="AE117" s="7">
        <v>79</v>
      </c>
      <c r="AF117" s="7"/>
      <c r="AG117" s="7"/>
      <c r="AH117" s="7"/>
      <c r="AI117" s="7"/>
      <c r="AJ117" s="7">
        <v>768</v>
      </c>
    </row>
    <row r="118" spans="1:36" x14ac:dyDescent="0.3">
      <c r="A118" s="176" t="s">
        <v>1280</v>
      </c>
      <c r="B118" s="7"/>
      <c r="C118" s="7"/>
      <c r="D118" s="7"/>
      <c r="E118" s="7">
        <v>294</v>
      </c>
      <c r="F118" s="7"/>
      <c r="G118" s="7"/>
      <c r="H118" s="7">
        <v>147</v>
      </c>
      <c r="I118" s="7"/>
      <c r="J118" s="7"/>
      <c r="K118" s="7"/>
      <c r="L118" s="7"/>
      <c r="M118" s="7">
        <v>128</v>
      </c>
      <c r="N118" s="7"/>
      <c r="O118" s="7"/>
      <c r="P118" s="7"/>
      <c r="Q118" s="7"/>
      <c r="R118" s="7">
        <v>92</v>
      </c>
      <c r="S118" s="7"/>
      <c r="T118" s="7"/>
      <c r="U118" s="7">
        <v>15</v>
      </c>
      <c r="V118" s="7"/>
      <c r="W118" s="7"/>
      <c r="X118" s="7"/>
      <c r="Y118" s="7"/>
      <c r="Z118" s="7">
        <v>128</v>
      </c>
      <c r="AA118" s="7"/>
      <c r="AB118" s="7"/>
      <c r="AC118" s="7"/>
      <c r="AD118" s="7"/>
      <c r="AE118" s="7">
        <v>92</v>
      </c>
      <c r="AF118" s="7"/>
      <c r="AG118" s="7"/>
      <c r="AH118" s="7"/>
      <c r="AI118" s="7"/>
      <c r="AJ118" s="7">
        <v>896</v>
      </c>
    </row>
    <row r="119" spans="1:36" x14ac:dyDescent="0.3">
      <c r="A119" s="10" t="s">
        <v>1148</v>
      </c>
      <c r="B119" s="7"/>
      <c r="C119" s="7"/>
      <c r="D119" s="7"/>
      <c r="E119" s="7">
        <v>862</v>
      </c>
      <c r="F119" s="7"/>
      <c r="G119" s="7"/>
      <c r="H119" s="7">
        <v>432</v>
      </c>
      <c r="I119" s="7"/>
      <c r="J119" s="7"/>
      <c r="K119" s="7"/>
      <c r="L119" s="7"/>
      <c r="M119" s="7">
        <v>377</v>
      </c>
      <c r="N119" s="7"/>
      <c r="O119" s="7"/>
      <c r="P119" s="7"/>
      <c r="Q119" s="7"/>
      <c r="R119" s="7">
        <v>270</v>
      </c>
      <c r="S119" s="7"/>
      <c r="T119" s="7"/>
      <c r="U119" s="7">
        <v>42</v>
      </c>
      <c r="V119" s="7"/>
      <c r="W119" s="7"/>
      <c r="X119" s="7"/>
      <c r="Y119" s="7"/>
      <c r="Z119" s="7">
        <v>377</v>
      </c>
      <c r="AA119" s="7"/>
      <c r="AB119" s="7"/>
      <c r="AC119" s="7"/>
      <c r="AD119" s="7"/>
      <c r="AE119" s="7">
        <v>270</v>
      </c>
      <c r="AF119" s="7"/>
      <c r="AG119" s="7"/>
      <c r="AH119" s="7"/>
      <c r="AI119" s="7"/>
      <c r="AJ119" s="7">
        <v>2630</v>
      </c>
    </row>
    <row r="120" spans="1:36" x14ac:dyDescent="0.3">
      <c r="A120" s="176" t="s">
        <v>1333</v>
      </c>
      <c r="B120" s="7"/>
      <c r="C120" s="7"/>
      <c r="D120" s="7"/>
      <c r="E120" s="7">
        <v>243</v>
      </c>
      <c r="F120" s="7"/>
      <c r="G120" s="7"/>
      <c r="H120" s="7">
        <v>121</v>
      </c>
      <c r="I120" s="7"/>
      <c r="J120" s="7"/>
      <c r="K120" s="7"/>
      <c r="L120" s="7"/>
      <c r="M120" s="7">
        <v>106</v>
      </c>
      <c r="N120" s="7"/>
      <c r="O120" s="7"/>
      <c r="P120" s="7"/>
      <c r="Q120" s="7"/>
      <c r="R120" s="7">
        <v>76</v>
      </c>
      <c r="S120" s="7"/>
      <c r="T120" s="7"/>
      <c r="U120" s="7">
        <v>12</v>
      </c>
      <c r="V120" s="7"/>
      <c r="W120" s="7"/>
      <c r="X120" s="7"/>
      <c r="Y120" s="7"/>
      <c r="Z120" s="7">
        <v>106</v>
      </c>
      <c r="AA120" s="7"/>
      <c r="AB120" s="7"/>
      <c r="AC120" s="7"/>
      <c r="AD120" s="7"/>
      <c r="AE120" s="7">
        <v>76</v>
      </c>
      <c r="AF120" s="7"/>
      <c r="AG120" s="7"/>
      <c r="AH120" s="7"/>
      <c r="AI120" s="7"/>
      <c r="AJ120" s="7">
        <v>740</v>
      </c>
    </row>
    <row r="121" spans="1:36" x14ac:dyDescent="0.3">
      <c r="A121" s="176" t="s">
        <v>1348</v>
      </c>
      <c r="B121" s="7"/>
      <c r="C121" s="7"/>
      <c r="D121" s="7"/>
      <c r="E121" s="7">
        <v>67</v>
      </c>
      <c r="F121" s="7"/>
      <c r="G121" s="7"/>
      <c r="H121" s="7">
        <v>34</v>
      </c>
      <c r="I121" s="7"/>
      <c r="J121" s="7"/>
      <c r="K121" s="7"/>
      <c r="L121" s="7"/>
      <c r="M121" s="7">
        <v>29</v>
      </c>
      <c r="N121" s="7"/>
      <c r="O121" s="7"/>
      <c r="P121" s="7"/>
      <c r="Q121" s="7"/>
      <c r="R121" s="7">
        <v>21</v>
      </c>
      <c r="S121" s="7"/>
      <c r="T121" s="7"/>
      <c r="U121" s="7">
        <v>3</v>
      </c>
      <c r="V121" s="7"/>
      <c r="W121" s="7"/>
      <c r="X121" s="7"/>
      <c r="Y121" s="7"/>
      <c r="Z121" s="7">
        <v>29</v>
      </c>
      <c r="AA121" s="7"/>
      <c r="AB121" s="7"/>
      <c r="AC121" s="7"/>
      <c r="AD121" s="7"/>
      <c r="AE121" s="7">
        <v>21</v>
      </c>
      <c r="AF121" s="7"/>
      <c r="AG121" s="7"/>
      <c r="AH121" s="7"/>
      <c r="AI121" s="7"/>
      <c r="AJ121" s="7">
        <v>204</v>
      </c>
    </row>
    <row r="122" spans="1:36" x14ac:dyDescent="0.3">
      <c r="A122" s="176" t="s">
        <v>1349</v>
      </c>
      <c r="B122" s="7"/>
      <c r="C122" s="7"/>
      <c r="D122" s="7"/>
      <c r="E122" s="7">
        <v>68</v>
      </c>
      <c r="F122" s="7"/>
      <c r="G122" s="7"/>
      <c r="H122" s="7">
        <v>34</v>
      </c>
      <c r="I122" s="7"/>
      <c r="J122" s="7"/>
      <c r="K122" s="7"/>
      <c r="L122" s="7"/>
      <c r="M122" s="7">
        <v>30</v>
      </c>
      <c r="N122" s="7"/>
      <c r="O122" s="7"/>
      <c r="P122" s="7"/>
      <c r="Q122" s="7"/>
      <c r="R122" s="7">
        <v>21</v>
      </c>
      <c r="S122" s="7"/>
      <c r="T122" s="7"/>
      <c r="U122" s="7">
        <v>3</v>
      </c>
      <c r="V122" s="7"/>
      <c r="W122" s="7"/>
      <c r="X122" s="7"/>
      <c r="Y122" s="7"/>
      <c r="Z122" s="7">
        <v>30</v>
      </c>
      <c r="AA122" s="7"/>
      <c r="AB122" s="7"/>
      <c r="AC122" s="7"/>
      <c r="AD122" s="7"/>
      <c r="AE122" s="7">
        <v>21</v>
      </c>
      <c r="AF122" s="7"/>
      <c r="AG122" s="7"/>
      <c r="AH122" s="7"/>
      <c r="AI122" s="7"/>
      <c r="AJ122" s="7">
        <v>207</v>
      </c>
    </row>
    <row r="123" spans="1:36" x14ac:dyDescent="0.3">
      <c r="A123" s="176" t="s">
        <v>1275</v>
      </c>
      <c r="B123" s="7"/>
      <c r="C123" s="7"/>
      <c r="D123" s="7"/>
      <c r="E123" s="7">
        <v>229</v>
      </c>
      <c r="F123" s="7"/>
      <c r="G123" s="7"/>
      <c r="H123" s="7">
        <v>115</v>
      </c>
      <c r="I123" s="7"/>
      <c r="J123" s="7"/>
      <c r="K123" s="7"/>
      <c r="L123" s="7"/>
      <c r="M123" s="7">
        <v>100</v>
      </c>
      <c r="N123" s="7"/>
      <c r="O123" s="7"/>
      <c r="P123" s="7"/>
      <c r="Q123" s="7"/>
      <c r="R123" s="7">
        <v>72</v>
      </c>
      <c r="S123" s="7"/>
      <c r="T123" s="7"/>
      <c r="U123" s="7">
        <v>11</v>
      </c>
      <c r="V123" s="7"/>
      <c r="W123" s="7"/>
      <c r="X123" s="7"/>
      <c r="Y123" s="7"/>
      <c r="Z123" s="7">
        <v>100</v>
      </c>
      <c r="AA123" s="7"/>
      <c r="AB123" s="7"/>
      <c r="AC123" s="7"/>
      <c r="AD123" s="7"/>
      <c r="AE123" s="7">
        <v>72</v>
      </c>
      <c r="AF123" s="7"/>
      <c r="AG123" s="7"/>
      <c r="AH123" s="7"/>
      <c r="AI123" s="7"/>
      <c r="AJ123" s="7">
        <v>699</v>
      </c>
    </row>
    <row r="124" spans="1:36" x14ac:dyDescent="0.3">
      <c r="A124" s="176" t="s">
        <v>1149</v>
      </c>
      <c r="B124" s="7"/>
      <c r="C124" s="7"/>
      <c r="D124" s="7"/>
      <c r="E124" s="7">
        <v>255</v>
      </c>
      <c r="F124" s="7"/>
      <c r="G124" s="7"/>
      <c r="H124" s="7">
        <v>128</v>
      </c>
      <c r="I124" s="7"/>
      <c r="J124" s="7"/>
      <c r="K124" s="7"/>
      <c r="L124" s="7"/>
      <c r="M124" s="7">
        <v>112</v>
      </c>
      <c r="N124" s="7"/>
      <c r="O124" s="7"/>
      <c r="P124" s="7"/>
      <c r="Q124" s="7"/>
      <c r="R124" s="7">
        <v>80</v>
      </c>
      <c r="S124" s="7"/>
      <c r="T124" s="7"/>
      <c r="U124" s="7">
        <v>13</v>
      </c>
      <c r="V124" s="7"/>
      <c r="W124" s="7"/>
      <c r="X124" s="7"/>
      <c r="Y124" s="7"/>
      <c r="Z124" s="7">
        <v>112</v>
      </c>
      <c r="AA124" s="7"/>
      <c r="AB124" s="7"/>
      <c r="AC124" s="7"/>
      <c r="AD124" s="7"/>
      <c r="AE124" s="7">
        <v>80</v>
      </c>
      <c r="AF124" s="7"/>
      <c r="AG124" s="7"/>
      <c r="AH124" s="7"/>
      <c r="AI124" s="7"/>
      <c r="AJ124" s="7">
        <v>780</v>
      </c>
    </row>
    <row r="125" spans="1:36" x14ac:dyDescent="0.3">
      <c r="A125" s="10" t="s">
        <v>955</v>
      </c>
      <c r="B125" s="7"/>
      <c r="C125" s="7"/>
      <c r="D125" s="7">
        <v>260</v>
      </c>
      <c r="E125" s="7"/>
      <c r="F125" s="7"/>
      <c r="G125" s="7">
        <v>130</v>
      </c>
      <c r="H125" s="7"/>
      <c r="I125" s="7"/>
      <c r="J125" s="7"/>
      <c r="K125" s="7"/>
      <c r="L125" s="7">
        <v>130</v>
      </c>
      <c r="M125" s="7"/>
      <c r="N125" s="7"/>
      <c r="O125" s="7"/>
      <c r="P125" s="7"/>
      <c r="Q125" s="7">
        <v>87</v>
      </c>
      <c r="R125" s="7"/>
      <c r="S125" s="7"/>
      <c r="T125" s="7"/>
      <c r="U125" s="7">
        <v>18</v>
      </c>
      <c r="V125" s="7"/>
      <c r="W125" s="7"/>
      <c r="X125" s="7"/>
      <c r="Y125" s="7">
        <v>130</v>
      </c>
      <c r="Z125" s="7"/>
      <c r="AA125" s="7"/>
      <c r="AB125" s="7"/>
      <c r="AC125" s="7"/>
      <c r="AD125" s="7">
        <v>87</v>
      </c>
      <c r="AE125" s="7"/>
      <c r="AF125" s="7"/>
      <c r="AG125" s="7"/>
      <c r="AH125" s="7"/>
      <c r="AI125" s="7"/>
      <c r="AJ125" s="7">
        <v>842</v>
      </c>
    </row>
    <row r="126" spans="1:36" x14ac:dyDescent="0.3">
      <c r="A126" s="176" t="s">
        <v>1130</v>
      </c>
      <c r="B126" s="7"/>
      <c r="C126" s="7"/>
      <c r="D126" s="7">
        <v>8</v>
      </c>
      <c r="E126" s="7"/>
      <c r="F126" s="7"/>
      <c r="G126" s="7">
        <v>4</v>
      </c>
      <c r="H126" s="7"/>
      <c r="I126" s="7"/>
      <c r="J126" s="7"/>
      <c r="K126" s="7"/>
      <c r="L126" s="7">
        <v>4</v>
      </c>
      <c r="M126" s="7"/>
      <c r="N126" s="7"/>
      <c r="O126" s="7"/>
      <c r="P126" s="7"/>
      <c r="Q126" s="7">
        <v>3</v>
      </c>
      <c r="R126" s="7"/>
      <c r="S126" s="7"/>
      <c r="T126" s="7"/>
      <c r="U126" s="7">
        <v>1</v>
      </c>
      <c r="V126" s="7"/>
      <c r="W126" s="7"/>
      <c r="X126" s="7"/>
      <c r="Y126" s="7">
        <v>4</v>
      </c>
      <c r="Z126" s="7"/>
      <c r="AA126" s="7"/>
      <c r="AB126" s="7"/>
      <c r="AC126" s="7"/>
      <c r="AD126" s="7">
        <v>3</v>
      </c>
      <c r="AE126" s="7"/>
      <c r="AF126" s="7"/>
      <c r="AG126" s="7"/>
      <c r="AH126" s="7"/>
      <c r="AI126" s="7"/>
      <c r="AJ126" s="7">
        <v>27</v>
      </c>
    </row>
    <row r="127" spans="1:36" x14ac:dyDescent="0.3">
      <c r="A127" s="176" t="s">
        <v>1131</v>
      </c>
      <c r="B127" s="7"/>
      <c r="C127" s="7"/>
      <c r="D127" s="7">
        <v>252</v>
      </c>
      <c r="E127" s="7"/>
      <c r="F127" s="7"/>
      <c r="G127" s="7">
        <v>126</v>
      </c>
      <c r="H127" s="7"/>
      <c r="I127" s="7"/>
      <c r="J127" s="7"/>
      <c r="K127" s="7"/>
      <c r="L127" s="7">
        <v>126</v>
      </c>
      <c r="M127" s="7"/>
      <c r="N127" s="7"/>
      <c r="O127" s="7"/>
      <c r="P127" s="7"/>
      <c r="Q127" s="7">
        <v>84</v>
      </c>
      <c r="R127" s="7"/>
      <c r="S127" s="7"/>
      <c r="T127" s="7"/>
      <c r="U127" s="7">
        <v>17</v>
      </c>
      <c r="V127" s="7"/>
      <c r="W127" s="7"/>
      <c r="X127" s="7"/>
      <c r="Y127" s="7">
        <v>126</v>
      </c>
      <c r="Z127" s="7"/>
      <c r="AA127" s="7"/>
      <c r="AB127" s="7"/>
      <c r="AC127" s="7"/>
      <c r="AD127" s="7">
        <v>84</v>
      </c>
      <c r="AE127" s="7"/>
      <c r="AF127" s="7"/>
      <c r="AG127" s="7"/>
      <c r="AH127" s="7"/>
      <c r="AI127" s="7"/>
      <c r="AJ127" s="7">
        <v>815</v>
      </c>
    </row>
    <row r="128" spans="1:36" x14ac:dyDescent="0.3">
      <c r="A128" s="3" t="s">
        <v>856</v>
      </c>
      <c r="B128" s="7">
        <v>294</v>
      </c>
      <c r="C128" s="7">
        <v>1497</v>
      </c>
      <c r="D128" s="7">
        <v>3037</v>
      </c>
      <c r="E128" s="7">
        <v>11733</v>
      </c>
      <c r="F128" s="7">
        <v>381</v>
      </c>
      <c r="G128" s="7">
        <v>1520</v>
      </c>
      <c r="H128" s="7">
        <v>5868</v>
      </c>
      <c r="I128" s="7">
        <v>74</v>
      </c>
      <c r="J128" s="7">
        <v>214</v>
      </c>
      <c r="K128" s="7">
        <v>579</v>
      </c>
      <c r="L128" s="7">
        <v>1520</v>
      </c>
      <c r="M128" s="7">
        <v>5137</v>
      </c>
      <c r="N128" s="7">
        <v>103</v>
      </c>
      <c r="O128" s="7">
        <v>143</v>
      </c>
      <c r="P128" s="7">
        <v>348</v>
      </c>
      <c r="Q128" s="7">
        <v>1012</v>
      </c>
      <c r="R128" s="7">
        <v>3668</v>
      </c>
      <c r="S128" s="7">
        <v>29</v>
      </c>
      <c r="T128" s="7">
        <v>10</v>
      </c>
      <c r="U128" s="7">
        <v>926</v>
      </c>
      <c r="V128" s="7">
        <v>74</v>
      </c>
      <c r="W128" s="7">
        <v>281</v>
      </c>
      <c r="X128" s="7">
        <v>579</v>
      </c>
      <c r="Y128" s="7">
        <v>1520</v>
      </c>
      <c r="Z128" s="7">
        <v>5137</v>
      </c>
      <c r="AA128" s="7">
        <v>103</v>
      </c>
      <c r="AB128" s="7">
        <v>143</v>
      </c>
      <c r="AC128" s="7">
        <v>348</v>
      </c>
      <c r="AD128" s="7">
        <v>1012</v>
      </c>
      <c r="AE128" s="7">
        <v>3668</v>
      </c>
      <c r="AF128" s="7">
        <v>148</v>
      </c>
      <c r="AG128" s="7">
        <v>934</v>
      </c>
      <c r="AH128" s="7">
        <v>148</v>
      </c>
      <c r="AI128" s="7">
        <v>562</v>
      </c>
      <c r="AJ128" s="7">
        <v>52750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5D61-DD9F-45CB-ADCA-9FBA91932C1E}">
  <dimension ref="A2:AK132"/>
  <sheetViews>
    <sheetView zoomScale="78" zoomScaleNormal="78" workbookViewId="0">
      <selection activeCell="V25" sqref="V25"/>
    </sheetView>
  </sheetViews>
  <sheetFormatPr defaultRowHeight="15.6" x14ac:dyDescent="0.3"/>
  <cols>
    <col min="1" max="1" width="23.109375" style="45" bestFit="1" customWidth="1"/>
    <col min="2" max="2" width="5.33203125" style="44" bestFit="1" customWidth="1"/>
    <col min="3" max="4" width="6.6640625" style="44" bestFit="1" customWidth="1"/>
    <col min="5" max="5" width="7.88671875" style="44" bestFit="1" customWidth="1"/>
    <col min="6" max="6" width="5.33203125" style="44" bestFit="1" customWidth="1"/>
    <col min="7" max="8" width="6.6640625" style="44" bestFit="1" customWidth="1"/>
    <col min="9" max="10" width="5.33203125" style="44" bestFit="1" customWidth="1"/>
    <col min="11" max="13" width="6.6640625" style="44" bestFit="1" customWidth="1"/>
    <col min="14" max="16" width="5.33203125" style="44" bestFit="1" customWidth="1"/>
    <col min="17" max="18" width="6.6640625" style="44" bestFit="1" customWidth="1"/>
    <col min="19" max="19" width="4" style="44" bestFit="1" customWidth="1"/>
    <col min="20" max="21" width="5.33203125" style="44" bestFit="1" customWidth="1"/>
    <col min="22" max="25" width="6.6640625" style="44" bestFit="1" customWidth="1"/>
    <col min="26" max="28" width="5.33203125" style="44" bestFit="1" customWidth="1"/>
    <col min="29" max="30" width="6.6640625" style="44" bestFit="1" customWidth="1"/>
    <col min="31" max="32" width="7.44140625" style="44" customWidth="1"/>
    <col min="33" max="34" width="6.88671875" style="44" customWidth="1"/>
    <col min="35" max="35" width="14.44140625" style="44" bestFit="1" customWidth="1"/>
    <col min="36" max="16384" width="8.88671875" style="44"/>
  </cols>
  <sheetData>
    <row r="2" spans="1:37" x14ac:dyDescent="0.3">
      <c r="A2" s="151" t="s">
        <v>857</v>
      </c>
    </row>
    <row r="3" spans="1:37" x14ac:dyDescent="0.3">
      <c r="F3" s="46"/>
      <c r="G3" s="46"/>
      <c r="H3" s="46"/>
    </row>
    <row r="4" spans="1:37" x14ac:dyDescent="0.3">
      <c r="A4" s="143" t="s">
        <v>1263</v>
      </c>
      <c r="B4" s="177" t="s">
        <v>1121</v>
      </c>
      <c r="C4" s="178"/>
      <c r="D4" s="178"/>
      <c r="E4" s="179"/>
      <c r="F4" s="177" t="s">
        <v>1120</v>
      </c>
      <c r="G4" s="178"/>
      <c r="H4" s="179"/>
      <c r="I4" s="177" t="s">
        <v>1117</v>
      </c>
      <c r="J4" s="178"/>
      <c r="K4" s="178"/>
      <c r="L4" s="178"/>
      <c r="M4" s="179"/>
      <c r="N4" s="177" t="s">
        <v>1113</v>
      </c>
      <c r="O4" s="178"/>
      <c r="P4" s="178"/>
      <c r="Q4" s="178"/>
      <c r="R4" s="179"/>
      <c r="S4" s="177" t="s">
        <v>1116</v>
      </c>
      <c r="T4" s="179"/>
      <c r="U4" s="177" t="s">
        <v>1118</v>
      </c>
      <c r="V4" s="178"/>
      <c r="W4" s="178"/>
      <c r="X4" s="178"/>
      <c r="Y4" s="178"/>
      <c r="Z4" s="177" t="s">
        <v>1114</v>
      </c>
      <c r="AA4" s="178"/>
      <c r="AB4" s="178"/>
      <c r="AC4" s="178"/>
      <c r="AD4" s="179"/>
      <c r="AE4" s="177" t="s">
        <v>1119</v>
      </c>
      <c r="AF4" s="179"/>
      <c r="AG4" s="177" t="s">
        <v>1115</v>
      </c>
      <c r="AH4" s="179"/>
      <c r="AI4" s="180" t="s">
        <v>856</v>
      </c>
    </row>
    <row r="5" spans="1:37" x14ac:dyDescent="0.3">
      <c r="A5" s="144" t="s">
        <v>1264</v>
      </c>
      <c r="B5" s="183" t="s">
        <v>1254</v>
      </c>
      <c r="C5" s="184"/>
      <c r="D5" s="184"/>
      <c r="E5" s="185"/>
      <c r="F5" s="183" t="s">
        <v>1256</v>
      </c>
      <c r="G5" s="184"/>
      <c r="H5" s="185"/>
      <c r="I5" s="183" t="s">
        <v>1257</v>
      </c>
      <c r="J5" s="184"/>
      <c r="K5" s="184"/>
      <c r="L5" s="184"/>
      <c r="M5" s="185"/>
      <c r="N5" s="183" t="s">
        <v>1258</v>
      </c>
      <c r="O5" s="184"/>
      <c r="P5" s="184"/>
      <c r="Q5" s="184"/>
      <c r="R5" s="185"/>
      <c r="S5" s="183" t="s">
        <v>1251</v>
      </c>
      <c r="T5" s="185"/>
      <c r="U5" s="183" t="s">
        <v>1259</v>
      </c>
      <c r="V5" s="184"/>
      <c r="W5" s="184"/>
      <c r="X5" s="184"/>
      <c r="Y5" s="184"/>
      <c r="Z5" s="183" t="s">
        <v>1260</v>
      </c>
      <c r="AA5" s="184"/>
      <c r="AB5" s="184"/>
      <c r="AC5" s="184"/>
      <c r="AD5" s="185"/>
      <c r="AE5" s="183" t="s">
        <v>1261</v>
      </c>
      <c r="AF5" s="185"/>
      <c r="AG5" s="183" t="s">
        <v>1262</v>
      </c>
      <c r="AH5" s="185"/>
      <c r="AI5" s="181"/>
    </row>
    <row r="6" spans="1:37" x14ac:dyDescent="0.3">
      <c r="A6" s="145" t="s">
        <v>1028</v>
      </c>
      <c r="B6" s="146">
        <v>500</v>
      </c>
      <c r="C6" s="147">
        <v>1000</v>
      </c>
      <c r="D6" s="147">
        <v>1500</v>
      </c>
      <c r="E6" s="148">
        <v>2000</v>
      </c>
      <c r="F6" s="146">
        <v>500</v>
      </c>
      <c r="G6" s="147">
        <v>1500</v>
      </c>
      <c r="H6" s="148">
        <v>2000</v>
      </c>
      <c r="I6" s="146">
        <v>250</v>
      </c>
      <c r="J6" s="147">
        <v>750</v>
      </c>
      <c r="K6" s="147">
        <v>1250</v>
      </c>
      <c r="L6" s="147">
        <v>1500</v>
      </c>
      <c r="M6" s="148">
        <v>1750</v>
      </c>
      <c r="N6" s="146">
        <v>350</v>
      </c>
      <c r="O6" s="147">
        <v>500</v>
      </c>
      <c r="P6" s="147">
        <v>750</v>
      </c>
      <c r="Q6" s="147">
        <v>1000</v>
      </c>
      <c r="R6" s="148">
        <v>1250</v>
      </c>
      <c r="S6" s="146">
        <v>50</v>
      </c>
      <c r="T6" s="148">
        <v>100</v>
      </c>
      <c r="U6" s="146">
        <v>250</v>
      </c>
      <c r="V6" s="147">
        <v>1000</v>
      </c>
      <c r="W6" s="147">
        <v>1250</v>
      </c>
      <c r="X6" s="147">
        <v>1500</v>
      </c>
      <c r="Y6" s="147">
        <v>1750</v>
      </c>
      <c r="Z6" s="146">
        <v>350</v>
      </c>
      <c r="AA6" s="147">
        <v>500</v>
      </c>
      <c r="AB6" s="147">
        <v>750</v>
      </c>
      <c r="AC6" s="147">
        <v>1000</v>
      </c>
      <c r="AD6" s="148">
        <v>1250</v>
      </c>
      <c r="AE6" s="146">
        <v>500</v>
      </c>
      <c r="AF6" s="148">
        <v>1250</v>
      </c>
      <c r="AG6" s="146">
        <v>500</v>
      </c>
      <c r="AH6" s="148">
        <v>750</v>
      </c>
      <c r="AI6" s="182"/>
    </row>
    <row r="7" spans="1:37" s="49" customFormat="1" ht="18" x14ac:dyDescent="0.35">
      <c r="A7" s="71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</row>
    <row r="8" spans="1:37" s="2" customFormat="1" x14ac:dyDescent="0.3">
      <c r="A8" s="137" t="s">
        <v>1030</v>
      </c>
      <c r="B8" s="138">
        <v>122</v>
      </c>
      <c r="C8" s="139">
        <v>663</v>
      </c>
      <c r="D8" s="139">
        <v>1293</v>
      </c>
      <c r="E8" s="140">
        <v>5413</v>
      </c>
      <c r="F8" s="138">
        <v>159</v>
      </c>
      <c r="G8" s="139">
        <v>646</v>
      </c>
      <c r="H8" s="140">
        <v>2711</v>
      </c>
      <c r="I8" s="138">
        <v>31</v>
      </c>
      <c r="J8" s="139">
        <v>103</v>
      </c>
      <c r="K8" s="139">
        <v>242</v>
      </c>
      <c r="L8" s="139">
        <v>646</v>
      </c>
      <c r="M8" s="140">
        <v>2370</v>
      </c>
      <c r="N8" s="138">
        <v>43</v>
      </c>
      <c r="O8" s="139">
        <v>69</v>
      </c>
      <c r="P8" s="139">
        <v>145</v>
      </c>
      <c r="Q8" s="139">
        <v>431</v>
      </c>
      <c r="R8" s="140">
        <v>1694</v>
      </c>
      <c r="S8" s="138">
        <v>12</v>
      </c>
      <c r="T8" s="140">
        <v>422</v>
      </c>
      <c r="U8" s="138">
        <v>31</v>
      </c>
      <c r="V8" s="139">
        <v>135</v>
      </c>
      <c r="W8" s="139">
        <v>242</v>
      </c>
      <c r="X8" s="139">
        <v>646</v>
      </c>
      <c r="Y8" s="140">
        <v>2370</v>
      </c>
      <c r="Z8" s="138">
        <v>43</v>
      </c>
      <c r="AA8" s="139">
        <v>69</v>
      </c>
      <c r="AB8" s="139">
        <v>145</v>
      </c>
      <c r="AC8" s="139">
        <v>431</v>
      </c>
      <c r="AD8" s="140">
        <v>1694</v>
      </c>
      <c r="AE8" s="138">
        <v>62</v>
      </c>
      <c r="AF8" s="140">
        <v>413</v>
      </c>
      <c r="AG8" s="138">
        <v>62</v>
      </c>
      <c r="AH8" s="140">
        <v>248</v>
      </c>
      <c r="AI8" s="115">
        <f>AI9+AI12+AI20+AI34+AI38+AI42+AI48+AI53+AI59</f>
        <v>23806</v>
      </c>
    </row>
    <row r="9" spans="1:37" s="2" customFormat="1" x14ac:dyDescent="0.3">
      <c r="A9" s="117" t="s">
        <v>955</v>
      </c>
      <c r="B9" s="103"/>
      <c r="C9" s="70"/>
      <c r="D9" s="70">
        <v>260</v>
      </c>
      <c r="E9" s="104"/>
      <c r="F9" s="103"/>
      <c r="G9" s="70">
        <v>130</v>
      </c>
      <c r="H9" s="104"/>
      <c r="I9" s="103"/>
      <c r="J9" s="70"/>
      <c r="K9" s="70"/>
      <c r="L9" s="70">
        <v>130</v>
      </c>
      <c r="M9" s="104"/>
      <c r="N9" s="103"/>
      <c r="O9" s="70"/>
      <c r="P9" s="70"/>
      <c r="Q9" s="70">
        <v>87</v>
      </c>
      <c r="R9" s="104"/>
      <c r="S9" s="103"/>
      <c r="T9" s="104">
        <v>18</v>
      </c>
      <c r="U9" s="103"/>
      <c r="V9" s="70"/>
      <c r="W9" s="70"/>
      <c r="X9" s="70">
        <v>130</v>
      </c>
      <c r="Y9" s="104"/>
      <c r="Z9" s="103"/>
      <c r="AA9" s="70"/>
      <c r="AB9" s="70"/>
      <c r="AC9" s="70">
        <v>87</v>
      </c>
      <c r="AD9" s="104"/>
      <c r="AE9" s="103"/>
      <c r="AF9" s="104"/>
      <c r="AG9" s="103"/>
      <c r="AH9" s="104"/>
      <c r="AI9" s="105">
        <v>842</v>
      </c>
    </row>
    <row r="10" spans="1:37" s="2" customFormat="1" x14ac:dyDescent="0.3">
      <c r="A10" s="116" t="s">
        <v>221</v>
      </c>
      <c r="B10" s="64"/>
      <c r="C10" s="65"/>
      <c r="D10" s="65">
        <v>252</v>
      </c>
      <c r="E10" s="66"/>
      <c r="F10" s="64"/>
      <c r="G10" s="65">
        <v>126</v>
      </c>
      <c r="H10" s="66"/>
      <c r="I10" s="64"/>
      <c r="J10" s="65"/>
      <c r="K10" s="65"/>
      <c r="L10" s="65">
        <v>126</v>
      </c>
      <c r="M10" s="66"/>
      <c r="N10" s="64"/>
      <c r="O10" s="65"/>
      <c r="P10" s="65"/>
      <c r="Q10" s="65">
        <v>84</v>
      </c>
      <c r="R10" s="66"/>
      <c r="S10" s="64"/>
      <c r="T10" s="66">
        <v>17</v>
      </c>
      <c r="U10" s="64"/>
      <c r="V10" s="65"/>
      <c r="W10" s="65"/>
      <c r="X10" s="65">
        <v>126</v>
      </c>
      <c r="Y10" s="66"/>
      <c r="Z10" s="64"/>
      <c r="AA10" s="65"/>
      <c r="AB10" s="65"/>
      <c r="AC10" s="65">
        <v>84</v>
      </c>
      <c r="AD10" s="66"/>
      <c r="AE10" s="64"/>
      <c r="AF10" s="66"/>
      <c r="AG10" s="64"/>
      <c r="AH10" s="66"/>
      <c r="AI10" s="83">
        <v>815</v>
      </c>
      <c r="AK10" s="2" t="str">
        <f>IF(RIGHT(A10,2)="-R",MID(A10,FIND("-",A10)+1,LEN(A10)-FIND("-",A10)-2)&amp;"-"&amp;LEFT(A10,FIND("-",A10)-1)&amp;"-R",MID(A10,FIND("-",A10)+1,99)&amp;"-"&amp;LEFT(A10,FIND("-",A10)-1))</f>
        <v>49-B13</v>
      </c>
    </row>
    <row r="11" spans="1:37" s="2" customFormat="1" x14ac:dyDescent="0.3">
      <c r="A11" s="113" t="s">
        <v>229</v>
      </c>
      <c r="B11" s="58"/>
      <c r="C11" s="59"/>
      <c r="D11" s="59">
        <v>8</v>
      </c>
      <c r="E11" s="60"/>
      <c r="F11" s="58"/>
      <c r="G11" s="59">
        <v>4</v>
      </c>
      <c r="H11" s="60"/>
      <c r="I11" s="58"/>
      <c r="J11" s="59"/>
      <c r="K11" s="59"/>
      <c r="L11" s="59">
        <v>4</v>
      </c>
      <c r="M11" s="60"/>
      <c r="N11" s="58"/>
      <c r="O11" s="59"/>
      <c r="P11" s="59"/>
      <c r="Q11" s="59">
        <v>3</v>
      </c>
      <c r="R11" s="60"/>
      <c r="S11" s="58"/>
      <c r="T11" s="60">
        <v>1</v>
      </c>
      <c r="U11" s="58"/>
      <c r="V11" s="59"/>
      <c r="W11" s="59"/>
      <c r="X11" s="59">
        <v>4</v>
      </c>
      <c r="Y11" s="60"/>
      <c r="Z11" s="58"/>
      <c r="AA11" s="59"/>
      <c r="AB11" s="59"/>
      <c r="AC11" s="59">
        <v>3</v>
      </c>
      <c r="AD11" s="60"/>
      <c r="AE11" s="58"/>
      <c r="AF11" s="60"/>
      <c r="AG11" s="58"/>
      <c r="AH11" s="60"/>
      <c r="AI11" s="114">
        <v>27</v>
      </c>
      <c r="AK11" s="2" t="str">
        <f t="shared" ref="AK11:AK74" si="0">IF(RIGHT(A11,2)="-R",MID(A11,FIND("-",A11)+1,LEN(A11)-FIND("-",A11)-2)&amp;"-"&amp;LEFT(A11,FIND("-",A11)-1)&amp;"-R",MID(A11,FIND("-",A11)+1,99)&amp;"-"&amp;LEFT(A11,FIND("-",A11)-1))</f>
        <v>30-B14</v>
      </c>
    </row>
    <row r="12" spans="1:37" s="2" customFormat="1" x14ac:dyDescent="0.3">
      <c r="A12" s="117" t="s">
        <v>1132</v>
      </c>
      <c r="B12" s="103"/>
      <c r="C12" s="70"/>
      <c r="D12" s="70">
        <v>1033</v>
      </c>
      <c r="E12" s="104"/>
      <c r="F12" s="103"/>
      <c r="G12" s="70">
        <v>516</v>
      </c>
      <c r="H12" s="104"/>
      <c r="I12" s="103"/>
      <c r="J12" s="70"/>
      <c r="K12" s="70"/>
      <c r="L12" s="70">
        <v>516</v>
      </c>
      <c r="M12" s="104"/>
      <c r="N12" s="103"/>
      <c r="O12" s="70"/>
      <c r="P12" s="70"/>
      <c r="Q12" s="70">
        <v>344</v>
      </c>
      <c r="R12" s="104"/>
      <c r="S12" s="103"/>
      <c r="T12" s="104">
        <v>67</v>
      </c>
      <c r="U12" s="103"/>
      <c r="V12" s="70"/>
      <c r="W12" s="70"/>
      <c r="X12" s="70">
        <v>516</v>
      </c>
      <c r="Y12" s="104"/>
      <c r="Z12" s="103"/>
      <c r="AA12" s="70"/>
      <c r="AB12" s="70"/>
      <c r="AC12" s="70">
        <v>344</v>
      </c>
      <c r="AD12" s="104"/>
      <c r="AE12" s="103"/>
      <c r="AF12" s="104"/>
      <c r="AG12" s="103"/>
      <c r="AH12" s="104"/>
      <c r="AI12" s="105">
        <f>SUM(AI13:AI19)</f>
        <v>3336</v>
      </c>
    </row>
    <row r="13" spans="1:37" s="2" customFormat="1" x14ac:dyDescent="0.3">
      <c r="A13" s="116" t="s">
        <v>741</v>
      </c>
      <c r="B13" s="64"/>
      <c r="C13" s="65"/>
      <c r="D13" s="65">
        <v>7</v>
      </c>
      <c r="E13" s="66"/>
      <c r="F13" s="64"/>
      <c r="G13" s="65">
        <v>3</v>
      </c>
      <c r="H13" s="66"/>
      <c r="I13" s="64"/>
      <c r="J13" s="65"/>
      <c r="K13" s="65"/>
      <c r="L13" s="65">
        <v>3</v>
      </c>
      <c r="M13" s="66"/>
      <c r="N13" s="64"/>
      <c r="O13" s="65"/>
      <c r="P13" s="65"/>
      <c r="Q13" s="65">
        <v>2</v>
      </c>
      <c r="R13" s="66"/>
      <c r="S13" s="64"/>
      <c r="T13" s="66">
        <v>0</v>
      </c>
      <c r="U13" s="64"/>
      <c r="V13" s="65"/>
      <c r="W13" s="65"/>
      <c r="X13" s="65">
        <v>3</v>
      </c>
      <c r="Y13" s="66"/>
      <c r="Z13" s="64"/>
      <c r="AA13" s="65"/>
      <c r="AB13" s="65"/>
      <c r="AC13" s="65">
        <v>2</v>
      </c>
      <c r="AD13" s="66"/>
      <c r="AE13" s="64"/>
      <c r="AF13" s="66"/>
      <c r="AG13" s="64"/>
      <c r="AH13" s="66"/>
      <c r="AI13" s="83">
        <v>20</v>
      </c>
      <c r="AK13" s="2" t="str">
        <f t="shared" si="0"/>
        <v>49-T16-R</v>
      </c>
    </row>
    <row r="14" spans="1:37" s="2" customFormat="1" x14ac:dyDescent="0.3">
      <c r="A14" s="112" t="s">
        <v>782</v>
      </c>
      <c r="B14" s="54"/>
      <c r="C14" s="55"/>
      <c r="D14" s="55">
        <v>170</v>
      </c>
      <c r="E14" s="56"/>
      <c r="F14" s="54"/>
      <c r="G14" s="55">
        <v>85</v>
      </c>
      <c r="H14" s="56"/>
      <c r="I14" s="54"/>
      <c r="J14" s="55"/>
      <c r="K14" s="55"/>
      <c r="L14" s="55">
        <v>85</v>
      </c>
      <c r="M14" s="56"/>
      <c r="N14" s="54"/>
      <c r="O14" s="55"/>
      <c r="P14" s="55"/>
      <c r="Q14" s="55">
        <v>57</v>
      </c>
      <c r="R14" s="56"/>
      <c r="S14" s="54"/>
      <c r="T14" s="56">
        <v>11</v>
      </c>
      <c r="U14" s="54"/>
      <c r="V14" s="55"/>
      <c r="W14" s="55"/>
      <c r="X14" s="55">
        <v>85</v>
      </c>
      <c r="Y14" s="56"/>
      <c r="Z14" s="54"/>
      <c r="AA14" s="55"/>
      <c r="AB14" s="55"/>
      <c r="AC14" s="55">
        <v>57</v>
      </c>
      <c r="AD14" s="56"/>
      <c r="AE14" s="54"/>
      <c r="AF14" s="56"/>
      <c r="AG14" s="54"/>
      <c r="AH14" s="56"/>
      <c r="AI14" s="82">
        <v>550</v>
      </c>
      <c r="AK14" s="2" t="str">
        <f t="shared" si="0"/>
        <v>49-T20-R</v>
      </c>
    </row>
    <row r="15" spans="1:37" s="2" customFormat="1" x14ac:dyDescent="0.3">
      <c r="A15" s="112" t="s">
        <v>173</v>
      </c>
      <c r="B15" s="54"/>
      <c r="C15" s="55"/>
      <c r="D15" s="55">
        <v>241</v>
      </c>
      <c r="E15" s="56"/>
      <c r="F15" s="54"/>
      <c r="G15" s="55">
        <v>121</v>
      </c>
      <c r="H15" s="56"/>
      <c r="I15" s="54"/>
      <c r="J15" s="55"/>
      <c r="K15" s="55"/>
      <c r="L15" s="55">
        <v>121</v>
      </c>
      <c r="M15" s="56"/>
      <c r="N15" s="54"/>
      <c r="O15" s="55"/>
      <c r="P15" s="55"/>
      <c r="Q15" s="55">
        <v>80</v>
      </c>
      <c r="R15" s="56"/>
      <c r="S15" s="54"/>
      <c r="T15" s="56">
        <v>16</v>
      </c>
      <c r="U15" s="54"/>
      <c r="V15" s="55"/>
      <c r="W15" s="55"/>
      <c r="X15" s="55">
        <v>121</v>
      </c>
      <c r="Y15" s="56"/>
      <c r="Z15" s="54"/>
      <c r="AA15" s="55"/>
      <c r="AB15" s="55"/>
      <c r="AC15" s="55">
        <v>80</v>
      </c>
      <c r="AD15" s="56"/>
      <c r="AE15" s="54"/>
      <c r="AF15" s="56"/>
      <c r="AG15" s="54"/>
      <c r="AH15" s="56"/>
      <c r="AI15" s="82">
        <v>780</v>
      </c>
      <c r="AK15" s="2" t="str">
        <f t="shared" si="0"/>
        <v>50-B07</v>
      </c>
    </row>
    <row r="16" spans="1:37" s="2" customFormat="1" x14ac:dyDescent="0.3">
      <c r="A16" s="112" t="s">
        <v>197</v>
      </c>
      <c r="B16" s="54"/>
      <c r="C16" s="55"/>
      <c r="D16" s="55">
        <v>255</v>
      </c>
      <c r="E16" s="56"/>
      <c r="F16" s="54"/>
      <c r="G16" s="55">
        <v>127</v>
      </c>
      <c r="H16" s="56"/>
      <c r="I16" s="54"/>
      <c r="J16" s="55"/>
      <c r="K16" s="55"/>
      <c r="L16" s="55">
        <v>127</v>
      </c>
      <c r="M16" s="56"/>
      <c r="N16" s="54"/>
      <c r="O16" s="55"/>
      <c r="P16" s="55"/>
      <c r="Q16" s="55">
        <v>85</v>
      </c>
      <c r="R16" s="56"/>
      <c r="S16" s="54"/>
      <c r="T16" s="56">
        <v>17</v>
      </c>
      <c r="U16" s="54"/>
      <c r="V16" s="55"/>
      <c r="W16" s="55"/>
      <c r="X16" s="55">
        <v>127</v>
      </c>
      <c r="Y16" s="56"/>
      <c r="Z16" s="54"/>
      <c r="AA16" s="55"/>
      <c r="AB16" s="55"/>
      <c r="AC16" s="55">
        <v>85</v>
      </c>
      <c r="AD16" s="56"/>
      <c r="AE16" s="54"/>
      <c r="AF16" s="56"/>
      <c r="AG16" s="54"/>
      <c r="AH16" s="56"/>
      <c r="AI16" s="82">
        <v>823</v>
      </c>
      <c r="AK16" s="2" t="str">
        <f t="shared" si="0"/>
        <v>50-B10</v>
      </c>
    </row>
    <row r="17" spans="1:37" s="2" customFormat="1" x14ac:dyDescent="0.3">
      <c r="A17" s="112" t="s">
        <v>700</v>
      </c>
      <c r="B17" s="54"/>
      <c r="C17" s="55"/>
      <c r="D17" s="55">
        <v>172</v>
      </c>
      <c r="E17" s="56"/>
      <c r="F17" s="54"/>
      <c r="G17" s="55">
        <v>86</v>
      </c>
      <c r="H17" s="56"/>
      <c r="I17" s="54"/>
      <c r="J17" s="55"/>
      <c r="K17" s="55"/>
      <c r="L17" s="55">
        <v>86</v>
      </c>
      <c r="M17" s="56"/>
      <c r="N17" s="54"/>
      <c r="O17" s="55"/>
      <c r="P17" s="55"/>
      <c r="Q17" s="55">
        <v>57</v>
      </c>
      <c r="R17" s="56"/>
      <c r="S17" s="54"/>
      <c r="T17" s="56">
        <v>11</v>
      </c>
      <c r="U17" s="54"/>
      <c r="V17" s="55"/>
      <c r="W17" s="55"/>
      <c r="X17" s="55">
        <v>86</v>
      </c>
      <c r="Y17" s="56"/>
      <c r="Z17" s="54"/>
      <c r="AA17" s="55"/>
      <c r="AB17" s="55"/>
      <c r="AC17" s="55">
        <v>57</v>
      </c>
      <c r="AD17" s="56"/>
      <c r="AE17" s="54"/>
      <c r="AF17" s="56"/>
      <c r="AG17" s="54"/>
      <c r="AH17" s="56"/>
      <c r="AI17" s="82">
        <v>555</v>
      </c>
      <c r="AK17" s="2" t="str">
        <f t="shared" si="0"/>
        <v>50-T10-R</v>
      </c>
    </row>
    <row r="18" spans="1:37" s="2" customFormat="1" x14ac:dyDescent="0.3">
      <c r="A18" s="112" t="s">
        <v>725</v>
      </c>
      <c r="B18" s="54"/>
      <c r="C18" s="55"/>
      <c r="D18" s="55">
        <v>182</v>
      </c>
      <c r="E18" s="56"/>
      <c r="F18" s="54"/>
      <c r="G18" s="55">
        <v>91</v>
      </c>
      <c r="H18" s="56"/>
      <c r="I18" s="54"/>
      <c r="J18" s="55"/>
      <c r="K18" s="55"/>
      <c r="L18" s="55">
        <v>91</v>
      </c>
      <c r="M18" s="56"/>
      <c r="N18" s="54"/>
      <c r="O18" s="55"/>
      <c r="P18" s="55"/>
      <c r="Q18" s="55">
        <v>61</v>
      </c>
      <c r="R18" s="56"/>
      <c r="S18" s="54"/>
      <c r="T18" s="56">
        <v>12</v>
      </c>
      <c r="U18" s="54"/>
      <c r="V18" s="55"/>
      <c r="W18" s="55"/>
      <c r="X18" s="55">
        <v>91</v>
      </c>
      <c r="Y18" s="56"/>
      <c r="Z18" s="54"/>
      <c r="AA18" s="55"/>
      <c r="AB18" s="55"/>
      <c r="AC18" s="55">
        <v>61</v>
      </c>
      <c r="AD18" s="56"/>
      <c r="AE18" s="54"/>
      <c r="AF18" s="56"/>
      <c r="AG18" s="54"/>
      <c r="AH18" s="56"/>
      <c r="AI18" s="82">
        <v>589</v>
      </c>
      <c r="AK18" s="2" t="str">
        <f t="shared" si="0"/>
        <v>50-T12-R</v>
      </c>
    </row>
    <row r="19" spans="1:37" s="2" customFormat="1" x14ac:dyDescent="0.3">
      <c r="A19" s="118" t="s">
        <v>823</v>
      </c>
      <c r="B19" s="61"/>
      <c r="C19" s="62"/>
      <c r="D19" s="62">
        <v>6</v>
      </c>
      <c r="E19" s="63"/>
      <c r="F19" s="61"/>
      <c r="G19" s="62">
        <v>3</v>
      </c>
      <c r="H19" s="63"/>
      <c r="I19" s="61"/>
      <c r="J19" s="62"/>
      <c r="K19" s="62"/>
      <c r="L19" s="62">
        <v>3</v>
      </c>
      <c r="M19" s="63"/>
      <c r="N19" s="61"/>
      <c r="O19" s="62"/>
      <c r="P19" s="62"/>
      <c r="Q19" s="62">
        <v>2</v>
      </c>
      <c r="R19" s="63"/>
      <c r="S19" s="61"/>
      <c r="T19" s="63">
        <v>0</v>
      </c>
      <c r="U19" s="61"/>
      <c r="V19" s="62"/>
      <c r="W19" s="62"/>
      <c r="X19" s="62">
        <v>3</v>
      </c>
      <c r="Y19" s="63"/>
      <c r="Z19" s="61"/>
      <c r="AA19" s="62"/>
      <c r="AB19" s="62"/>
      <c r="AC19" s="62">
        <v>2</v>
      </c>
      <c r="AD19" s="63"/>
      <c r="AE19" s="61"/>
      <c r="AF19" s="63"/>
      <c r="AG19" s="61"/>
      <c r="AH19" s="63"/>
      <c r="AI19" s="119">
        <v>19</v>
      </c>
      <c r="AK19" s="2" t="str">
        <f t="shared" si="0"/>
        <v>52-T28-R</v>
      </c>
    </row>
    <row r="20" spans="1:37" s="2" customFormat="1" x14ac:dyDescent="0.3">
      <c r="A20" s="117" t="s">
        <v>1138</v>
      </c>
      <c r="B20" s="103"/>
      <c r="C20" s="70"/>
      <c r="D20" s="70"/>
      <c r="E20" s="104">
        <f>SUM(E27:E33)</f>
        <v>1828</v>
      </c>
      <c r="F20" s="103"/>
      <c r="G20" s="70"/>
      <c r="H20" s="104">
        <f>SUM(H27:H33)</f>
        <v>915</v>
      </c>
      <c r="I20" s="103"/>
      <c r="J20" s="70"/>
      <c r="K20" s="70"/>
      <c r="L20" s="70"/>
      <c r="M20" s="104">
        <f>SUM(M27:M33)</f>
        <v>801</v>
      </c>
      <c r="N20" s="103"/>
      <c r="O20" s="70"/>
      <c r="P20" s="70"/>
      <c r="Q20" s="70"/>
      <c r="R20" s="104">
        <f>SUM(R27:R33)</f>
        <v>573</v>
      </c>
      <c r="S20" s="103"/>
      <c r="T20" s="104">
        <f>SUM(T27:T33)</f>
        <v>91</v>
      </c>
      <c r="U20" s="103"/>
      <c r="V20" s="70"/>
      <c r="W20" s="70"/>
      <c r="X20" s="70"/>
      <c r="Y20" s="104">
        <f>SUM(Y27:Y33)</f>
        <v>801</v>
      </c>
      <c r="Z20" s="103"/>
      <c r="AA20" s="70"/>
      <c r="AB20" s="70"/>
      <c r="AC20" s="70"/>
      <c r="AD20" s="104">
        <f>SUM(AD27:AD33)</f>
        <v>573</v>
      </c>
      <c r="AE20" s="103"/>
      <c r="AF20" s="104"/>
      <c r="AG20" s="103"/>
      <c r="AH20" s="104"/>
      <c r="AI20" s="105">
        <f>SUM(AI21:AI33)</f>
        <v>8586</v>
      </c>
    </row>
    <row r="21" spans="1:37" s="2" customFormat="1" x14ac:dyDescent="0.3">
      <c r="A21" s="112" t="s">
        <v>676</v>
      </c>
      <c r="B21" s="54"/>
      <c r="C21" s="55"/>
      <c r="D21" s="55"/>
      <c r="E21" s="56">
        <v>17</v>
      </c>
      <c r="F21" s="54"/>
      <c r="G21" s="55"/>
      <c r="H21" s="56">
        <v>9</v>
      </c>
      <c r="I21" s="54"/>
      <c r="J21" s="55"/>
      <c r="K21" s="55"/>
      <c r="L21" s="55"/>
      <c r="M21" s="56">
        <v>7</v>
      </c>
      <c r="N21" s="54"/>
      <c r="O21" s="55"/>
      <c r="P21" s="55"/>
      <c r="Q21" s="55"/>
      <c r="R21" s="56">
        <v>5</v>
      </c>
      <c r="S21" s="54"/>
      <c r="T21" s="56">
        <v>1</v>
      </c>
      <c r="U21" s="54"/>
      <c r="V21" s="55"/>
      <c r="W21" s="55"/>
      <c r="X21" s="55"/>
      <c r="Y21" s="56">
        <v>7</v>
      </c>
      <c r="Z21" s="54"/>
      <c r="AA21" s="55"/>
      <c r="AB21" s="55"/>
      <c r="AC21" s="55"/>
      <c r="AD21" s="56">
        <v>5</v>
      </c>
      <c r="AE21" s="54"/>
      <c r="AF21" s="56"/>
      <c r="AG21" s="54"/>
      <c r="AH21" s="56"/>
      <c r="AI21" s="82">
        <v>51</v>
      </c>
      <c r="AK21" s="2" t="str">
        <f t="shared" si="0"/>
        <v>56-T08</v>
      </c>
    </row>
    <row r="22" spans="1:37" s="2" customFormat="1" x14ac:dyDescent="0.3">
      <c r="A22" s="112" t="s">
        <v>684</v>
      </c>
      <c r="B22" s="54"/>
      <c r="C22" s="55"/>
      <c r="D22" s="55"/>
      <c r="E22" s="56">
        <v>225</v>
      </c>
      <c r="F22" s="54"/>
      <c r="G22" s="55"/>
      <c r="H22" s="56">
        <v>113</v>
      </c>
      <c r="I22" s="54"/>
      <c r="J22" s="55"/>
      <c r="K22" s="55"/>
      <c r="L22" s="55"/>
      <c r="M22" s="56">
        <v>99</v>
      </c>
      <c r="N22" s="54"/>
      <c r="O22" s="55"/>
      <c r="P22" s="55"/>
      <c r="Q22" s="55"/>
      <c r="R22" s="56">
        <v>70</v>
      </c>
      <c r="S22" s="54"/>
      <c r="T22" s="56">
        <v>11</v>
      </c>
      <c r="U22" s="54"/>
      <c r="V22" s="55"/>
      <c r="W22" s="55"/>
      <c r="X22" s="55"/>
      <c r="Y22" s="56">
        <v>99</v>
      </c>
      <c r="Z22" s="54"/>
      <c r="AA22" s="55"/>
      <c r="AB22" s="55"/>
      <c r="AC22" s="55"/>
      <c r="AD22" s="56">
        <v>70</v>
      </c>
      <c r="AE22" s="54"/>
      <c r="AF22" s="56"/>
      <c r="AG22" s="54"/>
      <c r="AH22" s="56"/>
      <c r="AI22" s="82">
        <v>687</v>
      </c>
      <c r="AK22" s="2" t="str">
        <f t="shared" si="0"/>
        <v>56-T08-R</v>
      </c>
    </row>
    <row r="23" spans="1:37" s="2" customFormat="1" x14ac:dyDescent="0.3">
      <c r="A23" s="112" t="s">
        <v>774</v>
      </c>
      <c r="B23" s="54"/>
      <c r="C23" s="55"/>
      <c r="D23" s="55"/>
      <c r="E23" s="56">
        <v>256</v>
      </c>
      <c r="F23" s="54"/>
      <c r="G23" s="55"/>
      <c r="H23" s="56">
        <v>128</v>
      </c>
      <c r="I23" s="54"/>
      <c r="J23" s="55"/>
      <c r="K23" s="55"/>
      <c r="L23" s="55"/>
      <c r="M23" s="56">
        <v>112</v>
      </c>
      <c r="N23" s="54"/>
      <c r="O23" s="55"/>
      <c r="P23" s="55"/>
      <c r="Q23" s="55"/>
      <c r="R23" s="56">
        <v>80</v>
      </c>
      <c r="S23" s="54"/>
      <c r="T23" s="56">
        <v>13</v>
      </c>
      <c r="U23" s="54"/>
      <c r="V23" s="55"/>
      <c r="W23" s="55"/>
      <c r="X23" s="55"/>
      <c r="Y23" s="56">
        <v>112</v>
      </c>
      <c r="Z23" s="54"/>
      <c r="AA23" s="55"/>
      <c r="AB23" s="55"/>
      <c r="AC23" s="55"/>
      <c r="AD23" s="56">
        <v>80</v>
      </c>
      <c r="AE23" s="54"/>
      <c r="AF23" s="56"/>
      <c r="AG23" s="54"/>
      <c r="AH23" s="56"/>
      <c r="AI23" s="82">
        <v>781</v>
      </c>
      <c r="AK23" s="2" t="str">
        <f t="shared" si="0"/>
        <v>56-T19-R</v>
      </c>
    </row>
    <row r="24" spans="1:37" s="2" customFormat="1" x14ac:dyDescent="0.3">
      <c r="A24" s="112" t="s">
        <v>790</v>
      </c>
      <c r="B24" s="54"/>
      <c r="C24" s="55"/>
      <c r="D24" s="55"/>
      <c r="E24" s="56">
        <v>241</v>
      </c>
      <c r="F24" s="54"/>
      <c r="G24" s="55"/>
      <c r="H24" s="56">
        <v>121</v>
      </c>
      <c r="I24" s="54"/>
      <c r="J24" s="55"/>
      <c r="K24" s="55"/>
      <c r="L24" s="55"/>
      <c r="M24" s="56">
        <v>106</v>
      </c>
      <c r="N24" s="54"/>
      <c r="O24" s="55"/>
      <c r="P24" s="55"/>
      <c r="Q24" s="55"/>
      <c r="R24" s="56">
        <v>75</v>
      </c>
      <c r="S24" s="54"/>
      <c r="T24" s="56">
        <v>12</v>
      </c>
      <c r="U24" s="54"/>
      <c r="V24" s="55"/>
      <c r="W24" s="55"/>
      <c r="X24" s="55"/>
      <c r="Y24" s="56">
        <v>106</v>
      </c>
      <c r="Z24" s="54"/>
      <c r="AA24" s="55"/>
      <c r="AB24" s="55"/>
      <c r="AC24" s="55"/>
      <c r="AD24" s="56">
        <v>75</v>
      </c>
      <c r="AE24" s="54"/>
      <c r="AF24" s="56"/>
      <c r="AG24" s="54"/>
      <c r="AH24" s="56"/>
      <c r="AI24" s="82">
        <v>736</v>
      </c>
      <c r="AK24" s="2" t="str">
        <f t="shared" si="0"/>
        <v>56-T21-R</v>
      </c>
    </row>
    <row r="25" spans="1:37" s="2" customFormat="1" x14ac:dyDescent="0.3">
      <c r="A25" s="118" t="s">
        <v>831</v>
      </c>
      <c r="B25" s="61"/>
      <c r="C25" s="62"/>
      <c r="D25" s="62"/>
      <c r="E25" s="63">
        <v>112</v>
      </c>
      <c r="F25" s="61"/>
      <c r="G25" s="62"/>
      <c r="H25" s="63">
        <v>56</v>
      </c>
      <c r="I25" s="61"/>
      <c r="J25" s="62"/>
      <c r="K25" s="62"/>
      <c r="L25" s="62"/>
      <c r="M25" s="63">
        <v>49</v>
      </c>
      <c r="N25" s="61"/>
      <c r="O25" s="62"/>
      <c r="P25" s="62"/>
      <c r="Q25" s="62"/>
      <c r="R25" s="63">
        <v>35</v>
      </c>
      <c r="S25" s="61"/>
      <c r="T25" s="63">
        <v>6</v>
      </c>
      <c r="U25" s="61"/>
      <c r="V25" s="62"/>
      <c r="W25" s="62"/>
      <c r="X25" s="62"/>
      <c r="Y25" s="63">
        <v>49</v>
      </c>
      <c r="Z25" s="61"/>
      <c r="AA25" s="62"/>
      <c r="AB25" s="62"/>
      <c r="AC25" s="62"/>
      <c r="AD25" s="63">
        <v>35</v>
      </c>
      <c r="AE25" s="61"/>
      <c r="AF25" s="63"/>
      <c r="AG25" s="61"/>
      <c r="AH25" s="63"/>
      <c r="AI25" s="119">
        <v>342</v>
      </c>
      <c r="AK25" s="2" t="str">
        <f t="shared" si="0"/>
        <v>56-T28-R</v>
      </c>
    </row>
    <row r="26" spans="1:37" s="2" customFormat="1" x14ac:dyDescent="0.3">
      <c r="A26" s="112" t="s">
        <v>237</v>
      </c>
      <c r="B26" s="54"/>
      <c r="C26" s="55"/>
      <c r="D26" s="55"/>
      <c r="E26" s="56">
        <v>133</v>
      </c>
      <c r="F26" s="54"/>
      <c r="G26" s="55"/>
      <c r="H26" s="56">
        <v>67</v>
      </c>
      <c r="I26" s="54"/>
      <c r="J26" s="55"/>
      <c r="K26" s="55"/>
      <c r="L26" s="55"/>
      <c r="M26" s="56">
        <v>58</v>
      </c>
      <c r="N26" s="54"/>
      <c r="O26" s="55"/>
      <c r="P26" s="55"/>
      <c r="Q26" s="55"/>
      <c r="R26" s="56">
        <v>42</v>
      </c>
      <c r="S26" s="54"/>
      <c r="T26" s="56">
        <v>7</v>
      </c>
      <c r="U26" s="54"/>
      <c r="V26" s="55"/>
      <c r="W26" s="55"/>
      <c r="X26" s="55"/>
      <c r="Y26" s="56">
        <v>58</v>
      </c>
      <c r="Z26" s="54"/>
      <c r="AA26" s="55"/>
      <c r="AB26" s="55"/>
      <c r="AC26" s="55"/>
      <c r="AD26" s="56">
        <v>42</v>
      </c>
      <c r="AE26" s="54"/>
      <c r="AF26" s="56"/>
      <c r="AG26" s="54"/>
      <c r="AH26" s="56"/>
      <c r="AI26" s="82">
        <v>407</v>
      </c>
      <c r="AK26" s="2" t="str">
        <f t="shared" si="0"/>
        <v>57-B14</v>
      </c>
    </row>
    <row r="27" spans="1:37" s="2" customFormat="1" x14ac:dyDescent="0.3">
      <c r="A27" s="116" t="s">
        <v>141</v>
      </c>
      <c r="B27" s="64"/>
      <c r="C27" s="65"/>
      <c r="D27" s="65"/>
      <c r="E27" s="66">
        <v>338</v>
      </c>
      <c r="F27" s="64"/>
      <c r="G27" s="65"/>
      <c r="H27" s="66">
        <v>169</v>
      </c>
      <c r="I27" s="64"/>
      <c r="J27" s="65"/>
      <c r="K27" s="65"/>
      <c r="L27" s="65"/>
      <c r="M27" s="66">
        <v>148</v>
      </c>
      <c r="N27" s="64"/>
      <c r="O27" s="65"/>
      <c r="P27" s="65"/>
      <c r="Q27" s="65"/>
      <c r="R27" s="66">
        <v>106</v>
      </c>
      <c r="S27" s="64"/>
      <c r="T27" s="66">
        <v>17</v>
      </c>
      <c r="U27" s="64"/>
      <c r="V27" s="65"/>
      <c r="W27" s="65"/>
      <c r="X27" s="65"/>
      <c r="Y27" s="66">
        <v>148</v>
      </c>
      <c r="Z27" s="64"/>
      <c r="AA27" s="65"/>
      <c r="AB27" s="65"/>
      <c r="AC27" s="65"/>
      <c r="AD27" s="66">
        <v>106</v>
      </c>
      <c r="AE27" s="64"/>
      <c r="AF27" s="66"/>
      <c r="AG27" s="64"/>
      <c r="AH27" s="66"/>
      <c r="AI27" s="83">
        <v>1032</v>
      </c>
      <c r="AK27" s="2" t="str">
        <f t="shared" si="0"/>
        <v>57-B03</v>
      </c>
    </row>
    <row r="28" spans="1:37" s="2" customFormat="1" x14ac:dyDescent="0.3">
      <c r="A28" s="116" t="s">
        <v>213</v>
      </c>
      <c r="B28" s="64"/>
      <c r="C28" s="65"/>
      <c r="D28" s="65"/>
      <c r="E28" s="66">
        <v>341</v>
      </c>
      <c r="F28" s="64"/>
      <c r="G28" s="65"/>
      <c r="H28" s="66">
        <v>171</v>
      </c>
      <c r="I28" s="64"/>
      <c r="J28" s="65"/>
      <c r="K28" s="65"/>
      <c r="L28" s="65"/>
      <c r="M28" s="66">
        <v>149</v>
      </c>
      <c r="N28" s="64"/>
      <c r="O28" s="65"/>
      <c r="P28" s="65"/>
      <c r="Q28" s="65"/>
      <c r="R28" s="66">
        <v>107</v>
      </c>
      <c r="S28" s="64"/>
      <c r="T28" s="66">
        <v>17</v>
      </c>
      <c r="U28" s="64"/>
      <c r="V28" s="65"/>
      <c r="W28" s="65"/>
      <c r="X28" s="65"/>
      <c r="Y28" s="66">
        <v>149</v>
      </c>
      <c r="Z28" s="64"/>
      <c r="AA28" s="65"/>
      <c r="AB28" s="65"/>
      <c r="AC28" s="65"/>
      <c r="AD28" s="66">
        <v>107</v>
      </c>
      <c r="AE28" s="64"/>
      <c r="AF28" s="66"/>
      <c r="AG28" s="64"/>
      <c r="AH28" s="66"/>
      <c r="AI28" s="83">
        <v>1041</v>
      </c>
      <c r="AK28" s="2" t="str">
        <f t="shared" si="0"/>
        <v>57-B12</v>
      </c>
    </row>
    <row r="29" spans="1:37" s="2" customFormat="1" x14ac:dyDescent="0.3">
      <c r="A29" s="112" t="s">
        <v>692</v>
      </c>
      <c r="B29" s="54"/>
      <c r="C29" s="55"/>
      <c r="D29" s="55"/>
      <c r="E29" s="56">
        <v>235</v>
      </c>
      <c r="F29" s="54"/>
      <c r="G29" s="55"/>
      <c r="H29" s="56">
        <v>117</v>
      </c>
      <c r="I29" s="54"/>
      <c r="J29" s="55"/>
      <c r="K29" s="55"/>
      <c r="L29" s="55"/>
      <c r="M29" s="56">
        <v>103</v>
      </c>
      <c r="N29" s="54"/>
      <c r="O29" s="55"/>
      <c r="P29" s="55"/>
      <c r="Q29" s="55"/>
      <c r="R29" s="56">
        <v>73</v>
      </c>
      <c r="S29" s="54"/>
      <c r="T29" s="56">
        <v>12</v>
      </c>
      <c r="U29" s="54"/>
      <c r="V29" s="55"/>
      <c r="W29" s="55"/>
      <c r="X29" s="55"/>
      <c r="Y29" s="56">
        <v>103</v>
      </c>
      <c r="Z29" s="54"/>
      <c r="AA29" s="55"/>
      <c r="AB29" s="55"/>
      <c r="AC29" s="55"/>
      <c r="AD29" s="56">
        <v>73</v>
      </c>
      <c r="AE29" s="54"/>
      <c r="AF29" s="56"/>
      <c r="AG29" s="54"/>
      <c r="AH29" s="56"/>
      <c r="AI29" s="82">
        <v>716</v>
      </c>
      <c r="AK29" s="2" t="str">
        <f t="shared" si="0"/>
        <v>58-T09-R</v>
      </c>
    </row>
    <row r="30" spans="1:37" s="2" customFormat="1" x14ac:dyDescent="0.3">
      <c r="A30" s="112" t="s">
        <v>717</v>
      </c>
      <c r="B30" s="54"/>
      <c r="C30" s="55"/>
      <c r="D30" s="55"/>
      <c r="E30" s="56">
        <v>232</v>
      </c>
      <c r="F30" s="54"/>
      <c r="G30" s="55"/>
      <c r="H30" s="56">
        <v>116</v>
      </c>
      <c r="I30" s="54"/>
      <c r="J30" s="55"/>
      <c r="K30" s="55"/>
      <c r="L30" s="55"/>
      <c r="M30" s="56">
        <v>102</v>
      </c>
      <c r="N30" s="54"/>
      <c r="O30" s="55"/>
      <c r="P30" s="55"/>
      <c r="Q30" s="55"/>
      <c r="R30" s="56">
        <v>73</v>
      </c>
      <c r="S30" s="54"/>
      <c r="T30" s="56">
        <v>12</v>
      </c>
      <c r="U30" s="54"/>
      <c r="V30" s="55"/>
      <c r="W30" s="55"/>
      <c r="X30" s="55"/>
      <c r="Y30" s="56">
        <v>102</v>
      </c>
      <c r="Z30" s="54"/>
      <c r="AA30" s="55"/>
      <c r="AB30" s="55"/>
      <c r="AC30" s="55"/>
      <c r="AD30" s="56">
        <v>73</v>
      </c>
      <c r="AE30" s="54"/>
      <c r="AF30" s="56"/>
      <c r="AG30" s="54"/>
      <c r="AH30" s="56"/>
      <c r="AI30" s="82">
        <v>710</v>
      </c>
      <c r="AK30" s="2" t="str">
        <f t="shared" si="0"/>
        <v>58-T11-R</v>
      </c>
    </row>
    <row r="31" spans="1:37" s="2" customFormat="1" x14ac:dyDescent="0.3">
      <c r="A31" s="112" t="s">
        <v>733</v>
      </c>
      <c r="B31" s="54"/>
      <c r="C31" s="55"/>
      <c r="D31" s="55"/>
      <c r="E31" s="56">
        <v>229</v>
      </c>
      <c r="F31" s="54"/>
      <c r="G31" s="55"/>
      <c r="H31" s="56">
        <v>115</v>
      </c>
      <c r="I31" s="54"/>
      <c r="J31" s="55"/>
      <c r="K31" s="55"/>
      <c r="L31" s="55"/>
      <c r="M31" s="56">
        <v>100</v>
      </c>
      <c r="N31" s="54"/>
      <c r="O31" s="55"/>
      <c r="P31" s="55"/>
      <c r="Q31" s="55"/>
      <c r="R31" s="56">
        <v>72</v>
      </c>
      <c r="S31" s="54"/>
      <c r="T31" s="56">
        <v>11</v>
      </c>
      <c r="U31" s="54"/>
      <c r="V31" s="55"/>
      <c r="W31" s="55"/>
      <c r="X31" s="55"/>
      <c r="Y31" s="56">
        <v>100</v>
      </c>
      <c r="Z31" s="54"/>
      <c r="AA31" s="55"/>
      <c r="AB31" s="55"/>
      <c r="AC31" s="55"/>
      <c r="AD31" s="56">
        <v>72</v>
      </c>
      <c r="AE31" s="54"/>
      <c r="AF31" s="56"/>
      <c r="AG31" s="54"/>
      <c r="AH31" s="56"/>
      <c r="AI31" s="82">
        <v>699</v>
      </c>
      <c r="AK31" s="2" t="str">
        <f t="shared" si="0"/>
        <v>58-T13-R</v>
      </c>
    </row>
    <row r="32" spans="1:37" s="2" customFormat="1" x14ac:dyDescent="0.3">
      <c r="A32" s="112" t="s">
        <v>749</v>
      </c>
      <c r="B32" s="54"/>
      <c r="C32" s="55"/>
      <c r="D32" s="55"/>
      <c r="E32" s="56">
        <v>226</v>
      </c>
      <c r="F32" s="54"/>
      <c r="G32" s="55"/>
      <c r="H32" s="56">
        <v>113</v>
      </c>
      <c r="I32" s="54"/>
      <c r="J32" s="55"/>
      <c r="K32" s="55"/>
      <c r="L32" s="55"/>
      <c r="M32" s="56">
        <v>99</v>
      </c>
      <c r="N32" s="54"/>
      <c r="O32" s="55"/>
      <c r="P32" s="55"/>
      <c r="Q32" s="55"/>
      <c r="R32" s="56">
        <v>71</v>
      </c>
      <c r="S32" s="54"/>
      <c r="T32" s="56">
        <v>11</v>
      </c>
      <c r="U32" s="54"/>
      <c r="V32" s="55"/>
      <c r="W32" s="55"/>
      <c r="X32" s="55"/>
      <c r="Y32" s="56">
        <v>99</v>
      </c>
      <c r="Z32" s="54"/>
      <c r="AA32" s="55"/>
      <c r="AB32" s="55"/>
      <c r="AC32" s="55"/>
      <c r="AD32" s="56">
        <v>71</v>
      </c>
      <c r="AE32" s="54"/>
      <c r="AF32" s="56"/>
      <c r="AG32" s="54"/>
      <c r="AH32" s="56"/>
      <c r="AI32" s="82">
        <v>690</v>
      </c>
      <c r="AK32" s="2" t="str">
        <f t="shared" si="0"/>
        <v>58-T17-R</v>
      </c>
    </row>
    <row r="33" spans="1:37" s="2" customFormat="1" x14ac:dyDescent="0.3">
      <c r="A33" s="112" t="s">
        <v>757</v>
      </c>
      <c r="B33" s="54"/>
      <c r="C33" s="55"/>
      <c r="D33" s="55"/>
      <c r="E33" s="56">
        <v>227</v>
      </c>
      <c r="F33" s="54"/>
      <c r="G33" s="55"/>
      <c r="H33" s="56">
        <v>114</v>
      </c>
      <c r="I33" s="54"/>
      <c r="J33" s="55"/>
      <c r="K33" s="55"/>
      <c r="L33" s="55"/>
      <c r="M33" s="56">
        <v>100</v>
      </c>
      <c r="N33" s="54"/>
      <c r="O33" s="55"/>
      <c r="P33" s="55"/>
      <c r="Q33" s="55"/>
      <c r="R33" s="56">
        <v>71</v>
      </c>
      <c r="S33" s="54"/>
      <c r="T33" s="56">
        <v>11</v>
      </c>
      <c r="U33" s="54"/>
      <c r="V33" s="55"/>
      <c r="W33" s="55"/>
      <c r="X33" s="55"/>
      <c r="Y33" s="56">
        <v>100</v>
      </c>
      <c r="Z33" s="54"/>
      <c r="AA33" s="55"/>
      <c r="AB33" s="55"/>
      <c r="AC33" s="55"/>
      <c r="AD33" s="56">
        <v>71</v>
      </c>
      <c r="AE33" s="54"/>
      <c r="AF33" s="56"/>
      <c r="AG33" s="54"/>
      <c r="AH33" s="56"/>
      <c r="AI33" s="82">
        <v>694</v>
      </c>
      <c r="AK33" s="2" t="str">
        <f t="shared" si="0"/>
        <v>58-T18-R</v>
      </c>
    </row>
    <row r="34" spans="1:37" s="2" customFormat="1" x14ac:dyDescent="0.3">
      <c r="A34" s="117" t="s">
        <v>1266</v>
      </c>
      <c r="B34" s="103"/>
      <c r="C34" s="70"/>
      <c r="D34" s="70"/>
      <c r="E34" s="104">
        <v>916</v>
      </c>
      <c r="F34" s="103"/>
      <c r="G34" s="70"/>
      <c r="H34" s="104">
        <v>458</v>
      </c>
      <c r="I34" s="103"/>
      <c r="J34" s="70"/>
      <c r="K34" s="70"/>
      <c r="L34" s="70"/>
      <c r="M34" s="104">
        <v>401</v>
      </c>
      <c r="N34" s="103"/>
      <c r="O34" s="70"/>
      <c r="P34" s="70"/>
      <c r="Q34" s="70"/>
      <c r="R34" s="104">
        <v>286</v>
      </c>
      <c r="S34" s="103"/>
      <c r="T34" s="104">
        <v>46</v>
      </c>
      <c r="U34" s="103"/>
      <c r="V34" s="70"/>
      <c r="W34" s="70"/>
      <c r="X34" s="70"/>
      <c r="Y34" s="104">
        <v>401</v>
      </c>
      <c r="Z34" s="103"/>
      <c r="AA34" s="70"/>
      <c r="AB34" s="70"/>
      <c r="AC34" s="70"/>
      <c r="AD34" s="104">
        <v>286</v>
      </c>
      <c r="AE34" s="103"/>
      <c r="AF34" s="104"/>
      <c r="AG34" s="103"/>
      <c r="AH34" s="104"/>
      <c r="AI34" s="105">
        <v>2794</v>
      </c>
    </row>
    <row r="35" spans="1:37" s="2" customFormat="1" x14ac:dyDescent="0.3">
      <c r="A35" s="116" t="s">
        <v>149</v>
      </c>
      <c r="B35" s="64"/>
      <c r="C35" s="65"/>
      <c r="D35" s="65"/>
      <c r="E35" s="66">
        <v>308</v>
      </c>
      <c r="F35" s="64"/>
      <c r="G35" s="65"/>
      <c r="H35" s="66">
        <v>154</v>
      </c>
      <c r="I35" s="64"/>
      <c r="J35" s="65"/>
      <c r="K35" s="65"/>
      <c r="L35" s="65"/>
      <c r="M35" s="66">
        <v>135</v>
      </c>
      <c r="N35" s="64"/>
      <c r="O35" s="65"/>
      <c r="P35" s="65"/>
      <c r="Q35" s="65"/>
      <c r="R35" s="66">
        <v>96</v>
      </c>
      <c r="S35" s="64"/>
      <c r="T35" s="66">
        <v>15</v>
      </c>
      <c r="U35" s="64"/>
      <c r="V35" s="65"/>
      <c r="W35" s="65"/>
      <c r="X35" s="65"/>
      <c r="Y35" s="66">
        <v>135</v>
      </c>
      <c r="Z35" s="64"/>
      <c r="AA35" s="65"/>
      <c r="AB35" s="65"/>
      <c r="AC35" s="65"/>
      <c r="AD35" s="66">
        <v>96</v>
      </c>
      <c r="AE35" s="64"/>
      <c r="AF35" s="66"/>
      <c r="AG35" s="64"/>
      <c r="AH35" s="66"/>
      <c r="AI35" s="83">
        <v>939</v>
      </c>
      <c r="AK35" s="2" t="str">
        <f t="shared" si="0"/>
        <v>60-B04</v>
      </c>
    </row>
    <row r="36" spans="1:37" s="2" customFormat="1" x14ac:dyDescent="0.3">
      <c r="A36" s="112" t="s">
        <v>181</v>
      </c>
      <c r="B36" s="54"/>
      <c r="C36" s="55"/>
      <c r="D36" s="55"/>
      <c r="E36" s="56">
        <v>278</v>
      </c>
      <c r="F36" s="54"/>
      <c r="G36" s="55"/>
      <c r="H36" s="56">
        <v>139</v>
      </c>
      <c r="I36" s="54"/>
      <c r="J36" s="55"/>
      <c r="K36" s="55"/>
      <c r="L36" s="55"/>
      <c r="M36" s="56">
        <v>122</v>
      </c>
      <c r="N36" s="54"/>
      <c r="O36" s="55"/>
      <c r="P36" s="55"/>
      <c r="Q36" s="55"/>
      <c r="R36" s="56">
        <v>87</v>
      </c>
      <c r="S36" s="54"/>
      <c r="T36" s="56">
        <v>14</v>
      </c>
      <c r="U36" s="54"/>
      <c r="V36" s="55"/>
      <c r="W36" s="55"/>
      <c r="X36" s="55"/>
      <c r="Y36" s="56">
        <v>122</v>
      </c>
      <c r="Z36" s="54"/>
      <c r="AA36" s="55"/>
      <c r="AB36" s="55"/>
      <c r="AC36" s="55"/>
      <c r="AD36" s="56">
        <v>87</v>
      </c>
      <c r="AE36" s="54"/>
      <c r="AF36" s="56"/>
      <c r="AG36" s="54"/>
      <c r="AH36" s="56"/>
      <c r="AI36" s="82">
        <v>849</v>
      </c>
      <c r="AK36" s="2" t="str">
        <f t="shared" si="0"/>
        <v>60-B08</v>
      </c>
    </row>
    <row r="37" spans="1:37" s="2" customFormat="1" x14ac:dyDescent="0.3">
      <c r="A37" s="118" t="s">
        <v>189</v>
      </c>
      <c r="B37" s="61"/>
      <c r="C37" s="62"/>
      <c r="D37" s="62"/>
      <c r="E37" s="63">
        <v>330</v>
      </c>
      <c r="F37" s="61"/>
      <c r="G37" s="62"/>
      <c r="H37" s="63">
        <v>165</v>
      </c>
      <c r="I37" s="61"/>
      <c r="J37" s="62"/>
      <c r="K37" s="62"/>
      <c r="L37" s="62"/>
      <c r="M37" s="63">
        <v>144</v>
      </c>
      <c r="N37" s="61"/>
      <c r="O37" s="62"/>
      <c r="P37" s="62"/>
      <c r="Q37" s="62"/>
      <c r="R37" s="63">
        <v>103</v>
      </c>
      <c r="S37" s="61"/>
      <c r="T37" s="63">
        <v>17</v>
      </c>
      <c r="U37" s="61"/>
      <c r="V37" s="62"/>
      <c r="W37" s="62"/>
      <c r="X37" s="62"/>
      <c r="Y37" s="63">
        <v>144</v>
      </c>
      <c r="Z37" s="61"/>
      <c r="AA37" s="62"/>
      <c r="AB37" s="62"/>
      <c r="AC37" s="62"/>
      <c r="AD37" s="63">
        <v>103</v>
      </c>
      <c r="AE37" s="61"/>
      <c r="AF37" s="63"/>
      <c r="AG37" s="61"/>
      <c r="AH37" s="63"/>
      <c r="AI37" s="119">
        <v>1006</v>
      </c>
      <c r="AK37" s="2" t="str">
        <f t="shared" si="0"/>
        <v>60-B09</v>
      </c>
    </row>
    <row r="38" spans="1:37" s="2" customFormat="1" x14ac:dyDescent="0.3">
      <c r="A38" s="117" t="s">
        <v>1144</v>
      </c>
      <c r="B38" s="103"/>
      <c r="C38" s="70"/>
      <c r="D38" s="70"/>
      <c r="E38" s="104">
        <v>823</v>
      </c>
      <c r="F38" s="103"/>
      <c r="G38" s="70"/>
      <c r="H38" s="104">
        <v>412</v>
      </c>
      <c r="I38" s="103"/>
      <c r="J38" s="70"/>
      <c r="K38" s="70"/>
      <c r="L38" s="70"/>
      <c r="M38" s="104">
        <v>360</v>
      </c>
      <c r="N38" s="103"/>
      <c r="O38" s="70"/>
      <c r="P38" s="70"/>
      <c r="Q38" s="70"/>
      <c r="R38" s="104">
        <v>258</v>
      </c>
      <c r="S38" s="103"/>
      <c r="T38" s="104">
        <v>42</v>
      </c>
      <c r="U38" s="103"/>
      <c r="V38" s="70"/>
      <c r="W38" s="70"/>
      <c r="X38" s="70"/>
      <c r="Y38" s="104">
        <v>360</v>
      </c>
      <c r="Z38" s="103"/>
      <c r="AA38" s="70"/>
      <c r="AB38" s="70"/>
      <c r="AC38" s="70"/>
      <c r="AD38" s="104">
        <v>258</v>
      </c>
      <c r="AE38" s="103"/>
      <c r="AF38" s="104"/>
      <c r="AG38" s="103"/>
      <c r="AH38" s="104"/>
      <c r="AI38" s="105">
        <v>2513</v>
      </c>
    </row>
    <row r="39" spans="1:37" s="2" customFormat="1" x14ac:dyDescent="0.3">
      <c r="A39" s="116" t="s">
        <v>133</v>
      </c>
      <c r="B39" s="64"/>
      <c r="C39" s="65"/>
      <c r="D39" s="65"/>
      <c r="E39" s="66">
        <v>278</v>
      </c>
      <c r="F39" s="64"/>
      <c r="G39" s="65"/>
      <c r="H39" s="66">
        <v>139</v>
      </c>
      <c r="I39" s="64"/>
      <c r="J39" s="65"/>
      <c r="K39" s="65"/>
      <c r="L39" s="65"/>
      <c r="M39" s="66">
        <v>122</v>
      </c>
      <c r="N39" s="64"/>
      <c r="O39" s="65"/>
      <c r="P39" s="65"/>
      <c r="Q39" s="65"/>
      <c r="R39" s="66">
        <v>87</v>
      </c>
      <c r="S39" s="64"/>
      <c r="T39" s="66">
        <v>14</v>
      </c>
      <c r="U39" s="64"/>
      <c r="V39" s="65"/>
      <c r="W39" s="65"/>
      <c r="X39" s="65"/>
      <c r="Y39" s="66">
        <v>122</v>
      </c>
      <c r="Z39" s="64"/>
      <c r="AA39" s="65"/>
      <c r="AB39" s="65"/>
      <c r="AC39" s="65"/>
      <c r="AD39" s="66">
        <v>87</v>
      </c>
      <c r="AE39" s="64"/>
      <c r="AF39" s="66"/>
      <c r="AG39" s="64"/>
      <c r="AH39" s="66"/>
      <c r="AI39" s="83">
        <v>849</v>
      </c>
      <c r="AK39" s="2" t="str">
        <f t="shared" si="0"/>
        <v>64-B02</v>
      </c>
    </row>
    <row r="40" spans="1:37" s="2" customFormat="1" x14ac:dyDescent="0.3">
      <c r="A40" s="112" t="s">
        <v>157</v>
      </c>
      <c r="B40" s="54"/>
      <c r="C40" s="55"/>
      <c r="D40" s="55"/>
      <c r="E40" s="56">
        <v>251</v>
      </c>
      <c r="F40" s="54"/>
      <c r="G40" s="55"/>
      <c r="H40" s="56">
        <v>126</v>
      </c>
      <c r="I40" s="54"/>
      <c r="J40" s="55"/>
      <c r="K40" s="55"/>
      <c r="L40" s="55"/>
      <c r="M40" s="56">
        <v>110</v>
      </c>
      <c r="N40" s="54"/>
      <c r="O40" s="55"/>
      <c r="P40" s="55"/>
      <c r="Q40" s="55"/>
      <c r="R40" s="56">
        <v>79</v>
      </c>
      <c r="S40" s="54"/>
      <c r="T40" s="56">
        <v>13</v>
      </c>
      <c r="U40" s="54"/>
      <c r="V40" s="55"/>
      <c r="W40" s="55"/>
      <c r="X40" s="55"/>
      <c r="Y40" s="56">
        <v>110</v>
      </c>
      <c r="Z40" s="54"/>
      <c r="AA40" s="55"/>
      <c r="AB40" s="55"/>
      <c r="AC40" s="55"/>
      <c r="AD40" s="56">
        <v>79</v>
      </c>
      <c r="AE40" s="54"/>
      <c r="AF40" s="56"/>
      <c r="AG40" s="54"/>
      <c r="AH40" s="56"/>
      <c r="AI40" s="82">
        <v>768</v>
      </c>
      <c r="AK40" s="2" t="str">
        <f t="shared" si="0"/>
        <v>64-B05</v>
      </c>
    </row>
    <row r="41" spans="1:37" s="2" customFormat="1" x14ac:dyDescent="0.3">
      <c r="A41" s="118" t="s">
        <v>165</v>
      </c>
      <c r="B41" s="61"/>
      <c r="C41" s="62"/>
      <c r="D41" s="62"/>
      <c r="E41" s="63">
        <v>294</v>
      </c>
      <c r="F41" s="61"/>
      <c r="G41" s="62"/>
      <c r="H41" s="63">
        <v>147</v>
      </c>
      <c r="I41" s="61"/>
      <c r="J41" s="62"/>
      <c r="K41" s="62"/>
      <c r="L41" s="62"/>
      <c r="M41" s="63">
        <v>128</v>
      </c>
      <c r="N41" s="61"/>
      <c r="O41" s="62"/>
      <c r="P41" s="62"/>
      <c r="Q41" s="62"/>
      <c r="R41" s="63">
        <v>92</v>
      </c>
      <c r="S41" s="61"/>
      <c r="T41" s="63">
        <v>15</v>
      </c>
      <c r="U41" s="61"/>
      <c r="V41" s="62"/>
      <c r="W41" s="62"/>
      <c r="X41" s="62"/>
      <c r="Y41" s="63">
        <v>128</v>
      </c>
      <c r="Z41" s="61"/>
      <c r="AA41" s="62"/>
      <c r="AB41" s="62"/>
      <c r="AC41" s="62"/>
      <c r="AD41" s="63">
        <v>92</v>
      </c>
      <c r="AE41" s="61"/>
      <c r="AF41" s="63"/>
      <c r="AG41" s="61"/>
      <c r="AH41" s="63"/>
      <c r="AI41" s="119">
        <v>896</v>
      </c>
      <c r="AK41" s="2" t="str">
        <f t="shared" si="0"/>
        <v>64-B06</v>
      </c>
    </row>
    <row r="42" spans="1:37" s="2" customFormat="1" x14ac:dyDescent="0.3">
      <c r="A42" s="117" t="s">
        <v>1148</v>
      </c>
      <c r="B42" s="103"/>
      <c r="C42" s="70"/>
      <c r="D42" s="70"/>
      <c r="E42" s="104">
        <v>862</v>
      </c>
      <c r="F42" s="103"/>
      <c r="G42" s="70"/>
      <c r="H42" s="104">
        <v>432</v>
      </c>
      <c r="I42" s="103"/>
      <c r="J42" s="70"/>
      <c r="K42" s="70"/>
      <c r="L42" s="70"/>
      <c r="M42" s="104">
        <v>377</v>
      </c>
      <c r="N42" s="103"/>
      <c r="O42" s="70"/>
      <c r="P42" s="70"/>
      <c r="Q42" s="70"/>
      <c r="R42" s="104">
        <v>270</v>
      </c>
      <c r="S42" s="103"/>
      <c r="T42" s="104">
        <v>42</v>
      </c>
      <c r="U42" s="103"/>
      <c r="V42" s="70"/>
      <c r="W42" s="70"/>
      <c r="X42" s="70"/>
      <c r="Y42" s="104">
        <v>377</v>
      </c>
      <c r="Z42" s="103"/>
      <c r="AA42" s="70"/>
      <c r="AB42" s="70"/>
      <c r="AC42" s="70"/>
      <c r="AD42" s="104">
        <v>270</v>
      </c>
      <c r="AE42" s="103"/>
      <c r="AF42" s="104"/>
      <c r="AG42" s="103"/>
      <c r="AH42" s="104"/>
      <c r="AI42" s="105">
        <v>2630</v>
      </c>
    </row>
    <row r="43" spans="1:37" s="2" customFormat="1" x14ac:dyDescent="0.3">
      <c r="A43" s="112" t="s">
        <v>648</v>
      </c>
      <c r="B43" s="54"/>
      <c r="C43" s="55"/>
      <c r="D43" s="55"/>
      <c r="E43" s="56">
        <v>243</v>
      </c>
      <c r="F43" s="54"/>
      <c r="G43" s="55"/>
      <c r="H43" s="56">
        <v>121</v>
      </c>
      <c r="I43" s="54"/>
      <c r="J43" s="55"/>
      <c r="K43" s="55"/>
      <c r="L43" s="55"/>
      <c r="M43" s="56">
        <v>106</v>
      </c>
      <c r="N43" s="54"/>
      <c r="O43" s="55"/>
      <c r="P43" s="55"/>
      <c r="Q43" s="55"/>
      <c r="R43" s="56">
        <v>76</v>
      </c>
      <c r="S43" s="54"/>
      <c r="T43" s="56">
        <v>12</v>
      </c>
      <c r="U43" s="54"/>
      <c r="V43" s="55"/>
      <c r="W43" s="55"/>
      <c r="X43" s="55"/>
      <c r="Y43" s="56">
        <v>106</v>
      </c>
      <c r="Z43" s="54"/>
      <c r="AA43" s="55"/>
      <c r="AB43" s="55"/>
      <c r="AC43" s="55"/>
      <c r="AD43" s="56">
        <v>76</v>
      </c>
      <c r="AE43" s="54"/>
      <c r="AF43" s="56"/>
      <c r="AG43" s="54"/>
      <c r="AH43" s="56"/>
      <c r="AI43" s="82">
        <v>740</v>
      </c>
      <c r="AK43" s="2" t="str">
        <f t="shared" si="0"/>
        <v>63-T05-R</v>
      </c>
    </row>
    <row r="44" spans="1:37" s="2" customFormat="1" x14ac:dyDescent="0.3">
      <c r="A44" s="112" t="s">
        <v>807</v>
      </c>
      <c r="B44" s="54"/>
      <c r="C44" s="55"/>
      <c r="D44" s="55"/>
      <c r="E44" s="56">
        <v>67</v>
      </c>
      <c r="F44" s="54"/>
      <c r="G44" s="55"/>
      <c r="H44" s="56">
        <v>34</v>
      </c>
      <c r="I44" s="54"/>
      <c r="J44" s="55"/>
      <c r="K44" s="55"/>
      <c r="L44" s="55"/>
      <c r="M44" s="56">
        <v>29</v>
      </c>
      <c r="N44" s="54"/>
      <c r="O44" s="55"/>
      <c r="P44" s="55"/>
      <c r="Q44" s="55"/>
      <c r="R44" s="56">
        <v>21</v>
      </c>
      <c r="S44" s="54"/>
      <c r="T44" s="56">
        <v>3</v>
      </c>
      <c r="U44" s="54"/>
      <c r="V44" s="55"/>
      <c r="W44" s="55"/>
      <c r="X44" s="55"/>
      <c r="Y44" s="56">
        <v>29</v>
      </c>
      <c r="Z44" s="54"/>
      <c r="AA44" s="55"/>
      <c r="AB44" s="55"/>
      <c r="AC44" s="55"/>
      <c r="AD44" s="56">
        <v>21</v>
      </c>
      <c r="AE44" s="54"/>
      <c r="AF44" s="56"/>
      <c r="AG44" s="54"/>
      <c r="AH44" s="56"/>
      <c r="AI44" s="82">
        <v>204</v>
      </c>
      <c r="AK44" s="2" t="str">
        <f t="shared" si="0"/>
        <v>63-T22-R</v>
      </c>
    </row>
    <row r="45" spans="1:37" s="2" customFormat="1" x14ac:dyDescent="0.3">
      <c r="A45" s="118" t="s">
        <v>815</v>
      </c>
      <c r="B45" s="61"/>
      <c r="C45" s="62"/>
      <c r="D45" s="62"/>
      <c r="E45" s="63">
        <v>68</v>
      </c>
      <c r="F45" s="61"/>
      <c r="G45" s="62"/>
      <c r="H45" s="63">
        <v>34</v>
      </c>
      <c r="I45" s="61"/>
      <c r="J45" s="62"/>
      <c r="K45" s="62"/>
      <c r="L45" s="62"/>
      <c r="M45" s="63">
        <v>30</v>
      </c>
      <c r="N45" s="61"/>
      <c r="O45" s="62"/>
      <c r="P45" s="62"/>
      <c r="Q45" s="62"/>
      <c r="R45" s="63">
        <v>21</v>
      </c>
      <c r="S45" s="61"/>
      <c r="T45" s="63">
        <v>3</v>
      </c>
      <c r="U45" s="61"/>
      <c r="V45" s="62"/>
      <c r="W45" s="62"/>
      <c r="X45" s="62"/>
      <c r="Y45" s="63">
        <v>30</v>
      </c>
      <c r="Z45" s="61"/>
      <c r="AA45" s="62"/>
      <c r="AB45" s="62"/>
      <c r="AC45" s="62"/>
      <c r="AD45" s="63">
        <v>21</v>
      </c>
      <c r="AE45" s="61"/>
      <c r="AF45" s="63"/>
      <c r="AG45" s="61"/>
      <c r="AH45" s="63"/>
      <c r="AI45" s="119">
        <v>207</v>
      </c>
      <c r="AK45" s="2" t="str">
        <f t="shared" si="0"/>
        <v>63-T23-R</v>
      </c>
    </row>
    <row r="46" spans="1:37" s="2" customFormat="1" x14ac:dyDescent="0.3">
      <c r="A46" s="116" t="s">
        <v>125</v>
      </c>
      <c r="B46" s="64"/>
      <c r="C46" s="65"/>
      <c r="D46" s="65"/>
      <c r="E46" s="66">
        <v>229</v>
      </c>
      <c r="F46" s="64"/>
      <c r="G46" s="65"/>
      <c r="H46" s="66">
        <v>115</v>
      </c>
      <c r="I46" s="64"/>
      <c r="J46" s="65"/>
      <c r="K46" s="65"/>
      <c r="L46" s="65"/>
      <c r="M46" s="66">
        <v>100</v>
      </c>
      <c r="N46" s="64"/>
      <c r="O46" s="65"/>
      <c r="P46" s="65"/>
      <c r="Q46" s="65"/>
      <c r="R46" s="66">
        <v>72</v>
      </c>
      <c r="S46" s="64"/>
      <c r="T46" s="66">
        <v>11</v>
      </c>
      <c r="U46" s="64"/>
      <c r="V46" s="65"/>
      <c r="W46" s="65"/>
      <c r="X46" s="65"/>
      <c r="Y46" s="66">
        <v>100</v>
      </c>
      <c r="Z46" s="64"/>
      <c r="AA46" s="65"/>
      <c r="AB46" s="65"/>
      <c r="AC46" s="65"/>
      <c r="AD46" s="66">
        <v>72</v>
      </c>
      <c r="AE46" s="64"/>
      <c r="AF46" s="66"/>
      <c r="AG46" s="64"/>
      <c r="AH46" s="66"/>
      <c r="AI46" s="83">
        <v>699</v>
      </c>
      <c r="AK46" s="2" t="str">
        <f t="shared" si="0"/>
        <v>65-B01</v>
      </c>
    </row>
    <row r="47" spans="1:37" s="2" customFormat="1" x14ac:dyDescent="0.3">
      <c r="A47" s="112" t="s">
        <v>205</v>
      </c>
      <c r="B47" s="54"/>
      <c r="C47" s="55"/>
      <c r="D47" s="55"/>
      <c r="E47" s="56">
        <v>255</v>
      </c>
      <c r="F47" s="54"/>
      <c r="G47" s="55"/>
      <c r="H47" s="56">
        <v>128</v>
      </c>
      <c r="I47" s="54"/>
      <c r="J47" s="55"/>
      <c r="K47" s="55"/>
      <c r="L47" s="55"/>
      <c r="M47" s="56">
        <v>112</v>
      </c>
      <c r="N47" s="54"/>
      <c r="O47" s="55"/>
      <c r="P47" s="55"/>
      <c r="Q47" s="55"/>
      <c r="R47" s="56">
        <v>80</v>
      </c>
      <c r="S47" s="54"/>
      <c r="T47" s="56">
        <v>13</v>
      </c>
      <c r="U47" s="54"/>
      <c r="V47" s="55"/>
      <c r="W47" s="55"/>
      <c r="X47" s="55"/>
      <c r="Y47" s="56">
        <v>112</v>
      </c>
      <c r="Z47" s="54"/>
      <c r="AA47" s="55"/>
      <c r="AB47" s="55"/>
      <c r="AC47" s="55"/>
      <c r="AD47" s="56">
        <v>80</v>
      </c>
      <c r="AE47" s="54"/>
      <c r="AF47" s="56"/>
      <c r="AG47" s="54"/>
      <c r="AH47" s="56"/>
      <c r="AI47" s="82">
        <v>780</v>
      </c>
      <c r="AK47" s="2" t="str">
        <f t="shared" si="0"/>
        <v>65-B11</v>
      </c>
    </row>
    <row r="48" spans="1:37" s="2" customFormat="1" x14ac:dyDescent="0.3">
      <c r="A48" s="117">
        <v>2566</v>
      </c>
      <c r="B48" s="103"/>
      <c r="C48" s="70">
        <v>390</v>
      </c>
      <c r="D48" s="70"/>
      <c r="E48" s="104"/>
      <c r="F48" s="103">
        <v>97</v>
      </c>
      <c r="G48" s="70"/>
      <c r="H48" s="104"/>
      <c r="I48" s="103"/>
      <c r="J48" s="70"/>
      <c r="K48" s="70">
        <v>242</v>
      </c>
      <c r="L48" s="70"/>
      <c r="M48" s="104"/>
      <c r="N48" s="103"/>
      <c r="O48" s="70"/>
      <c r="P48" s="70">
        <v>145</v>
      </c>
      <c r="Q48" s="70"/>
      <c r="R48" s="104"/>
      <c r="S48" s="103"/>
      <c r="T48" s="104">
        <v>39</v>
      </c>
      <c r="U48" s="103"/>
      <c r="V48" s="70"/>
      <c r="W48" s="70">
        <v>242</v>
      </c>
      <c r="X48" s="70"/>
      <c r="Y48" s="104"/>
      <c r="Z48" s="103"/>
      <c r="AA48" s="70"/>
      <c r="AB48" s="70">
        <v>145</v>
      </c>
      <c r="AC48" s="70"/>
      <c r="AD48" s="104"/>
      <c r="AE48" s="103"/>
      <c r="AF48" s="104">
        <v>242</v>
      </c>
      <c r="AG48" s="103"/>
      <c r="AH48" s="104">
        <v>145</v>
      </c>
      <c r="AI48" s="105">
        <v>1687</v>
      </c>
    </row>
    <row r="49" spans="1:37" s="2" customFormat="1" x14ac:dyDescent="0.3">
      <c r="A49" s="116" t="s">
        <v>628</v>
      </c>
      <c r="B49" s="64"/>
      <c r="C49" s="65">
        <v>98</v>
      </c>
      <c r="D49" s="65"/>
      <c r="E49" s="66"/>
      <c r="F49" s="64">
        <v>24</v>
      </c>
      <c r="G49" s="65"/>
      <c r="H49" s="66"/>
      <c r="I49" s="64"/>
      <c r="J49" s="65"/>
      <c r="K49" s="65">
        <v>61</v>
      </c>
      <c r="L49" s="65"/>
      <c r="M49" s="66"/>
      <c r="N49" s="64"/>
      <c r="O49" s="65"/>
      <c r="P49" s="65">
        <v>37</v>
      </c>
      <c r="Q49" s="65"/>
      <c r="R49" s="66"/>
      <c r="S49" s="64"/>
      <c r="T49" s="66">
        <v>10</v>
      </c>
      <c r="U49" s="64"/>
      <c r="V49" s="65"/>
      <c r="W49" s="65">
        <v>61</v>
      </c>
      <c r="X49" s="65"/>
      <c r="Y49" s="66"/>
      <c r="Z49" s="64"/>
      <c r="AA49" s="65"/>
      <c r="AB49" s="65">
        <v>37</v>
      </c>
      <c r="AC49" s="65"/>
      <c r="AD49" s="66"/>
      <c r="AE49" s="64"/>
      <c r="AF49" s="66">
        <v>61</v>
      </c>
      <c r="AG49" s="64"/>
      <c r="AH49" s="66">
        <v>37</v>
      </c>
      <c r="AI49" s="83">
        <v>426</v>
      </c>
      <c r="AK49" s="2" t="str">
        <f t="shared" si="0"/>
        <v>66-T03</v>
      </c>
    </row>
    <row r="50" spans="1:37" s="2" customFormat="1" x14ac:dyDescent="0.3">
      <c r="A50" s="112" t="s">
        <v>638</v>
      </c>
      <c r="B50" s="54"/>
      <c r="C50" s="55">
        <v>81</v>
      </c>
      <c r="D50" s="55"/>
      <c r="E50" s="56"/>
      <c r="F50" s="54">
        <v>20</v>
      </c>
      <c r="G50" s="55"/>
      <c r="H50" s="56"/>
      <c r="I50" s="54"/>
      <c r="J50" s="55"/>
      <c r="K50" s="55">
        <v>50</v>
      </c>
      <c r="L50" s="55"/>
      <c r="M50" s="56"/>
      <c r="N50" s="54"/>
      <c r="O50" s="55"/>
      <c r="P50" s="55">
        <v>30</v>
      </c>
      <c r="Q50" s="55"/>
      <c r="R50" s="56"/>
      <c r="S50" s="54"/>
      <c r="T50" s="56">
        <v>8</v>
      </c>
      <c r="U50" s="54"/>
      <c r="V50" s="55"/>
      <c r="W50" s="55">
        <v>50</v>
      </c>
      <c r="X50" s="55"/>
      <c r="Y50" s="56"/>
      <c r="Z50" s="54"/>
      <c r="AA50" s="55"/>
      <c r="AB50" s="55">
        <v>30</v>
      </c>
      <c r="AC50" s="55"/>
      <c r="AD50" s="56"/>
      <c r="AE50" s="54"/>
      <c r="AF50" s="56">
        <v>50</v>
      </c>
      <c r="AG50" s="54"/>
      <c r="AH50" s="56">
        <v>30</v>
      </c>
      <c r="AI50" s="82">
        <v>349</v>
      </c>
      <c r="AK50" s="2" t="str">
        <f t="shared" si="0"/>
        <v>66-T04</v>
      </c>
    </row>
    <row r="51" spans="1:37" s="2" customFormat="1" x14ac:dyDescent="0.3">
      <c r="A51" s="112" t="s">
        <v>656</v>
      </c>
      <c r="B51" s="54"/>
      <c r="C51" s="55">
        <v>116</v>
      </c>
      <c r="D51" s="55"/>
      <c r="E51" s="56"/>
      <c r="F51" s="54">
        <v>29</v>
      </c>
      <c r="G51" s="55"/>
      <c r="H51" s="56"/>
      <c r="I51" s="54"/>
      <c r="J51" s="55"/>
      <c r="K51" s="55">
        <v>72</v>
      </c>
      <c r="L51" s="55"/>
      <c r="M51" s="56"/>
      <c r="N51" s="54"/>
      <c r="O51" s="55"/>
      <c r="P51" s="55">
        <v>43</v>
      </c>
      <c r="Q51" s="55"/>
      <c r="R51" s="56"/>
      <c r="S51" s="54"/>
      <c r="T51" s="56">
        <v>12</v>
      </c>
      <c r="U51" s="54"/>
      <c r="V51" s="55"/>
      <c r="W51" s="55">
        <v>72</v>
      </c>
      <c r="X51" s="55"/>
      <c r="Y51" s="56"/>
      <c r="Z51" s="54"/>
      <c r="AA51" s="55"/>
      <c r="AB51" s="55">
        <v>43</v>
      </c>
      <c r="AC51" s="55"/>
      <c r="AD51" s="56"/>
      <c r="AE51" s="54"/>
      <c r="AF51" s="56">
        <v>72</v>
      </c>
      <c r="AG51" s="54"/>
      <c r="AH51" s="56">
        <v>43</v>
      </c>
      <c r="AI51" s="82">
        <v>502</v>
      </c>
      <c r="AK51" s="2" t="str">
        <f t="shared" si="0"/>
        <v>66-T06</v>
      </c>
    </row>
    <row r="52" spans="1:37" s="2" customFormat="1" x14ac:dyDescent="0.3">
      <c r="A52" s="118" t="s">
        <v>666</v>
      </c>
      <c r="B52" s="61"/>
      <c r="C52" s="62">
        <v>95</v>
      </c>
      <c r="D52" s="62"/>
      <c r="E52" s="63"/>
      <c r="F52" s="61">
        <v>24</v>
      </c>
      <c r="G52" s="62"/>
      <c r="H52" s="63"/>
      <c r="I52" s="61"/>
      <c r="J52" s="62"/>
      <c r="K52" s="62">
        <v>59</v>
      </c>
      <c r="L52" s="62"/>
      <c r="M52" s="63"/>
      <c r="N52" s="61"/>
      <c r="O52" s="62"/>
      <c r="P52" s="62">
        <v>35</v>
      </c>
      <c r="Q52" s="62"/>
      <c r="R52" s="63"/>
      <c r="S52" s="61"/>
      <c r="T52" s="63">
        <v>9</v>
      </c>
      <c r="U52" s="61"/>
      <c r="V52" s="62"/>
      <c r="W52" s="62">
        <v>59</v>
      </c>
      <c r="X52" s="62"/>
      <c r="Y52" s="63"/>
      <c r="Z52" s="61"/>
      <c r="AA52" s="62"/>
      <c r="AB52" s="62">
        <v>35</v>
      </c>
      <c r="AC52" s="62"/>
      <c r="AD52" s="63"/>
      <c r="AE52" s="61"/>
      <c r="AF52" s="63">
        <v>59</v>
      </c>
      <c r="AG52" s="61"/>
      <c r="AH52" s="63">
        <v>35</v>
      </c>
      <c r="AI52" s="119">
        <v>410</v>
      </c>
      <c r="AK52" s="2" t="str">
        <f t="shared" si="0"/>
        <v>66-T07</v>
      </c>
    </row>
    <row r="53" spans="1:37" s="2" customFormat="1" x14ac:dyDescent="0.3">
      <c r="A53" s="117">
        <v>2567</v>
      </c>
      <c r="B53" s="103"/>
      <c r="C53" s="70">
        <v>273</v>
      </c>
      <c r="D53" s="70"/>
      <c r="E53" s="104"/>
      <c r="F53" s="103"/>
      <c r="G53" s="70"/>
      <c r="H53" s="104"/>
      <c r="I53" s="103"/>
      <c r="J53" s="70">
        <v>103</v>
      </c>
      <c r="K53" s="70"/>
      <c r="L53" s="70"/>
      <c r="M53" s="104"/>
      <c r="N53" s="103"/>
      <c r="O53" s="70">
        <v>69</v>
      </c>
      <c r="P53" s="70"/>
      <c r="Q53" s="70"/>
      <c r="R53" s="104"/>
      <c r="S53" s="103"/>
      <c r="T53" s="104">
        <v>27</v>
      </c>
      <c r="U53" s="103"/>
      <c r="V53" s="70">
        <v>135</v>
      </c>
      <c r="W53" s="70"/>
      <c r="X53" s="70"/>
      <c r="Y53" s="104"/>
      <c r="Z53" s="103"/>
      <c r="AA53" s="70">
        <v>69</v>
      </c>
      <c r="AB53" s="70"/>
      <c r="AC53" s="70"/>
      <c r="AD53" s="104"/>
      <c r="AE53" s="103"/>
      <c r="AF53" s="104">
        <v>171</v>
      </c>
      <c r="AG53" s="103"/>
      <c r="AH53" s="104">
        <v>103</v>
      </c>
      <c r="AI53" s="105">
        <v>950</v>
      </c>
    </row>
    <row r="54" spans="1:37" s="2" customFormat="1" x14ac:dyDescent="0.3">
      <c r="A54" s="116" t="s">
        <v>708</v>
      </c>
      <c r="B54" s="64"/>
      <c r="C54" s="65">
        <v>2</v>
      </c>
      <c r="D54" s="65"/>
      <c r="E54" s="66"/>
      <c r="F54" s="64"/>
      <c r="G54" s="65"/>
      <c r="H54" s="66"/>
      <c r="I54" s="64"/>
      <c r="J54" s="65">
        <v>1</v>
      </c>
      <c r="K54" s="65"/>
      <c r="L54" s="65"/>
      <c r="M54" s="66"/>
      <c r="N54" s="64"/>
      <c r="O54" s="65">
        <v>1</v>
      </c>
      <c r="P54" s="65"/>
      <c r="Q54" s="65"/>
      <c r="R54" s="66"/>
      <c r="S54" s="64"/>
      <c r="T54" s="66">
        <v>0</v>
      </c>
      <c r="U54" s="64"/>
      <c r="V54" s="65">
        <v>1</v>
      </c>
      <c r="W54" s="65"/>
      <c r="X54" s="65"/>
      <c r="Y54" s="66"/>
      <c r="Z54" s="64"/>
      <c r="AA54" s="65">
        <v>1</v>
      </c>
      <c r="AB54" s="65"/>
      <c r="AC54" s="65"/>
      <c r="AD54" s="66"/>
      <c r="AE54" s="64"/>
      <c r="AF54" s="66">
        <v>2</v>
      </c>
      <c r="AG54" s="64"/>
      <c r="AH54" s="66">
        <v>1</v>
      </c>
      <c r="AI54" s="83">
        <v>9</v>
      </c>
      <c r="AK54" s="2" t="str">
        <f t="shared" si="0"/>
        <v>67-T10</v>
      </c>
    </row>
    <row r="55" spans="1:37" s="2" customFormat="1" x14ac:dyDescent="0.3">
      <c r="A55" s="112" t="s">
        <v>765</v>
      </c>
      <c r="B55" s="54"/>
      <c r="C55" s="55">
        <v>7</v>
      </c>
      <c r="D55" s="55"/>
      <c r="E55" s="56"/>
      <c r="F55" s="54"/>
      <c r="G55" s="55"/>
      <c r="H55" s="56"/>
      <c r="I55" s="54"/>
      <c r="J55" s="55">
        <v>3</v>
      </c>
      <c r="K55" s="55"/>
      <c r="L55" s="55"/>
      <c r="M55" s="56"/>
      <c r="N55" s="54"/>
      <c r="O55" s="55">
        <v>2</v>
      </c>
      <c r="P55" s="55"/>
      <c r="Q55" s="55"/>
      <c r="R55" s="56"/>
      <c r="S55" s="54"/>
      <c r="T55" s="56">
        <v>1</v>
      </c>
      <c r="U55" s="54"/>
      <c r="V55" s="55">
        <v>3</v>
      </c>
      <c r="W55" s="55"/>
      <c r="X55" s="55"/>
      <c r="Y55" s="56"/>
      <c r="Z55" s="54"/>
      <c r="AA55" s="55">
        <v>2</v>
      </c>
      <c r="AB55" s="55"/>
      <c r="AC55" s="55"/>
      <c r="AD55" s="56"/>
      <c r="AE55" s="54"/>
      <c r="AF55" s="56">
        <v>4</v>
      </c>
      <c r="AG55" s="54"/>
      <c r="AH55" s="56">
        <v>3</v>
      </c>
      <c r="AI55" s="82">
        <v>25</v>
      </c>
      <c r="AK55" s="2" t="str">
        <f t="shared" si="0"/>
        <v>67-T18</v>
      </c>
    </row>
    <row r="56" spans="1:37" s="2" customFormat="1" x14ac:dyDescent="0.3">
      <c r="A56" s="112" t="s">
        <v>798</v>
      </c>
      <c r="B56" s="54"/>
      <c r="C56" s="55">
        <v>10</v>
      </c>
      <c r="D56" s="55"/>
      <c r="E56" s="56"/>
      <c r="F56" s="54"/>
      <c r="G56" s="55"/>
      <c r="H56" s="56"/>
      <c r="I56" s="54"/>
      <c r="J56" s="55">
        <v>4</v>
      </c>
      <c r="K56" s="55"/>
      <c r="L56" s="55"/>
      <c r="M56" s="56"/>
      <c r="N56" s="54"/>
      <c r="O56" s="55">
        <v>2</v>
      </c>
      <c r="P56" s="55"/>
      <c r="Q56" s="55"/>
      <c r="R56" s="56"/>
      <c r="S56" s="54"/>
      <c r="T56" s="56">
        <v>1</v>
      </c>
      <c r="U56" s="54"/>
      <c r="V56" s="55">
        <v>5</v>
      </c>
      <c r="W56" s="55"/>
      <c r="X56" s="55"/>
      <c r="Y56" s="56"/>
      <c r="Z56" s="54"/>
      <c r="AA56" s="55">
        <v>2</v>
      </c>
      <c r="AB56" s="55"/>
      <c r="AC56" s="55"/>
      <c r="AD56" s="56"/>
      <c r="AE56" s="54"/>
      <c r="AF56" s="56">
        <v>6</v>
      </c>
      <c r="AG56" s="54"/>
      <c r="AH56" s="56">
        <v>4</v>
      </c>
      <c r="AI56" s="82">
        <v>34</v>
      </c>
      <c r="AK56" s="2" t="str">
        <f t="shared" si="0"/>
        <v>67-T21</v>
      </c>
    </row>
    <row r="57" spans="1:37" s="2" customFormat="1" x14ac:dyDescent="0.3">
      <c r="A57" s="112" t="s">
        <v>839</v>
      </c>
      <c r="B57" s="54"/>
      <c r="C57" s="55">
        <v>123</v>
      </c>
      <c r="D57" s="55"/>
      <c r="E57" s="56"/>
      <c r="F57" s="54"/>
      <c r="G57" s="55"/>
      <c r="H57" s="56"/>
      <c r="I57" s="54"/>
      <c r="J57" s="55">
        <v>46</v>
      </c>
      <c r="K57" s="55"/>
      <c r="L57" s="55"/>
      <c r="M57" s="56"/>
      <c r="N57" s="54"/>
      <c r="O57" s="55">
        <v>31</v>
      </c>
      <c r="P57" s="55"/>
      <c r="Q57" s="55"/>
      <c r="R57" s="56"/>
      <c r="S57" s="54"/>
      <c r="T57" s="56">
        <v>12</v>
      </c>
      <c r="U57" s="54"/>
      <c r="V57" s="55">
        <v>61</v>
      </c>
      <c r="W57" s="55"/>
      <c r="X57" s="55"/>
      <c r="Y57" s="56"/>
      <c r="Z57" s="54"/>
      <c r="AA57" s="55">
        <v>31</v>
      </c>
      <c r="AB57" s="55"/>
      <c r="AC57" s="55"/>
      <c r="AD57" s="56"/>
      <c r="AE57" s="54"/>
      <c r="AF57" s="56">
        <v>77</v>
      </c>
      <c r="AG57" s="54"/>
      <c r="AH57" s="56">
        <v>46</v>
      </c>
      <c r="AI57" s="82">
        <v>427</v>
      </c>
      <c r="AK57" s="2" t="str">
        <f t="shared" si="0"/>
        <v>67-T29</v>
      </c>
    </row>
    <row r="58" spans="1:37" s="2" customFormat="1" x14ac:dyDescent="0.3">
      <c r="A58" s="118" t="s">
        <v>848</v>
      </c>
      <c r="B58" s="61"/>
      <c r="C58" s="62">
        <v>131</v>
      </c>
      <c r="D58" s="62"/>
      <c r="E58" s="63"/>
      <c r="F58" s="61"/>
      <c r="G58" s="62"/>
      <c r="H58" s="63"/>
      <c r="I58" s="61"/>
      <c r="J58" s="62">
        <v>49</v>
      </c>
      <c r="K58" s="62"/>
      <c r="L58" s="62"/>
      <c r="M58" s="63"/>
      <c r="N58" s="61"/>
      <c r="O58" s="62">
        <v>33</v>
      </c>
      <c r="P58" s="62"/>
      <c r="Q58" s="62"/>
      <c r="R58" s="63"/>
      <c r="S58" s="61"/>
      <c r="T58" s="63">
        <v>13</v>
      </c>
      <c r="U58" s="61"/>
      <c r="V58" s="62">
        <v>65</v>
      </c>
      <c r="W58" s="62"/>
      <c r="X58" s="62"/>
      <c r="Y58" s="63"/>
      <c r="Z58" s="61"/>
      <c r="AA58" s="62">
        <v>33</v>
      </c>
      <c r="AB58" s="62"/>
      <c r="AC58" s="62"/>
      <c r="AD58" s="63"/>
      <c r="AE58" s="61"/>
      <c r="AF58" s="63">
        <v>82</v>
      </c>
      <c r="AG58" s="61"/>
      <c r="AH58" s="63">
        <v>49</v>
      </c>
      <c r="AI58" s="119">
        <v>455</v>
      </c>
      <c r="AK58" s="2" t="str">
        <f t="shared" si="0"/>
        <v>67-T30</v>
      </c>
    </row>
    <row r="59" spans="1:37" s="2" customFormat="1" x14ac:dyDescent="0.3">
      <c r="A59" s="117">
        <v>2568</v>
      </c>
      <c r="B59" s="103">
        <v>122</v>
      </c>
      <c r="C59" s="70"/>
      <c r="D59" s="70"/>
      <c r="E59" s="104"/>
      <c r="F59" s="103">
        <v>62</v>
      </c>
      <c r="G59" s="70"/>
      <c r="H59" s="104"/>
      <c r="I59" s="103">
        <v>31</v>
      </c>
      <c r="J59" s="70"/>
      <c r="K59" s="70"/>
      <c r="L59" s="70"/>
      <c r="M59" s="104"/>
      <c r="N59" s="103">
        <v>43</v>
      </c>
      <c r="O59" s="70"/>
      <c r="P59" s="70"/>
      <c r="Q59" s="70"/>
      <c r="R59" s="104"/>
      <c r="S59" s="103">
        <v>12</v>
      </c>
      <c r="T59" s="104"/>
      <c r="U59" s="103">
        <v>31</v>
      </c>
      <c r="V59" s="70"/>
      <c r="W59" s="70"/>
      <c r="X59" s="70"/>
      <c r="Y59" s="104"/>
      <c r="Z59" s="103">
        <v>43</v>
      </c>
      <c r="AA59" s="70"/>
      <c r="AB59" s="70"/>
      <c r="AC59" s="70"/>
      <c r="AD59" s="104"/>
      <c r="AE59" s="103">
        <v>62</v>
      </c>
      <c r="AF59" s="104"/>
      <c r="AG59" s="103">
        <v>62</v>
      </c>
      <c r="AH59" s="104"/>
      <c r="AI59" s="105">
        <v>468</v>
      </c>
    </row>
    <row r="60" spans="1:37" s="2" customFormat="1" x14ac:dyDescent="0.3">
      <c r="A60" s="116" t="s">
        <v>608</v>
      </c>
      <c r="B60" s="64">
        <v>63</v>
      </c>
      <c r="C60" s="65"/>
      <c r="D60" s="65"/>
      <c r="E60" s="66"/>
      <c r="F60" s="64">
        <v>32</v>
      </c>
      <c r="G60" s="65"/>
      <c r="H60" s="66"/>
      <c r="I60" s="64">
        <v>16</v>
      </c>
      <c r="J60" s="65"/>
      <c r="K60" s="65"/>
      <c r="L60" s="65"/>
      <c r="M60" s="66"/>
      <c r="N60" s="64">
        <v>22</v>
      </c>
      <c r="O60" s="65"/>
      <c r="P60" s="65"/>
      <c r="Q60" s="65"/>
      <c r="R60" s="66"/>
      <c r="S60" s="64">
        <v>6</v>
      </c>
      <c r="T60" s="66"/>
      <c r="U60" s="64">
        <v>16</v>
      </c>
      <c r="V60" s="65"/>
      <c r="W60" s="65"/>
      <c r="X60" s="65"/>
      <c r="Y60" s="66"/>
      <c r="Z60" s="64">
        <v>22</v>
      </c>
      <c r="AA60" s="65"/>
      <c r="AB60" s="65"/>
      <c r="AC60" s="65"/>
      <c r="AD60" s="66"/>
      <c r="AE60" s="64">
        <v>32</v>
      </c>
      <c r="AF60" s="66"/>
      <c r="AG60" s="64">
        <v>32</v>
      </c>
      <c r="AH60" s="66"/>
      <c r="AI60" s="83">
        <v>241</v>
      </c>
      <c r="AK60" s="2" t="str">
        <f t="shared" si="0"/>
        <v>68-T01</v>
      </c>
    </row>
    <row r="61" spans="1:37" s="2" customFormat="1" x14ac:dyDescent="0.3">
      <c r="A61" s="113" t="s">
        <v>618</v>
      </c>
      <c r="B61" s="58">
        <v>59</v>
      </c>
      <c r="C61" s="59"/>
      <c r="D61" s="59"/>
      <c r="E61" s="60"/>
      <c r="F61" s="58">
        <v>30</v>
      </c>
      <c r="G61" s="59"/>
      <c r="H61" s="60"/>
      <c r="I61" s="58">
        <v>15</v>
      </c>
      <c r="J61" s="59"/>
      <c r="K61" s="59"/>
      <c r="L61" s="59"/>
      <c r="M61" s="60"/>
      <c r="N61" s="58">
        <v>21</v>
      </c>
      <c r="O61" s="59"/>
      <c r="P61" s="59"/>
      <c r="Q61" s="59"/>
      <c r="R61" s="60"/>
      <c r="S61" s="58">
        <v>6</v>
      </c>
      <c r="T61" s="60"/>
      <c r="U61" s="58">
        <v>15</v>
      </c>
      <c r="V61" s="59"/>
      <c r="W61" s="59"/>
      <c r="X61" s="59"/>
      <c r="Y61" s="60"/>
      <c r="Z61" s="58">
        <v>21</v>
      </c>
      <c r="AA61" s="59"/>
      <c r="AB61" s="59"/>
      <c r="AC61" s="59"/>
      <c r="AD61" s="60"/>
      <c r="AE61" s="58">
        <v>30</v>
      </c>
      <c r="AF61" s="60"/>
      <c r="AG61" s="58">
        <v>30</v>
      </c>
      <c r="AH61" s="60"/>
      <c r="AI61" s="114">
        <v>227</v>
      </c>
      <c r="AJ61" s="142"/>
      <c r="AK61" s="2" t="str">
        <f t="shared" si="0"/>
        <v>68-T02</v>
      </c>
    </row>
    <row r="62" spans="1:37" s="2" customFormat="1" x14ac:dyDescent="0.3">
      <c r="A62" s="135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129"/>
    </row>
    <row r="63" spans="1:37" s="2" customFormat="1" x14ac:dyDescent="0.3">
      <c r="A63" s="84" t="s">
        <v>1029</v>
      </c>
      <c r="B63" s="85">
        <v>172</v>
      </c>
      <c r="C63" s="86">
        <v>834</v>
      </c>
      <c r="D63" s="86">
        <v>1744</v>
      </c>
      <c r="E63" s="87">
        <v>6320</v>
      </c>
      <c r="F63" s="85">
        <v>222</v>
      </c>
      <c r="G63" s="86">
        <v>874</v>
      </c>
      <c r="H63" s="87">
        <v>3157</v>
      </c>
      <c r="I63" s="85">
        <v>43</v>
      </c>
      <c r="J63" s="86">
        <v>111</v>
      </c>
      <c r="K63" s="86">
        <v>337</v>
      </c>
      <c r="L63" s="86">
        <v>874</v>
      </c>
      <c r="M63" s="87">
        <v>2767</v>
      </c>
      <c r="N63" s="85">
        <v>60</v>
      </c>
      <c r="O63" s="86">
        <v>74</v>
      </c>
      <c r="P63" s="86">
        <v>203</v>
      </c>
      <c r="Q63" s="86">
        <v>581</v>
      </c>
      <c r="R63" s="87">
        <v>1974</v>
      </c>
      <c r="S63" s="85">
        <v>17</v>
      </c>
      <c r="T63" s="87">
        <v>514</v>
      </c>
      <c r="U63" s="85">
        <v>43</v>
      </c>
      <c r="V63" s="86">
        <v>146</v>
      </c>
      <c r="W63" s="86">
        <v>337</v>
      </c>
      <c r="X63" s="86">
        <v>874</v>
      </c>
      <c r="Y63" s="87">
        <v>2767</v>
      </c>
      <c r="Z63" s="85">
        <v>60</v>
      </c>
      <c r="AA63" s="86">
        <v>74</v>
      </c>
      <c r="AB63" s="86">
        <v>203</v>
      </c>
      <c r="AC63" s="86">
        <v>581</v>
      </c>
      <c r="AD63" s="87">
        <v>1974</v>
      </c>
      <c r="AE63" s="88">
        <v>86</v>
      </c>
      <c r="AF63" s="89">
        <v>521</v>
      </c>
      <c r="AG63" s="88">
        <v>86</v>
      </c>
      <c r="AH63" s="89">
        <v>314</v>
      </c>
      <c r="AI63" s="90">
        <f>SUM(B63:AH63)</f>
        <v>28944</v>
      </c>
    </row>
    <row r="64" spans="1:37" s="2" customFormat="1" x14ac:dyDescent="0.3">
      <c r="A64" s="102" t="s">
        <v>955</v>
      </c>
      <c r="B64" s="103"/>
      <c r="C64" s="70"/>
      <c r="D64" s="70">
        <v>11</v>
      </c>
      <c r="E64" s="104"/>
      <c r="F64" s="103"/>
      <c r="G64" s="70">
        <v>6</v>
      </c>
      <c r="H64" s="104"/>
      <c r="I64" s="103"/>
      <c r="J64" s="70"/>
      <c r="K64" s="70"/>
      <c r="L64" s="70">
        <v>6</v>
      </c>
      <c r="M64" s="104"/>
      <c r="N64" s="103"/>
      <c r="O64" s="70"/>
      <c r="P64" s="70"/>
      <c r="Q64" s="70">
        <v>4</v>
      </c>
      <c r="R64" s="104"/>
      <c r="S64" s="103"/>
      <c r="T64" s="104">
        <v>1</v>
      </c>
      <c r="U64" s="103"/>
      <c r="V64" s="70"/>
      <c r="W64" s="70"/>
      <c r="X64" s="70">
        <v>6</v>
      </c>
      <c r="Y64" s="104"/>
      <c r="Z64" s="103"/>
      <c r="AA64" s="70"/>
      <c r="AB64" s="70"/>
      <c r="AC64" s="70">
        <v>4</v>
      </c>
      <c r="AD64" s="104"/>
      <c r="AE64" s="103"/>
      <c r="AF64" s="104"/>
      <c r="AG64" s="103"/>
      <c r="AH64" s="104"/>
      <c r="AI64" s="105">
        <v>38</v>
      </c>
    </row>
    <row r="65" spans="1:37" s="2" customFormat="1" x14ac:dyDescent="0.3">
      <c r="A65" s="106" t="s">
        <v>277</v>
      </c>
      <c r="B65" s="107"/>
      <c r="C65" s="108"/>
      <c r="D65" s="108">
        <v>11</v>
      </c>
      <c r="E65" s="109"/>
      <c r="F65" s="107"/>
      <c r="G65" s="108">
        <v>6</v>
      </c>
      <c r="H65" s="109"/>
      <c r="I65" s="107"/>
      <c r="J65" s="108"/>
      <c r="K65" s="108"/>
      <c r="L65" s="108">
        <v>6</v>
      </c>
      <c r="M65" s="109"/>
      <c r="N65" s="107"/>
      <c r="O65" s="108"/>
      <c r="P65" s="108"/>
      <c r="Q65" s="108">
        <v>4</v>
      </c>
      <c r="R65" s="109"/>
      <c r="S65" s="107"/>
      <c r="T65" s="109">
        <v>1</v>
      </c>
      <c r="U65" s="107"/>
      <c r="V65" s="108"/>
      <c r="W65" s="108"/>
      <c r="X65" s="108">
        <v>6</v>
      </c>
      <c r="Y65" s="109"/>
      <c r="Z65" s="107"/>
      <c r="AA65" s="108"/>
      <c r="AB65" s="108"/>
      <c r="AC65" s="108">
        <v>4</v>
      </c>
      <c r="AD65" s="109"/>
      <c r="AE65" s="110"/>
      <c r="AF65" s="111"/>
      <c r="AG65" s="110"/>
      <c r="AH65" s="111"/>
      <c r="AI65" s="136">
        <v>38</v>
      </c>
      <c r="AK65" s="2" t="str">
        <f t="shared" si="0"/>
        <v>22-C05-R</v>
      </c>
    </row>
    <row r="66" spans="1:37" s="2" customFormat="1" x14ac:dyDescent="0.3">
      <c r="A66" s="102" t="s">
        <v>1132</v>
      </c>
      <c r="B66" s="103"/>
      <c r="C66" s="70"/>
      <c r="D66" s="70">
        <f>SUM(D67:D76)</f>
        <v>1733</v>
      </c>
      <c r="E66" s="104"/>
      <c r="F66" s="103"/>
      <c r="G66" s="70">
        <f>SUM(G67:G76)</f>
        <v>868</v>
      </c>
      <c r="H66" s="104"/>
      <c r="I66" s="103"/>
      <c r="J66" s="70"/>
      <c r="K66" s="70"/>
      <c r="L66" s="70">
        <f>SUM(L67:L76)</f>
        <v>868</v>
      </c>
      <c r="M66" s="104"/>
      <c r="N66" s="103"/>
      <c r="O66" s="70"/>
      <c r="P66" s="70"/>
      <c r="Q66" s="70">
        <f>SUM(Q67:Q76)</f>
        <v>577</v>
      </c>
      <c r="R66" s="104"/>
      <c r="S66" s="103"/>
      <c r="T66" s="104">
        <f>SUM(T67:T76)</f>
        <v>116</v>
      </c>
      <c r="U66" s="103"/>
      <c r="V66" s="70"/>
      <c r="W66" s="70"/>
      <c r="X66" s="70">
        <f>SUM(X67:X76)</f>
        <v>868</v>
      </c>
      <c r="Y66" s="104"/>
      <c r="Z66" s="103"/>
      <c r="AA66" s="70"/>
      <c r="AB66" s="70"/>
      <c r="AC66" s="70">
        <f>SUM(AC67:AC76)</f>
        <v>577</v>
      </c>
      <c r="AD66" s="104"/>
      <c r="AE66" s="103"/>
      <c r="AF66" s="104"/>
      <c r="AG66" s="103"/>
      <c r="AH66" s="104"/>
      <c r="AI66" s="105">
        <f>SUM(B66:AH66)</f>
        <v>5607</v>
      </c>
    </row>
    <row r="67" spans="1:37" s="2" customFormat="1" x14ac:dyDescent="0.3">
      <c r="A67" s="72" t="s">
        <v>93</v>
      </c>
      <c r="B67" s="54"/>
      <c r="C67" s="55"/>
      <c r="D67" s="55">
        <v>167</v>
      </c>
      <c r="E67" s="56"/>
      <c r="F67" s="54"/>
      <c r="G67" s="55">
        <v>84</v>
      </c>
      <c r="H67" s="56"/>
      <c r="I67" s="54"/>
      <c r="J67" s="55"/>
      <c r="K67" s="55"/>
      <c r="L67" s="55">
        <v>84</v>
      </c>
      <c r="M67" s="56"/>
      <c r="N67" s="54"/>
      <c r="O67" s="55"/>
      <c r="P67" s="55"/>
      <c r="Q67" s="55">
        <v>56</v>
      </c>
      <c r="R67" s="56"/>
      <c r="S67" s="54"/>
      <c r="T67" s="56">
        <v>11</v>
      </c>
      <c r="U67" s="54"/>
      <c r="V67" s="55"/>
      <c r="W67" s="55"/>
      <c r="X67" s="55">
        <v>84</v>
      </c>
      <c r="Y67" s="56"/>
      <c r="Z67" s="54"/>
      <c r="AA67" s="55"/>
      <c r="AB67" s="55"/>
      <c r="AC67" s="55">
        <v>56</v>
      </c>
      <c r="AD67" s="56"/>
      <c r="AE67" s="78"/>
      <c r="AF67" s="77"/>
      <c r="AG67" s="78"/>
      <c r="AH67" s="77"/>
      <c r="AI67" s="82">
        <v>542</v>
      </c>
      <c r="AK67" s="2" t="str">
        <f t="shared" si="0"/>
        <v>49-A10-R</v>
      </c>
    </row>
    <row r="68" spans="1:37" s="2" customFormat="1" x14ac:dyDescent="0.3">
      <c r="A68" s="72" t="s">
        <v>101</v>
      </c>
      <c r="B68" s="54"/>
      <c r="C68" s="55"/>
      <c r="D68" s="55">
        <v>145</v>
      </c>
      <c r="E68" s="56"/>
      <c r="F68" s="54"/>
      <c r="G68" s="55">
        <v>73</v>
      </c>
      <c r="H68" s="56"/>
      <c r="I68" s="54"/>
      <c r="J68" s="55"/>
      <c r="K68" s="55"/>
      <c r="L68" s="55">
        <v>73</v>
      </c>
      <c r="M68" s="56"/>
      <c r="N68" s="54"/>
      <c r="O68" s="55"/>
      <c r="P68" s="55"/>
      <c r="Q68" s="55">
        <v>48</v>
      </c>
      <c r="R68" s="56"/>
      <c r="S68" s="54"/>
      <c r="T68" s="56">
        <v>10</v>
      </c>
      <c r="U68" s="54"/>
      <c r="V68" s="55"/>
      <c r="W68" s="55"/>
      <c r="X68" s="55">
        <v>73</v>
      </c>
      <c r="Y68" s="56"/>
      <c r="Z68" s="54"/>
      <c r="AA68" s="55"/>
      <c r="AB68" s="55"/>
      <c r="AC68" s="55">
        <v>48</v>
      </c>
      <c r="AD68" s="56"/>
      <c r="AE68" s="78"/>
      <c r="AF68" s="77"/>
      <c r="AG68" s="78"/>
      <c r="AH68" s="77"/>
      <c r="AI68" s="82">
        <v>470</v>
      </c>
      <c r="AK68" s="2" t="str">
        <f t="shared" si="0"/>
        <v>49-A11-R</v>
      </c>
    </row>
    <row r="69" spans="1:37" s="2" customFormat="1" x14ac:dyDescent="0.3">
      <c r="A69" s="72" t="s">
        <v>109</v>
      </c>
      <c r="B69" s="54"/>
      <c r="C69" s="55"/>
      <c r="D69" s="55">
        <v>226</v>
      </c>
      <c r="E69" s="56"/>
      <c r="F69" s="54"/>
      <c r="G69" s="55">
        <v>113</v>
      </c>
      <c r="H69" s="56"/>
      <c r="I69" s="54"/>
      <c r="J69" s="55"/>
      <c r="K69" s="55"/>
      <c r="L69" s="55">
        <v>113</v>
      </c>
      <c r="M69" s="56"/>
      <c r="N69" s="54"/>
      <c r="O69" s="55"/>
      <c r="P69" s="55"/>
      <c r="Q69" s="55">
        <v>75</v>
      </c>
      <c r="R69" s="56"/>
      <c r="S69" s="54"/>
      <c r="T69" s="56">
        <v>15</v>
      </c>
      <c r="U69" s="54"/>
      <c r="V69" s="55"/>
      <c r="W69" s="55"/>
      <c r="X69" s="55">
        <v>113</v>
      </c>
      <c r="Y69" s="56"/>
      <c r="Z69" s="54"/>
      <c r="AA69" s="55"/>
      <c r="AB69" s="55"/>
      <c r="AC69" s="55">
        <v>75</v>
      </c>
      <c r="AD69" s="56"/>
      <c r="AE69" s="78"/>
      <c r="AF69" s="77"/>
      <c r="AG69" s="78"/>
      <c r="AH69" s="77"/>
      <c r="AI69" s="82">
        <v>730</v>
      </c>
      <c r="AK69" s="2" t="str">
        <f t="shared" si="0"/>
        <v>49-A12-R</v>
      </c>
    </row>
    <row r="70" spans="1:37" s="2" customFormat="1" x14ac:dyDescent="0.3">
      <c r="A70" s="72" t="s">
        <v>117</v>
      </c>
      <c r="B70" s="54"/>
      <c r="C70" s="55"/>
      <c r="D70" s="55">
        <v>174</v>
      </c>
      <c r="E70" s="56"/>
      <c r="F70" s="54"/>
      <c r="G70" s="55">
        <v>87</v>
      </c>
      <c r="H70" s="56"/>
      <c r="I70" s="54"/>
      <c r="J70" s="55"/>
      <c r="K70" s="55"/>
      <c r="L70" s="55">
        <v>87</v>
      </c>
      <c r="M70" s="56"/>
      <c r="N70" s="54"/>
      <c r="O70" s="55"/>
      <c r="P70" s="55"/>
      <c r="Q70" s="55">
        <v>58</v>
      </c>
      <c r="R70" s="56"/>
      <c r="S70" s="54"/>
      <c r="T70" s="56">
        <v>12</v>
      </c>
      <c r="U70" s="54"/>
      <c r="V70" s="55"/>
      <c r="W70" s="55"/>
      <c r="X70" s="55">
        <v>87</v>
      </c>
      <c r="Y70" s="56"/>
      <c r="Z70" s="54"/>
      <c r="AA70" s="55"/>
      <c r="AB70" s="55"/>
      <c r="AC70" s="55">
        <v>58</v>
      </c>
      <c r="AD70" s="56"/>
      <c r="AE70" s="78"/>
      <c r="AF70" s="77"/>
      <c r="AG70" s="78"/>
      <c r="AH70" s="77"/>
      <c r="AI70" s="82">
        <v>563</v>
      </c>
      <c r="AK70" s="2" t="str">
        <f t="shared" si="0"/>
        <v>49-A13-R</v>
      </c>
    </row>
    <row r="71" spans="1:37" s="2" customFormat="1" x14ac:dyDescent="0.3">
      <c r="A71" s="72" t="s">
        <v>285</v>
      </c>
      <c r="B71" s="54"/>
      <c r="C71" s="55"/>
      <c r="D71" s="55">
        <v>168</v>
      </c>
      <c r="E71" s="56"/>
      <c r="F71" s="54"/>
      <c r="G71" s="55">
        <v>84</v>
      </c>
      <c r="H71" s="56"/>
      <c r="I71" s="54"/>
      <c r="J71" s="55"/>
      <c r="K71" s="55"/>
      <c r="L71" s="55">
        <v>84</v>
      </c>
      <c r="M71" s="56"/>
      <c r="N71" s="54"/>
      <c r="O71" s="55"/>
      <c r="P71" s="55"/>
      <c r="Q71" s="55">
        <v>56</v>
      </c>
      <c r="R71" s="56"/>
      <c r="S71" s="54"/>
      <c r="T71" s="56">
        <v>11</v>
      </c>
      <c r="U71" s="54"/>
      <c r="V71" s="55"/>
      <c r="W71" s="55"/>
      <c r="X71" s="55">
        <v>84</v>
      </c>
      <c r="Y71" s="56"/>
      <c r="Z71" s="54"/>
      <c r="AA71" s="55"/>
      <c r="AB71" s="55"/>
      <c r="AC71" s="55">
        <v>56</v>
      </c>
      <c r="AD71" s="56"/>
      <c r="AE71" s="78"/>
      <c r="AF71" s="77"/>
      <c r="AG71" s="78"/>
      <c r="AH71" s="77"/>
      <c r="AI71" s="82">
        <v>543</v>
      </c>
      <c r="AK71" s="2" t="str">
        <f t="shared" si="0"/>
        <v>50-C05-R</v>
      </c>
    </row>
    <row r="72" spans="1:37" s="2" customFormat="1" x14ac:dyDescent="0.3">
      <c r="A72" s="72" t="s">
        <v>317</v>
      </c>
      <c r="B72" s="54"/>
      <c r="C72" s="55"/>
      <c r="D72" s="55">
        <v>252</v>
      </c>
      <c r="E72" s="56"/>
      <c r="F72" s="54"/>
      <c r="G72" s="55">
        <v>126</v>
      </c>
      <c r="H72" s="56"/>
      <c r="I72" s="54"/>
      <c r="J72" s="55"/>
      <c r="K72" s="55"/>
      <c r="L72" s="55">
        <v>126</v>
      </c>
      <c r="M72" s="56"/>
      <c r="N72" s="54"/>
      <c r="O72" s="55"/>
      <c r="P72" s="55"/>
      <c r="Q72" s="55">
        <v>84</v>
      </c>
      <c r="R72" s="56"/>
      <c r="S72" s="54"/>
      <c r="T72" s="56">
        <v>17</v>
      </c>
      <c r="U72" s="54"/>
      <c r="V72" s="55"/>
      <c r="W72" s="55"/>
      <c r="X72" s="55">
        <v>126</v>
      </c>
      <c r="Y72" s="56"/>
      <c r="Z72" s="54"/>
      <c r="AA72" s="55"/>
      <c r="AB72" s="55"/>
      <c r="AC72" s="55">
        <v>84</v>
      </c>
      <c r="AD72" s="56"/>
      <c r="AE72" s="78"/>
      <c r="AF72" s="77"/>
      <c r="AG72" s="78"/>
      <c r="AH72" s="77"/>
      <c r="AI72" s="82">
        <v>815</v>
      </c>
      <c r="AK72" s="2" t="str">
        <f t="shared" si="0"/>
        <v>50-C07-R</v>
      </c>
    </row>
    <row r="73" spans="1:37" s="2" customFormat="1" x14ac:dyDescent="0.3">
      <c r="A73" s="91" t="s">
        <v>37</v>
      </c>
      <c r="B73" s="64"/>
      <c r="C73" s="65"/>
      <c r="D73" s="65">
        <v>292</v>
      </c>
      <c r="E73" s="66"/>
      <c r="F73" s="64"/>
      <c r="G73" s="65">
        <v>146</v>
      </c>
      <c r="H73" s="66"/>
      <c r="I73" s="64"/>
      <c r="J73" s="65"/>
      <c r="K73" s="65"/>
      <c r="L73" s="65">
        <v>146</v>
      </c>
      <c r="M73" s="66"/>
      <c r="N73" s="64"/>
      <c r="O73" s="65"/>
      <c r="P73" s="65"/>
      <c r="Q73" s="65">
        <v>97</v>
      </c>
      <c r="R73" s="66"/>
      <c r="S73" s="64"/>
      <c r="T73" s="66">
        <v>19</v>
      </c>
      <c r="U73" s="64"/>
      <c r="V73" s="65"/>
      <c r="W73" s="65"/>
      <c r="X73" s="65">
        <v>146</v>
      </c>
      <c r="Y73" s="66"/>
      <c r="Z73" s="64"/>
      <c r="AA73" s="65"/>
      <c r="AB73" s="65"/>
      <c r="AC73" s="65">
        <v>97</v>
      </c>
      <c r="AD73" s="66"/>
      <c r="AE73" s="92"/>
      <c r="AF73" s="93"/>
      <c r="AG73" s="92"/>
      <c r="AH73" s="93"/>
      <c r="AI73" s="83">
        <v>943</v>
      </c>
      <c r="AK73" s="2" t="str">
        <f t="shared" si="0"/>
        <v>50-A04</v>
      </c>
    </row>
    <row r="74" spans="1:37" s="2" customFormat="1" x14ac:dyDescent="0.3">
      <c r="A74" s="72" t="s">
        <v>45</v>
      </c>
      <c r="B74" s="54"/>
      <c r="C74" s="55"/>
      <c r="D74" s="55">
        <v>276</v>
      </c>
      <c r="E74" s="56"/>
      <c r="F74" s="54"/>
      <c r="G74" s="55">
        <v>138</v>
      </c>
      <c r="H74" s="56"/>
      <c r="I74" s="54"/>
      <c r="J74" s="55"/>
      <c r="K74" s="55"/>
      <c r="L74" s="55">
        <v>138</v>
      </c>
      <c r="M74" s="56"/>
      <c r="N74" s="54"/>
      <c r="O74" s="55"/>
      <c r="P74" s="55"/>
      <c r="Q74" s="55">
        <v>92</v>
      </c>
      <c r="R74" s="56"/>
      <c r="S74" s="54"/>
      <c r="T74" s="56">
        <v>18</v>
      </c>
      <c r="U74" s="54"/>
      <c r="V74" s="55"/>
      <c r="W74" s="55"/>
      <c r="X74" s="55">
        <v>138</v>
      </c>
      <c r="Y74" s="56"/>
      <c r="Z74" s="54"/>
      <c r="AA74" s="55"/>
      <c r="AB74" s="55"/>
      <c r="AC74" s="55">
        <v>92</v>
      </c>
      <c r="AD74" s="56"/>
      <c r="AE74" s="78"/>
      <c r="AF74" s="77"/>
      <c r="AG74" s="78"/>
      <c r="AH74" s="77"/>
      <c r="AI74" s="82">
        <v>892</v>
      </c>
      <c r="AK74" s="2" t="str">
        <f t="shared" si="0"/>
        <v>50-A05</v>
      </c>
    </row>
    <row r="75" spans="1:37" s="2" customFormat="1" x14ac:dyDescent="0.3">
      <c r="A75" s="97" t="s">
        <v>488</v>
      </c>
      <c r="B75" s="98"/>
      <c r="C75" s="52"/>
      <c r="D75" s="52">
        <v>9</v>
      </c>
      <c r="E75" s="99"/>
      <c r="F75" s="98"/>
      <c r="G75" s="52">
        <v>5</v>
      </c>
      <c r="H75" s="99"/>
      <c r="I75" s="98"/>
      <c r="J75" s="52"/>
      <c r="K75" s="52"/>
      <c r="L75" s="52">
        <v>5</v>
      </c>
      <c r="M75" s="99"/>
      <c r="N75" s="98"/>
      <c r="O75" s="52"/>
      <c r="P75" s="52"/>
      <c r="Q75" s="52">
        <v>3</v>
      </c>
      <c r="R75" s="99"/>
      <c r="S75" s="98"/>
      <c r="T75" s="99">
        <v>1</v>
      </c>
      <c r="U75" s="98"/>
      <c r="V75" s="52"/>
      <c r="W75" s="52"/>
      <c r="X75" s="52">
        <v>5</v>
      </c>
      <c r="Y75" s="99"/>
      <c r="Z75" s="98"/>
      <c r="AA75" s="52"/>
      <c r="AB75" s="52"/>
      <c r="AC75" s="52">
        <v>3</v>
      </c>
      <c r="AD75" s="99"/>
      <c r="AE75" s="100"/>
      <c r="AF75" s="101"/>
      <c r="AG75" s="100"/>
      <c r="AH75" s="101"/>
      <c r="AI75" s="141">
        <v>31</v>
      </c>
      <c r="AK75" s="2" t="str">
        <f t="shared" ref="AK75:AK129" si="1">IF(RIGHT(A75,2)="-R",MID(A75,FIND("-",A75)+1,LEN(A75)-FIND("-",A75)-2)&amp;"-"&amp;LEFT(A75,FIND("-",A75)-1)&amp;"-R",MID(A75,FIND("-",A75)+1,99)&amp;"-"&amp;LEFT(A75,FIND("-",A75)-1))</f>
        <v>51-P07</v>
      </c>
    </row>
    <row r="76" spans="1:37" s="2" customFormat="1" x14ac:dyDescent="0.3">
      <c r="A76" s="94" t="s">
        <v>496</v>
      </c>
      <c r="B76" s="61"/>
      <c r="C76" s="62"/>
      <c r="D76" s="62">
        <v>24</v>
      </c>
      <c r="E76" s="63"/>
      <c r="F76" s="61"/>
      <c r="G76" s="62">
        <v>12</v>
      </c>
      <c r="H76" s="63"/>
      <c r="I76" s="61"/>
      <c r="J76" s="62"/>
      <c r="K76" s="62"/>
      <c r="L76" s="62">
        <v>12</v>
      </c>
      <c r="M76" s="63"/>
      <c r="N76" s="61"/>
      <c r="O76" s="62"/>
      <c r="P76" s="62"/>
      <c r="Q76" s="62">
        <v>8</v>
      </c>
      <c r="R76" s="63"/>
      <c r="S76" s="61"/>
      <c r="T76" s="63">
        <v>2</v>
      </c>
      <c r="U76" s="61"/>
      <c r="V76" s="62"/>
      <c r="W76" s="62"/>
      <c r="X76" s="62">
        <v>12</v>
      </c>
      <c r="Y76" s="63"/>
      <c r="Z76" s="61"/>
      <c r="AA76" s="62"/>
      <c r="AB76" s="62"/>
      <c r="AC76" s="62">
        <v>8</v>
      </c>
      <c r="AD76" s="63"/>
      <c r="AE76" s="95"/>
      <c r="AF76" s="96"/>
      <c r="AG76" s="95"/>
      <c r="AH76" s="96"/>
      <c r="AI76" s="119">
        <v>78</v>
      </c>
      <c r="AK76" s="2" t="str">
        <f t="shared" si="1"/>
        <v>51-P07-R</v>
      </c>
    </row>
    <row r="77" spans="1:37" s="2" customFormat="1" x14ac:dyDescent="0.3">
      <c r="A77" s="102" t="s">
        <v>1138</v>
      </c>
      <c r="B77" s="103"/>
      <c r="C77" s="70"/>
      <c r="D77" s="70"/>
      <c r="E77" s="104">
        <v>2073</v>
      </c>
      <c r="F77" s="103"/>
      <c r="G77" s="70"/>
      <c r="H77" s="104">
        <v>1035</v>
      </c>
      <c r="I77" s="103"/>
      <c r="J77" s="70"/>
      <c r="K77" s="70"/>
      <c r="L77" s="70"/>
      <c r="M77" s="104">
        <v>907</v>
      </c>
      <c r="N77" s="103"/>
      <c r="O77" s="70"/>
      <c r="P77" s="70"/>
      <c r="Q77" s="70"/>
      <c r="R77" s="104">
        <v>649</v>
      </c>
      <c r="S77" s="103"/>
      <c r="T77" s="104">
        <v>102</v>
      </c>
      <c r="U77" s="103"/>
      <c r="V77" s="70"/>
      <c r="W77" s="70"/>
      <c r="X77" s="70"/>
      <c r="Y77" s="104">
        <v>907</v>
      </c>
      <c r="Z77" s="103"/>
      <c r="AA77" s="70"/>
      <c r="AB77" s="70"/>
      <c r="AC77" s="70"/>
      <c r="AD77" s="104">
        <v>649</v>
      </c>
      <c r="AE77" s="103"/>
      <c r="AF77" s="104"/>
      <c r="AG77" s="103"/>
      <c r="AH77" s="104"/>
      <c r="AI77" s="105">
        <v>6322</v>
      </c>
    </row>
    <row r="78" spans="1:37" s="2" customFormat="1" x14ac:dyDescent="0.3">
      <c r="A78" s="91" t="s">
        <v>6</v>
      </c>
      <c r="B78" s="64"/>
      <c r="C78" s="65"/>
      <c r="D78" s="65"/>
      <c r="E78" s="66">
        <v>156</v>
      </c>
      <c r="F78" s="64"/>
      <c r="G78" s="65"/>
      <c r="H78" s="66">
        <v>78</v>
      </c>
      <c r="I78" s="64"/>
      <c r="J78" s="65"/>
      <c r="K78" s="65"/>
      <c r="L78" s="65"/>
      <c r="M78" s="66">
        <v>68</v>
      </c>
      <c r="N78" s="64"/>
      <c r="O78" s="65"/>
      <c r="P78" s="65"/>
      <c r="Q78" s="65"/>
      <c r="R78" s="66">
        <v>49</v>
      </c>
      <c r="S78" s="64"/>
      <c r="T78" s="66">
        <v>8</v>
      </c>
      <c r="U78" s="64"/>
      <c r="V78" s="65"/>
      <c r="W78" s="65"/>
      <c r="X78" s="65"/>
      <c r="Y78" s="66">
        <v>68</v>
      </c>
      <c r="Z78" s="64"/>
      <c r="AA78" s="65"/>
      <c r="AB78" s="65"/>
      <c r="AC78" s="65"/>
      <c r="AD78" s="66">
        <v>49</v>
      </c>
      <c r="AE78" s="92"/>
      <c r="AF78" s="93"/>
      <c r="AG78" s="92"/>
      <c r="AH78" s="93"/>
      <c r="AI78" s="83">
        <v>476</v>
      </c>
      <c r="AK78" s="2" t="str">
        <f t="shared" si="1"/>
        <v>56-A01</v>
      </c>
    </row>
    <row r="79" spans="1:37" s="2" customFormat="1" x14ac:dyDescent="0.3">
      <c r="A79" s="72" t="s">
        <v>20</v>
      </c>
      <c r="B79" s="54"/>
      <c r="C79" s="55"/>
      <c r="D79" s="55"/>
      <c r="E79" s="56">
        <v>307</v>
      </c>
      <c r="F79" s="54"/>
      <c r="G79" s="55"/>
      <c r="H79" s="56">
        <v>153</v>
      </c>
      <c r="I79" s="54"/>
      <c r="J79" s="55"/>
      <c r="K79" s="55"/>
      <c r="L79" s="55"/>
      <c r="M79" s="56">
        <v>134</v>
      </c>
      <c r="N79" s="54"/>
      <c r="O79" s="55"/>
      <c r="P79" s="55"/>
      <c r="Q79" s="55"/>
      <c r="R79" s="56">
        <v>96</v>
      </c>
      <c r="S79" s="54"/>
      <c r="T79" s="56">
        <v>15</v>
      </c>
      <c r="U79" s="54"/>
      <c r="V79" s="55"/>
      <c r="W79" s="55"/>
      <c r="X79" s="55"/>
      <c r="Y79" s="56">
        <v>134</v>
      </c>
      <c r="Z79" s="54"/>
      <c r="AA79" s="55"/>
      <c r="AB79" s="55"/>
      <c r="AC79" s="55"/>
      <c r="AD79" s="56">
        <v>96</v>
      </c>
      <c r="AE79" s="78"/>
      <c r="AF79" s="77"/>
      <c r="AG79" s="78"/>
      <c r="AH79" s="77"/>
      <c r="AI79" s="82">
        <v>935</v>
      </c>
      <c r="AK79" s="2" t="str">
        <f t="shared" si="1"/>
        <v>56-A02</v>
      </c>
    </row>
    <row r="80" spans="1:37" s="2" customFormat="1" x14ac:dyDescent="0.3">
      <c r="A80" s="72" t="s">
        <v>28</v>
      </c>
      <c r="B80" s="54"/>
      <c r="C80" s="55"/>
      <c r="D80" s="55"/>
      <c r="E80" s="56">
        <v>170</v>
      </c>
      <c r="F80" s="54"/>
      <c r="G80" s="55"/>
      <c r="H80" s="56">
        <v>85</v>
      </c>
      <c r="I80" s="54"/>
      <c r="J80" s="55"/>
      <c r="K80" s="55"/>
      <c r="L80" s="55"/>
      <c r="M80" s="56">
        <v>74</v>
      </c>
      <c r="N80" s="54"/>
      <c r="O80" s="55"/>
      <c r="P80" s="55"/>
      <c r="Q80" s="55"/>
      <c r="R80" s="56">
        <v>53</v>
      </c>
      <c r="S80" s="54"/>
      <c r="T80" s="56">
        <v>8</v>
      </c>
      <c r="U80" s="54"/>
      <c r="V80" s="55"/>
      <c r="W80" s="55"/>
      <c r="X80" s="55"/>
      <c r="Y80" s="56">
        <v>74</v>
      </c>
      <c r="Z80" s="54"/>
      <c r="AA80" s="55"/>
      <c r="AB80" s="55"/>
      <c r="AC80" s="55"/>
      <c r="AD80" s="56">
        <v>53</v>
      </c>
      <c r="AE80" s="78"/>
      <c r="AF80" s="77"/>
      <c r="AG80" s="78"/>
      <c r="AH80" s="77"/>
      <c r="AI80" s="82">
        <v>517</v>
      </c>
      <c r="AK80" s="2" t="str">
        <f t="shared" si="1"/>
        <v>56-A03-R</v>
      </c>
    </row>
    <row r="81" spans="1:37" s="2" customFormat="1" x14ac:dyDescent="0.3">
      <c r="A81" s="72" t="s">
        <v>341</v>
      </c>
      <c r="B81" s="54"/>
      <c r="C81" s="55"/>
      <c r="D81" s="55"/>
      <c r="E81" s="56">
        <v>248</v>
      </c>
      <c r="F81" s="54"/>
      <c r="G81" s="55"/>
      <c r="H81" s="56">
        <v>124</v>
      </c>
      <c r="I81" s="54"/>
      <c r="J81" s="55"/>
      <c r="K81" s="55"/>
      <c r="L81" s="55"/>
      <c r="M81" s="56">
        <v>109</v>
      </c>
      <c r="N81" s="54"/>
      <c r="O81" s="55"/>
      <c r="P81" s="55"/>
      <c r="Q81" s="55"/>
      <c r="R81" s="56">
        <v>78</v>
      </c>
      <c r="S81" s="54"/>
      <c r="T81" s="56">
        <v>12</v>
      </c>
      <c r="U81" s="54"/>
      <c r="V81" s="55"/>
      <c r="W81" s="55"/>
      <c r="X81" s="55"/>
      <c r="Y81" s="56">
        <v>109</v>
      </c>
      <c r="Z81" s="54"/>
      <c r="AA81" s="55"/>
      <c r="AB81" s="55"/>
      <c r="AC81" s="55"/>
      <c r="AD81" s="56">
        <v>78</v>
      </c>
      <c r="AE81" s="78"/>
      <c r="AF81" s="77"/>
      <c r="AG81" s="78"/>
      <c r="AH81" s="77"/>
      <c r="AI81" s="82">
        <v>758</v>
      </c>
      <c r="AK81" s="2" t="str">
        <f t="shared" si="1"/>
        <v>56-C10-R</v>
      </c>
    </row>
    <row r="82" spans="1:37" s="2" customFormat="1" x14ac:dyDescent="0.3">
      <c r="A82" s="94" t="s">
        <v>406</v>
      </c>
      <c r="B82" s="61"/>
      <c r="C82" s="62"/>
      <c r="D82" s="62"/>
      <c r="E82" s="63">
        <v>314</v>
      </c>
      <c r="F82" s="61"/>
      <c r="G82" s="62"/>
      <c r="H82" s="63">
        <v>157</v>
      </c>
      <c r="I82" s="61"/>
      <c r="J82" s="62"/>
      <c r="K82" s="62"/>
      <c r="L82" s="62"/>
      <c r="M82" s="63">
        <v>138</v>
      </c>
      <c r="N82" s="61"/>
      <c r="O82" s="62"/>
      <c r="P82" s="62"/>
      <c r="Q82" s="62"/>
      <c r="R82" s="63">
        <v>98</v>
      </c>
      <c r="S82" s="61"/>
      <c r="T82" s="63">
        <v>16</v>
      </c>
      <c r="U82" s="61"/>
      <c r="V82" s="62"/>
      <c r="W82" s="62"/>
      <c r="X82" s="62"/>
      <c r="Y82" s="63">
        <v>138</v>
      </c>
      <c r="Z82" s="61"/>
      <c r="AA82" s="62"/>
      <c r="AB82" s="62"/>
      <c r="AC82" s="62"/>
      <c r="AD82" s="63">
        <v>98</v>
      </c>
      <c r="AE82" s="95"/>
      <c r="AF82" s="96"/>
      <c r="AG82" s="95"/>
      <c r="AH82" s="96"/>
      <c r="AI82" s="119">
        <v>959</v>
      </c>
      <c r="AK82" s="2" t="str">
        <f t="shared" si="1"/>
        <v>56-D07-R</v>
      </c>
    </row>
    <row r="83" spans="1:37" s="2" customFormat="1" x14ac:dyDescent="0.3">
      <c r="A83" s="72" t="s">
        <v>77</v>
      </c>
      <c r="B83" s="54"/>
      <c r="C83" s="55"/>
      <c r="D83" s="55"/>
      <c r="E83" s="56">
        <v>345</v>
      </c>
      <c r="F83" s="54"/>
      <c r="G83" s="55"/>
      <c r="H83" s="56">
        <v>172</v>
      </c>
      <c r="I83" s="54"/>
      <c r="J83" s="55"/>
      <c r="K83" s="55"/>
      <c r="L83" s="55"/>
      <c r="M83" s="56">
        <v>151</v>
      </c>
      <c r="N83" s="54"/>
      <c r="O83" s="55"/>
      <c r="P83" s="55"/>
      <c r="Q83" s="55"/>
      <c r="R83" s="56">
        <v>108</v>
      </c>
      <c r="S83" s="54"/>
      <c r="T83" s="56">
        <v>17</v>
      </c>
      <c r="U83" s="54"/>
      <c r="V83" s="55"/>
      <c r="W83" s="55"/>
      <c r="X83" s="55"/>
      <c r="Y83" s="56">
        <v>151</v>
      </c>
      <c r="Z83" s="54"/>
      <c r="AA83" s="55"/>
      <c r="AB83" s="55"/>
      <c r="AC83" s="55"/>
      <c r="AD83" s="56">
        <v>108</v>
      </c>
      <c r="AE83" s="78"/>
      <c r="AF83" s="77"/>
      <c r="AG83" s="78"/>
      <c r="AH83" s="77"/>
      <c r="AI83" s="82">
        <v>1052</v>
      </c>
      <c r="AK83" s="2" t="str">
        <f t="shared" si="1"/>
        <v>57-A08-R</v>
      </c>
    </row>
    <row r="84" spans="1:37" s="2" customFormat="1" x14ac:dyDescent="0.3">
      <c r="A84" s="72" t="s">
        <v>85</v>
      </c>
      <c r="B84" s="54"/>
      <c r="C84" s="55"/>
      <c r="D84" s="55"/>
      <c r="E84" s="56">
        <v>309</v>
      </c>
      <c r="F84" s="54"/>
      <c r="G84" s="55"/>
      <c r="H84" s="56">
        <v>154</v>
      </c>
      <c r="I84" s="54"/>
      <c r="J84" s="55"/>
      <c r="K84" s="55"/>
      <c r="L84" s="55"/>
      <c r="M84" s="56">
        <v>135</v>
      </c>
      <c r="N84" s="54"/>
      <c r="O84" s="55"/>
      <c r="P84" s="55"/>
      <c r="Q84" s="55"/>
      <c r="R84" s="56">
        <v>97</v>
      </c>
      <c r="S84" s="54"/>
      <c r="T84" s="56">
        <v>15</v>
      </c>
      <c r="U84" s="54"/>
      <c r="V84" s="55"/>
      <c r="W84" s="55"/>
      <c r="X84" s="55"/>
      <c r="Y84" s="56">
        <v>135</v>
      </c>
      <c r="Z84" s="54"/>
      <c r="AA84" s="55"/>
      <c r="AB84" s="55"/>
      <c r="AC84" s="55"/>
      <c r="AD84" s="56">
        <v>97</v>
      </c>
      <c r="AE84" s="78"/>
      <c r="AF84" s="77"/>
      <c r="AG84" s="78"/>
      <c r="AH84" s="77"/>
      <c r="AI84" s="82">
        <v>942</v>
      </c>
      <c r="AK84" s="2" t="str">
        <f t="shared" si="1"/>
        <v>57-A09-R</v>
      </c>
    </row>
    <row r="85" spans="1:37" s="2" customFormat="1" x14ac:dyDescent="0.3">
      <c r="A85" s="72" t="s">
        <v>301</v>
      </c>
      <c r="B85" s="54"/>
      <c r="C85" s="55"/>
      <c r="D85" s="55"/>
      <c r="E85" s="56">
        <v>24</v>
      </c>
      <c r="F85" s="54"/>
      <c r="G85" s="55"/>
      <c r="H85" s="56">
        <v>12</v>
      </c>
      <c r="I85" s="54"/>
      <c r="J85" s="55"/>
      <c r="K85" s="55"/>
      <c r="L85" s="55"/>
      <c r="M85" s="56">
        <v>11</v>
      </c>
      <c r="N85" s="54"/>
      <c r="O85" s="55"/>
      <c r="P85" s="55"/>
      <c r="Q85" s="55"/>
      <c r="R85" s="56">
        <v>8</v>
      </c>
      <c r="S85" s="54"/>
      <c r="T85" s="56">
        <v>1</v>
      </c>
      <c r="U85" s="54"/>
      <c r="V85" s="55"/>
      <c r="W85" s="55"/>
      <c r="X85" s="55"/>
      <c r="Y85" s="56">
        <v>11</v>
      </c>
      <c r="Z85" s="54"/>
      <c r="AA85" s="55"/>
      <c r="AB85" s="55"/>
      <c r="AC85" s="55"/>
      <c r="AD85" s="56">
        <v>8</v>
      </c>
      <c r="AE85" s="78"/>
      <c r="AF85" s="77"/>
      <c r="AG85" s="78"/>
      <c r="AH85" s="77"/>
      <c r="AI85" s="82">
        <v>75</v>
      </c>
      <c r="AK85" s="2" t="str">
        <f t="shared" si="1"/>
        <v>57-C06</v>
      </c>
    </row>
    <row r="86" spans="1:37" s="2" customFormat="1" x14ac:dyDescent="0.3">
      <c r="A86" s="72" t="s">
        <v>309</v>
      </c>
      <c r="B86" s="54"/>
      <c r="C86" s="55"/>
      <c r="D86" s="55"/>
      <c r="E86" s="56">
        <v>200</v>
      </c>
      <c r="F86" s="54"/>
      <c r="G86" s="55"/>
      <c r="H86" s="56">
        <v>100</v>
      </c>
      <c r="I86" s="54"/>
      <c r="J86" s="55"/>
      <c r="K86" s="55"/>
      <c r="L86" s="55"/>
      <c r="M86" s="56">
        <v>87</v>
      </c>
      <c r="N86" s="54"/>
      <c r="O86" s="55"/>
      <c r="P86" s="55"/>
      <c r="Q86" s="55"/>
      <c r="R86" s="56">
        <v>62</v>
      </c>
      <c r="S86" s="54"/>
      <c r="T86" s="56">
        <v>10</v>
      </c>
      <c r="U86" s="54"/>
      <c r="V86" s="55"/>
      <c r="W86" s="55"/>
      <c r="X86" s="55"/>
      <c r="Y86" s="56">
        <v>87</v>
      </c>
      <c r="Z86" s="54"/>
      <c r="AA86" s="55"/>
      <c r="AB86" s="55"/>
      <c r="AC86" s="55"/>
      <c r="AD86" s="56">
        <v>62</v>
      </c>
      <c r="AE86" s="78"/>
      <c r="AF86" s="77"/>
      <c r="AG86" s="78"/>
      <c r="AH86" s="77"/>
      <c r="AI86" s="82">
        <v>608</v>
      </c>
      <c r="AK86" s="2" t="str">
        <f t="shared" si="1"/>
        <v>57-C06-R</v>
      </c>
    </row>
    <row r="87" spans="1:37" s="2" customFormat="1" x14ac:dyDescent="0.3">
      <c r="A87" s="102" t="s">
        <v>1266</v>
      </c>
      <c r="B87" s="103"/>
      <c r="C87" s="70"/>
      <c r="D87" s="70"/>
      <c r="E87" s="104">
        <v>1742</v>
      </c>
      <c r="F87" s="103"/>
      <c r="G87" s="70"/>
      <c r="H87" s="104">
        <v>870</v>
      </c>
      <c r="I87" s="103"/>
      <c r="J87" s="70"/>
      <c r="K87" s="70"/>
      <c r="L87" s="70"/>
      <c r="M87" s="104">
        <v>762</v>
      </c>
      <c r="N87" s="103"/>
      <c r="O87" s="70"/>
      <c r="P87" s="70"/>
      <c r="Q87" s="70"/>
      <c r="R87" s="104">
        <v>543</v>
      </c>
      <c r="S87" s="103"/>
      <c r="T87" s="104">
        <v>88</v>
      </c>
      <c r="U87" s="103"/>
      <c r="V87" s="70"/>
      <c r="W87" s="70"/>
      <c r="X87" s="70"/>
      <c r="Y87" s="104">
        <v>762</v>
      </c>
      <c r="Z87" s="103"/>
      <c r="AA87" s="70"/>
      <c r="AB87" s="70"/>
      <c r="AC87" s="70"/>
      <c r="AD87" s="104">
        <v>543</v>
      </c>
      <c r="AE87" s="103"/>
      <c r="AF87" s="104"/>
      <c r="AG87" s="103"/>
      <c r="AH87" s="104"/>
      <c r="AI87" s="105">
        <v>5310</v>
      </c>
    </row>
    <row r="88" spans="1:37" s="2" customFormat="1" x14ac:dyDescent="0.3">
      <c r="A88" s="72" t="s">
        <v>261</v>
      </c>
      <c r="B88" s="54"/>
      <c r="C88" s="55"/>
      <c r="D88" s="55"/>
      <c r="E88" s="56">
        <v>267</v>
      </c>
      <c r="F88" s="54"/>
      <c r="G88" s="55"/>
      <c r="H88" s="56">
        <v>133</v>
      </c>
      <c r="I88" s="54"/>
      <c r="J88" s="55"/>
      <c r="K88" s="55"/>
      <c r="L88" s="55"/>
      <c r="M88" s="56">
        <v>117</v>
      </c>
      <c r="N88" s="54"/>
      <c r="O88" s="55"/>
      <c r="P88" s="55"/>
      <c r="Q88" s="55"/>
      <c r="R88" s="56">
        <v>83</v>
      </c>
      <c r="S88" s="54"/>
      <c r="T88" s="56">
        <v>13</v>
      </c>
      <c r="U88" s="54"/>
      <c r="V88" s="55"/>
      <c r="W88" s="55"/>
      <c r="X88" s="55"/>
      <c r="Y88" s="56">
        <v>117</v>
      </c>
      <c r="Z88" s="54"/>
      <c r="AA88" s="55"/>
      <c r="AB88" s="55"/>
      <c r="AC88" s="55"/>
      <c r="AD88" s="56">
        <v>83</v>
      </c>
      <c r="AE88" s="78"/>
      <c r="AF88" s="77"/>
      <c r="AG88" s="78"/>
      <c r="AH88" s="77"/>
      <c r="AI88" s="82">
        <v>813</v>
      </c>
      <c r="AK88" s="2" t="str">
        <f t="shared" si="1"/>
        <v>59-C03-R</v>
      </c>
    </row>
    <row r="89" spans="1:37" s="2" customFormat="1" x14ac:dyDescent="0.3">
      <c r="A89" s="72" t="s">
        <v>269</v>
      </c>
      <c r="B89" s="54"/>
      <c r="C89" s="55"/>
      <c r="D89" s="55"/>
      <c r="E89" s="56">
        <v>202</v>
      </c>
      <c r="F89" s="54"/>
      <c r="G89" s="55"/>
      <c r="H89" s="56">
        <v>101</v>
      </c>
      <c r="I89" s="54"/>
      <c r="J89" s="55"/>
      <c r="K89" s="55"/>
      <c r="L89" s="55"/>
      <c r="M89" s="56">
        <v>88</v>
      </c>
      <c r="N89" s="54"/>
      <c r="O89" s="55"/>
      <c r="P89" s="55"/>
      <c r="Q89" s="55"/>
      <c r="R89" s="56">
        <v>63</v>
      </c>
      <c r="S89" s="54"/>
      <c r="T89" s="56">
        <v>10</v>
      </c>
      <c r="U89" s="54"/>
      <c r="V89" s="55"/>
      <c r="W89" s="55"/>
      <c r="X89" s="55"/>
      <c r="Y89" s="56">
        <v>88</v>
      </c>
      <c r="Z89" s="54"/>
      <c r="AA89" s="55"/>
      <c r="AB89" s="55"/>
      <c r="AC89" s="55"/>
      <c r="AD89" s="56">
        <v>63</v>
      </c>
      <c r="AE89" s="78"/>
      <c r="AF89" s="77"/>
      <c r="AG89" s="78"/>
      <c r="AH89" s="77"/>
      <c r="AI89" s="82">
        <v>615</v>
      </c>
      <c r="AK89" s="2" t="str">
        <f t="shared" si="1"/>
        <v>59-C04-R</v>
      </c>
    </row>
    <row r="90" spans="1:37" s="2" customFormat="1" x14ac:dyDescent="0.3">
      <c r="A90" s="72" t="s">
        <v>325</v>
      </c>
      <c r="B90" s="54"/>
      <c r="C90" s="55"/>
      <c r="D90" s="55"/>
      <c r="E90" s="56">
        <v>231</v>
      </c>
      <c r="F90" s="54"/>
      <c r="G90" s="55"/>
      <c r="H90" s="56">
        <v>116</v>
      </c>
      <c r="I90" s="54"/>
      <c r="J90" s="55"/>
      <c r="K90" s="55"/>
      <c r="L90" s="55"/>
      <c r="M90" s="56">
        <v>101</v>
      </c>
      <c r="N90" s="54"/>
      <c r="O90" s="55"/>
      <c r="P90" s="55"/>
      <c r="Q90" s="55"/>
      <c r="R90" s="56">
        <v>72</v>
      </c>
      <c r="S90" s="54"/>
      <c r="T90" s="56">
        <v>12</v>
      </c>
      <c r="U90" s="54"/>
      <c r="V90" s="55"/>
      <c r="W90" s="55"/>
      <c r="X90" s="55"/>
      <c r="Y90" s="56">
        <v>101</v>
      </c>
      <c r="Z90" s="54"/>
      <c r="AA90" s="55"/>
      <c r="AB90" s="55"/>
      <c r="AC90" s="55"/>
      <c r="AD90" s="56">
        <v>72</v>
      </c>
      <c r="AE90" s="78"/>
      <c r="AF90" s="77"/>
      <c r="AG90" s="78"/>
      <c r="AH90" s="77"/>
      <c r="AI90" s="82">
        <v>705</v>
      </c>
      <c r="AK90" s="2" t="str">
        <f t="shared" si="1"/>
        <v>59-C08-R</v>
      </c>
    </row>
    <row r="91" spans="1:37" s="2" customFormat="1" x14ac:dyDescent="0.3">
      <c r="A91" s="72" t="s">
        <v>333</v>
      </c>
      <c r="B91" s="54"/>
      <c r="C91" s="55"/>
      <c r="D91" s="55"/>
      <c r="E91" s="56">
        <v>152</v>
      </c>
      <c r="F91" s="54"/>
      <c r="G91" s="55"/>
      <c r="H91" s="56">
        <v>76</v>
      </c>
      <c r="I91" s="54"/>
      <c r="J91" s="55"/>
      <c r="K91" s="55"/>
      <c r="L91" s="55"/>
      <c r="M91" s="56">
        <v>67</v>
      </c>
      <c r="N91" s="54"/>
      <c r="O91" s="55"/>
      <c r="P91" s="55"/>
      <c r="Q91" s="55"/>
      <c r="R91" s="56">
        <v>48</v>
      </c>
      <c r="S91" s="54"/>
      <c r="T91" s="56">
        <v>8</v>
      </c>
      <c r="U91" s="54"/>
      <c r="V91" s="55"/>
      <c r="W91" s="55"/>
      <c r="X91" s="55"/>
      <c r="Y91" s="56">
        <v>67</v>
      </c>
      <c r="Z91" s="54"/>
      <c r="AA91" s="55"/>
      <c r="AB91" s="55"/>
      <c r="AC91" s="55"/>
      <c r="AD91" s="56">
        <v>48</v>
      </c>
      <c r="AE91" s="78"/>
      <c r="AF91" s="77"/>
      <c r="AG91" s="78"/>
      <c r="AH91" s="77"/>
      <c r="AI91" s="82">
        <v>466</v>
      </c>
      <c r="AK91" s="2" t="str">
        <f t="shared" si="1"/>
        <v>59-C09-R</v>
      </c>
    </row>
    <row r="92" spans="1:37" s="2" customFormat="1" x14ac:dyDescent="0.3">
      <c r="A92" s="94" t="s">
        <v>349</v>
      </c>
      <c r="B92" s="61"/>
      <c r="C92" s="62"/>
      <c r="D92" s="62"/>
      <c r="E92" s="63">
        <v>183</v>
      </c>
      <c r="F92" s="61"/>
      <c r="G92" s="62"/>
      <c r="H92" s="63">
        <v>92</v>
      </c>
      <c r="I92" s="61"/>
      <c r="J92" s="62"/>
      <c r="K92" s="62"/>
      <c r="L92" s="62"/>
      <c r="M92" s="63">
        <v>80</v>
      </c>
      <c r="N92" s="61"/>
      <c r="O92" s="62"/>
      <c r="P92" s="62"/>
      <c r="Q92" s="62"/>
      <c r="R92" s="63">
        <v>57</v>
      </c>
      <c r="S92" s="61"/>
      <c r="T92" s="63">
        <v>9</v>
      </c>
      <c r="U92" s="61"/>
      <c r="V92" s="62"/>
      <c r="W92" s="62"/>
      <c r="X92" s="62"/>
      <c r="Y92" s="63">
        <v>80</v>
      </c>
      <c r="Z92" s="61"/>
      <c r="AA92" s="62"/>
      <c r="AB92" s="62"/>
      <c r="AC92" s="62"/>
      <c r="AD92" s="63">
        <v>57</v>
      </c>
      <c r="AE92" s="95"/>
      <c r="AF92" s="96"/>
      <c r="AG92" s="95"/>
      <c r="AH92" s="96"/>
      <c r="AI92" s="119">
        <v>558</v>
      </c>
      <c r="AK92" s="2" t="str">
        <f t="shared" si="1"/>
        <v>59-C11-R</v>
      </c>
    </row>
    <row r="93" spans="1:37" s="2" customFormat="1" x14ac:dyDescent="0.3">
      <c r="A93" s="91" t="s">
        <v>53</v>
      </c>
      <c r="B93" s="64"/>
      <c r="C93" s="65"/>
      <c r="D93" s="65"/>
      <c r="E93" s="66">
        <v>261</v>
      </c>
      <c r="F93" s="64"/>
      <c r="G93" s="65"/>
      <c r="H93" s="66">
        <v>130</v>
      </c>
      <c r="I93" s="64"/>
      <c r="J93" s="65"/>
      <c r="K93" s="65"/>
      <c r="L93" s="65"/>
      <c r="M93" s="66">
        <v>114</v>
      </c>
      <c r="N93" s="64"/>
      <c r="O93" s="65"/>
      <c r="P93" s="65"/>
      <c r="Q93" s="65"/>
      <c r="R93" s="66">
        <v>81</v>
      </c>
      <c r="S93" s="64"/>
      <c r="T93" s="66">
        <v>13</v>
      </c>
      <c r="U93" s="64"/>
      <c r="V93" s="65"/>
      <c r="W93" s="65"/>
      <c r="X93" s="65"/>
      <c r="Y93" s="66">
        <v>114</v>
      </c>
      <c r="Z93" s="64"/>
      <c r="AA93" s="65"/>
      <c r="AB93" s="65"/>
      <c r="AC93" s="65"/>
      <c r="AD93" s="66">
        <v>81</v>
      </c>
      <c r="AE93" s="92"/>
      <c r="AF93" s="93"/>
      <c r="AG93" s="92"/>
      <c r="AH93" s="93"/>
      <c r="AI93" s="83">
        <v>794</v>
      </c>
      <c r="AK93" s="2" t="str">
        <f t="shared" si="1"/>
        <v>60-A06</v>
      </c>
    </row>
    <row r="94" spans="1:37" s="2" customFormat="1" x14ac:dyDescent="0.3">
      <c r="A94" s="72" t="s">
        <v>245</v>
      </c>
      <c r="B94" s="54"/>
      <c r="C94" s="55"/>
      <c r="D94" s="55"/>
      <c r="E94" s="56">
        <v>217</v>
      </c>
      <c r="F94" s="54"/>
      <c r="G94" s="55"/>
      <c r="H94" s="56">
        <v>108</v>
      </c>
      <c r="I94" s="54"/>
      <c r="J94" s="55"/>
      <c r="K94" s="55"/>
      <c r="L94" s="55"/>
      <c r="M94" s="56">
        <v>95</v>
      </c>
      <c r="N94" s="54"/>
      <c r="O94" s="55"/>
      <c r="P94" s="55"/>
      <c r="Q94" s="55"/>
      <c r="R94" s="56">
        <v>68</v>
      </c>
      <c r="S94" s="54"/>
      <c r="T94" s="56">
        <v>11</v>
      </c>
      <c r="U94" s="54"/>
      <c r="V94" s="55"/>
      <c r="W94" s="55"/>
      <c r="X94" s="55"/>
      <c r="Y94" s="56">
        <v>95</v>
      </c>
      <c r="Z94" s="54"/>
      <c r="AA94" s="55"/>
      <c r="AB94" s="55"/>
      <c r="AC94" s="55"/>
      <c r="AD94" s="56">
        <v>68</v>
      </c>
      <c r="AE94" s="78"/>
      <c r="AF94" s="77"/>
      <c r="AG94" s="78"/>
      <c r="AH94" s="77"/>
      <c r="AI94" s="82">
        <v>662</v>
      </c>
      <c r="AK94" s="2" t="str">
        <f t="shared" si="1"/>
        <v>60-C01-R</v>
      </c>
    </row>
    <row r="95" spans="1:37" s="2" customFormat="1" x14ac:dyDescent="0.3">
      <c r="A95" s="72" t="s">
        <v>253</v>
      </c>
      <c r="B95" s="54"/>
      <c r="C95" s="55"/>
      <c r="D95" s="55"/>
      <c r="E95" s="56">
        <v>171</v>
      </c>
      <c r="F95" s="54"/>
      <c r="G95" s="55"/>
      <c r="H95" s="56">
        <v>85</v>
      </c>
      <c r="I95" s="54"/>
      <c r="J95" s="55"/>
      <c r="K95" s="55"/>
      <c r="L95" s="55"/>
      <c r="M95" s="56">
        <v>75</v>
      </c>
      <c r="N95" s="54"/>
      <c r="O95" s="55"/>
      <c r="P95" s="55"/>
      <c r="Q95" s="55"/>
      <c r="R95" s="56">
        <v>53</v>
      </c>
      <c r="S95" s="54"/>
      <c r="T95" s="56">
        <v>9</v>
      </c>
      <c r="U95" s="54"/>
      <c r="V95" s="55"/>
      <c r="W95" s="55"/>
      <c r="X95" s="55"/>
      <c r="Y95" s="56">
        <v>75</v>
      </c>
      <c r="Z95" s="54"/>
      <c r="AA95" s="55"/>
      <c r="AB95" s="55"/>
      <c r="AC95" s="55"/>
      <c r="AD95" s="56">
        <v>53</v>
      </c>
      <c r="AE95" s="78"/>
      <c r="AF95" s="77"/>
      <c r="AG95" s="78"/>
      <c r="AH95" s="77"/>
      <c r="AI95" s="82">
        <v>521</v>
      </c>
      <c r="AK95" s="2" t="str">
        <f t="shared" si="1"/>
        <v>60-C02-R</v>
      </c>
    </row>
    <row r="96" spans="1:37" s="2" customFormat="1" x14ac:dyDescent="0.3">
      <c r="A96" s="72" t="s">
        <v>293</v>
      </c>
      <c r="B96" s="54"/>
      <c r="C96" s="55"/>
      <c r="D96" s="55"/>
      <c r="E96" s="56">
        <v>58</v>
      </c>
      <c r="F96" s="54"/>
      <c r="G96" s="55"/>
      <c r="H96" s="56">
        <v>29</v>
      </c>
      <c r="I96" s="54"/>
      <c r="J96" s="55"/>
      <c r="K96" s="55"/>
      <c r="L96" s="55"/>
      <c r="M96" s="56">
        <v>25</v>
      </c>
      <c r="N96" s="54"/>
      <c r="O96" s="55"/>
      <c r="P96" s="55"/>
      <c r="Q96" s="55"/>
      <c r="R96" s="56">
        <v>18</v>
      </c>
      <c r="S96" s="54"/>
      <c r="T96" s="56">
        <v>3</v>
      </c>
      <c r="U96" s="54"/>
      <c r="V96" s="55"/>
      <c r="W96" s="55"/>
      <c r="X96" s="55"/>
      <c r="Y96" s="56">
        <v>25</v>
      </c>
      <c r="Z96" s="54"/>
      <c r="AA96" s="55"/>
      <c r="AB96" s="55"/>
      <c r="AC96" s="55"/>
      <c r="AD96" s="56">
        <v>18</v>
      </c>
      <c r="AE96" s="78"/>
      <c r="AF96" s="77"/>
      <c r="AG96" s="78"/>
      <c r="AH96" s="77"/>
      <c r="AI96" s="82">
        <v>176</v>
      </c>
      <c r="AK96" s="2" t="str">
        <f t="shared" si="1"/>
        <v>60-C05-R</v>
      </c>
    </row>
    <row r="97" spans="1:37" s="2" customFormat="1" x14ac:dyDescent="0.3">
      <c r="A97" s="102" t="s">
        <v>1148</v>
      </c>
      <c r="B97" s="103"/>
      <c r="C97" s="70"/>
      <c r="D97" s="70"/>
      <c r="E97" s="104">
        <v>2505</v>
      </c>
      <c r="F97" s="103"/>
      <c r="G97" s="70"/>
      <c r="H97" s="104">
        <v>1252</v>
      </c>
      <c r="I97" s="103"/>
      <c r="J97" s="70"/>
      <c r="K97" s="70"/>
      <c r="L97" s="70"/>
      <c r="M97" s="104">
        <v>1098</v>
      </c>
      <c r="N97" s="103"/>
      <c r="O97" s="70"/>
      <c r="P97" s="70"/>
      <c r="Q97" s="70"/>
      <c r="R97" s="104">
        <v>782</v>
      </c>
      <c r="S97" s="103"/>
      <c r="T97" s="104">
        <v>125</v>
      </c>
      <c r="U97" s="103"/>
      <c r="V97" s="70"/>
      <c r="W97" s="70"/>
      <c r="X97" s="70"/>
      <c r="Y97" s="104">
        <v>1098</v>
      </c>
      <c r="Z97" s="103"/>
      <c r="AA97" s="70"/>
      <c r="AB97" s="70"/>
      <c r="AC97" s="70"/>
      <c r="AD97" s="104">
        <v>782</v>
      </c>
      <c r="AE97" s="103"/>
      <c r="AF97" s="104"/>
      <c r="AG97" s="103"/>
      <c r="AH97" s="104"/>
      <c r="AI97" s="105">
        <v>7642</v>
      </c>
    </row>
    <row r="98" spans="1:37" s="2" customFormat="1" x14ac:dyDescent="0.3">
      <c r="A98" s="91" t="s">
        <v>18</v>
      </c>
      <c r="B98" s="64"/>
      <c r="C98" s="65"/>
      <c r="D98" s="65"/>
      <c r="E98" s="66">
        <v>43</v>
      </c>
      <c r="F98" s="64"/>
      <c r="G98" s="65"/>
      <c r="H98" s="66">
        <v>21</v>
      </c>
      <c r="I98" s="64"/>
      <c r="J98" s="65"/>
      <c r="K98" s="65"/>
      <c r="L98" s="65"/>
      <c r="M98" s="66">
        <v>19</v>
      </c>
      <c r="N98" s="64"/>
      <c r="O98" s="65"/>
      <c r="P98" s="65"/>
      <c r="Q98" s="65"/>
      <c r="R98" s="66">
        <v>13</v>
      </c>
      <c r="S98" s="64"/>
      <c r="T98" s="66">
        <v>2</v>
      </c>
      <c r="U98" s="64"/>
      <c r="V98" s="65"/>
      <c r="W98" s="65"/>
      <c r="X98" s="65"/>
      <c r="Y98" s="66">
        <v>19</v>
      </c>
      <c r="Z98" s="64"/>
      <c r="AA98" s="65"/>
      <c r="AB98" s="65"/>
      <c r="AC98" s="65"/>
      <c r="AD98" s="66">
        <v>13</v>
      </c>
      <c r="AE98" s="92"/>
      <c r="AF98" s="93"/>
      <c r="AG98" s="92"/>
      <c r="AH98" s="93"/>
      <c r="AI98" s="83">
        <v>130</v>
      </c>
      <c r="AK98" s="2" t="str">
        <f t="shared" si="1"/>
        <v>63-A01-R</v>
      </c>
    </row>
    <row r="99" spans="1:37" s="2" customFormat="1" x14ac:dyDescent="0.3">
      <c r="A99" s="72" t="s">
        <v>35</v>
      </c>
      <c r="B99" s="54"/>
      <c r="C99" s="55"/>
      <c r="D99" s="55"/>
      <c r="E99" s="56">
        <v>78</v>
      </c>
      <c r="F99" s="54"/>
      <c r="G99" s="55"/>
      <c r="H99" s="56">
        <v>39</v>
      </c>
      <c r="I99" s="54"/>
      <c r="J99" s="55"/>
      <c r="K99" s="55"/>
      <c r="L99" s="55"/>
      <c r="M99" s="56">
        <v>34</v>
      </c>
      <c r="N99" s="54"/>
      <c r="O99" s="55"/>
      <c r="P99" s="55"/>
      <c r="Q99" s="55"/>
      <c r="R99" s="56">
        <v>25</v>
      </c>
      <c r="S99" s="54"/>
      <c r="T99" s="56">
        <v>4</v>
      </c>
      <c r="U99" s="54"/>
      <c r="V99" s="55"/>
      <c r="W99" s="55"/>
      <c r="X99" s="55"/>
      <c r="Y99" s="56">
        <v>34</v>
      </c>
      <c r="Z99" s="54"/>
      <c r="AA99" s="55"/>
      <c r="AB99" s="55"/>
      <c r="AC99" s="55"/>
      <c r="AD99" s="56">
        <v>25</v>
      </c>
      <c r="AE99" s="78"/>
      <c r="AF99" s="77"/>
      <c r="AG99" s="78"/>
      <c r="AH99" s="77"/>
      <c r="AI99" s="82">
        <v>239</v>
      </c>
      <c r="AK99" s="2" t="str">
        <f t="shared" si="1"/>
        <v>63-A03-R</v>
      </c>
    </row>
    <row r="100" spans="1:37" s="2" customFormat="1" x14ac:dyDescent="0.3">
      <c r="A100" s="72" t="s">
        <v>61</v>
      </c>
      <c r="B100" s="54"/>
      <c r="C100" s="55"/>
      <c r="D100" s="55"/>
      <c r="E100" s="56">
        <v>191</v>
      </c>
      <c r="F100" s="54"/>
      <c r="G100" s="55"/>
      <c r="H100" s="56">
        <v>96</v>
      </c>
      <c r="I100" s="54"/>
      <c r="J100" s="55"/>
      <c r="K100" s="55"/>
      <c r="L100" s="55"/>
      <c r="M100" s="56">
        <v>84</v>
      </c>
      <c r="N100" s="54"/>
      <c r="O100" s="55"/>
      <c r="P100" s="55"/>
      <c r="Q100" s="55"/>
      <c r="R100" s="56">
        <v>60</v>
      </c>
      <c r="S100" s="54"/>
      <c r="T100" s="56">
        <v>10</v>
      </c>
      <c r="U100" s="54"/>
      <c r="V100" s="55"/>
      <c r="W100" s="55"/>
      <c r="X100" s="55"/>
      <c r="Y100" s="56">
        <v>84</v>
      </c>
      <c r="Z100" s="54"/>
      <c r="AA100" s="55"/>
      <c r="AB100" s="55"/>
      <c r="AC100" s="55"/>
      <c r="AD100" s="56">
        <v>60</v>
      </c>
      <c r="AE100" s="78"/>
      <c r="AF100" s="77"/>
      <c r="AG100" s="78"/>
      <c r="AH100" s="77"/>
      <c r="AI100" s="82">
        <v>585</v>
      </c>
      <c r="AK100" s="2" t="str">
        <f t="shared" si="1"/>
        <v>63-A07</v>
      </c>
    </row>
    <row r="101" spans="1:37" s="2" customFormat="1" x14ac:dyDescent="0.3">
      <c r="A101" s="72" t="s">
        <v>69</v>
      </c>
      <c r="B101" s="54"/>
      <c r="C101" s="55"/>
      <c r="D101" s="55"/>
      <c r="E101" s="56">
        <v>25</v>
      </c>
      <c r="F101" s="54"/>
      <c r="G101" s="55"/>
      <c r="H101" s="56">
        <v>12</v>
      </c>
      <c r="I101" s="54"/>
      <c r="J101" s="55"/>
      <c r="K101" s="55"/>
      <c r="L101" s="55"/>
      <c r="M101" s="56">
        <v>11</v>
      </c>
      <c r="N101" s="54"/>
      <c r="O101" s="55"/>
      <c r="P101" s="55"/>
      <c r="Q101" s="55"/>
      <c r="R101" s="56">
        <v>8</v>
      </c>
      <c r="S101" s="54"/>
      <c r="T101" s="56">
        <v>1</v>
      </c>
      <c r="U101" s="54"/>
      <c r="V101" s="55"/>
      <c r="W101" s="55"/>
      <c r="X101" s="55"/>
      <c r="Y101" s="56">
        <v>11</v>
      </c>
      <c r="Z101" s="54"/>
      <c r="AA101" s="55"/>
      <c r="AB101" s="55"/>
      <c r="AC101" s="55"/>
      <c r="AD101" s="56">
        <v>8</v>
      </c>
      <c r="AE101" s="78"/>
      <c r="AF101" s="77"/>
      <c r="AG101" s="78"/>
      <c r="AH101" s="77"/>
      <c r="AI101" s="82">
        <v>76</v>
      </c>
      <c r="AK101" s="2" t="str">
        <f t="shared" si="1"/>
        <v>63-A07-R</v>
      </c>
    </row>
    <row r="102" spans="1:37" s="2" customFormat="1" x14ac:dyDescent="0.3">
      <c r="A102" s="72" t="s">
        <v>414</v>
      </c>
      <c r="B102" s="54"/>
      <c r="C102" s="55"/>
      <c r="D102" s="55"/>
      <c r="E102" s="56">
        <v>189</v>
      </c>
      <c r="F102" s="54"/>
      <c r="G102" s="55"/>
      <c r="H102" s="56">
        <v>95</v>
      </c>
      <c r="I102" s="54"/>
      <c r="J102" s="55"/>
      <c r="K102" s="55"/>
      <c r="L102" s="55"/>
      <c r="M102" s="56">
        <v>83</v>
      </c>
      <c r="N102" s="54"/>
      <c r="O102" s="55"/>
      <c r="P102" s="55"/>
      <c r="Q102" s="55"/>
      <c r="R102" s="56">
        <v>59</v>
      </c>
      <c r="S102" s="54"/>
      <c r="T102" s="56">
        <v>9</v>
      </c>
      <c r="U102" s="54"/>
      <c r="V102" s="55"/>
      <c r="W102" s="55"/>
      <c r="X102" s="55"/>
      <c r="Y102" s="56">
        <v>83</v>
      </c>
      <c r="Z102" s="54"/>
      <c r="AA102" s="55"/>
      <c r="AB102" s="55"/>
      <c r="AC102" s="55"/>
      <c r="AD102" s="56">
        <v>59</v>
      </c>
      <c r="AE102" s="78"/>
      <c r="AF102" s="77"/>
      <c r="AG102" s="78"/>
      <c r="AH102" s="77"/>
      <c r="AI102" s="82">
        <v>577</v>
      </c>
      <c r="AK102" s="2" t="str">
        <f t="shared" si="1"/>
        <v>63-D08-R</v>
      </c>
    </row>
    <row r="103" spans="1:37" s="2" customFormat="1" x14ac:dyDescent="0.3">
      <c r="A103" s="72" t="s">
        <v>365</v>
      </c>
      <c r="B103" s="54"/>
      <c r="C103" s="55"/>
      <c r="D103" s="55"/>
      <c r="E103" s="56">
        <v>228</v>
      </c>
      <c r="F103" s="54"/>
      <c r="G103" s="55"/>
      <c r="H103" s="56">
        <v>114</v>
      </c>
      <c r="I103" s="54"/>
      <c r="J103" s="55"/>
      <c r="K103" s="55"/>
      <c r="L103" s="55"/>
      <c r="M103" s="56">
        <v>100</v>
      </c>
      <c r="N103" s="54"/>
      <c r="O103" s="55"/>
      <c r="P103" s="55"/>
      <c r="Q103" s="55"/>
      <c r="R103" s="56">
        <v>71</v>
      </c>
      <c r="S103" s="54"/>
      <c r="T103" s="56">
        <v>11</v>
      </c>
      <c r="U103" s="54"/>
      <c r="V103" s="55"/>
      <c r="W103" s="55"/>
      <c r="X103" s="55"/>
      <c r="Y103" s="56">
        <v>100</v>
      </c>
      <c r="Z103" s="54"/>
      <c r="AA103" s="55"/>
      <c r="AB103" s="55"/>
      <c r="AC103" s="55"/>
      <c r="AD103" s="56">
        <v>71</v>
      </c>
      <c r="AE103" s="78"/>
      <c r="AF103" s="77"/>
      <c r="AG103" s="78"/>
      <c r="AH103" s="77"/>
      <c r="AI103" s="82">
        <v>695</v>
      </c>
      <c r="AK103" s="2" t="str">
        <f t="shared" si="1"/>
        <v>64-D02-R</v>
      </c>
    </row>
    <row r="104" spans="1:37" s="2" customFormat="1" x14ac:dyDescent="0.3">
      <c r="A104" s="72" t="s">
        <v>480</v>
      </c>
      <c r="B104" s="54"/>
      <c r="C104" s="55"/>
      <c r="D104" s="55"/>
      <c r="E104" s="56">
        <v>231</v>
      </c>
      <c r="F104" s="54"/>
      <c r="G104" s="55"/>
      <c r="H104" s="56">
        <v>115</v>
      </c>
      <c r="I104" s="54"/>
      <c r="J104" s="55"/>
      <c r="K104" s="55"/>
      <c r="L104" s="55"/>
      <c r="M104" s="56">
        <v>101</v>
      </c>
      <c r="N104" s="54"/>
      <c r="O104" s="55"/>
      <c r="P104" s="55"/>
      <c r="Q104" s="55"/>
      <c r="R104" s="56">
        <v>72</v>
      </c>
      <c r="S104" s="54"/>
      <c r="T104" s="56">
        <v>12</v>
      </c>
      <c r="U104" s="54"/>
      <c r="V104" s="55"/>
      <c r="W104" s="55"/>
      <c r="X104" s="55"/>
      <c r="Y104" s="56">
        <v>101</v>
      </c>
      <c r="Z104" s="54"/>
      <c r="AA104" s="55"/>
      <c r="AB104" s="55"/>
      <c r="AC104" s="55"/>
      <c r="AD104" s="56">
        <v>72</v>
      </c>
      <c r="AE104" s="78"/>
      <c r="AF104" s="77"/>
      <c r="AG104" s="78"/>
      <c r="AH104" s="77"/>
      <c r="AI104" s="82">
        <v>704</v>
      </c>
      <c r="AK104" s="2" t="str">
        <f t="shared" si="1"/>
        <v>64-P06-R</v>
      </c>
    </row>
    <row r="105" spans="1:37" s="2" customFormat="1" x14ac:dyDescent="0.3">
      <c r="A105" s="72" t="s">
        <v>504</v>
      </c>
      <c r="B105" s="54"/>
      <c r="C105" s="55"/>
      <c r="D105" s="55"/>
      <c r="E105" s="56">
        <v>206</v>
      </c>
      <c r="F105" s="54"/>
      <c r="G105" s="55"/>
      <c r="H105" s="56">
        <v>103</v>
      </c>
      <c r="I105" s="54"/>
      <c r="J105" s="55"/>
      <c r="K105" s="55"/>
      <c r="L105" s="55"/>
      <c r="M105" s="56">
        <v>90</v>
      </c>
      <c r="N105" s="54"/>
      <c r="O105" s="55"/>
      <c r="P105" s="55"/>
      <c r="Q105" s="55"/>
      <c r="R105" s="56">
        <v>64</v>
      </c>
      <c r="S105" s="54"/>
      <c r="T105" s="56">
        <v>10</v>
      </c>
      <c r="U105" s="54"/>
      <c r="V105" s="55"/>
      <c r="W105" s="55"/>
      <c r="X105" s="55"/>
      <c r="Y105" s="56">
        <v>90</v>
      </c>
      <c r="Z105" s="54"/>
      <c r="AA105" s="55"/>
      <c r="AB105" s="55"/>
      <c r="AC105" s="55"/>
      <c r="AD105" s="56">
        <v>64</v>
      </c>
      <c r="AE105" s="78"/>
      <c r="AF105" s="77"/>
      <c r="AG105" s="78"/>
      <c r="AH105" s="77"/>
      <c r="AI105" s="82">
        <f>SUM(B105:AH105)</f>
        <v>627</v>
      </c>
      <c r="AK105" s="2" t="str">
        <f t="shared" si="1"/>
        <v>64-P07-R</v>
      </c>
    </row>
    <row r="106" spans="1:37" s="2" customFormat="1" x14ac:dyDescent="0.3">
      <c r="A106" s="72" t="s">
        <v>512</v>
      </c>
      <c r="B106" s="54"/>
      <c r="C106" s="55"/>
      <c r="D106" s="55"/>
      <c r="E106" s="56">
        <v>272</v>
      </c>
      <c r="F106" s="54"/>
      <c r="G106" s="55"/>
      <c r="H106" s="56">
        <v>136</v>
      </c>
      <c r="I106" s="54"/>
      <c r="J106" s="55"/>
      <c r="K106" s="55"/>
      <c r="L106" s="55"/>
      <c r="M106" s="56">
        <v>119</v>
      </c>
      <c r="N106" s="54"/>
      <c r="O106" s="55"/>
      <c r="P106" s="55"/>
      <c r="Q106" s="55"/>
      <c r="R106" s="56">
        <v>85</v>
      </c>
      <c r="S106" s="54"/>
      <c r="T106" s="56">
        <v>14</v>
      </c>
      <c r="U106" s="54"/>
      <c r="V106" s="55"/>
      <c r="W106" s="55"/>
      <c r="X106" s="55"/>
      <c r="Y106" s="56">
        <v>119</v>
      </c>
      <c r="Z106" s="54"/>
      <c r="AA106" s="55"/>
      <c r="AB106" s="55"/>
      <c r="AC106" s="55"/>
      <c r="AD106" s="56">
        <v>85</v>
      </c>
      <c r="AE106" s="78"/>
      <c r="AF106" s="77"/>
      <c r="AG106" s="78"/>
      <c r="AH106" s="77"/>
      <c r="AI106" s="82">
        <v>830</v>
      </c>
      <c r="AK106" s="2" t="str">
        <f t="shared" si="1"/>
        <v>64-P08-R</v>
      </c>
    </row>
    <row r="107" spans="1:37" s="2" customFormat="1" x14ac:dyDescent="0.3">
      <c r="A107" s="94" t="s">
        <v>520</v>
      </c>
      <c r="B107" s="61"/>
      <c r="C107" s="62"/>
      <c r="D107" s="62"/>
      <c r="E107" s="63">
        <v>175</v>
      </c>
      <c r="F107" s="61"/>
      <c r="G107" s="62"/>
      <c r="H107" s="63">
        <v>88</v>
      </c>
      <c r="I107" s="61"/>
      <c r="J107" s="62"/>
      <c r="K107" s="62"/>
      <c r="L107" s="62"/>
      <c r="M107" s="63">
        <v>77</v>
      </c>
      <c r="N107" s="61"/>
      <c r="O107" s="62"/>
      <c r="P107" s="62"/>
      <c r="Q107" s="62"/>
      <c r="R107" s="63">
        <v>55</v>
      </c>
      <c r="S107" s="61"/>
      <c r="T107" s="63">
        <v>9</v>
      </c>
      <c r="U107" s="61"/>
      <c r="V107" s="62"/>
      <c r="W107" s="62"/>
      <c r="X107" s="62"/>
      <c r="Y107" s="63">
        <v>77</v>
      </c>
      <c r="Z107" s="61"/>
      <c r="AA107" s="62"/>
      <c r="AB107" s="62"/>
      <c r="AC107" s="62"/>
      <c r="AD107" s="63">
        <v>55</v>
      </c>
      <c r="AE107" s="95"/>
      <c r="AF107" s="96"/>
      <c r="AG107" s="95"/>
      <c r="AH107" s="96"/>
      <c r="AI107" s="119">
        <v>536</v>
      </c>
      <c r="AK107" s="2" t="str">
        <f t="shared" si="1"/>
        <v>64-P09-R</v>
      </c>
    </row>
    <row r="108" spans="1:37" s="2" customFormat="1" x14ac:dyDescent="0.3">
      <c r="A108" s="72" t="s">
        <v>357</v>
      </c>
      <c r="B108" s="54"/>
      <c r="C108" s="55"/>
      <c r="D108" s="55"/>
      <c r="E108" s="56">
        <v>202</v>
      </c>
      <c r="F108" s="54"/>
      <c r="G108" s="55"/>
      <c r="H108" s="56">
        <v>101</v>
      </c>
      <c r="I108" s="54"/>
      <c r="J108" s="55"/>
      <c r="K108" s="55"/>
      <c r="L108" s="55"/>
      <c r="M108" s="56">
        <v>89</v>
      </c>
      <c r="N108" s="54"/>
      <c r="O108" s="55"/>
      <c r="P108" s="55"/>
      <c r="Q108" s="55"/>
      <c r="R108" s="56">
        <v>63</v>
      </c>
      <c r="S108" s="54"/>
      <c r="T108" s="77">
        <v>10</v>
      </c>
      <c r="U108" s="54"/>
      <c r="V108" s="55"/>
      <c r="W108" s="55"/>
      <c r="X108" s="55"/>
      <c r="Y108" s="56">
        <v>89</v>
      </c>
      <c r="Z108" s="54"/>
      <c r="AA108" s="55"/>
      <c r="AB108" s="55"/>
      <c r="AC108" s="55"/>
      <c r="AD108" s="56">
        <v>63</v>
      </c>
      <c r="AE108" s="78"/>
      <c r="AF108" s="77"/>
      <c r="AG108" s="78"/>
      <c r="AH108" s="77"/>
      <c r="AI108" s="82">
        <v>617</v>
      </c>
      <c r="AK108" s="2" t="str">
        <f t="shared" si="1"/>
        <v>65-D01-R</v>
      </c>
    </row>
    <row r="109" spans="1:37" s="2" customFormat="1" x14ac:dyDescent="0.3">
      <c r="A109" s="72" t="s">
        <v>373</v>
      </c>
      <c r="B109" s="54"/>
      <c r="C109" s="55"/>
      <c r="D109" s="55"/>
      <c r="E109" s="56">
        <v>224</v>
      </c>
      <c r="F109" s="54"/>
      <c r="G109" s="55"/>
      <c r="H109" s="56">
        <v>112</v>
      </c>
      <c r="I109" s="54"/>
      <c r="J109" s="55"/>
      <c r="K109" s="55"/>
      <c r="L109" s="55"/>
      <c r="M109" s="56">
        <v>98</v>
      </c>
      <c r="N109" s="54"/>
      <c r="O109" s="55"/>
      <c r="P109" s="55"/>
      <c r="Q109" s="55"/>
      <c r="R109" s="56">
        <v>70</v>
      </c>
      <c r="S109" s="54"/>
      <c r="T109" s="56">
        <v>11</v>
      </c>
      <c r="U109" s="54"/>
      <c r="V109" s="55"/>
      <c r="W109" s="55"/>
      <c r="X109" s="55"/>
      <c r="Y109" s="56">
        <v>98</v>
      </c>
      <c r="Z109" s="54"/>
      <c r="AA109" s="55"/>
      <c r="AB109" s="55"/>
      <c r="AC109" s="55"/>
      <c r="AD109" s="56">
        <v>70</v>
      </c>
      <c r="AE109" s="78"/>
      <c r="AF109" s="77"/>
      <c r="AG109" s="78"/>
      <c r="AH109" s="77"/>
      <c r="AI109" s="82">
        <v>683</v>
      </c>
      <c r="AK109" s="2" t="str">
        <f t="shared" si="1"/>
        <v>65-D03-R</v>
      </c>
    </row>
    <row r="110" spans="1:37" s="2" customFormat="1" x14ac:dyDescent="0.3">
      <c r="A110" s="72" t="s">
        <v>381</v>
      </c>
      <c r="B110" s="54"/>
      <c r="C110" s="55"/>
      <c r="D110" s="55"/>
      <c r="E110" s="56">
        <v>226</v>
      </c>
      <c r="F110" s="54"/>
      <c r="G110" s="55"/>
      <c r="H110" s="56">
        <v>113</v>
      </c>
      <c r="I110" s="54"/>
      <c r="J110" s="55"/>
      <c r="K110" s="55"/>
      <c r="L110" s="55"/>
      <c r="M110" s="56">
        <v>99</v>
      </c>
      <c r="N110" s="54"/>
      <c r="O110" s="55"/>
      <c r="P110" s="55"/>
      <c r="Q110" s="55"/>
      <c r="R110" s="56">
        <v>70</v>
      </c>
      <c r="S110" s="54"/>
      <c r="T110" s="56">
        <v>11</v>
      </c>
      <c r="U110" s="54"/>
      <c r="V110" s="55"/>
      <c r="W110" s="55"/>
      <c r="X110" s="55"/>
      <c r="Y110" s="56">
        <v>99</v>
      </c>
      <c r="Z110" s="54"/>
      <c r="AA110" s="55"/>
      <c r="AB110" s="55"/>
      <c r="AC110" s="55"/>
      <c r="AD110" s="56">
        <v>70</v>
      </c>
      <c r="AE110" s="78"/>
      <c r="AF110" s="77"/>
      <c r="AG110" s="78"/>
      <c r="AH110" s="77"/>
      <c r="AI110" s="82">
        <v>688</v>
      </c>
      <c r="AK110" s="2" t="str">
        <f t="shared" si="1"/>
        <v>65-D04-R</v>
      </c>
    </row>
    <row r="111" spans="1:37" s="2" customFormat="1" x14ac:dyDescent="0.3">
      <c r="A111" s="72" t="s">
        <v>389</v>
      </c>
      <c r="B111" s="54"/>
      <c r="C111" s="55"/>
      <c r="D111" s="55"/>
      <c r="E111" s="56">
        <v>215</v>
      </c>
      <c r="F111" s="54"/>
      <c r="G111" s="55"/>
      <c r="H111" s="56">
        <v>107</v>
      </c>
      <c r="I111" s="54"/>
      <c r="J111" s="55"/>
      <c r="K111" s="55"/>
      <c r="L111" s="55"/>
      <c r="M111" s="56">
        <v>94</v>
      </c>
      <c r="N111" s="54"/>
      <c r="O111" s="55"/>
      <c r="P111" s="55"/>
      <c r="Q111" s="55"/>
      <c r="R111" s="56">
        <v>67</v>
      </c>
      <c r="S111" s="54"/>
      <c r="T111" s="56">
        <v>11</v>
      </c>
      <c r="U111" s="54"/>
      <c r="V111" s="55"/>
      <c r="W111" s="55"/>
      <c r="X111" s="55"/>
      <c r="Y111" s="56">
        <v>94</v>
      </c>
      <c r="Z111" s="54"/>
      <c r="AA111" s="55"/>
      <c r="AB111" s="55"/>
      <c r="AC111" s="55"/>
      <c r="AD111" s="56">
        <v>67</v>
      </c>
      <c r="AE111" s="78"/>
      <c r="AF111" s="77"/>
      <c r="AG111" s="78"/>
      <c r="AH111" s="77"/>
      <c r="AI111" s="82">
        <v>655</v>
      </c>
      <c r="AK111" s="2" t="str">
        <f t="shared" si="1"/>
        <v>65-D05-R</v>
      </c>
    </row>
    <row r="112" spans="1:37" s="2" customFormat="1" x14ac:dyDescent="0.3">
      <c r="A112" s="102">
        <v>2566</v>
      </c>
      <c r="B112" s="103"/>
      <c r="C112" s="70">
        <v>539</v>
      </c>
      <c r="D112" s="70"/>
      <c r="E112" s="104"/>
      <c r="F112" s="103">
        <v>136</v>
      </c>
      <c r="G112" s="70"/>
      <c r="H112" s="104"/>
      <c r="I112" s="103"/>
      <c r="J112" s="70"/>
      <c r="K112" s="70">
        <v>337</v>
      </c>
      <c r="L112" s="70"/>
      <c r="M112" s="104"/>
      <c r="N112" s="103"/>
      <c r="O112" s="70"/>
      <c r="P112" s="70">
        <v>203</v>
      </c>
      <c r="Q112" s="70"/>
      <c r="R112" s="104"/>
      <c r="S112" s="103"/>
      <c r="T112" s="104">
        <v>53</v>
      </c>
      <c r="U112" s="103"/>
      <c r="V112" s="70"/>
      <c r="W112" s="70">
        <v>337</v>
      </c>
      <c r="X112" s="70"/>
      <c r="Y112" s="104"/>
      <c r="Z112" s="103"/>
      <c r="AA112" s="70"/>
      <c r="AB112" s="70">
        <v>203</v>
      </c>
      <c r="AC112" s="70"/>
      <c r="AD112" s="104"/>
      <c r="AE112" s="103"/>
      <c r="AF112" s="104">
        <v>337</v>
      </c>
      <c r="AG112" s="103"/>
      <c r="AH112" s="104">
        <v>203</v>
      </c>
      <c r="AI112" s="105">
        <v>2348</v>
      </c>
    </row>
    <row r="113" spans="1:37" s="2" customFormat="1" x14ac:dyDescent="0.3">
      <c r="A113" s="91" t="s">
        <v>422</v>
      </c>
      <c r="B113" s="64"/>
      <c r="C113" s="65">
        <v>120</v>
      </c>
      <c r="D113" s="65"/>
      <c r="E113" s="66"/>
      <c r="F113" s="64">
        <v>30</v>
      </c>
      <c r="G113" s="65"/>
      <c r="H113" s="66"/>
      <c r="I113" s="64"/>
      <c r="J113" s="65"/>
      <c r="K113" s="65">
        <v>75</v>
      </c>
      <c r="L113" s="65"/>
      <c r="M113" s="66"/>
      <c r="N113" s="64"/>
      <c r="O113" s="65"/>
      <c r="P113" s="65">
        <v>45</v>
      </c>
      <c r="Q113" s="65"/>
      <c r="R113" s="66"/>
      <c r="S113" s="64"/>
      <c r="T113" s="66">
        <v>12</v>
      </c>
      <c r="U113" s="64"/>
      <c r="V113" s="65"/>
      <c r="W113" s="65">
        <v>75</v>
      </c>
      <c r="X113" s="65"/>
      <c r="Y113" s="66"/>
      <c r="Z113" s="64"/>
      <c r="AA113" s="65"/>
      <c r="AB113" s="65">
        <v>45</v>
      </c>
      <c r="AC113" s="65"/>
      <c r="AD113" s="66"/>
      <c r="AE113" s="92"/>
      <c r="AF113" s="93">
        <v>75</v>
      </c>
      <c r="AG113" s="92"/>
      <c r="AH113" s="93">
        <v>45</v>
      </c>
      <c r="AI113" s="83">
        <v>522</v>
      </c>
      <c r="AK113" s="2" t="str">
        <f t="shared" si="1"/>
        <v>66-D09-R</v>
      </c>
    </row>
    <row r="114" spans="1:37" s="2" customFormat="1" x14ac:dyDescent="0.3">
      <c r="A114" s="72" t="s">
        <v>450</v>
      </c>
      <c r="B114" s="54"/>
      <c r="C114" s="55">
        <v>102</v>
      </c>
      <c r="D114" s="55"/>
      <c r="E114" s="56"/>
      <c r="F114" s="54">
        <v>26</v>
      </c>
      <c r="G114" s="55"/>
      <c r="H114" s="56"/>
      <c r="I114" s="54"/>
      <c r="J114" s="55"/>
      <c r="K114" s="55">
        <v>64</v>
      </c>
      <c r="L114" s="55"/>
      <c r="M114" s="56"/>
      <c r="N114" s="54"/>
      <c r="O114" s="55"/>
      <c r="P114" s="55">
        <v>38</v>
      </c>
      <c r="Q114" s="55"/>
      <c r="R114" s="56"/>
      <c r="S114" s="54"/>
      <c r="T114" s="56">
        <v>10</v>
      </c>
      <c r="U114" s="54"/>
      <c r="V114" s="55"/>
      <c r="W114" s="55">
        <v>64</v>
      </c>
      <c r="X114" s="55"/>
      <c r="Y114" s="56"/>
      <c r="Z114" s="54"/>
      <c r="AA114" s="55"/>
      <c r="AB114" s="55">
        <v>38</v>
      </c>
      <c r="AC114" s="55"/>
      <c r="AD114" s="56"/>
      <c r="AE114" s="78"/>
      <c r="AF114" s="77">
        <v>64</v>
      </c>
      <c r="AG114" s="78"/>
      <c r="AH114" s="77">
        <v>38</v>
      </c>
      <c r="AI114" s="82">
        <v>444</v>
      </c>
      <c r="AK114" s="2" t="str">
        <f t="shared" si="1"/>
        <v>66-P03-R</v>
      </c>
    </row>
    <row r="115" spans="1:37" s="2" customFormat="1" x14ac:dyDescent="0.3">
      <c r="A115" s="72" t="s">
        <v>460</v>
      </c>
      <c r="B115" s="54"/>
      <c r="C115" s="55">
        <v>114</v>
      </c>
      <c r="D115" s="55"/>
      <c r="E115" s="56"/>
      <c r="F115" s="54">
        <v>29</v>
      </c>
      <c r="G115" s="55"/>
      <c r="H115" s="56"/>
      <c r="I115" s="54"/>
      <c r="J115" s="55"/>
      <c r="K115" s="55">
        <v>71</v>
      </c>
      <c r="L115" s="55"/>
      <c r="M115" s="56"/>
      <c r="N115" s="54"/>
      <c r="O115" s="55"/>
      <c r="P115" s="55">
        <v>43</v>
      </c>
      <c r="Q115" s="55"/>
      <c r="R115" s="56"/>
      <c r="S115" s="54"/>
      <c r="T115" s="56">
        <v>11</v>
      </c>
      <c r="U115" s="54"/>
      <c r="V115" s="55"/>
      <c r="W115" s="55">
        <v>71</v>
      </c>
      <c r="X115" s="55"/>
      <c r="Y115" s="56"/>
      <c r="Z115" s="54"/>
      <c r="AA115" s="55"/>
      <c r="AB115" s="55">
        <v>43</v>
      </c>
      <c r="AC115" s="55"/>
      <c r="AD115" s="56"/>
      <c r="AE115" s="78"/>
      <c r="AF115" s="77">
        <v>71</v>
      </c>
      <c r="AG115" s="78"/>
      <c r="AH115" s="77">
        <v>43</v>
      </c>
      <c r="AI115" s="82">
        <v>496</v>
      </c>
      <c r="AK115" s="2" t="str">
        <f t="shared" si="1"/>
        <v>66-P04-R</v>
      </c>
    </row>
    <row r="116" spans="1:37" s="2" customFormat="1" x14ac:dyDescent="0.3">
      <c r="A116" s="72" t="s">
        <v>470</v>
      </c>
      <c r="B116" s="54"/>
      <c r="C116" s="55">
        <v>124</v>
      </c>
      <c r="D116" s="55"/>
      <c r="E116" s="56"/>
      <c r="F116" s="54">
        <v>31</v>
      </c>
      <c r="G116" s="55"/>
      <c r="H116" s="56"/>
      <c r="I116" s="54"/>
      <c r="J116" s="55"/>
      <c r="K116" s="55">
        <v>78</v>
      </c>
      <c r="L116" s="55"/>
      <c r="M116" s="56"/>
      <c r="N116" s="54"/>
      <c r="O116" s="55"/>
      <c r="P116" s="55">
        <v>47</v>
      </c>
      <c r="Q116" s="55"/>
      <c r="R116" s="56"/>
      <c r="S116" s="54"/>
      <c r="T116" s="56">
        <v>12</v>
      </c>
      <c r="U116" s="54"/>
      <c r="V116" s="55"/>
      <c r="W116" s="55">
        <v>78</v>
      </c>
      <c r="X116" s="55"/>
      <c r="Y116" s="56"/>
      <c r="Z116" s="54"/>
      <c r="AA116" s="55"/>
      <c r="AB116" s="55">
        <v>47</v>
      </c>
      <c r="AC116" s="55"/>
      <c r="AD116" s="56"/>
      <c r="AE116" s="78"/>
      <c r="AF116" s="77">
        <v>78</v>
      </c>
      <c r="AG116" s="78"/>
      <c r="AH116" s="77">
        <v>47</v>
      </c>
      <c r="AI116" s="82">
        <v>542</v>
      </c>
      <c r="AK116" s="2" t="str">
        <f t="shared" si="1"/>
        <v>66-P05-R</v>
      </c>
    </row>
    <row r="117" spans="1:37" s="2" customFormat="1" x14ac:dyDescent="0.3">
      <c r="A117" s="94" t="s">
        <v>538</v>
      </c>
      <c r="B117" s="61"/>
      <c r="C117" s="62">
        <v>79</v>
      </c>
      <c r="D117" s="62"/>
      <c r="E117" s="63"/>
      <c r="F117" s="61">
        <v>20</v>
      </c>
      <c r="G117" s="62"/>
      <c r="H117" s="63"/>
      <c r="I117" s="61"/>
      <c r="J117" s="62"/>
      <c r="K117" s="62">
        <v>49</v>
      </c>
      <c r="L117" s="62"/>
      <c r="M117" s="63"/>
      <c r="N117" s="61"/>
      <c r="O117" s="62"/>
      <c r="P117" s="62">
        <v>30</v>
      </c>
      <c r="Q117" s="62"/>
      <c r="R117" s="63"/>
      <c r="S117" s="61"/>
      <c r="T117" s="63">
        <v>8</v>
      </c>
      <c r="U117" s="61"/>
      <c r="V117" s="62"/>
      <c r="W117" s="62">
        <v>49</v>
      </c>
      <c r="X117" s="62"/>
      <c r="Y117" s="63"/>
      <c r="Z117" s="61"/>
      <c r="AA117" s="62"/>
      <c r="AB117" s="62">
        <v>30</v>
      </c>
      <c r="AC117" s="62"/>
      <c r="AD117" s="63"/>
      <c r="AE117" s="95"/>
      <c r="AF117" s="96">
        <v>49</v>
      </c>
      <c r="AG117" s="95"/>
      <c r="AH117" s="96">
        <v>30</v>
      </c>
      <c r="AI117" s="119">
        <v>344</v>
      </c>
      <c r="AK117" s="2" t="str">
        <f t="shared" si="1"/>
        <v>66-PU2</v>
      </c>
    </row>
    <row r="118" spans="1:37" s="2" customFormat="1" x14ac:dyDescent="0.3">
      <c r="A118" s="102">
        <v>2567</v>
      </c>
      <c r="B118" s="103"/>
      <c r="C118" s="70">
        <v>295</v>
      </c>
      <c r="D118" s="70"/>
      <c r="E118" s="104"/>
      <c r="F118" s="103"/>
      <c r="G118" s="70"/>
      <c r="H118" s="104"/>
      <c r="I118" s="103"/>
      <c r="J118" s="70">
        <v>111</v>
      </c>
      <c r="K118" s="70"/>
      <c r="L118" s="70"/>
      <c r="M118" s="104"/>
      <c r="N118" s="103"/>
      <c r="O118" s="70">
        <v>74</v>
      </c>
      <c r="P118" s="70"/>
      <c r="Q118" s="70"/>
      <c r="R118" s="104"/>
      <c r="S118" s="103"/>
      <c r="T118" s="104">
        <v>29</v>
      </c>
      <c r="U118" s="103"/>
      <c r="V118" s="70">
        <v>146</v>
      </c>
      <c r="W118" s="70"/>
      <c r="X118" s="70"/>
      <c r="Y118" s="104"/>
      <c r="Z118" s="103"/>
      <c r="AA118" s="70">
        <v>74</v>
      </c>
      <c r="AB118" s="70"/>
      <c r="AC118" s="70"/>
      <c r="AD118" s="104"/>
      <c r="AE118" s="103"/>
      <c r="AF118" s="104">
        <v>184</v>
      </c>
      <c r="AG118" s="103"/>
      <c r="AH118" s="104">
        <v>111</v>
      </c>
      <c r="AI118" s="105">
        <v>1024</v>
      </c>
    </row>
    <row r="119" spans="1:37" s="2" customFormat="1" x14ac:dyDescent="0.3">
      <c r="A119" s="91" t="s">
        <v>397</v>
      </c>
      <c r="B119" s="64"/>
      <c r="C119" s="65">
        <v>115</v>
      </c>
      <c r="D119" s="65"/>
      <c r="E119" s="66"/>
      <c r="F119" s="64"/>
      <c r="G119" s="65"/>
      <c r="H119" s="66"/>
      <c r="I119" s="64"/>
      <c r="J119" s="65">
        <v>43</v>
      </c>
      <c r="K119" s="65"/>
      <c r="L119" s="65"/>
      <c r="M119" s="66"/>
      <c r="N119" s="64"/>
      <c r="O119" s="65">
        <v>29</v>
      </c>
      <c r="P119" s="65"/>
      <c r="Q119" s="65"/>
      <c r="R119" s="66"/>
      <c r="S119" s="64"/>
      <c r="T119" s="66">
        <v>11</v>
      </c>
      <c r="U119" s="64"/>
      <c r="V119" s="65">
        <v>57</v>
      </c>
      <c r="W119" s="65"/>
      <c r="X119" s="65"/>
      <c r="Y119" s="66"/>
      <c r="Z119" s="64"/>
      <c r="AA119" s="65">
        <v>29</v>
      </c>
      <c r="AB119" s="65"/>
      <c r="AC119" s="65"/>
      <c r="AD119" s="66"/>
      <c r="AE119" s="92"/>
      <c r="AF119" s="93">
        <v>72</v>
      </c>
      <c r="AG119" s="92"/>
      <c r="AH119" s="93">
        <v>43</v>
      </c>
      <c r="AI119" s="83">
        <v>399</v>
      </c>
      <c r="AK119" s="2" t="str">
        <f t="shared" si="1"/>
        <v>67-D06-R</v>
      </c>
    </row>
    <row r="120" spans="1:37" s="2" customFormat="1" x14ac:dyDescent="0.3">
      <c r="A120" s="72" t="s">
        <v>432</v>
      </c>
      <c r="B120" s="54"/>
      <c r="C120" s="55">
        <v>87</v>
      </c>
      <c r="D120" s="55"/>
      <c r="E120" s="56"/>
      <c r="F120" s="54"/>
      <c r="G120" s="55"/>
      <c r="H120" s="56"/>
      <c r="I120" s="54"/>
      <c r="J120" s="55">
        <v>33</v>
      </c>
      <c r="K120" s="55"/>
      <c r="L120" s="55"/>
      <c r="M120" s="56"/>
      <c r="N120" s="54"/>
      <c r="O120" s="55">
        <v>22</v>
      </c>
      <c r="P120" s="55"/>
      <c r="Q120" s="55"/>
      <c r="R120" s="56"/>
      <c r="S120" s="54"/>
      <c r="T120" s="56">
        <v>9</v>
      </c>
      <c r="U120" s="54"/>
      <c r="V120" s="55">
        <v>43</v>
      </c>
      <c r="W120" s="55"/>
      <c r="X120" s="55"/>
      <c r="Y120" s="56"/>
      <c r="Z120" s="54"/>
      <c r="AA120" s="55">
        <v>22</v>
      </c>
      <c r="AB120" s="55"/>
      <c r="AC120" s="55"/>
      <c r="AD120" s="56"/>
      <c r="AE120" s="78"/>
      <c r="AF120" s="77">
        <v>54</v>
      </c>
      <c r="AG120" s="78"/>
      <c r="AH120" s="77">
        <v>33</v>
      </c>
      <c r="AI120" s="82">
        <v>303</v>
      </c>
      <c r="AK120" s="2" t="str">
        <f t="shared" si="1"/>
        <v>67-P01-R</v>
      </c>
    </row>
    <row r="121" spans="1:37" s="2" customFormat="1" x14ac:dyDescent="0.3">
      <c r="A121" s="94" t="s">
        <v>441</v>
      </c>
      <c r="B121" s="61"/>
      <c r="C121" s="62">
        <v>93</v>
      </c>
      <c r="D121" s="62"/>
      <c r="E121" s="63"/>
      <c r="F121" s="61"/>
      <c r="G121" s="62"/>
      <c r="H121" s="63"/>
      <c r="I121" s="61"/>
      <c r="J121" s="62">
        <v>35</v>
      </c>
      <c r="K121" s="62"/>
      <c r="L121" s="62"/>
      <c r="M121" s="63"/>
      <c r="N121" s="61"/>
      <c r="O121" s="62">
        <v>23</v>
      </c>
      <c r="P121" s="62"/>
      <c r="Q121" s="62"/>
      <c r="R121" s="63"/>
      <c r="S121" s="61"/>
      <c r="T121" s="63">
        <v>9</v>
      </c>
      <c r="U121" s="61"/>
      <c r="V121" s="62">
        <v>46</v>
      </c>
      <c r="W121" s="62"/>
      <c r="X121" s="62"/>
      <c r="Y121" s="63"/>
      <c r="Z121" s="61"/>
      <c r="AA121" s="62">
        <v>23</v>
      </c>
      <c r="AB121" s="62"/>
      <c r="AC121" s="62"/>
      <c r="AD121" s="63"/>
      <c r="AE121" s="95"/>
      <c r="AF121" s="96">
        <v>58</v>
      </c>
      <c r="AG121" s="95"/>
      <c r="AH121" s="96">
        <v>35</v>
      </c>
      <c r="AI121" s="119">
        <v>322</v>
      </c>
      <c r="AK121" s="2" t="str">
        <f t="shared" si="1"/>
        <v>67-P02-R</v>
      </c>
    </row>
    <row r="122" spans="1:37" s="2" customFormat="1" x14ac:dyDescent="0.3">
      <c r="A122" s="102">
        <v>2568</v>
      </c>
      <c r="B122" s="103">
        <v>172</v>
      </c>
      <c r="C122" s="70"/>
      <c r="D122" s="70"/>
      <c r="E122" s="104"/>
      <c r="F122" s="103">
        <v>86</v>
      </c>
      <c r="G122" s="70"/>
      <c r="H122" s="104"/>
      <c r="I122" s="103">
        <v>43</v>
      </c>
      <c r="J122" s="70"/>
      <c r="K122" s="70"/>
      <c r="L122" s="70"/>
      <c r="M122" s="104"/>
      <c r="N122" s="103">
        <v>60</v>
      </c>
      <c r="O122" s="70"/>
      <c r="P122" s="70"/>
      <c r="Q122" s="70"/>
      <c r="R122" s="104"/>
      <c r="S122" s="103">
        <v>17</v>
      </c>
      <c r="T122" s="104"/>
      <c r="U122" s="103">
        <v>43</v>
      </c>
      <c r="V122" s="70"/>
      <c r="W122" s="70"/>
      <c r="X122" s="70"/>
      <c r="Y122" s="104"/>
      <c r="Z122" s="103">
        <v>60</v>
      </c>
      <c r="AA122" s="70"/>
      <c r="AB122" s="70"/>
      <c r="AC122" s="70"/>
      <c r="AD122" s="104"/>
      <c r="AE122" s="103">
        <v>86</v>
      </c>
      <c r="AF122" s="104"/>
      <c r="AG122" s="103">
        <v>86</v>
      </c>
      <c r="AH122" s="104"/>
      <c r="AI122" s="105">
        <v>653</v>
      </c>
    </row>
    <row r="123" spans="1:37" s="2" customFormat="1" x14ac:dyDescent="0.3">
      <c r="A123" s="91" t="s">
        <v>528</v>
      </c>
      <c r="B123" s="64">
        <v>38</v>
      </c>
      <c r="C123" s="65"/>
      <c r="D123" s="65"/>
      <c r="E123" s="66"/>
      <c r="F123" s="64">
        <v>19</v>
      </c>
      <c r="G123" s="65"/>
      <c r="H123" s="66"/>
      <c r="I123" s="64">
        <v>9</v>
      </c>
      <c r="J123" s="65"/>
      <c r="K123" s="65"/>
      <c r="L123" s="65"/>
      <c r="M123" s="66"/>
      <c r="N123" s="64">
        <v>13</v>
      </c>
      <c r="O123" s="65"/>
      <c r="P123" s="65"/>
      <c r="Q123" s="65"/>
      <c r="R123" s="66"/>
      <c r="S123" s="64">
        <v>4</v>
      </c>
      <c r="T123" s="66"/>
      <c r="U123" s="64">
        <v>9</v>
      </c>
      <c r="V123" s="65"/>
      <c r="W123" s="65"/>
      <c r="X123" s="65"/>
      <c r="Y123" s="66"/>
      <c r="Z123" s="64">
        <v>13</v>
      </c>
      <c r="AA123" s="65"/>
      <c r="AB123" s="65"/>
      <c r="AC123" s="65"/>
      <c r="AD123" s="66"/>
      <c r="AE123" s="92">
        <v>19</v>
      </c>
      <c r="AF123" s="93"/>
      <c r="AG123" s="92">
        <v>19</v>
      </c>
      <c r="AH123" s="93"/>
      <c r="AI123" s="83">
        <v>143</v>
      </c>
      <c r="AK123" s="2" t="str">
        <f t="shared" si="1"/>
        <v>68-PU1</v>
      </c>
    </row>
    <row r="124" spans="1:37" s="2" customFormat="1" x14ac:dyDescent="0.3">
      <c r="A124" s="72" t="s">
        <v>548</v>
      </c>
      <c r="B124" s="54">
        <v>34</v>
      </c>
      <c r="C124" s="55"/>
      <c r="D124" s="55"/>
      <c r="E124" s="56"/>
      <c r="F124" s="54">
        <v>17</v>
      </c>
      <c r="G124" s="55"/>
      <c r="H124" s="56"/>
      <c r="I124" s="54">
        <v>8</v>
      </c>
      <c r="J124" s="55"/>
      <c r="K124" s="55"/>
      <c r="L124" s="55"/>
      <c r="M124" s="56"/>
      <c r="N124" s="54">
        <v>12</v>
      </c>
      <c r="O124" s="55"/>
      <c r="P124" s="55"/>
      <c r="Q124" s="55"/>
      <c r="R124" s="56"/>
      <c r="S124" s="54">
        <v>3</v>
      </c>
      <c r="T124" s="56"/>
      <c r="U124" s="54">
        <v>8</v>
      </c>
      <c r="V124" s="55"/>
      <c r="W124" s="55"/>
      <c r="X124" s="55"/>
      <c r="Y124" s="56"/>
      <c r="Z124" s="54">
        <v>12</v>
      </c>
      <c r="AA124" s="55"/>
      <c r="AB124" s="55"/>
      <c r="AC124" s="55"/>
      <c r="AD124" s="56"/>
      <c r="AE124" s="78">
        <v>17</v>
      </c>
      <c r="AF124" s="77"/>
      <c r="AG124" s="78">
        <v>17</v>
      </c>
      <c r="AH124" s="77"/>
      <c r="AI124" s="82">
        <v>128</v>
      </c>
      <c r="AK124" s="2" t="str">
        <f t="shared" si="1"/>
        <v>68-PU3</v>
      </c>
    </row>
    <row r="125" spans="1:37" s="2" customFormat="1" x14ac:dyDescent="0.3">
      <c r="A125" s="72" t="s">
        <v>558</v>
      </c>
      <c r="B125" s="54">
        <v>28</v>
      </c>
      <c r="C125" s="55"/>
      <c r="D125" s="55"/>
      <c r="E125" s="56"/>
      <c r="F125" s="54">
        <v>14</v>
      </c>
      <c r="G125" s="55"/>
      <c r="H125" s="56"/>
      <c r="I125" s="54">
        <v>7</v>
      </c>
      <c r="J125" s="55"/>
      <c r="K125" s="55"/>
      <c r="L125" s="55"/>
      <c r="M125" s="56"/>
      <c r="N125" s="54">
        <v>10</v>
      </c>
      <c r="O125" s="55"/>
      <c r="P125" s="55"/>
      <c r="Q125" s="55"/>
      <c r="R125" s="56"/>
      <c r="S125" s="54">
        <v>3</v>
      </c>
      <c r="T125" s="56"/>
      <c r="U125" s="54">
        <v>7</v>
      </c>
      <c r="V125" s="55"/>
      <c r="W125" s="55"/>
      <c r="X125" s="55"/>
      <c r="Y125" s="56"/>
      <c r="Z125" s="54">
        <v>10</v>
      </c>
      <c r="AA125" s="55"/>
      <c r="AB125" s="55"/>
      <c r="AC125" s="55"/>
      <c r="AD125" s="56"/>
      <c r="AE125" s="78">
        <v>14</v>
      </c>
      <c r="AF125" s="77"/>
      <c r="AG125" s="78">
        <v>14</v>
      </c>
      <c r="AH125" s="77"/>
      <c r="AI125" s="82">
        <v>107</v>
      </c>
      <c r="AK125" s="2" t="str">
        <f t="shared" si="1"/>
        <v>68-PU4</v>
      </c>
    </row>
    <row r="126" spans="1:37" s="2" customFormat="1" x14ac:dyDescent="0.3">
      <c r="A126" s="72" t="s">
        <v>568</v>
      </c>
      <c r="B126" s="54">
        <v>15</v>
      </c>
      <c r="C126" s="55"/>
      <c r="D126" s="55"/>
      <c r="E126" s="56"/>
      <c r="F126" s="54">
        <v>8</v>
      </c>
      <c r="G126" s="55"/>
      <c r="H126" s="56"/>
      <c r="I126" s="54">
        <v>4</v>
      </c>
      <c r="J126" s="55"/>
      <c r="K126" s="55"/>
      <c r="L126" s="55"/>
      <c r="M126" s="56"/>
      <c r="N126" s="54">
        <v>5</v>
      </c>
      <c r="O126" s="55"/>
      <c r="P126" s="55"/>
      <c r="Q126" s="55"/>
      <c r="R126" s="56"/>
      <c r="S126" s="54">
        <v>2</v>
      </c>
      <c r="T126" s="56"/>
      <c r="U126" s="54">
        <v>4</v>
      </c>
      <c r="V126" s="55"/>
      <c r="W126" s="55"/>
      <c r="X126" s="55"/>
      <c r="Y126" s="56"/>
      <c r="Z126" s="54">
        <v>5</v>
      </c>
      <c r="AA126" s="55"/>
      <c r="AB126" s="55"/>
      <c r="AC126" s="55"/>
      <c r="AD126" s="56"/>
      <c r="AE126" s="78">
        <v>8</v>
      </c>
      <c r="AF126" s="77"/>
      <c r="AG126" s="78">
        <v>8</v>
      </c>
      <c r="AH126" s="77"/>
      <c r="AI126" s="82">
        <v>59</v>
      </c>
      <c r="AK126" s="2" t="str">
        <f t="shared" si="1"/>
        <v>68-PU5</v>
      </c>
    </row>
    <row r="127" spans="1:37" s="2" customFormat="1" x14ac:dyDescent="0.3">
      <c r="A127" s="72" t="s">
        <v>578</v>
      </c>
      <c r="B127" s="54">
        <v>23</v>
      </c>
      <c r="C127" s="55"/>
      <c r="D127" s="55"/>
      <c r="E127" s="56"/>
      <c r="F127" s="54">
        <v>12</v>
      </c>
      <c r="G127" s="55"/>
      <c r="H127" s="56"/>
      <c r="I127" s="54">
        <v>6</v>
      </c>
      <c r="J127" s="55"/>
      <c r="K127" s="55"/>
      <c r="L127" s="55"/>
      <c r="M127" s="56"/>
      <c r="N127" s="54">
        <v>8</v>
      </c>
      <c r="O127" s="55"/>
      <c r="P127" s="55"/>
      <c r="Q127" s="55"/>
      <c r="R127" s="56"/>
      <c r="S127" s="54">
        <v>2</v>
      </c>
      <c r="T127" s="56"/>
      <c r="U127" s="54">
        <v>6</v>
      </c>
      <c r="V127" s="55"/>
      <c r="W127" s="55"/>
      <c r="X127" s="55"/>
      <c r="Y127" s="56"/>
      <c r="Z127" s="54">
        <v>8</v>
      </c>
      <c r="AA127" s="55"/>
      <c r="AB127" s="55"/>
      <c r="AC127" s="55"/>
      <c r="AD127" s="56"/>
      <c r="AE127" s="78">
        <v>12</v>
      </c>
      <c r="AF127" s="77"/>
      <c r="AG127" s="78">
        <v>12</v>
      </c>
      <c r="AH127" s="77"/>
      <c r="AI127" s="82">
        <v>89</v>
      </c>
      <c r="AK127" s="2" t="str">
        <f t="shared" si="1"/>
        <v>68-PU5-R</v>
      </c>
    </row>
    <row r="128" spans="1:37" s="2" customFormat="1" x14ac:dyDescent="0.3">
      <c r="A128" s="72" t="s">
        <v>588</v>
      </c>
      <c r="B128" s="54">
        <v>3</v>
      </c>
      <c r="C128" s="55"/>
      <c r="D128" s="55"/>
      <c r="E128" s="56"/>
      <c r="F128" s="54">
        <v>1</v>
      </c>
      <c r="G128" s="55"/>
      <c r="H128" s="56"/>
      <c r="I128" s="54">
        <v>1</v>
      </c>
      <c r="J128" s="55"/>
      <c r="K128" s="55"/>
      <c r="L128" s="55"/>
      <c r="M128" s="56"/>
      <c r="N128" s="54">
        <v>1</v>
      </c>
      <c r="O128" s="55"/>
      <c r="P128" s="55"/>
      <c r="Q128" s="55"/>
      <c r="R128" s="56"/>
      <c r="S128" s="54">
        <v>0</v>
      </c>
      <c r="T128" s="56"/>
      <c r="U128" s="54">
        <v>1</v>
      </c>
      <c r="V128" s="55"/>
      <c r="W128" s="55"/>
      <c r="X128" s="55"/>
      <c r="Y128" s="56"/>
      <c r="Z128" s="54">
        <v>1</v>
      </c>
      <c r="AA128" s="55"/>
      <c r="AB128" s="55"/>
      <c r="AC128" s="55"/>
      <c r="AD128" s="56"/>
      <c r="AE128" s="78">
        <v>1</v>
      </c>
      <c r="AF128" s="77"/>
      <c r="AG128" s="78">
        <v>1</v>
      </c>
      <c r="AH128" s="77"/>
      <c r="AI128" s="82">
        <v>10</v>
      </c>
      <c r="AK128" s="2" t="str">
        <f t="shared" si="1"/>
        <v>68-PU6</v>
      </c>
    </row>
    <row r="129" spans="1:37" s="2" customFormat="1" x14ac:dyDescent="0.3">
      <c r="A129" s="73" t="s">
        <v>598</v>
      </c>
      <c r="B129" s="58">
        <v>31</v>
      </c>
      <c r="C129" s="59"/>
      <c r="D129" s="59"/>
      <c r="E129" s="60"/>
      <c r="F129" s="58">
        <v>15</v>
      </c>
      <c r="G129" s="59"/>
      <c r="H129" s="60"/>
      <c r="I129" s="58">
        <v>8</v>
      </c>
      <c r="J129" s="59"/>
      <c r="K129" s="59"/>
      <c r="L129" s="59"/>
      <c r="M129" s="60"/>
      <c r="N129" s="58">
        <v>11</v>
      </c>
      <c r="O129" s="59"/>
      <c r="P129" s="59"/>
      <c r="Q129" s="59"/>
      <c r="R129" s="60"/>
      <c r="S129" s="58">
        <v>3</v>
      </c>
      <c r="T129" s="60"/>
      <c r="U129" s="58">
        <v>8</v>
      </c>
      <c r="V129" s="59"/>
      <c r="W129" s="59"/>
      <c r="X129" s="59"/>
      <c r="Y129" s="60"/>
      <c r="Z129" s="58">
        <v>11</v>
      </c>
      <c r="AA129" s="59"/>
      <c r="AB129" s="59"/>
      <c r="AC129" s="59"/>
      <c r="AD129" s="60"/>
      <c r="AE129" s="79">
        <v>15</v>
      </c>
      <c r="AF129" s="80"/>
      <c r="AG129" s="79">
        <v>15</v>
      </c>
      <c r="AH129" s="80"/>
      <c r="AI129" s="114">
        <v>117</v>
      </c>
      <c r="AK129" s="2" t="str">
        <f t="shared" si="1"/>
        <v>68-PU6-R</v>
      </c>
    </row>
    <row r="130" spans="1:37" s="2" customFormat="1" x14ac:dyDescent="0.3">
      <c r="A130" s="69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</row>
    <row r="131" spans="1:37" s="2" customFormat="1" ht="16.2" thickBot="1" x14ac:dyDescent="0.35">
      <c r="A131" s="120" t="s">
        <v>856</v>
      </c>
      <c r="B131" s="121">
        <v>294</v>
      </c>
      <c r="C131" s="121">
        <v>1497</v>
      </c>
      <c r="D131" s="121">
        <v>3037</v>
      </c>
      <c r="E131" s="121">
        <v>11733</v>
      </c>
      <c r="F131" s="121">
        <v>381</v>
      </c>
      <c r="G131" s="121">
        <v>1520</v>
      </c>
      <c r="H131" s="121">
        <v>5868</v>
      </c>
      <c r="I131" s="121">
        <v>74</v>
      </c>
      <c r="J131" s="121">
        <v>214</v>
      </c>
      <c r="K131" s="121">
        <v>579</v>
      </c>
      <c r="L131" s="121">
        <v>1520</v>
      </c>
      <c r="M131" s="121">
        <v>5137</v>
      </c>
      <c r="N131" s="121">
        <v>103</v>
      </c>
      <c r="O131" s="121">
        <v>143</v>
      </c>
      <c r="P131" s="121">
        <v>348</v>
      </c>
      <c r="Q131" s="121">
        <v>1012</v>
      </c>
      <c r="R131" s="121">
        <v>3668</v>
      </c>
      <c r="S131" s="121">
        <v>29</v>
      </c>
      <c r="T131" s="121">
        <v>936</v>
      </c>
      <c r="U131" s="121">
        <v>74</v>
      </c>
      <c r="V131" s="121">
        <v>281</v>
      </c>
      <c r="W131" s="121">
        <v>579</v>
      </c>
      <c r="X131" s="121">
        <v>1520</v>
      </c>
      <c r="Y131" s="121">
        <v>5137</v>
      </c>
      <c r="Z131" s="121">
        <v>103</v>
      </c>
      <c r="AA131" s="121">
        <v>143</v>
      </c>
      <c r="AB131" s="121">
        <v>348</v>
      </c>
      <c r="AC131" s="121">
        <v>1012</v>
      </c>
      <c r="AD131" s="121">
        <v>3668</v>
      </c>
      <c r="AE131" s="121">
        <v>148</v>
      </c>
      <c r="AF131" s="121">
        <v>934</v>
      </c>
      <c r="AG131" s="121">
        <v>148</v>
      </c>
      <c r="AH131" s="121">
        <v>562</v>
      </c>
      <c r="AI131" s="121">
        <f>AI63+AI8</f>
        <v>52750</v>
      </c>
    </row>
    <row r="132" spans="1:37" ht="16.2" thickTop="1" x14ac:dyDescent="0.3"/>
  </sheetData>
  <sortState xmlns:xlrd2="http://schemas.microsoft.com/office/spreadsheetml/2017/richdata2" ref="A54:AI58">
    <sortCondition ref="A54:A58"/>
  </sortState>
  <mergeCells count="19">
    <mergeCell ref="Z5:AD5"/>
    <mergeCell ref="AE5:AF5"/>
    <mergeCell ref="AG5:AH5"/>
    <mergeCell ref="Z4:AD4"/>
    <mergeCell ref="AE4:AF4"/>
    <mergeCell ref="AG4:AH4"/>
    <mergeCell ref="AI4:AI6"/>
    <mergeCell ref="B5:E5"/>
    <mergeCell ref="F5:H5"/>
    <mergeCell ref="I5:M5"/>
    <mergeCell ref="N5:R5"/>
    <mergeCell ref="S5:T5"/>
    <mergeCell ref="U5:Y5"/>
    <mergeCell ref="B4:E4"/>
    <mergeCell ref="F4:H4"/>
    <mergeCell ref="I4:M4"/>
    <mergeCell ref="N4:R4"/>
    <mergeCell ref="S4:T4"/>
    <mergeCell ref="U4:Y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674D0-7473-43D4-B583-5198475EC8FA}">
  <dimension ref="A2:AL115"/>
  <sheetViews>
    <sheetView tabSelected="1" zoomScale="79" zoomScaleNormal="79" workbookViewId="0">
      <selection activeCell="AK3" sqref="AK3"/>
    </sheetView>
  </sheetViews>
  <sheetFormatPr defaultRowHeight="15.6" x14ac:dyDescent="0.3"/>
  <cols>
    <col min="1" max="1" width="22.44140625" style="45" bestFit="1" customWidth="1"/>
    <col min="2" max="2" width="5.109375" style="44" bestFit="1" customWidth="1"/>
    <col min="3" max="4" width="6.33203125" style="44" bestFit="1" customWidth="1"/>
    <col min="5" max="5" width="7.6640625" style="44" bestFit="1" customWidth="1"/>
    <col min="6" max="6" width="5.109375" style="44" bestFit="1" customWidth="1"/>
    <col min="7" max="8" width="6.33203125" style="44" bestFit="1" customWidth="1"/>
    <col min="9" max="10" width="5.109375" style="44" bestFit="1" customWidth="1"/>
    <col min="11" max="13" width="6.33203125" style="44" bestFit="1" customWidth="1"/>
    <col min="14" max="16" width="5.109375" style="44" bestFit="1" customWidth="1"/>
    <col min="17" max="18" width="6.33203125" style="44" bestFit="1" customWidth="1"/>
    <col min="19" max="19" width="3.77734375" style="44" bestFit="1" customWidth="1"/>
    <col min="20" max="21" width="5.109375" style="44" bestFit="1" customWidth="1"/>
    <col min="22" max="25" width="6.33203125" style="44" bestFit="1" customWidth="1"/>
    <col min="26" max="28" width="5.109375" style="44" bestFit="1" customWidth="1"/>
    <col min="29" max="30" width="6.33203125" style="44" bestFit="1" customWidth="1"/>
    <col min="31" max="31" width="5.109375" style="44" bestFit="1" customWidth="1"/>
    <col min="32" max="32" width="6.33203125" style="44" bestFit="1" customWidth="1"/>
    <col min="33" max="34" width="5.109375" style="44" bestFit="1" customWidth="1"/>
    <col min="35" max="35" width="13.88671875" style="44" bestFit="1" customWidth="1"/>
    <col min="36" max="16384" width="8.88671875" style="44"/>
  </cols>
  <sheetData>
    <row r="2" spans="1:38" ht="18" x14ac:dyDescent="0.35">
      <c r="A2" s="47" t="s">
        <v>857</v>
      </c>
    </row>
    <row r="3" spans="1:38" x14ac:dyDescent="0.3">
      <c r="F3" s="46"/>
      <c r="G3" s="46"/>
      <c r="H3" s="46"/>
    </row>
    <row r="4" spans="1:38" x14ac:dyDescent="0.3">
      <c r="A4" s="143" t="s">
        <v>1263</v>
      </c>
      <c r="B4" s="177" t="s">
        <v>1121</v>
      </c>
      <c r="C4" s="178"/>
      <c r="D4" s="178"/>
      <c r="E4" s="179"/>
      <c r="F4" s="177" t="s">
        <v>1120</v>
      </c>
      <c r="G4" s="178"/>
      <c r="H4" s="179"/>
      <c r="I4" s="177" t="s">
        <v>1117</v>
      </c>
      <c r="J4" s="178"/>
      <c r="K4" s="178"/>
      <c r="L4" s="178"/>
      <c r="M4" s="179"/>
      <c r="N4" s="177" t="s">
        <v>1113</v>
      </c>
      <c r="O4" s="178"/>
      <c r="P4" s="178"/>
      <c r="Q4" s="178"/>
      <c r="R4" s="179"/>
      <c r="S4" s="177" t="s">
        <v>1116</v>
      </c>
      <c r="T4" s="179"/>
      <c r="U4" s="177" t="s">
        <v>1118</v>
      </c>
      <c r="V4" s="178"/>
      <c r="W4" s="178"/>
      <c r="X4" s="178"/>
      <c r="Y4" s="178"/>
      <c r="Z4" s="177" t="s">
        <v>1114</v>
      </c>
      <c r="AA4" s="178"/>
      <c r="AB4" s="178"/>
      <c r="AC4" s="178"/>
      <c r="AD4" s="179"/>
      <c r="AE4" s="177" t="s">
        <v>1119</v>
      </c>
      <c r="AF4" s="179"/>
      <c r="AG4" s="177" t="s">
        <v>1115</v>
      </c>
      <c r="AH4" s="179"/>
      <c r="AI4" s="180" t="s">
        <v>856</v>
      </c>
    </row>
    <row r="5" spans="1:38" x14ac:dyDescent="0.3">
      <c r="A5" s="144" t="s">
        <v>1264</v>
      </c>
      <c r="B5" s="183" t="s">
        <v>1254</v>
      </c>
      <c r="C5" s="184"/>
      <c r="D5" s="184"/>
      <c r="E5" s="185"/>
      <c r="F5" s="183" t="s">
        <v>1256</v>
      </c>
      <c r="G5" s="184"/>
      <c r="H5" s="185"/>
      <c r="I5" s="183" t="s">
        <v>1257</v>
      </c>
      <c r="J5" s="184"/>
      <c r="K5" s="184"/>
      <c r="L5" s="184"/>
      <c r="M5" s="185"/>
      <c r="N5" s="183" t="s">
        <v>1258</v>
      </c>
      <c r="O5" s="184"/>
      <c r="P5" s="184"/>
      <c r="Q5" s="184"/>
      <c r="R5" s="185"/>
      <c r="S5" s="183" t="s">
        <v>1251</v>
      </c>
      <c r="T5" s="185"/>
      <c r="U5" s="183" t="s">
        <v>1259</v>
      </c>
      <c r="V5" s="184"/>
      <c r="W5" s="184"/>
      <c r="X5" s="184"/>
      <c r="Y5" s="184"/>
      <c r="Z5" s="183" t="s">
        <v>1260</v>
      </c>
      <c r="AA5" s="184"/>
      <c r="AB5" s="184"/>
      <c r="AC5" s="184"/>
      <c r="AD5" s="185"/>
      <c r="AE5" s="183" t="s">
        <v>1261</v>
      </c>
      <c r="AF5" s="185"/>
      <c r="AG5" s="183" t="s">
        <v>1262</v>
      </c>
      <c r="AH5" s="185"/>
      <c r="AI5" s="181"/>
    </row>
    <row r="6" spans="1:38" x14ac:dyDescent="0.3">
      <c r="A6" s="145" t="s">
        <v>1028</v>
      </c>
      <c r="B6" s="146">
        <v>500</v>
      </c>
      <c r="C6" s="147">
        <v>1000</v>
      </c>
      <c r="D6" s="147">
        <v>1500</v>
      </c>
      <c r="E6" s="148">
        <v>2000</v>
      </c>
      <c r="F6" s="146">
        <v>500</v>
      </c>
      <c r="G6" s="147">
        <v>1500</v>
      </c>
      <c r="H6" s="148">
        <v>2000</v>
      </c>
      <c r="I6" s="146">
        <v>250</v>
      </c>
      <c r="J6" s="147">
        <v>750</v>
      </c>
      <c r="K6" s="147">
        <v>1250</v>
      </c>
      <c r="L6" s="147">
        <v>1500</v>
      </c>
      <c r="M6" s="148">
        <v>1750</v>
      </c>
      <c r="N6" s="146">
        <v>350</v>
      </c>
      <c r="O6" s="147">
        <v>500</v>
      </c>
      <c r="P6" s="147">
        <v>750</v>
      </c>
      <c r="Q6" s="147">
        <v>1000</v>
      </c>
      <c r="R6" s="148">
        <v>1250</v>
      </c>
      <c r="S6" s="146">
        <v>50</v>
      </c>
      <c r="T6" s="148">
        <v>100</v>
      </c>
      <c r="U6" s="146">
        <v>250</v>
      </c>
      <c r="V6" s="147">
        <v>1000</v>
      </c>
      <c r="W6" s="147">
        <v>1250</v>
      </c>
      <c r="X6" s="147">
        <v>1500</v>
      </c>
      <c r="Y6" s="147">
        <v>1750</v>
      </c>
      <c r="Z6" s="146">
        <v>350</v>
      </c>
      <c r="AA6" s="147">
        <v>500</v>
      </c>
      <c r="AB6" s="147">
        <v>750</v>
      </c>
      <c r="AC6" s="147">
        <v>1000</v>
      </c>
      <c r="AD6" s="148">
        <v>1250</v>
      </c>
      <c r="AE6" s="149">
        <v>500</v>
      </c>
      <c r="AF6" s="150">
        <v>1250</v>
      </c>
      <c r="AG6" s="146">
        <v>500</v>
      </c>
      <c r="AH6" s="148">
        <v>750</v>
      </c>
      <c r="AI6" s="182"/>
    </row>
    <row r="7" spans="1:38" ht="18" x14ac:dyDescent="0.35">
      <c r="A7" s="50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48"/>
      <c r="AF7" s="48"/>
      <c r="AG7" s="51"/>
      <c r="AH7" s="51"/>
      <c r="AI7" s="51"/>
    </row>
    <row r="8" spans="1:38" s="2" customFormat="1" x14ac:dyDescent="0.3">
      <c r="A8" s="124" t="s">
        <v>1029</v>
      </c>
      <c r="B8" s="125">
        <v>172</v>
      </c>
      <c r="C8" s="126">
        <v>834</v>
      </c>
      <c r="D8" s="126">
        <v>1744</v>
      </c>
      <c r="E8" s="127">
        <v>6320</v>
      </c>
      <c r="F8" s="125">
        <v>222</v>
      </c>
      <c r="G8" s="126">
        <v>874</v>
      </c>
      <c r="H8" s="127">
        <v>3157</v>
      </c>
      <c r="I8" s="125">
        <v>43</v>
      </c>
      <c r="J8" s="126">
        <v>111</v>
      </c>
      <c r="K8" s="126">
        <v>337</v>
      </c>
      <c r="L8" s="126">
        <v>874</v>
      </c>
      <c r="M8" s="127">
        <v>2767</v>
      </c>
      <c r="N8" s="125">
        <v>60</v>
      </c>
      <c r="O8" s="126">
        <v>74</v>
      </c>
      <c r="P8" s="126">
        <v>203</v>
      </c>
      <c r="Q8" s="126">
        <v>581</v>
      </c>
      <c r="R8" s="127">
        <v>1974</v>
      </c>
      <c r="S8" s="125">
        <v>17</v>
      </c>
      <c r="T8" s="127">
        <v>514</v>
      </c>
      <c r="U8" s="125">
        <v>43</v>
      </c>
      <c r="V8" s="126">
        <v>146</v>
      </c>
      <c r="W8" s="126">
        <v>337</v>
      </c>
      <c r="X8" s="126">
        <v>874</v>
      </c>
      <c r="Y8" s="127">
        <v>2767</v>
      </c>
      <c r="Z8" s="125">
        <v>60</v>
      </c>
      <c r="AA8" s="126">
        <v>74</v>
      </c>
      <c r="AB8" s="126">
        <v>203</v>
      </c>
      <c r="AC8" s="126">
        <v>581</v>
      </c>
      <c r="AD8" s="127">
        <v>1974</v>
      </c>
      <c r="AE8" s="125">
        <v>86</v>
      </c>
      <c r="AF8" s="127">
        <v>521</v>
      </c>
      <c r="AG8" s="125">
        <v>86</v>
      </c>
      <c r="AH8" s="127">
        <v>314</v>
      </c>
      <c r="AI8" s="128">
        <v>28944</v>
      </c>
    </row>
    <row r="9" spans="1:38" s="2" customFormat="1" x14ac:dyDescent="0.3">
      <c r="A9" s="53" t="s">
        <v>6</v>
      </c>
      <c r="B9" s="54"/>
      <c r="C9" s="55"/>
      <c r="D9" s="55"/>
      <c r="E9" s="56">
        <v>156</v>
      </c>
      <c r="F9" s="54"/>
      <c r="G9" s="55"/>
      <c r="H9" s="56">
        <v>78</v>
      </c>
      <c r="I9" s="54"/>
      <c r="J9" s="55"/>
      <c r="K9" s="55"/>
      <c r="L9" s="55"/>
      <c r="M9" s="56">
        <v>68</v>
      </c>
      <c r="N9" s="54"/>
      <c r="O9" s="55"/>
      <c r="P9" s="55"/>
      <c r="Q9" s="55"/>
      <c r="R9" s="56">
        <v>49</v>
      </c>
      <c r="S9" s="54"/>
      <c r="T9" s="56">
        <v>8</v>
      </c>
      <c r="U9" s="54"/>
      <c r="V9" s="55"/>
      <c r="W9" s="55"/>
      <c r="X9" s="55"/>
      <c r="Y9" s="56">
        <v>68</v>
      </c>
      <c r="Z9" s="54"/>
      <c r="AA9" s="55"/>
      <c r="AB9" s="55"/>
      <c r="AC9" s="55"/>
      <c r="AD9" s="56">
        <v>49</v>
      </c>
      <c r="AE9" s="54"/>
      <c r="AF9" s="56"/>
      <c r="AG9" s="54"/>
      <c r="AH9" s="56"/>
      <c r="AI9" s="82">
        <v>476</v>
      </c>
      <c r="AL9" s="2" t="str">
        <f>IF(RIGHT(A9,2)="-R",MID(A9,FIND("-",A9)+1,LEN(A9)-FIND("-",A9)-2)&amp;"-"&amp;LEFT(A9,FIND("-",A9)-1)&amp;"-R",MID(A9,FIND("-",A9)+1,99)&amp;"-"&amp;LEFT(A9,FIND("-",A9)-1))</f>
        <v>56-A01</v>
      </c>
    </row>
    <row r="10" spans="1:38" s="2" customFormat="1" x14ac:dyDescent="0.3">
      <c r="A10" s="53" t="s">
        <v>18</v>
      </c>
      <c r="B10" s="54"/>
      <c r="C10" s="55"/>
      <c r="D10" s="55"/>
      <c r="E10" s="56">
        <v>43</v>
      </c>
      <c r="F10" s="54"/>
      <c r="G10" s="55"/>
      <c r="H10" s="56">
        <v>21</v>
      </c>
      <c r="I10" s="54"/>
      <c r="J10" s="55"/>
      <c r="K10" s="55"/>
      <c r="L10" s="55"/>
      <c r="M10" s="56">
        <v>19</v>
      </c>
      <c r="N10" s="54"/>
      <c r="O10" s="55"/>
      <c r="P10" s="55"/>
      <c r="Q10" s="55"/>
      <c r="R10" s="56">
        <v>13</v>
      </c>
      <c r="S10" s="54"/>
      <c r="T10" s="56">
        <v>2</v>
      </c>
      <c r="U10" s="54"/>
      <c r="V10" s="55"/>
      <c r="W10" s="55"/>
      <c r="X10" s="55"/>
      <c r="Y10" s="56">
        <v>19</v>
      </c>
      <c r="Z10" s="54"/>
      <c r="AA10" s="55"/>
      <c r="AB10" s="55"/>
      <c r="AC10" s="55"/>
      <c r="AD10" s="56">
        <v>13</v>
      </c>
      <c r="AE10" s="54"/>
      <c r="AF10" s="56"/>
      <c r="AG10" s="54"/>
      <c r="AH10" s="56"/>
      <c r="AI10" s="82">
        <v>130</v>
      </c>
      <c r="AL10" s="2" t="str">
        <f t="shared" ref="AL10:AL73" si="0">IF(RIGHT(A10,2)="-R",MID(A10,FIND("-",A10)+1,LEN(A10)-FIND("-",A10)-2)&amp;"-"&amp;LEFT(A10,FIND("-",A10)-1)&amp;"-R",MID(A10,FIND("-",A10)+1,99)&amp;"-"&amp;LEFT(A10,FIND("-",A10)-1))</f>
        <v>63-A01-R</v>
      </c>
    </row>
    <row r="11" spans="1:38" s="2" customFormat="1" x14ac:dyDescent="0.3">
      <c r="A11" s="53" t="s">
        <v>20</v>
      </c>
      <c r="B11" s="54"/>
      <c r="C11" s="55"/>
      <c r="D11" s="55"/>
      <c r="E11" s="56">
        <v>307</v>
      </c>
      <c r="F11" s="54"/>
      <c r="G11" s="55"/>
      <c r="H11" s="56">
        <v>153</v>
      </c>
      <c r="I11" s="54"/>
      <c r="J11" s="55"/>
      <c r="K11" s="55"/>
      <c r="L11" s="55"/>
      <c r="M11" s="56">
        <v>134</v>
      </c>
      <c r="N11" s="54"/>
      <c r="O11" s="55"/>
      <c r="P11" s="55"/>
      <c r="Q11" s="55"/>
      <c r="R11" s="56">
        <v>96</v>
      </c>
      <c r="S11" s="54"/>
      <c r="T11" s="56">
        <v>15</v>
      </c>
      <c r="U11" s="54"/>
      <c r="V11" s="55"/>
      <c r="W11" s="55"/>
      <c r="X11" s="55"/>
      <c r="Y11" s="56">
        <v>134</v>
      </c>
      <c r="Z11" s="54"/>
      <c r="AA11" s="55"/>
      <c r="AB11" s="55"/>
      <c r="AC11" s="55"/>
      <c r="AD11" s="56">
        <v>96</v>
      </c>
      <c r="AE11" s="54"/>
      <c r="AF11" s="56"/>
      <c r="AG11" s="54"/>
      <c r="AH11" s="56"/>
      <c r="AI11" s="82">
        <v>935</v>
      </c>
      <c r="AL11" s="2" t="str">
        <f t="shared" si="0"/>
        <v>56-A02</v>
      </c>
    </row>
    <row r="12" spans="1:38" s="2" customFormat="1" x14ac:dyDescent="0.3">
      <c r="A12" s="53" t="s">
        <v>28</v>
      </c>
      <c r="B12" s="54"/>
      <c r="C12" s="55"/>
      <c r="D12" s="55"/>
      <c r="E12" s="56">
        <v>170</v>
      </c>
      <c r="F12" s="54"/>
      <c r="G12" s="55"/>
      <c r="H12" s="56">
        <v>85</v>
      </c>
      <c r="I12" s="54"/>
      <c r="J12" s="55"/>
      <c r="K12" s="55"/>
      <c r="L12" s="55"/>
      <c r="M12" s="56">
        <v>74</v>
      </c>
      <c r="N12" s="54"/>
      <c r="O12" s="55"/>
      <c r="P12" s="55"/>
      <c r="Q12" s="55"/>
      <c r="R12" s="56">
        <v>53</v>
      </c>
      <c r="S12" s="54"/>
      <c r="T12" s="56">
        <v>8</v>
      </c>
      <c r="U12" s="54"/>
      <c r="V12" s="55"/>
      <c r="W12" s="55"/>
      <c r="X12" s="55"/>
      <c r="Y12" s="56">
        <v>74</v>
      </c>
      <c r="Z12" s="54"/>
      <c r="AA12" s="55"/>
      <c r="AB12" s="55"/>
      <c r="AC12" s="55"/>
      <c r="AD12" s="56">
        <v>53</v>
      </c>
      <c r="AE12" s="54"/>
      <c r="AF12" s="56"/>
      <c r="AG12" s="54"/>
      <c r="AH12" s="56"/>
      <c r="AI12" s="82">
        <v>517</v>
      </c>
      <c r="AL12" s="2" t="str">
        <f t="shared" si="0"/>
        <v>56-A03-R</v>
      </c>
    </row>
    <row r="13" spans="1:38" s="2" customFormat="1" x14ac:dyDescent="0.3">
      <c r="A13" s="53" t="s">
        <v>35</v>
      </c>
      <c r="B13" s="54"/>
      <c r="C13" s="55"/>
      <c r="D13" s="55"/>
      <c r="E13" s="56">
        <v>78</v>
      </c>
      <c r="F13" s="54"/>
      <c r="G13" s="55"/>
      <c r="H13" s="56">
        <v>39</v>
      </c>
      <c r="I13" s="54"/>
      <c r="J13" s="55"/>
      <c r="K13" s="55"/>
      <c r="L13" s="55"/>
      <c r="M13" s="56">
        <v>34</v>
      </c>
      <c r="N13" s="54"/>
      <c r="O13" s="55"/>
      <c r="P13" s="55"/>
      <c r="Q13" s="55"/>
      <c r="R13" s="56">
        <v>25</v>
      </c>
      <c r="S13" s="54"/>
      <c r="T13" s="56">
        <v>4</v>
      </c>
      <c r="U13" s="54"/>
      <c r="V13" s="55"/>
      <c r="W13" s="55"/>
      <c r="X13" s="55"/>
      <c r="Y13" s="56">
        <v>34</v>
      </c>
      <c r="Z13" s="54"/>
      <c r="AA13" s="55"/>
      <c r="AB13" s="55"/>
      <c r="AC13" s="55"/>
      <c r="AD13" s="56">
        <v>25</v>
      </c>
      <c r="AE13" s="54"/>
      <c r="AF13" s="56"/>
      <c r="AG13" s="54"/>
      <c r="AH13" s="56"/>
      <c r="AI13" s="82">
        <v>239</v>
      </c>
      <c r="AL13" s="2" t="str">
        <f t="shared" si="0"/>
        <v>63-A03-R</v>
      </c>
    </row>
    <row r="14" spans="1:38" s="2" customFormat="1" x14ac:dyDescent="0.3">
      <c r="A14" s="53" t="s">
        <v>37</v>
      </c>
      <c r="B14" s="54"/>
      <c r="C14" s="55"/>
      <c r="D14" s="55">
        <v>292</v>
      </c>
      <c r="E14" s="56"/>
      <c r="F14" s="54"/>
      <c r="G14" s="55">
        <v>146</v>
      </c>
      <c r="H14" s="56"/>
      <c r="I14" s="54"/>
      <c r="J14" s="55"/>
      <c r="K14" s="55"/>
      <c r="L14" s="55">
        <v>146</v>
      </c>
      <c r="M14" s="56"/>
      <c r="N14" s="54"/>
      <c r="O14" s="55"/>
      <c r="P14" s="55"/>
      <c r="Q14" s="55">
        <v>97</v>
      </c>
      <c r="R14" s="56"/>
      <c r="S14" s="54"/>
      <c r="T14" s="56">
        <v>19</v>
      </c>
      <c r="U14" s="54"/>
      <c r="V14" s="55"/>
      <c r="W14" s="55"/>
      <c r="X14" s="55">
        <v>146</v>
      </c>
      <c r="Y14" s="56"/>
      <c r="Z14" s="54"/>
      <c r="AA14" s="55"/>
      <c r="AB14" s="55"/>
      <c r="AC14" s="55">
        <v>97</v>
      </c>
      <c r="AD14" s="56"/>
      <c r="AE14" s="54"/>
      <c r="AF14" s="56"/>
      <c r="AG14" s="54"/>
      <c r="AH14" s="56"/>
      <c r="AI14" s="82">
        <v>943</v>
      </c>
      <c r="AL14" s="2" t="str">
        <f t="shared" si="0"/>
        <v>50-A04</v>
      </c>
    </row>
    <row r="15" spans="1:38" s="2" customFormat="1" x14ac:dyDescent="0.3">
      <c r="A15" s="53" t="s">
        <v>45</v>
      </c>
      <c r="B15" s="54"/>
      <c r="C15" s="55"/>
      <c r="D15" s="55">
        <v>276</v>
      </c>
      <c r="E15" s="56"/>
      <c r="F15" s="54"/>
      <c r="G15" s="55">
        <v>138</v>
      </c>
      <c r="H15" s="56"/>
      <c r="I15" s="54"/>
      <c r="J15" s="55"/>
      <c r="K15" s="55"/>
      <c r="L15" s="55">
        <v>138</v>
      </c>
      <c r="M15" s="56"/>
      <c r="N15" s="54"/>
      <c r="O15" s="55"/>
      <c r="P15" s="55"/>
      <c r="Q15" s="55">
        <v>92</v>
      </c>
      <c r="R15" s="56"/>
      <c r="S15" s="54"/>
      <c r="T15" s="56">
        <v>18</v>
      </c>
      <c r="U15" s="54"/>
      <c r="V15" s="55"/>
      <c r="W15" s="55"/>
      <c r="X15" s="55">
        <v>138</v>
      </c>
      <c r="Y15" s="56"/>
      <c r="Z15" s="54"/>
      <c r="AA15" s="55"/>
      <c r="AB15" s="55"/>
      <c r="AC15" s="55">
        <v>92</v>
      </c>
      <c r="AD15" s="56"/>
      <c r="AE15" s="54"/>
      <c r="AF15" s="56"/>
      <c r="AG15" s="54"/>
      <c r="AH15" s="56"/>
      <c r="AI15" s="82">
        <v>892</v>
      </c>
      <c r="AL15" s="2" t="str">
        <f t="shared" si="0"/>
        <v>50-A05</v>
      </c>
    </row>
    <row r="16" spans="1:38" s="2" customFormat="1" x14ac:dyDescent="0.3">
      <c r="A16" s="53" t="s">
        <v>53</v>
      </c>
      <c r="B16" s="54"/>
      <c r="C16" s="55"/>
      <c r="D16" s="55"/>
      <c r="E16" s="56">
        <v>261</v>
      </c>
      <c r="F16" s="54"/>
      <c r="G16" s="55"/>
      <c r="H16" s="56">
        <v>130</v>
      </c>
      <c r="I16" s="54"/>
      <c r="J16" s="55"/>
      <c r="K16" s="55"/>
      <c r="L16" s="55"/>
      <c r="M16" s="56">
        <v>114</v>
      </c>
      <c r="N16" s="54"/>
      <c r="O16" s="55"/>
      <c r="P16" s="55"/>
      <c r="Q16" s="55"/>
      <c r="R16" s="56">
        <v>81</v>
      </c>
      <c r="S16" s="54"/>
      <c r="T16" s="56">
        <v>13</v>
      </c>
      <c r="U16" s="54"/>
      <c r="V16" s="55"/>
      <c r="W16" s="55"/>
      <c r="X16" s="55"/>
      <c r="Y16" s="56">
        <v>114</v>
      </c>
      <c r="Z16" s="54"/>
      <c r="AA16" s="55"/>
      <c r="AB16" s="55"/>
      <c r="AC16" s="55"/>
      <c r="AD16" s="56">
        <v>81</v>
      </c>
      <c r="AE16" s="54"/>
      <c r="AF16" s="56"/>
      <c r="AG16" s="54"/>
      <c r="AH16" s="56"/>
      <c r="AI16" s="82">
        <v>794</v>
      </c>
      <c r="AL16" s="2" t="str">
        <f t="shared" si="0"/>
        <v>60-A06</v>
      </c>
    </row>
    <row r="17" spans="1:38" s="2" customFormat="1" x14ac:dyDescent="0.3">
      <c r="A17" s="53" t="s">
        <v>61</v>
      </c>
      <c r="B17" s="54"/>
      <c r="C17" s="55"/>
      <c r="D17" s="55"/>
      <c r="E17" s="56">
        <v>191</v>
      </c>
      <c r="F17" s="54"/>
      <c r="G17" s="55"/>
      <c r="H17" s="56">
        <v>96</v>
      </c>
      <c r="I17" s="54"/>
      <c r="J17" s="55"/>
      <c r="K17" s="55"/>
      <c r="L17" s="55"/>
      <c r="M17" s="56">
        <v>84</v>
      </c>
      <c r="N17" s="54"/>
      <c r="O17" s="55"/>
      <c r="P17" s="55"/>
      <c r="Q17" s="55"/>
      <c r="R17" s="56">
        <v>60</v>
      </c>
      <c r="S17" s="54"/>
      <c r="T17" s="56">
        <v>10</v>
      </c>
      <c r="U17" s="54"/>
      <c r="V17" s="55"/>
      <c r="W17" s="55"/>
      <c r="X17" s="55"/>
      <c r="Y17" s="56">
        <v>84</v>
      </c>
      <c r="Z17" s="54"/>
      <c r="AA17" s="55"/>
      <c r="AB17" s="55"/>
      <c r="AC17" s="55"/>
      <c r="AD17" s="56">
        <v>60</v>
      </c>
      <c r="AE17" s="54"/>
      <c r="AF17" s="56"/>
      <c r="AG17" s="54"/>
      <c r="AH17" s="56"/>
      <c r="AI17" s="82">
        <v>585</v>
      </c>
      <c r="AL17" s="2" t="str">
        <f t="shared" si="0"/>
        <v>63-A07</v>
      </c>
    </row>
    <row r="18" spans="1:38" s="2" customFormat="1" x14ac:dyDescent="0.3">
      <c r="A18" s="53" t="s">
        <v>69</v>
      </c>
      <c r="B18" s="54"/>
      <c r="C18" s="55"/>
      <c r="D18" s="55"/>
      <c r="E18" s="56">
        <v>25</v>
      </c>
      <c r="F18" s="54"/>
      <c r="G18" s="55"/>
      <c r="H18" s="56">
        <v>12</v>
      </c>
      <c r="I18" s="54"/>
      <c r="J18" s="55"/>
      <c r="K18" s="55"/>
      <c r="L18" s="55"/>
      <c r="M18" s="56">
        <v>11</v>
      </c>
      <c r="N18" s="54"/>
      <c r="O18" s="55"/>
      <c r="P18" s="55"/>
      <c r="Q18" s="55"/>
      <c r="R18" s="56">
        <v>8</v>
      </c>
      <c r="S18" s="54"/>
      <c r="T18" s="56">
        <v>1</v>
      </c>
      <c r="U18" s="54"/>
      <c r="V18" s="55"/>
      <c r="W18" s="55"/>
      <c r="X18" s="55"/>
      <c r="Y18" s="56">
        <v>11</v>
      </c>
      <c r="Z18" s="54"/>
      <c r="AA18" s="55"/>
      <c r="AB18" s="55"/>
      <c r="AC18" s="55"/>
      <c r="AD18" s="56">
        <v>8</v>
      </c>
      <c r="AE18" s="54"/>
      <c r="AF18" s="56"/>
      <c r="AG18" s="54"/>
      <c r="AH18" s="56"/>
      <c r="AI18" s="82">
        <v>76</v>
      </c>
      <c r="AL18" s="2" t="str">
        <f t="shared" si="0"/>
        <v>63-A07-R</v>
      </c>
    </row>
    <row r="19" spans="1:38" s="2" customFormat="1" x14ac:dyDescent="0.3">
      <c r="A19" s="53" t="s">
        <v>77</v>
      </c>
      <c r="B19" s="54"/>
      <c r="C19" s="55"/>
      <c r="D19" s="55"/>
      <c r="E19" s="56">
        <v>345</v>
      </c>
      <c r="F19" s="54"/>
      <c r="G19" s="55"/>
      <c r="H19" s="56">
        <v>172</v>
      </c>
      <c r="I19" s="54"/>
      <c r="J19" s="55"/>
      <c r="K19" s="55"/>
      <c r="L19" s="55"/>
      <c r="M19" s="56">
        <v>151</v>
      </c>
      <c r="N19" s="54"/>
      <c r="O19" s="55"/>
      <c r="P19" s="55"/>
      <c r="Q19" s="55"/>
      <c r="R19" s="56">
        <v>108</v>
      </c>
      <c r="S19" s="54"/>
      <c r="T19" s="56">
        <v>17</v>
      </c>
      <c r="U19" s="54"/>
      <c r="V19" s="55"/>
      <c r="W19" s="55"/>
      <c r="X19" s="55"/>
      <c r="Y19" s="56">
        <v>151</v>
      </c>
      <c r="Z19" s="54"/>
      <c r="AA19" s="55"/>
      <c r="AB19" s="55"/>
      <c r="AC19" s="55"/>
      <c r="AD19" s="56">
        <v>108</v>
      </c>
      <c r="AE19" s="54"/>
      <c r="AF19" s="56"/>
      <c r="AG19" s="54"/>
      <c r="AH19" s="56"/>
      <c r="AI19" s="82">
        <v>1052</v>
      </c>
      <c r="AL19" s="2" t="str">
        <f t="shared" si="0"/>
        <v>57-A08-R</v>
      </c>
    </row>
    <row r="20" spans="1:38" s="2" customFormat="1" x14ac:dyDescent="0.3">
      <c r="A20" s="53" t="s">
        <v>85</v>
      </c>
      <c r="B20" s="54"/>
      <c r="C20" s="55"/>
      <c r="D20" s="55"/>
      <c r="E20" s="56">
        <v>309</v>
      </c>
      <c r="F20" s="54"/>
      <c r="G20" s="55"/>
      <c r="H20" s="56">
        <v>154</v>
      </c>
      <c r="I20" s="54"/>
      <c r="J20" s="55"/>
      <c r="K20" s="55"/>
      <c r="L20" s="55"/>
      <c r="M20" s="56">
        <v>135</v>
      </c>
      <c r="N20" s="54"/>
      <c r="O20" s="55"/>
      <c r="P20" s="55"/>
      <c r="Q20" s="55"/>
      <c r="R20" s="56">
        <v>97</v>
      </c>
      <c r="S20" s="54"/>
      <c r="T20" s="56">
        <v>15</v>
      </c>
      <c r="U20" s="54"/>
      <c r="V20" s="55"/>
      <c r="W20" s="55"/>
      <c r="X20" s="55"/>
      <c r="Y20" s="56">
        <v>135</v>
      </c>
      <c r="Z20" s="54"/>
      <c r="AA20" s="55"/>
      <c r="AB20" s="55"/>
      <c r="AC20" s="55"/>
      <c r="AD20" s="56">
        <v>97</v>
      </c>
      <c r="AE20" s="54"/>
      <c r="AF20" s="56"/>
      <c r="AG20" s="54"/>
      <c r="AH20" s="56"/>
      <c r="AI20" s="82">
        <v>942</v>
      </c>
      <c r="AL20" s="2" t="str">
        <f t="shared" si="0"/>
        <v>57-A09-R</v>
      </c>
    </row>
    <row r="21" spans="1:38" s="2" customFormat="1" x14ac:dyDescent="0.3">
      <c r="A21" s="53" t="s">
        <v>93</v>
      </c>
      <c r="B21" s="54"/>
      <c r="C21" s="55"/>
      <c r="D21" s="55">
        <v>167</v>
      </c>
      <c r="E21" s="56"/>
      <c r="F21" s="54"/>
      <c r="G21" s="55">
        <v>84</v>
      </c>
      <c r="H21" s="56"/>
      <c r="I21" s="54"/>
      <c r="J21" s="55"/>
      <c r="K21" s="55"/>
      <c r="L21" s="55">
        <v>84</v>
      </c>
      <c r="M21" s="56"/>
      <c r="N21" s="54"/>
      <c r="O21" s="55"/>
      <c r="P21" s="55"/>
      <c r="Q21" s="55">
        <v>56</v>
      </c>
      <c r="R21" s="56"/>
      <c r="S21" s="54"/>
      <c r="T21" s="56">
        <v>11</v>
      </c>
      <c r="U21" s="54"/>
      <c r="V21" s="55"/>
      <c r="W21" s="55"/>
      <c r="X21" s="55">
        <v>84</v>
      </c>
      <c r="Y21" s="56"/>
      <c r="Z21" s="54"/>
      <c r="AA21" s="55"/>
      <c r="AB21" s="55"/>
      <c r="AC21" s="55">
        <v>56</v>
      </c>
      <c r="AD21" s="56"/>
      <c r="AE21" s="54"/>
      <c r="AF21" s="56"/>
      <c r="AG21" s="54"/>
      <c r="AH21" s="56"/>
      <c r="AI21" s="82">
        <v>542</v>
      </c>
      <c r="AL21" s="2" t="str">
        <f t="shared" si="0"/>
        <v>49-A10-R</v>
      </c>
    </row>
    <row r="22" spans="1:38" s="2" customFormat="1" x14ac:dyDescent="0.3">
      <c r="A22" s="53" t="s">
        <v>101</v>
      </c>
      <c r="B22" s="54"/>
      <c r="C22" s="55"/>
      <c r="D22" s="55">
        <v>145</v>
      </c>
      <c r="E22" s="56"/>
      <c r="F22" s="54"/>
      <c r="G22" s="55">
        <v>73</v>
      </c>
      <c r="H22" s="56"/>
      <c r="I22" s="54"/>
      <c r="J22" s="55"/>
      <c r="K22" s="55"/>
      <c r="L22" s="55">
        <v>73</v>
      </c>
      <c r="M22" s="56"/>
      <c r="N22" s="54"/>
      <c r="O22" s="55"/>
      <c r="P22" s="55"/>
      <c r="Q22" s="55">
        <v>48</v>
      </c>
      <c r="R22" s="56"/>
      <c r="S22" s="54"/>
      <c r="T22" s="56">
        <v>10</v>
      </c>
      <c r="U22" s="54"/>
      <c r="V22" s="55"/>
      <c r="W22" s="55"/>
      <c r="X22" s="55">
        <v>73</v>
      </c>
      <c r="Y22" s="56"/>
      <c r="Z22" s="54"/>
      <c r="AA22" s="55"/>
      <c r="AB22" s="55"/>
      <c r="AC22" s="55">
        <v>48</v>
      </c>
      <c r="AD22" s="56"/>
      <c r="AE22" s="54"/>
      <c r="AF22" s="56"/>
      <c r="AG22" s="54"/>
      <c r="AH22" s="56"/>
      <c r="AI22" s="82">
        <v>470</v>
      </c>
      <c r="AL22" s="2" t="str">
        <f t="shared" si="0"/>
        <v>49-A11-R</v>
      </c>
    </row>
    <row r="23" spans="1:38" s="2" customFormat="1" x14ac:dyDescent="0.3">
      <c r="A23" s="53" t="s">
        <v>109</v>
      </c>
      <c r="B23" s="54"/>
      <c r="C23" s="55"/>
      <c r="D23" s="55">
        <v>226</v>
      </c>
      <c r="E23" s="56"/>
      <c r="F23" s="54"/>
      <c r="G23" s="55">
        <v>113</v>
      </c>
      <c r="H23" s="56"/>
      <c r="I23" s="54"/>
      <c r="J23" s="55"/>
      <c r="K23" s="55"/>
      <c r="L23" s="55">
        <v>113</v>
      </c>
      <c r="M23" s="56"/>
      <c r="N23" s="54"/>
      <c r="O23" s="55"/>
      <c r="P23" s="55"/>
      <c r="Q23" s="55">
        <v>75</v>
      </c>
      <c r="R23" s="56"/>
      <c r="S23" s="54"/>
      <c r="T23" s="56">
        <v>15</v>
      </c>
      <c r="U23" s="54"/>
      <c r="V23" s="55"/>
      <c r="W23" s="55"/>
      <c r="X23" s="55">
        <v>113</v>
      </c>
      <c r="Y23" s="56"/>
      <c r="Z23" s="54"/>
      <c r="AA23" s="55"/>
      <c r="AB23" s="55"/>
      <c r="AC23" s="55">
        <v>75</v>
      </c>
      <c r="AD23" s="56"/>
      <c r="AE23" s="54"/>
      <c r="AF23" s="56"/>
      <c r="AG23" s="54"/>
      <c r="AH23" s="56"/>
      <c r="AI23" s="82">
        <v>730</v>
      </c>
      <c r="AL23" s="2" t="str">
        <f t="shared" si="0"/>
        <v>49-A12-R</v>
      </c>
    </row>
    <row r="24" spans="1:38" s="2" customFormat="1" x14ac:dyDescent="0.3">
      <c r="A24" s="53" t="s">
        <v>117</v>
      </c>
      <c r="B24" s="54"/>
      <c r="C24" s="55"/>
      <c r="D24" s="55">
        <v>174</v>
      </c>
      <c r="E24" s="56"/>
      <c r="F24" s="54"/>
      <c r="G24" s="55">
        <v>87</v>
      </c>
      <c r="H24" s="56"/>
      <c r="I24" s="54"/>
      <c r="J24" s="55"/>
      <c r="K24" s="55"/>
      <c r="L24" s="55">
        <v>87</v>
      </c>
      <c r="M24" s="56"/>
      <c r="N24" s="54"/>
      <c r="O24" s="55"/>
      <c r="P24" s="55"/>
      <c r="Q24" s="55">
        <v>58</v>
      </c>
      <c r="R24" s="56"/>
      <c r="S24" s="54"/>
      <c r="T24" s="56">
        <v>12</v>
      </c>
      <c r="U24" s="54"/>
      <c r="V24" s="55"/>
      <c r="W24" s="55"/>
      <c r="X24" s="55">
        <v>87</v>
      </c>
      <c r="Y24" s="56"/>
      <c r="Z24" s="54"/>
      <c r="AA24" s="55"/>
      <c r="AB24" s="55"/>
      <c r="AC24" s="55">
        <v>58</v>
      </c>
      <c r="AD24" s="56"/>
      <c r="AE24" s="54"/>
      <c r="AF24" s="56"/>
      <c r="AG24" s="54"/>
      <c r="AH24" s="56"/>
      <c r="AI24" s="82">
        <v>563</v>
      </c>
      <c r="AL24" s="2" t="str">
        <f t="shared" si="0"/>
        <v>49-A13-R</v>
      </c>
    </row>
    <row r="25" spans="1:38" s="2" customFormat="1" x14ac:dyDescent="0.3">
      <c r="A25" s="53" t="s">
        <v>245</v>
      </c>
      <c r="B25" s="54"/>
      <c r="C25" s="55"/>
      <c r="D25" s="55"/>
      <c r="E25" s="56">
        <v>217</v>
      </c>
      <c r="F25" s="54"/>
      <c r="G25" s="55"/>
      <c r="H25" s="56">
        <v>108</v>
      </c>
      <c r="I25" s="54"/>
      <c r="J25" s="55"/>
      <c r="K25" s="55"/>
      <c r="L25" s="55"/>
      <c r="M25" s="56">
        <v>95</v>
      </c>
      <c r="N25" s="54"/>
      <c r="O25" s="55"/>
      <c r="P25" s="55"/>
      <c r="Q25" s="55"/>
      <c r="R25" s="56">
        <v>68</v>
      </c>
      <c r="S25" s="54"/>
      <c r="T25" s="56">
        <v>11</v>
      </c>
      <c r="U25" s="54"/>
      <c r="V25" s="55"/>
      <c r="W25" s="55"/>
      <c r="X25" s="55"/>
      <c r="Y25" s="56">
        <v>95</v>
      </c>
      <c r="Z25" s="54"/>
      <c r="AA25" s="55"/>
      <c r="AB25" s="55"/>
      <c r="AC25" s="55"/>
      <c r="AD25" s="56">
        <v>68</v>
      </c>
      <c r="AE25" s="54"/>
      <c r="AF25" s="56"/>
      <c r="AG25" s="54"/>
      <c r="AH25" s="56"/>
      <c r="AI25" s="82">
        <v>662</v>
      </c>
      <c r="AL25" s="2" t="str">
        <f t="shared" si="0"/>
        <v>60-C01-R</v>
      </c>
    </row>
    <row r="26" spans="1:38" s="2" customFormat="1" x14ac:dyDescent="0.3">
      <c r="A26" s="53" t="s">
        <v>253</v>
      </c>
      <c r="B26" s="54"/>
      <c r="C26" s="55"/>
      <c r="D26" s="55"/>
      <c r="E26" s="56">
        <v>171</v>
      </c>
      <c r="F26" s="54"/>
      <c r="G26" s="55"/>
      <c r="H26" s="56">
        <v>85</v>
      </c>
      <c r="I26" s="54"/>
      <c r="J26" s="55"/>
      <c r="K26" s="55"/>
      <c r="L26" s="55"/>
      <c r="M26" s="56">
        <v>75</v>
      </c>
      <c r="N26" s="54"/>
      <c r="O26" s="55"/>
      <c r="P26" s="55"/>
      <c r="Q26" s="55"/>
      <c r="R26" s="56">
        <v>53</v>
      </c>
      <c r="S26" s="54"/>
      <c r="T26" s="56">
        <v>9</v>
      </c>
      <c r="U26" s="54"/>
      <c r="V26" s="55"/>
      <c r="W26" s="55"/>
      <c r="X26" s="55"/>
      <c r="Y26" s="56">
        <v>75</v>
      </c>
      <c r="Z26" s="54"/>
      <c r="AA26" s="55"/>
      <c r="AB26" s="55"/>
      <c r="AC26" s="55"/>
      <c r="AD26" s="56">
        <v>53</v>
      </c>
      <c r="AE26" s="54"/>
      <c r="AF26" s="56"/>
      <c r="AG26" s="54"/>
      <c r="AH26" s="56"/>
      <c r="AI26" s="82">
        <v>521</v>
      </c>
      <c r="AL26" s="2" t="str">
        <f t="shared" si="0"/>
        <v>60-C02-R</v>
      </c>
    </row>
    <row r="27" spans="1:38" s="2" customFormat="1" x14ac:dyDescent="0.3">
      <c r="A27" s="53" t="s">
        <v>261</v>
      </c>
      <c r="B27" s="54"/>
      <c r="C27" s="55"/>
      <c r="D27" s="55"/>
      <c r="E27" s="56">
        <v>267</v>
      </c>
      <c r="F27" s="54"/>
      <c r="G27" s="55"/>
      <c r="H27" s="56">
        <v>133</v>
      </c>
      <c r="I27" s="54"/>
      <c r="J27" s="55"/>
      <c r="K27" s="55"/>
      <c r="L27" s="55"/>
      <c r="M27" s="56">
        <v>117</v>
      </c>
      <c r="N27" s="54"/>
      <c r="O27" s="55"/>
      <c r="P27" s="55"/>
      <c r="Q27" s="55"/>
      <c r="R27" s="56">
        <v>83</v>
      </c>
      <c r="S27" s="54"/>
      <c r="T27" s="56">
        <v>13</v>
      </c>
      <c r="U27" s="54"/>
      <c r="V27" s="55"/>
      <c r="W27" s="55"/>
      <c r="X27" s="55"/>
      <c r="Y27" s="56">
        <v>117</v>
      </c>
      <c r="Z27" s="54"/>
      <c r="AA27" s="55"/>
      <c r="AB27" s="55"/>
      <c r="AC27" s="55"/>
      <c r="AD27" s="56">
        <v>83</v>
      </c>
      <c r="AE27" s="54"/>
      <c r="AF27" s="56"/>
      <c r="AG27" s="54"/>
      <c r="AH27" s="56"/>
      <c r="AI27" s="82">
        <v>813</v>
      </c>
      <c r="AL27" s="2" t="str">
        <f t="shared" si="0"/>
        <v>59-C03-R</v>
      </c>
    </row>
    <row r="28" spans="1:38" s="2" customFormat="1" x14ac:dyDescent="0.3">
      <c r="A28" s="53" t="s">
        <v>269</v>
      </c>
      <c r="B28" s="54"/>
      <c r="C28" s="55"/>
      <c r="D28" s="55"/>
      <c r="E28" s="56">
        <v>202</v>
      </c>
      <c r="F28" s="54"/>
      <c r="G28" s="55"/>
      <c r="H28" s="56">
        <v>101</v>
      </c>
      <c r="I28" s="54"/>
      <c r="J28" s="55"/>
      <c r="K28" s="55"/>
      <c r="L28" s="55"/>
      <c r="M28" s="56">
        <v>88</v>
      </c>
      <c r="N28" s="54"/>
      <c r="O28" s="55"/>
      <c r="P28" s="55"/>
      <c r="Q28" s="55"/>
      <c r="R28" s="56">
        <v>63</v>
      </c>
      <c r="S28" s="54"/>
      <c r="T28" s="56">
        <v>10</v>
      </c>
      <c r="U28" s="54"/>
      <c r="V28" s="55"/>
      <c r="W28" s="55"/>
      <c r="X28" s="55"/>
      <c r="Y28" s="56">
        <v>88</v>
      </c>
      <c r="Z28" s="54"/>
      <c r="AA28" s="55"/>
      <c r="AB28" s="55"/>
      <c r="AC28" s="55"/>
      <c r="AD28" s="56">
        <v>63</v>
      </c>
      <c r="AE28" s="54"/>
      <c r="AF28" s="56"/>
      <c r="AG28" s="54"/>
      <c r="AH28" s="56"/>
      <c r="AI28" s="82">
        <v>615</v>
      </c>
      <c r="AL28" s="2" t="str">
        <f t="shared" si="0"/>
        <v>59-C04-R</v>
      </c>
    </row>
    <row r="29" spans="1:38" s="2" customFormat="1" x14ac:dyDescent="0.3">
      <c r="A29" s="53" t="s">
        <v>277</v>
      </c>
      <c r="B29" s="54"/>
      <c r="C29" s="55"/>
      <c r="D29" s="55">
        <v>11</v>
      </c>
      <c r="E29" s="56"/>
      <c r="F29" s="54"/>
      <c r="G29" s="55">
        <v>6</v>
      </c>
      <c r="H29" s="56"/>
      <c r="I29" s="54"/>
      <c r="J29" s="55"/>
      <c r="K29" s="55"/>
      <c r="L29" s="55">
        <v>6</v>
      </c>
      <c r="M29" s="56"/>
      <c r="N29" s="54"/>
      <c r="O29" s="55"/>
      <c r="P29" s="55"/>
      <c r="Q29" s="55">
        <v>4</v>
      </c>
      <c r="R29" s="56"/>
      <c r="S29" s="54"/>
      <c r="T29" s="56">
        <v>1</v>
      </c>
      <c r="U29" s="54"/>
      <c r="V29" s="55"/>
      <c r="W29" s="55"/>
      <c r="X29" s="55">
        <v>6</v>
      </c>
      <c r="Y29" s="56"/>
      <c r="Z29" s="54"/>
      <c r="AA29" s="55"/>
      <c r="AB29" s="55"/>
      <c r="AC29" s="55">
        <v>4</v>
      </c>
      <c r="AD29" s="56"/>
      <c r="AE29" s="54"/>
      <c r="AF29" s="56"/>
      <c r="AG29" s="54"/>
      <c r="AH29" s="56"/>
      <c r="AI29" s="82">
        <v>38</v>
      </c>
      <c r="AL29" s="2" t="str">
        <f t="shared" si="0"/>
        <v>22-C05-R</v>
      </c>
    </row>
    <row r="30" spans="1:38" s="2" customFormat="1" x14ac:dyDescent="0.3">
      <c r="A30" s="53" t="s">
        <v>285</v>
      </c>
      <c r="B30" s="54"/>
      <c r="C30" s="55"/>
      <c r="D30" s="55">
        <v>168</v>
      </c>
      <c r="E30" s="56"/>
      <c r="F30" s="54"/>
      <c r="G30" s="55">
        <v>84</v>
      </c>
      <c r="H30" s="56"/>
      <c r="I30" s="54"/>
      <c r="J30" s="55"/>
      <c r="K30" s="55"/>
      <c r="L30" s="55">
        <v>84</v>
      </c>
      <c r="M30" s="56"/>
      <c r="N30" s="54"/>
      <c r="O30" s="55"/>
      <c r="P30" s="55"/>
      <c r="Q30" s="55">
        <v>56</v>
      </c>
      <c r="R30" s="56"/>
      <c r="S30" s="54"/>
      <c r="T30" s="56">
        <v>11</v>
      </c>
      <c r="U30" s="54"/>
      <c r="V30" s="55"/>
      <c r="W30" s="55"/>
      <c r="X30" s="55">
        <v>84</v>
      </c>
      <c r="Y30" s="56"/>
      <c r="Z30" s="54"/>
      <c r="AA30" s="55"/>
      <c r="AB30" s="55"/>
      <c r="AC30" s="55">
        <v>56</v>
      </c>
      <c r="AD30" s="56"/>
      <c r="AE30" s="54"/>
      <c r="AF30" s="56"/>
      <c r="AG30" s="54"/>
      <c r="AH30" s="56"/>
      <c r="AI30" s="82">
        <v>543</v>
      </c>
      <c r="AL30" s="2" t="str">
        <f t="shared" si="0"/>
        <v>50-C05-R</v>
      </c>
    </row>
    <row r="31" spans="1:38" s="2" customFormat="1" x14ac:dyDescent="0.3">
      <c r="A31" s="53" t="s">
        <v>293</v>
      </c>
      <c r="B31" s="54"/>
      <c r="C31" s="55"/>
      <c r="D31" s="55"/>
      <c r="E31" s="56">
        <v>58</v>
      </c>
      <c r="F31" s="54"/>
      <c r="G31" s="55"/>
      <c r="H31" s="56">
        <v>29</v>
      </c>
      <c r="I31" s="54"/>
      <c r="J31" s="55"/>
      <c r="K31" s="55"/>
      <c r="L31" s="55"/>
      <c r="M31" s="56">
        <v>25</v>
      </c>
      <c r="N31" s="54"/>
      <c r="O31" s="55"/>
      <c r="P31" s="55"/>
      <c r="Q31" s="55"/>
      <c r="R31" s="56">
        <v>18</v>
      </c>
      <c r="S31" s="54"/>
      <c r="T31" s="56">
        <v>3</v>
      </c>
      <c r="U31" s="54"/>
      <c r="V31" s="55"/>
      <c r="W31" s="55"/>
      <c r="X31" s="55"/>
      <c r="Y31" s="56">
        <v>25</v>
      </c>
      <c r="Z31" s="54"/>
      <c r="AA31" s="55"/>
      <c r="AB31" s="55"/>
      <c r="AC31" s="55"/>
      <c r="AD31" s="56">
        <v>18</v>
      </c>
      <c r="AE31" s="54"/>
      <c r="AF31" s="56"/>
      <c r="AG31" s="54"/>
      <c r="AH31" s="56"/>
      <c r="AI31" s="82">
        <v>176</v>
      </c>
      <c r="AL31" s="2" t="str">
        <f t="shared" si="0"/>
        <v>60-C05-R</v>
      </c>
    </row>
    <row r="32" spans="1:38" s="2" customFormat="1" x14ac:dyDescent="0.3">
      <c r="A32" s="53" t="s">
        <v>301</v>
      </c>
      <c r="B32" s="54"/>
      <c r="C32" s="55"/>
      <c r="D32" s="55"/>
      <c r="E32" s="56">
        <v>24</v>
      </c>
      <c r="F32" s="54"/>
      <c r="G32" s="55"/>
      <c r="H32" s="56">
        <v>12</v>
      </c>
      <c r="I32" s="54"/>
      <c r="J32" s="55"/>
      <c r="K32" s="55"/>
      <c r="L32" s="55"/>
      <c r="M32" s="56">
        <v>11</v>
      </c>
      <c r="N32" s="54"/>
      <c r="O32" s="55"/>
      <c r="P32" s="55"/>
      <c r="Q32" s="55"/>
      <c r="R32" s="56">
        <v>8</v>
      </c>
      <c r="S32" s="54"/>
      <c r="T32" s="56">
        <v>1</v>
      </c>
      <c r="U32" s="54"/>
      <c r="V32" s="55"/>
      <c r="W32" s="55"/>
      <c r="X32" s="55"/>
      <c r="Y32" s="56">
        <v>11</v>
      </c>
      <c r="Z32" s="54"/>
      <c r="AA32" s="55"/>
      <c r="AB32" s="55"/>
      <c r="AC32" s="55"/>
      <c r="AD32" s="56">
        <v>8</v>
      </c>
      <c r="AE32" s="54"/>
      <c r="AF32" s="56"/>
      <c r="AG32" s="54"/>
      <c r="AH32" s="56"/>
      <c r="AI32" s="82">
        <v>75</v>
      </c>
      <c r="AL32" s="2" t="str">
        <f t="shared" si="0"/>
        <v>57-C06</v>
      </c>
    </row>
    <row r="33" spans="1:38" s="2" customFormat="1" x14ac:dyDescent="0.3">
      <c r="A33" s="53" t="s">
        <v>309</v>
      </c>
      <c r="B33" s="54"/>
      <c r="C33" s="55"/>
      <c r="D33" s="55"/>
      <c r="E33" s="56">
        <v>200</v>
      </c>
      <c r="F33" s="54"/>
      <c r="G33" s="55"/>
      <c r="H33" s="56">
        <v>100</v>
      </c>
      <c r="I33" s="54"/>
      <c r="J33" s="55"/>
      <c r="K33" s="55"/>
      <c r="L33" s="55"/>
      <c r="M33" s="56">
        <v>87</v>
      </c>
      <c r="N33" s="54"/>
      <c r="O33" s="55"/>
      <c r="P33" s="55"/>
      <c r="Q33" s="55"/>
      <c r="R33" s="56">
        <v>62</v>
      </c>
      <c r="S33" s="54"/>
      <c r="T33" s="56">
        <v>10</v>
      </c>
      <c r="U33" s="54"/>
      <c r="V33" s="55"/>
      <c r="W33" s="55"/>
      <c r="X33" s="55"/>
      <c r="Y33" s="56">
        <v>87</v>
      </c>
      <c r="Z33" s="54"/>
      <c r="AA33" s="55"/>
      <c r="AB33" s="55"/>
      <c r="AC33" s="55"/>
      <c r="AD33" s="56">
        <v>62</v>
      </c>
      <c r="AE33" s="54"/>
      <c r="AF33" s="56"/>
      <c r="AG33" s="54"/>
      <c r="AH33" s="56"/>
      <c r="AI33" s="82">
        <v>608</v>
      </c>
      <c r="AL33" s="2" t="str">
        <f t="shared" si="0"/>
        <v>57-C06-R</v>
      </c>
    </row>
    <row r="34" spans="1:38" s="2" customFormat="1" x14ac:dyDescent="0.3">
      <c r="A34" s="53" t="s">
        <v>317</v>
      </c>
      <c r="B34" s="54"/>
      <c r="C34" s="55"/>
      <c r="D34" s="55">
        <v>252</v>
      </c>
      <c r="E34" s="56"/>
      <c r="F34" s="54"/>
      <c r="G34" s="55">
        <v>126</v>
      </c>
      <c r="H34" s="56"/>
      <c r="I34" s="54"/>
      <c r="J34" s="55"/>
      <c r="K34" s="55"/>
      <c r="L34" s="55">
        <v>126</v>
      </c>
      <c r="M34" s="56"/>
      <c r="N34" s="54"/>
      <c r="O34" s="55"/>
      <c r="P34" s="55"/>
      <c r="Q34" s="55">
        <v>84</v>
      </c>
      <c r="R34" s="56"/>
      <c r="S34" s="54"/>
      <c r="T34" s="56">
        <v>17</v>
      </c>
      <c r="U34" s="54"/>
      <c r="V34" s="55"/>
      <c r="W34" s="55"/>
      <c r="X34" s="55">
        <v>126</v>
      </c>
      <c r="Y34" s="56"/>
      <c r="Z34" s="54"/>
      <c r="AA34" s="55"/>
      <c r="AB34" s="55"/>
      <c r="AC34" s="55">
        <v>84</v>
      </c>
      <c r="AD34" s="56"/>
      <c r="AE34" s="54"/>
      <c r="AF34" s="56"/>
      <c r="AG34" s="54"/>
      <c r="AH34" s="56"/>
      <c r="AI34" s="82">
        <v>815</v>
      </c>
      <c r="AL34" s="2" t="str">
        <f t="shared" si="0"/>
        <v>50-C07-R</v>
      </c>
    </row>
    <row r="35" spans="1:38" s="2" customFormat="1" x14ac:dyDescent="0.3">
      <c r="A35" s="53" t="s">
        <v>325</v>
      </c>
      <c r="B35" s="54"/>
      <c r="C35" s="55"/>
      <c r="D35" s="55"/>
      <c r="E35" s="56">
        <v>231</v>
      </c>
      <c r="F35" s="54"/>
      <c r="G35" s="55"/>
      <c r="H35" s="56">
        <v>116</v>
      </c>
      <c r="I35" s="54"/>
      <c r="J35" s="55"/>
      <c r="K35" s="55"/>
      <c r="L35" s="55"/>
      <c r="M35" s="56">
        <v>101</v>
      </c>
      <c r="N35" s="54"/>
      <c r="O35" s="55"/>
      <c r="P35" s="55"/>
      <c r="Q35" s="55"/>
      <c r="R35" s="56">
        <v>72</v>
      </c>
      <c r="S35" s="54"/>
      <c r="T35" s="56">
        <v>12</v>
      </c>
      <c r="U35" s="54"/>
      <c r="V35" s="55"/>
      <c r="W35" s="55"/>
      <c r="X35" s="55"/>
      <c r="Y35" s="56">
        <v>101</v>
      </c>
      <c r="Z35" s="54"/>
      <c r="AA35" s="55"/>
      <c r="AB35" s="55"/>
      <c r="AC35" s="55"/>
      <c r="AD35" s="56">
        <v>72</v>
      </c>
      <c r="AE35" s="54"/>
      <c r="AF35" s="56"/>
      <c r="AG35" s="54"/>
      <c r="AH35" s="56"/>
      <c r="AI35" s="82">
        <v>705</v>
      </c>
      <c r="AL35" s="2" t="str">
        <f t="shared" si="0"/>
        <v>59-C08-R</v>
      </c>
    </row>
    <row r="36" spans="1:38" s="2" customFormat="1" x14ac:dyDescent="0.3">
      <c r="A36" s="53" t="s">
        <v>333</v>
      </c>
      <c r="B36" s="54"/>
      <c r="C36" s="55"/>
      <c r="D36" s="55"/>
      <c r="E36" s="56">
        <v>152</v>
      </c>
      <c r="F36" s="54"/>
      <c r="G36" s="55"/>
      <c r="H36" s="56">
        <v>76</v>
      </c>
      <c r="I36" s="54"/>
      <c r="J36" s="55"/>
      <c r="K36" s="55"/>
      <c r="L36" s="55"/>
      <c r="M36" s="56">
        <v>67</v>
      </c>
      <c r="N36" s="54"/>
      <c r="O36" s="55"/>
      <c r="P36" s="55"/>
      <c r="Q36" s="55"/>
      <c r="R36" s="56">
        <v>48</v>
      </c>
      <c r="S36" s="54"/>
      <c r="T36" s="56">
        <v>8</v>
      </c>
      <c r="U36" s="54"/>
      <c r="V36" s="55"/>
      <c r="W36" s="55"/>
      <c r="X36" s="55"/>
      <c r="Y36" s="56">
        <v>67</v>
      </c>
      <c r="Z36" s="54"/>
      <c r="AA36" s="55"/>
      <c r="AB36" s="55"/>
      <c r="AC36" s="55"/>
      <c r="AD36" s="56">
        <v>48</v>
      </c>
      <c r="AE36" s="54"/>
      <c r="AF36" s="56"/>
      <c r="AG36" s="54"/>
      <c r="AH36" s="56"/>
      <c r="AI36" s="82">
        <v>466</v>
      </c>
      <c r="AL36" s="2" t="str">
        <f t="shared" si="0"/>
        <v>59-C09-R</v>
      </c>
    </row>
    <row r="37" spans="1:38" s="2" customFormat="1" x14ac:dyDescent="0.3">
      <c r="A37" s="53" t="s">
        <v>341</v>
      </c>
      <c r="B37" s="54"/>
      <c r="C37" s="55"/>
      <c r="D37" s="55"/>
      <c r="E37" s="56">
        <v>248</v>
      </c>
      <c r="F37" s="54"/>
      <c r="G37" s="55"/>
      <c r="H37" s="56">
        <v>124</v>
      </c>
      <c r="I37" s="54"/>
      <c r="J37" s="55"/>
      <c r="K37" s="55"/>
      <c r="L37" s="55"/>
      <c r="M37" s="56">
        <v>109</v>
      </c>
      <c r="N37" s="54"/>
      <c r="O37" s="55"/>
      <c r="P37" s="55"/>
      <c r="Q37" s="55"/>
      <c r="R37" s="56">
        <v>78</v>
      </c>
      <c r="S37" s="54"/>
      <c r="T37" s="56">
        <v>12</v>
      </c>
      <c r="U37" s="54"/>
      <c r="V37" s="55"/>
      <c r="W37" s="55"/>
      <c r="X37" s="55"/>
      <c r="Y37" s="56">
        <v>109</v>
      </c>
      <c r="Z37" s="54"/>
      <c r="AA37" s="55"/>
      <c r="AB37" s="55"/>
      <c r="AC37" s="55"/>
      <c r="AD37" s="56">
        <v>78</v>
      </c>
      <c r="AE37" s="54"/>
      <c r="AF37" s="56"/>
      <c r="AG37" s="54"/>
      <c r="AH37" s="56"/>
      <c r="AI37" s="82">
        <v>758</v>
      </c>
      <c r="AL37" s="2" t="str">
        <f t="shared" si="0"/>
        <v>56-C10-R</v>
      </c>
    </row>
    <row r="38" spans="1:38" s="2" customFormat="1" x14ac:dyDescent="0.3">
      <c r="A38" s="53" t="s">
        <v>349</v>
      </c>
      <c r="B38" s="54"/>
      <c r="C38" s="55"/>
      <c r="D38" s="55"/>
      <c r="E38" s="56">
        <v>183</v>
      </c>
      <c r="F38" s="54"/>
      <c r="G38" s="55"/>
      <c r="H38" s="56">
        <v>92</v>
      </c>
      <c r="I38" s="54"/>
      <c r="J38" s="55"/>
      <c r="K38" s="55"/>
      <c r="L38" s="55"/>
      <c r="M38" s="56">
        <v>80</v>
      </c>
      <c r="N38" s="54"/>
      <c r="O38" s="55"/>
      <c r="P38" s="55"/>
      <c r="Q38" s="55"/>
      <c r="R38" s="56">
        <v>57</v>
      </c>
      <c r="S38" s="54"/>
      <c r="T38" s="56">
        <v>9</v>
      </c>
      <c r="U38" s="54"/>
      <c r="V38" s="55"/>
      <c r="W38" s="55"/>
      <c r="X38" s="55"/>
      <c r="Y38" s="56">
        <v>80</v>
      </c>
      <c r="Z38" s="54"/>
      <c r="AA38" s="55"/>
      <c r="AB38" s="55"/>
      <c r="AC38" s="55"/>
      <c r="AD38" s="56">
        <v>57</v>
      </c>
      <c r="AE38" s="54"/>
      <c r="AF38" s="56"/>
      <c r="AG38" s="54"/>
      <c r="AH38" s="56"/>
      <c r="AI38" s="82">
        <v>558</v>
      </c>
      <c r="AL38" s="2" t="str">
        <f>IF(RIGHT(A38,2)="-R",MID(A38,FIND("-",A38)+1,LEN(A38)-FIND("-",A38)-2)&amp;"-"&amp;LEFT(A38,FIND("-",A38)-1)&amp;"-R",MID(A38,FIND("-",A38)+1,99)&amp;"-"&amp;LEFT(A38,FIND("-",A38)-1))</f>
        <v>59-C11-R</v>
      </c>
    </row>
    <row r="39" spans="1:38" s="2" customFormat="1" x14ac:dyDescent="0.3">
      <c r="A39" s="53" t="s">
        <v>357</v>
      </c>
      <c r="B39" s="54"/>
      <c r="C39" s="55"/>
      <c r="D39" s="55"/>
      <c r="E39" s="56">
        <v>202</v>
      </c>
      <c r="F39" s="54"/>
      <c r="G39" s="55"/>
      <c r="H39" s="56">
        <v>101</v>
      </c>
      <c r="I39" s="54"/>
      <c r="J39" s="55"/>
      <c r="K39" s="55"/>
      <c r="L39" s="55"/>
      <c r="M39" s="56">
        <v>89</v>
      </c>
      <c r="N39" s="54"/>
      <c r="O39" s="55"/>
      <c r="P39" s="55"/>
      <c r="Q39" s="55"/>
      <c r="R39" s="56">
        <v>63</v>
      </c>
      <c r="S39" s="54"/>
      <c r="T39" s="56">
        <v>10</v>
      </c>
      <c r="U39" s="54"/>
      <c r="V39" s="55"/>
      <c r="W39" s="55"/>
      <c r="X39" s="55"/>
      <c r="Y39" s="56">
        <v>89</v>
      </c>
      <c r="Z39" s="54"/>
      <c r="AA39" s="55"/>
      <c r="AB39" s="55"/>
      <c r="AC39" s="55"/>
      <c r="AD39" s="56">
        <v>63</v>
      </c>
      <c r="AE39" s="54"/>
      <c r="AF39" s="56"/>
      <c r="AG39" s="54"/>
      <c r="AH39" s="56"/>
      <c r="AI39" s="82">
        <v>617</v>
      </c>
      <c r="AL39" s="2" t="str">
        <f t="shared" si="0"/>
        <v>65-D01-R</v>
      </c>
    </row>
    <row r="40" spans="1:38" s="2" customFormat="1" x14ac:dyDescent="0.3">
      <c r="A40" s="53" t="s">
        <v>365</v>
      </c>
      <c r="B40" s="54"/>
      <c r="C40" s="55"/>
      <c r="D40" s="55"/>
      <c r="E40" s="56">
        <v>228</v>
      </c>
      <c r="F40" s="54"/>
      <c r="G40" s="55"/>
      <c r="H40" s="56">
        <v>114</v>
      </c>
      <c r="I40" s="54"/>
      <c r="J40" s="55"/>
      <c r="K40" s="55"/>
      <c r="L40" s="55"/>
      <c r="M40" s="56">
        <v>100</v>
      </c>
      <c r="N40" s="54"/>
      <c r="O40" s="55"/>
      <c r="P40" s="55"/>
      <c r="Q40" s="55"/>
      <c r="R40" s="56">
        <v>71</v>
      </c>
      <c r="S40" s="54"/>
      <c r="T40" s="56">
        <v>11</v>
      </c>
      <c r="U40" s="54"/>
      <c r="V40" s="55"/>
      <c r="W40" s="55"/>
      <c r="X40" s="55"/>
      <c r="Y40" s="56">
        <v>100</v>
      </c>
      <c r="Z40" s="54"/>
      <c r="AA40" s="55"/>
      <c r="AB40" s="55"/>
      <c r="AC40" s="55"/>
      <c r="AD40" s="56">
        <v>71</v>
      </c>
      <c r="AE40" s="54"/>
      <c r="AF40" s="56"/>
      <c r="AG40" s="54"/>
      <c r="AH40" s="56"/>
      <c r="AI40" s="82">
        <v>695</v>
      </c>
      <c r="AL40" s="2" t="str">
        <f t="shared" si="0"/>
        <v>64-D02-R</v>
      </c>
    </row>
    <row r="41" spans="1:38" s="2" customFormat="1" x14ac:dyDescent="0.3">
      <c r="A41" s="53" t="s">
        <v>373</v>
      </c>
      <c r="B41" s="54"/>
      <c r="C41" s="55"/>
      <c r="D41" s="55"/>
      <c r="E41" s="56">
        <v>224</v>
      </c>
      <c r="F41" s="54"/>
      <c r="G41" s="55"/>
      <c r="H41" s="56">
        <v>112</v>
      </c>
      <c r="I41" s="54"/>
      <c r="J41" s="55"/>
      <c r="K41" s="55"/>
      <c r="L41" s="55"/>
      <c r="M41" s="56">
        <v>98</v>
      </c>
      <c r="N41" s="54"/>
      <c r="O41" s="55"/>
      <c r="P41" s="55"/>
      <c r="Q41" s="55"/>
      <c r="R41" s="56">
        <v>70</v>
      </c>
      <c r="S41" s="54"/>
      <c r="T41" s="56">
        <v>11</v>
      </c>
      <c r="U41" s="54"/>
      <c r="V41" s="55"/>
      <c r="W41" s="55"/>
      <c r="X41" s="55"/>
      <c r="Y41" s="56">
        <v>98</v>
      </c>
      <c r="Z41" s="54"/>
      <c r="AA41" s="55"/>
      <c r="AB41" s="55"/>
      <c r="AC41" s="55"/>
      <c r="AD41" s="56">
        <v>70</v>
      </c>
      <c r="AE41" s="54"/>
      <c r="AF41" s="56"/>
      <c r="AG41" s="54"/>
      <c r="AH41" s="56"/>
      <c r="AI41" s="82">
        <v>683</v>
      </c>
      <c r="AL41" s="2" t="str">
        <f t="shared" si="0"/>
        <v>65-D03-R</v>
      </c>
    </row>
    <row r="42" spans="1:38" s="2" customFormat="1" x14ac:dyDescent="0.3">
      <c r="A42" s="53" t="s">
        <v>381</v>
      </c>
      <c r="B42" s="54"/>
      <c r="C42" s="55"/>
      <c r="D42" s="55"/>
      <c r="E42" s="56">
        <v>226</v>
      </c>
      <c r="F42" s="54"/>
      <c r="G42" s="55"/>
      <c r="H42" s="56">
        <v>113</v>
      </c>
      <c r="I42" s="54"/>
      <c r="J42" s="55"/>
      <c r="K42" s="55"/>
      <c r="L42" s="55"/>
      <c r="M42" s="56">
        <v>99</v>
      </c>
      <c r="N42" s="54"/>
      <c r="O42" s="55"/>
      <c r="P42" s="55"/>
      <c r="Q42" s="55"/>
      <c r="R42" s="56">
        <v>70</v>
      </c>
      <c r="S42" s="54"/>
      <c r="T42" s="56">
        <v>11</v>
      </c>
      <c r="U42" s="54"/>
      <c r="V42" s="55"/>
      <c r="W42" s="55"/>
      <c r="X42" s="55"/>
      <c r="Y42" s="56">
        <v>99</v>
      </c>
      <c r="Z42" s="54"/>
      <c r="AA42" s="55"/>
      <c r="AB42" s="55"/>
      <c r="AC42" s="55"/>
      <c r="AD42" s="56">
        <v>70</v>
      </c>
      <c r="AE42" s="54"/>
      <c r="AF42" s="56"/>
      <c r="AG42" s="54"/>
      <c r="AH42" s="56"/>
      <c r="AI42" s="82">
        <v>688</v>
      </c>
      <c r="AL42" s="2" t="str">
        <f t="shared" si="0"/>
        <v>65-D04-R</v>
      </c>
    </row>
    <row r="43" spans="1:38" s="2" customFormat="1" x14ac:dyDescent="0.3">
      <c r="A43" s="53" t="s">
        <v>389</v>
      </c>
      <c r="B43" s="54"/>
      <c r="C43" s="55"/>
      <c r="D43" s="55"/>
      <c r="E43" s="56">
        <v>215</v>
      </c>
      <c r="F43" s="54"/>
      <c r="G43" s="55"/>
      <c r="H43" s="56">
        <v>107</v>
      </c>
      <c r="I43" s="54"/>
      <c r="J43" s="55"/>
      <c r="K43" s="55"/>
      <c r="L43" s="55"/>
      <c r="M43" s="56">
        <v>94</v>
      </c>
      <c r="N43" s="54"/>
      <c r="O43" s="55"/>
      <c r="P43" s="55"/>
      <c r="Q43" s="55"/>
      <c r="R43" s="56">
        <v>67</v>
      </c>
      <c r="S43" s="54"/>
      <c r="T43" s="56">
        <v>11</v>
      </c>
      <c r="U43" s="54"/>
      <c r="V43" s="55"/>
      <c r="W43" s="55"/>
      <c r="X43" s="55"/>
      <c r="Y43" s="56">
        <v>94</v>
      </c>
      <c r="Z43" s="54"/>
      <c r="AA43" s="55"/>
      <c r="AB43" s="55"/>
      <c r="AC43" s="55"/>
      <c r="AD43" s="56">
        <v>67</v>
      </c>
      <c r="AE43" s="54"/>
      <c r="AF43" s="56"/>
      <c r="AG43" s="54"/>
      <c r="AH43" s="56"/>
      <c r="AI43" s="82">
        <v>655</v>
      </c>
      <c r="AL43" s="2" t="str">
        <f t="shared" si="0"/>
        <v>65-D05-R</v>
      </c>
    </row>
    <row r="44" spans="1:38" s="2" customFormat="1" x14ac:dyDescent="0.3">
      <c r="A44" s="53" t="s">
        <v>397</v>
      </c>
      <c r="B44" s="54"/>
      <c r="C44" s="55">
        <v>115</v>
      </c>
      <c r="D44" s="55"/>
      <c r="E44" s="56"/>
      <c r="F44" s="54"/>
      <c r="G44" s="55"/>
      <c r="H44" s="56"/>
      <c r="I44" s="54"/>
      <c r="J44" s="55">
        <v>43</v>
      </c>
      <c r="K44" s="55"/>
      <c r="L44" s="55"/>
      <c r="M44" s="56"/>
      <c r="N44" s="54"/>
      <c r="O44" s="55">
        <v>29</v>
      </c>
      <c r="P44" s="55"/>
      <c r="Q44" s="55"/>
      <c r="R44" s="56"/>
      <c r="S44" s="54"/>
      <c r="T44" s="56">
        <v>11</v>
      </c>
      <c r="U44" s="54"/>
      <c r="V44" s="55">
        <v>57</v>
      </c>
      <c r="W44" s="55"/>
      <c r="X44" s="55"/>
      <c r="Y44" s="56"/>
      <c r="Z44" s="54"/>
      <c r="AA44" s="55">
        <v>29</v>
      </c>
      <c r="AB44" s="55"/>
      <c r="AC44" s="55"/>
      <c r="AD44" s="56"/>
      <c r="AE44" s="54"/>
      <c r="AF44" s="56">
        <v>72</v>
      </c>
      <c r="AG44" s="54"/>
      <c r="AH44" s="56">
        <v>43</v>
      </c>
      <c r="AI44" s="82">
        <v>399</v>
      </c>
      <c r="AL44" s="2" t="str">
        <f t="shared" si="0"/>
        <v>67-D06-R</v>
      </c>
    </row>
    <row r="45" spans="1:38" s="2" customFormat="1" x14ac:dyDescent="0.3">
      <c r="A45" s="53" t="s">
        <v>406</v>
      </c>
      <c r="B45" s="54"/>
      <c r="C45" s="55"/>
      <c r="D45" s="55"/>
      <c r="E45" s="56">
        <v>314</v>
      </c>
      <c r="F45" s="54"/>
      <c r="G45" s="55"/>
      <c r="H45" s="56">
        <v>157</v>
      </c>
      <c r="I45" s="54"/>
      <c r="J45" s="55"/>
      <c r="K45" s="55"/>
      <c r="L45" s="55"/>
      <c r="M45" s="56">
        <v>138</v>
      </c>
      <c r="N45" s="54"/>
      <c r="O45" s="55"/>
      <c r="P45" s="55"/>
      <c r="Q45" s="55"/>
      <c r="R45" s="56">
        <v>98</v>
      </c>
      <c r="S45" s="54"/>
      <c r="T45" s="56">
        <v>16</v>
      </c>
      <c r="U45" s="54"/>
      <c r="V45" s="55"/>
      <c r="W45" s="55"/>
      <c r="X45" s="55"/>
      <c r="Y45" s="56">
        <v>138</v>
      </c>
      <c r="Z45" s="54"/>
      <c r="AA45" s="55"/>
      <c r="AB45" s="55"/>
      <c r="AC45" s="55"/>
      <c r="AD45" s="56">
        <v>98</v>
      </c>
      <c r="AE45" s="54"/>
      <c r="AF45" s="56"/>
      <c r="AG45" s="54"/>
      <c r="AH45" s="56"/>
      <c r="AI45" s="82">
        <v>959</v>
      </c>
      <c r="AL45" s="2" t="str">
        <f t="shared" si="0"/>
        <v>56-D07-R</v>
      </c>
    </row>
    <row r="46" spans="1:38" s="2" customFormat="1" x14ac:dyDescent="0.3">
      <c r="A46" s="53" t="s">
        <v>414</v>
      </c>
      <c r="B46" s="54"/>
      <c r="C46" s="55"/>
      <c r="D46" s="55"/>
      <c r="E46" s="56">
        <v>189</v>
      </c>
      <c r="F46" s="54"/>
      <c r="G46" s="55"/>
      <c r="H46" s="56">
        <v>95</v>
      </c>
      <c r="I46" s="54"/>
      <c r="J46" s="55"/>
      <c r="K46" s="55"/>
      <c r="L46" s="55"/>
      <c r="M46" s="56">
        <v>83</v>
      </c>
      <c r="N46" s="54"/>
      <c r="O46" s="55"/>
      <c r="P46" s="55"/>
      <c r="Q46" s="55"/>
      <c r="R46" s="56">
        <v>59</v>
      </c>
      <c r="S46" s="54"/>
      <c r="T46" s="56">
        <v>9</v>
      </c>
      <c r="U46" s="54"/>
      <c r="V46" s="55"/>
      <c r="W46" s="55"/>
      <c r="X46" s="55"/>
      <c r="Y46" s="56">
        <v>83</v>
      </c>
      <c r="Z46" s="54"/>
      <c r="AA46" s="55"/>
      <c r="AB46" s="55"/>
      <c r="AC46" s="55"/>
      <c r="AD46" s="56">
        <v>59</v>
      </c>
      <c r="AE46" s="54"/>
      <c r="AF46" s="56"/>
      <c r="AG46" s="54"/>
      <c r="AH46" s="56"/>
      <c r="AI46" s="82">
        <v>577</v>
      </c>
      <c r="AL46" s="2" t="str">
        <f t="shared" si="0"/>
        <v>63-D08-R</v>
      </c>
    </row>
    <row r="47" spans="1:38" s="2" customFormat="1" x14ac:dyDescent="0.3">
      <c r="A47" s="53" t="s">
        <v>422</v>
      </c>
      <c r="B47" s="54"/>
      <c r="C47" s="55">
        <v>120</v>
      </c>
      <c r="D47" s="55"/>
      <c r="E47" s="56"/>
      <c r="F47" s="54">
        <v>30</v>
      </c>
      <c r="G47" s="55"/>
      <c r="H47" s="56"/>
      <c r="I47" s="54"/>
      <c r="J47" s="55"/>
      <c r="K47" s="55">
        <v>75</v>
      </c>
      <c r="L47" s="55"/>
      <c r="M47" s="56"/>
      <c r="N47" s="54"/>
      <c r="O47" s="55"/>
      <c r="P47" s="55">
        <v>45</v>
      </c>
      <c r="Q47" s="55"/>
      <c r="R47" s="56"/>
      <c r="S47" s="54"/>
      <c r="T47" s="56">
        <v>12</v>
      </c>
      <c r="U47" s="54"/>
      <c r="V47" s="55"/>
      <c r="W47" s="55">
        <v>75</v>
      </c>
      <c r="X47" s="55"/>
      <c r="Y47" s="56"/>
      <c r="Z47" s="54"/>
      <c r="AA47" s="55"/>
      <c r="AB47" s="55">
        <v>45</v>
      </c>
      <c r="AC47" s="55"/>
      <c r="AD47" s="56"/>
      <c r="AE47" s="54"/>
      <c r="AF47" s="56">
        <v>75</v>
      </c>
      <c r="AG47" s="54"/>
      <c r="AH47" s="56">
        <v>45</v>
      </c>
      <c r="AI47" s="82">
        <v>522</v>
      </c>
      <c r="AL47" s="2" t="str">
        <f t="shared" si="0"/>
        <v>66-D09-R</v>
      </c>
    </row>
    <row r="48" spans="1:38" s="2" customFormat="1" x14ac:dyDescent="0.3">
      <c r="A48" s="53" t="s">
        <v>432</v>
      </c>
      <c r="B48" s="54"/>
      <c r="C48" s="55">
        <v>87</v>
      </c>
      <c r="D48" s="55"/>
      <c r="E48" s="56"/>
      <c r="F48" s="54"/>
      <c r="G48" s="55"/>
      <c r="H48" s="56"/>
      <c r="I48" s="54"/>
      <c r="J48" s="55">
        <v>33</v>
      </c>
      <c r="K48" s="55"/>
      <c r="L48" s="55"/>
      <c r="M48" s="56"/>
      <c r="N48" s="54"/>
      <c r="O48" s="55">
        <v>22</v>
      </c>
      <c r="P48" s="55"/>
      <c r="Q48" s="55"/>
      <c r="R48" s="56"/>
      <c r="S48" s="54"/>
      <c r="T48" s="56">
        <v>9</v>
      </c>
      <c r="U48" s="54"/>
      <c r="V48" s="55">
        <v>43</v>
      </c>
      <c r="W48" s="55"/>
      <c r="X48" s="55"/>
      <c r="Y48" s="56"/>
      <c r="Z48" s="54"/>
      <c r="AA48" s="55">
        <v>22</v>
      </c>
      <c r="AB48" s="55"/>
      <c r="AC48" s="55"/>
      <c r="AD48" s="56"/>
      <c r="AE48" s="54"/>
      <c r="AF48" s="56">
        <v>54</v>
      </c>
      <c r="AG48" s="54"/>
      <c r="AH48" s="56">
        <v>33</v>
      </c>
      <c r="AI48" s="82">
        <v>303</v>
      </c>
      <c r="AL48" s="2" t="str">
        <f t="shared" si="0"/>
        <v>67-P01-R</v>
      </c>
    </row>
    <row r="49" spans="1:38" s="2" customFormat="1" x14ac:dyDescent="0.3">
      <c r="A49" s="53" t="s">
        <v>441</v>
      </c>
      <c r="B49" s="54"/>
      <c r="C49" s="55">
        <v>93</v>
      </c>
      <c r="D49" s="55"/>
      <c r="E49" s="56"/>
      <c r="F49" s="54"/>
      <c r="G49" s="55"/>
      <c r="H49" s="56"/>
      <c r="I49" s="54"/>
      <c r="J49" s="55">
        <v>35</v>
      </c>
      <c r="K49" s="55"/>
      <c r="L49" s="55"/>
      <c r="M49" s="56"/>
      <c r="N49" s="54"/>
      <c r="O49" s="55">
        <v>23</v>
      </c>
      <c r="P49" s="55"/>
      <c r="Q49" s="55"/>
      <c r="R49" s="56"/>
      <c r="S49" s="54"/>
      <c r="T49" s="56">
        <v>9</v>
      </c>
      <c r="U49" s="54"/>
      <c r="V49" s="55">
        <v>46</v>
      </c>
      <c r="W49" s="55"/>
      <c r="X49" s="55"/>
      <c r="Y49" s="56"/>
      <c r="Z49" s="54"/>
      <c r="AA49" s="55">
        <v>23</v>
      </c>
      <c r="AB49" s="55"/>
      <c r="AC49" s="55"/>
      <c r="AD49" s="56"/>
      <c r="AE49" s="54"/>
      <c r="AF49" s="56">
        <v>58</v>
      </c>
      <c r="AG49" s="54"/>
      <c r="AH49" s="56">
        <v>35</v>
      </c>
      <c r="AI49" s="82">
        <v>322</v>
      </c>
      <c r="AL49" s="2" t="str">
        <f t="shared" si="0"/>
        <v>67-P02-R</v>
      </c>
    </row>
    <row r="50" spans="1:38" s="2" customFormat="1" x14ac:dyDescent="0.3">
      <c r="A50" s="53" t="s">
        <v>450</v>
      </c>
      <c r="B50" s="54"/>
      <c r="C50" s="55">
        <v>102</v>
      </c>
      <c r="D50" s="55"/>
      <c r="E50" s="56"/>
      <c r="F50" s="54">
        <v>26</v>
      </c>
      <c r="G50" s="55"/>
      <c r="H50" s="56"/>
      <c r="I50" s="54"/>
      <c r="J50" s="55"/>
      <c r="K50" s="55">
        <v>64</v>
      </c>
      <c r="L50" s="55"/>
      <c r="M50" s="56"/>
      <c r="N50" s="54"/>
      <c r="O50" s="55"/>
      <c r="P50" s="55">
        <v>38</v>
      </c>
      <c r="Q50" s="55"/>
      <c r="R50" s="56"/>
      <c r="S50" s="54"/>
      <c r="T50" s="56">
        <v>10</v>
      </c>
      <c r="U50" s="54"/>
      <c r="V50" s="55"/>
      <c r="W50" s="55">
        <v>64</v>
      </c>
      <c r="X50" s="55"/>
      <c r="Y50" s="56"/>
      <c r="Z50" s="54"/>
      <c r="AA50" s="55"/>
      <c r="AB50" s="55">
        <v>38</v>
      </c>
      <c r="AC50" s="55"/>
      <c r="AD50" s="56"/>
      <c r="AE50" s="54"/>
      <c r="AF50" s="56">
        <v>64</v>
      </c>
      <c r="AG50" s="54"/>
      <c r="AH50" s="56">
        <v>38</v>
      </c>
      <c r="AI50" s="82">
        <v>444</v>
      </c>
      <c r="AL50" s="2" t="str">
        <f t="shared" si="0"/>
        <v>66-P03-R</v>
      </c>
    </row>
    <row r="51" spans="1:38" s="2" customFormat="1" x14ac:dyDescent="0.3">
      <c r="A51" s="53" t="s">
        <v>460</v>
      </c>
      <c r="B51" s="54"/>
      <c r="C51" s="55">
        <v>114</v>
      </c>
      <c r="D51" s="55"/>
      <c r="E51" s="56"/>
      <c r="F51" s="54">
        <v>29</v>
      </c>
      <c r="G51" s="55"/>
      <c r="H51" s="56"/>
      <c r="I51" s="54"/>
      <c r="J51" s="55"/>
      <c r="K51" s="55">
        <v>71</v>
      </c>
      <c r="L51" s="55"/>
      <c r="M51" s="56"/>
      <c r="N51" s="54"/>
      <c r="O51" s="55"/>
      <c r="P51" s="55">
        <v>43</v>
      </c>
      <c r="Q51" s="55"/>
      <c r="R51" s="56"/>
      <c r="S51" s="54"/>
      <c r="T51" s="56">
        <v>11</v>
      </c>
      <c r="U51" s="54"/>
      <c r="V51" s="55"/>
      <c r="W51" s="55">
        <v>71</v>
      </c>
      <c r="X51" s="55"/>
      <c r="Y51" s="56"/>
      <c r="Z51" s="54"/>
      <c r="AA51" s="55"/>
      <c r="AB51" s="55">
        <v>43</v>
      </c>
      <c r="AC51" s="55"/>
      <c r="AD51" s="56"/>
      <c r="AE51" s="54"/>
      <c r="AF51" s="56">
        <v>71</v>
      </c>
      <c r="AG51" s="54"/>
      <c r="AH51" s="56">
        <v>43</v>
      </c>
      <c r="AI51" s="82">
        <v>496</v>
      </c>
      <c r="AL51" s="2" t="str">
        <f t="shared" si="0"/>
        <v>66-P04-R</v>
      </c>
    </row>
    <row r="52" spans="1:38" s="2" customFormat="1" x14ac:dyDescent="0.3">
      <c r="A52" s="53" t="s">
        <v>470</v>
      </c>
      <c r="B52" s="54"/>
      <c r="C52" s="55">
        <v>124</v>
      </c>
      <c r="D52" s="55"/>
      <c r="E52" s="56"/>
      <c r="F52" s="54">
        <v>31</v>
      </c>
      <c r="G52" s="55"/>
      <c r="H52" s="56"/>
      <c r="I52" s="54"/>
      <c r="J52" s="55"/>
      <c r="K52" s="55">
        <v>78</v>
      </c>
      <c r="L52" s="55"/>
      <c r="M52" s="56"/>
      <c r="N52" s="54"/>
      <c r="O52" s="55"/>
      <c r="P52" s="55">
        <v>47</v>
      </c>
      <c r="Q52" s="55"/>
      <c r="R52" s="56"/>
      <c r="S52" s="54"/>
      <c r="T52" s="56">
        <v>12</v>
      </c>
      <c r="U52" s="54"/>
      <c r="V52" s="55"/>
      <c r="W52" s="55">
        <v>78</v>
      </c>
      <c r="X52" s="55"/>
      <c r="Y52" s="56"/>
      <c r="Z52" s="54"/>
      <c r="AA52" s="55"/>
      <c r="AB52" s="55">
        <v>47</v>
      </c>
      <c r="AC52" s="55"/>
      <c r="AD52" s="56"/>
      <c r="AE52" s="54"/>
      <c r="AF52" s="56">
        <v>78</v>
      </c>
      <c r="AG52" s="54"/>
      <c r="AH52" s="56">
        <v>47</v>
      </c>
      <c r="AI52" s="82">
        <v>542</v>
      </c>
      <c r="AL52" s="2" t="str">
        <f t="shared" si="0"/>
        <v>66-P05-R</v>
      </c>
    </row>
    <row r="53" spans="1:38" s="2" customFormat="1" x14ac:dyDescent="0.3">
      <c r="A53" s="53" t="s">
        <v>480</v>
      </c>
      <c r="B53" s="54"/>
      <c r="C53" s="55"/>
      <c r="D53" s="55"/>
      <c r="E53" s="56">
        <v>231</v>
      </c>
      <c r="F53" s="54"/>
      <c r="G53" s="55"/>
      <c r="H53" s="56">
        <v>115</v>
      </c>
      <c r="I53" s="54"/>
      <c r="J53" s="55"/>
      <c r="K53" s="55"/>
      <c r="L53" s="55"/>
      <c r="M53" s="56">
        <v>101</v>
      </c>
      <c r="N53" s="54"/>
      <c r="O53" s="55"/>
      <c r="P53" s="55"/>
      <c r="Q53" s="55"/>
      <c r="R53" s="56">
        <v>72</v>
      </c>
      <c r="S53" s="54"/>
      <c r="T53" s="56">
        <v>12</v>
      </c>
      <c r="U53" s="54"/>
      <c r="V53" s="55"/>
      <c r="W53" s="55"/>
      <c r="X53" s="55"/>
      <c r="Y53" s="56">
        <v>101</v>
      </c>
      <c r="Z53" s="54"/>
      <c r="AA53" s="55"/>
      <c r="AB53" s="55"/>
      <c r="AC53" s="55"/>
      <c r="AD53" s="56">
        <v>72</v>
      </c>
      <c r="AE53" s="54"/>
      <c r="AF53" s="56"/>
      <c r="AG53" s="54"/>
      <c r="AH53" s="56"/>
      <c r="AI53" s="82">
        <v>704</v>
      </c>
      <c r="AL53" s="2" t="str">
        <f t="shared" si="0"/>
        <v>64-P06-R</v>
      </c>
    </row>
    <row r="54" spans="1:38" s="2" customFormat="1" x14ac:dyDescent="0.3">
      <c r="A54" s="53" t="s">
        <v>488</v>
      </c>
      <c r="B54" s="54"/>
      <c r="C54" s="55"/>
      <c r="D54" s="55">
        <v>9</v>
      </c>
      <c r="E54" s="56"/>
      <c r="F54" s="54"/>
      <c r="G54" s="55">
        <v>5</v>
      </c>
      <c r="H54" s="56"/>
      <c r="I54" s="54"/>
      <c r="J54" s="55"/>
      <c r="K54" s="55"/>
      <c r="L54" s="55">
        <v>5</v>
      </c>
      <c r="M54" s="56"/>
      <c r="N54" s="54"/>
      <c r="O54" s="55"/>
      <c r="P54" s="55"/>
      <c r="Q54" s="55">
        <v>3</v>
      </c>
      <c r="R54" s="56"/>
      <c r="S54" s="54"/>
      <c r="T54" s="56">
        <v>1</v>
      </c>
      <c r="U54" s="54"/>
      <c r="V54" s="55"/>
      <c r="W54" s="55"/>
      <c r="X54" s="55">
        <v>5</v>
      </c>
      <c r="Y54" s="56"/>
      <c r="Z54" s="54"/>
      <c r="AA54" s="55"/>
      <c r="AB54" s="55"/>
      <c r="AC54" s="55">
        <v>3</v>
      </c>
      <c r="AD54" s="56"/>
      <c r="AE54" s="54"/>
      <c r="AF54" s="56"/>
      <c r="AG54" s="54"/>
      <c r="AH54" s="56"/>
      <c r="AI54" s="82">
        <v>31</v>
      </c>
      <c r="AL54" s="2" t="str">
        <f t="shared" si="0"/>
        <v>51-P07</v>
      </c>
    </row>
    <row r="55" spans="1:38" s="2" customFormat="1" x14ac:dyDescent="0.3">
      <c r="A55" s="53" t="s">
        <v>496</v>
      </c>
      <c r="B55" s="54"/>
      <c r="C55" s="55"/>
      <c r="D55" s="55">
        <v>24</v>
      </c>
      <c r="E55" s="56"/>
      <c r="F55" s="54"/>
      <c r="G55" s="55">
        <v>12</v>
      </c>
      <c r="H55" s="56"/>
      <c r="I55" s="54"/>
      <c r="J55" s="55"/>
      <c r="K55" s="55"/>
      <c r="L55" s="55">
        <v>12</v>
      </c>
      <c r="M55" s="56"/>
      <c r="N55" s="54"/>
      <c r="O55" s="55"/>
      <c r="P55" s="55"/>
      <c r="Q55" s="55">
        <v>8</v>
      </c>
      <c r="R55" s="56"/>
      <c r="S55" s="54"/>
      <c r="T55" s="56">
        <v>2</v>
      </c>
      <c r="U55" s="54"/>
      <c r="V55" s="55"/>
      <c r="W55" s="55"/>
      <c r="X55" s="55">
        <v>12</v>
      </c>
      <c r="Y55" s="56"/>
      <c r="Z55" s="54"/>
      <c r="AA55" s="55"/>
      <c r="AB55" s="55"/>
      <c r="AC55" s="55">
        <v>8</v>
      </c>
      <c r="AD55" s="56"/>
      <c r="AE55" s="54"/>
      <c r="AF55" s="56"/>
      <c r="AG55" s="54"/>
      <c r="AH55" s="56"/>
      <c r="AI55" s="82">
        <v>78</v>
      </c>
      <c r="AL55" s="2" t="str">
        <f t="shared" si="0"/>
        <v>51-P07-R</v>
      </c>
    </row>
    <row r="56" spans="1:38" s="2" customFormat="1" x14ac:dyDescent="0.3">
      <c r="A56" s="53" t="s">
        <v>504</v>
      </c>
      <c r="B56" s="54"/>
      <c r="C56" s="55"/>
      <c r="D56" s="55"/>
      <c r="E56" s="56">
        <v>206</v>
      </c>
      <c r="F56" s="54"/>
      <c r="G56" s="55"/>
      <c r="H56" s="56">
        <v>103</v>
      </c>
      <c r="I56" s="54"/>
      <c r="J56" s="55"/>
      <c r="K56" s="55"/>
      <c r="L56" s="55"/>
      <c r="M56" s="56">
        <v>90</v>
      </c>
      <c r="N56" s="54"/>
      <c r="O56" s="55"/>
      <c r="P56" s="55"/>
      <c r="Q56" s="55"/>
      <c r="R56" s="56">
        <v>64</v>
      </c>
      <c r="S56" s="54"/>
      <c r="T56" s="56">
        <v>10</v>
      </c>
      <c r="U56" s="54"/>
      <c r="V56" s="55"/>
      <c r="W56" s="55"/>
      <c r="X56" s="55"/>
      <c r="Y56" s="56">
        <v>90</v>
      </c>
      <c r="Z56" s="54"/>
      <c r="AA56" s="55"/>
      <c r="AB56" s="55"/>
      <c r="AC56" s="55"/>
      <c r="AD56" s="56">
        <v>64</v>
      </c>
      <c r="AE56" s="54"/>
      <c r="AF56" s="56"/>
      <c r="AG56" s="54"/>
      <c r="AH56" s="56"/>
      <c r="AI56" s="82">
        <v>627</v>
      </c>
      <c r="AL56" s="2" t="str">
        <f t="shared" si="0"/>
        <v>64-P07-R</v>
      </c>
    </row>
    <row r="57" spans="1:38" s="2" customFormat="1" x14ac:dyDescent="0.3">
      <c r="A57" s="53" t="s">
        <v>512</v>
      </c>
      <c r="B57" s="54"/>
      <c r="C57" s="55"/>
      <c r="D57" s="55"/>
      <c r="E57" s="56">
        <v>272</v>
      </c>
      <c r="F57" s="54"/>
      <c r="G57" s="55"/>
      <c r="H57" s="56">
        <v>136</v>
      </c>
      <c r="I57" s="54"/>
      <c r="J57" s="55"/>
      <c r="K57" s="55"/>
      <c r="L57" s="55"/>
      <c r="M57" s="56">
        <v>119</v>
      </c>
      <c r="N57" s="54"/>
      <c r="O57" s="55"/>
      <c r="P57" s="55"/>
      <c r="Q57" s="55"/>
      <c r="R57" s="56">
        <v>85</v>
      </c>
      <c r="S57" s="54"/>
      <c r="T57" s="56">
        <v>14</v>
      </c>
      <c r="U57" s="54"/>
      <c r="V57" s="55"/>
      <c r="W57" s="55"/>
      <c r="X57" s="55"/>
      <c r="Y57" s="56">
        <v>119</v>
      </c>
      <c r="Z57" s="54"/>
      <c r="AA57" s="55"/>
      <c r="AB57" s="55"/>
      <c r="AC57" s="55"/>
      <c r="AD57" s="56">
        <v>85</v>
      </c>
      <c r="AE57" s="54"/>
      <c r="AF57" s="56"/>
      <c r="AG57" s="54"/>
      <c r="AH57" s="56"/>
      <c r="AI57" s="82">
        <v>830</v>
      </c>
      <c r="AL57" s="2" t="str">
        <f t="shared" si="0"/>
        <v>64-P08-R</v>
      </c>
    </row>
    <row r="58" spans="1:38" s="2" customFormat="1" x14ac:dyDescent="0.3">
      <c r="A58" s="53" t="s">
        <v>520</v>
      </c>
      <c r="B58" s="54"/>
      <c r="C58" s="55"/>
      <c r="D58" s="55"/>
      <c r="E58" s="56">
        <v>175</v>
      </c>
      <c r="F58" s="54"/>
      <c r="G58" s="55"/>
      <c r="H58" s="56">
        <v>88</v>
      </c>
      <c r="I58" s="54"/>
      <c r="J58" s="55"/>
      <c r="K58" s="55"/>
      <c r="L58" s="55"/>
      <c r="M58" s="56">
        <v>77</v>
      </c>
      <c r="N58" s="54"/>
      <c r="O58" s="55"/>
      <c r="P58" s="55"/>
      <c r="Q58" s="55"/>
      <c r="R58" s="56">
        <v>55</v>
      </c>
      <c r="S58" s="54"/>
      <c r="T58" s="56">
        <v>9</v>
      </c>
      <c r="U58" s="54"/>
      <c r="V58" s="55"/>
      <c r="W58" s="55"/>
      <c r="X58" s="55"/>
      <c r="Y58" s="56">
        <v>77</v>
      </c>
      <c r="Z58" s="54"/>
      <c r="AA58" s="55"/>
      <c r="AB58" s="55"/>
      <c r="AC58" s="55"/>
      <c r="AD58" s="56">
        <v>55</v>
      </c>
      <c r="AE58" s="54"/>
      <c r="AF58" s="56"/>
      <c r="AG58" s="54"/>
      <c r="AH58" s="56"/>
      <c r="AI58" s="82">
        <v>536</v>
      </c>
      <c r="AL58" s="2" t="str">
        <f t="shared" si="0"/>
        <v>64-P09-R</v>
      </c>
    </row>
    <row r="59" spans="1:38" s="2" customFormat="1" x14ac:dyDescent="0.3">
      <c r="A59" s="53" t="s">
        <v>528</v>
      </c>
      <c r="B59" s="54">
        <v>38</v>
      </c>
      <c r="C59" s="55"/>
      <c r="D59" s="55"/>
      <c r="E59" s="56"/>
      <c r="F59" s="54">
        <v>19</v>
      </c>
      <c r="G59" s="55"/>
      <c r="H59" s="56"/>
      <c r="I59" s="54">
        <v>9</v>
      </c>
      <c r="J59" s="55"/>
      <c r="K59" s="55"/>
      <c r="L59" s="55"/>
      <c r="M59" s="56"/>
      <c r="N59" s="54">
        <v>13</v>
      </c>
      <c r="O59" s="55"/>
      <c r="P59" s="55"/>
      <c r="Q59" s="55"/>
      <c r="R59" s="56"/>
      <c r="S59" s="54">
        <v>4</v>
      </c>
      <c r="T59" s="56"/>
      <c r="U59" s="54">
        <v>9</v>
      </c>
      <c r="V59" s="55"/>
      <c r="W59" s="55"/>
      <c r="X59" s="55"/>
      <c r="Y59" s="56"/>
      <c r="Z59" s="54">
        <v>13</v>
      </c>
      <c r="AA59" s="55"/>
      <c r="AB59" s="55"/>
      <c r="AC59" s="55"/>
      <c r="AD59" s="56"/>
      <c r="AE59" s="54">
        <v>19</v>
      </c>
      <c r="AF59" s="56"/>
      <c r="AG59" s="54">
        <v>19</v>
      </c>
      <c r="AH59" s="56"/>
      <c r="AI59" s="82">
        <v>143</v>
      </c>
      <c r="AL59" s="2" t="str">
        <f t="shared" si="0"/>
        <v>68-PU1</v>
      </c>
    </row>
    <row r="60" spans="1:38" s="2" customFormat="1" x14ac:dyDescent="0.3">
      <c r="A60" s="53" t="s">
        <v>538</v>
      </c>
      <c r="B60" s="54"/>
      <c r="C60" s="55">
        <v>79</v>
      </c>
      <c r="D60" s="55"/>
      <c r="E60" s="56"/>
      <c r="F60" s="54">
        <v>20</v>
      </c>
      <c r="G60" s="55"/>
      <c r="H60" s="56"/>
      <c r="I60" s="54"/>
      <c r="J60" s="55"/>
      <c r="K60" s="55">
        <v>49</v>
      </c>
      <c r="L60" s="55"/>
      <c r="M60" s="56"/>
      <c r="N60" s="54"/>
      <c r="O60" s="55"/>
      <c r="P60" s="55">
        <v>30</v>
      </c>
      <c r="Q60" s="55"/>
      <c r="R60" s="56"/>
      <c r="S60" s="54"/>
      <c r="T60" s="56">
        <v>8</v>
      </c>
      <c r="U60" s="54"/>
      <c r="V60" s="55"/>
      <c r="W60" s="55">
        <v>49</v>
      </c>
      <c r="X60" s="55"/>
      <c r="Y60" s="56"/>
      <c r="Z60" s="54"/>
      <c r="AA60" s="55"/>
      <c r="AB60" s="55">
        <v>30</v>
      </c>
      <c r="AC60" s="55"/>
      <c r="AD60" s="56"/>
      <c r="AE60" s="54"/>
      <c r="AF60" s="56">
        <v>49</v>
      </c>
      <c r="AG60" s="54"/>
      <c r="AH60" s="56">
        <v>30</v>
      </c>
      <c r="AI60" s="82">
        <v>344</v>
      </c>
      <c r="AL60" s="2" t="str">
        <f t="shared" si="0"/>
        <v>66-PU2</v>
      </c>
    </row>
    <row r="61" spans="1:38" s="2" customFormat="1" x14ac:dyDescent="0.3">
      <c r="A61" s="53" t="s">
        <v>548</v>
      </c>
      <c r="B61" s="54">
        <v>34</v>
      </c>
      <c r="C61" s="55"/>
      <c r="D61" s="55"/>
      <c r="E61" s="56"/>
      <c r="F61" s="54">
        <v>17</v>
      </c>
      <c r="G61" s="55"/>
      <c r="H61" s="56"/>
      <c r="I61" s="54">
        <v>8</v>
      </c>
      <c r="J61" s="55"/>
      <c r="K61" s="55"/>
      <c r="L61" s="55"/>
      <c r="M61" s="56"/>
      <c r="N61" s="54">
        <v>12</v>
      </c>
      <c r="O61" s="55"/>
      <c r="P61" s="55"/>
      <c r="Q61" s="55"/>
      <c r="R61" s="56"/>
      <c r="S61" s="54">
        <v>3</v>
      </c>
      <c r="T61" s="56"/>
      <c r="U61" s="54">
        <v>8</v>
      </c>
      <c r="V61" s="55"/>
      <c r="W61" s="55"/>
      <c r="X61" s="55"/>
      <c r="Y61" s="56"/>
      <c r="Z61" s="54">
        <v>12</v>
      </c>
      <c r="AA61" s="55"/>
      <c r="AB61" s="55"/>
      <c r="AC61" s="55"/>
      <c r="AD61" s="56"/>
      <c r="AE61" s="54">
        <v>17</v>
      </c>
      <c r="AF61" s="56"/>
      <c r="AG61" s="54">
        <v>17</v>
      </c>
      <c r="AH61" s="56"/>
      <c r="AI61" s="82">
        <v>128</v>
      </c>
      <c r="AL61" s="2" t="str">
        <f t="shared" si="0"/>
        <v>68-PU3</v>
      </c>
    </row>
    <row r="62" spans="1:38" s="2" customFormat="1" x14ac:dyDescent="0.3">
      <c r="A62" s="53" t="s">
        <v>558</v>
      </c>
      <c r="B62" s="54">
        <v>28</v>
      </c>
      <c r="C62" s="55"/>
      <c r="D62" s="55"/>
      <c r="E62" s="56"/>
      <c r="F62" s="54">
        <v>14</v>
      </c>
      <c r="G62" s="55"/>
      <c r="H62" s="56"/>
      <c r="I62" s="54">
        <v>7</v>
      </c>
      <c r="J62" s="55"/>
      <c r="K62" s="55"/>
      <c r="L62" s="55"/>
      <c r="M62" s="56"/>
      <c r="N62" s="54">
        <v>10</v>
      </c>
      <c r="O62" s="55"/>
      <c r="P62" s="55"/>
      <c r="Q62" s="55"/>
      <c r="R62" s="56"/>
      <c r="S62" s="54">
        <v>3</v>
      </c>
      <c r="T62" s="56"/>
      <c r="U62" s="54">
        <v>7</v>
      </c>
      <c r="V62" s="55"/>
      <c r="W62" s="55"/>
      <c r="X62" s="55"/>
      <c r="Y62" s="56"/>
      <c r="Z62" s="54">
        <v>10</v>
      </c>
      <c r="AA62" s="55"/>
      <c r="AB62" s="55"/>
      <c r="AC62" s="55"/>
      <c r="AD62" s="56"/>
      <c r="AE62" s="54">
        <v>14</v>
      </c>
      <c r="AF62" s="56"/>
      <c r="AG62" s="54">
        <v>14</v>
      </c>
      <c r="AH62" s="56"/>
      <c r="AI62" s="82">
        <v>107</v>
      </c>
      <c r="AL62" s="2" t="str">
        <f t="shared" si="0"/>
        <v>68-PU4</v>
      </c>
    </row>
    <row r="63" spans="1:38" s="2" customFormat="1" x14ac:dyDescent="0.3">
      <c r="A63" s="53" t="s">
        <v>568</v>
      </c>
      <c r="B63" s="54">
        <v>15</v>
      </c>
      <c r="C63" s="55"/>
      <c r="D63" s="55"/>
      <c r="E63" s="56"/>
      <c r="F63" s="54">
        <v>8</v>
      </c>
      <c r="G63" s="55"/>
      <c r="H63" s="56"/>
      <c r="I63" s="54">
        <v>4</v>
      </c>
      <c r="J63" s="55"/>
      <c r="K63" s="55"/>
      <c r="L63" s="55"/>
      <c r="M63" s="56"/>
      <c r="N63" s="54">
        <v>5</v>
      </c>
      <c r="O63" s="55"/>
      <c r="P63" s="55"/>
      <c r="Q63" s="55"/>
      <c r="R63" s="56"/>
      <c r="S63" s="54">
        <v>2</v>
      </c>
      <c r="T63" s="56"/>
      <c r="U63" s="54">
        <v>4</v>
      </c>
      <c r="V63" s="55"/>
      <c r="W63" s="55"/>
      <c r="X63" s="55"/>
      <c r="Y63" s="56"/>
      <c r="Z63" s="54">
        <v>5</v>
      </c>
      <c r="AA63" s="55"/>
      <c r="AB63" s="55"/>
      <c r="AC63" s="55"/>
      <c r="AD63" s="56"/>
      <c r="AE63" s="54">
        <v>8</v>
      </c>
      <c r="AF63" s="56"/>
      <c r="AG63" s="54">
        <v>8</v>
      </c>
      <c r="AH63" s="56"/>
      <c r="AI63" s="82">
        <v>59</v>
      </c>
      <c r="AL63" s="2" t="str">
        <f t="shared" si="0"/>
        <v>68-PU5</v>
      </c>
    </row>
    <row r="64" spans="1:38" s="2" customFormat="1" x14ac:dyDescent="0.3">
      <c r="A64" s="53" t="s">
        <v>578</v>
      </c>
      <c r="B64" s="54">
        <v>23</v>
      </c>
      <c r="C64" s="55"/>
      <c r="D64" s="55"/>
      <c r="E64" s="56"/>
      <c r="F64" s="54">
        <v>12</v>
      </c>
      <c r="G64" s="55"/>
      <c r="H64" s="56"/>
      <c r="I64" s="54">
        <v>6</v>
      </c>
      <c r="J64" s="55"/>
      <c r="K64" s="55"/>
      <c r="L64" s="55"/>
      <c r="M64" s="56"/>
      <c r="N64" s="54">
        <v>8</v>
      </c>
      <c r="O64" s="55"/>
      <c r="P64" s="55"/>
      <c r="Q64" s="55"/>
      <c r="R64" s="56"/>
      <c r="S64" s="54">
        <v>2</v>
      </c>
      <c r="T64" s="56"/>
      <c r="U64" s="54">
        <v>6</v>
      </c>
      <c r="V64" s="55"/>
      <c r="W64" s="55"/>
      <c r="X64" s="55"/>
      <c r="Y64" s="56"/>
      <c r="Z64" s="54">
        <v>8</v>
      </c>
      <c r="AA64" s="55"/>
      <c r="AB64" s="55"/>
      <c r="AC64" s="55"/>
      <c r="AD64" s="56"/>
      <c r="AE64" s="54">
        <v>12</v>
      </c>
      <c r="AF64" s="56"/>
      <c r="AG64" s="54">
        <v>12</v>
      </c>
      <c r="AH64" s="56"/>
      <c r="AI64" s="82">
        <v>89</v>
      </c>
      <c r="AL64" s="2" t="str">
        <f t="shared" si="0"/>
        <v>68-PU5-R</v>
      </c>
    </row>
    <row r="65" spans="1:38" s="2" customFormat="1" x14ac:dyDescent="0.3">
      <c r="A65" s="53" t="s">
        <v>588</v>
      </c>
      <c r="B65" s="54">
        <v>3</v>
      </c>
      <c r="C65" s="55"/>
      <c r="D65" s="55"/>
      <c r="E65" s="56"/>
      <c r="F65" s="54">
        <v>1</v>
      </c>
      <c r="G65" s="55"/>
      <c r="H65" s="56"/>
      <c r="I65" s="54">
        <v>1</v>
      </c>
      <c r="J65" s="55"/>
      <c r="K65" s="55"/>
      <c r="L65" s="55"/>
      <c r="M65" s="56"/>
      <c r="N65" s="54">
        <v>1</v>
      </c>
      <c r="O65" s="55"/>
      <c r="P65" s="55"/>
      <c r="Q65" s="55"/>
      <c r="R65" s="56"/>
      <c r="S65" s="54">
        <v>0</v>
      </c>
      <c r="T65" s="56"/>
      <c r="U65" s="54">
        <v>1</v>
      </c>
      <c r="V65" s="55"/>
      <c r="W65" s="55"/>
      <c r="X65" s="55"/>
      <c r="Y65" s="56"/>
      <c r="Z65" s="54">
        <v>1</v>
      </c>
      <c r="AA65" s="55"/>
      <c r="AB65" s="55"/>
      <c r="AC65" s="55"/>
      <c r="AD65" s="56"/>
      <c r="AE65" s="54">
        <v>1</v>
      </c>
      <c r="AF65" s="56"/>
      <c r="AG65" s="54">
        <v>1</v>
      </c>
      <c r="AH65" s="56"/>
      <c r="AI65" s="82">
        <v>10</v>
      </c>
      <c r="AL65" s="2" t="str">
        <f t="shared" si="0"/>
        <v>68-PU6</v>
      </c>
    </row>
    <row r="66" spans="1:38" s="2" customFormat="1" x14ac:dyDescent="0.3">
      <c r="A66" s="57" t="s">
        <v>598</v>
      </c>
      <c r="B66" s="58">
        <v>31</v>
      </c>
      <c r="C66" s="59"/>
      <c r="D66" s="59"/>
      <c r="E66" s="60"/>
      <c r="F66" s="58">
        <v>15</v>
      </c>
      <c r="G66" s="59"/>
      <c r="H66" s="60"/>
      <c r="I66" s="58">
        <v>8</v>
      </c>
      <c r="J66" s="59"/>
      <c r="K66" s="59"/>
      <c r="L66" s="59"/>
      <c r="M66" s="60"/>
      <c r="N66" s="58">
        <v>11</v>
      </c>
      <c r="O66" s="59"/>
      <c r="P66" s="59"/>
      <c r="Q66" s="59"/>
      <c r="R66" s="60"/>
      <c r="S66" s="58">
        <v>3</v>
      </c>
      <c r="T66" s="60"/>
      <c r="U66" s="58">
        <v>8</v>
      </c>
      <c r="V66" s="59"/>
      <c r="W66" s="59"/>
      <c r="X66" s="59"/>
      <c r="Y66" s="60"/>
      <c r="Z66" s="58">
        <v>11</v>
      </c>
      <c r="AA66" s="59"/>
      <c r="AB66" s="59"/>
      <c r="AC66" s="59"/>
      <c r="AD66" s="60"/>
      <c r="AE66" s="58">
        <v>15</v>
      </c>
      <c r="AF66" s="60"/>
      <c r="AG66" s="58">
        <v>15</v>
      </c>
      <c r="AH66" s="60"/>
      <c r="AI66" s="114">
        <v>117</v>
      </c>
      <c r="AL66" s="2" t="str">
        <f t="shared" si="0"/>
        <v>68-PU6-R</v>
      </c>
    </row>
    <row r="67" spans="1:38" s="2" customFormat="1" x14ac:dyDescent="0.3">
      <c r="A67" s="12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129"/>
    </row>
    <row r="68" spans="1:38" s="2" customFormat="1" x14ac:dyDescent="0.3">
      <c r="A68" s="123" t="s">
        <v>1030</v>
      </c>
      <c r="B68" s="70">
        <v>122</v>
      </c>
      <c r="C68" s="70">
        <v>663</v>
      </c>
      <c r="D68" s="70">
        <v>1293</v>
      </c>
      <c r="E68" s="70">
        <v>5413</v>
      </c>
      <c r="F68" s="70">
        <v>159</v>
      </c>
      <c r="G68" s="70">
        <v>646</v>
      </c>
      <c r="H68" s="70">
        <v>2711</v>
      </c>
      <c r="I68" s="70">
        <v>31</v>
      </c>
      <c r="J68" s="70">
        <v>103</v>
      </c>
      <c r="K68" s="70">
        <v>242</v>
      </c>
      <c r="L68" s="70">
        <v>646</v>
      </c>
      <c r="M68" s="70">
        <v>2370</v>
      </c>
      <c r="N68" s="70">
        <v>43</v>
      </c>
      <c r="O68" s="70">
        <v>69</v>
      </c>
      <c r="P68" s="70">
        <v>145</v>
      </c>
      <c r="Q68" s="70">
        <v>431</v>
      </c>
      <c r="R68" s="70">
        <v>1694</v>
      </c>
      <c r="S68" s="70">
        <v>12</v>
      </c>
      <c r="T68" s="70">
        <v>422</v>
      </c>
      <c r="U68" s="70">
        <v>31</v>
      </c>
      <c r="V68" s="70">
        <v>135</v>
      </c>
      <c r="W68" s="70">
        <v>242</v>
      </c>
      <c r="X68" s="70">
        <v>646</v>
      </c>
      <c r="Y68" s="70">
        <v>2370</v>
      </c>
      <c r="Z68" s="70">
        <v>43</v>
      </c>
      <c r="AA68" s="70">
        <v>69</v>
      </c>
      <c r="AB68" s="70">
        <v>145</v>
      </c>
      <c r="AC68" s="70">
        <v>431</v>
      </c>
      <c r="AD68" s="70">
        <v>1694</v>
      </c>
      <c r="AE68" s="70">
        <v>62</v>
      </c>
      <c r="AF68" s="70">
        <v>413</v>
      </c>
      <c r="AG68" s="70">
        <v>62</v>
      </c>
      <c r="AH68" s="70">
        <v>248</v>
      </c>
      <c r="AI68" s="104">
        <v>23806</v>
      </c>
    </row>
    <row r="69" spans="1:38" s="2" customFormat="1" x14ac:dyDescent="0.3">
      <c r="A69" s="67" t="s">
        <v>125</v>
      </c>
      <c r="B69" s="74"/>
      <c r="C69" s="75"/>
      <c r="D69" s="75"/>
      <c r="E69" s="76">
        <v>229</v>
      </c>
      <c r="F69" s="74"/>
      <c r="G69" s="75"/>
      <c r="H69" s="76">
        <v>115</v>
      </c>
      <c r="I69" s="74"/>
      <c r="J69" s="75"/>
      <c r="K69" s="75"/>
      <c r="L69" s="75"/>
      <c r="M69" s="76">
        <v>100</v>
      </c>
      <c r="N69" s="74"/>
      <c r="O69" s="75"/>
      <c r="P69" s="75"/>
      <c r="Q69" s="75"/>
      <c r="R69" s="76">
        <v>72</v>
      </c>
      <c r="S69" s="74"/>
      <c r="T69" s="76">
        <v>11</v>
      </c>
      <c r="U69" s="74"/>
      <c r="V69" s="75"/>
      <c r="W69" s="75"/>
      <c r="X69" s="75"/>
      <c r="Y69" s="76">
        <v>100</v>
      </c>
      <c r="Z69" s="74"/>
      <c r="AA69" s="75"/>
      <c r="AB69" s="75"/>
      <c r="AC69" s="75"/>
      <c r="AD69" s="76">
        <v>72</v>
      </c>
      <c r="AE69" s="74"/>
      <c r="AF69" s="76"/>
      <c r="AG69" s="74"/>
      <c r="AH69" s="76"/>
      <c r="AI69" s="81">
        <v>699</v>
      </c>
      <c r="AL69" s="2" t="str">
        <f t="shared" si="0"/>
        <v>65-B01</v>
      </c>
    </row>
    <row r="70" spans="1:38" s="2" customFormat="1" x14ac:dyDescent="0.3">
      <c r="A70" s="53" t="s">
        <v>133</v>
      </c>
      <c r="B70" s="54"/>
      <c r="C70" s="55"/>
      <c r="D70" s="55"/>
      <c r="E70" s="56">
        <v>278</v>
      </c>
      <c r="F70" s="54"/>
      <c r="G70" s="55"/>
      <c r="H70" s="56">
        <v>139</v>
      </c>
      <c r="I70" s="54"/>
      <c r="J70" s="55"/>
      <c r="K70" s="55"/>
      <c r="L70" s="55"/>
      <c r="M70" s="56">
        <v>122</v>
      </c>
      <c r="N70" s="54"/>
      <c r="O70" s="55"/>
      <c r="P70" s="55"/>
      <c r="Q70" s="55"/>
      <c r="R70" s="56">
        <v>87</v>
      </c>
      <c r="S70" s="54"/>
      <c r="T70" s="56">
        <v>14</v>
      </c>
      <c r="U70" s="54"/>
      <c r="V70" s="55"/>
      <c r="W70" s="55"/>
      <c r="X70" s="55"/>
      <c r="Y70" s="56">
        <v>122</v>
      </c>
      <c r="Z70" s="54"/>
      <c r="AA70" s="55"/>
      <c r="AB70" s="55"/>
      <c r="AC70" s="55"/>
      <c r="AD70" s="56">
        <v>87</v>
      </c>
      <c r="AE70" s="54"/>
      <c r="AF70" s="56"/>
      <c r="AG70" s="54"/>
      <c r="AH70" s="56"/>
      <c r="AI70" s="82">
        <v>849</v>
      </c>
      <c r="AL70" s="2" t="str">
        <f t="shared" si="0"/>
        <v>64-B02</v>
      </c>
    </row>
    <row r="71" spans="1:38" s="2" customFormat="1" x14ac:dyDescent="0.3">
      <c r="A71" s="53" t="s">
        <v>141</v>
      </c>
      <c r="B71" s="54"/>
      <c r="C71" s="55"/>
      <c r="D71" s="55"/>
      <c r="E71" s="56">
        <v>338</v>
      </c>
      <c r="F71" s="54"/>
      <c r="G71" s="55"/>
      <c r="H71" s="56">
        <v>169</v>
      </c>
      <c r="I71" s="54"/>
      <c r="J71" s="55"/>
      <c r="K71" s="55"/>
      <c r="L71" s="55"/>
      <c r="M71" s="56">
        <v>148</v>
      </c>
      <c r="N71" s="54"/>
      <c r="O71" s="55"/>
      <c r="P71" s="55"/>
      <c r="Q71" s="55"/>
      <c r="R71" s="56">
        <v>106</v>
      </c>
      <c r="S71" s="54"/>
      <c r="T71" s="56">
        <v>17</v>
      </c>
      <c r="U71" s="54"/>
      <c r="V71" s="55"/>
      <c r="W71" s="55"/>
      <c r="X71" s="55"/>
      <c r="Y71" s="56">
        <v>148</v>
      </c>
      <c r="Z71" s="54"/>
      <c r="AA71" s="55"/>
      <c r="AB71" s="55"/>
      <c r="AC71" s="55"/>
      <c r="AD71" s="56">
        <v>106</v>
      </c>
      <c r="AE71" s="54"/>
      <c r="AF71" s="56"/>
      <c r="AG71" s="54"/>
      <c r="AH71" s="56"/>
      <c r="AI71" s="82">
        <v>1032</v>
      </c>
      <c r="AL71" s="2" t="str">
        <f t="shared" si="0"/>
        <v>57-B03</v>
      </c>
    </row>
    <row r="72" spans="1:38" s="2" customFormat="1" x14ac:dyDescent="0.3">
      <c r="A72" s="53" t="s">
        <v>149</v>
      </c>
      <c r="B72" s="54"/>
      <c r="C72" s="55"/>
      <c r="D72" s="55"/>
      <c r="E72" s="56">
        <v>308</v>
      </c>
      <c r="F72" s="54"/>
      <c r="G72" s="55"/>
      <c r="H72" s="56">
        <v>154</v>
      </c>
      <c r="I72" s="54"/>
      <c r="J72" s="55"/>
      <c r="K72" s="55"/>
      <c r="L72" s="55"/>
      <c r="M72" s="56">
        <v>135</v>
      </c>
      <c r="N72" s="54"/>
      <c r="O72" s="55"/>
      <c r="P72" s="55"/>
      <c r="Q72" s="55"/>
      <c r="R72" s="56">
        <v>96</v>
      </c>
      <c r="S72" s="54"/>
      <c r="T72" s="56">
        <v>15</v>
      </c>
      <c r="U72" s="54"/>
      <c r="V72" s="55"/>
      <c r="W72" s="55"/>
      <c r="X72" s="55"/>
      <c r="Y72" s="56">
        <v>135</v>
      </c>
      <c r="Z72" s="54"/>
      <c r="AA72" s="55"/>
      <c r="AB72" s="55"/>
      <c r="AC72" s="55"/>
      <c r="AD72" s="56">
        <v>96</v>
      </c>
      <c r="AE72" s="54"/>
      <c r="AF72" s="56"/>
      <c r="AG72" s="54"/>
      <c r="AH72" s="56"/>
      <c r="AI72" s="82">
        <v>939</v>
      </c>
      <c r="AL72" s="2" t="str">
        <f t="shared" si="0"/>
        <v>60-B04</v>
      </c>
    </row>
    <row r="73" spans="1:38" s="2" customFormat="1" x14ac:dyDescent="0.3">
      <c r="A73" s="53" t="s">
        <v>157</v>
      </c>
      <c r="B73" s="54"/>
      <c r="C73" s="55"/>
      <c r="D73" s="55"/>
      <c r="E73" s="56">
        <v>251</v>
      </c>
      <c r="F73" s="54"/>
      <c r="G73" s="55"/>
      <c r="H73" s="56">
        <v>126</v>
      </c>
      <c r="I73" s="54"/>
      <c r="J73" s="55"/>
      <c r="K73" s="55"/>
      <c r="L73" s="55"/>
      <c r="M73" s="56">
        <v>110</v>
      </c>
      <c r="N73" s="54"/>
      <c r="O73" s="55"/>
      <c r="P73" s="55"/>
      <c r="Q73" s="55"/>
      <c r="R73" s="56">
        <v>79</v>
      </c>
      <c r="S73" s="54"/>
      <c r="T73" s="56">
        <v>13</v>
      </c>
      <c r="U73" s="54"/>
      <c r="V73" s="55"/>
      <c r="W73" s="55"/>
      <c r="X73" s="55"/>
      <c r="Y73" s="56">
        <v>110</v>
      </c>
      <c r="Z73" s="54"/>
      <c r="AA73" s="55"/>
      <c r="AB73" s="55"/>
      <c r="AC73" s="55"/>
      <c r="AD73" s="56">
        <v>79</v>
      </c>
      <c r="AE73" s="54"/>
      <c r="AF73" s="56"/>
      <c r="AG73" s="54"/>
      <c r="AH73" s="56"/>
      <c r="AI73" s="82">
        <v>768</v>
      </c>
      <c r="AL73" s="2" t="str">
        <f t="shared" si="0"/>
        <v>64-B05</v>
      </c>
    </row>
    <row r="74" spans="1:38" s="2" customFormat="1" x14ac:dyDescent="0.3">
      <c r="A74" s="53" t="s">
        <v>165</v>
      </c>
      <c r="B74" s="54"/>
      <c r="C74" s="55"/>
      <c r="D74" s="55"/>
      <c r="E74" s="56">
        <v>294</v>
      </c>
      <c r="F74" s="54"/>
      <c r="G74" s="55"/>
      <c r="H74" s="56">
        <v>147</v>
      </c>
      <c r="I74" s="54"/>
      <c r="J74" s="55"/>
      <c r="K74" s="55"/>
      <c r="L74" s="55"/>
      <c r="M74" s="56">
        <v>128</v>
      </c>
      <c r="N74" s="54"/>
      <c r="O74" s="55"/>
      <c r="P74" s="55"/>
      <c r="Q74" s="55"/>
      <c r="R74" s="56">
        <v>92</v>
      </c>
      <c r="S74" s="54"/>
      <c r="T74" s="56">
        <v>15</v>
      </c>
      <c r="U74" s="54"/>
      <c r="V74" s="55"/>
      <c r="W74" s="55"/>
      <c r="X74" s="55"/>
      <c r="Y74" s="56">
        <v>128</v>
      </c>
      <c r="Z74" s="54"/>
      <c r="AA74" s="55"/>
      <c r="AB74" s="55"/>
      <c r="AC74" s="55"/>
      <c r="AD74" s="56">
        <v>92</v>
      </c>
      <c r="AE74" s="54"/>
      <c r="AF74" s="56"/>
      <c r="AG74" s="54"/>
      <c r="AH74" s="56"/>
      <c r="AI74" s="82">
        <v>896</v>
      </c>
      <c r="AL74" s="2" t="str">
        <f t="shared" ref="AL74:AL112" si="1">IF(RIGHT(A74,2)="-R",MID(A74,FIND("-",A74)+1,LEN(A74)-FIND("-",A74)-2)&amp;"-"&amp;LEFT(A74,FIND("-",A74)-1)&amp;"-R",MID(A74,FIND("-",A74)+1,99)&amp;"-"&amp;LEFT(A74,FIND("-",A74)-1))</f>
        <v>64-B06</v>
      </c>
    </row>
    <row r="75" spans="1:38" s="2" customFormat="1" x14ac:dyDescent="0.3">
      <c r="A75" s="53" t="s">
        <v>173</v>
      </c>
      <c r="B75" s="54"/>
      <c r="C75" s="55"/>
      <c r="D75" s="55">
        <v>241</v>
      </c>
      <c r="E75" s="56"/>
      <c r="F75" s="54"/>
      <c r="G75" s="55">
        <v>121</v>
      </c>
      <c r="H75" s="56"/>
      <c r="I75" s="54"/>
      <c r="J75" s="55"/>
      <c r="K75" s="55"/>
      <c r="L75" s="55">
        <v>121</v>
      </c>
      <c r="M75" s="56"/>
      <c r="N75" s="54"/>
      <c r="O75" s="55"/>
      <c r="P75" s="55"/>
      <c r="Q75" s="55">
        <v>80</v>
      </c>
      <c r="R75" s="56"/>
      <c r="S75" s="54"/>
      <c r="T75" s="56">
        <v>16</v>
      </c>
      <c r="U75" s="54"/>
      <c r="V75" s="55"/>
      <c r="W75" s="55"/>
      <c r="X75" s="55">
        <v>121</v>
      </c>
      <c r="Y75" s="56"/>
      <c r="Z75" s="54"/>
      <c r="AA75" s="55"/>
      <c r="AB75" s="55"/>
      <c r="AC75" s="55">
        <v>80</v>
      </c>
      <c r="AD75" s="56"/>
      <c r="AE75" s="54"/>
      <c r="AF75" s="56"/>
      <c r="AG75" s="54"/>
      <c r="AH75" s="56"/>
      <c r="AI75" s="82">
        <v>780</v>
      </c>
      <c r="AL75" s="2" t="str">
        <f t="shared" si="1"/>
        <v>50-B07</v>
      </c>
    </row>
    <row r="76" spans="1:38" s="2" customFormat="1" x14ac:dyDescent="0.3">
      <c r="A76" s="53" t="s">
        <v>181</v>
      </c>
      <c r="B76" s="54"/>
      <c r="C76" s="55"/>
      <c r="D76" s="55"/>
      <c r="E76" s="56">
        <v>278</v>
      </c>
      <c r="F76" s="54"/>
      <c r="G76" s="55"/>
      <c r="H76" s="56">
        <v>139</v>
      </c>
      <c r="I76" s="54"/>
      <c r="J76" s="55"/>
      <c r="K76" s="55"/>
      <c r="L76" s="55"/>
      <c r="M76" s="56">
        <v>122</v>
      </c>
      <c r="N76" s="54"/>
      <c r="O76" s="55"/>
      <c r="P76" s="55"/>
      <c r="Q76" s="55"/>
      <c r="R76" s="56">
        <v>87</v>
      </c>
      <c r="S76" s="54"/>
      <c r="T76" s="56">
        <v>14</v>
      </c>
      <c r="U76" s="54"/>
      <c r="V76" s="55"/>
      <c r="W76" s="55"/>
      <c r="X76" s="55"/>
      <c r="Y76" s="56">
        <v>122</v>
      </c>
      <c r="Z76" s="54"/>
      <c r="AA76" s="55"/>
      <c r="AB76" s="55"/>
      <c r="AC76" s="55"/>
      <c r="AD76" s="56">
        <v>87</v>
      </c>
      <c r="AE76" s="54"/>
      <c r="AF76" s="56"/>
      <c r="AG76" s="54"/>
      <c r="AH76" s="56"/>
      <c r="AI76" s="82">
        <v>849</v>
      </c>
      <c r="AL76" s="2" t="str">
        <f t="shared" si="1"/>
        <v>60-B08</v>
      </c>
    </row>
    <row r="77" spans="1:38" s="2" customFormat="1" x14ac:dyDescent="0.3">
      <c r="A77" s="53" t="s">
        <v>189</v>
      </c>
      <c r="B77" s="54"/>
      <c r="C77" s="55"/>
      <c r="D77" s="55"/>
      <c r="E77" s="56">
        <v>330</v>
      </c>
      <c r="F77" s="54"/>
      <c r="G77" s="55"/>
      <c r="H77" s="56">
        <v>165</v>
      </c>
      <c r="I77" s="54"/>
      <c r="J77" s="55"/>
      <c r="K77" s="55"/>
      <c r="L77" s="55"/>
      <c r="M77" s="56">
        <v>144</v>
      </c>
      <c r="N77" s="54"/>
      <c r="O77" s="55"/>
      <c r="P77" s="55"/>
      <c r="Q77" s="55"/>
      <c r="R77" s="56">
        <v>103</v>
      </c>
      <c r="S77" s="54"/>
      <c r="T77" s="56">
        <v>17</v>
      </c>
      <c r="U77" s="54"/>
      <c r="V77" s="55"/>
      <c r="W77" s="55"/>
      <c r="X77" s="55"/>
      <c r="Y77" s="56">
        <v>144</v>
      </c>
      <c r="Z77" s="54"/>
      <c r="AA77" s="55"/>
      <c r="AB77" s="55"/>
      <c r="AC77" s="55"/>
      <c r="AD77" s="56">
        <v>103</v>
      </c>
      <c r="AE77" s="54"/>
      <c r="AF77" s="56"/>
      <c r="AG77" s="54"/>
      <c r="AH77" s="56"/>
      <c r="AI77" s="82">
        <v>1006</v>
      </c>
      <c r="AL77" s="2" t="str">
        <f t="shared" si="1"/>
        <v>60-B09</v>
      </c>
    </row>
    <row r="78" spans="1:38" s="2" customFormat="1" x14ac:dyDescent="0.3">
      <c r="A78" s="53" t="s">
        <v>197</v>
      </c>
      <c r="B78" s="54"/>
      <c r="C78" s="55"/>
      <c r="D78" s="55">
        <v>255</v>
      </c>
      <c r="E78" s="56"/>
      <c r="F78" s="54"/>
      <c r="G78" s="55">
        <v>127</v>
      </c>
      <c r="H78" s="56"/>
      <c r="I78" s="54"/>
      <c r="J78" s="55"/>
      <c r="K78" s="55"/>
      <c r="L78" s="55">
        <v>127</v>
      </c>
      <c r="M78" s="56"/>
      <c r="N78" s="54"/>
      <c r="O78" s="55"/>
      <c r="P78" s="55"/>
      <c r="Q78" s="55">
        <v>85</v>
      </c>
      <c r="R78" s="56"/>
      <c r="S78" s="54"/>
      <c r="T78" s="56">
        <v>17</v>
      </c>
      <c r="U78" s="54"/>
      <c r="V78" s="55"/>
      <c r="W78" s="55"/>
      <c r="X78" s="55">
        <v>127</v>
      </c>
      <c r="Y78" s="56"/>
      <c r="Z78" s="54"/>
      <c r="AA78" s="55"/>
      <c r="AB78" s="55"/>
      <c r="AC78" s="55">
        <v>85</v>
      </c>
      <c r="AD78" s="56"/>
      <c r="AE78" s="54"/>
      <c r="AF78" s="56"/>
      <c r="AG78" s="54"/>
      <c r="AH78" s="56"/>
      <c r="AI78" s="82">
        <v>823</v>
      </c>
      <c r="AL78" s="2" t="str">
        <f t="shared" si="1"/>
        <v>50-B10</v>
      </c>
    </row>
    <row r="79" spans="1:38" s="2" customFormat="1" x14ac:dyDescent="0.3">
      <c r="A79" s="53" t="s">
        <v>205</v>
      </c>
      <c r="B79" s="54"/>
      <c r="C79" s="55"/>
      <c r="D79" s="55"/>
      <c r="E79" s="56">
        <v>255</v>
      </c>
      <c r="F79" s="54"/>
      <c r="G79" s="55"/>
      <c r="H79" s="56">
        <v>128</v>
      </c>
      <c r="I79" s="54"/>
      <c r="J79" s="55"/>
      <c r="K79" s="55"/>
      <c r="L79" s="55"/>
      <c r="M79" s="56">
        <v>112</v>
      </c>
      <c r="N79" s="54"/>
      <c r="O79" s="55"/>
      <c r="P79" s="55"/>
      <c r="Q79" s="55"/>
      <c r="R79" s="56">
        <v>80</v>
      </c>
      <c r="S79" s="54"/>
      <c r="T79" s="56">
        <v>13</v>
      </c>
      <c r="U79" s="54"/>
      <c r="V79" s="55"/>
      <c r="W79" s="55"/>
      <c r="X79" s="55"/>
      <c r="Y79" s="56">
        <v>112</v>
      </c>
      <c r="Z79" s="54"/>
      <c r="AA79" s="55"/>
      <c r="AB79" s="55"/>
      <c r="AC79" s="55"/>
      <c r="AD79" s="56">
        <v>80</v>
      </c>
      <c r="AE79" s="54"/>
      <c r="AF79" s="56"/>
      <c r="AG79" s="54"/>
      <c r="AH79" s="56"/>
      <c r="AI79" s="82">
        <v>780</v>
      </c>
      <c r="AL79" s="2" t="str">
        <f t="shared" si="1"/>
        <v>65-B11</v>
      </c>
    </row>
    <row r="80" spans="1:38" s="2" customFormat="1" x14ac:dyDescent="0.3">
      <c r="A80" s="53" t="s">
        <v>213</v>
      </c>
      <c r="B80" s="54"/>
      <c r="C80" s="55"/>
      <c r="D80" s="55"/>
      <c r="E80" s="56">
        <v>341</v>
      </c>
      <c r="F80" s="54"/>
      <c r="G80" s="55"/>
      <c r="H80" s="56">
        <v>171</v>
      </c>
      <c r="I80" s="54"/>
      <c r="J80" s="55"/>
      <c r="K80" s="55"/>
      <c r="L80" s="55"/>
      <c r="M80" s="56">
        <v>149</v>
      </c>
      <c r="N80" s="54"/>
      <c r="O80" s="55"/>
      <c r="P80" s="55"/>
      <c r="Q80" s="55"/>
      <c r="R80" s="56">
        <v>107</v>
      </c>
      <c r="S80" s="54"/>
      <c r="T80" s="56">
        <v>17</v>
      </c>
      <c r="U80" s="54"/>
      <c r="V80" s="55"/>
      <c r="W80" s="55"/>
      <c r="X80" s="55"/>
      <c r="Y80" s="56">
        <v>149</v>
      </c>
      <c r="Z80" s="54"/>
      <c r="AA80" s="55"/>
      <c r="AB80" s="55"/>
      <c r="AC80" s="55"/>
      <c r="AD80" s="56">
        <v>107</v>
      </c>
      <c r="AE80" s="54"/>
      <c r="AF80" s="56"/>
      <c r="AG80" s="54"/>
      <c r="AH80" s="56"/>
      <c r="AI80" s="82">
        <v>1041</v>
      </c>
      <c r="AL80" s="2" t="str">
        <f t="shared" si="1"/>
        <v>57-B12</v>
      </c>
    </row>
    <row r="81" spans="1:38" s="2" customFormat="1" x14ac:dyDescent="0.3">
      <c r="A81" s="53" t="s">
        <v>221</v>
      </c>
      <c r="B81" s="54"/>
      <c r="C81" s="55"/>
      <c r="D81" s="55">
        <v>252</v>
      </c>
      <c r="E81" s="56"/>
      <c r="F81" s="54"/>
      <c r="G81" s="55">
        <v>126</v>
      </c>
      <c r="H81" s="56"/>
      <c r="I81" s="54"/>
      <c r="J81" s="55"/>
      <c r="K81" s="55"/>
      <c r="L81" s="55">
        <v>126</v>
      </c>
      <c r="M81" s="56"/>
      <c r="N81" s="54"/>
      <c r="O81" s="55"/>
      <c r="P81" s="55"/>
      <c r="Q81" s="55">
        <v>84</v>
      </c>
      <c r="R81" s="56"/>
      <c r="S81" s="54"/>
      <c r="T81" s="56">
        <v>17</v>
      </c>
      <c r="U81" s="54"/>
      <c r="V81" s="55"/>
      <c r="W81" s="55"/>
      <c r="X81" s="55">
        <v>126</v>
      </c>
      <c r="Y81" s="56"/>
      <c r="Z81" s="54"/>
      <c r="AA81" s="55"/>
      <c r="AB81" s="55"/>
      <c r="AC81" s="55">
        <v>84</v>
      </c>
      <c r="AD81" s="56"/>
      <c r="AE81" s="54"/>
      <c r="AF81" s="56"/>
      <c r="AG81" s="54"/>
      <c r="AH81" s="56"/>
      <c r="AI81" s="82">
        <v>815</v>
      </c>
      <c r="AL81" s="2" t="str">
        <f t="shared" si="1"/>
        <v>49-B13</v>
      </c>
    </row>
    <row r="82" spans="1:38" s="2" customFormat="1" x14ac:dyDescent="0.3">
      <c r="A82" s="53" t="s">
        <v>229</v>
      </c>
      <c r="B82" s="54"/>
      <c r="C82" s="55"/>
      <c r="D82" s="55">
        <v>8</v>
      </c>
      <c r="E82" s="56"/>
      <c r="F82" s="54"/>
      <c r="G82" s="55">
        <v>4</v>
      </c>
      <c r="H82" s="56"/>
      <c r="I82" s="54"/>
      <c r="J82" s="55"/>
      <c r="K82" s="55"/>
      <c r="L82" s="55">
        <v>4</v>
      </c>
      <c r="M82" s="56"/>
      <c r="N82" s="54"/>
      <c r="O82" s="55"/>
      <c r="P82" s="55"/>
      <c r="Q82" s="55">
        <v>3</v>
      </c>
      <c r="R82" s="56"/>
      <c r="S82" s="54"/>
      <c r="T82" s="56">
        <v>1</v>
      </c>
      <c r="U82" s="54"/>
      <c r="V82" s="55"/>
      <c r="W82" s="55"/>
      <c r="X82" s="55">
        <v>4</v>
      </c>
      <c r="Y82" s="56"/>
      <c r="Z82" s="54"/>
      <c r="AA82" s="55"/>
      <c r="AB82" s="55"/>
      <c r="AC82" s="55">
        <v>3</v>
      </c>
      <c r="AD82" s="56"/>
      <c r="AE82" s="54"/>
      <c r="AF82" s="56"/>
      <c r="AG82" s="54"/>
      <c r="AH82" s="56"/>
      <c r="AI82" s="82">
        <v>27</v>
      </c>
      <c r="AL82" s="2" t="str">
        <f t="shared" si="1"/>
        <v>30-B14</v>
      </c>
    </row>
    <row r="83" spans="1:38" s="2" customFormat="1" x14ac:dyDescent="0.3">
      <c r="A83" s="53" t="s">
        <v>237</v>
      </c>
      <c r="B83" s="54"/>
      <c r="C83" s="55"/>
      <c r="D83" s="55"/>
      <c r="E83" s="56">
        <v>133</v>
      </c>
      <c r="F83" s="54"/>
      <c r="G83" s="55"/>
      <c r="H83" s="56">
        <v>67</v>
      </c>
      <c r="I83" s="54"/>
      <c r="J83" s="55"/>
      <c r="K83" s="55"/>
      <c r="L83" s="55"/>
      <c r="M83" s="56">
        <v>58</v>
      </c>
      <c r="N83" s="54"/>
      <c r="O83" s="55"/>
      <c r="P83" s="55"/>
      <c r="Q83" s="55"/>
      <c r="R83" s="56">
        <v>42</v>
      </c>
      <c r="S83" s="54"/>
      <c r="T83" s="56">
        <v>7</v>
      </c>
      <c r="U83" s="54"/>
      <c r="V83" s="55"/>
      <c r="W83" s="55"/>
      <c r="X83" s="55"/>
      <c r="Y83" s="56">
        <v>58</v>
      </c>
      <c r="Z83" s="54"/>
      <c r="AA83" s="55"/>
      <c r="AB83" s="55"/>
      <c r="AC83" s="55"/>
      <c r="AD83" s="56">
        <v>42</v>
      </c>
      <c r="AE83" s="54"/>
      <c r="AF83" s="56"/>
      <c r="AG83" s="54"/>
      <c r="AH83" s="56"/>
      <c r="AI83" s="82">
        <v>407</v>
      </c>
      <c r="AL83" s="2" t="str">
        <f t="shared" si="1"/>
        <v>57-B14</v>
      </c>
    </row>
    <row r="84" spans="1:38" s="2" customFormat="1" x14ac:dyDescent="0.3">
      <c r="A84" s="53" t="s">
        <v>608</v>
      </c>
      <c r="B84" s="54">
        <v>63</v>
      </c>
      <c r="C84" s="55"/>
      <c r="D84" s="55"/>
      <c r="E84" s="56"/>
      <c r="F84" s="54">
        <v>32</v>
      </c>
      <c r="G84" s="55"/>
      <c r="H84" s="56"/>
      <c r="I84" s="54">
        <v>16</v>
      </c>
      <c r="J84" s="55"/>
      <c r="K84" s="55"/>
      <c r="L84" s="55"/>
      <c r="M84" s="56"/>
      <c r="N84" s="54">
        <v>22</v>
      </c>
      <c r="O84" s="55"/>
      <c r="P84" s="55"/>
      <c r="Q84" s="55"/>
      <c r="R84" s="56"/>
      <c r="S84" s="54">
        <v>6</v>
      </c>
      <c r="T84" s="56"/>
      <c r="U84" s="54">
        <v>16</v>
      </c>
      <c r="V84" s="55"/>
      <c r="W84" s="55"/>
      <c r="X84" s="55"/>
      <c r="Y84" s="56"/>
      <c r="Z84" s="54">
        <v>22</v>
      </c>
      <c r="AA84" s="55"/>
      <c r="AB84" s="55"/>
      <c r="AC84" s="55"/>
      <c r="AD84" s="56"/>
      <c r="AE84" s="54">
        <v>32</v>
      </c>
      <c r="AF84" s="56"/>
      <c r="AG84" s="54">
        <v>32</v>
      </c>
      <c r="AH84" s="56"/>
      <c r="AI84" s="82">
        <v>241</v>
      </c>
      <c r="AL84" s="2" t="str">
        <f t="shared" si="1"/>
        <v>68-T01</v>
      </c>
    </row>
    <row r="85" spans="1:38" s="2" customFormat="1" x14ac:dyDescent="0.3">
      <c r="A85" s="53" t="s">
        <v>618</v>
      </c>
      <c r="B85" s="54">
        <v>59</v>
      </c>
      <c r="C85" s="55"/>
      <c r="D85" s="55"/>
      <c r="E85" s="56"/>
      <c r="F85" s="54">
        <v>30</v>
      </c>
      <c r="G85" s="55"/>
      <c r="H85" s="56"/>
      <c r="I85" s="54">
        <v>15</v>
      </c>
      <c r="J85" s="55"/>
      <c r="K85" s="55"/>
      <c r="L85" s="55"/>
      <c r="M85" s="56"/>
      <c r="N85" s="54">
        <v>21</v>
      </c>
      <c r="O85" s="55"/>
      <c r="P85" s="55"/>
      <c r="Q85" s="55"/>
      <c r="R85" s="56"/>
      <c r="S85" s="54">
        <v>6</v>
      </c>
      <c r="T85" s="56"/>
      <c r="U85" s="54">
        <v>15</v>
      </c>
      <c r="V85" s="55"/>
      <c r="W85" s="55"/>
      <c r="X85" s="55"/>
      <c r="Y85" s="56"/>
      <c r="Z85" s="54">
        <v>21</v>
      </c>
      <c r="AA85" s="55"/>
      <c r="AB85" s="55"/>
      <c r="AC85" s="55"/>
      <c r="AD85" s="56"/>
      <c r="AE85" s="54">
        <v>30</v>
      </c>
      <c r="AF85" s="56"/>
      <c r="AG85" s="54">
        <v>30</v>
      </c>
      <c r="AH85" s="56"/>
      <c r="AI85" s="82">
        <v>227</v>
      </c>
      <c r="AL85" s="2" t="str">
        <f t="shared" si="1"/>
        <v>68-T02</v>
      </c>
    </row>
    <row r="86" spans="1:38" s="2" customFormat="1" x14ac:dyDescent="0.3">
      <c r="A86" s="53" t="s">
        <v>628</v>
      </c>
      <c r="B86" s="54"/>
      <c r="C86" s="55">
        <v>98</v>
      </c>
      <c r="D86" s="55"/>
      <c r="E86" s="56"/>
      <c r="F86" s="54">
        <v>24</v>
      </c>
      <c r="G86" s="55"/>
      <c r="H86" s="56"/>
      <c r="I86" s="54"/>
      <c r="J86" s="55"/>
      <c r="K86" s="55">
        <v>61</v>
      </c>
      <c r="L86" s="55"/>
      <c r="M86" s="56"/>
      <c r="N86" s="54"/>
      <c r="O86" s="55"/>
      <c r="P86" s="55">
        <v>37</v>
      </c>
      <c r="Q86" s="55"/>
      <c r="R86" s="56"/>
      <c r="S86" s="54"/>
      <c r="T86" s="56">
        <v>10</v>
      </c>
      <c r="U86" s="54"/>
      <c r="V86" s="55"/>
      <c r="W86" s="55">
        <v>61</v>
      </c>
      <c r="X86" s="55"/>
      <c r="Y86" s="56"/>
      <c r="Z86" s="54"/>
      <c r="AA86" s="55"/>
      <c r="AB86" s="55">
        <v>37</v>
      </c>
      <c r="AC86" s="55"/>
      <c r="AD86" s="56"/>
      <c r="AE86" s="54"/>
      <c r="AF86" s="56">
        <v>61</v>
      </c>
      <c r="AG86" s="54"/>
      <c r="AH86" s="56">
        <v>37</v>
      </c>
      <c r="AI86" s="82">
        <v>426</v>
      </c>
      <c r="AL86" s="2" t="str">
        <f t="shared" si="1"/>
        <v>66-T03</v>
      </c>
    </row>
    <row r="87" spans="1:38" s="2" customFormat="1" x14ac:dyDescent="0.3">
      <c r="A87" s="53" t="s">
        <v>638</v>
      </c>
      <c r="B87" s="54"/>
      <c r="C87" s="55">
        <v>81</v>
      </c>
      <c r="D87" s="55"/>
      <c r="E87" s="56"/>
      <c r="F87" s="54">
        <v>20</v>
      </c>
      <c r="G87" s="55"/>
      <c r="H87" s="56"/>
      <c r="I87" s="54"/>
      <c r="J87" s="55"/>
      <c r="K87" s="55">
        <v>50</v>
      </c>
      <c r="L87" s="55"/>
      <c r="M87" s="56"/>
      <c r="N87" s="54"/>
      <c r="O87" s="55"/>
      <c r="P87" s="55">
        <v>30</v>
      </c>
      <c r="Q87" s="55"/>
      <c r="R87" s="56"/>
      <c r="S87" s="54"/>
      <c r="T87" s="56">
        <v>8</v>
      </c>
      <c r="U87" s="54"/>
      <c r="V87" s="55"/>
      <c r="W87" s="55">
        <v>50</v>
      </c>
      <c r="X87" s="55"/>
      <c r="Y87" s="56"/>
      <c r="Z87" s="54"/>
      <c r="AA87" s="55"/>
      <c r="AB87" s="55">
        <v>30</v>
      </c>
      <c r="AC87" s="55"/>
      <c r="AD87" s="56"/>
      <c r="AE87" s="54"/>
      <c r="AF87" s="56">
        <v>50</v>
      </c>
      <c r="AG87" s="54"/>
      <c r="AH87" s="56">
        <v>30</v>
      </c>
      <c r="AI87" s="82">
        <v>349</v>
      </c>
      <c r="AL87" s="2" t="str">
        <f t="shared" si="1"/>
        <v>66-T04</v>
      </c>
    </row>
    <row r="88" spans="1:38" s="2" customFormat="1" x14ac:dyDescent="0.3">
      <c r="A88" s="53" t="s">
        <v>648</v>
      </c>
      <c r="B88" s="54"/>
      <c r="C88" s="55"/>
      <c r="D88" s="55"/>
      <c r="E88" s="56">
        <v>243</v>
      </c>
      <c r="F88" s="54"/>
      <c r="G88" s="55"/>
      <c r="H88" s="56">
        <v>121</v>
      </c>
      <c r="I88" s="54"/>
      <c r="J88" s="55"/>
      <c r="K88" s="55"/>
      <c r="L88" s="55"/>
      <c r="M88" s="56">
        <v>106</v>
      </c>
      <c r="N88" s="54"/>
      <c r="O88" s="55"/>
      <c r="P88" s="55"/>
      <c r="Q88" s="55"/>
      <c r="R88" s="56">
        <v>76</v>
      </c>
      <c r="S88" s="54"/>
      <c r="T88" s="56">
        <v>12</v>
      </c>
      <c r="U88" s="54"/>
      <c r="V88" s="55"/>
      <c r="W88" s="55"/>
      <c r="X88" s="55"/>
      <c r="Y88" s="56">
        <v>106</v>
      </c>
      <c r="Z88" s="54"/>
      <c r="AA88" s="55"/>
      <c r="AB88" s="55"/>
      <c r="AC88" s="55"/>
      <c r="AD88" s="56">
        <v>76</v>
      </c>
      <c r="AE88" s="54"/>
      <c r="AF88" s="56"/>
      <c r="AG88" s="54"/>
      <c r="AH88" s="56"/>
      <c r="AI88" s="82">
        <v>740</v>
      </c>
      <c r="AL88" s="2" t="str">
        <f t="shared" si="1"/>
        <v>63-T05-R</v>
      </c>
    </row>
    <row r="89" spans="1:38" s="2" customFormat="1" x14ac:dyDescent="0.3">
      <c r="A89" s="53" t="s">
        <v>656</v>
      </c>
      <c r="B89" s="54"/>
      <c r="C89" s="55">
        <v>116</v>
      </c>
      <c r="D89" s="55"/>
      <c r="E89" s="56"/>
      <c r="F89" s="54">
        <v>29</v>
      </c>
      <c r="G89" s="55"/>
      <c r="H89" s="56"/>
      <c r="I89" s="54"/>
      <c r="J89" s="55"/>
      <c r="K89" s="55">
        <v>72</v>
      </c>
      <c r="L89" s="55"/>
      <c r="M89" s="56"/>
      <c r="N89" s="54"/>
      <c r="O89" s="55"/>
      <c r="P89" s="55">
        <v>43</v>
      </c>
      <c r="Q89" s="55"/>
      <c r="R89" s="56"/>
      <c r="S89" s="54"/>
      <c r="T89" s="56">
        <v>12</v>
      </c>
      <c r="U89" s="54"/>
      <c r="V89" s="55"/>
      <c r="W89" s="55">
        <v>72</v>
      </c>
      <c r="X89" s="55"/>
      <c r="Y89" s="56"/>
      <c r="Z89" s="54"/>
      <c r="AA89" s="55"/>
      <c r="AB89" s="55">
        <v>43</v>
      </c>
      <c r="AC89" s="55"/>
      <c r="AD89" s="56"/>
      <c r="AE89" s="54"/>
      <c r="AF89" s="56">
        <v>72</v>
      </c>
      <c r="AG89" s="54"/>
      <c r="AH89" s="56">
        <v>43</v>
      </c>
      <c r="AI89" s="82">
        <v>502</v>
      </c>
      <c r="AL89" s="2" t="str">
        <f t="shared" si="1"/>
        <v>66-T06</v>
      </c>
    </row>
    <row r="90" spans="1:38" s="2" customFormat="1" x14ac:dyDescent="0.3">
      <c r="A90" s="53" t="s">
        <v>666</v>
      </c>
      <c r="B90" s="54"/>
      <c r="C90" s="55">
        <v>95</v>
      </c>
      <c r="D90" s="55"/>
      <c r="E90" s="56"/>
      <c r="F90" s="54">
        <v>24</v>
      </c>
      <c r="G90" s="55"/>
      <c r="H90" s="56"/>
      <c r="I90" s="54"/>
      <c r="J90" s="55"/>
      <c r="K90" s="55">
        <v>59</v>
      </c>
      <c r="L90" s="55"/>
      <c r="M90" s="56"/>
      <c r="N90" s="54"/>
      <c r="O90" s="55"/>
      <c r="P90" s="55">
        <v>35</v>
      </c>
      <c r="Q90" s="55"/>
      <c r="R90" s="56"/>
      <c r="S90" s="54"/>
      <c r="T90" s="56">
        <v>9</v>
      </c>
      <c r="U90" s="54"/>
      <c r="V90" s="55"/>
      <c r="W90" s="55">
        <v>59</v>
      </c>
      <c r="X90" s="55"/>
      <c r="Y90" s="56"/>
      <c r="Z90" s="54"/>
      <c r="AA90" s="55"/>
      <c r="AB90" s="55">
        <v>35</v>
      </c>
      <c r="AC90" s="55"/>
      <c r="AD90" s="56"/>
      <c r="AE90" s="54"/>
      <c r="AF90" s="56">
        <v>59</v>
      </c>
      <c r="AG90" s="54"/>
      <c r="AH90" s="56">
        <v>35</v>
      </c>
      <c r="AI90" s="82">
        <v>410</v>
      </c>
      <c r="AL90" s="2" t="str">
        <f t="shared" si="1"/>
        <v>66-T07</v>
      </c>
    </row>
    <row r="91" spans="1:38" s="2" customFormat="1" x14ac:dyDescent="0.3">
      <c r="A91" s="53" t="s">
        <v>676</v>
      </c>
      <c r="B91" s="54"/>
      <c r="C91" s="55"/>
      <c r="D91" s="55"/>
      <c r="E91" s="56">
        <v>17</v>
      </c>
      <c r="F91" s="54"/>
      <c r="G91" s="55"/>
      <c r="H91" s="56">
        <v>9</v>
      </c>
      <c r="I91" s="54"/>
      <c r="J91" s="55"/>
      <c r="K91" s="55"/>
      <c r="L91" s="55"/>
      <c r="M91" s="56">
        <v>7</v>
      </c>
      <c r="N91" s="54"/>
      <c r="O91" s="55"/>
      <c r="P91" s="55"/>
      <c r="Q91" s="55"/>
      <c r="R91" s="56">
        <v>5</v>
      </c>
      <c r="S91" s="54"/>
      <c r="T91" s="56">
        <v>1</v>
      </c>
      <c r="U91" s="54"/>
      <c r="V91" s="55"/>
      <c r="W91" s="55"/>
      <c r="X91" s="55"/>
      <c r="Y91" s="56">
        <v>7</v>
      </c>
      <c r="Z91" s="54"/>
      <c r="AA91" s="55"/>
      <c r="AB91" s="55"/>
      <c r="AC91" s="55"/>
      <c r="AD91" s="56">
        <v>5</v>
      </c>
      <c r="AE91" s="54"/>
      <c r="AF91" s="56"/>
      <c r="AG91" s="54"/>
      <c r="AH91" s="56"/>
      <c r="AI91" s="82">
        <v>51</v>
      </c>
      <c r="AL91" s="2" t="str">
        <f t="shared" si="1"/>
        <v>56-T08</v>
      </c>
    </row>
    <row r="92" spans="1:38" s="2" customFormat="1" x14ac:dyDescent="0.3">
      <c r="A92" s="53" t="s">
        <v>684</v>
      </c>
      <c r="B92" s="54"/>
      <c r="C92" s="55"/>
      <c r="D92" s="55"/>
      <c r="E92" s="56">
        <v>225</v>
      </c>
      <c r="F92" s="54"/>
      <c r="G92" s="55"/>
      <c r="H92" s="56">
        <v>113</v>
      </c>
      <c r="I92" s="54"/>
      <c r="J92" s="55"/>
      <c r="K92" s="55"/>
      <c r="L92" s="55"/>
      <c r="M92" s="56">
        <v>99</v>
      </c>
      <c r="N92" s="54"/>
      <c r="O92" s="55"/>
      <c r="P92" s="55"/>
      <c r="Q92" s="55"/>
      <c r="R92" s="56">
        <v>70</v>
      </c>
      <c r="S92" s="54"/>
      <c r="T92" s="56">
        <v>11</v>
      </c>
      <c r="U92" s="54"/>
      <c r="V92" s="55"/>
      <c r="W92" s="55"/>
      <c r="X92" s="55"/>
      <c r="Y92" s="56">
        <v>99</v>
      </c>
      <c r="Z92" s="54"/>
      <c r="AA92" s="55"/>
      <c r="AB92" s="55"/>
      <c r="AC92" s="55"/>
      <c r="AD92" s="56">
        <v>70</v>
      </c>
      <c r="AE92" s="54"/>
      <c r="AF92" s="56"/>
      <c r="AG92" s="54"/>
      <c r="AH92" s="56"/>
      <c r="AI92" s="82">
        <v>687</v>
      </c>
      <c r="AL92" s="2" t="str">
        <f t="shared" si="1"/>
        <v>56-T08-R</v>
      </c>
    </row>
    <row r="93" spans="1:38" s="2" customFormat="1" x14ac:dyDescent="0.3">
      <c r="A93" s="53" t="s">
        <v>692</v>
      </c>
      <c r="B93" s="54"/>
      <c r="C93" s="55"/>
      <c r="D93" s="55"/>
      <c r="E93" s="56">
        <v>235</v>
      </c>
      <c r="F93" s="54"/>
      <c r="G93" s="55"/>
      <c r="H93" s="56">
        <v>117</v>
      </c>
      <c r="I93" s="54"/>
      <c r="J93" s="55"/>
      <c r="K93" s="55"/>
      <c r="L93" s="55"/>
      <c r="M93" s="56">
        <v>103</v>
      </c>
      <c r="N93" s="54"/>
      <c r="O93" s="55"/>
      <c r="P93" s="55"/>
      <c r="Q93" s="55"/>
      <c r="R93" s="56">
        <v>73</v>
      </c>
      <c r="S93" s="54"/>
      <c r="T93" s="56">
        <v>12</v>
      </c>
      <c r="U93" s="54"/>
      <c r="V93" s="55"/>
      <c r="W93" s="55"/>
      <c r="X93" s="55"/>
      <c r="Y93" s="56">
        <v>103</v>
      </c>
      <c r="Z93" s="54"/>
      <c r="AA93" s="55"/>
      <c r="AB93" s="55"/>
      <c r="AC93" s="55"/>
      <c r="AD93" s="56">
        <v>73</v>
      </c>
      <c r="AE93" s="54"/>
      <c r="AF93" s="56"/>
      <c r="AG93" s="54"/>
      <c r="AH93" s="56"/>
      <c r="AI93" s="82">
        <v>716</v>
      </c>
      <c r="AL93" s="2" t="str">
        <f t="shared" si="1"/>
        <v>58-T09-R</v>
      </c>
    </row>
    <row r="94" spans="1:38" s="2" customFormat="1" x14ac:dyDescent="0.3">
      <c r="A94" s="53" t="s">
        <v>700</v>
      </c>
      <c r="B94" s="54"/>
      <c r="C94" s="55"/>
      <c r="D94" s="55">
        <v>172</v>
      </c>
      <c r="E94" s="56"/>
      <c r="F94" s="54"/>
      <c r="G94" s="55">
        <v>86</v>
      </c>
      <c r="H94" s="56"/>
      <c r="I94" s="54"/>
      <c r="J94" s="55"/>
      <c r="K94" s="55"/>
      <c r="L94" s="55">
        <v>86</v>
      </c>
      <c r="M94" s="56"/>
      <c r="N94" s="54"/>
      <c r="O94" s="55"/>
      <c r="P94" s="55"/>
      <c r="Q94" s="55">
        <v>57</v>
      </c>
      <c r="R94" s="56"/>
      <c r="S94" s="54"/>
      <c r="T94" s="56">
        <v>11</v>
      </c>
      <c r="U94" s="54"/>
      <c r="V94" s="55"/>
      <c r="W94" s="55"/>
      <c r="X94" s="55">
        <v>86</v>
      </c>
      <c r="Y94" s="56"/>
      <c r="Z94" s="54"/>
      <c r="AA94" s="55"/>
      <c r="AB94" s="55"/>
      <c r="AC94" s="55">
        <v>57</v>
      </c>
      <c r="AD94" s="56"/>
      <c r="AE94" s="54"/>
      <c r="AF94" s="56"/>
      <c r="AG94" s="54"/>
      <c r="AH94" s="56"/>
      <c r="AI94" s="82">
        <v>555</v>
      </c>
      <c r="AL94" s="2" t="str">
        <f t="shared" si="1"/>
        <v>50-T10-R</v>
      </c>
    </row>
    <row r="95" spans="1:38" s="2" customFormat="1" x14ac:dyDescent="0.3">
      <c r="A95" s="53" t="s">
        <v>708</v>
      </c>
      <c r="B95" s="54"/>
      <c r="C95" s="55">
        <v>2</v>
      </c>
      <c r="D95" s="55"/>
      <c r="E95" s="56"/>
      <c r="F95" s="54"/>
      <c r="G95" s="55"/>
      <c r="H95" s="56"/>
      <c r="I95" s="54"/>
      <c r="J95" s="55">
        <v>1</v>
      </c>
      <c r="K95" s="55"/>
      <c r="L95" s="55"/>
      <c r="M95" s="56"/>
      <c r="N95" s="54"/>
      <c r="O95" s="55">
        <v>1</v>
      </c>
      <c r="P95" s="55"/>
      <c r="Q95" s="55"/>
      <c r="R95" s="56"/>
      <c r="S95" s="54"/>
      <c r="T95" s="56">
        <v>0</v>
      </c>
      <c r="U95" s="54"/>
      <c r="V95" s="55">
        <v>1</v>
      </c>
      <c r="W95" s="55"/>
      <c r="X95" s="55"/>
      <c r="Y95" s="56"/>
      <c r="Z95" s="54"/>
      <c r="AA95" s="55">
        <v>1</v>
      </c>
      <c r="AB95" s="55"/>
      <c r="AC95" s="55"/>
      <c r="AD95" s="56"/>
      <c r="AE95" s="54"/>
      <c r="AF95" s="56">
        <v>2</v>
      </c>
      <c r="AG95" s="54"/>
      <c r="AH95" s="56">
        <v>1</v>
      </c>
      <c r="AI95" s="82">
        <v>9</v>
      </c>
      <c r="AL95" s="2" t="str">
        <f t="shared" si="1"/>
        <v>67-T10</v>
      </c>
    </row>
    <row r="96" spans="1:38" s="2" customFormat="1" x14ac:dyDescent="0.3">
      <c r="A96" s="53" t="s">
        <v>717</v>
      </c>
      <c r="B96" s="54"/>
      <c r="C96" s="55"/>
      <c r="D96" s="55"/>
      <c r="E96" s="56">
        <v>232</v>
      </c>
      <c r="F96" s="54"/>
      <c r="G96" s="55"/>
      <c r="H96" s="56">
        <v>116</v>
      </c>
      <c r="I96" s="54"/>
      <c r="J96" s="55"/>
      <c r="K96" s="55"/>
      <c r="L96" s="55"/>
      <c r="M96" s="56">
        <v>102</v>
      </c>
      <c r="N96" s="54"/>
      <c r="O96" s="55"/>
      <c r="P96" s="55"/>
      <c r="Q96" s="55"/>
      <c r="R96" s="56">
        <v>73</v>
      </c>
      <c r="S96" s="54"/>
      <c r="T96" s="56">
        <v>12</v>
      </c>
      <c r="U96" s="54"/>
      <c r="V96" s="55"/>
      <c r="W96" s="55"/>
      <c r="X96" s="55"/>
      <c r="Y96" s="56">
        <v>102</v>
      </c>
      <c r="Z96" s="54"/>
      <c r="AA96" s="55"/>
      <c r="AB96" s="55"/>
      <c r="AC96" s="55"/>
      <c r="AD96" s="56">
        <v>73</v>
      </c>
      <c r="AE96" s="54"/>
      <c r="AF96" s="56"/>
      <c r="AG96" s="54"/>
      <c r="AH96" s="56"/>
      <c r="AI96" s="82">
        <v>710</v>
      </c>
      <c r="AL96" s="2" t="str">
        <f>IF(RIGHT(A96,2)="-R",MID(A96,FIND("-",A96)+1,LEN(A96)-FIND("-",A96)-2)&amp;"-"&amp;LEFT(A96,FIND("-",A96)-1)&amp;"-R",MID(A96,FIND("-",A96)+1,99)&amp;"-"&amp;LEFT(A96,FIND("-",A96)-1))</f>
        <v>58-T11-R</v>
      </c>
    </row>
    <row r="97" spans="1:38" s="2" customFormat="1" x14ac:dyDescent="0.3">
      <c r="A97" s="53" t="s">
        <v>725</v>
      </c>
      <c r="B97" s="54"/>
      <c r="C97" s="55"/>
      <c r="D97" s="55">
        <v>182</v>
      </c>
      <c r="E97" s="56"/>
      <c r="F97" s="54"/>
      <c r="G97" s="55">
        <v>91</v>
      </c>
      <c r="H97" s="56"/>
      <c r="I97" s="54"/>
      <c r="J97" s="55"/>
      <c r="K97" s="55"/>
      <c r="L97" s="55">
        <v>91</v>
      </c>
      <c r="M97" s="56"/>
      <c r="N97" s="54"/>
      <c r="O97" s="55"/>
      <c r="P97" s="55"/>
      <c r="Q97" s="55">
        <v>61</v>
      </c>
      <c r="R97" s="56"/>
      <c r="S97" s="54"/>
      <c r="T97" s="56">
        <v>12</v>
      </c>
      <c r="U97" s="54"/>
      <c r="V97" s="55"/>
      <c r="W97" s="55"/>
      <c r="X97" s="55">
        <v>91</v>
      </c>
      <c r="Y97" s="56"/>
      <c r="Z97" s="54"/>
      <c r="AA97" s="55"/>
      <c r="AB97" s="55"/>
      <c r="AC97" s="55">
        <v>61</v>
      </c>
      <c r="AD97" s="56"/>
      <c r="AE97" s="54"/>
      <c r="AF97" s="56"/>
      <c r="AG97" s="54"/>
      <c r="AH97" s="56"/>
      <c r="AI97" s="82">
        <v>589</v>
      </c>
      <c r="AL97" s="2" t="str">
        <f t="shared" si="1"/>
        <v>50-T12-R</v>
      </c>
    </row>
    <row r="98" spans="1:38" s="2" customFormat="1" x14ac:dyDescent="0.3">
      <c r="A98" s="53" t="s">
        <v>733</v>
      </c>
      <c r="B98" s="54"/>
      <c r="C98" s="55"/>
      <c r="D98" s="55"/>
      <c r="E98" s="56">
        <v>229</v>
      </c>
      <c r="F98" s="54"/>
      <c r="G98" s="55"/>
      <c r="H98" s="56">
        <v>115</v>
      </c>
      <c r="I98" s="54"/>
      <c r="J98" s="55"/>
      <c r="K98" s="55"/>
      <c r="L98" s="55"/>
      <c r="M98" s="56">
        <v>100</v>
      </c>
      <c r="N98" s="54"/>
      <c r="O98" s="55"/>
      <c r="P98" s="55"/>
      <c r="Q98" s="55"/>
      <c r="R98" s="56">
        <v>72</v>
      </c>
      <c r="S98" s="54"/>
      <c r="T98" s="56">
        <v>11</v>
      </c>
      <c r="U98" s="54"/>
      <c r="V98" s="55"/>
      <c r="W98" s="55"/>
      <c r="X98" s="55"/>
      <c r="Y98" s="56">
        <v>100</v>
      </c>
      <c r="Z98" s="54"/>
      <c r="AA98" s="55"/>
      <c r="AB98" s="55"/>
      <c r="AC98" s="55"/>
      <c r="AD98" s="56">
        <v>72</v>
      </c>
      <c r="AE98" s="54"/>
      <c r="AF98" s="56"/>
      <c r="AG98" s="54"/>
      <c r="AH98" s="56"/>
      <c r="AI98" s="82">
        <v>699</v>
      </c>
      <c r="AL98" s="2" t="str">
        <f t="shared" si="1"/>
        <v>58-T13-R</v>
      </c>
    </row>
    <row r="99" spans="1:38" s="2" customFormat="1" x14ac:dyDescent="0.3">
      <c r="A99" s="53" t="s">
        <v>741</v>
      </c>
      <c r="B99" s="54"/>
      <c r="C99" s="55"/>
      <c r="D99" s="55">
        <v>7</v>
      </c>
      <c r="E99" s="56"/>
      <c r="F99" s="54"/>
      <c r="G99" s="55">
        <v>3</v>
      </c>
      <c r="H99" s="56"/>
      <c r="I99" s="54"/>
      <c r="J99" s="55"/>
      <c r="K99" s="55"/>
      <c r="L99" s="55">
        <v>3</v>
      </c>
      <c r="M99" s="56"/>
      <c r="N99" s="54"/>
      <c r="O99" s="55"/>
      <c r="P99" s="55"/>
      <c r="Q99" s="55">
        <v>2</v>
      </c>
      <c r="R99" s="56"/>
      <c r="S99" s="54"/>
      <c r="T99" s="56">
        <v>0</v>
      </c>
      <c r="U99" s="54"/>
      <c r="V99" s="55"/>
      <c r="W99" s="55"/>
      <c r="X99" s="55">
        <v>3</v>
      </c>
      <c r="Y99" s="56"/>
      <c r="Z99" s="54"/>
      <c r="AA99" s="55"/>
      <c r="AB99" s="55"/>
      <c r="AC99" s="55">
        <v>2</v>
      </c>
      <c r="AD99" s="56"/>
      <c r="AE99" s="54"/>
      <c r="AF99" s="56"/>
      <c r="AG99" s="54"/>
      <c r="AH99" s="56"/>
      <c r="AI99" s="82">
        <v>20</v>
      </c>
      <c r="AL99" s="2" t="str">
        <f t="shared" si="1"/>
        <v>49-T16-R</v>
      </c>
    </row>
    <row r="100" spans="1:38" s="2" customFormat="1" x14ac:dyDescent="0.3">
      <c r="A100" s="53" t="s">
        <v>749</v>
      </c>
      <c r="B100" s="54"/>
      <c r="C100" s="55"/>
      <c r="D100" s="55"/>
      <c r="E100" s="56">
        <v>226</v>
      </c>
      <c r="F100" s="54"/>
      <c r="G100" s="55"/>
      <c r="H100" s="56">
        <v>113</v>
      </c>
      <c r="I100" s="54"/>
      <c r="J100" s="55"/>
      <c r="K100" s="55"/>
      <c r="L100" s="55"/>
      <c r="M100" s="56">
        <v>99</v>
      </c>
      <c r="N100" s="54"/>
      <c r="O100" s="55"/>
      <c r="P100" s="55"/>
      <c r="Q100" s="55"/>
      <c r="R100" s="56">
        <v>71</v>
      </c>
      <c r="S100" s="54"/>
      <c r="T100" s="56">
        <v>11</v>
      </c>
      <c r="U100" s="54"/>
      <c r="V100" s="55"/>
      <c r="W100" s="55"/>
      <c r="X100" s="55"/>
      <c r="Y100" s="56">
        <v>99</v>
      </c>
      <c r="Z100" s="54"/>
      <c r="AA100" s="55"/>
      <c r="AB100" s="55"/>
      <c r="AC100" s="55"/>
      <c r="AD100" s="56">
        <v>71</v>
      </c>
      <c r="AE100" s="54"/>
      <c r="AF100" s="56"/>
      <c r="AG100" s="54"/>
      <c r="AH100" s="56"/>
      <c r="AI100" s="82">
        <v>690</v>
      </c>
      <c r="AL100" s="2" t="str">
        <f t="shared" si="1"/>
        <v>58-T17-R</v>
      </c>
    </row>
    <row r="101" spans="1:38" s="2" customFormat="1" x14ac:dyDescent="0.3">
      <c r="A101" s="53" t="s">
        <v>757</v>
      </c>
      <c r="B101" s="54"/>
      <c r="C101" s="55"/>
      <c r="D101" s="55"/>
      <c r="E101" s="56">
        <v>227</v>
      </c>
      <c r="F101" s="54"/>
      <c r="G101" s="55"/>
      <c r="H101" s="56">
        <v>114</v>
      </c>
      <c r="I101" s="54"/>
      <c r="J101" s="55"/>
      <c r="K101" s="55"/>
      <c r="L101" s="55"/>
      <c r="M101" s="56">
        <v>100</v>
      </c>
      <c r="N101" s="54"/>
      <c r="O101" s="55"/>
      <c r="P101" s="55"/>
      <c r="Q101" s="55"/>
      <c r="R101" s="56">
        <v>71</v>
      </c>
      <c r="S101" s="54"/>
      <c r="T101" s="56">
        <v>11</v>
      </c>
      <c r="U101" s="54"/>
      <c r="V101" s="55"/>
      <c r="W101" s="55"/>
      <c r="X101" s="55"/>
      <c r="Y101" s="56">
        <v>100</v>
      </c>
      <c r="Z101" s="54"/>
      <c r="AA101" s="55"/>
      <c r="AB101" s="55"/>
      <c r="AC101" s="55"/>
      <c r="AD101" s="56">
        <v>71</v>
      </c>
      <c r="AE101" s="54"/>
      <c r="AF101" s="56"/>
      <c r="AG101" s="54"/>
      <c r="AH101" s="56"/>
      <c r="AI101" s="82">
        <v>694</v>
      </c>
      <c r="AL101" s="2" t="str">
        <f t="shared" si="1"/>
        <v>58-T18-R</v>
      </c>
    </row>
    <row r="102" spans="1:38" s="2" customFormat="1" x14ac:dyDescent="0.3">
      <c r="A102" s="53" t="s">
        <v>765</v>
      </c>
      <c r="B102" s="54"/>
      <c r="C102" s="55">
        <v>7</v>
      </c>
      <c r="D102" s="55"/>
      <c r="E102" s="56"/>
      <c r="F102" s="54"/>
      <c r="G102" s="55"/>
      <c r="H102" s="56"/>
      <c r="I102" s="54"/>
      <c r="J102" s="55">
        <v>3</v>
      </c>
      <c r="K102" s="55"/>
      <c r="L102" s="55"/>
      <c r="M102" s="56"/>
      <c r="N102" s="54"/>
      <c r="O102" s="55">
        <v>2</v>
      </c>
      <c r="P102" s="55"/>
      <c r="Q102" s="55"/>
      <c r="R102" s="56"/>
      <c r="S102" s="54"/>
      <c r="T102" s="56">
        <v>1</v>
      </c>
      <c r="U102" s="54"/>
      <c r="V102" s="55">
        <v>3</v>
      </c>
      <c r="W102" s="55"/>
      <c r="X102" s="55"/>
      <c r="Y102" s="56"/>
      <c r="Z102" s="54"/>
      <c r="AA102" s="55">
        <v>2</v>
      </c>
      <c r="AB102" s="55"/>
      <c r="AC102" s="55"/>
      <c r="AD102" s="56"/>
      <c r="AE102" s="54"/>
      <c r="AF102" s="56">
        <v>4</v>
      </c>
      <c r="AG102" s="54"/>
      <c r="AH102" s="56">
        <v>3</v>
      </c>
      <c r="AI102" s="82">
        <v>25</v>
      </c>
      <c r="AL102" s="2" t="str">
        <f t="shared" si="1"/>
        <v>67-T18</v>
      </c>
    </row>
    <row r="103" spans="1:38" s="2" customFormat="1" x14ac:dyDescent="0.3">
      <c r="A103" s="53" t="s">
        <v>774</v>
      </c>
      <c r="B103" s="54"/>
      <c r="C103" s="55"/>
      <c r="D103" s="55"/>
      <c r="E103" s="56">
        <v>256</v>
      </c>
      <c r="F103" s="54"/>
      <c r="G103" s="55"/>
      <c r="H103" s="56">
        <v>128</v>
      </c>
      <c r="I103" s="54"/>
      <c r="J103" s="55"/>
      <c r="K103" s="55"/>
      <c r="L103" s="55"/>
      <c r="M103" s="56">
        <v>112</v>
      </c>
      <c r="N103" s="54"/>
      <c r="O103" s="55"/>
      <c r="P103" s="55"/>
      <c r="Q103" s="55"/>
      <c r="R103" s="56">
        <v>80</v>
      </c>
      <c r="S103" s="54"/>
      <c r="T103" s="56">
        <v>13</v>
      </c>
      <c r="U103" s="54"/>
      <c r="V103" s="55"/>
      <c r="W103" s="55"/>
      <c r="X103" s="55"/>
      <c r="Y103" s="56">
        <v>112</v>
      </c>
      <c r="Z103" s="54"/>
      <c r="AA103" s="55"/>
      <c r="AB103" s="55"/>
      <c r="AC103" s="55"/>
      <c r="AD103" s="56">
        <v>80</v>
      </c>
      <c r="AE103" s="54"/>
      <c r="AF103" s="56"/>
      <c r="AG103" s="54"/>
      <c r="AH103" s="56"/>
      <c r="AI103" s="82">
        <v>781</v>
      </c>
      <c r="AL103" s="2" t="str">
        <f t="shared" si="1"/>
        <v>56-T19-R</v>
      </c>
    </row>
    <row r="104" spans="1:38" s="2" customFormat="1" x14ac:dyDescent="0.3">
      <c r="A104" s="53" t="s">
        <v>782</v>
      </c>
      <c r="B104" s="54"/>
      <c r="C104" s="55"/>
      <c r="D104" s="55">
        <v>170</v>
      </c>
      <c r="E104" s="56"/>
      <c r="F104" s="54"/>
      <c r="G104" s="55">
        <v>85</v>
      </c>
      <c r="H104" s="56"/>
      <c r="I104" s="54"/>
      <c r="J104" s="55"/>
      <c r="K104" s="55"/>
      <c r="L104" s="55">
        <v>85</v>
      </c>
      <c r="M104" s="56"/>
      <c r="N104" s="54"/>
      <c r="O104" s="55"/>
      <c r="P104" s="55"/>
      <c r="Q104" s="55">
        <v>57</v>
      </c>
      <c r="R104" s="56"/>
      <c r="S104" s="54"/>
      <c r="T104" s="56">
        <v>11</v>
      </c>
      <c r="U104" s="54"/>
      <c r="V104" s="55"/>
      <c r="W104" s="55"/>
      <c r="X104" s="55">
        <v>85</v>
      </c>
      <c r="Y104" s="56"/>
      <c r="Z104" s="54"/>
      <c r="AA104" s="55"/>
      <c r="AB104" s="55"/>
      <c r="AC104" s="55">
        <v>57</v>
      </c>
      <c r="AD104" s="56"/>
      <c r="AE104" s="54"/>
      <c r="AF104" s="56"/>
      <c r="AG104" s="54"/>
      <c r="AH104" s="56"/>
      <c r="AI104" s="82">
        <v>550</v>
      </c>
      <c r="AL104" s="2" t="str">
        <f t="shared" si="1"/>
        <v>49-T20-R</v>
      </c>
    </row>
    <row r="105" spans="1:38" s="2" customFormat="1" x14ac:dyDescent="0.3">
      <c r="A105" s="53" t="s">
        <v>790</v>
      </c>
      <c r="B105" s="54"/>
      <c r="C105" s="55"/>
      <c r="D105" s="55"/>
      <c r="E105" s="56">
        <v>241</v>
      </c>
      <c r="F105" s="54"/>
      <c r="G105" s="55"/>
      <c r="H105" s="56">
        <v>121</v>
      </c>
      <c r="I105" s="54"/>
      <c r="J105" s="55"/>
      <c r="K105" s="55"/>
      <c r="L105" s="55"/>
      <c r="M105" s="56">
        <v>106</v>
      </c>
      <c r="N105" s="54"/>
      <c r="O105" s="55"/>
      <c r="P105" s="55"/>
      <c r="Q105" s="55"/>
      <c r="R105" s="56">
        <v>75</v>
      </c>
      <c r="S105" s="54"/>
      <c r="T105" s="56">
        <v>12</v>
      </c>
      <c r="U105" s="54"/>
      <c r="V105" s="55"/>
      <c r="W105" s="55"/>
      <c r="X105" s="55"/>
      <c r="Y105" s="56">
        <v>106</v>
      </c>
      <c r="Z105" s="54"/>
      <c r="AA105" s="55"/>
      <c r="AB105" s="55"/>
      <c r="AC105" s="55"/>
      <c r="AD105" s="56">
        <v>75</v>
      </c>
      <c r="AE105" s="54"/>
      <c r="AF105" s="56"/>
      <c r="AG105" s="54"/>
      <c r="AH105" s="56"/>
      <c r="AI105" s="82">
        <v>736</v>
      </c>
      <c r="AL105" s="2" t="str">
        <f t="shared" si="1"/>
        <v>56-T21-R</v>
      </c>
    </row>
    <row r="106" spans="1:38" s="2" customFormat="1" x14ac:dyDescent="0.3">
      <c r="A106" s="53" t="s">
        <v>798</v>
      </c>
      <c r="B106" s="54"/>
      <c r="C106" s="55">
        <v>10</v>
      </c>
      <c r="D106" s="55"/>
      <c r="E106" s="56"/>
      <c r="F106" s="54"/>
      <c r="G106" s="55"/>
      <c r="H106" s="56"/>
      <c r="I106" s="54"/>
      <c r="J106" s="55">
        <v>4</v>
      </c>
      <c r="K106" s="55"/>
      <c r="L106" s="55"/>
      <c r="M106" s="56"/>
      <c r="N106" s="54"/>
      <c r="O106" s="55">
        <v>2</v>
      </c>
      <c r="P106" s="55"/>
      <c r="Q106" s="55"/>
      <c r="R106" s="56"/>
      <c r="S106" s="54"/>
      <c r="T106" s="56">
        <v>1</v>
      </c>
      <c r="U106" s="54"/>
      <c r="V106" s="55">
        <v>5</v>
      </c>
      <c r="W106" s="55"/>
      <c r="X106" s="55"/>
      <c r="Y106" s="56"/>
      <c r="Z106" s="54"/>
      <c r="AA106" s="55">
        <v>2</v>
      </c>
      <c r="AB106" s="55"/>
      <c r="AC106" s="55"/>
      <c r="AD106" s="56"/>
      <c r="AE106" s="54"/>
      <c r="AF106" s="56">
        <v>6</v>
      </c>
      <c r="AG106" s="54"/>
      <c r="AH106" s="56">
        <v>4</v>
      </c>
      <c r="AI106" s="82">
        <v>34</v>
      </c>
      <c r="AL106" s="2" t="str">
        <f t="shared" si="1"/>
        <v>67-T21</v>
      </c>
    </row>
    <row r="107" spans="1:38" s="2" customFormat="1" x14ac:dyDescent="0.3">
      <c r="A107" s="53" t="s">
        <v>807</v>
      </c>
      <c r="B107" s="54"/>
      <c r="C107" s="55"/>
      <c r="D107" s="55"/>
      <c r="E107" s="56">
        <v>67</v>
      </c>
      <c r="F107" s="54"/>
      <c r="G107" s="55"/>
      <c r="H107" s="56">
        <v>34</v>
      </c>
      <c r="I107" s="54"/>
      <c r="J107" s="55"/>
      <c r="K107" s="55"/>
      <c r="L107" s="55"/>
      <c r="M107" s="56">
        <v>29</v>
      </c>
      <c r="N107" s="54"/>
      <c r="O107" s="55"/>
      <c r="P107" s="55"/>
      <c r="Q107" s="55"/>
      <c r="R107" s="56">
        <v>21</v>
      </c>
      <c r="S107" s="54"/>
      <c r="T107" s="56">
        <v>3</v>
      </c>
      <c r="U107" s="54"/>
      <c r="V107" s="55"/>
      <c r="W107" s="55"/>
      <c r="X107" s="55"/>
      <c r="Y107" s="56">
        <v>29</v>
      </c>
      <c r="Z107" s="54"/>
      <c r="AA107" s="55"/>
      <c r="AB107" s="55"/>
      <c r="AC107" s="55"/>
      <c r="AD107" s="56">
        <v>21</v>
      </c>
      <c r="AE107" s="54"/>
      <c r="AF107" s="56"/>
      <c r="AG107" s="54"/>
      <c r="AH107" s="56"/>
      <c r="AI107" s="82">
        <v>204</v>
      </c>
      <c r="AL107" s="2" t="str">
        <f t="shared" si="1"/>
        <v>63-T22-R</v>
      </c>
    </row>
    <row r="108" spans="1:38" s="2" customFormat="1" x14ac:dyDescent="0.3">
      <c r="A108" s="53" t="s">
        <v>815</v>
      </c>
      <c r="B108" s="54"/>
      <c r="C108" s="55"/>
      <c r="D108" s="55"/>
      <c r="E108" s="56">
        <v>68</v>
      </c>
      <c r="F108" s="54"/>
      <c r="G108" s="55"/>
      <c r="H108" s="56">
        <v>34</v>
      </c>
      <c r="I108" s="54"/>
      <c r="J108" s="55"/>
      <c r="K108" s="55"/>
      <c r="L108" s="55"/>
      <c r="M108" s="56">
        <v>30</v>
      </c>
      <c r="N108" s="54"/>
      <c r="O108" s="55"/>
      <c r="P108" s="55"/>
      <c r="Q108" s="55"/>
      <c r="R108" s="56">
        <v>21</v>
      </c>
      <c r="S108" s="54"/>
      <c r="T108" s="56">
        <v>3</v>
      </c>
      <c r="U108" s="54"/>
      <c r="V108" s="55"/>
      <c r="W108" s="55"/>
      <c r="X108" s="55"/>
      <c r="Y108" s="56">
        <v>30</v>
      </c>
      <c r="Z108" s="54"/>
      <c r="AA108" s="55"/>
      <c r="AB108" s="55"/>
      <c r="AC108" s="55"/>
      <c r="AD108" s="56">
        <v>21</v>
      </c>
      <c r="AE108" s="54"/>
      <c r="AF108" s="56"/>
      <c r="AG108" s="54"/>
      <c r="AH108" s="56"/>
      <c r="AI108" s="82">
        <v>207</v>
      </c>
      <c r="AL108" s="2" t="str">
        <f t="shared" si="1"/>
        <v>63-T23-R</v>
      </c>
    </row>
    <row r="109" spans="1:38" s="2" customFormat="1" x14ac:dyDescent="0.3">
      <c r="A109" s="53" t="s">
        <v>823</v>
      </c>
      <c r="B109" s="54"/>
      <c r="C109" s="55"/>
      <c r="D109" s="55">
        <v>6</v>
      </c>
      <c r="E109" s="56"/>
      <c r="F109" s="54"/>
      <c r="G109" s="55">
        <v>3</v>
      </c>
      <c r="H109" s="56"/>
      <c r="I109" s="54"/>
      <c r="J109" s="55"/>
      <c r="K109" s="55"/>
      <c r="L109" s="55">
        <v>3</v>
      </c>
      <c r="M109" s="56"/>
      <c r="N109" s="54"/>
      <c r="O109" s="55"/>
      <c r="P109" s="55"/>
      <c r="Q109" s="55">
        <v>2</v>
      </c>
      <c r="R109" s="56"/>
      <c r="S109" s="54"/>
      <c r="T109" s="56">
        <v>0</v>
      </c>
      <c r="U109" s="54"/>
      <c r="V109" s="55"/>
      <c r="W109" s="55"/>
      <c r="X109" s="55">
        <v>3</v>
      </c>
      <c r="Y109" s="56"/>
      <c r="Z109" s="54"/>
      <c r="AA109" s="55"/>
      <c r="AB109" s="55"/>
      <c r="AC109" s="55">
        <v>2</v>
      </c>
      <c r="AD109" s="56"/>
      <c r="AE109" s="54"/>
      <c r="AF109" s="56"/>
      <c r="AG109" s="54"/>
      <c r="AH109" s="56"/>
      <c r="AI109" s="82">
        <v>19</v>
      </c>
      <c r="AL109" s="2" t="str">
        <f t="shared" si="1"/>
        <v>52-T28-R</v>
      </c>
    </row>
    <row r="110" spans="1:38" s="2" customFormat="1" x14ac:dyDescent="0.3">
      <c r="A110" s="53" t="s">
        <v>831</v>
      </c>
      <c r="B110" s="54"/>
      <c r="C110" s="55"/>
      <c r="D110" s="55"/>
      <c r="E110" s="56">
        <v>112</v>
      </c>
      <c r="F110" s="54"/>
      <c r="G110" s="55"/>
      <c r="H110" s="56">
        <v>56</v>
      </c>
      <c r="I110" s="54"/>
      <c r="J110" s="55"/>
      <c r="K110" s="55"/>
      <c r="L110" s="55"/>
      <c r="M110" s="56">
        <v>49</v>
      </c>
      <c r="N110" s="54"/>
      <c r="O110" s="55"/>
      <c r="P110" s="55"/>
      <c r="Q110" s="55"/>
      <c r="R110" s="56">
        <v>35</v>
      </c>
      <c r="S110" s="54"/>
      <c r="T110" s="56">
        <v>6</v>
      </c>
      <c r="U110" s="54"/>
      <c r="V110" s="55"/>
      <c r="W110" s="55"/>
      <c r="X110" s="55"/>
      <c r="Y110" s="56">
        <v>49</v>
      </c>
      <c r="Z110" s="54"/>
      <c r="AA110" s="55"/>
      <c r="AB110" s="55"/>
      <c r="AC110" s="55"/>
      <c r="AD110" s="56">
        <v>35</v>
      </c>
      <c r="AE110" s="54"/>
      <c r="AF110" s="56"/>
      <c r="AG110" s="54"/>
      <c r="AH110" s="56"/>
      <c r="AI110" s="82">
        <v>342</v>
      </c>
      <c r="AL110" s="2" t="str">
        <f t="shared" si="1"/>
        <v>56-T28-R</v>
      </c>
    </row>
    <row r="111" spans="1:38" s="2" customFormat="1" x14ac:dyDescent="0.3">
      <c r="A111" s="53" t="s">
        <v>839</v>
      </c>
      <c r="B111" s="54"/>
      <c r="C111" s="55">
        <v>123</v>
      </c>
      <c r="D111" s="55"/>
      <c r="E111" s="56"/>
      <c r="F111" s="54"/>
      <c r="G111" s="55"/>
      <c r="H111" s="56"/>
      <c r="I111" s="54"/>
      <c r="J111" s="55">
        <v>46</v>
      </c>
      <c r="K111" s="55"/>
      <c r="L111" s="55"/>
      <c r="M111" s="56"/>
      <c r="N111" s="54"/>
      <c r="O111" s="55">
        <v>31</v>
      </c>
      <c r="P111" s="55"/>
      <c r="Q111" s="55"/>
      <c r="R111" s="56"/>
      <c r="S111" s="54"/>
      <c r="T111" s="56">
        <v>12</v>
      </c>
      <c r="U111" s="54"/>
      <c r="V111" s="55">
        <v>61</v>
      </c>
      <c r="W111" s="55"/>
      <c r="X111" s="55"/>
      <c r="Y111" s="56"/>
      <c r="Z111" s="54"/>
      <c r="AA111" s="55">
        <v>31</v>
      </c>
      <c r="AB111" s="55"/>
      <c r="AC111" s="55"/>
      <c r="AD111" s="56"/>
      <c r="AE111" s="54"/>
      <c r="AF111" s="56">
        <v>77</v>
      </c>
      <c r="AG111" s="54"/>
      <c r="AH111" s="56">
        <v>46</v>
      </c>
      <c r="AI111" s="82">
        <v>427</v>
      </c>
      <c r="AL111" s="2" t="str">
        <f t="shared" si="1"/>
        <v>67-T29</v>
      </c>
    </row>
    <row r="112" spans="1:38" s="2" customFormat="1" x14ac:dyDescent="0.3">
      <c r="A112" s="57" t="s">
        <v>848</v>
      </c>
      <c r="B112" s="58"/>
      <c r="C112" s="59">
        <v>131</v>
      </c>
      <c r="D112" s="59"/>
      <c r="E112" s="60"/>
      <c r="F112" s="58"/>
      <c r="G112" s="59"/>
      <c r="H112" s="60"/>
      <c r="I112" s="58"/>
      <c r="J112" s="59">
        <v>49</v>
      </c>
      <c r="K112" s="59"/>
      <c r="L112" s="59"/>
      <c r="M112" s="60"/>
      <c r="N112" s="58"/>
      <c r="O112" s="59">
        <v>33</v>
      </c>
      <c r="P112" s="59"/>
      <c r="Q112" s="59"/>
      <c r="R112" s="60"/>
      <c r="S112" s="58"/>
      <c r="T112" s="60">
        <v>13</v>
      </c>
      <c r="U112" s="58"/>
      <c r="V112" s="59">
        <v>65</v>
      </c>
      <c r="W112" s="59"/>
      <c r="X112" s="59"/>
      <c r="Y112" s="60"/>
      <c r="Z112" s="58"/>
      <c r="AA112" s="59">
        <v>33</v>
      </c>
      <c r="AB112" s="59"/>
      <c r="AC112" s="59"/>
      <c r="AD112" s="60"/>
      <c r="AE112" s="58"/>
      <c r="AF112" s="60">
        <v>82</v>
      </c>
      <c r="AG112" s="58"/>
      <c r="AH112" s="60">
        <v>49</v>
      </c>
      <c r="AI112" s="114">
        <v>455</v>
      </c>
      <c r="AL112" s="2" t="str">
        <f t="shared" si="1"/>
        <v>67-T30</v>
      </c>
    </row>
    <row r="113" spans="1:35" s="2" customFormat="1" ht="14.4" x14ac:dyDescent="0.3">
      <c r="A113" s="10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130"/>
    </row>
    <row r="114" spans="1:35" s="2" customFormat="1" ht="16.2" thickBot="1" x14ac:dyDescent="0.35">
      <c r="A114" s="131" t="s">
        <v>856</v>
      </c>
      <c r="B114" s="132">
        <v>294</v>
      </c>
      <c r="C114" s="121">
        <v>1497</v>
      </c>
      <c r="D114" s="121">
        <v>3037</v>
      </c>
      <c r="E114" s="133">
        <v>11733</v>
      </c>
      <c r="F114" s="132">
        <v>381</v>
      </c>
      <c r="G114" s="121">
        <v>1520</v>
      </c>
      <c r="H114" s="133">
        <v>5868</v>
      </c>
      <c r="I114" s="132">
        <v>74</v>
      </c>
      <c r="J114" s="121">
        <v>214</v>
      </c>
      <c r="K114" s="121">
        <v>579</v>
      </c>
      <c r="L114" s="121">
        <v>1520</v>
      </c>
      <c r="M114" s="133">
        <v>5137</v>
      </c>
      <c r="N114" s="132">
        <v>103</v>
      </c>
      <c r="O114" s="121">
        <v>143</v>
      </c>
      <c r="P114" s="121">
        <v>348</v>
      </c>
      <c r="Q114" s="121">
        <v>1012</v>
      </c>
      <c r="R114" s="133">
        <v>3668</v>
      </c>
      <c r="S114" s="132">
        <v>29</v>
      </c>
      <c r="T114" s="133">
        <v>936</v>
      </c>
      <c r="U114" s="132">
        <v>74</v>
      </c>
      <c r="V114" s="121">
        <v>281</v>
      </c>
      <c r="W114" s="121">
        <v>579</v>
      </c>
      <c r="X114" s="121">
        <v>1520</v>
      </c>
      <c r="Y114" s="133">
        <v>5137</v>
      </c>
      <c r="Z114" s="132">
        <v>103</v>
      </c>
      <c r="AA114" s="121">
        <v>143</v>
      </c>
      <c r="AB114" s="121">
        <v>348</v>
      </c>
      <c r="AC114" s="121">
        <v>1012</v>
      </c>
      <c r="AD114" s="133">
        <v>3668</v>
      </c>
      <c r="AE114" s="132">
        <v>148</v>
      </c>
      <c r="AF114" s="133">
        <v>934</v>
      </c>
      <c r="AG114" s="132">
        <v>148</v>
      </c>
      <c r="AH114" s="133">
        <v>562</v>
      </c>
      <c r="AI114" s="134">
        <v>52750</v>
      </c>
    </row>
    <row r="115" spans="1:35" ht="16.2" thickTop="1" x14ac:dyDescent="0.3"/>
  </sheetData>
  <mergeCells count="19">
    <mergeCell ref="Z5:AD5"/>
    <mergeCell ref="AE5:AF5"/>
    <mergeCell ref="AG5:AH5"/>
    <mergeCell ref="Z4:AD4"/>
    <mergeCell ref="AE4:AF4"/>
    <mergeCell ref="AG4:AH4"/>
    <mergeCell ref="AI4:AI6"/>
    <mergeCell ref="B5:E5"/>
    <mergeCell ref="F5:H5"/>
    <mergeCell ref="I5:M5"/>
    <mergeCell ref="N5:R5"/>
    <mergeCell ref="S5:T5"/>
    <mergeCell ref="U5:Y5"/>
    <mergeCell ref="B4:E4"/>
    <mergeCell ref="F4:H4"/>
    <mergeCell ref="I4:M4"/>
    <mergeCell ref="N4:R4"/>
    <mergeCell ref="S4:T4"/>
    <mergeCell ref="U4: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Fertilizer</vt:lpstr>
      <vt:lpstr>Terrain</vt:lpstr>
      <vt:lpstr>Work system</vt:lpstr>
      <vt:lpstr>Caltivate</vt:lpstr>
      <vt:lpstr>Raw Data</vt:lpstr>
      <vt:lpstr>Pivot</vt:lpstr>
      <vt:lpstr>Pt-Planted Year</vt:lpstr>
      <vt:lpstr>Pt-Area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KohZ Nuklaeo</cp:lastModifiedBy>
  <dcterms:created xsi:type="dcterms:W3CDTF">2026-01-15T06:37:56Z</dcterms:created>
  <dcterms:modified xsi:type="dcterms:W3CDTF">2026-04-20T06:17:06Z</dcterms:modified>
</cp:coreProperties>
</file>