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810" windowWidth="20160" windowHeight="7035" activeTab="4"/>
  </bookViews>
  <sheets>
    <sheet name="จน.ปาล์ม 69 " sheetId="6" r:id="rId1"/>
    <sheet name="ผลผลิต" sheetId="14" r:id="rId2"/>
    <sheet name="ค่าสารเคมี,อัตราจ้าง 69 " sheetId="1" r:id="rId3"/>
    <sheet name="ถางป่าพร้อมทายา 69" sheetId="3" r:id="rId4"/>
    <sheet name="ถากโคน 69" sheetId="7" r:id="rId5"/>
    <sheet name="ตัดหญ้า 69" sheetId="8" r:id="rId6"/>
    <sheet name="ไถ,พรวนดิน 69 " sheetId="9" r:id="rId7"/>
    <sheet name="ฟีโรโมน 69 " sheetId="10" r:id="rId8"/>
    <sheet name="พิโพรนิล 69 " sheetId="11" r:id="rId9"/>
    <sheet name="เจาะฆ่าต้นปาล์ม 69  " sheetId="13" r:id="rId10"/>
    <sheet name="ค่าแรงแหวกโคน 69" sheetId="17" r:id="rId11"/>
  </sheets>
  <definedNames>
    <definedName name="_xlnm.Print_Area" localSheetId="2">'ค่าสารเคมี,อัตราจ้าง 69 '!$A$1:$T$208</definedName>
    <definedName name="_xlnm.Print_Titles" localSheetId="10">'ค่าแรงแหวกโคน 69'!$1:$3</definedName>
    <definedName name="_xlnm.Print_Titles" localSheetId="2">'ค่าสารเคมี,อัตราจ้าง 69 '!$1:$5</definedName>
    <definedName name="_xlnm.Print_Titles" localSheetId="0">'จน.ปาล์ม 69 '!$2:$2</definedName>
    <definedName name="_xlnm.Print_Titles" localSheetId="5">'ตัดหญ้า 69'!$1:$4</definedName>
    <definedName name="_xlnm.Print_Titles" localSheetId="3">'ถางป่าพร้อมทายา 69'!$1:$3</definedName>
    <definedName name="_xlnm.Print_Titles" localSheetId="1">ผลผลิต!$1:$3</definedName>
  </definedNames>
  <calcPr calcId="145621"/>
</workbook>
</file>

<file path=xl/calcChain.xml><?xml version="1.0" encoding="utf-8"?>
<calcChain xmlns="http://schemas.openxmlformats.org/spreadsheetml/2006/main">
  <c r="E6" i="11" l="1"/>
  <c r="K20" i="14" l="1"/>
  <c r="K21" i="14"/>
  <c r="K5" i="14"/>
  <c r="F7" i="13" l="1"/>
  <c r="I6" i="17" l="1"/>
  <c r="F7" i="11" l="1"/>
  <c r="F6" i="11"/>
  <c r="D27" i="10"/>
  <c r="E28" i="10"/>
  <c r="I28" i="10"/>
  <c r="I8" i="9"/>
  <c r="I7" i="9"/>
  <c r="M7" i="8"/>
  <c r="F7" i="7"/>
  <c r="H6" i="3"/>
  <c r="AC8" i="1"/>
  <c r="U8" i="1"/>
  <c r="M8" i="1"/>
  <c r="I104" i="17" l="1"/>
  <c r="I100" i="17"/>
  <c r="F104" i="17"/>
  <c r="E104" i="17"/>
  <c r="F103" i="17"/>
  <c r="I103" i="17" s="1"/>
  <c r="E103" i="17"/>
  <c r="F102" i="17"/>
  <c r="I102" i="17" s="1"/>
  <c r="E102" i="17"/>
  <c r="F101" i="17"/>
  <c r="I101" i="17" s="1"/>
  <c r="E101" i="17"/>
  <c r="F100" i="17"/>
  <c r="E100" i="17"/>
  <c r="F99" i="17"/>
  <c r="I99" i="17" s="1"/>
  <c r="E99" i="17"/>
  <c r="F95" i="17"/>
  <c r="I95" i="17" s="1"/>
  <c r="E95" i="17"/>
  <c r="F94" i="17"/>
  <c r="I94" i="17" s="1"/>
  <c r="E94" i="17"/>
  <c r="F89" i="17"/>
  <c r="I89" i="17" s="1"/>
  <c r="E89" i="17"/>
  <c r="F88" i="17"/>
  <c r="I88" i="17" s="1"/>
  <c r="E88" i="17"/>
  <c r="F87" i="17"/>
  <c r="I87" i="17" s="1"/>
  <c r="E87" i="17"/>
  <c r="F84" i="17"/>
  <c r="I84" i="17" s="1"/>
  <c r="E84" i="17"/>
  <c r="F83" i="17"/>
  <c r="I83" i="17" s="1"/>
  <c r="E83" i="17"/>
  <c r="F82" i="17"/>
  <c r="I82" i="17" s="1"/>
  <c r="E82" i="17"/>
  <c r="F81" i="17"/>
  <c r="I81" i="17" s="1"/>
  <c r="E81" i="17"/>
  <c r="F80" i="17"/>
  <c r="I80" i="17" s="1"/>
  <c r="E80" i="17"/>
  <c r="E74" i="17"/>
  <c r="F75" i="17"/>
  <c r="I75" i="17" s="1"/>
  <c r="E72" i="17"/>
  <c r="F72" i="17"/>
  <c r="I72" i="17" s="1"/>
  <c r="E73" i="17"/>
  <c r="F73" i="17"/>
  <c r="I73" i="17" s="1"/>
  <c r="F74" i="17"/>
  <c r="I74" i="17" s="1"/>
  <c r="E75" i="17"/>
  <c r="F71" i="17"/>
  <c r="I71" i="17" s="1"/>
  <c r="E71" i="17"/>
  <c r="F68" i="17"/>
  <c r="I68" i="17" s="1"/>
  <c r="E68" i="17"/>
  <c r="F67" i="17"/>
  <c r="I67" i="17" s="1"/>
  <c r="E67" i="17"/>
  <c r="F66" i="17"/>
  <c r="I66" i="17" s="1"/>
  <c r="E66" i="17"/>
  <c r="F65" i="17"/>
  <c r="I65" i="17" s="1"/>
  <c r="E65" i="17"/>
  <c r="I57" i="17"/>
  <c r="F60" i="17"/>
  <c r="I60" i="17" s="1"/>
  <c r="E60" i="17"/>
  <c r="F59" i="17"/>
  <c r="I59" i="17" s="1"/>
  <c r="E59" i="17"/>
  <c r="F58" i="17"/>
  <c r="I58" i="17" s="1"/>
  <c r="E58" i="17"/>
  <c r="F57" i="17"/>
  <c r="E57" i="17"/>
  <c r="F54" i="17"/>
  <c r="I54" i="17" s="1"/>
  <c r="E54" i="17"/>
  <c r="F53" i="17"/>
  <c r="I53" i="17" s="1"/>
  <c r="E53" i="17"/>
  <c r="F48" i="17"/>
  <c r="I48" i="17" s="1"/>
  <c r="E48" i="17"/>
  <c r="F39" i="17"/>
  <c r="I39" i="17" s="1"/>
  <c r="F47" i="17"/>
  <c r="I47" i="17" s="1"/>
  <c r="E47" i="17"/>
  <c r="F46" i="17"/>
  <c r="I46" i="17" s="1"/>
  <c r="E46" i="17"/>
  <c r="F45" i="17"/>
  <c r="I45" i="17" s="1"/>
  <c r="E45" i="17"/>
  <c r="F44" i="17"/>
  <c r="I44" i="17" s="1"/>
  <c r="E44" i="17"/>
  <c r="F41" i="17"/>
  <c r="I41" i="17" s="1"/>
  <c r="E41" i="17"/>
  <c r="F40" i="17"/>
  <c r="I40" i="17" s="1"/>
  <c r="E40" i="17"/>
  <c r="E39" i="17"/>
  <c r="E31" i="17"/>
  <c r="F31" i="17"/>
  <c r="I31" i="17" s="1"/>
  <c r="E32" i="17"/>
  <c r="F32" i="17"/>
  <c r="I32" i="17" s="1"/>
  <c r="E33" i="17"/>
  <c r="F33" i="17"/>
  <c r="I33" i="17" s="1"/>
  <c r="E34" i="17"/>
  <c r="F34" i="17"/>
  <c r="I34" i="17" s="1"/>
  <c r="F26" i="17"/>
  <c r="I26" i="17" s="1"/>
  <c r="F27" i="17"/>
  <c r="I27" i="17" s="1"/>
  <c r="E26" i="17"/>
  <c r="E27" i="17"/>
  <c r="F25" i="17"/>
  <c r="I25" i="17" s="1"/>
  <c r="E25" i="17"/>
  <c r="D20" i="17"/>
  <c r="F20" i="17" s="1"/>
  <c r="I20" i="17" s="1"/>
  <c r="C20" i="17"/>
  <c r="E20" i="17" s="1"/>
  <c r="D19" i="17"/>
  <c r="F19" i="17" s="1"/>
  <c r="I19" i="17" s="1"/>
  <c r="C19" i="17"/>
  <c r="E19" i="17" s="1"/>
  <c r="D16" i="17"/>
  <c r="F16" i="17" s="1"/>
  <c r="I16" i="17" s="1"/>
  <c r="D15" i="17"/>
  <c r="F15" i="17" s="1"/>
  <c r="I15" i="17" s="1"/>
  <c r="D14" i="17"/>
  <c r="F14" i="17" s="1"/>
  <c r="I14" i="17" s="1"/>
  <c r="C16" i="17"/>
  <c r="E16" i="17" s="1"/>
  <c r="C15" i="17"/>
  <c r="E15" i="17" s="1"/>
  <c r="C14" i="17"/>
  <c r="E14" i="17" s="1"/>
  <c r="D6" i="17"/>
  <c r="F6" i="17" s="1"/>
  <c r="I7" i="17" s="1"/>
  <c r="C6" i="17"/>
  <c r="E6" i="17" s="1"/>
  <c r="E30" i="17"/>
  <c r="E98" i="17"/>
  <c r="F98" i="17"/>
  <c r="I98" i="17" s="1"/>
  <c r="F30" i="17"/>
  <c r="I30" i="17" s="1"/>
  <c r="D10" i="17"/>
  <c r="F10" i="17" s="1"/>
  <c r="I10" i="17" s="1"/>
  <c r="C10" i="17"/>
  <c r="E10" i="17" s="1"/>
  <c r="D9" i="17"/>
  <c r="F9" i="17" s="1"/>
  <c r="I9" i="17" s="1"/>
  <c r="C9" i="17"/>
  <c r="E9" i="17" s="1"/>
  <c r="I96" i="17" l="1"/>
  <c r="I105" i="17"/>
  <c r="I106" i="17" s="1"/>
  <c r="I90" i="17"/>
  <c r="I85" i="17"/>
  <c r="I69" i="17"/>
  <c r="I76" i="17"/>
  <c r="I61" i="17"/>
  <c r="I55" i="17"/>
  <c r="I42" i="17"/>
  <c r="I49" i="17"/>
  <c r="I35" i="17"/>
  <c r="I28" i="17"/>
  <c r="I11" i="17"/>
  <c r="I17" i="17"/>
  <c r="I21" i="17"/>
  <c r="I91" i="17" l="1"/>
  <c r="I77" i="17"/>
  <c r="I50" i="17"/>
  <c r="I62" i="17"/>
  <c r="I36" i="17"/>
  <c r="I22" i="17"/>
  <c r="J96" i="14"/>
  <c r="K96" i="14"/>
  <c r="I96" i="14"/>
  <c r="F96" i="14"/>
  <c r="E96" i="14"/>
  <c r="H96" i="14" s="1"/>
  <c r="J95" i="14"/>
  <c r="H95" i="14"/>
  <c r="K95" i="14"/>
  <c r="I95" i="14"/>
  <c r="F95" i="14"/>
  <c r="E95" i="14"/>
  <c r="H94" i="14"/>
  <c r="H93" i="14"/>
  <c r="I93" i="14"/>
  <c r="J94" i="14"/>
  <c r="K94" i="14"/>
  <c r="I94" i="14"/>
  <c r="F94" i="14"/>
  <c r="E94" i="14"/>
  <c r="E93" i="14"/>
  <c r="F93" i="14"/>
  <c r="J93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H92" i="14"/>
  <c r="H91" i="14"/>
  <c r="H90" i="14"/>
  <c r="H89" i="14"/>
  <c r="H88" i="14"/>
  <c r="G93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K74" i="14"/>
  <c r="K93" i="14" s="1"/>
  <c r="H74" i="14"/>
  <c r="K72" i="14"/>
  <c r="K71" i="14"/>
  <c r="K61" i="14"/>
  <c r="K59" i="14"/>
  <c r="K58" i="14"/>
  <c r="J73" i="14"/>
  <c r="I73" i="14"/>
  <c r="F73" i="14"/>
  <c r="G73" i="14"/>
  <c r="E73" i="14"/>
  <c r="H72" i="14"/>
  <c r="H71" i="14"/>
  <c r="K70" i="14"/>
  <c r="H70" i="14"/>
  <c r="K69" i="14"/>
  <c r="H69" i="14"/>
  <c r="K68" i="14"/>
  <c r="H68" i="14"/>
  <c r="K67" i="14"/>
  <c r="H67" i="14"/>
  <c r="K66" i="14"/>
  <c r="H66" i="14"/>
  <c r="K65" i="14"/>
  <c r="H65" i="14"/>
  <c r="K64" i="14"/>
  <c r="H64" i="14"/>
  <c r="K63" i="14"/>
  <c r="H63" i="14"/>
  <c r="K62" i="14"/>
  <c r="H62" i="14"/>
  <c r="H61" i="14"/>
  <c r="K60" i="14"/>
  <c r="H60" i="14"/>
  <c r="H59" i="14"/>
  <c r="H58" i="14"/>
  <c r="K55" i="14"/>
  <c r="K54" i="14"/>
  <c r="K53" i="14"/>
  <c r="K56" i="14" s="1"/>
  <c r="J56" i="14"/>
  <c r="I56" i="14"/>
  <c r="G56" i="14"/>
  <c r="F56" i="14"/>
  <c r="E56" i="14"/>
  <c r="I52" i="14"/>
  <c r="J52" i="14"/>
  <c r="K50" i="14"/>
  <c r="F52" i="14"/>
  <c r="E52" i="14"/>
  <c r="G52" i="14"/>
  <c r="K51" i="14"/>
  <c r="K49" i="14"/>
  <c r="K48" i="14"/>
  <c r="K47" i="14"/>
  <c r="K46" i="14"/>
  <c r="K45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30" i="14"/>
  <c r="J44" i="14"/>
  <c r="H41" i="14"/>
  <c r="H40" i="14"/>
  <c r="H39" i="14"/>
  <c r="H38" i="14"/>
  <c r="H37" i="14"/>
  <c r="H36" i="14"/>
  <c r="H35" i="14"/>
  <c r="H34" i="14"/>
  <c r="F44" i="14"/>
  <c r="E44" i="14"/>
  <c r="I44" i="14"/>
  <c r="G44" i="14"/>
  <c r="H43" i="14"/>
  <c r="H42" i="14"/>
  <c r="H33" i="14"/>
  <c r="H32" i="14"/>
  <c r="H31" i="14"/>
  <c r="H30" i="14"/>
  <c r="I29" i="14"/>
  <c r="F29" i="14"/>
  <c r="E29" i="14"/>
  <c r="J29" i="14"/>
  <c r="K26" i="14"/>
  <c r="K27" i="14"/>
  <c r="K28" i="14"/>
  <c r="H22" i="14"/>
  <c r="G29" i="14"/>
  <c r="H28" i="14"/>
  <c r="H27" i="14"/>
  <c r="H26" i="14"/>
  <c r="K25" i="14"/>
  <c r="H25" i="14"/>
  <c r="K24" i="14"/>
  <c r="H24" i="14"/>
  <c r="K23" i="14"/>
  <c r="H23" i="14"/>
  <c r="K22" i="14"/>
  <c r="E21" i="14"/>
  <c r="J21" i="14"/>
  <c r="K8" i="14"/>
  <c r="K6" i="14"/>
  <c r="K7" i="14"/>
  <c r="K9" i="14"/>
  <c r="K10" i="14"/>
  <c r="K11" i="14"/>
  <c r="K12" i="14"/>
  <c r="K13" i="14"/>
  <c r="K14" i="14"/>
  <c r="K15" i="14"/>
  <c r="K16" i="14"/>
  <c r="K17" i="14"/>
  <c r="K18" i="14"/>
  <c r="K19" i="14"/>
  <c r="G21" i="14"/>
  <c r="I21" i="14"/>
  <c r="H19" i="14"/>
  <c r="H20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6" i="14"/>
  <c r="H5" i="14"/>
  <c r="F21" i="14"/>
  <c r="H56" i="14" l="1"/>
  <c r="K73" i="14"/>
  <c r="H73" i="14"/>
  <c r="K44" i="14"/>
  <c r="H52" i="14"/>
  <c r="K52" i="14"/>
  <c r="H29" i="14"/>
  <c r="H44" i="14"/>
  <c r="K29" i="14"/>
  <c r="H21" i="14"/>
  <c r="H166" i="6" l="1"/>
  <c r="H165" i="6"/>
  <c r="F165" i="6"/>
  <c r="F164" i="6"/>
  <c r="E165" i="6"/>
  <c r="H164" i="6"/>
  <c r="H157" i="6"/>
  <c r="H158" i="6"/>
  <c r="H159" i="6"/>
  <c r="H160" i="6"/>
  <c r="H161" i="6"/>
  <c r="H162" i="6"/>
  <c r="H163" i="6"/>
  <c r="H156" i="6"/>
  <c r="F155" i="6"/>
  <c r="E155" i="6"/>
  <c r="H155" i="6"/>
  <c r="H154" i="6"/>
  <c r="H153" i="6"/>
  <c r="H152" i="6"/>
  <c r="H151" i="6"/>
  <c r="H150" i="6"/>
  <c r="H149" i="6"/>
  <c r="H148" i="6"/>
  <c r="H135" i="6"/>
  <c r="E147" i="6" l="1"/>
  <c r="H146" i="6"/>
  <c r="H145" i="6"/>
  <c r="H144" i="6"/>
  <c r="H143" i="6"/>
  <c r="H142" i="6"/>
  <c r="H141" i="6"/>
  <c r="H140" i="6"/>
  <c r="H139" i="6"/>
  <c r="H138" i="6"/>
  <c r="H136" i="6"/>
  <c r="E136" i="6"/>
  <c r="H125" i="6"/>
  <c r="H126" i="6"/>
  <c r="H127" i="6"/>
  <c r="H128" i="6"/>
  <c r="H129" i="6"/>
  <c r="H130" i="6"/>
  <c r="H131" i="6"/>
  <c r="H132" i="6"/>
  <c r="H133" i="6"/>
  <c r="H134" i="6"/>
  <c r="H124" i="6"/>
  <c r="H123" i="6"/>
  <c r="F123" i="6"/>
  <c r="E123" i="6"/>
  <c r="H122" i="6"/>
  <c r="H121" i="6"/>
  <c r="H120" i="6"/>
  <c r="H119" i="6"/>
  <c r="H118" i="6"/>
  <c r="H116" i="6"/>
  <c r="E116" i="6"/>
  <c r="H115" i="6"/>
  <c r="H114" i="6"/>
  <c r="H113" i="6"/>
  <c r="H112" i="6"/>
  <c r="E112" i="6"/>
  <c r="F112" i="6"/>
  <c r="H111" i="6"/>
  <c r="H109" i="6"/>
  <c r="H108" i="6"/>
  <c r="H110" i="6"/>
  <c r="H106" i="6"/>
  <c r="H105" i="6"/>
  <c r="H104" i="6"/>
  <c r="H103" i="6"/>
  <c r="H102" i="6"/>
  <c r="F99" i="6"/>
  <c r="H98" i="6"/>
  <c r="H97" i="6"/>
  <c r="H96" i="6"/>
  <c r="E96" i="6"/>
  <c r="E99" i="6" s="1"/>
  <c r="H99" i="6" s="1"/>
  <c r="H100" i="6" s="1"/>
  <c r="F96" i="6"/>
  <c r="H94" i="6"/>
  <c r="H95" i="6"/>
  <c r="H93" i="6"/>
  <c r="H92" i="6"/>
  <c r="H91" i="6"/>
  <c r="H90" i="6"/>
  <c r="H89" i="6"/>
  <c r="H88" i="6"/>
  <c r="H86" i="6"/>
  <c r="H85" i="6"/>
  <c r="E86" i="6"/>
  <c r="H84" i="6"/>
  <c r="H83" i="6"/>
  <c r="H82" i="6"/>
  <c r="F80" i="6"/>
  <c r="F79" i="6"/>
  <c r="H77" i="6"/>
  <c r="H78" i="6"/>
  <c r="F78" i="6"/>
  <c r="E78" i="6"/>
  <c r="H71" i="6"/>
  <c r="H72" i="6"/>
  <c r="H76" i="6" s="1"/>
  <c r="H79" i="6" s="1"/>
  <c r="H80" i="6" s="1"/>
  <c r="H73" i="6"/>
  <c r="H74" i="6"/>
  <c r="H75" i="6"/>
  <c r="F76" i="6"/>
  <c r="E76" i="6"/>
  <c r="E79" i="6" s="1"/>
  <c r="E80" i="6" s="1"/>
  <c r="H70" i="6"/>
  <c r="E70" i="6"/>
  <c r="H69" i="6"/>
  <c r="H68" i="6"/>
  <c r="H67" i="6"/>
  <c r="F70" i="6"/>
  <c r="H66" i="6"/>
  <c r="H65" i="6"/>
  <c r="H63" i="6"/>
  <c r="F63" i="6"/>
  <c r="E63" i="6"/>
  <c r="E62" i="6"/>
  <c r="F62" i="6"/>
  <c r="H62" i="6"/>
  <c r="H61" i="6"/>
  <c r="H60" i="6"/>
  <c r="H59" i="6"/>
  <c r="E58" i="6"/>
  <c r="F58" i="6"/>
  <c r="H58" i="6"/>
  <c r="H48" i="6"/>
  <c r="H40" i="6"/>
  <c r="H41" i="6" s="1"/>
  <c r="H39" i="6"/>
  <c r="H33" i="6"/>
  <c r="H27" i="6"/>
  <c r="H21" i="6"/>
  <c r="H20" i="6"/>
  <c r="H15" i="6"/>
  <c r="H14" i="6"/>
  <c r="H13" i="6"/>
  <c r="H11" i="6"/>
  <c r="H7" i="6"/>
  <c r="H4" i="6"/>
  <c r="H5" i="6"/>
  <c r="H49" i="6"/>
  <c r="H50" i="6"/>
  <c r="H51" i="6"/>
  <c r="H52" i="6"/>
  <c r="H53" i="6"/>
  <c r="H54" i="6"/>
  <c r="H55" i="6"/>
  <c r="H56" i="6"/>
  <c r="H57" i="6"/>
  <c r="H44" i="6"/>
  <c r="F45" i="6"/>
  <c r="F44" i="6"/>
  <c r="E44" i="6"/>
  <c r="H43" i="6"/>
  <c r="H42" i="6"/>
  <c r="H29" i="6"/>
  <c r="E38" i="6"/>
  <c r="H32" i="6"/>
  <c r="H37" i="6"/>
  <c r="H36" i="6"/>
  <c r="H35" i="6"/>
  <c r="H34" i="6"/>
  <c r="H30" i="6"/>
  <c r="E30" i="6"/>
  <c r="H25" i="6"/>
  <c r="H28" i="6"/>
  <c r="H26" i="6"/>
  <c r="H24" i="6"/>
  <c r="H22" i="6"/>
  <c r="H23" i="6"/>
  <c r="H17" i="6"/>
  <c r="H16" i="6"/>
  <c r="H12" i="6"/>
  <c r="H8" i="6"/>
  <c r="F17" i="13"/>
  <c r="H17" i="13"/>
  <c r="H16" i="13"/>
  <c r="H14" i="13"/>
  <c r="H15" i="13"/>
  <c r="H13" i="13"/>
  <c r="F16" i="13"/>
  <c r="F15" i="13"/>
  <c r="F14" i="13"/>
  <c r="F13" i="13"/>
  <c r="D16" i="13"/>
  <c r="C16" i="13"/>
  <c r="H8" i="13"/>
  <c r="H7" i="13"/>
  <c r="F8" i="13"/>
  <c r="F9" i="13" s="1"/>
  <c r="F10" i="13" s="1"/>
  <c r="F7" i="8"/>
  <c r="D9" i="13"/>
  <c r="C9" i="13"/>
  <c r="H38" i="11"/>
  <c r="H32" i="11"/>
  <c r="H33" i="11"/>
  <c r="H34" i="11"/>
  <c r="F37" i="11"/>
  <c r="F36" i="11"/>
  <c r="F35" i="11"/>
  <c r="F34" i="11"/>
  <c r="F33" i="11"/>
  <c r="F32" i="11"/>
  <c r="F31" i="11"/>
  <c r="E38" i="11"/>
  <c r="E32" i="11"/>
  <c r="E33" i="11"/>
  <c r="E34" i="11"/>
  <c r="E35" i="11"/>
  <c r="E36" i="11"/>
  <c r="E37" i="11"/>
  <c r="E31" i="11"/>
  <c r="E164" i="6"/>
  <c r="B38" i="11"/>
  <c r="C38" i="11"/>
  <c r="E28" i="11"/>
  <c r="H28" i="11" s="1"/>
  <c r="E27" i="11"/>
  <c r="H27" i="11" s="1"/>
  <c r="C29" i="11"/>
  <c r="B29" i="11"/>
  <c r="F23" i="11"/>
  <c r="E23" i="11"/>
  <c r="H23" i="11" s="1"/>
  <c r="E22" i="11"/>
  <c r="H22" i="11" s="1"/>
  <c r="E21" i="11"/>
  <c r="H21" i="11" s="1"/>
  <c r="C24" i="11"/>
  <c r="B24" i="11"/>
  <c r="B19" i="11"/>
  <c r="C19" i="11"/>
  <c r="H6" i="11"/>
  <c r="E14" i="11"/>
  <c r="E10" i="11"/>
  <c r="F10" i="11" s="1"/>
  <c r="E15" i="11"/>
  <c r="F15" i="11" s="1"/>
  <c r="E9" i="11"/>
  <c r="F9" i="11" s="1"/>
  <c r="E16" i="11"/>
  <c r="F16" i="11" s="1"/>
  <c r="E17" i="11"/>
  <c r="F17" i="11" s="1"/>
  <c r="E18" i="11"/>
  <c r="F18" i="11" s="1"/>
  <c r="B11" i="11"/>
  <c r="C11" i="11"/>
  <c r="E7" i="11"/>
  <c r="H7" i="11" s="1"/>
  <c r="E8" i="11"/>
  <c r="H8" i="11" s="1"/>
  <c r="F28" i="11"/>
  <c r="H31" i="11"/>
  <c r="D31" i="10"/>
  <c r="I38" i="10"/>
  <c r="I32" i="10"/>
  <c r="I33" i="10"/>
  <c r="I34" i="10"/>
  <c r="I35" i="10"/>
  <c r="I36" i="10"/>
  <c r="I37" i="10"/>
  <c r="I31" i="10"/>
  <c r="H38" i="10"/>
  <c r="H32" i="10"/>
  <c r="H33" i="10"/>
  <c r="H34" i="10"/>
  <c r="H35" i="10"/>
  <c r="H36" i="10"/>
  <c r="H37" i="10"/>
  <c r="H31" i="10"/>
  <c r="E38" i="10"/>
  <c r="G38" i="10"/>
  <c r="F38" i="10"/>
  <c r="G32" i="10"/>
  <c r="G33" i="10"/>
  <c r="G34" i="10"/>
  <c r="G35" i="10"/>
  <c r="G36" i="10"/>
  <c r="G37" i="10"/>
  <c r="G31" i="10"/>
  <c r="F37" i="10"/>
  <c r="F32" i="10"/>
  <c r="F33" i="10"/>
  <c r="F34" i="10"/>
  <c r="F35" i="10"/>
  <c r="F36" i="10"/>
  <c r="F31" i="10"/>
  <c r="E32" i="10"/>
  <c r="E33" i="10"/>
  <c r="E34" i="10"/>
  <c r="E35" i="10"/>
  <c r="E36" i="10"/>
  <c r="E37" i="10"/>
  <c r="E31" i="10"/>
  <c r="C38" i="10"/>
  <c r="B38" i="10"/>
  <c r="H28" i="10"/>
  <c r="H27" i="10"/>
  <c r="G28" i="10"/>
  <c r="G27" i="10"/>
  <c r="G29" i="10" s="1"/>
  <c r="F28" i="10"/>
  <c r="F27" i="10"/>
  <c r="E27" i="10"/>
  <c r="I27" i="10" s="1"/>
  <c r="B29" i="10"/>
  <c r="C29" i="10"/>
  <c r="H23" i="10"/>
  <c r="H22" i="10"/>
  <c r="H21" i="10"/>
  <c r="G23" i="10"/>
  <c r="G22" i="10"/>
  <c r="G21" i="10"/>
  <c r="F23" i="10"/>
  <c r="F22" i="10"/>
  <c r="F21" i="10"/>
  <c r="E23" i="10"/>
  <c r="E22" i="10"/>
  <c r="E21" i="10"/>
  <c r="C24" i="10"/>
  <c r="B24" i="10"/>
  <c r="C19" i="10"/>
  <c r="B19" i="10"/>
  <c r="I14" i="10"/>
  <c r="E18" i="10"/>
  <c r="E17" i="10"/>
  <c r="E16" i="10"/>
  <c r="F15" i="10"/>
  <c r="G15" i="10"/>
  <c r="H15" i="10"/>
  <c r="F16" i="10"/>
  <c r="G16" i="10"/>
  <c r="H16" i="10"/>
  <c r="F17" i="10"/>
  <c r="G17" i="10"/>
  <c r="H17" i="10"/>
  <c r="F18" i="10"/>
  <c r="G18" i="10"/>
  <c r="H18" i="10"/>
  <c r="B11" i="10"/>
  <c r="F7" i="10"/>
  <c r="F8" i="10"/>
  <c r="F9" i="10"/>
  <c r="F10" i="10"/>
  <c r="F6" i="10"/>
  <c r="E6" i="10"/>
  <c r="H11" i="10"/>
  <c r="G11" i="10"/>
  <c r="E7" i="10"/>
  <c r="E8" i="10"/>
  <c r="E9" i="10"/>
  <c r="I9" i="10" s="1"/>
  <c r="E10" i="10"/>
  <c r="C11" i="10"/>
  <c r="H6" i="6" l="1"/>
  <c r="H9" i="6" s="1"/>
  <c r="H18" i="6" s="1"/>
  <c r="H38" i="6"/>
  <c r="H45" i="6" s="1"/>
  <c r="H46" i="6" s="1"/>
  <c r="H9" i="13"/>
  <c r="H10" i="13" s="1"/>
  <c r="E29" i="11"/>
  <c r="H29" i="11" s="1"/>
  <c r="E19" i="11"/>
  <c r="H19" i="11" s="1"/>
  <c r="H10" i="11"/>
  <c r="F22" i="11"/>
  <c r="F14" i="11"/>
  <c r="F19" i="11" s="1"/>
  <c r="H18" i="11"/>
  <c r="F21" i="11"/>
  <c r="E24" i="11"/>
  <c r="H24" i="11" s="1"/>
  <c r="H17" i="11"/>
  <c r="H14" i="11"/>
  <c r="H16" i="11"/>
  <c r="H9" i="11"/>
  <c r="H15" i="11"/>
  <c r="E11" i="11"/>
  <c r="H11" i="11" s="1"/>
  <c r="H36" i="11"/>
  <c r="F8" i="11"/>
  <c r="H35" i="11"/>
  <c r="F27" i="11"/>
  <c r="F29" i="11" s="1"/>
  <c r="H37" i="11"/>
  <c r="I29" i="10"/>
  <c r="E29" i="10"/>
  <c r="F29" i="10"/>
  <c r="H29" i="10"/>
  <c r="I17" i="10"/>
  <c r="E19" i="10"/>
  <c r="I22" i="10"/>
  <c r="I23" i="10"/>
  <c r="H24" i="10"/>
  <c r="I21" i="10"/>
  <c r="F19" i="10"/>
  <c r="I8" i="10"/>
  <c r="I18" i="10"/>
  <c r="I16" i="10"/>
  <c r="H19" i="10"/>
  <c r="G19" i="10"/>
  <c r="I15" i="10"/>
  <c r="E11" i="10"/>
  <c r="F11" i="10" s="1"/>
  <c r="I6" i="10"/>
  <c r="I7" i="10"/>
  <c r="I10" i="10"/>
  <c r="E24" i="10"/>
  <c r="F24" i="11" l="1"/>
  <c r="F11" i="11"/>
  <c r="F38" i="11"/>
  <c r="I24" i="10"/>
  <c r="D21" i="10" s="1"/>
  <c r="I11" i="10"/>
  <c r="D6" i="10" s="1"/>
  <c r="I19" i="10"/>
  <c r="D14" i="10" s="1"/>
  <c r="G24" i="10"/>
  <c r="F24" i="10"/>
  <c r="Q128" i="8" l="1"/>
  <c r="O128" i="8"/>
  <c r="M128" i="8"/>
  <c r="R119" i="8"/>
  <c r="I119" i="8"/>
  <c r="J119" i="8"/>
  <c r="M118" i="8"/>
  <c r="N118" i="8"/>
  <c r="O118" i="8"/>
  <c r="M117" i="8"/>
  <c r="N117" i="8"/>
  <c r="O117" i="8"/>
  <c r="L118" i="8"/>
  <c r="L117" i="8"/>
  <c r="K118" i="8"/>
  <c r="I118" i="8"/>
  <c r="K117" i="8"/>
  <c r="I117" i="8"/>
  <c r="F119" i="8"/>
  <c r="E119" i="8"/>
  <c r="D119" i="8"/>
  <c r="C119" i="8"/>
  <c r="P119" i="8"/>
  <c r="N119" i="8"/>
  <c r="L119" i="8"/>
  <c r="H119" i="8"/>
  <c r="Q118" i="8"/>
  <c r="P118" i="8"/>
  <c r="F118" i="8"/>
  <c r="E118" i="8"/>
  <c r="Q117" i="8"/>
  <c r="P117" i="8"/>
  <c r="K119" i="8"/>
  <c r="F117" i="8"/>
  <c r="E117" i="8"/>
  <c r="P128" i="8"/>
  <c r="Q123" i="8"/>
  <c r="Q122" i="8"/>
  <c r="Q121" i="8"/>
  <c r="P123" i="8"/>
  <c r="P122" i="8"/>
  <c r="P121" i="8"/>
  <c r="M125" i="8"/>
  <c r="O125" i="8"/>
  <c r="M121" i="8"/>
  <c r="K127" i="8"/>
  <c r="J127" i="8"/>
  <c r="I127" i="8"/>
  <c r="H127" i="8"/>
  <c r="K126" i="8"/>
  <c r="J126" i="8"/>
  <c r="I126" i="8"/>
  <c r="H126" i="8"/>
  <c r="K125" i="8"/>
  <c r="J125" i="8"/>
  <c r="I125" i="8"/>
  <c r="H125" i="8"/>
  <c r="K124" i="8"/>
  <c r="J124" i="8"/>
  <c r="I124" i="8"/>
  <c r="H124" i="8"/>
  <c r="K123" i="8"/>
  <c r="J123" i="8"/>
  <c r="I123" i="8"/>
  <c r="H123" i="8"/>
  <c r="F122" i="8"/>
  <c r="F123" i="8"/>
  <c r="F124" i="8"/>
  <c r="F125" i="8"/>
  <c r="F126" i="8"/>
  <c r="F127" i="8"/>
  <c r="E122" i="8"/>
  <c r="O122" i="8" s="1"/>
  <c r="E123" i="8"/>
  <c r="O123" i="8" s="1"/>
  <c r="E124" i="8"/>
  <c r="Q124" i="8" s="1"/>
  <c r="E125" i="8"/>
  <c r="Q125" i="8" s="1"/>
  <c r="E126" i="8"/>
  <c r="M126" i="8" s="1"/>
  <c r="E127" i="8"/>
  <c r="M127" i="8" s="1"/>
  <c r="E121" i="8"/>
  <c r="D128" i="8"/>
  <c r="C128" i="8"/>
  <c r="N128" i="8"/>
  <c r="L128" i="8"/>
  <c r="I128" i="8"/>
  <c r="H128" i="8"/>
  <c r="K122" i="8"/>
  <c r="J122" i="8"/>
  <c r="I122" i="8"/>
  <c r="H122" i="8"/>
  <c r="K121" i="8"/>
  <c r="J121" i="8"/>
  <c r="I121" i="8"/>
  <c r="H121" i="8"/>
  <c r="F121" i="8"/>
  <c r="D114" i="8"/>
  <c r="C114" i="8"/>
  <c r="K108" i="8"/>
  <c r="E108" i="8"/>
  <c r="I108" i="8" s="1"/>
  <c r="E107" i="8"/>
  <c r="K107" i="8" s="1"/>
  <c r="E106" i="8"/>
  <c r="K106" i="8" s="1"/>
  <c r="E105" i="8"/>
  <c r="I105" i="8" s="1"/>
  <c r="E104" i="8"/>
  <c r="K104" i="8" s="1"/>
  <c r="E99" i="8"/>
  <c r="I106" i="8"/>
  <c r="F105" i="8"/>
  <c r="F106" i="8"/>
  <c r="F107" i="8"/>
  <c r="F108" i="8"/>
  <c r="D109" i="8"/>
  <c r="C109" i="8"/>
  <c r="P114" i="8"/>
  <c r="N114" i="8"/>
  <c r="L114" i="8"/>
  <c r="I114" i="8"/>
  <c r="H114" i="8"/>
  <c r="K113" i="8"/>
  <c r="J113" i="8"/>
  <c r="I113" i="8"/>
  <c r="H113" i="8"/>
  <c r="F113" i="8"/>
  <c r="E113" i="8"/>
  <c r="Q113" i="8" s="1"/>
  <c r="K112" i="8"/>
  <c r="J112" i="8"/>
  <c r="I112" i="8"/>
  <c r="H112" i="8"/>
  <c r="F112" i="8"/>
  <c r="E112" i="8"/>
  <c r="Q112" i="8" s="1"/>
  <c r="K111" i="8"/>
  <c r="J111" i="8"/>
  <c r="I111" i="8"/>
  <c r="H111" i="8"/>
  <c r="F111" i="8"/>
  <c r="E111" i="8"/>
  <c r="M111" i="8" s="1"/>
  <c r="Q109" i="8"/>
  <c r="P109" i="8"/>
  <c r="O109" i="8"/>
  <c r="N109" i="8"/>
  <c r="M109" i="8"/>
  <c r="L109" i="8"/>
  <c r="J109" i="8"/>
  <c r="F104" i="8"/>
  <c r="H100" i="8"/>
  <c r="I100" i="8"/>
  <c r="J100" i="8"/>
  <c r="K100" i="8"/>
  <c r="D101" i="8"/>
  <c r="F97" i="8"/>
  <c r="F98" i="8"/>
  <c r="F99" i="8"/>
  <c r="F100" i="8"/>
  <c r="E97" i="8"/>
  <c r="Q97" i="8" s="1"/>
  <c r="E98" i="8"/>
  <c r="M98" i="8" s="1"/>
  <c r="O99" i="8"/>
  <c r="E100" i="8"/>
  <c r="Q100" i="8" s="1"/>
  <c r="E96" i="8"/>
  <c r="M96" i="8" s="1"/>
  <c r="F91" i="8"/>
  <c r="F92" i="8"/>
  <c r="F93" i="8"/>
  <c r="F90" i="8"/>
  <c r="E91" i="8"/>
  <c r="I91" i="8" s="1"/>
  <c r="E92" i="8"/>
  <c r="I92" i="8" s="1"/>
  <c r="E93" i="8"/>
  <c r="K93" i="8" s="1"/>
  <c r="E90" i="8"/>
  <c r="I90" i="8" s="1"/>
  <c r="D94" i="8"/>
  <c r="C94" i="8"/>
  <c r="P101" i="8"/>
  <c r="N101" i="8"/>
  <c r="L101" i="8"/>
  <c r="I101" i="8"/>
  <c r="H101" i="8"/>
  <c r="C101" i="8"/>
  <c r="K99" i="8"/>
  <c r="J99" i="8"/>
  <c r="I99" i="8"/>
  <c r="H99" i="8"/>
  <c r="K98" i="8"/>
  <c r="J98" i="8"/>
  <c r="I98" i="8"/>
  <c r="H98" i="8"/>
  <c r="Q98" i="8"/>
  <c r="K97" i="8"/>
  <c r="J97" i="8"/>
  <c r="I97" i="8"/>
  <c r="H97" i="8"/>
  <c r="K96" i="8"/>
  <c r="J96" i="8"/>
  <c r="I96" i="8"/>
  <c r="H96" i="8"/>
  <c r="F96" i="8"/>
  <c r="Q94" i="8"/>
  <c r="P94" i="8"/>
  <c r="O94" i="8"/>
  <c r="N94" i="8"/>
  <c r="M94" i="8"/>
  <c r="L94" i="8"/>
  <c r="J94" i="8"/>
  <c r="P87" i="8"/>
  <c r="Q81" i="8"/>
  <c r="P81" i="8"/>
  <c r="P76" i="8"/>
  <c r="Q69" i="8"/>
  <c r="P69" i="8"/>
  <c r="P63" i="8"/>
  <c r="Q62" i="8"/>
  <c r="Q61" i="8"/>
  <c r="Q60" i="8"/>
  <c r="Q59" i="8"/>
  <c r="Q58" i="8"/>
  <c r="Q56" i="8"/>
  <c r="P56" i="8"/>
  <c r="Q50" i="8"/>
  <c r="P50" i="8"/>
  <c r="Q44" i="8"/>
  <c r="P44" i="8"/>
  <c r="Q38" i="8"/>
  <c r="P38" i="8"/>
  <c r="P29" i="8"/>
  <c r="Q28" i="8"/>
  <c r="P28" i="8"/>
  <c r="Q16" i="8"/>
  <c r="Q15" i="8"/>
  <c r="P15" i="8"/>
  <c r="P16" i="8" s="1"/>
  <c r="Q11" i="8"/>
  <c r="P11" i="8"/>
  <c r="Q8" i="8"/>
  <c r="P8" i="8"/>
  <c r="D81" i="8"/>
  <c r="C81" i="8"/>
  <c r="N87" i="8"/>
  <c r="L87" i="8"/>
  <c r="I87" i="8"/>
  <c r="H87" i="8"/>
  <c r="D87" i="8"/>
  <c r="C87" i="8"/>
  <c r="K86" i="8"/>
  <c r="J86" i="8"/>
  <c r="I86" i="8"/>
  <c r="H86" i="8"/>
  <c r="F86" i="8"/>
  <c r="E86" i="8"/>
  <c r="O86" i="8" s="1"/>
  <c r="K85" i="8"/>
  <c r="J85" i="8"/>
  <c r="I85" i="8"/>
  <c r="H85" i="8"/>
  <c r="F85" i="8"/>
  <c r="E85" i="8"/>
  <c r="O85" i="8" s="1"/>
  <c r="K84" i="8"/>
  <c r="J84" i="8"/>
  <c r="I84" i="8"/>
  <c r="H84" i="8"/>
  <c r="F84" i="8"/>
  <c r="E84" i="8"/>
  <c r="O84" i="8" s="1"/>
  <c r="K83" i="8"/>
  <c r="J83" i="8"/>
  <c r="I83" i="8"/>
  <c r="H83" i="8"/>
  <c r="F83" i="8"/>
  <c r="E83" i="8"/>
  <c r="Q83" i="8" s="1"/>
  <c r="O81" i="8"/>
  <c r="N81" i="8"/>
  <c r="M81" i="8"/>
  <c r="L81" i="8"/>
  <c r="J81" i="8"/>
  <c r="F80" i="8"/>
  <c r="E80" i="8"/>
  <c r="K80" i="8" s="1"/>
  <c r="F79" i="8"/>
  <c r="E79" i="8"/>
  <c r="K79" i="8" s="1"/>
  <c r="I76" i="8"/>
  <c r="K75" i="8"/>
  <c r="J75" i="8"/>
  <c r="I75" i="8"/>
  <c r="Q75" i="8" s="1"/>
  <c r="H75" i="8"/>
  <c r="K74" i="8"/>
  <c r="J74" i="8"/>
  <c r="I74" i="8"/>
  <c r="Q74" i="8" s="1"/>
  <c r="H74" i="8"/>
  <c r="K73" i="8"/>
  <c r="J73" i="8"/>
  <c r="I73" i="8"/>
  <c r="Q73" i="8" s="1"/>
  <c r="H73" i="8"/>
  <c r="K72" i="8"/>
  <c r="J72" i="8"/>
  <c r="I72" i="8"/>
  <c r="Q72" i="8" s="1"/>
  <c r="H72" i="8"/>
  <c r="K71" i="8"/>
  <c r="K76" i="8" s="1"/>
  <c r="J71" i="8"/>
  <c r="J76" i="8" s="1"/>
  <c r="I71" i="8"/>
  <c r="Q71" i="8" s="1"/>
  <c r="C76" i="8"/>
  <c r="D76" i="8"/>
  <c r="F72" i="8"/>
  <c r="F73" i="8"/>
  <c r="F74" i="8"/>
  <c r="F75" i="8"/>
  <c r="E72" i="8"/>
  <c r="O72" i="8" s="1"/>
  <c r="E73" i="8"/>
  <c r="O73" i="8" s="1"/>
  <c r="E74" i="8"/>
  <c r="M74" i="8" s="1"/>
  <c r="E75" i="8"/>
  <c r="M75" i="8" s="1"/>
  <c r="F66" i="8"/>
  <c r="E66" i="8"/>
  <c r="K66" i="8" s="1"/>
  <c r="D69" i="8"/>
  <c r="C69" i="8"/>
  <c r="N76" i="8"/>
  <c r="L76" i="8"/>
  <c r="H76" i="8"/>
  <c r="H71" i="8"/>
  <c r="F71" i="8"/>
  <c r="E71" i="8"/>
  <c r="M71" i="8" s="1"/>
  <c r="O69" i="8"/>
  <c r="N69" i="8"/>
  <c r="M69" i="8"/>
  <c r="L69" i="8"/>
  <c r="J69" i="8"/>
  <c r="F68" i="8"/>
  <c r="E68" i="8"/>
  <c r="K68" i="8" s="1"/>
  <c r="F67" i="8"/>
  <c r="E67" i="8"/>
  <c r="K67" i="8" s="1"/>
  <c r="J29" i="8"/>
  <c r="K29" i="8" s="1"/>
  <c r="C63" i="8"/>
  <c r="D63" i="8"/>
  <c r="F54" i="8"/>
  <c r="E54" i="8"/>
  <c r="I54" i="8" s="1"/>
  <c r="N63" i="8"/>
  <c r="H63" i="8"/>
  <c r="H62" i="8"/>
  <c r="H61" i="8"/>
  <c r="H60" i="8"/>
  <c r="H59" i="8"/>
  <c r="H58" i="8"/>
  <c r="F61" i="8"/>
  <c r="F59" i="8"/>
  <c r="F60" i="8"/>
  <c r="F62" i="8"/>
  <c r="E59" i="8"/>
  <c r="O59" i="8" s="1"/>
  <c r="E60" i="8"/>
  <c r="M60" i="8" s="1"/>
  <c r="E61" i="8"/>
  <c r="M61" i="8" s="1"/>
  <c r="E62" i="8"/>
  <c r="O62" i="8" s="1"/>
  <c r="J56" i="8"/>
  <c r="D56" i="8"/>
  <c r="C56" i="8"/>
  <c r="E55" i="8"/>
  <c r="K55" i="8" s="1"/>
  <c r="K54" i="8"/>
  <c r="E53" i="8"/>
  <c r="K53" i="8" s="1"/>
  <c r="L63" i="8"/>
  <c r="F58" i="8"/>
  <c r="E58" i="8"/>
  <c r="M58" i="8" s="1"/>
  <c r="O56" i="8"/>
  <c r="N56" i="8"/>
  <c r="M56" i="8"/>
  <c r="L56" i="8"/>
  <c r="I55" i="8"/>
  <c r="F55" i="8"/>
  <c r="F53" i="8"/>
  <c r="L50" i="8"/>
  <c r="D50" i="8"/>
  <c r="J49" i="8"/>
  <c r="K49" i="8"/>
  <c r="M49" i="8"/>
  <c r="F49" i="8"/>
  <c r="E49" i="8"/>
  <c r="C50" i="8"/>
  <c r="O50" i="8"/>
  <c r="N50" i="8"/>
  <c r="K48" i="8"/>
  <c r="J48" i="8"/>
  <c r="M48" i="8"/>
  <c r="F48" i="8"/>
  <c r="E48" i="8"/>
  <c r="K47" i="8"/>
  <c r="J47" i="8"/>
  <c r="M47" i="8"/>
  <c r="F47" i="8"/>
  <c r="E47" i="8"/>
  <c r="K46" i="8"/>
  <c r="J46" i="8"/>
  <c r="M46" i="8"/>
  <c r="F46" i="8"/>
  <c r="E46" i="8"/>
  <c r="I41" i="8"/>
  <c r="C44" i="8"/>
  <c r="D44" i="8"/>
  <c r="O44" i="8"/>
  <c r="N44" i="8"/>
  <c r="M44" i="8"/>
  <c r="L44" i="8"/>
  <c r="K43" i="8"/>
  <c r="J43" i="8"/>
  <c r="I43" i="8"/>
  <c r="F43" i="8"/>
  <c r="E43" i="8"/>
  <c r="K42" i="8"/>
  <c r="J42" i="8"/>
  <c r="I42" i="8"/>
  <c r="F42" i="8"/>
  <c r="E42" i="8"/>
  <c r="K41" i="8"/>
  <c r="J41" i="8"/>
  <c r="F41" i="8"/>
  <c r="E41" i="8"/>
  <c r="L38" i="8"/>
  <c r="M38" i="8"/>
  <c r="N38" i="8"/>
  <c r="O38" i="8"/>
  <c r="K37" i="8"/>
  <c r="J37" i="8"/>
  <c r="K36" i="8"/>
  <c r="J36" i="8"/>
  <c r="K35" i="8"/>
  <c r="J35" i="8"/>
  <c r="K34" i="8"/>
  <c r="J34" i="8"/>
  <c r="J33" i="8"/>
  <c r="K33" i="8"/>
  <c r="I37" i="8"/>
  <c r="I36" i="8"/>
  <c r="I35" i="8"/>
  <c r="I34" i="8"/>
  <c r="I33" i="8"/>
  <c r="C38" i="8"/>
  <c r="D38" i="8"/>
  <c r="E33" i="8"/>
  <c r="F34" i="8"/>
  <c r="F35" i="8"/>
  <c r="F36" i="8"/>
  <c r="F37" i="8"/>
  <c r="E34" i="8"/>
  <c r="E35" i="8"/>
  <c r="E36" i="8"/>
  <c r="E37" i="8"/>
  <c r="F33" i="8"/>
  <c r="N29" i="8"/>
  <c r="O28" i="8"/>
  <c r="N28" i="8"/>
  <c r="M28" i="8"/>
  <c r="L28" i="8"/>
  <c r="J28" i="8"/>
  <c r="K28" i="8" s="1"/>
  <c r="J27" i="8"/>
  <c r="I28" i="8"/>
  <c r="I29" i="8"/>
  <c r="I27" i="8"/>
  <c r="E28" i="8"/>
  <c r="F28" i="8"/>
  <c r="E29" i="8"/>
  <c r="F29" i="8"/>
  <c r="F27" i="8"/>
  <c r="E27" i="8"/>
  <c r="D30" i="8"/>
  <c r="C30" i="8"/>
  <c r="D24" i="8"/>
  <c r="C24" i="8"/>
  <c r="J24" i="8"/>
  <c r="J23" i="8"/>
  <c r="J22" i="8"/>
  <c r="J21" i="8"/>
  <c r="J20" i="8"/>
  <c r="K20" i="8"/>
  <c r="K21" i="8"/>
  <c r="K22" i="8"/>
  <c r="K23" i="8"/>
  <c r="K19" i="8"/>
  <c r="I19" i="8"/>
  <c r="I20" i="8"/>
  <c r="I21" i="8"/>
  <c r="I22" i="8"/>
  <c r="I23" i="8"/>
  <c r="F23" i="8"/>
  <c r="E23" i="8"/>
  <c r="F22" i="8"/>
  <c r="E22" i="8"/>
  <c r="F21" i="8"/>
  <c r="E21" i="8"/>
  <c r="F20" i="8"/>
  <c r="E20" i="8"/>
  <c r="F19" i="8"/>
  <c r="E19" i="8"/>
  <c r="O16" i="8"/>
  <c r="O15" i="8"/>
  <c r="H16" i="8"/>
  <c r="M15" i="8"/>
  <c r="M16" i="8" s="1"/>
  <c r="K16" i="8"/>
  <c r="J15" i="8"/>
  <c r="J16" i="8" s="1"/>
  <c r="I16" i="8"/>
  <c r="F15" i="8"/>
  <c r="F16" i="8" s="1"/>
  <c r="E15" i="8"/>
  <c r="E16" i="8" s="1"/>
  <c r="D16" i="8"/>
  <c r="C16" i="8"/>
  <c r="N15" i="8"/>
  <c r="N16" i="8" s="1"/>
  <c r="I11" i="8"/>
  <c r="I12" i="8" s="1"/>
  <c r="E11" i="8"/>
  <c r="O127" i="8" l="1"/>
  <c r="Q127" i="8"/>
  <c r="M122" i="8"/>
  <c r="O126" i="8"/>
  <c r="M124" i="8"/>
  <c r="O124" i="8"/>
  <c r="M123" i="8"/>
  <c r="Q126" i="8"/>
  <c r="O96" i="8"/>
  <c r="O119" i="8"/>
  <c r="Q119" i="8"/>
  <c r="J128" i="8"/>
  <c r="M113" i="8"/>
  <c r="F109" i="8"/>
  <c r="F114" i="8"/>
  <c r="I107" i="8"/>
  <c r="F128" i="8"/>
  <c r="K128" i="8"/>
  <c r="E114" i="8"/>
  <c r="M112" i="8"/>
  <c r="E128" i="8"/>
  <c r="O97" i="8"/>
  <c r="O121" i="8"/>
  <c r="O98" i="8"/>
  <c r="E109" i="8"/>
  <c r="M97" i="8"/>
  <c r="K105" i="8"/>
  <c r="K109" i="8" s="1"/>
  <c r="I104" i="8"/>
  <c r="K92" i="8"/>
  <c r="K114" i="8"/>
  <c r="F94" i="8"/>
  <c r="M100" i="8"/>
  <c r="O100" i="8"/>
  <c r="O111" i="8"/>
  <c r="O112" i="8"/>
  <c r="J114" i="8"/>
  <c r="E101" i="8"/>
  <c r="K91" i="8"/>
  <c r="M99" i="8"/>
  <c r="F101" i="8"/>
  <c r="Q111" i="8"/>
  <c r="Q114" i="8" s="1"/>
  <c r="O113" i="8"/>
  <c r="M83" i="8"/>
  <c r="E94" i="8"/>
  <c r="O83" i="8"/>
  <c r="O87" i="8" s="1"/>
  <c r="K90" i="8"/>
  <c r="I93" i="8"/>
  <c r="I94" i="8" s="1"/>
  <c r="Q84" i="8"/>
  <c r="F69" i="8"/>
  <c r="F81" i="8"/>
  <c r="I80" i="8"/>
  <c r="J101" i="8"/>
  <c r="K101" i="8"/>
  <c r="J44" i="8"/>
  <c r="I44" i="8"/>
  <c r="M86" i="8"/>
  <c r="Q63" i="8"/>
  <c r="Q76" i="8"/>
  <c r="K81" i="8"/>
  <c r="Q99" i="8"/>
  <c r="Q96" i="8"/>
  <c r="Q86" i="8"/>
  <c r="M85" i="8"/>
  <c r="Q85" i="8"/>
  <c r="M84" i="8"/>
  <c r="I67" i="8"/>
  <c r="J87" i="8"/>
  <c r="F76" i="8"/>
  <c r="O75" i="8"/>
  <c r="E81" i="8"/>
  <c r="I79" i="8"/>
  <c r="O74" i="8"/>
  <c r="E76" i="8"/>
  <c r="M73" i="8"/>
  <c r="O61" i="8"/>
  <c r="M72" i="8"/>
  <c r="O60" i="8"/>
  <c r="F87" i="8"/>
  <c r="K87" i="8"/>
  <c r="E87" i="8"/>
  <c r="K50" i="8"/>
  <c r="M59" i="8"/>
  <c r="I68" i="8"/>
  <c r="F63" i="8"/>
  <c r="M62" i="8"/>
  <c r="O58" i="8"/>
  <c r="E63" i="8"/>
  <c r="E69" i="8"/>
  <c r="I66" i="8"/>
  <c r="F44" i="8"/>
  <c r="K44" i="8"/>
  <c r="M50" i="8"/>
  <c r="I53" i="8"/>
  <c r="I56" i="8" s="1"/>
  <c r="F56" i="8"/>
  <c r="K69" i="8"/>
  <c r="O71" i="8"/>
  <c r="J50" i="8"/>
  <c r="K63" i="8"/>
  <c r="E56" i="8"/>
  <c r="J63" i="8"/>
  <c r="F50" i="8"/>
  <c r="K56" i="8"/>
  <c r="E50" i="8"/>
  <c r="E44" i="8"/>
  <c r="J38" i="8"/>
  <c r="F38" i="8"/>
  <c r="I38" i="8"/>
  <c r="K38" i="8"/>
  <c r="E38" i="8"/>
  <c r="E30" i="8"/>
  <c r="I30" i="8"/>
  <c r="F30" i="8"/>
  <c r="F24" i="8"/>
  <c r="E24" i="8"/>
  <c r="I24" i="8"/>
  <c r="M8" i="8"/>
  <c r="K11" i="8"/>
  <c r="K12" i="8" s="1"/>
  <c r="J11" i="8"/>
  <c r="J12" i="8" s="1"/>
  <c r="O11" i="8"/>
  <c r="N11" i="8"/>
  <c r="F8" i="8"/>
  <c r="E7" i="8"/>
  <c r="E8" i="8" s="1"/>
  <c r="K7" i="8"/>
  <c r="K8" i="8" s="1"/>
  <c r="J7" i="8"/>
  <c r="J8" i="8" s="1"/>
  <c r="F11" i="8"/>
  <c r="F12" i="8" s="1"/>
  <c r="D8" i="8"/>
  <c r="C8" i="8"/>
  <c r="I9" i="9"/>
  <c r="I10" i="9" s="1"/>
  <c r="D9" i="9"/>
  <c r="C9" i="9"/>
  <c r="K27" i="8"/>
  <c r="K30" i="8" s="1"/>
  <c r="D12" i="8"/>
  <c r="C12" i="8"/>
  <c r="E12" i="8"/>
  <c r="O8" i="8"/>
  <c r="N8" i="8"/>
  <c r="I8" i="8"/>
  <c r="H8" i="8"/>
  <c r="F25" i="7"/>
  <c r="F31" i="7"/>
  <c r="F32" i="7" s="1"/>
  <c r="F30" i="7"/>
  <c r="F29" i="7"/>
  <c r="F28" i="7"/>
  <c r="F27" i="7"/>
  <c r="F26" i="7"/>
  <c r="F22" i="7"/>
  <c r="F21" i="7"/>
  <c r="F16" i="7"/>
  <c r="F15" i="7"/>
  <c r="F14" i="7"/>
  <c r="F10" i="7"/>
  <c r="F9" i="7"/>
  <c r="F8" i="7"/>
  <c r="F11" i="7"/>
  <c r="R128" i="8" l="1"/>
  <c r="M119" i="8"/>
  <c r="O101" i="8"/>
  <c r="M114" i="8"/>
  <c r="I109" i="8"/>
  <c r="M101" i="8"/>
  <c r="O114" i="8"/>
  <c r="Q101" i="8"/>
  <c r="R109" i="8"/>
  <c r="K94" i="8"/>
  <c r="R94" i="8" s="1"/>
  <c r="Q87" i="8"/>
  <c r="M76" i="8"/>
  <c r="I81" i="8"/>
  <c r="R81" i="8" s="1"/>
  <c r="O76" i="8"/>
  <c r="M87" i="8"/>
  <c r="O63" i="8"/>
  <c r="I69" i="8"/>
  <c r="R69" i="8" s="1"/>
  <c r="R56" i="8"/>
  <c r="M63" i="8"/>
  <c r="K24" i="8"/>
  <c r="F23" i="7"/>
  <c r="F33" i="7" s="1"/>
  <c r="F12" i="7"/>
  <c r="F17" i="7"/>
  <c r="R114" i="8" l="1"/>
  <c r="R101" i="8"/>
  <c r="R87" i="8"/>
  <c r="R63" i="8"/>
  <c r="R76" i="8"/>
  <c r="F18" i="7"/>
  <c r="F34" i="7"/>
  <c r="H73" i="3" l="1"/>
  <c r="H74" i="3"/>
  <c r="F88" i="3"/>
  <c r="H88" i="3" s="1"/>
  <c r="F87" i="3"/>
  <c r="H87" i="3" s="1"/>
  <c r="H89" i="3" s="1"/>
  <c r="H90" i="3" s="1"/>
  <c r="G83" i="3"/>
  <c r="F83" i="3"/>
  <c r="H83" i="3" s="1"/>
  <c r="F82" i="3"/>
  <c r="F81" i="3"/>
  <c r="E82" i="3"/>
  <c r="E83" i="3"/>
  <c r="E81" i="3"/>
  <c r="D77" i="3"/>
  <c r="F77" i="3" s="1"/>
  <c r="C77" i="3"/>
  <c r="E77" i="3" s="1"/>
  <c r="E66" i="3"/>
  <c r="E65" i="3"/>
  <c r="F61" i="3"/>
  <c r="G61" i="3"/>
  <c r="F62" i="3"/>
  <c r="F60" i="3"/>
  <c r="G62" i="3"/>
  <c r="E61" i="3"/>
  <c r="E62" i="3"/>
  <c r="E60" i="3"/>
  <c r="D56" i="3"/>
  <c r="D55" i="3"/>
  <c r="C56" i="3"/>
  <c r="C55" i="3"/>
  <c r="A56" i="3"/>
  <c r="A55" i="3"/>
  <c r="D52" i="3"/>
  <c r="F52" i="3" s="1"/>
  <c r="D51" i="3"/>
  <c r="F51" i="3" s="1"/>
  <c r="D50" i="3"/>
  <c r="F50" i="3" s="1"/>
  <c r="C52" i="3"/>
  <c r="E52" i="3" s="1"/>
  <c r="C51" i="3"/>
  <c r="E51" i="3" s="1"/>
  <c r="C50" i="3"/>
  <c r="E50" i="3" s="1"/>
  <c r="D45" i="3"/>
  <c r="F45" i="3" s="1"/>
  <c r="D46" i="3"/>
  <c r="F46" i="3" s="1"/>
  <c r="C46" i="3"/>
  <c r="E46" i="3" s="1"/>
  <c r="C45" i="3"/>
  <c r="E45" i="3" s="1"/>
  <c r="A46" i="3"/>
  <c r="A45" i="3"/>
  <c r="D42" i="3"/>
  <c r="F42" i="3" s="1"/>
  <c r="D41" i="3"/>
  <c r="F41" i="3" s="1"/>
  <c r="D40" i="3"/>
  <c r="F40" i="3" s="1"/>
  <c r="C42" i="3"/>
  <c r="E42" i="3" s="1"/>
  <c r="C41" i="3"/>
  <c r="E41" i="3" s="1"/>
  <c r="C40" i="3"/>
  <c r="E40" i="3" s="1"/>
  <c r="D34" i="3"/>
  <c r="F34" i="3" s="1"/>
  <c r="C34" i="3"/>
  <c r="E34" i="3" s="1"/>
  <c r="D32" i="3"/>
  <c r="C32" i="3"/>
  <c r="G28" i="3"/>
  <c r="G27" i="3"/>
  <c r="G26" i="3"/>
  <c r="F25" i="3"/>
  <c r="F26" i="3"/>
  <c r="F27" i="3"/>
  <c r="H27" i="3" s="1"/>
  <c r="F28" i="3"/>
  <c r="F24" i="3"/>
  <c r="E25" i="3"/>
  <c r="E26" i="3"/>
  <c r="E27" i="3"/>
  <c r="E28" i="3"/>
  <c r="E24" i="3"/>
  <c r="G25" i="3"/>
  <c r="G24" i="3"/>
  <c r="F17" i="3"/>
  <c r="D15" i="3"/>
  <c r="F15" i="3" s="1"/>
  <c r="C15" i="3"/>
  <c r="E15" i="3" s="1"/>
  <c r="A15" i="3"/>
  <c r="G9" i="3"/>
  <c r="G11" i="3"/>
  <c r="D11" i="3"/>
  <c r="F11" i="3" s="1"/>
  <c r="D10" i="3"/>
  <c r="F10" i="3" s="1"/>
  <c r="D9" i="3"/>
  <c r="F9" i="3" s="1"/>
  <c r="C11" i="3"/>
  <c r="E11" i="3" s="1"/>
  <c r="C10" i="3"/>
  <c r="E10" i="3" s="1"/>
  <c r="C9" i="3"/>
  <c r="E9" i="3" s="1"/>
  <c r="A11" i="3"/>
  <c r="A10" i="3"/>
  <c r="A9" i="3"/>
  <c r="G10" i="3"/>
  <c r="H10" i="3" s="1"/>
  <c r="D7" i="3"/>
  <c r="D6" i="3"/>
  <c r="F6" i="3" s="1"/>
  <c r="C7" i="3"/>
  <c r="E7" i="3" s="1"/>
  <c r="C6" i="3"/>
  <c r="E6" i="3" s="1"/>
  <c r="F147" i="6"/>
  <c r="F166" i="6" s="1"/>
  <c r="F135" i="6"/>
  <c r="E135" i="6"/>
  <c r="F114" i="6"/>
  <c r="E114" i="6"/>
  <c r="F105" i="6"/>
  <c r="F106" i="6" s="1"/>
  <c r="E105" i="6"/>
  <c r="E106" i="6" s="1"/>
  <c r="F98" i="6"/>
  <c r="E98" i="6"/>
  <c r="F85" i="6"/>
  <c r="F86" i="6" s="1"/>
  <c r="E85" i="6"/>
  <c r="F66" i="6"/>
  <c r="F41" i="6"/>
  <c r="E41" i="6"/>
  <c r="E45" i="6" s="1"/>
  <c r="E46" i="6" s="1"/>
  <c r="F38" i="6"/>
  <c r="F29" i="6"/>
  <c r="E29" i="6"/>
  <c r="F25" i="6"/>
  <c r="E25" i="6"/>
  <c r="F16" i="6"/>
  <c r="E16" i="6"/>
  <c r="F6" i="6"/>
  <c r="E6" i="6"/>
  <c r="E66" i="6"/>
  <c r="F12" i="6"/>
  <c r="E12" i="6"/>
  <c r="F8" i="6"/>
  <c r="E8" i="6"/>
  <c r="E166" i="6" l="1"/>
  <c r="H62" i="3"/>
  <c r="H61" i="3"/>
  <c r="H24" i="3"/>
  <c r="H26" i="3"/>
  <c r="H25" i="3"/>
  <c r="H28" i="3"/>
  <c r="H11" i="3"/>
  <c r="H9" i="3"/>
  <c r="F136" i="6"/>
  <c r="E115" i="6"/>
  <c r="E171" i="6"/>
  <c r="F115" i="6"/>
  <c r="F116" i="6" s="1"/>
  <c r="F100" i="6"/>
  <c r="E100" i="6"/>
  <c r="E169" i="6"/>
  <c r="E17" i="6"/>
  <c r="F17" i="6"/>
  <c r="F30" i="6"/>
  <c r="E9" i="6"/>
  <c r="F9" i="6"/>
  <c r="E170" i="6" l="1"/>
  <c r="E172" i="6"/>
  <c r="H29" i="3"/>
  <c r="H30" i="3" s="1"/>
  <c r="H12" i="3"/>
  <c r="F46" i="6"/>
  <c r="F18" i="6"/>
  <c r="E18" i="6"/>
  <c r="E167" i="6" l="1"/>
  <c r="H167" i="6" s="1"/>
  <c r="F167" i="6"/>
  <c r="G7" i="3"/>
  <c r="F7" i="3"/>
  <c r="G6" i="3"/>
  <c r="H7" i="3" l="1"/>
  <c r="G88" i="3"/>
  <c r="E88" i="3"/>
  <c r="G87" i="3"/>
  <c r="E87" i="3"/>
  <c r="G82" i="3"/>
  <c r="H82" i="3" s="1"/>
  <c r="G81" i="3"/>
  <c r="H81" i="3" s="1"/>
  <c r="H84" i="3" s="1"/>
  <c r="G77" i="3"/>
  <c r="H77" i="3" s="1"/>
  <c r="H78" i="3" s="1"/>
  <c r="G72" i="3"/>
  <c r="F72" i="3"/>
  <c r="E72" i="3"/>
  <c r="G71" i="3"/>
  <c r="F71" i="3"/>
  <c r="E71" i="3"/>
  <c r="G60" i="3"/>
  <c r="H60" i="3" s="1"/>
  <c r="H63" i="3" s="1"/>
  <c r="G66" i="3"/>
  <c r="H66" i="3" s="1"/>
  <c r="F66" i="3"/>
  <c r="G65" i="3"/>
  <c r="F65" i="3"/>
  <c r="G56" i="3"/>
  <c r="F56" i="3"/>
  <c r="E56" i="3"/>
  <c r="G55" i="3"/>
  <c r="F55" i="3"/>
  <c r="E55" i="3"/>
  <c r="G52" i="3"/>
  <c r="H52" i="3" s="1"/>
  <c r="G51" i="3"/>
  <c r="H51" i="3" s="1"/>
  <c r="G50" i="3"/>
  <c r="H50" i="3" s="1"/>
  <c r="G42" i="3"/>
  <c r="H42" i="3" s="1"/>
  <c r="G41" i="3"/>
  <c r="H41" i="3" s="1"/>
  <c r="G40" i="3"/>
  <c r="H40" i="3" s="1"/>
  <c r="G46" i="3"/>
  <c r="H46" i="3" s="1"/>
  <c r="G45" i="3"/>
  <c r="H45" i="3" s="1"/>
  <c r="G34" i="3"/>
  <c r="H34" i="3" s="1"/>
  <c r="G32" i="3"/>
  <c r="F32" i="3"/>
  <c r="E32" i="3"/>
  <c r="G18" i="3"/>
  <c r="F18" i="3"/>
  <c r="E18" i="3"/>
  <c r="G17" i="3"/>
  <c r="H17" i="3" s="1"/>
  <c r="E17" i="3"/>
  <c r="G15" i="3"/>
  <c r="H15" i="3" s="1"/>
  <c r="H16" i="3" s="1"/>
  <c r="H53" i="3" l="1"/>
  <c r="H47" i="3"/>
  <c r="H71" i="3"/>
  <c r="H72" i="3"/>
  <c r="H65" i="3"/>
  <c r="H67" i="3" s="1"/>
  <c r="H68" i="3" s="1"/>
  <c r="H55" i="3"/>
  <c r="H57" i="3" s="1"/>
  <c r="H56" i="3"/>
  <c r="H43" i="3"/>
  <c r="H32" i="3"/>
  <c r="H18" i="3"/>
  <c r="H8" i="3"/>
  <c r="H13" i="3" s="1"/>
  <c r="H48" i="3" l="1"/>
  <c r="H33" i="3"/>
  <c r="H35" i="3" l="1"/>
  <c r="H36" i="3" s="1"/>
  <c r="H37" i="3" s="1"/>
  <c r="H19" i="3"/>
  <c r="H20" i="3" s="1"/>
  <c r="H21" i="3" s="1"/>
  <c r="AM228" i="1" l="1"/>
  <c r="AO227" i="1"/>
  <c r="AN227" i="1"/>
  <c r="AM227" i="1"/>
  <c r="AM221" i="1"/>
  <c r="AM220" i="1"/>
  <c r="AE228" i="1"/>
  <c r="AG227" i="1"/>
  <c r="AF227" i="1"/>
  <c r="AE227" i="1"/>
  <c r="AE222" i="1"/>
  <c r="AE221" i="1"/>
  <c r="AE220" i="1"/>
  <c r="W228" i="1"/>
  <c r="Y227" i="1"/>
  <c r="X227" i="1"/>
  <c r="W227" i="1"/>
  <c r="W224" i="1"/>
  <c r="W223" i="1"/>
  <c r="W225" i="1"/>
  <c r="O228" i="1"/>
  <c r="P222" i="1"/>
  <c r="P221" i="1"/>
  <c r="Q220" i="1"/>
  <c r="P220" i="1"/>
  <c r="O220" i="1"/>
  <c r="O221" i="1"/>
  <c r="O222" i="1"/>
  <c r="O223" i="1"/>
  <c r="O224" i="1"/>
  <c r="O225" i="1"/>
  <c r="O226" i="1"/>
  <c r="Q227" i="1"/>
  <c r="P227" i="1"/>
  <c r="O227" i="1"/>
  <c r="AG225" i="1"/>
  <c r="Y225" i="1"/>
  <c r="AO225" i="1" s="1"/>
  <c r="X225" i="1"/>
  <c r="AN225" i="1" s="1"/>
  <c r="Q225" i="1"/>
  <c r="P225" i="1"/>
  <c r="AF225" i="1" s="1"/>
  <c r="AE225" i="1"/>
  <c r="AM225" i="1" s="1"/>
  <c r="I225" i="1"/>
  <c r="AM224" i="1"/>
  <c r="AE224" i="1"/>
  <c r="Y224" i="1"/>
  <c r="AO224" i="1" s="1"/>
  <c r="X224" i="1"/>
  <c r="Q224" i="1"/>
  <c r="AG224" i="1" s="1"/>
  <c r="P224" i="1"/>
  <c r="AF224" i="1" s="1"/>
  <c r="AN224" i="1" s="1"/>
  <c r="I224" i="1"/>
  <c r="AN223" i="1"/>
  <c r="AF223" i="1"/>
  <c r="AE223" i="1"/>
  <c r="Y223" i="1"/>
  <c r="X223" i="1"/>
  <c r="AM223" i="1"/>
  <c r="Q223" i="1"/>
  <c r="AG223" i="1" s="1"/>
  <c r="AO223" i="1" s="1"/>
  <c r="P223" i="1"/>
  <c r="I223" i="1"/>
  <c r="AO222" i="1"/>
  <c r="AG222" i="1"/>
  <c r="AF222" i="1"/>
  <c r="Y222" i="1"/>
  <c r="X222" i="1"/>
  <c r="AN222" i="1" s="1"/>
  <c r="W222" i="1"/>
  <c r="AM222" i="1" s="1"/>
  <c r="Q222" i="1"/>
  <c r="I222" i="1"/>
  <c r="C227" i="1"/>
  <c r="B227" i="1"/>
  <c r="AP228" i="1"/>
  <c r="AD228" i="1"/>
  <c r="AL228" i="1" s="1"/>
  <c r="Z228" i="1"/>
  <c r="U228" i="1"/>
  <c r="N228" i="1"/>
  <c r="M228" i="1"/>
  <c r="AL227" i="1"/>
  <c r="AK227" i="1"/>
  <c r="AK228" i="1" s="1"/>
  <c r="AJ227" i="1"/>
  <c r="AI227" i="1"/>
  <c r="AH227" i="1"/>
  <c r="AH228" i="1" s="1"/>
  <c r="AD227" i="1"/>
  <c r="AC227" i="1"/>
  <c r="AC228" i="1" s="1"/>
  <c r="V227" i="1"/>
  <c r="U227" i="1"/>
  <c r="T227" i="1"/>
  <c r="S227" i="1"/>
  <c r="R227" i="1"/>
  <c r="R228" i="1" s="1"/>
  <c r="N227" i="1"/>
  <c r="M227" i="1"/>
  <c r="Y226" i="1"/>
  <c r="X226" i="1"/>
  <c r="W226" i="1"/>
  <c r="Q226" i="1"/>
  <c r="AG226" i="1" s="1"/>
  <c r="P226" i="1"/>
  <c r="AF226" i="1" s="1"/>
  <c r="AE226" i="1"/>
  <c r="AM226" i="1" s="1"/>
  <c r="I226" i="1"/>
  <c r="G226" i="1"/>
  <c r="Y221" i="1"/>
  <c r="X221" i="1"/>
  <c r="W221" i="1"/>
  <c r="Q221" i="1"/>
  <c r="AG221" i="1" s="1"/>
  <c r="AF221" i="1"/>
  <c r="AN221" i="1" s="1"/>
  <c r="I221" i="1"/>
  <c r="G221" i="1"/>
  <c r="Y220" i="1"/>
  <c r="X220" i="1"/>
  <c r="W220" i="1"/>
  <c r="I220" i="1"/>
  <c r="G220" i="1"/>
  <c r="AK216" i="1"/>
  <c r="X215" i="1"/>
  <c r="X216" i="1" s="1"/>
  <c r="W215" i="1"/>
  <c r="AM215" i="1" s="1"/>
  <c r="AM216" i="1" s="1"/>
  <c r="Q215" i="1"/>
  <c r="P215" i="1"/>
  <c r="O215" i="1"/>
  <c r="AE215" i="1" s="1"/>
  <c r="AP217" i="1"/>
  <c r="Z217" i="1"/>
  <c r="U217" i="1"/>
  <c r="AL216" i="1"/>
  <c r="AJ216" i="1"/>
  <c r="AI216" i="1"/>
  <c r="AH216" i="1"/>
  <c r="V216" i="1"/>
  <c r="T216" i="1"/>
  <c r="S216" i="1"/>
  <c r="C216" i="1"/>
  <c r="B216" i="1"/>
  <c r="Y215" i="1"/>
  <c r="AG215" i="1"/>
  <c r="AG216" i="1" s="1"/>
  <c r="AF215" i="1"/>
  <c r="AN215" i="1" s="1"/>
  <c r="AN216" i="1" s="1"/>
  <c r="I215" i="1"/>
  <c r="G215" i="1"/>
  <c r="W216" i="1"/>
  <c r="W212" i="1"/>
  <c r="W211" i="1"/>
  <c r="V201" i="1"/>
  <c r="V204" i="1" s="1"/>
  <c r="V207" i="1" s="1"/>
  <c r="U214" i="1"/>
  <c r="U216" i="1" s="1"/>
  <c r="V213" i="1"/>
  <c r="Q212" i="1"/>
  <c r="AG212" i="1" s="1"/>
  <c r="O213" i="1"/>
  <c r="O212" i="1"/>
  <c r="AE212" i="1" s="1"/>
  <c r="O211" i="1"/>
  <c r="AE211" i="1" s="1"/>
  <c r="B213" i="1"/>
  <c r="C213" i="1"/>
  <c r="AP214" i="1"/>
  <c r="Z214" i="1"/>
  <c r="AL213" i="1"/>
  <c r="AK213" i="1"/>
  <c r="AK214" i="1" s="1"/>
  <c r="AJ213" i="1"/>
  <c r="AI213" i="1"/>
  <c r="AH213" i="1"/>
  <c r="AH214" i="1" s="1"/>
  <c r="AD213" i="1"/>
  <c r="AC213" i="1"/>
  <c r="U213" i="1"/>
  <c r="T213" i="1"/>
  <c r="S213" i="1"/>
  <c r="R213" i="1"/>
  <c r="N213" i="1"/>
  <c r="M213" i="1"/>
  <c r="N214" i="1" s="1"/>
  <c r="AD214" i="1" s="1"/>
  <c r="AL214" i="1" s="1"/>
  <c r="Y212" i="1"/>
  <c r="X212" i="1"/>
  <c r="P212" i="1"/>
  <c r="AF212" i="1" s="1"/>
  <c r="I212" i="1"/>
  <c r="G212" i="1"/>
  <c r="Y211" i="1"/>
  <c r="X211" i="1"/>
  <c r="Q211" i="1"/>
  <c r="Q213" i="1" s="1"/>
  <c r="P211" i="1"/>
  <c r="I211" i="1"/>
  <c r="G211" i="1"/>
  <c r="B36" i="1"/>
  <c r="C36" i="1"/>
  <c r="B22" i="1"/>
  <c r="C22" i="1"/>
  <c r="M15" i="1"/>
  <c r="AC15" i="1" s="1"/>
  <c r="E14" i="1"/>
  <c r="U21" i="1"/>
  <c r="M21" i="1"/>
  <c r="AC21" i="1" s="1"/>
  <c r="I21" i="1"/>
  <c r="H21" i="1"/>
  <c r="F21" i="1"/>
  <c r="E21" i="1"/>
  <c r="U20" i="1"/>
  <c r="M20" i="1"/>
  <c r="AC20" i="1" s="1"/>
  <c r="I20" i="1"/>
  <c r="H20" i="1"/>
  <c r="F20" i="1"/>
  <c r="E20" i="1"/>
  <c r="U19" i="1"/>
  <c r="M19" i="1"/>
  <c r="AC19" i="1" s="1"/>
  <c r="I19" i="1"/>
  <c r="H19" i="1"/>
  <c r="F19" i="1"/>
  <c r="E19" i="1"/>
  <c r="U18" i="1"/>
  <c r="M18" i="1"/>
  <c r="AC18" i="1" s="1"/>
  <c r="I18" i="1"/>
  <c r="H18" i="1"/>
  <c r="F18" i="1"/>
  <c r="E18" i="1"/>
  <c r="U17" i="1"/>
  <c r="M17" i="1"/>
  <c r="AC17" i="1" s="1"/>
  <c r="I17" i="1"/>
  <c r="H17" i="1"/>
  <c r="F17" i="1"/>
  <c r="E17" i="1"/>
  <c r="U16" i="1"/>
  <c r="M16" i="1"/>
  <c r="AC16" i="1" s="1"/>
  <c r="I16" i="1"/>
  <c r="H16" i="1"/>
  <c r="F16" i="1"/>
  <c r="E16" i="1"/>
  <c r="U15" i="1"/>
  <c r="I15" i="1"/>
  <c r="H15" i="1"/>
  <c r="F15" i="1"/>
  <c r="E15" i="1"/>
  <c r="U14" i="1"/>
  <c r="M14" i="1"/>
  <c r="AC14" i="1" s="1"/>
  <c r="I14" i="1"/>
  <c r="H14" i="1"/>
  <c r="F14" i="1"/>
  <c r="U13" i="1"/>
  <c r="M13" i="1"/>
  <c r="AC13" i="1" s="1"/>
  <c r="I13" i="1"/>
  <c r="H13" i="1"/>
  <c r="F13" i="1"/>
  <c r="E13" i="1"/>
  <c r="U12" i="1"/>
  <c r="M12" i="1"/>
  <c r="AC12" i="1" s="1"/>
  <c r="I12" i="1"/>
  <c r="H12" i="1"/>
  <c r="F12" i="1"/>
  <c r="E12" i="1"/>
  <c r="U11" i="1"/>
  <c r="M11" i="1"/>
  <c r="AC11" i="1" s="1"/>
  <c r="I11" i="1"/>
  <c r="H11" i="1"/>
  <c r="F11" i="1"/>
  <c r="E11" i="1"/>
  <c r="W206" i="1"/>
  <c r="O206" i="1"/>
  <c r="AE206" i="1" s="1"/>
  <c r="AP208" i="1"/>
  <c r="Z208" i="1"/>
  <c r="AL207" i="1"/>
  <c r="AJ207" i="1"/>
  <c r="AI207" i="1"/>
  <c r="AH207" i="1"/>
  <c r="W207" i="1"/>
  <c r="Y206" i="1"/>
  <c r="X206" i="1"/>
  <c r="Q206" i="1"/>
  <c r="Q207" i="1" s="1"/>
  <c r="P206" i="1"/>
  <c r="P207" i="1" s="1"/>
  <c r="I206" i="1"/>
  <c r="G206" i="1"/>
  <c r="C207" i="1"/>
  <c r="B207" i="1"/>
  <c r="W203" i="1"/>
  <c r="W204" i="1" s="1"/>
  <c r="Q203" i="1"/>
  <c r="AG203" i="1" s="1"/>
  <c r="P203" i="1"/>
  <c r="AF203" i="1" s="1"/>
  <c r="O203" i="1"/>
  <c r="O204" i="1" s="1"/>
  <c r="Y203" i="1"/>
  <c r="X203" i="1"/>
  <c r="I203" i="1"/>
  <c r="G203" i="1"/>
  <c r="C204" i="1"/>
  <c r="B204" i="1"/>
  <c r="AP205" i="1"/>
  <c r="Z205" i="1"/>
  <c r="AL204" i="1"/>
  <c r="AJ204" i="1"/>
  <c r="AI204" i="1"/>
  <c r="AH204" i="1"/>
  <c r="AJ201" i="1"/>
  <c r="AI201" i="1"/>
  <c r="AH201" i="1"/>
  <c r="Y200" i="1"/>
  <c r="Y199" i="1"/>
  <c r="Y198" i="1"/>
  <c r="X200" i="1"/>
  <c r="X199" i="1"/>
  <c r="X198" i="1"/>
  <c r="W200" i="1"/>
  <c r="W199" i="1"/>
  <c r="W198" i="1"/>
  <c r="P198" i="1"/>
  <c r="O200" i="1"/>
  <c r="AE200" i="1" s="1"/>
  <c r="O199" i="1"/>
  <c r="AE199" i="1" s="1"/>
  <c r="O198" i="1"/>
  <c r="AE198" i="1" s="1"/>
  <c r="Q200" i="1"/>
  <c r="AG200" i="1" s="1"/>
  <c r="P200" i="1"/>
  <c r="AF200" i="1" s="1"/>
  <c r="I200" i="1"/>
  <c r="G200" i="1"/>
  <c r="Q199" i="1"/>
  <c r="AG199" i="1" s="1"/>
  <c r="AO199" i="1" s="1"/>
  <c r="P199" i="1"/>
  <c r="AF199" i="1" s="1"/>
  <c r="I199" i="1"/>
  <c r="G199" i="1"/>
  <c r="AF198" i="1"/>
  <c r="Q198" i="1"/>
  <c r="AG198" i="1" s="1"/>
  <c r="I198" i="1"/>
  <c r="G198" i="1"/>
  <c r="Z202" i="1"/>
  <c r="AL201" i="1"/>
  <c r="AK201" i="1"/>
  <c r="AD201" i="1"/>
  <c r="AC201" i="1"/>
  <c r="U201" i="1"/>
  <c r="N201" i="1"/>
  <c r="M201" i="1"/>
  <c r="C201" i="1"/>
  <c r="B201" i="1"/>
  <c r="C194" i="1"/>
  <c r="AO221" i="1" l="1"/>
  <c r="AG220" i="1"/>
  <c r="AO226" i="1"/>
  <c r="AN226" i="1"/>
  <c r="AF220" i="1"/>
  <c r="AM211" i="1"/>
  <c r="O216" i="1"/>
  <c r="O217" i="1" s="1"/>
  <c r="AO215" i="1"/>
  <c r="AO216" i="1" s="1"/>
  <c r="AM217" i="1" s="1"/>
  <c r="AH217" i="1"/>
  <c r="N216" i="1"/>
  <c r="AD216" i="1"/>
  <c r="AK217" i="1"/>
  <c r="R214" i="1"/>
  <c r="R216" i="1" s="1"/>
  <c r="R217" i="1" s="1"/>
  <c r="W213" i="1"/>
  <c r="AF216" i="1"/>
  <c r="P216" i="1"/>
  <c r="Q216" i="1"/>
  <c r="Y216" i="1"/>
  <c r="W217" i="1" s="1"/>
  <c r="P213" i="1"/>
  <c r="O214" i="1" s="1"/>
  <c r="AE216" i="1"/>
  <c r="Y213" i="1"/>
  <c r="AM212" i="1"/>
  <c r="AM213" i="1" s="1"/>
  <c r="M214" i="1"/>
  <c r="M216" i="1" s="1"/>
  <c r="AG211" i="1"/>
  <c r="AG213" i="1" s="1"/>
  <c r="AO212" i="1"/>
  <c r="AC214" i="1"/>
  <c r="AC216" i="1" s="1"/>
  <c r="AC217" i="1" s="1"/>
  <c r="AE213" i="1"/>
  <c r="AN212" i="1"/>
  <c r="X213" i="1"/>
  <c r="AF211" i="1"/>
  <c r="AF213" i="1" s="1"/>
  <c r="AK17" i="1"/>
  <c r="AK19" i="1"/>
  <c r="AK21" i="1"/>
  <c r="AH208" i="1"/>
  <c r="AK11" i="1"/>
  <c r="AK13" i="1"/>
  <c r="AK15" i="1"/>
  <c r="AK12" i="1"/>
  <c r="AK14" i="1"/>
  <c r="AK16" i="1"/>
  <c r="AK18" i="1"/>
  <c r="AK20" i="1"/>
  <c r="Y201" i="1"/>
  <c r="Y204" i="1" s="1"/>
  <c r="Y207" i="1" s="1"/>
  <c r="AO200" i="1"/>
  <c r="AN200" i="1"/>
  <c r="X201" i="1"/>
  <c r="X204" i="1" s="1"/>
  <c r="X207" i="1" s="1"/>
  <c r="P204" i="1"/>
  <c r="Q204" i="1"/>
  <c r="AF206" i="1"/>
  <c r="AM206" i="1"/>
  <c r="O207" i="1"/>
  <c r="O208" i="1" s="1"/>
  <c r="AO203" i="1"/>
  <c r="AO204" i="1" s="1"/>
  <c r="AG206" i="1"/>
  <c r="AG207" i="1" s="1"/>
  <c r="AF204" i="1"/>
  <c r="AN203" i="1"/>
  <c r="AN204" i="1" s="1"/>
  <c r="AE203" i="1"/>
  <c r="AE204" i="1" s="1"/>
  <c r="AK202" i="1"/>
  <c r="AK204" i="1" s="1"/>
  <c r="AN198" i="1"/>
  <c r="AG204" i="1"/>
  <c r="AH205" i="1"/>
  <c r="AE201" i="1"/>
  <c r="AM199" i="1"/>
  <c r="AM198" i="1"/>
  <c r="O201" i="1"/>
  <c r="P201" i="1"/>
  <c r="AM200" i="1"/>
  <c r="AF201" i="1"/>
  <c r="AN199" i="1"/>
  <c r="W201" i="1"/>
  <c r="AO198" i="1"/>
  <c r="Q201" i="1"/>
  <c r="AG201" i="1"/>
  <c r="U202" i="1"/>
  <c r="U204" i="1" s="1"/>
  <c r="M202" i="1"/>
  <c r="M204" i="1" s="1"/>
  <c r="AC202" i="1"/>
  <c r="AC204" i="1" s="1"/>
  <c r="N202" i="1"/>
  <c r="AD202" i="1" s="1"/>
  <c r="AL202" i="1" s="1"/>
  <c r="Z195" i="1"/>
  <c r="Y192" i="1"/>
  <c r="W193" i="1"/>
  <c r="W192" i="1"/>
  <c r="W191" i="1"/>
  <c r="W190" i="1"/>
  <c r="Q190" i="1"/>
  <c r="AG190" i="1" s="1"/>
  <c r="P190" i="1"/>
  <c r="O193" i="1"/>
  <c r="AE193" i="1" s="1"/>
  <c r="O192" i="1"/>
  <c r="AE192" i="1" s="1"/>
  <c r="O191" i="1"/>
  <c r="AE191" i="1" s="1"/>
  <c r="O190" i="1"/>
  <c r="AE190" i="1" s="1"/>
  <c r="Y193" i="1"/>
  <c r="X193" i="1"/>
  <c r="Q193" i="1"/>
  <c r="AG193" i="1" s="1"/>
  <c r="P193" i="1"/>
  <c r="AF193" i="1" s="1"/>
  <c r="AF194" i="1" s="1"/>
  <c r="I193" i="1"/>
  <c r="G193" i="1"/>
  <c r="X192" i="1"/>
  <c r="Q192" i="1"/>
  <c r="AG192" i="1" s="1"/>
  <c r="P192" i="1"/>
  <c r="AF192" i="1" s="1"/>
  <c r="I192" i="1"/>
  <c r="G192" i="1"/>
  <c r="Y191" i="1"/>
  <c r="X191" i="1"/>
  <c r="Q191" i="1"/>
  <c r="AG191" i="1" s="1"/>
  <c r="P191" i="1"/>
  <c r="AF191" i="1" s="1"/>
  <c r="I191" i="1"/>
  <c r="G191" i="1"/>
  <c r="Y190" i="1"/>
  <c r="X190" i="1"/>
  <c r="I190" i="1"/>
  <c r="G190" i="1"/>
  <c r="B194" i="1"/>
  <c r="AL194" i="1"/>
  <c r="AK194" i="1"/>
  <c r="AD194" i="1"/>
  <c r="AC194" i="1"/>
  <c r="V194" i="1"/>
  <c r="U194" i="1"/>
  <c r="N194" i="1"/>
  <c r="M194" i="1"/>
  <c r="Y185" i="1"/>
  <c r="Y186" i="1" s="1"/>
  <c r="W185" i="1"/>
  <c r="Q185" i="1"/>
  <c r="Q186" i="1" s="1"/>
  <c r="P185" i="1"/>
  <c r="AF185" i="1" s="1"/>
  <c r="AF186" i="1" s="1"/>
  <c r="O185" i="1"/>
  <c r="AE185" i="1" s="1"/>
  <c r="I185" i="1"/>
  <c r="G185" i="1"/>
  <c r="AL186" i="1"/>
  <c r="Z187" i="1"/>
  <c r="C186" i="1"/>
  <c r="B186" i="1"/>
  <c r="X185" i="1"/>
  <c r="Y179" i="1"/>
  <c r="X179" i="1"/>
  <c r="W179" i="1"/>
  <c r="P179" i="1"/>
  <c r="Q179" i="1"/>
  <c r="AG179" i="1" s="1"/>
  <c r="Q180" i="1"/>
  <c r="AG180" i="1" s="1"/>
  <c r="Q181" i="1"/>
  <c r="AG181" i="1" s="1"/>
  <c r="Q182" i="1"/>
  <c r="AG182" i="1" s="1"/>
  <c r="P182" i="1"/>
  <c r="AF182" i="1" s="1"/>
  <c r="P181" i="1"/>
  <c r="AF181" i="1" s="1"/>
  <c r="P180" i="1"/>
  <c r="AF180" i="1" s="1"/>
  <c r="O182" i="1"/>
  <c r="AE182" i="1" s="1"/>
  <c r="O181" i="1"/>
  <c r="AE181" i="1" s="1"/>
  <c r="O180" i="1"/>
  <c r="AE180" i="1" s="1"/>
  <c r="O179" i="1"/>
  <c r="AE179" i="1" s="1"/>
  <c r="AM179" i="1" s="1"/>
  <c r="I182" i="1"/>
  <c r="I181" i="1"/>
  <c r="I180" i="1"/>
  <c r="I179" i="1"/>
  <c r="G182" i="1"/>
  <c r="G181" i="1"/>
  <c r="G180" i="1"/>
  <c r="G179" i="1"/>
  <c r="B183" i="1"/>
  <c r="C183" i="1"/>
  <c r="AP183" i="1"/>
  <c r="AP184" i="1" s="1"/>
  <c r="AL183" i="1"/>
  <c r="AK183" i="1"/>
  <c r="AJ183" i="1"/>
  <c r="AJ186" i="1" s="1"/>
  <c r="AI183" i="1"/>
  <c r="AI186" i="1" s="1"/>
  <c r="AH183" i="1"/>
  <c r="AD183" i="1"/>
  <c r="AC183" i="1"/>
  <c r="Z184" i="1"/>
  <c r="V183" i="1"/>
  <c r="V186" i="1" s="1"/>
  <c r="U183" i="1"/>
  <c r="T183" i="1"/>
  <c r="T186" i="1" s="1"/>
  <c r="S183" i="1"/>
  <c r="S186" i="1" s="1"/>
  <c r="R183" i="1"/>
  <c r="N183" i="1"/>
  <c r="M183" i="1"/>
  <c r="W168" i="1"/>
  <c r="W169" i="1" s="1"/>
  <c r="Q168" i="1"/>
  <c r="Q169" i="1" s="1"/>
  <c r="P168" i="1"/>
  <c r="P169" i="1" s="1"/>
  <c r="O168" i="1"/>
  <c r="O169" i="1" s="1"/>
  <c r="C169" i="1"/>
  <c r="B169" i="1"/>
  <c r="AL169" i="1"/>
  <c r="Z170" i="1"/>
  <c r="Y163" i="1"/>
  <c r="Y164" i="1"/>
  <c r="Y165" i="1"/>
  <c r="X163" i="1"/>
  <c r="X164" i="1"/>
  <c r="X165" i="1"/>
  <c r="W163" i="1"/>
  <c r="W164" i="1"/>
  <c r="W165" i="1"/>
  <c r="W162" i="1"/>
  <c r="P165" i="1"/>
  <c r="AF165" i="1" s="1"/>
  <c r="Q165" i="1"/>
  <c r="AG165" i="1" s="1"/>
  <c r="O165" i="1"/>
  <c r="AE165" i="1" s="1"/>
  <c r="O164" i="1"/>
  <c r="AE164" i="1" s="1"/>
  <c r="O163" i="1"/>
  <c r="AE163" i="1" s="1"/>
  <c r="O162" i="1"/>
  <c r="D165" i="1"/>
  <c r="G165" i="1"/>
  <c r="G164" i="1"/>
  <c r="G163" i="1"/>
  <c r="G162" i="1"/>
  <c r="B166" i="1"/>
  <c r="C166" i="1"/>
  <c r="AL166" i="1"/>
  <c r="AK166" i="1"/>
  <c r="AJ166" i="1"/>
  <c r="AJ169" i="1" s="1"/>
  <c r="AI166" i="1"/>
  <c r="AI169" i="1" s="1"/>
  <c r="AD166" i="1"/>
  <c r="AC166" i="1"/>
  <c r="Z167" i="1"/>
  <c r="V166" i="1"/>
  <c r="V169" i="1" s="1"/>
  <c r="U166" i="1"/>
  <c r="T166" i="1"/>
  <c r="T169" i="1" s="1"/>
  <c r="S166" i="1"/>
  <c r="S169" i="1" s="1"/>
  <c r="R166" i="1"/>
  <c r="N166" i="1"/>
  <c r="M166" i="1"/>
  <c r="C159" i="1"/>
  <c r="B159" i="1"/>
  <c r="Z157" i="1"/>
  <c r="Z158" i="1"/>
  <c r="Z156" i="1"/>
  <c r="X159" i="1"/>
  <c r="W159" i="1"/>
  <c r="Q157" i="1"/>
  <c r="Q158" i="1"/>
  <c r="Q156" i="1"/>
  <c r="P156" i="1"/>
  <c r="O156" i="1"/>
  <c r="I158" i="1"/>
  <c r="I157" i="1"/>
  <c r="I156" i="1"/>
  <c r="G158" i="1"/>
  <c r="G157" i="1"/>
  <c r="G156" i="1"/>
  <c r="F158" i="1"/>
  <c r="F157" i="1"/>
  <c r="F156" i="1"/>
  <c r="AL159" i="1"/>
  <c r="AK159" i="1"/>
  <c r="AJ159" i="1"/>
  <c r="AI159" i="1"/>
  <c r="AG159" i="1"/>
  <c r="AD159" i="1"/>
  <c r="V159" i="1"/>
  <c r="U159" i="1"/>
  <c r="T159" i="1"/>
  <c r="S159" i="1"/>
  <c r="N159" i="1"/>
  <c r="V152" i="1"/>
  <c r="U151" i="1"/>
  <c r="P151" i="1"/>
  <c r="P152" i="1" s="1"/>
  <c r="O151" i="1"/>
  <c r="AE151" i="1" s="1"/>
  <c r="AM151" i="1" s="1"/>
  <c r="M151" i="1"/>
  <c r="AC151" i="1" s="1"/>
  <c r="AL152" i="1"/>
  <c r="AD152" i="1"/>
  <c r="T152" i="1"/>
  <c r="S152" i="1"/>
  <c r="Q152" i="1"/>
  <c r="N152" i="1"/>
  <c r="C152" i="1"/>
  <c r="B152" i="1"/>
  <c r="AO151" i="1"/>
  <c r="Z151" i="1"/>
  <c r="O152" i="1"/>
  <c r="I151" i="1"/>
  <c r="R151" i="1" s="1"/>
  <c r="B149" i="1"/>
  <c r="C149" i="1"/>
  <c r="AD149" i="1"/>
  <c r="Z148" i="1"/>
  <c r="Z147" i="1"/>
  <c r="Z146" i="1"/>
  <c r="W149" i="1"/>
  <c r="X149" i="1"/>
  <c r="X152" i="1" s="1"/>
  <c r="U147" i="1"/>
  <c r="U148" i="1"/>
  <c r="U146" i="1"/>
  <c r="T149" i="1"/>
  <c r="S149" i="1"/>
  <c r="Q149" i="1"/>
  <c r="N149" i="1"/>
  <c r="U138" i="1"/>
  <c r="U139" i="1"/>
  <c r="U140" i="1"/>
  <c r="U141" i="1"/>
  <c r="U137" i="1"/>
  <c r="M146" i="1"/>
  <c r="AC146" i="1" s="1"/>
  <c r="P148" i="1"/>
  <c r="P147" i="1"/>
  <c r="P146" i="1"/>
  <c r="O147" i="1"/>
  <c r="AE147" i="1" s="1"/>
  <c r="O148" i="1"/>
  <c r="AE148" i="1" s="1"/>
  <c r="AM148" i="1" s="1"/>
  <c r="O146" i="1"/>
  <c r="AE146" i="1" s="1"/>
  <c r="AM146" i="1" s="1"/>
  <c r="M147" i="1"/>
  <c r="M148" i="1"/>
  <c r="AC148" i="1" s="1"/>
  <c r="I148" i="1"/>
  <c r="I147" i="1"/>
  <c r="I146" i="1"/>
  <c r="AL149" i="1"/>
  <c r="AK149" i="1"/>
  <c r="AJ149" i="1"/>
  <c r="AJ152" i="1" s="1"/>
  <c r="AI149" i="1"/>
  <c r="AI152" i="1" s="1"/>
  <c r="AG149" i="1"/>
  <c r="AG152" i="1" s="1"/>
  <c r="V149" i="1"/>
  <c r="Z141" i="1"/>
  <c r="Z140" i="1"/>
  <c r="Z139" i="1"/>
  <c r="Z138" i="1"/>
  <c r="Z137" i="1"/>
  <c r="U123" i="1"/>
  <c r="P138" i="1"/>
  <c r="P139" i="1"/>
  <c r="P140" i="1"/>
  <c r="P141" i="1"/>
  <c r="P137" i="1"/>
  <c r="O141" i="1"/>
  <c r="AE141" i="1" s="1"/>
  <c r="AM141" i="1" s="1"/>
  <c r="O140" i="1"/>
  <c r="AE140" i="1" s="1"/>
  <c r="AM140" i="1" s="1"/>
  <c r="O139" i="1"/>
  <c r="AE139" i="1" s="1"/>
  <c r="AM139" i="1" s="1"/>
  <c r="O138" i="1"/>
  <c r="O137" i="1"/>
  <c r="AE137" i="1" s="1"/>
  <c r="M138" i="1"/>
  <c r="AC138" i="1" s="1"/>
  <c r="M139" i="1"/>
  <c r="AC139" i="1" s="1"/>
  <c r="M140" i="1"/>
  <c r="M141" i="1"/>
  <c r="AC141" i="1" s="1"/>
  <c r="M137" i="1"/>
  <c r="AC137" i="1" s="1"/>
  <c r="F141" i="1"/>
  <c r="F140" i="1"/>
  <c r="F139" i="1"/>
  <c r="F138" i="1"/>
  <c r="F137" i="1"/>
  <c r="N141" i="1"/>
  <c r="N140" i="1"/>
  <c r="N139" i="1"/>
  <c r="N138" i="1"/>
  <c r="N137" i="1"/>
  <c r="I141" i="1"/>
  <c r="I140" i="1"/>
  <c r="I139" i="1"/>
  <c r="I138" i="1"/>
  <c r="I137" i="1"/>
  <c r="B142" i="1"/>
  <c r="C142" i="1"/>
  <c r="AL142" i="1"/>
  <c r="AK142" i="1"/>
  <c r="AJ142" i="1"/>
  <c r="AI142" i="1"/>
  <c r="AG142" i="1"/>
  <c r="AD142" i="1"/>
  <c r="V142" i="1"/>
  <c r="T142" i="1"/>
  <c r="S142" i="1"/>
  <c r="Q142" i="1"/>
  <c r="AO220" i="1" l="1"/>
  <c r="AN220" i="1"/>
  <c r="AE217" i="1"/>
  <c r="AO211" i="1"/>
  <c r="AO213" i="1" s="1"/>
  <c r="M217" i="1"/>
  <c r="N217" i="1"/>
  <c r="AD217" i="1" s="1"/>
  <c r="AL217" i="1" s="1"/>
  <c r="W214" i="1"/>
  <c r="AE214" i="1"/>
  <c r="AN211" i="1"/>
  <c r="AN213" i="1" s="1"/>
  <c r="O205" i="1"/>
  <c r="AN201" i="1"/>
  <c r="AO201" i="1"/>
  <c r="W208" i="1"/>
  <c r="W202" i="1"/>
  <c r="AM192" i="1"/>
  <c r="AM207" i="1"/>
  <c r="AE207" i="1"/>
  <c r="AF207" i="1"/>
  <c r="AN206" i="1"/>
  <c r="AN207" i="1" s="1"/>
  <c r="AO206" i="1"/>
  <c r="AO207" i="1" s="1"/>
  <c r="U205" i="1"/>
  <c r="U207" i="1" s="1"/>
  <c r="U208" i="1" s="1"/>
  <c r="AM203" i="1"/>
  <c r="AM204" i="1" s="1"/>
  <c r="AM205" i="1" s="1"/>
  <c r="O202" i="1"/>
  <c r="AK205" i="1"/>
  <c r="AK207" i="1" s="1"/>
  <c r="AK208" i="1" s="1"/>
  <c r="AE205" i="1"/>
  <c r="AM201" i="1"/>
  <c r="AM191" i="1"/>
  <c r="N204" i="1"/>
  <c r="AD204" i="1"/>
  <c r="AE202" i="1"/>
  <c r="W194" i="1"/>
  <c r="AO192" i="1"/>
  <c r="AM193" i="1"/>
  <c r="AO191" i="1"/>
  <c r="AN192" i="1"/>
  <c r="AO190" i="1"/>
  <c r="AN193" i="1"/>
  <c r="Q194" i="1"/>
  <c r="AN191" i="1"/>
  <c r="AM190" i="1"/>
  <c r="P194" i="1"/>
  <c r="AN185" i="1"/>
  <c r="AN186" i="1" s="1"/>
  <c r="O194" i="1"/>
  <c r="O186" i="1"/>
  <c r="X194" i="1"/>
  <c r="AF190" i="1"/>
  <c r="AN190" i="1" s="1"/>
  <c r="Y194" i="1"/>
  <c r="AO193" i="1"/>
  <c r="AG194" i="1"/>
  <c r="AK195" i="1"/>
  <c r="AC195" i="1"/>
  <c r="U195" i="1"/>
  <c r="AM185" i="1"/>
  <c r="AP186" i="1"/>
  <c r="AP187" i="1" s="1"/>
  <c r="W186" i="1"/>
  <c r="M195" i="1"/>
  <c r="N195" i="1"/>
  <c r="AD195" i="1" s="1"/>
  <c r="AL195" i="1" s="1"/>
  <c r="X186" i="1"/>
  <c r="AG185" i="1"/>
  <c r="AG186" i="1" s="1"/>
  <c r="P186" i="1"/>
  <c r="AH184" i="1"/>
  <c r="AH186" i="1" s="1"/>
  <c r="AH187" i="1" s="1"/>
  <c r="U184" i="1"/>
  <c r="U186" i="1" s="1"/>
  <c r="U187" i="1" s="1"/>
  <c r="P183" i="1"/>
  <c r="AG183" i="1"/>
  <c r="O183" i="1"/>
  <c r="AE183" i="1"/>
  <c r="AK184" i="1"/>
  <c r="AK186" i="1" s="1"/>
  <c r="AK187" i="1" s="1"/>
  <c r="Q183" i="1"/>
  <c r="AF179" i="1"/>
  <c r="M184" i="1"/>
  <c r="M186" i="1" s="1"/>
  <c r="N184" i="1"/>
  <c r="AD184" i="1" s="1"/>
  <c r="AL184" i="1" s="1"/>
  <c r="AM164" i="1"/>
  <c r="R184" i="1"/>
  <c r="R186" i="1" s="1"/>
  <c r="R187" i="1" s="1"/>
  <c r="AC184" i="1"/>
  <c r="AC186" i="1" s="1"/>
  <c r="AE168" i="1"/>
  <c r="AE169" i="1" s="1"/>
  <c r="O170" i="1"/>
  <c r="AC167" i="1"/>
  <c r="AK167" i="1"/>
  <c r="AK169" i="1" s="1"/>
  <c r="AK170" i="1" s="1"/>
  <c r="AF168" i="1"/>
  <c r="AF169" i="1" s="1"/>
  <c r="AG168" i="1"/>
  <c r="AG169" i="1" s="1"/>
  <c r="AC169" i="1"/>
  <c r="O166" i="1"/>
  <c r="AE162" i="1"/>
  <c r="AM162" i="1" s="1"/>
  <c r="W166" i="1"/>
  <c r="AM163" i="1"/>
  <c r="AO165" i="1"/>
  <c r="AN165" i="1"/>
  <c r="AM165" i="1"/>
  <c r="AF151" i="1"/>
  <c r="AN151" i="1" s="1"/>
  <c r="AN152" i="1" s="1"/>
  <c r="U160" i="1"/>
  <c r="N167" i="1"/>
  <c r="O153" i="1"/>
  <c r="AK151" i="1"/>
  <c r="AK152" i="1" s="1"/>
  <c r="AK153" i="1" s="1"/>
  <c r="R167" i="1"/>
  <c r="R169" i="1" s="1"/>
  <c r="R170" i="1" s="1"/>
  <c r="P149" i="1"/>
  <c r="U152" i="1"/>
  <c r="U153" i="1" s="1"/>
  <c r="Q159" i="1"/>
  <c r="AK143" i="1"/>
  <c r="M152" i="1"/>
  <c r="M153" i="1" s="1"/>
  <c r="AK160" i="1"/>
  <c r="Z160" i="1"/>
  <c r="M167" i="1"/>
  <c r="M169" i="1" s="1"/>
  <c r="U167" i="1"/>
  <c r="U169" i="1" s="1"/>
  <c r="U170" i="1" s="1"/>
  <c r="W160" i="1"/>
  <c r="R152" i="1"/>
  <c r="R153" i="1" s="1"/>
  <c r="AH151" i="1"/>
  <c r="AP151" i="1" s="1"/>
  <c r="M149" i="1"/>
  <c r="M150" i="1" s="1"/>
  <c r="AC152" i="1"/>
  <c r="AC153" i="1" s="1"/>
  <c r="AM147" i="1"/>
  <c r="AE149" i="1"/>
  <c r="O149" i="1"/>
  <c r="U149" i="1"/>
  <c r="U150" i="1" s="1"/>
  <c r="AC147" i="1"/>
  <c r="AC149" i="1" s="1"/>
  <c r="AC150" i="1" s="1"/>
  <c r="W150" i="1"/>
  <c r="W152" i="1" s="1"/>
  <c r="W153" i="1" s="1"/>
  <c r="AK150" i="1"/>
  <c r="N142" i="1"/>
  <c r="U142" i="1"/>
  <c r="U143" i="1" s="1"/>
  <c r="M142" i="1"/>
  <c r="O142" i="1"/>
  <c r="P142" i="1"/>
  <c r="AC140" i="1"/>
  <c r="AC142" i="1" s="1"/>
  <c r="AC143" i="1" s="1"/>
  <c r="AM137" i="1"/>
  <c r="AE138" i="1"/>
  <c r="AM138" i="1" s="1"/>
  <c r="C133" i="1"/>
  <c r="B133" i="1"/>
  <c r="Z128" i="1"/>
  <c r="AJ133" i="1"/>
  <c r="AI133" i="1"/>
  <c r="AG133" i="1"/>
  <c r="AF128" i="1"/>
  <c r="AN128" i="1" s="1"/>
  <c r="AF129" i="1"/>
  <c r="AF130" i="1"/>
  <c r="AF131" i="1"/>
  <c r="AF132" i="1"/>
  <c r="AD133" i="1"/>
  <c r="AC133" i="1"/>
  <c r="X133" i="1"/>
  <c r="W133" i="1"/>
  <c r="T133" i="1"/>
  <c r="S133" i="1"/>
  <c r="R132" i="1"/>
  <c r="AH132" i="1" s="1"/>
  <c r="R131" i="1"/>
  <c r="AH131" i="1" s="1"/>
  <c r="R130" i="1"/>
  <c r="AH130" i="1" s="1"/>
  <c r="R129" i="1"/>
  <c r="AH129" i="1" s="1"/>
  <c r="R128" i="1"/>
  <c r="AH128" i="1" s="1"/>
  <c r="P133" i="1"/>
  <c r="O132" i="1"/>
  <c r="AE132" i="1" s="1"/>
  <c r="AM132" i="1" s="1"/>
  <c r="O131" i="1"/>
  <c r="AE131" i="1" s="1"/>
  <c r="AM131" i="1" s="1"/>
  <c r="O130" i="1"/>
  <c r="AE130" i="1" s="1"/>
  <c r="AM130" i="1" s="1"/>
  <c r="O129" i="1"/>
  <c r="AE129" i="1" s="1"/>
  <c r="AM129" i="1" s="1"/>
  <c r="O128" i="1"/>
  <c r="AE128" i="1" s="1"/>
  <c r="N132" i="1"/>
  <c r="N131" i="1"/>
  <c r="N133" i="1" s="1"/>
  <c r="N130" i="1"/>
  <c r="N129" i="1"/>
  <c r="N128" i="1"/>
  <c r="M132" i="1"/>
  <c r="M131" i="1"/>
  <c r="M130" i="1"/>
  <c r="M129" i="1"/>
  <c r="M128" i="1"/>
  <c r="AL133" i="1"/>
  <c r="AK133" i="1"/>
  <c r="V133" i="1"/>
  <c r="U133" i="1"/>
  <c r="Q133" i="1"/>
  <c r="AL124" i="1"/>
  <c r="AD124" i="1"/>
  <c r="O123" i="1"/>
  <c r="AE123" i="1" s="1"/>
  <c r="O122" i="1"/>
  <c r="M123" i="1"/>
  <c r="AC123" i="1" s="1"/>
  <c r="M122" i="1"/>
  <c r="AC122" i="1" s="1"/>
  <c r="W123" i="1"/>
  <c r="I123" i="1"/>
  <c r="W122" i="1"/>
  <c r="U122" i="1"/>
  <c r="U124" i="1" s="1"/>
  <c r="I122" i="1"/>
  <c r="AP125" i="1"/>
  <c r="AH125" i="1"/>
  <c r="Z125" i="1"/>
  <c r="AN124" i="1"/>
  <c r="T124" i="1"/>
  <c r="S124" i="1"/>
  <c r="Q124" i="1"/>
  <c r="P124" i="1"/>
  <c r="N124" i="1"/>
  <c r="C124" i="1"/>
  <c r="B124" i="1"/>
  <c r="C89" i="1"/>
  <c r="B89" i="1"/>
  <c r="B94" i="1"/>
  <c r="C94" i="1"/>
  <c r="C102" i="1"/>
  <c r="B102" i="1"/>
  <c r="B106" i="1"/>
  <c r="C106" i="1"/>
  <c r="C109" i="1"/>
  <c r="B109" i="1"/>
  <c r="B114" i="1"/>
  <c r="C114" i="1"/>
  <c r="C120" i="1"/>
  <c r="B120" i="1"/>
  <c r="W119" i="1"/>
  <c r="W118" i="1"/>
  <c r="U118" i="1"/>
  <c r="U119" i="1"/>
  <c r="O119" i="1"/>
  <c r="AE119" i="1" s="1"/>
  <c r="O118" i="1"/>
  <c r="AE118" i="1" s="1"/>
  <c r="AM118" i="1" s="1"/>
  <c r="M119" i="1"/>
  <c r="AC119" i="1" s="1"/>
  <c r="M118" i="1"/>
  <c r="AC118" i="1" s="1"/>
  <c r="I119" i="1"/>
  <c r="I118" i="1"/>
  <c r="AP121" i="1"/>
  <c r="AH121" i="1"/>
  <c r="Z121" i="1"/>
  <c r="AN120" i="1"/>
  <c r="AL120" i="1"/>
  <c r="AF120" i="1"/>
  <c r="AF124" i="1" s="1"/>
  <c r="AD120" i="1"/>
  <c r="V120" i="1"/>
  <c r="V124" i="1" s="1"/>
  <c r="T120" i="1"/>
  <c r="S120" i="1"/>
  <c r="R120" i="1"/>
  <c r="Q120" i="1"/>
  <c r="P120" i="1"/>
  <c r="N120" i="1"/>
  <c r="AL114" i="1"/>
  <c r="W113" i="1"/>
  <c r="V113" i="1"/>
  <c r="V114" i="1" s="1"/>
  <c r="AM111" i="1"/>
  <c r="AF114" i="1"/>
  <c r="AD114" i="1"/>
  <c r="O113" i="1"/>
  <c r="AE113" i="1" s="1"/>
  <c r="U112" i="1"/>
  <c r="U111" i="1"/>
  <c r="M112" i="1"/>
  <c r="AC112" i="1" s="1"/>
  <c r="M111" i="1"/>
  <c r="AP115" i="1"/>
  <c r="AH115" i="1"/>
  <c r="Z115" i="1"/>
  <c r="AN114" i="1"/>
  <c r="T114" i="1"/>
  <c r="S114" i="1"/>
  <c r="R114" i="1"/>
  <c r="Q114" i="1"/>
  <c r="P114" i="1"/>
  <c r="N114" i="1"/>
  <c r="U108" i="1"/>
  <c r="M108" i="1"/>
  <c r="AC108" i="1" s="1"/>
  <c r="AP110" i="1"/>
  <c r="AH110" i="1"/>
  <c r="Z110" i="1"/>
  <c r="AN109" i="1"/>
  <c r="AF109" i="1"/>
  <c r="T109" i="1"/>
  <c r="S109" i="1"/>
  <c r="Q109" i="1"/>
  <c r="P109" i="1"/>
  <c r="V108" i="1"/>
  <c r="V109" i="1" s="1"/>
  <c r="N108" i="1"/>
  <c r="N109" i="1" s="1"/>
  <c r="I108" i="1"/>
  <c r="H108" i="1"/>
  <c r="O108" i="1" s="1"/>
  <c r="E108" i="1"/>
  <c r="U105" i="1"/>
  <c r="U106" i="1" s="1"/>
  <c r="V105" i="1"/>
  <c r="V106" i="1" s="1"/>
  <c r="N105" i="1"/>
  <c r="AD105" i="1" s="1"/>
  <c r="AD106" i="1" s="1"/>
  <c r="M105" i="1"/>
  <c r="AC105" i="1" s="1"/>
  <c r="I105" i="1"/>
  <c r="H105" i="1"/>
  <c r="O105" i="1" s="1"/>
  <c r="AE105" i="1" s="1"/>
  <c r="AM105" i="1" s="1"/>
  <c r="E105" i="1"/>
  <c r="AP107" i="1"/>
  <c r="AH107" i="1"/>
  <c r="Z107" i="1"/>
  <c r="AN106" i="1"/>
  <c r="AF106" i="1"/>
  <c r="W106" i="1"/>
  <c r="W107" i="1" s="1"/>
  <c r="W109" i="1" s="1"/>
  <c r="W110" i="1" s="1"/>
  <c r="T106" i="1"/>
  <c r="S106" i="1"/>
  <c r="R106" i="1"/>
  <c r="Q106" i="1"/>
  <c r="P106" i="1"/>
  <c r="V101" i="1"/>
  <c r="V100" i="1"/>
  <c r="V99" i="1"/>
  <c r="V98" i="1"/>
  <c r="U98" i="1"/>
  <c r="N99" i="1"/>
  <c r="AD99" i="1" s="1"/>
  <c r="N100" i="1"/>
  <c r="AD100" i="1" s="1"/>
  <c r="N101" i="1"/>
  <c r="AD101" i="1" s="1"/>
  <c r="N98" i="1"/>
  <c r="AD98" i="1" s="1"/>
  <c r="M101" i="1"/>
  <c r="AC101" i="1" s="1"/>
  <c r="M100" i="1"/>
  <c r="AC100" i="1" s="1"/>
  <c r="M99" i="1"/>
  <c r="AC99" i="1" s="1"/>
  <c r="M98" i="1"/>
  <c r="AC98" i="1" s="1"/>
  <c r="AP103" i="1"/>
  <c r="AH103" i="1"/>
  <c r="Z103" i="1"/>
  <c r="AN102" i="1"/>
  <c r="AF102" i="1"/>
  <c r="T102" i="1"/>
  <c r="S102" i="1"/>
  <c r="R102" i="1"/>
  <c r="Q102" i="1"/>
  <c r="P102" i="1"/>
  <c r="U93" i="1"/>
  <c r="M93" i="1"/>
  <c r="M94" i="1" s="1"/>
  <c r="AP95" i="1"/>
  <c r="AH95" i="1"/>
  <c r="Z95" i="1"/>
  <c r="AN94" i="1"/>
  <c r="AM94" i="1"/>
  <c r="AL94" i="1"/>
  <c r="AF94" i="1"/>
  <c r="AE94" i="1"/>
  <c r="W94" i="1"/>
  <c r="W95" i="1" s="1"/>
  <c r="V94" i="1"/>
  <c r="T94" i="1"/>
  <c r="S94" i="1"/>
  <c r="R94" i="1"/>
  <c r="Q94" i="1"/>
  <c r="P94" i="1"/>
  <c r="O94" i="1"/>
  <c r="N94" i="1"/>
  <c r="AD94" i="1" s="1"/>
  <c r="I93" i="1"/>
  <c r="H93" i="1"/>
  <c r="W88" i="1"/>
  <c r="W87" i="1"/>
  <c r="V88" i="1"/>
  <c r="V87" i="1"/>
  <c r="U88" i="1"/>
  <c r="U87" i="1"/>
  <c r="T88" i="1"/>
  <c r="T87" i="1"/>
  <c r="S88" i="1"/>
  <c r="S87" i="1"/>
  <c r="R88" i="1"/>
  <c r="R87" i="1"/>
  <c r="Q88" i="1"/>
  <c r="Q87" i="1"/>
  <c r="P88" i="1"/>
  <c r="P87" i="1"/>
  <c r="N88" i="1"/>
  <c r="N87" i="1"/>
  <c r="O88" i="1"/>
  <c r="O87" i="1"/>
  <c r="AE87" i="1" s="1"/>
  <c r="M82" i="1"/>
  <c r="AC82" i="1" s="1"/>
  <c r="I87" i="1"/>
  <c r="G88" i="1"/>
  <c r="M88" i="1" s="1"/>
  <c r="AC88" i="1" s="1"/>
  <c r="G87" i="1"/>
  <c r="D88" i="1"/>
  <c r="D87" i="1"/>
  <c r="AF89" i="1"/>
  <c r="AL89" i="1"/>
  <c r="AN89" i="1"/>
  <c r="Z90" i="1"/>
  <c r="AH90" i="1"/>
  <c r="AP90" i="1"/>
  <c r="I88" i="1"/>
  <c r="U82" i="1"/>
  <c r="U81" i="1"/>
  <c r="M81" i="1"/>
  <c r="AC81" i="1" s="1"/>
  <c r="I73" i="1"/>
  <c r="I82" i="1"/>
  <c r="H82" i="1"/>
  <c r="I81" i="1"/>
  <c r="H81" i="1"/>
  <c r="I78" i="1"/>
  <c r="H78" i="1"/>
  <c r="I77" i="1"/>
  <c r="H77" i="1"/>
  <c r="C83" i="1"/>
  <c r="B83" i="1"/>
  <c r="AP84" i="1"/>
  <c r="AH84" i="1"/>
  <c r="Z84" i="1"/>
  <c r="R84" i="1"/>
  <c r="AN83" i="1"/>
  <c r="AL83" i="1"/>
  <c r="AF83" i="1"/>
  <c r="Q83" i="1"/>
  <c r="P83" i="1"/>
  <c r="N83" i="1"/>
  <c r="AD83" i="1" s="1"/>
  <c r="U78" i="1"/>
  <c r="U77" i="1"/>
  <c r="M78" i="1"/>
  <c r="AC78" i="1" s="1"/>
  <c r="M77" i="1"/>
  <c r="AC77" i="1" s="1"/>
  <c r="C79" i="1"/>
  <c r="B79" i="1"/>
  <c r="AP80" i="1"/>
  <c r="AH80" i="1"/>
  <c r="Z80" i="1"/>
  <c r="R80" i="1"/>
  <c r="AN79" i="1"/>
  <c r="AL79" i="1"/>
  <c r="AF79" i="1"/>
  <c r="V79" i="1"/>
  <c r="V83" i="1" s="1"/>
  <c r="Q79" i="1"/>
  <c r="P79" i="1"/>
  <c r="N79" i="1"/>
  <c r="AD79" i="1" s="1"/>
  <c r="AL74" i="1"/>
  <c r="U73" i="1"/>
  <c r="U72" i="1"/>
  <c r="M73" i="1"/>
  <c r="AC73" i="1" s="1"/>
  <c r="M72" i="1"/>
  <c r="C74" i="1"/>
  <c r="B74" i="1"/>
  <c r="H73" i="1"/>
  <c r="I72" i="1"/>
  <c r="H72" i="1"/>
  <c r="F72" i="1"/>
  <c r="E72" i="1"/>
  <c r="AP75" i="1"/>
  <c r="AH75" i="1"/>
  <c r="Z75" i="1"/>
  <c r="R75" i="1"/>
  <c r="AN74" i="1"/>
  <c r="AF74" i="1"/>
  <c r="Q74" i="1"/>
  <c r="P74" i="1"/>
  <c r="N74" i="1"/>
  <c r="AD74" i="1" s="1"/>
  <c r="V68" i="1"/>
  <c r="V70" i="1" s="1"/>
  <c r="U69" i="1"/>
  <c r="U68" i="1"/>
  <c r="M69" i="1"/>
  <c r="AC69" i="1" s="1"/>
  <c r="M68" i="1"/>
  <c r="AC68" i="1" s="1"/>
  <c r="N68" i="1"/>
  <c r="N70" i="1" s="1"/>
  <c r="H69" i="1"/>
  <c r="H68" i="1"/>
  <c r="I69" i="1"/>
  <c r="I68" i="1"/>
  <c r="I53" i="1"/>
  <c r="I52" i="1"/>
  <c r="I63" i="1"/>
  <c r="I62" i="1"/>
  <c r="I61" i="1"/>
  <c r="I60" i="1"/>
  <c r="C70" i="1"/>
  <c r="B70" i="1"/>
  <c r="AP71" i="1"/>
  <c r="AH71" i="1"/>
  <c r="Z71" i="1"/>
  <c r="R71" i="1"/>
  <c r="AN70" i="1"/>
  <c r="AM70" i="1"/>
  <c r="AF70" i="1"/>
  <c r="AE70" i="1"/>
  <c r="W70" i="1"/>
  <c r="Q70" i="1"/>
  <c r="P70" i="1"/>
  <c r="O70" i="1"/>
  <c r="U63" i="1"/>
  <c r="W63" i="1"/>
  <c r="W62" i="1"/>
  <c r="W61" i="1"/>
  <c r="W60" i="1"/>
  <c r="O60" i="1"/>
  <c r="AE60" i="1" s="1"/>
  <c r="V64" i="1"/>
  <c r="U62" i="1"/>
  <c r="U61" i="1"/>
  <c r="U60" i="1"/>
  <c r="O63" i="1"/>
  <c r="AE63" i="1" s="1"/>
  <c r="O62" i="1"/>
  <c r="AE62" i="1" s="1"/>
  <c r="O61" i="1"/>
  <c r="AE61" i="1" s="1"/>
  <c r="M63" i="1"/>
  <c r="AC63" i="1" s="1"/>
  <c r="M62" i="1"/>
  <c r="AC62" i="1" s="1"/>
  <c r="M61" i="1"/>
  <c r="AC61" i="1" s="1"/>
  <c r="M60" i="1"/>
  <c r="AC60" i="1" s="1"/>
  <c r="AN63" i="1"/>
  <c r="AL63" i="1"/>
  <c r="AD63" i="1"/>
  <c r="T63" i="1"/>
  <c r="S63" i="1"/>
  <c r="R63" i="1"/>
  <c r="Q63" i="1"/>
  <c r="P63" i="1"/>
  <c r="AF63" i="1" s="1"/>
  <c r="AN62" i="1"/>
  <c r="AN64" i="1" s="1"/>
  <c r="AL62" i="1"/>
  <c r="AD62" i="1"/>
  <c r="T62" i="1"/>
  <c r="S62" i="1"/>
  <c r="R62" i="1"/>
  <c r="Q62" i="1"/>
  <c r="P62" i="1"/>
  <c r="AF62" i="1" s="1"/>
  <c r="AN61" i="1"/>
  <c r="AL61" i="1"/>
  <c r="AD61" i="1"/>
  <c r="T61" i="1"/>
  <c r="S61" i="1"/>
  <c r="R61" i="1"/>
  <c r="Q61" i="1"/>
  <c r="P61" i="1"/>
  <c r="AF61" i="1" s="1"/>
  <c r="AN60" i="1"/>
  <c r="AL60" i="1"/>
  <c r="AD60" i="1"/>
  <c r="T60" i="1"/>
  <c r="S60" i="1"/>
  <c r="R60" i="1"/>
  <c r="Q60" i="1"/>
  <c r="P60" i="1"/>
  <c r="AF60" i="1" s="1"/>
  <c r="C64" i="1"/>
  <c r="B64" i="1"/>
  <c r="AN57" i="1"/>
  <c r="AN56" i="1"/>
  <c r="AL56" i="1"/>
  <c r="AL57" i="1" s="1"/>
  <c r="AD56" i="1"/>
  <c r="AB57" i="1"/>
  <c r="AA57" i="1"/>
  <c r="Z57" i="1"/>
  <c r="Y57" i="1"/>
  <c r="X57" i="1"/>
  <c r="W56" i="1"/>
  <c r="W57" i="1" s="1"/>
  <c r="O56" i="1"/>
  <c r="AE56" i="1" s="1"/>
  <c r="U56" i="1"/>
  <c r="U57" i="1" s="1"/>
  <c r="V57" i="1"/>
  <c r="T56" i="1"/>
  <c r="T57" i="1" s="1"/>
  <c r="S56" i="1"/>
  <c r="S57" i="1" s="1"/>
  <c r="R56" i="1"/>
  <c r="R57" i="1" s="1"/>
  <c r="M56" i="1"/>
  <c r="AC56" i="1" s="1"/>
  <c r="Q57" i="1"/>
  <c r="Q56" i="1"/>
  <c r="P56" i="1"/>
  <c r="AF56" i="1" s="1"/>
  <c r="AF57" i="1" s="1"/>
  <c r="N57" i="1"/>
  <c r="AD57" i="1" s="1"/>
  <c r="C57" i="1"/>
  <c r="B57" i="1"/>
  <c r="AP58" i="1"/>
  <c r="AH58" i="1"/>
  <c r="AP65" i="1"/>
  <c r="AH65" i="1"/>
  <c r="Z65" i="1"/>
  <c r="R65" i="1"/>
  <c r="Q64" i="1"/>
  <c r="P64" i="1"/>
  <c r="N64" i="1"/>
  <c r="AN54" i="1"/>
  <c r="AF54" i="1"/>
  <c r="W53" i="1"/>
  <c r="W52" i="1"/>
  <c r="O53" i="1"/>
  <c r="AE53" i="1" s="1"/>
  <c r="O52" i="1"/>
  <c r="AE52" i="1" s="1"/>
  <c r="AM214" i="1" l="1"/>
  <c r="AM202" i="1"/>
  <c r="AE208" i="1"/>
  <c r="AM208" i="1"/>
  <c r="M205" i="1"/>
  <c r="M207" i="1" s="1"/>
  <c r="AC205" i="1"/>
  <c r="AC207" i="1" s="1"/>
  <c r="N205" i="1"/>
  <c r="AD205" i="1" s="1"/>
  <c r="AL205" i="1" s="1"/>
  <c r="AO194" i="1"/>
  <c r="AM194" i="1"/>
  <c r="AN194" i="1"/>
  <c r="O195" i="1"/>
  <c r="W195" i="1"/>
  <c r="O187" i="1"/>
  <c r="W187" i="1"/>
  <c r="AD186" i="1"/>
  <c r="AC187" i="1" s="1"/>
  <c r="N186" i="1"/>
  <c r="N187" i="1" s="1"/>
  <c r="AD187" i="1" s="1"/>
  <c r="AL187" i="1" s="1"/>
  <c r="AO185" i="1"/>
  <c r="AO186" i="1" s="1"/>
  <c r="AE186" i="1"/>
  <c r="AE187" i="1" s="1"/>
  <c r="AM186" i="1"/>
  <c r="O184" i="1"/>
  <c r="AF183" i="1"/>
  <c r="AE184" i="1" s="1"/>
  <c r="AN179" i="1"/>
  <c r="AE170" i="1"/>
  <c r="AM168" i="1"/>
  <c r="AM169" i="1" s="1"/>
  <c r="AE166" i="1"/>
  <c r="AM166" i="1"/>
  <c r="O150" i="1"/>
  <c r="AD167" i="1"/>
  <c r="N169" i="1"/>
  <c r="N170" i="1" s="1"/>
  <c r="AD170" i="1" s="1"/>
  <c r="AL170" i="1" s="1"/>
  <c r="N153" i="1"/>
  <c r="AD153" i="1" s="1"/>
  <c r="AL153" i="1" s="1"/>
  <c r="N150" i="1"/>
  <c r="AD150" i="1" s="1"/>
  <c r="AL150" i="1" s="1"/>
  <c r="AE152" i="1"/>
  <c r="N143" i="1"/>
  <c r="AD143" i="1" s="1"/>
  <c r="AL143" i="1" s="1"/>
  <c r="M143" i="1"/>
  <c r="U134" i="1"/>
  <c r="AC134" i="1"/>
  <c r="AK134" i="1"/>
  <c r="AE142" i="1"/>
  <c r="U125" i="1"/>
  <c r="O124" i="1"/>
  <c r="O125" i="1" s="1"/>
  <c r="AF133" i="1"/>
  <c r="AH133" i="1"/>
  <c r="AH134" i="1" s="1"/>
  <c r="AM128" i="1"/>
  <c r="AM133" i="1" s="1"/>
  <c r="AE133" i="1"/>
  <c r="R133" i="1"/>
  <c r="R134" i="1" s="1"/>
  <c r="M133" i="1"/>
  <c r="M134" i="1" s="1"/>
  <c r="O133" i="1"/>
  <c r="O134" i="1" s="1"/>
  <c r="AP128" i="1"/>
  <c r="W134" i="1"/>
  <c r="N134" i="1"/>
  <c r="AD134" i="1" s="1"/>
  <c r="AL134" i="1" s="1"/>
  <c r="R121" i="1"/>
  <c r="R124" i="1" s="1"/>
  <c r="R125" i="1" s="1"/>
  <c r="AK122" i="1"/>
  <c r="AE120" i="1"/>
  <c r="AE121" i="1" s="1"/>
  <c r="AE122" i="1"/>
  <c r="AE124" i="1" s="1"/>
  <c r="AE125" i="1" s="1"/>
  <c r="AC120" i="1"/>
  <c r="AC121" i="1" s="1"/>
  <c r="AK119" i="1"/>
  <c r="AK123" i="1"/>
  <c r="M124" i="1"/>
  <c r="W124" i="1"/>
  <c r="W125" i="1" s="1"/>
  <c r="AM123" i="1"/>
  <c r="AK118" i="1"/>
  <c r="AM119" i="1"/>
  <c r="AM120" i="1" s="1"/>
  <c r="AM121" i="1" s="1"/>
  <c r="O120" i="1"/>
  <c r="O121" i="1" s="1"/>
  <c r="U120" i="1"/>
  <c r="U121" i="1" s="1"/>
  <c r="W120" i="1"/>
  <c r="W121" i="1" s="1"/>
  <c r="AK112" i="1"/>
  <c r="M114" i="1"/>
  <c r="M115" i="1" s="1"/>
  <c r="AC111" i="1"/>
  <c r="AC114" i="1" s="1"/>
  <c r="AC115" i="1" s="1"/>
  <c r="AK108" i="1"/>
  <c r="AK109" i="1" s="1"/>
  <c r="U109" i="1"/>
  <c r="U114" i="1"/>
  <c r="U115" i="1" s="1"/>
  <c r="R115" i="1"/>
  <c r="N106" i="1"/>
  <c r="U110" i="1"/>
  <c r="AL100" i="1"/>
  <c r="AL99" i="1"/>
  <c r="AC109" i="1"/>
  <c r="AE108" i="1"/>
  <c r="M109" i="1"/>
  <c r="AD108" i="1"/>
  <c r="AD109" i="1" s="1"/>
  <c r="AK105" i="1"/>
  <c r="AK106" i="1" s="1"/>
  <c r="AC106" i="1"/>
  <c r="AC107" i="1" s="1"/>
  <c r="U107" i="1"/>
  <c r="AL105" i="1"/>
  <c r="AL106" i="1" s="1"/>
  <c r="M106" i="1"/>
  <c r="M107" i="1" s="1"/>
  <c r="AL98" i="1"/>
  <c r="R107" i="1"/>
  <c r="R109" i="1" s="1"/>
  <c r="R110" i="1" s="1"/>
  <c r="AD102" i="1"/>
  <c r="AC102" i="1"/>
  <c r="AK98" i="1"/>
  <c r="AL101" i="1"/>
  <c r="M102" i="1"/>
  <c r="V102" i="1"/>
  <c r="N102" i="1"/>
  <c r="R103" i="1"/>
  <c r="O95" i="1"/>
  <c r="R95" i="1"/>
  <c r="AM95" i="1"/>
  <c r="M74" i="1"/>
  <c r="N75" i="1" s="1"/>
  <c r="AD75" i="1" s="1"/>
  <c r="AL75" i="1" s="1"/>
  <c r="U79" i="1"/>
  <c r="U80" i="1" s="1"/>
  <c r="AE95" i="1"/>
  <c r="M95" i="1"/>
  <c r="AC83" i="1"/>
  <c r="AC84" i="1" s="1"/>
  <c r="AC93" i="1"/>
  <c r="AK93" i="1" s="1"/>
  <c r="O89" i="1"/>
  <c r="P89" i="1"/>
  <c r="R89" i="1"/>
  <c r="T89" i="1"/>
  <c r="U94" i="1"/>
  <c r="U95" i="1" s="1"/>
  <c r="M83" i="1"/>
  <c r="N84" i="1" s="1"/>
  <c r="AD84" i="1" s="1"/>
  <c r="AL84" i="1" s="1"/>
  <c r="AK82" i="1"/>
  <c r="N89" i="1"/>
  <c r="AD89" i="1" s="1"/>
  <c r="Q89" i="1"/>
  <c r="S89" i="1"/>
  <c r="U89" i="1"/>
  <c r="AM87" i="1"/>
  <c r="U70" i="1"/>
  <c r="U71" i="1" s="1"/>
  <c r="U83" i="1"/>
  <c r="U84" i="1" s="1"/>
  <c r="V89" i="1"/>
  <c r="AC72" i="1"/>
  <c r="AK72" i="1" s="1"/>
  <c r="AE88" i="1"/>
  <c r="AE89" i="1" s="1"/>
  <c r="AE90" i="1" s="1"/>
  <c r="AK81" i="1"/>
  <c r="W89" i="1"/>
  <c r="W90" i="1" s="1"/>
  <c r="AK88" i="1"/>
  <c r="AK78" i="1"/>
  <c r="AC79" i="1"/>
  <c r="AC80" i="1" s="1"/>
  <c r="AK77" i="1"/>
  <c r="AM63" i="1"/>
  <c r="M79" i="1"/>
  <c r="AK63" i="1"/>
  <c r="M70" i="1"/>
  <c r="N71" i="1" s="1"/>
  <c r="AD71" i="1" s="1"/>
  <c r="AL71" i="1" s="1"/>
  <c r="AK61" i="1"/>
  <c r="O71" i="1"/>
  <c r="O74" i="1" s="1"/>
  <c r="O75" i="1" s="1"/>
  <c r="O79" i="1" s="1"/>
  <c r="AE71" i="1"/>
  <c r="AE74" i="1" s="1"/>
  <c r="AE75" i="1" s="1"/>
  <c r="AE79" i="1" s="1"/>
  <c r="AK73" i="1"/>
  <c r="AM71" i="1"/>
  <c r="AM74" i="1" s="1"/>
  <c r="AM75" i="1" s="1"/>
  <c r="AM79" i="1" s="1"/>
  <c r="U74" i="1"/>
  <c r="AC70" i="1"/>
  <c r="W71" i="1"/>
  <c r="W74" i="1" s="1"/>
  <c r="W75" i="1" s="1"/>
  <c r="W79" i="1" s="1"/>
  <c r="AC64" i="1"/>
  <c r="AM61" i="1"/>
  <c r="W64" i="1"/>
  <c r="W65" i="1" s="1"/>
  <c r="V74" i="1"/>
  <c r="AK68" i="1"/>
  <c r="U58" i="1"/>
  <c r="AD70" i="1"/>
  <c r="AC71" i="1" s="1"/>
  <c r="AC57" i="1"/>
  <c r="AC58" i="1" s="1"/>
  <c r="AK57" i="1"/>
  <c r="AK58" i="1" s="1"/>
  <c r="AK56" i="1"/>
  <c r="AK60" i="1"/>
  <c r="AM60" i="1"/>
  <c r="AE64" i="1"/>
  <c r="M64" i="1"/>
  <c r="M65" i="1" s="1"/>
  <c r="M57" i="1"/>
  <c r="M58" i="1" s="1"/>
  <c r="O64" i="1"/>
  <c r="O65" i="1" s="1"/>
  <c r="W58" i="1"/>
  <c r="AL64" i="1"/>
  <c r="U64" i="1"/>
  <c r="U65" i="1" s="1"/>
  <c r="AK62" i="1"/>
  <c r="AF64" i="1"/>
  <c r="AM62" i="1"/>
  <c r="R58" i="1"/>
  <c r="AM56" i="1"/>
  <c r="AM57" i="1" s="1"/>
  <c r="AM58" i="1" s="1"/>
  <c r="AE57" i="1"/>
  <c r="AE58" i="1" s="1"/>
  <c r="O57" i="1"/>
  <c r="P57" i="1"/>
  <c r="Z58" i="1"/>
  <c r="AM53" i="1"/>
  <c r="AD64" i="1"/>
  <c r="AM52" i="1"/>
  <c r="AE54" i="1"/>
  <c r="AE55" i="1" s="1"/>
  <c r="W54" i="1"/>
  <c r="W55" i="1" s="1"/>
  <c r="U53" i="1"/>
  <c r="U52" i="1"/>
  <c r="U44" i="1"/>
  <c r="O54" i="1"/>
  <c r="N53" i="1"/>
  <c r="N52" i="1"/>
  <c r="M53" i="1"/>
  <c r="AC53" i="1" s="1"/>
  <c r="M52" i="1"/>
  <c r="AC52" i="1" s="1"/>
  <c r="C54" i="1"/>
  <c r="B54" i="1"/>
  <c r="AP55" i="1"/>
  <c r="AH55" i="1"/>
  <c r="Z55" i="1"/>
  <c r="R55" i="1"/>
  <c r="AL54" i="1"/>
  <c r="V54" i="1"/>
  <c r="Q54" i="1"/>
  <c r="P54" i="1"/>
  <c r="AD207" i="1" l="1"/>
  <c r="AC208" i="1" s="1"/>
  <c r="N207" i="1"/>
  <c r="M208" i="1" s="1"/>
  <c r="AM195" i="1"/>
  <c r="AM187" i="1"/>
  <c r="M187" i="1"/>
  <c r="M170" i="1"/>
  <c r="AL167" i="1"/>
  <c r="AD169" i="1"/>
  <c r="AC170" i="1" s="1"/>
  <c r="AK124" i="1"/>
  <c r="AK125" i="1" s="1"/>
  <c r="AE134" i="1"/>
  <c r="AK120" i="1"/>
  <c r="AK121" i="1" s="1"/>
  <c r="AM122" i="1"/>
  <c r="AM124" i="1" s="1"/>
  <c r="AM125" i="1" s="1"/>
  <c r="N115" i="1"/>
  <c r="AD115" i="1" s="1"/>
  <c r="AL115" i="1" s="1"/>
  <c r="AK111" i="1"/>
  <c r="AK107" i="1"/>
  <c r="N107" i="1"/>
  <c r="AD107" i="1" s="1"/>
  <c r="AL107" i="1" s="1"/>
  <c r="N110" i="1"/>
  <c r="AD110" i="1" s="1"/>
  <c r="AL110" i="1" s="1"/>
  <c r="M110" i="1"/>
  <c r="AL108" i="1"/>
  <c r="AC110" i="1"/>
  <c r="AM108" i="1"/>
  <c r="AC103" i="1"/>
  <c r="M103" i="1"/>
  <c r="M84" i="1"/>
  <c r="M75" i="1"/>
  <c r="U90" i="1"/>
  <c r="R90" i="1"/>
  <c r="O90" i="1"/>
  <c r="AK83" i="1"/>
  <c r="AM88" i="1"/>
  <c r="AM89" i="1" s="1"/>
  <c r="AK79" i="1"/>
  <c r="AK80" i="1" s="1"/>
  <c r="O80" i="1"/>
  <c r="O83" i="1" s="1"/>
  <c r="O84" i="1" s="1"/>
  <c r="W80" i="1"/>
  <c r="W83" i="1" s="1"/>
  <c r="W84" i="1" s="1"/>
  <c r="AM80" i="1"/>
  <c r="AM83" i="1" s="1"/>
  <c r="AM84" i="1" s="1"/>
  <c r="AE80" i="1"/>
  <c r="AE83" i="1" s="1"/>
  <c r="AE84" i="1" s="1"/>
  <c r="AK74" i="1"/>
  <c r="AK75" i="1" s="1"/>
  <c r="AC74" i="1"/>
  <c r="AC75" i="1" s="1"/>
  <c r="M71" i="1"/>
  <c r="U75" i="1"/>
  <c r="M80" i="1"/>
  <c r="N80" i="1"/>
  <c r="AD80" i="1" s="1"/>
  <c r="AL80" i="1" s="1"/>
  <c r="N58" i="1"/>
  <c r="AD58" i="1" s="1"/>
  <c r="AL58" i="1" s="1"/>
  <c r="O58" i="1"/>
  <c r="AK53" i="1"/>
  <c r="AE65" i="1"/>
  <c r="AM64" i="1"/>
  <c r="AM65" i="1" s="1"/>
  <c r="AK64" i="1"/>
  <c r="AK65" i="1" s="1"/>
  <c r="AM54" i="1"/>
  <c r="AM55" i="1" s="1"/>
  <c r="M54" i="1"/>
  <c r="AK52" i="1"/>
  <c r="O55" i="1"/>
  <c r="N54" i="1"/>
  <c r="AD54" i="1" s="1"/>
  <c r="U47" i="1"/>
  <c r="U48" i="1" s="1"/>
  <c r="M44" i="1"/>
  <c r="M45" i="1" s="1"/>
  <c r="AP49" i="1"/>
  <c r="AM49" i="1"/>
  <c r="AH49" i="1"/>
  <c r="AE49" i="1"/>
  <c r="AB48" i="1"/>
  <c r="AA48" i="1"/>
  <c r="Z48" i="1"/>
  <c r="Y48" i="1"/>
  <c r="X48" i="1"/>
  <c r="W48" i="1"/>
  <c r="V48" i="1"/>
  <c r="T48" i="1"/>
  <c r="S48" i="1"/>
  <c r="R48" i="1"/>
  <c r="C48" i="1"/>
  <c r="B48" i="1"/>
  <c r="Q47" i="1"/>
  <c r="Q48" i="1" s="1"/>
  <c r="P47" i="1"/>
  <c r="P48" i="1" s="1"/>
  <c r="O47" i="1"/>
  <c r="O48" i="1" s="1"/>
  <c r="N47" i="1"/>
  <c r="N48" i="1" s="1"/>
  <c r="AD48" i="1" s="1"/>
  <c r="AC47" i="1"/>
  <c r="I47" i="1"/>
  <c r="H47" i="1"/>
  <c r="AP46" i="1"/>
  <c r="AM46" i="1"/>
  <c r="X45" i="1"/>
  <c r="AB45" i="1"/>
  <c r="AA45" i="1"/>
  <c r="Z45" i="1"/>
  <c r="Y45" i="1"/>
  <c r="W45" i="1"/>
  <c r="T45" i="1"/>
  <c r="S45" i="1"/>
  <c r="R45" i="1"/>
  <c r="AH46" i="1"/>
  <c r="AE46" i="1"/>
  <c r="V45" i="1"/>
  <c r="C45" i="1"/>
  <c r="B45" i="1"/>
  <c r="U45" i="1"/>
  <c r="Q44" i="1"/>
  <c r="Q45" i="1" s="1"/>
  <c r="P44" i="1"/>
  <c r="P45" i="1" s="1"/>
  <c r="O44" i="1"/>
  <c r="O45" i="1" s="1"/>
  <c r="N44" i="1"/>
  <c r="AD44" i="1" s="1"/>
  <c r="AL44" i="1" s="1"/>
  <c r="AL45" i="1" s="1"/>
  <c r="I44" i="1"/>
  <c r="H44" i="1"/>
  <c r="N208" i="1" l="1"/>
  <c r="AD208" i="1" s="1"/>
  <c r="AL208" i="1" s="1"/>
  <c r="AL109" i="1"/>
  <c r="AK110" i="1" s="1"/>
  <c r="AC44" i="1"/>
  <c r="AK44" i="1" s="1"/>
  <c r="AK45" i="1" s="1"/>
  <c r="AK46" i="1" s="1"/>
  <c r="R46" i="1"/>
  <c r="W49" i="1"/>
  <c r="O46" i="1"/>
  <c r="U46" i="1"/>
  <c r="W46" i="1"/>
  <c r="U49" i="1"/>
  <c r="Z46" i="1"/>
  <c r="AD47" i="1"/>
  <c r="AL47" i="1" s="1"/>
  <c r="AL48" i="1" s="1"/>
  <c r="Z49" i="1"/>
  <c r="AK47" i="1"/>
  <c r="AK48" i="1" s="1"/>
  <c r="N45" i="1"/>
  <c r="M46" i="1" s="1"/>
  <c r="O49" i="1"/>
  <c r="R49" i="1"/>
  <c r="AC48" i="1"/>
  <c r="AC49" i="1" s="1"/>
  <c r="M48" i="1"/>
  <c r="AC45" i="1"/>
  <c r="Z43" i="1"/>
  <c r="W43" i="1"/>
  <c r="AE43" i="1"/>
  <c r="AH43" i="1"/>
  <c r="AP43" i="1"/>
  <c r="AM43" i="1"/>
  <c r="U40" i="1"/>
  <c r="R43" i="1"/>
  <c r="C42" i="1"/>
  <c r="B42" i="1"/>
  <c r="AD45" i="1" l="1"/>
  <c r="AC46" i="1" s="1"/>
  <c r="N55" i="1"/>
  <c r="AD55" i="1" s="1"/>
  <c r="AL55" i="1" s="1"/>
  <c r="M55" i="1"/>
  <c r="AK49" i="1"/>
  <c r="N49" i="1"/>
  <c r="AD49" i="1" s="1"/>
  <c r="AL49" i="1" s="1"/>
  <c r="M49" i="1"/>
  <c r="N46" i="1"/>
  <c r="AD46" i="1" s="1"/>
  <c r="AL46" i="1" s="1"/>
  <c r="V36" i="1"/>
  <c r="U34" i="1"/>
  <c r="U24" i="1"/>
  <c r="V42" i="1"/>
  <c r="O42" i="1"/>
  <c r="P42" i="1"/>
  <c r="Q42" i="1"/>
  <c r="Q40" i="1"/>
  <c r="Q41" i="1"/>
  <c r="P40" i="1"/>
  <c r="P41" i="1"/>
  <c r="O40" i="1"/>
  <c r="O41" i="1"/>
  <c r="P39" i="1"/>
  <c r="O39" i="1"/>
  <c r="Q39" i="1"/>
  <c r="N41" i="1"/>
  <c r="N40" i="1"/>
  <c r="N39" i="1"/>
  <c r="M39" i="1"/>
  <c r="AC39" i="1" s="1"/>
  <c r="I41" i="1"/>
  <c r="I40" i="1"/>
  <c r="H41" i="1"/>
  <c r="H40" i="1"/>
  <c r="I39" i="1"/>
  <c r="H39" i="1"/>
  <c r="AP37" i="1"/>
  <c r="AM37" i="1"/>
  <c r="AE37" i="1"/>
  <c r="AH37" i="1"/>
  <c r="Z37" i="1"/>
  <c r="W37" i="1"/>
  <c r="O36" i="1"/>
  <c r="T36" i="1"/>
  <c r="S36" i="1"/>
  <c r="R36" i="1"/>
  <c r="Q36" i="1"/>
  <c r="P36" i="1"/>
  <c r="U35" i="1"/>
  <c r="U25" i="1"/>
  <c r="U26" i="1"/>
  <c r="U27" i="1"/>
  <c r="U28" i="1"/>
  <c r="U29" i="1"/>
  <c r="U30" i="1"/>
  <c r="U31" i="1"/>
  <c r="U32" i="1"/>
  <c r="U33" i="1"/>
  <c r="N36" i="1"/>
  <c r="M25" i="1"/>
  <c r="AC25" i="1" s="1"/>
  <c r="M26" i="1"/>
  <c r="AC26" i="1" s="1"/>
  <c r="M27" i="1"/>
  <c r="AC27" i="1" s="1"/>
  <c r="M28" i="1"/>
  <c r="AC28" i="1" s="1"/>
  <c r="M29" i="1"/>
  <c r="AC29" i="1" s="1"/>
  <c r="M30" i="1"/>
  <c r="AC30" i="1" s="1"/>
  <c r="M31" i="1"/>
  <c r="AC31" i="1" s="1"/>
  <c r="M32" i="1"/>
  <c r="AC32" i="1" s="1"/>
  <c r="M33" i="1"/>
  <c r="AC33" i="1" s="1"/>
  <c r="M34" i="1"/>
  <c r="AC34" i="1" s="1"/>
  <c r="M35" i="1"/>
  <c r="AC35" i="1" s="1"/>
  <c r="M24" i="1"/>
  <c r="AC24" i="1" s="1"/>
  <c r="I35" i="1"/>
  <c r="H35" i="1"/>
  <c r="F35" i="1"/>
  <c r="E35" i="1"/>
  <c r="I34" i="1"/>
  <c r="H34" i="1"/>
  <c r="I33" i="1"/>
  <c r="H33" i="1"/>
  <c r="I32" i="1"/>
  <c r="H32" i="1"/>
  <c r="F32" i="1"/>
  <c r="E32" i="1"/>
  <c r="I31" i="1"/>
  <c r="H31" i="1"/>
  <c r="I30" i="1"/>
  <c r="H30" i="1"/>
  <c r="I29" i="1"/>
  <c r="H29" i="1"/>
  <c r="F29" i="1"/>
  <c r="E29" i="1"/>
  <c r="I28" i="1"/>
  <c r="H28" i="1"/>
  <c r="I27" i="1"/>
  <c r="H27" i="1"/>
  <c r="I26" i="1"/>
  <c r="H26" i="1"/>
  <c r="F26" i="1"/>
  <c r="E26" i="1"/>
  <c r="I25" i="1"/>
  <c r="H25" i="1"/>
  <c r="I56" i="1"/>
  <c r="I24" i="1"/>
  <c r="H24" i="1"/>
  <c r="U10" i="1"/>
  <c r="U9" i="1"/>
  <c r="U22" i="1" s="1"/>
  <c r="U23" i="1" s="1"/>
  <c r="M10" i="1"/>
  <c r="AC10" i="1" s="1"/>
  <c r="M9" i="1"/>
  <c r="AC9" i="1" s="1"/>
  <c r="I10" i="1"/>
  <c r="H10" i="1"/>
  <c r="F10" i="1"/>
  <c r="E10" i="1"/>
  <c r="AK25" i="1" l="1"/>
  <c r="AK24" i="1"/>
  <c r="AC36" i="1"/>
  <c r="AK26" i="1"/>
  <c r="AC22" i="1"/>
  <c r="AC23" i="1" s="1"/>
  <c r="M22" i="1"/>
  <c r="AK34" i="1"/>
  <c r="O43" i="1"/>
  <c r="N42" i="1"/>
  <c r="AK9" i="1"/>
  <c r="U36" i="1"/>
  <c r="U37" i="1" s="1"/>
  <c r="M36" i="1"/>
  <c r="M37" i="1" s="1"/>
  <c r="AK33" i="1"/>
  <c r="AK29" i="1"/>
  <c r="AK31" i="1"/>
  <c r="AK27" i="1"/>
  <c r="AK35" i="1"/>
  <c r="O37" i="1"/>
  <c r="AK32" i="1"/>
  <c r="AK28" i="1"/>
  <c r="R37" i="1"/>
  <c r="AK30" i="1"/>
  <c r="AK8" i="1"/>
  <c r="AD24" i="1"/>
  <c r="AD36" i="1" s="1"/>
  <c r="H9" i="1"/>
  <c r="I9" i="1"/>
  <c r="I8" i="1"/>
  <c r="H8" i="1"/>
  <c r="N22" i="1"/>
  <c r="M23" i="1" l="1"/>
  <c r="AC37" i="1"/>
  <c r="AK36" i="1"/>
  <c r="AK10" i="1"/>
  <c r="AK22" i="1" s="1"/>
  <c r="R201" i="1"/>
  <c r="W205" i="1"/>
  <c r="T194" i="1"/>
  <c r="S194" i="1"/>
  <c r="Y182" i="1"/>
  <c r="X182" i="1"/>
  <c r="W182" i="1"/>
  <c r="Y181" i="1"/>
  <c r="X181" i="1"/>
  <c r="W181" i="1"/>
  <c r="Y180" i="1"/>
  <c r="X180" i="1"/>
  <c r="W180" i="1"/>
  <c r="Y175" i="1"/>
  <c r="X175" i="1"/>
  <c r="W175" i="1"/>
  <c r="Q175" i="1"/>
  <c r="AG175" i="1" s="1"/>
  <c r="P175" i="1"/>
  <c r="AF175" i="1" s="1"/>
  <c r="O175" i="1"/>
  <c r="AE175" i="1" s="1"/>
  <c r="Y174" i="1"/>
  <c r="X174" i="1"/>
  <c r="W174" i="1"/>
  <c r="Q174" i="1"/>
  <c r="AG174" i="1" s="1"/>
  <c r="P174" i="1"/>
  <c r="AF174" i="1" s="1"/>
  <c r="O174" i="1"/>
  <c r="AE174" i="1" s="1"/>
  <c r="Y173" i="1"/>
  <c r="X173" i="1"/>
  <c r="W173" i="1"/>
  <c r="Q173" i="1"/>
  <c r="AG173" i="1" s="1"/>
  <c r="P173" i="1"/>
  <c r="O173" i="1"/>
  <c r="Y168" i="1"/>
  <c r="X168" i="1"/>
  <c r="Q164" i="1"/>
  <c r="AG164" i="1" s="1"/>
  <c r="AO164" i="1" s="1"/>
  <c r="P164" i="1"/>
  <c r="AF164" i="1" s="1"/>
  <c r="AN164" i="1" s="1"/>
  <c r="Q163" i="1"/>
  <c r="AG163" i="1" s="1"/>
  <c r="AO163" i="1" s="1"/>
  <c r="P163" i="1"/>
  <c r="AF163" i="1" s="1"/>
  <c r="AN163" i="1" s="1"/>
  <c r="Y162" i="1"/>
  <c r="X162" i="1"/>
  <c r="Q162" i="1"/>
  <c r="P162" i="1"/>
  <c r="R158" i="1"/>
  <c r="AH158" i="1" s="1"/>
  <c r="P158" i="1"/>
  <c r="AF158" i="1" s="1"/>
  <c r="O158" i="1"/>
  <c r="AE158" i="1" s="1"/>
  <c r="M158" i="1"/>
  <c r="R157" i="1"/>
  <c r="AH157" i="1" s="1"/>
  <c r="P157" i="1"/>
  <c r="O157" i="1"/>
  <c r="M157" i="1"/>
  <c r="R156" i="1"/>
  <c r="M156" i="1"/>
  <c r="AO148" i="1"/>
  <c r="R148" i="1"/>
  <c r="AH148" i="1" s="1"/>
  <c r="AF148" i="1"/>
  <c r="AO147" i="1"/>
  <c r="R147" i="1"/>
  <c r="AF147" i="1"/>
  <c r="AO146" i="1"/>
  <c r="R146" i="1"/>
  <c r="AH146" i="1" s="1"/>
  <c r="R141" i="1"/>
  <c r="AH141" i="1" s="1"/>
  <c r="AF141" i="1"/>
  <c r="R140" i="1"/>
  <c r="AH140" i="1" s="1"/>
  <c r="AF140" i="1"/>
  <c r="R139" i="1"/>
  <c r="AH139" i="1" s="1"/>
  <c r="AF139" i="1"/>
  <c r="R138" i="1"/>
  <c r="AH138" i="1" s="1"/>
  <c r="AF138" i="1"/>
  <c r="R137" i="1"/>
  <c r="Z132" i="1"/>
  <c r="AP132" i="1" s="1"/>
  <c r="Z131" i="1"/>
  <c r="AP131" i="1" s="1"/>
  <c r="Z130" i="1"/>
  <c r="AP130" i="1" s="1"/>
  <c r="Z129" i="1"/>
  <c r="AK113" i="1"/>
  <c r="AK114" i="1" s="1"/>
  <c r="AK115" i="1" s="1"/>
  <c r="O112" i="1"/>
  <c r="O114" i="1" s="1"/>
  <c r="O115" i="1" s="1"/>
  <c r="W102" i="1"/>
  <c r="W103" i="1" s="1"/>
  <c r="U101" i="1"/>
  <c r="AK101" i="1" s="1"/>
  <c r="O101" i="1"/>
  <c r="AE101" i="1" s="1"/>
  <c r="U100" i="1"/>
  <c r="AK100" i="1" s="1"/>
  <c r="O100" i="1"/>
  <c r="U99" i="1"/>
  <c r="O99" i="1"/>
  <c r="P98" i="1"/>
  <c r="O98" i="1"/>
  <c r="M87" i="1"/>
  <c r="M89" i="1" s="1"/>
  <c r="AL69" i="1"/>
  <c r="U41" i="1"/>
  <c r="AD41" i="1"/>
  <c r="AL41" i="1" s="1"/>
  <c r="M41" i="1"/>
  <c r="AC41" i="1" s="1"/>
  <c r="AD40" i="1"/>
  <c r="AL40" i="1" s="1"/>
  <c r="M40" i="1"/>
  <c r="U39" i="1"/>
  <c r="AD39" i="1"/>
  <c r="AL39" i="1" s="1"/>
  <c r="T201" i="1" l="1"/>
  <c r="T204" i="1" s="1"/>
  <c r="T207" i="1" s="1"/>
  <c r="S201" i="1"/>
  <c r="S204" i="1" s="1"/>
  <c r="S207" i="1" s="1"/>
  <c r="AE194" i="1"/>
  <c r="AE195" i="1" s="1"/>
  <c r="R194" i="1"/>
  <c r="R195" i="1" s="1"/>
  <c r="X183" i="1"/>
  <c r="Y183" i="1"/>
  <c r="W183" i="1"/>
  <c r="AN168" i="1"/>
  <c r="AN169" i="1" s="1"/>
  <c r="X169" i="1"/>
  <c r="AO168" i="1"/>
  <c r="AO169" i="1" s="1"/>
  <c r="Y169" i="1"/>
  <c r="Y166" i="1"/>
  <c r="P166" i="1"/>
  <c r="AF162" i="1"/>
  <c r="AF166" i="1" s="1"/>
  <c r="X166" i="1"/>
  <c r="Q166" i="1"/>
  <c r="AG162" i="1"/>
  <c r="AG166" i="1" s="1"/>
  <c r="AE157" i="1"/>
  <c r="AM157" i="1" s="1"/>
  <c r="O159" i="1"/>
  <c r="AF157" i="1"/>
  <c r="AN157" i="1" s="1"/>
  <c r="P159" i="1"/>
  <c r="R159" i="1"/>
  <c r="R160" i="1" s="1"/>
  <c r="AE156" i="1"/>
  <c r="M159" i="1"/>
  <c r="R149" i="1"/>
  <c r="R150" i="1" s="1"/>
  <c r="Z149" i="1"/>
  <c r="AH147" i="1"/>
  <c r="AP147" i="1" s="1"/>
  <c r="X142" i="1"/>
  <c r="Z142" i="1"/>
  <c r="Z143" i="1" s="1"/>
  <c r="R142" i="1"/>
  <c r="R143" i="1" s="1"/>
  <c r="AF137" i="1"/>
  <c r="AF142" i="1" s="1"/>
  <c r="W142" i="1"/>
  <c r="W143" i="1" s="1"/>
  <c r="AP129" i="1"/>
  <c r="AP133" i="1" s="1"/>
  <c r="AP134" i="1" s="1"/>
  <c r="Z133" i="1"/>
  <c r="Z134" i="1" s="1"/>
  <c r="M120" i="1"/>
  <c r="W114" i="1"/>
  <c r="W115" i="1" s="1"/>
  <c r="AE112" i="1"/>
  <c r="AE114" i="1" s="1"/>
  <c r="AE115" i="1" s="1"/>
  <c r="O102" i="1"/>
  <c r="O103" i="1" s="1"/>
  <c r="AE106" i="1"/>
  <c r="AE107" i="1" s="1"/>
  <c r="AE109" i="1" s="1"/>
  <c r="AE110" i="1" s="1"/>
  <c r="O106" i="1"/>
  <c r="O107" i="1" s="1"/>
  <c r="O109" i="1" s="1"/>
  <c r="O110" i="1" s="1"/>
  <c r="AE99" i="1"/>
  <c r="AK99" i="1"/>
  <c r="U102" i="1"/>
  <c r="AL102" i="1"/>
  <c r="AC94" i="1"/>
  <c r="AC95" i="1" s="1"/>
  <c r="N90" i="1"/>
  <c r="AD90" i="1" s="1"/>
  <c r="AL90" i="1" s="1"/>
  <c r="M90" i="1"/>
  <c r="AC65" i="1"/>
  <c r="U54" i="1"/>
  <c r="U55" i="1" s="1"/>
  <c r="AL42" i="1"/>
  <c r="AC40" i="1"/>
  <c r="AC42" i="1" s="1"/>
  <c r="M42" i="1"/>
  <c r="M43" i="1" s="1"/>
  <c r="AK39" i="1"/>
  <c r="U42" i="1"/>
  <c r="U43" i="1" s="1"/>
  <c r="AN141" i="1"/>
  <c r="AN129" i="1"/>
  <c r="AN131" i="1"/>
  <c r="AO175" i="1"/>
  <c r="AP148" i="1"/>
  <c r="AN132" i="1"/>
  <c r="AN174" i="1"/>
  <c r="AN182" i="1"/>
  <c r="AK41" i="1"/>
  <c r="AN138" i="1"/>
  <c r="AN140" i="1"/>
  <c r="AO182" i="1"/>
  <c r="X176" i="1"/>
  <c r="AO174" i="1"/>
  <c r="AN180" i="1"/>
  <c r="AN181" i="1"/>
  <c r="AN147" i="1"/>
  <c r="AN175" i="1"/>
  <c r="AL9" i="1"/>
  <c r="AP139" i="1"/>
  <c r="P176" i="1"/>
  <c r="Y176" i="1"/>
  <c r="AO180" i="1"/>
  <c r="AC54" i="1"/>
  <c r="AC55" i="1" s="1"/>
  <c r="AD68" i="1"/>
  <c r="AE100" i="1"/>
  <c r="AE102" i="1" s="1"/>
  <c r="AE103" i="1" s="1"/>
  <c r="AL24" i="1"/>
  <c r="AL36" i="1" s="1"/>
  <c r="AK37" i="1" s="1"/>
  <c r="AF156" i="1"/>
  <c r="O176" i="1"/>
  <c r="AE173" i="1"/>
  <c r="AE176" i="1" s="1"/>
  <c r="AN148" i="1"/>
  <c r="AO173" i="1"/>
  <c r="AP141" i="1"/>
  <c r="AH156" i="1"/>
  <c r="AN158" i="1"/>
  <c r="AM113" i="1"/>
  <c r="AP138" i="1"/>
  <c r="AM174" i="1"/>
  <c r="AO181" i="1"/>
  <c r="AK69" i="1"/>
  <c r="AH137" i="1"/>
  <c r="AH142" i="1" s="1"/>
  <c r="AH143" i="1" s="1"/>
  <c r="AN139" i="1"/>
  <c r="AP140" i="1"/>
  <c r="AF173" i="1"/>
  <c r="AM106" i="1"/>
  <c r="AM107" i="1" s="1"/>
  <c r="AM109" i="1" s="1"/>
  <c r="AM110" i="1" s="1"/>
  <c r="AC157" i="1"/>
  <c r="AO179" i="1"/>
  <c r="AD42" i="1"/>
  <c r="AM101" i="1"/>
  <c r="AM102" i="1" s="1"/>
  <c r="AM103" i="1" s="1"/>
  <c r="AF146" i="1"/>
  <c r="AP146" i="1"/>
  <c r="AP157" i="1"/>
  <c r="AC158" i="1"/>
  <c r="AM158" i="1"/>
  <c r="AC156" i="1"/>
  <c r="AC124" i="1"/>
  <c r="AC125" i="1" s="1"/>
  <c r="AP158" i="1"/>
  <c r="AI194" i="1"/>
  <c r="AC87" i="1"/>
  <c r="AC89" i="1" s="1"/>
  <c r="AC90" i="1" s="1"/>
  <c r="AM181" i="1"/>
  <c r="AJ194" i="1"/>
  <c r="AG176" i="1"/>
  <c r="Q176" i="1"/>
  <c r="AM175" i="1"/>
  <c r="W176" i="1"/>
  <c r="AM180" i="1"/>
  <c r="AM182" i="1"/>
  <c r="R202" i="1" l="1"/>
  <c r="R204" i="1" s="1"/>
  <c r="AH194" i="1"/>
  <c r="AH195" i="1" s="1"/>
  <c r="AM183" i="1"/>
  <c r="AO183" i="1"/>
  <c r="AN183" i="1"/>
  <c r="W184" i="1"/>
  <c r="W170" i="1"/>
  <c r="AM170" i="1"/>
  <c r="AO162" i="1"/>
  <c r="AO166" i="1" s="1"/>
  <c r="O160" i="1"/>
  <c r="AE159" i="1"/>
  <c r="W167" i="1"/>
  <c r="AE167" i="1"/>
  <c r="O167" i="1"/>
  <c r="AN162" i="1"/>
  <c r="AN166" i="1" s="1"/>
  <c r="AM156" i="1"/>
  <c r="AM159" i="1" s="1"/>
  <c r="N160" i="1"/>
  <c r="AD160" i="1" s="1"/>
  <c r="AL160" i="1" s="1"/>
  <c r="M160" i="1"/>
  <c r="AC159" i="1"/>
  <c r="AC160" i="1" s="1"/>
  <c r="AF159" i="1"/>
  <c r="AH159" i="1"/>
  <c r="AH160" i="1" s="1"/>
  <c r="AH166" i="1" s="1"/>
  <c r="Z150" i="1"/>
  <c r="Z152" i="1" s="1"/>
  <c r="Z153" i="1" s="1"/>
  <c r="AH149" i="1"/>
  <c r="AF149" i="1"/>
  <c r="AM149" i="1"/>
  <c r="AM152" i="1" s="1"/>
  <c r="AM153" i="1" s="1"/>
  <c r="AP149" i="1"/>
  <c r="O143" i="1"/>
  <c r="AN137" i="1"/>
  <c r="AN142" i="1"/>
  <c r="AE143" i="1"/>
  <c r="AM142" i="1"/>
  <c r="AN130" i="1"/>
  <c r="AN133" i="1" s="1"/>
  <c r="N121" i="1"/>
  <c r="AD121" i="1" s="1"/>
  <c r="M121" i="1"/>
  <c r="AM112" i="1"/>
  <c r="AM114" i="1" s="1"/>
  <c r="AM115" i="1" s="1"/>
  <c r="U103" i="1"/>
  <c r="AK102" i="1"/>
  <c r="AK103" i="1" s="1"/>
  <c r="N103" i="1"/>
  <c r="AD103" i="1" s="1"/>
  <c r="N95" i="1"/>
  <c r="AD95" i="1" s="1"/>
  <c r="AL95" i="1" s="1"/>
  <c r="AK94" i="1"/>
  <c r="AK95" i="1" s="1"/>
  <c r="AK84" i="1"/>
  <c r="AK70" i="1"/>
  <c r="N43" i="1"/>
  <c r="AD43" i="1" s="1"/>
  <c r="AL43" i="1" s="1"/>
  <c r="N65" i="1"/>
  <c r="AD65" i="1" s="1"/>
  <c r="AL65" i="1" s="1"/>
  <c r="AK40" i="1"/>
  <c r="AC43" i="1"/>
  <c r="Q177" i="1"/>
  <c r="Y177" i="1"/>
  <c r="AP137" i="1"/>
  <c r="AO176" i="1"/>
  <c r="AM173" i="1"/>
  <c r="AM176" i="1" s="1"/>
  <c r="AP156" i="1"/>
  <c r="AL68" i="1"/>
  <c r="AN156" i="1"/>
  <c r="AN173" i="1"/>
  <c r="AN176" i="1" s="1"/>
  <c r="AF176" i="1"/>
  <c r="AN146" i="1"/>
  <c r="AM90" i="1"/>
  <c r="AK87" i="1"/>
  <c r="AK89" i="1" s="1"/>
  <c r="AK90" i="1" s="1"/>
  <c r="AH202" i="1"/>
  <c r="AL8" i="1"/>
  <c r="AL22" i="1" s="1"/>
  <c r="AK23" i="1" s="1"/>
  <c r="R205" i="1" l="1"/>
  <c r="R207" i="1" s="1"/>
  <c r="R208" i="1" s="1"/>
  <c r="AP202" i="1"/>
  <c r="AP194" i="1"/>
  <c r="AP195" i="1" s="1"/>
  <c r="AM184" i="1"/>
  <c r="AE160" i="1"/>
  <c r="AM167" i="1"/>
  <c r="AH167" i="1"/>
  <c r="AH169" i="1" s="1"/>
  <c r="AH170" i="1" s="1"/>
  <c r="AP159" i="1"/>
  <c r="AP160" i="1" s="1"/>
  <c r="AP166" i="1" s="1"/>
  <c r="AN159" i="1"/>
  <c r="AM160" i="1" s="1"/>
  <c r="AP150" i="1"/>
  <c r="AP152" i="1" s="1"/>
  <c r="AP153" i="1" s="1"/>
  <c r="AE150" i="1"/>
  <c r="AF152" i="1"/>
  <c r="AE153" i="1" s="1"/>
  <c r="AH150" i="1"/>
  <c r="AH152" i="1" s="1"/>
  <c r="AH153" i="1" s="1"/>
  <c r="AN149" i="1"/>
  <c r="AM150" i="1" s="1"/>
  <c r="AM143" i="1"/>
  <c r="AP142" i="1"/>
  <c r="AP143" i="1" s="1"/>
  <c r="AM134" i="1"/>
  <c r="N125" i="1"/>
  <c r="AD125" i="1" s="1"/>
  <c r="AL125" i="1" s="1"/>
  <c r="M125" i="1"/>
  <c r="AL121" i="1"/>
  <c r="AL103" i="1"/>
  <c r="AL70" i="1"/>
  <c r="AK71" i="1" s="1"/>
  <c r="AK54" i="1"/>
  <c r="AK55" i="1" s="1"/>
  <c r="AK42" i="1"/>
  <c r="AK43" i="1" s="1"/>
  <c r="AP167" i="1" l="1"/>
  <c r="AP169" i="1" s="1"/>
  <c r="AP170" i="1" s="1"/>
</calcChain>
</file>

<file path=xl/comments1.xml><?xml version="1.0" encoding="utf-8"?>
<comments xmlns="http://schemas.openxmlformats.org/spreadsheetml/2006/main">
  <authors>
    <author>user</author>
  </authors>
  <commentList>
    <comment ref="J21" authorId="0">
      <text>
        <r>
          <rPr>
            <sz val="9"/>
            <color indexed="81"/>
            <rFont val="Tahoma"/>
            <family val="2"/>
          </rPr>
          <t xml:space="preserve">คิดเฉลี่ยอัตราค่าจ้างตัดทั้งหมด 
</t>
        </r>
      </text>
    </comment>
    <comment ref="J29" authorId="0">
      <text>
        <r>
          <rPr>
            <sz val="9"/>
            <color indexed="81"/>
            <rFont val="Tahoma"/>
            <family val="2"/>
          </rPr>
          <t xml:space="preserve">คิดเฉลี่ยอัตราค่าจ้างตัดทั้งหมด 
</t>
        </r>
      </text>
    </comment>
    <comment ref="J44" authorId="0">
      <text>
        <r>
          <rPr>
            <sz val="9"/>
            <color indexed="81"/>
            <rFont val="Tahoma"/>
            <family val="2"/>
          </rPr>
          <t xml:space="preserve">คิดเฉลี่ยอัตราค่าจ้างตัดทั้งหมด 
</t>
        </r>
      </text>
    </comment>
    <comment ref="J52" authorId="0">
      <text>
        <r>
          <rPr>
            <sz val="9"/>
            <color indexed="81"/>
            <rFont val="Tahoma"/>
            <family val="2"/>
          </rPr>
          <t xml:space="preserve">คิดเฉลี่ยอัตราค่าจ้างตัดทั้งหมด 
</t>
        </r>
      </text>
    </comment>
    <comment ref="J56" authorId="0">
      <text>
        <r>
          <rPr>
            <sz val="9"/>
            <color indexed="81"/>
            <rFont val="Tahoma"/>
            <family val="2"/>
          </rPr>
          <t xml:space="preserve">คิดเฉลี่ยอัตราค่าจ้างตัดทั้งหมด 
</t>
        </r>
      </text>
    </comment>
    <comment ref="J73" authorId="0">
      <text>
        <r>
          <rPr>
            <sz val="9"/>
            <color indexed="81"/>
            <rFont val="Tahoma"/>
            <family val="2"/>
          </rPr>
          <t xml:space="preserve">คิดเฉลี่ยอัตราค่าจ้างตัดทั้งหมด 
</t>
        </r>
      </text>
    </comment>
    <comment ref="J93" authorId="0">
      <text>
        <r>
          <rPr>
            <sz val="9"/>
            <color indexed="81"/>
            <rFont val="Tahoma"/>
            <family val="2"/>
          </rPr>
          <t xml:space="preserve">คิดเฉลี่ยอัตราค่าจ้างตัดทั้งหมด 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AT3" authorId="0">
      <text>
        <r>
          <rPr>
            <b/>
            <sz val="9"/>
            <color indexed="81"/>
            <rFont val="Tahoma"/>
            <family val="2"/>
          </rPr>
          <t xml:space="preserve">การคำนวนเป็นลิตร หาร 1,000 เพราะว่า 1 ลิตร = 1,000 ซีซี 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B6" authorId="0">
      <text>
        <r>
          <rPr>
            <b/>
            <sz val="9"/>
            <color indexed="81"/>
            <rFont val="Tahoma"/>
            <family val="2"/>
          </rPr>
          <t xml:space="preserve">ประมาณการ พท.ทั้งหมดเป็น 100 %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9" authorId="0">
      <text>
        <r>
          <rPr>
            <b/>
            <sz val="9"/>
            <color indexed="81"/>
            <rFont val="Tahoma"/>
            <family val="2"/>
          </rPr>
          <t xml:space="preserve">ประมาณการ พท.ทั้งหมดเป็น 100 %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E7" authorId="0">
      <text>
        <r>
          <rPr>
            <b/>
            <sz val="9"/>
            <color indexed="81"/>
            <rFont val="Tahoma"/>
            <family val="2"/>
          </rPr>
          <t>100 %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7" authorId="0">
      <text>
        <r>
          <rPr>
            <b/>
            <sz val="9"/>
            <color indexed="81"/>
            <rFont val="Tahoma"/>
            <family val="2"/>
          </rPr>
          <t xml:space="preserve">พื้นที่ทั้งหมดในการตัด 100 %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1" authorId="0">
      <text>
        <r>
          <rPr>
            <b/>
            <sz val="9"/>
            <color indexed="81"/>
            <rFont val="Tahoma"/>
            <family val="2"/>
          </rPr>
          <t xml:space="preserve">100 % ของพื้นที่ทั้งหมด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5" authorId="0">
      <text>
        <r>
          <rPr>
            <b/>
            <sz val="9"/>
            <color indexed="81"/>
            <rFont val="Tahoma"/>
            <family val="2"/>
          </rPr>
          <t xml:space="preserve">100 % ของพื้นที่ทั้งหมด 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0">
      <text>
        <r>
          <rPr>
            <sz val="9"/>
            <color indexed="81"/>
            <rFont val="Tahoma"/>
            <family val="2"/>
          </rPr>
          <t xml:space="preserve">ทั้งหมด 8 ครั้ง 
</t>
        </r>
      </text>
    </comment>
    <comment ref="E19" authorId="0">
      <text>
        <r>
          <rPr>
            <sz val="9"/>
            <color indexed="81"/>
            <rFont val="Tahoma"/>
            <family val="2"/>
          </rPr>
          <t xml:space="preserve">100 % ของ พท.ทั้งหมด 
</t>
        </r>
      </text>
    </comment>
    <comment ref="E27" authorId="0">
      <text>
        <r>
          <rPr>
            <b/>
            <sz val="9"/>
            <color indexed="81"/>
            <rFont val="Tahoma"/>
            <family val="2"/>
          </rPr>
          <t xml:space="preserve">100 % ของ 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33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41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46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3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8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66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71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79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83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90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96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04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11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17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21" authorId="0">
      <text>
        <r>
          <rPr>
            <b/>
            <sz val="9"/>
            <color indexed="81"/>
            <rFont val="Tahoma"/>
            <family val="2"/>
          </rPr>
          <t xml:space="preserve">100 % ของพท.ทั้งหมด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<sst xmlns="http://schemas.openxmlformats.org/spreadsheetml/2006/main" count="1154" uniqueCount="427">
  <si>
    <t>ค่าสารเคมีและอัตราจ้าง</t>
  </si>
  <si>
    <t>ไร่</t>
  </si>
  <si>
    <t>ต้น</t>
  </si>
  <si>
    <t>จำนวน(ครั้ง/ปี)</t>
  </si>
  <si>
    <t>อัตราฉีดยา cc/ต้น</t>
  </si>
  <si>
    <t>อัตราจ้าง(บาท/ต้น)</t>
  </si>
  <si>
    <t>ปริมาณสารเคมี (ลิตร)</t>
  </si>
  <si>
    <t>อัตราค่าจ้างฉีดยา (บาท/ต้น)</t>
  </si>
  <si>
    <t>รวมค่าใช้จ่าย (บาท)</t>
  </si>
  <si>
    <t>ตอนบน / ตอนล่าง</t>
  </si>
  <si>
    <t>รอบโคน</t>
  </si>
  <si>
    <t>ล้างแปลง</t>
  </si>
  <si>
    <t>แถบ</t>
  </si>
  <si>
    <t>ครั้งที่1</t>
  </si>
  <si>
    <t>ครั้งที่2</t>
  </si>
  <si>
    <t>ครั้งที่3</t>
  </si>
  <si>
    <t>ครั้งที่4</t>
  </si>
  <si>
    <t>ครั้งที่5</t>
  </si>
  <si>
    <t>ครั้งที่6</t>
  </si>
  <si>
    <t>ครั้งที่7</t>
  </si>
  <si>
    <t>ครั้งที่8</t>
  </si>
  <si>
    <t>ปาล์มใหญ่</t>
  </si>
  <si>
    <t>ตอนบน</t>
  </si>
  <si>
    <t>37-T29</t>
  </si>
  <si>
    <t>37-T30</t>
  </si>
  <si>
    <t>รวมตะกุก</t>
  </si>
  <si>
    <t>30-B14</t>
  </si>
  <si>
    <t>ตอนล่าง</t>
  </si>
  <si>
    <t>30-PU1</t>
  </si>
  <si>
    <t>30-PU3</t>
  </si>
  <si>
    <t>30-PU4</t>
  </si>
  <si>
    <t>รวมยวนสาว</t>
  </si>
  <si>
    <t>รวมพันไร่</t>
  </si>
  <si>
    <t>รวมหมอนไม้</t>
  </si>
  <si>
    <t>รวม</t>
  </si>
  <si>
    <t>50-B10</t>
  </si>
  <si>
    <t>รวมกะเปา</t>
  </si>
  <si>
    <t>57-B14</t>
  </si>
  <si>
    <t>57-B12</t>
  </si>
  <si>
    <t xml:space="preserve"> </t>
  </si>
  <si>
    <t>64-B2</t>
  </si>
  <si>
    <t>64-B5</t>
  </si>
  <si>
    <t>64-B6</t>
  </si>
  <si>
    <t>รวมปลายราง</t>
  </si>
  <si>
    <t>65-B11</t>
  </si>
  <si>
    <t>66-PU2</t>
  </si>
  <si>
    <t xml:space="preserve">รวมบางกัน </t>
  </si>
  <si>
    <t>รหัสบล็อก</t>
  </si>
  <si>
    <t>49-B13</t>
  </si>
  <si>
    <t>50-B07</t>
  </si>
  <si>
    <t>56-T08</t>
  </si>
  <si>
    <t>57-B03</t>
  </si>
  <si>
    <t>60-B04</t>
  </si>
  <si>
    <t>60-B08</t>
  </si>
  <si>
    <t>60-B09</t>
  </si>
  <si>
    <t>64-B02</t>
  </si>
  <si>
    <t>64-B05</t>
  </si>
  <si>
    <t>64-B06</t>
  </si>
  <si>
    <t>65-B01</t>
  </si>
  <si>
    <t>อัตราค่าใช้จ่ายสารเคมี (ไกลโฟเสท 95 , กลูโฟซิเนต 100 บาท)</t>
  </si>
  <si>
    <t>พันไร่</t>
  </si>
  <si>
    <t>32-C05-R</t>
  </si>
  <si>
    <t>55-P07-R</t>
  </si>
  <si>
    <t>ปรายราง (หน้าอ๊อฟฟิศ)</t>
  </si>
  <si>
    <t>49-T16-R</t>
  </si>
  <si>
    <t>49-T20-R</t>
  </si>
  <si>
    <t>49-A10-R</t>
  </si>
  <si>
    <t>49-A11-R</t>
  </si>
  <si>
    <t>49-A12-R</t>
  </si>
  <si>
    <t>49-A13-R</t>
  </si>
  <si>
    <t>ปาล์มReplant 49</t>
  </si>
  <si>
    <t>ตอนล่าง (Re49)</t>
  </si>
  <si>
    <t>ตอนบน (Re49)</t>
  </si>
  <si>
    <t>50-T10-R</t>
  </si>
  <si>
    <t>50-T12-R</t>
  </si>
  <si>
    <t>ตอนบน (Re50)</t>
  </si>
  <si>
    <t>ปาล์ม Replant 50</t>
  </si>
  <si>
    <t>ตอนล่าง (Re50)</t>
  </si>
  <si>
    <t>50-A04</t>
  </si>
  <si>
    <t>50-A05</t>
  </si>
  <si>
    <t xml:space="preserve">รวมกะเปา </t>
  </si>
  <si>
    <t xml:space="preserve">รวมพันไร่ </t>
  </si>
  <si>
    <t>50-C05-R</t>
  </si>
  <si>
    <t>50-C07-R</t>
  </si>
  <si>
    <t>ตอนล่าง (Re51)</t>
  </si>
  <si>
    <t>51-P07-R</t>
  </si>
  <si>
    <t>51-P07</t>
  </si>
  <si>
    <t>ปาล์มReplant51</t>
  </si>
  <si>
    <t>ปาล์มReplant52</t>
  </si>
  <si>
    <t>ตอนบน (Re52)</t>
  </si>
  <si>
    <t>52-T28-R</t>
  </si>
  <si>
    <t>ตอนบน (Re56)</t>
  </si>
  <si>
    <t>ปาล์มReplant56</t>
  </si>
  <si>
    <t>56-T08-R</t>
  </si>
  <si>
    <t>56-T19-R</t>
  </si>
  <si>
    <t>56-T21-R</t>
  </si>
  <si>
    <t>56-T28-R</t>
  </si>
  <si>
    <t>56-C10-R</t>
  </si>
  <si>
    <t>ตอนล่าง Re56</t>
  </si>
  <si>
    <t>56-D07-R</t>
  </si>
  <si>
    <t>56-A01</t>
  </si>
  <si>
    <t>56-A02</t>
  </si>
  <si>
    <t>56-A03-R</t>
  </si>
  <si>
    <t>ปาล์มReplant57</t>
  </si>
  <si>
    <t>ตอนล่าง (RE57 )</t>
  </si>
  <si>
    <t>57-C06-R</t>
  </si>
  <si>
    <t>57-C06</t>
  </si>
  <si>
    <t>57-A08-R</t>
  </si>
  <si>
    <t>57-A09-R</t>
  </si>
  <si>
    <t>ปาล์มReplant58</t>
  </si>
  <si>
    <t>ตอนบน (Re58)</t>
  </si>
  <si>
    <t>58-T09-R</t>
  </si>
  <si>
    <t>58-T11-R</t>
  </si>
  <si>
    <t>58-T13-R</t>
  </si>
  <si>
    <t>58-T17-R</t>
  </si>
  <si>
    <t>58-T18-R</t>
  </si>
  <si>
    <t xml:space="preserve">ใช้รถในการฉีดพ่น (ยังไม่ทราบ คชจ.ในการจ้าง ) </t>
  </si>
  <si>
    <t>ปาล์มReplant59</t>
  </si>
  <si>
    <t>ตอนล่าง (RE59 )</t>
  </si>
  <si>
    <t>59-C03-R</t>
  </si>
  <si>
    <t>59-C04-R</t>
  </si>
  <si>
    <t>59-C08-R</t>
  </si>
  <si>
    <t>59-C09-R</t>
  </si>
  <si>
    <t>59-C11-R</t>
  </si>
  <si>
    <t>ตอนล่าง Re60</t>
  </si>
  <si>
    <t>ปาล์มReplant60</t>
  </si>
  <si>
    <t>60-C01-R</t>
  </si>
  <si>
    <t>60-C02-R</t>
  </si>
  <si>
    <t>60-C05-R</t>
  </si>
  <si>
    <t>รวมกะเปา (R60)</t>
  </si>
  <si>
    <t>รวมพันไร่(R60)</t>
  </si>
  <si>
    <t>รวมพันไร่ (R59)</t>
  </si>
  <si>
    <t>รวมตะกุก (R58)</t>
  </si>
  <si>
    <t>รวมกะเปา (R57)</t>
  </si>
  <si>
    <t>รวมพันไร่ (R57)</t>
  </si>
  <si>
    <t>60-A06</t>
  </si>
  <si>
    <t>ปาล์มReplant63</t>
  </si>
  <si>
    <t>ตอนบน Re63</t>
  </si>
  <si>
    <t>รวมตะกุก(R63)</t>
  </si>
  <si>
    <t>63-T05-R</t>
  </si>
  <si>
    <t>63-T22-R</t>
  </si>
  <si>
    <t>63-T23-R</t>
  </si>
  <si>
    <t>ตอนล่าง Re 63</t>
  </si>
  <si>
    <t>รวมกะเปา(R63)</t>
  </si>
  <si>
    <t>63-A01-R</t>
  </si>
  <si>
    <t>63-A03-R</t>
  </si>
  <si>
    <t>63-A07-R</t>
  </si>
  <si>
    <t>63-A07</t>
  </si>
  <si>
    <t>รวมหมอนไม้(R63)</t>
  </si>
  <si>
    <t>63-D08-R</t>
  </si>
  <si>
    <t>ปาล์มReplant64</t>
  </si>
  <si>
    <t>ตอนบน Re64</t>
  </si>
  <si>
    <t>64-P06-R</t>
  </si>
  <si>
    <t>64-P07-R</t>
  </si>
  <si>
    <t>64-P08-R</t>
  </si>
  <si>
    <t>64-P09-R</t>
  </si>
  <si>
    <t>รวมหมอนไม้(R64)</t>
  </si>
  <si>
    <t>รวมปลายราง(R64)</t>
  </si>
  <si>
    <t>64-D02-R</t>
  </si>
  <si>
    <t>รวมหมอนไม้(R65)</t>
  </si>
  <si>
    <t>65-D01-R</t>
  </si>
  <si>
    <t>65-D03-R</t>
  </si>
  <si>
    <t>65-D04-R</t>
  </si>
  <si>
    <t>65-D05-R</t>
  </si>
  <si>
    <t>-</t>
  </si>
  <si>
    <t>ปาล์มReplant65</t>
  </si>
  <si>
    <t>ปาล์มReplant66</t>
  </si>
  <si>
    <t>รวมปลายราง(R66)</t>
  </si>
  <si>
    <t>66-P03-R</t>
  </si>
  <si>
    <t>66-P04-R</t>
  </si>
  <si>
    <t>66-P05-R</t>
  </si>
  <si>
    <t>รวมหมอนไม้(R66)</t>
  </si>
  <si>
    <t>66-D09-R</t>
  </si>
  <si>
    <t>รวมยวนสาว(R66)</t>
  </si>
  <si>
    <t>66-T03</t>
  </si>
  <si>
    <t>66-T04</t>
  </si>
  <si>
    <t>66-T06</t>
  </si>
  <si>
    <t>66-T07</t>
  </si>
  <si>
    <t>67-T10</t>
  </si>
  <si>
    <t>67-T18</t>
  </si>
  <si>
    <t>67-T21</t>
  </si>
  <si>
    <t>67-T29</t>
  </si>
  <si>
    <t>67-T30</t>
  </si>
  <si>
    <t>68-T01</t>
  </si>
  <si>
    <t>68-T02</t>
  </si>
  <si>
    <t>ปาล์มReplant67</t>
  </si>
  <si>
    <t>ตอนล่าง Re 67</t>
  </si>
  <si>
    <t>67-P01-R</t>
  </si>
  <si>
    <t>รวมปลายราง(R67)</t>
  </si>
  <si>
    <t>67-P02-R</t>
  </si>
  <si>
    <t>67-D06-R</t>
  </si>
  <si>
    <t>รวมหมอนไม้(R67)</t>
  </si>
  <si>
    <t>ปาล์มReplant68</t>
  </si>
  <si>
    <t>ตอนล่าง Re 68</t>
  </si>
  <si>
    <t>ตอนล่าง 64</t>
  </si>
  <si>
    <t>รวมยวนสาว(R68)</t>
  </si>
  <si>
    <t>68-PU-1</t>
  </si>
  <si>
    <t>68-PU-3</t>
  </si>
  <si>
    <t>68-PU-4</t>
  </si>
  <si>
    <t>68-PU-5</t>
  </si>
  <si>
    <t>68-PU-6</t>
  </si>
  <si>
    <t>68-PU-5-R</t>
  </si>
  <si>
    <t>68-PU-6-R</t>
  </si>
  <si>
    <t>ค่าแรงถางป่าพร้อมทายากาลอน</t>
  </si>
  <si>
    <t>บล็อก</t>
  </si>
  <si>
    <t>จำนวนไร่ของพื้นที่ทั้งหมด</t>
  </si>
  <si>
    <t>จำนวนต้นของพื้นที่ทั้งหมด</t>
  </si>
  <si>
    <t>ค่าแรง (บาท/ต้น)</t>
  </si>
  <si>
    <t>รวมค่าแรงถางป่าพร้อมทายากาลอน</t>
  </si>
  <si>
    <t>ปาล์ม (49-52)</t>
  </si>
  <si>
    <t>รวมค่าแรงแปลงพันไร่</t>
  </si>
  <si>
    <t>รวมค่าแรงแปลงกะเปา</t>
  </si>
  <si>
    <t>รวมค่าแรงถางป่าพร้อมทายากาลอนปาล์มตอนล่าง 49-52</t>
  </si>
  <si>
    <t>รวมค่าแรงถางป่าพร้อมทายากาลอนปาล์ม 49-52</t>
  </si>
  <si>
    <t>ปาล์มปี 56</t>
  </si>
  <si>
    <t xml:space="preserve">ตอนล่าง </t>
  </si>
  <si>
    <t>รวมปาล์มปี 56</t>
  </si>
  <si>
    <t>ปาล์มปี 57</t>
  </si>
  <si>
    <t xml:space="preserve">ตอนบน </t>
  </si>
  <si>
    <t>รวมบางกัน</t>
  </si>
  <si>
    <t>รวมค่าแรงถางป่าพร้อมทายากาลอน ปาล์มปี 57</t>
  </si>
  <si>
    <t xml:space="preserve">ปาล์มปี 58  </t>
  </si>
  <si>
    <t>รวมค่าแรงถางป่าพร้อมทายากาลอนปาล์ม ปี58</t>
  </si>
  <si>
    <t>ปาล์มปี 59</t>
  </si>
  <si>
    <t>รวมค่าแรงถางป่าพร้อมทายากาลอนปาล์ม ปี 59</t>
  </si>
  <si>
    <t>ปาล์มปี 60</t>
  </si>
  <si>
    <t>รวมค่าแรงถางป่าพร้อมทายากาลอนปาล์มปี 60 ตอนล่าง</t>
  </si>
  <si>
    <t xml:space="preserve">ตอนบน  </t>
  </si>
  <si>
    <t>รวมค่าแรงถางป่าพร้อมทายากาลอนปาล์มปี 60 ตอนบน</t>
  </si>
  <si>
    <t>รวมค่าแรงถางป่าพร้อมทายากาลอนปาล์ม ปี 60</t>
  </si>
  <si>
    <t>ปาล์มปี 63</t>
  </si>
  <si>
    <t>รวมค่าแรงถางป่าพร้อมทายากาลอนปาล์ม ปี 63 ตอนล่าง</t>
  </si>
  <si>
    <t>รวมค่าแรงถางป่าพร้อมทายากาลอนปาล์มปี 63</t>
  </si>
  <si>
    <t>ปาล์มปี 66</t>
  </si>
  <si>
    <t>รวมค่าแรงถางป่าพร้อมทายากาลอนปาล์ม ปี 66</t>
  </si>
  <si>
    <t>ปาล์มปี 67</t>
  </si>
  <si>
    <t>ตอนบน (ปลูกแซม)</t>
  </si>
  <si>
    <t>รวมค่าแรงถางป่าพร้อมทายากาลอน ปาล์ม ปี 67</t>
  </si>
  <si>
    <t>รวมค่าแรงแปลงตะกุก</t>
  </si>
  <si>
    <t>รุ่นปาล์ม</t>
  </si>
  <si>
    <t>แปลงปฏิบัติการ</t>
  </si>
  <si>
    <t>แปลง</t>
  </si>
  <si>
    <t>จำนวน(ไร่)</t>
  </si>
  <si>
    <t>จำนวน(ต้น)</t>
  </si>
  <si>
    <t>จน.ต้น/ไร่</t>
  </si>
  <si>
    <t>22-37 (แก่)</t>
  </si>
  <si>
    <t>ตะกุก</t>
  </si>
  <si>
    <t>รวมพื้นที่ปาล์มแก่ แปลงตะกุก (ไร่/ต้น)</t>
  </si>
  <si>
    <t>บางกัน</t>
  </si>
  <si>
    <t>รวมพื้นที่ปาล์มแก่ แปลงบางกัน (ไร่/ต้น)</t>
  </si>
  <si>
    <t>รวมพื้นที่ปาล์มแก่ตอนบน</t>
  </si>
  <si>
    <t>R-22-C5</t>
  </si>
  <si>
    <t>รวมพื้นที่ปาล์มแก่ แปลงพันไร่ (ไร่/ต้น)</t>
  </si>
  <si>
    <t>ยวนสาว</t>
  </si>
  <si>
    <t>รวมพื้นที่ปาล์มแก่ แปลงยวนสาว (ไร่/ต้น)</t>
  </si>
  <si>
    <t>รวมพื้นที่ปาล์มแก่ตอนล่าง</t>
  </si>
  <si>
    <t xml:space="preserve">รวมพื้นที่ปาล์มแก่ทั้งหมด </t>
  </si>
  <si>
    <t>49-52</t>
  </si>
  <si>
    <t>รวมพื้นที่ปาล์ม 49-52 แปลงตะกุก (ไร่/ต้น)</t>
  </si>
  <si>
    <t>27, 25</t>
  </si>
  <si>
    <t>รวมพื้นที่ปาล์ม 49-52 แปลงบางกัน (ไร่/ต้น)</t>
  </si>
  <si>
    <t>รวมพื้นที่ปาล์ม 49-52 ตอนบน</t>
  </si>
  <si>
    <t>ปรายราง</t>
  </si>
  <si>
    <t>รวมพื้นที่ปาล์ม 49-52 แปลงปรายราง (ไร่/ต้น)</t>
  </si>
  <si>
    <t>รวมพื้นที่ปาล์ม 49-52 พันไร่ (ไร่/ต้น)</t>
  </si>
  <si>
    <t>กะเปา</t>
  </si>
  <si>
    <t>รวมพื้นที่ปาล์ม 49-52 กะเปา (ไร่/ต้น)</t>
  </si>
  <si>
    <t>รวมพื้นที่ปาล์ม 49-52 ตอนล่าง</t>
  </si>
  <si>
    <t xml:space="preserve">รวมพื้นที่ปาล์ม 49-52 ทั้งหมด </t>
  </si>
  <si>
    <t>55-58</t>
  </si>
  <si>
    <t>รวมพื้นที่ปาล์ม 55-58 แปลงตะกุก (ไร่/ต้น)</t>
  </si>
  <si>
    <t>รวมพื้นที่ปาล์ม 55-58 แปลงบางกัน (ไร่/ต้น)</t>
  </si>
  <si>
    <t>รวมพื้นที่ปาล์ม 55-58 ตอนบน</t>
  </si>
  <si>
    <t>รวมพื้นที่ปาล์ม 55-58 แปลงปรายราง (ไร่/ต้น)</t>
  </si>
  <si>
    <t>รวมพื้นที่ปาล์ม 55-58 แปลงพันไร่ (ไร่/ต้น)</t>
  </si>
  <si>
    <t>รวมพื้นที่ปาล์ม 55-58 แปลงกะเปา (ไร่/ต้น)</t>
  </si>
  <si>
    <t>หมอนไม้</t>
  </si>
  <si>
    <t>R-56-D7</t>
  </si>
  <si>
    <t>รวมพื้นที่ปาล์ม 55-58 แปลงหมอนไม้ (ไร่/ต้น)</t>
  </si>
  <si>
    <t>รวมพื้นที่ปาล์ม 55-58 ตอนล่าง</t>
  </si>
  <si>
    <t xml:space="preserve">รวมพื้นที่ปาล์ม 55-58 ทั้งหมด </t>
  </si>
  <si>
    <t>59-60</t>
  </si>
  <si>
    <t>รวมพื้นที่ปาล์ม 59-60 แปลงบางกัน (ไร่/ต้น)</t>
  </si>
  <si>
    <t>รวมพื้นที่ปาล์ม 59-60 ตอนบน</t>
  </si>
  <si>
    <t>รวมพื้นที่ปาล์ม 59-60 แปลงพันไร่ (ไร่/ต้น)</t>
  </si>
  <si>
    <t>รวมพื้นที่ปาล์ม 59-60 แปลงกะเปา (ไร่/ต้น)</t>
  </si>
  <si>
    <t>รวมพื้นที่ปาล์ม 59-60 ตอนล่าง</t>
  </si>
  <si>
    <t xml:space="preserve">รวมพื้นที่ปาล์ม 59-60 ทั้งหมด </t>
  </si>
  <si>
    <t>รวมพื้นที่ปาล์ม 63 แปลงตะกุก (ไร่/ต้น)</t>
  </si>
  <si>
    <t>รวมพื้นที่ปาล์ม 63 ตอนบน</t>
  </si>
  <si>
    <t>รวมพื้นที่ปาล์ม 63 แปลงกะเปา (ไร่/ต้น)</t>
  </si>
  <si>
    <t>รวมพื้นที่ปาล์ม 63 แปลงหมอนไม้ (ไร่/ต้น)</t>
  </si>
  <si>
    <t>รวมพื้นที่ปาล์ม 63 ตอนล่าง</t>
  </si>
  <si>
    <t xml:space="preserve">รวมพื้นที่ปาล์ม 63 ทั้งหมด </t>
  </si>
  <si>
    <t>รวมพื้นที่ปาล์ม 64-66 แปลงบางกัน (ไร่/ต้น)</t>
  </si>
  <si>
    <t>รวมจำนวนปาล์มทั้งหมด ไร่/ต้น</t>
  </si>
  <si>
    <t>จำนวนต้นตอนบน</t>
  </si>
  <si>
    <t>จำนวนไร่ตอนบน</t>
  </si>
  <si>
    <t>จำนวนต้นตอนล่าง</t>
  </si>
  <si>
    <t>จำนวนไร่ตอนล่าง</t>
  </si>
  <si>
    <t>จำนวนต้นปาล์ม 2569</t>
  </si>
  <si>
    <t>64-68</t>
  </si>
  <si>
    <t xml:space="preserve">ปลายราง </t>
  </si>
  <si>
    <t>รวมพื้นที่ปาล์ม 64-68 แปลงปลายราง (ไร่/ต้น)</t>
  </si>
  <si>
    <t>รวมพื้นที่ปาล์ม 64-68  แปลงหมอนไม้ (ไร่/ต้น)</t>
  </si>
  <si>
    <t>68-PU1</t>
  </si>
  <si>
    <t>68-PU3</t>
  </si>
  <si>
    <t>68-PU4</t>
  </si>
  <si>
    <t>68-PU5-R</t>
  </si>
  <si>
    <t>68-PU5</t>
  </si>
  <si>
    <t>68-PU6-R</t>
  </si>
  <si>
    <t>68-PU6</t>
  </si>
  <si>
    <t>รวมพื้นที่ปาล์ม 64-68 ตอนล่าง</t>
  </si>
  <si>
    <t xml:space="preserve">รวมพื้นที่ปาล์ม 64-68 ทั้งหมด </t>
  </si>
  <si>
    <t>รวมพื้นที่ปาล์ม 64-68 แปลงยวนสาว (ไร่/ต้น)</t>
  </si>
  <si>
    <t>รวมค่าแรงแปลงบางกัน</t>
  </si>
  <si>
    <t>รวมค่าแรงถางป่าพร้อมทายากาลอนปาล์มตอนบน 49-52</t>
  </si>
  <si>
    <t>รวมค่าแรงถางป่าพร้อมทายากาลอนปาล์มตอนล่าง 56</t>
  </si>
  <si>
    <t>รวมพื้นที่ปาล์ม 64-68 ตอนบน</t>
  </si>
  <si>
    <t>66-PU-02</t>
  </si>
  <si>
    <t>ปาล์มปี 68</t>
  </si>
  <si>
    <t>รวมค่าแรงถางป่าพร้อมทายากาลอน ปาล์ม ปี 68</t>
  </si>
  <si>
    <t>ค่าแรงถากโคน (บาท/ต้น)</t>
  </si>
  <si>
    <t>รวมตอนบน</t>
  </si>
  <si>
    <t>รวมตอนล่าง</t>
  </si>
  <si>
    <t>ครั้งที่ 1</t>
  </si>
  <si>
    <t>ค่าใช้จ่าย (บาท)</t>
  </si>
  <si>
    <t>รวมค่าใช้จ่ายถากโคน ปาล์มปี 67</t>
  </si>
  <si>
    <t>รวมค่าใช้จ่ายถากโคนทั้งหมด</t>
  </si>
  <si>
    <t>รวมพื้นที่ปาล์ม 64-68 แปลงตะกุก (ไร่/ต้น)</t>
  </si>
  <si>
    <t>รวมปาล์มปี 67 ตอนล่าง</t>
  </si>
  <si>
    <t>รวมปาล์มปี 67 ตอนบน</t>
  </si>
  <si>
    <t>รวมค่าใช้จ่ายถากโคน ปาล์มปี 68</t>
  </si>
  <si>
    <t>ค่าตัดหญ้า</t>
  </si>
  <si>
    <t>ค่าแรงตัดหญ้า(บาท/ไร่)</t>
  </si>
  <si>
    <t>บาท</t>
  </si>
  <si>
    <t>ปาล์มปี 64</t>
  </si>
  <si>
    <t>ปาล์มปี 65</t>
  </si>
  <si>
    <t>ค่าแรง(บาท/ไร่)</t>
  </si>
  <si>
    <t>ครั้ง</t>
  </si>
  <si>
    <t>รวมปาล์มปี 68 ตอนบน</t>
  </si>
  <si>
    <t xml:space="preserve">รวมปาล์มปี 68 </t>
  </si>
  <si>
    <t>ไถ, พรวนดิน 2569</t>
  </si>
  <si>
    <t>ค่าใช้จ่ายในการถากโคน 2569</t>
  </si>
  <si>
    <t>ปาล์มกลาง 49-52</t>
  </si>
  <si>
    <t>ปาล์มปี 55</t>
  </si>
  <si>
    <t>ปาล์มปี 58</t>
  </si>
  <si>
    <t xml:space="preserve">   ฟีโรโมน (ซอง)</t>
  </si>
  <si>
    <t>ล่อฟีโรโมน (ครั้งที่ 1)</t>
  </si>
  <si>
    <t>ล่อฟีโรโมน (ครั้งที่ 2)</t>
  </si>
  <si>
    <t>ล่อฟีโรโมน (ครั้งที่ 3)</t>
  </si>
  <si>
    <t>ล่อฟีโรโมน (ครั้งที่ 4)</t>
  </si>
  <si>
    <t>คงเหลือ</t>
  </si>
  <si>
    <t>รวมปาล์มตอนล่าง ปี 66</t>
  </si>
  <si>
    <t>รวมปาล์มตอนล่าง ปี 67</t>
  </si>
  <si>
    <t>รวมปาล์มตอนบน ปี 67</t>
  </si>
  <si>
    <t xml:space="preserve">ล่อฟีโรโมน 10ไร่/ซอง/ครั้ง 2569 </t>
  </si>
  <si>
    <t xml:space="preserve">รวมปาล์มตอนบน </t>
  </si>
  <si>
    <t>รวมปาล์มตอนล่าง ปี 68</t>
  </si>
  <si>
    <t>1000 กรัม = 1 กิโลกรัม</t>
  </si>
  <si>
    <t>จำนวนครั้ง/ปี</t>
  </si>
  <si>
    <t>หมายเหตุ</t>
  </si>
  <si>
    <t>10</t>
  </si>
  <si>
    <t>24</t>
  </si>
  <si>
    <t>kg / 1ครั้ง</t>
  </si>
  <si>
    <t>พิโพรนิล  10กรัม/ต้น</t>
  </si>
  <si>
    <t xml:space="preserve">รวมปาล์มตอนล่าง ปี 66 </t>
  </si>
  <si>
    <t>ปริมาณพิโพรนิล  (g)</t>
  </si>
  <si>
    <t>รวมปริมาณ  พิโพรนิล(Kg)</t>
  </si>
  <si>
    <t>รวมปาล์มปี 68</t>
  </si>
  <si>
    <t xml:space="preserve">100 CC / ต้น </t>
  </si>
  <si>
    <t>เจาะฆ่าต้นปาล์ม 2569 (ไกลโฟเสท)</t>
  </si>
  <si>
    <t>ไกลโฟเสท / CC</t>
  </si>
  <si>
    <t xml:space="preserve">รวมปาล์มปี 67 </t>
  </si>
  <si>
    <t>Hactare (1H=6.25ไร่)</t>
  </si>
  <si>
    <t>175.04</t>
  </si>
  <si>
    <t>(ตัน/ไร่)</t>
  </si>
  <si>
    <t>ผลผลิต</t>
  </si>
  <si>
    <t>อัตราค่าจ้างตัด (บาท/ตัน)</t>
  </si>
  <si>
    <t>ค่าตัดปาล์ม</t>
  </si>
  <si>
    <t>ผู้รับเหมา</t>
  </si>
  <si>
    <t>ปลายราง</t>
  </si>
  <si>
    <t>รวมพื้นที่ตอนบน</t>
  </si>
  <si>
    <t>รวมพื้นที่ตอนล่าง</t>
  </si>
  <si>
    <t>รวมพื้นที่ทั้งหมด</t>
  </si>
  <si>
    <t>ประกวดราคา</t>
  </si>
  <si>
    <t>ผลผลิตและค่าจ้างตัดปาล์ม</t>
  </si>
  <si>
    <t>ค่าแรงแหวกโคน</t>
  </si>
  <si>
    <t xml:space="preserve">จำนวนครั้ง / ปี </t>
  </si>
  <si>
    <t>รวมค่าแรงแหวกโคน</t>
  </si>
  <si>
    <t>รวมค่าแรงแหวกโคน ปาล์มปี 57</t>
  </si>
  <si>
    <t>รวมค่าแรงแหวกโคน ปาล์มปี 58</t>
  </si>
  <si>
    <t>ปาล์มปี 58  (ตอนบน)</t>
  </si>
  <si>
    <t>รวมค่าแรงแหวกโคนตอนบน ปาล์มปี 60</t>
  </si>
  <si>
    <t>รวมค่าแรงแหวกโคนตอนล่าง ปาล์มปี 60</t>
  </si>
  <si>
    <t>รวมค่าแรงแหวกโคนปาล์ม ปี 60</t>
  </si>
  <si>
    <t>รวมค่าแรงแหวกโคนปาล์ม ปี 63 ตอนล่าง</t>
  </si>
  <si>
    <t>รวมค่าแรงแหวกโคนตอนบน ปาล์มปี 63</t>
  </si>
  <si>
    <t>รวมค่าแรงแหวกโคนปาล์มปี 63</t>
  </si>
  <si>
    <t>รวมค่าแรงแหวกโคนตอนบน ปาล์มปี 64</t>
  </si>
  <si>
    <t xml:space="preserve">รวมค่าแรงแหวกโคนตอนล่าง ปาล์ม ปี 64 </t>
  </si>
  <si>
    <t>รวมค่าแรงแหวกโคนปาล์มปี 64</t>
  </si>
  <si>
    <t>รวมค่าแรงแหวกโคนตอนบน ปาล์มปี 65</t>
  </si>
  <si>
    <t>รวมค่าแรงแหวกโคนตอนล่าง ปาล์ม ปี 65</t>
  </si>
  <si>
    <t>รวมค่าแรงแหวกโคนปาล์มปี 65</t>
  </si>
  <si>
    <t>รวมค่าแรงแหวกโคนตอนบน ปาล์มปี 66</t>
  </si>
  <si>
    <t>รวมค่าแรงแหวกโคนตอนล่าง ปาล์ม ปี 66</t>
  </si>
  <si>
    <t>รวมค่าแรงแหวกโคนปาล์ม ปี 66</t>
  </si>
  <si>
    <t>รวมค่าแรงแหวกโคนตอนบน ปาล์มปี 67</t>
  </si>
  <si>
    <t>รวมค่าแรงแหวกโคนตอนล่าง ปาล์ม ปี 67</t>
  </si>
  <si>
    <t>รวมค่าแรงแหวกโคน ปาล์ม ปี 67</t>
  </si>
  <si>
    <t>รวมค่าแรงแหวกโคนตอนบน ปาล์มปี 68</t>
  </si>
  <si>
    <t>รวมค่าแรงแหวกโคน ปาล์ม ปี 68</t>
  </si>
  <si>
    <t>รวมค่าแรงแหวกโคนตอนล่าง ปาล์มปี 68</t>
  </si>
  <si>
    <t xml:space="preserve">สูตรการคำนวณ : ผลผลิต * อัตราค่าจ้าง = ค่าจ้างตัดปาล์ม </t>
  </si>
  <si>
    <t xml:space="preserve">สูตรการคำนวณ :  ปริมาณสารเคมี / ลิตร = (อัตราฉีดยา / CC * จำนวนต้น) / 1,000 </t>
  </si>
  <si>
    <t xml:space="preserve">อัตราจ้างฉีด = ค่าจ้างฉีด * จำนวนต้น </t>
  </si>
  <si>
    <t xml:space="preserve">อัตราค่าใช้จ่ายสารเคมี = ปริมาณสารเคมี * ราคาสารเคมี </t>
  </si>
  <si>
    <t xml:space="preserve">สูตรการคำนวณ :  ค่าแรงถางป่า = (จำนวนต้นในพื้นที่ต้องการถางป่า * ค่าแรง) </t>
  </si>
  <si>
    <t xml:space="preserve">สูตรการคำนวณ :  ค่าแรงถากโคน = (จำนวนต้นในพื้นที่ต้องการถางป่า * ค่าแรง*จำนวนครั้ง) </t>
  </si>
  <si>
    <t xml:space="preserve">สูตรการคำนวณ :  ค่าแรงตัดหญ้า/ไร่  = (จำนวนต้นในพื้นที่ต้องการตัดหญ้า * ค่าแรง*จำนวนครั้ง) </t>
  </si>
  <si>
    <t xml:space="preserve">สูตรการคำนวณ :  ค่าแรงไถ,พรวนดิน/ไร่  = (จำนวนไร่ * ค่าแรง*จำนวนครั้ง) </t>
  </si>
  <si>
    <t xml:space="preserve">สูตรการคำนวณ :  ล่อฟีโรโมน(10ไร่/ซอง/ครั้ง)  = (จำนวนไร่/จำนวนซอง*จำนวนครั้ง) </t>
  </si>
  <si>
    <t>สูตรการคำนวณ :  พิโพรนิล (10กรัม/ต้น)  = (จำนวนต้น*ปริมาณพิโพรนิล)</t>
  </si>
  <si>
    <t>กรณีผันกรัมเป็นกิโลกรัม = ( ปริมาณพิโพรนิล/กรัม / 1000 )</t>
  </si>
  <si>
    <t>สูตรการคำนวณ :  เจาะฆ่าต้นปาล์ม = (จำนวนต้น/ปริมาณสารเคมี(100ซีซี)*จำนวนครั้ง</t>
  </si>
  <si>
    <t>สูตรการคำนวณ :  ค่าแรงแหวกโคน = (จำนวนต้นในพื้นที่ต้องการแหวกโคน*ค่าแรง*จำนวนครั้ง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</si>
</sst>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_-;\-* #,##0.00_-;_-* &quot;-&quot;??_-;_-@_-"/>
    <numFmt numFmtId="187" formatCode="_(* #,##0.00_);_(* \(#,##0.00\);_(* &quot;-&quot;??_);_(@_)"/>
    <numFmt numFmtId="188" formatCode="_-* #,##0.00_-;\-* #,##0.00_-;_-* \-??_-;_-@_-"/>
    <numFmt numFmtId="189" formatCode="#,##0_ ;\-#,##0\ "/>
    <numFmt numFmtId="190" formatCode="_(* #,##0_);_(* \(#,##0\);_(* &quot;-&quot;??_);_(@_)"/>
    <numFmt numFmtId="191" formatCode="_-* #,##0_-;\-* #,##0_-;_-* &quot;-&quot;??_-;_-@_-"/>
  </numFmts>
  <fonts count="64" x14ac:knownFonts="1">
    <font>
      <sz val="16"/>
      <color theme="1"/>
      <name val="TH Sarabun New"/>
      <family val="2"/>
      <charset val="222"/>
    </font>
    <font>
      <sz val="16"/>
      <color theme="1"/>
      <name val="TH Sarabun New"/>
      <family val="2"/>
      <charset val="222"/>
    </font>
    <font>
      <b/>
      <sz val="15"/>
      <color theme="1"/>
      <name val="TH SarabunPSK"/>
      <family val="2"/>
    </font>
    <font>
      <b/>
      <sz val="15"/>
      <color theme="1"/>
      <name val="TH Sarabun New"/>
      <family val="2"/>
    </font>
    <font>
      <sz val="15"/>
      <color theme="1"/>
      <name val="TH SarabunPSK"/>
      <family val="2"/>
    </font>
    <font>
      <sz val="14"/>
      <name val="Cordia New"/>
      <family val="2"/>
    </font>
    <font>
      <sz val="15"/>
      <name val="TH SarabunPSK"/>
      <family val="2"/>
    </font>
    <font>
      <b/>
      <u val="singleAccounting"/>
      <sz val="15"/>
      <color theme="1"/>
      <name val="TH SarabunPSK"/>
      <family val="2"/>
    </font>
    <font>
      <b/>
      <sz val="16"/>
      <color theme="1"/>
      <name val="TH Sarabun New"/>
      <family val="2"/>
    </font>
    <font>
      <b/>
      <u val="singleAccounting"/>
      <sz val="16"/>
      <color theme="1"/>
      <name val="TH Sarabun New"/>
      <family val="2"/>
    </font>
    <font>
      <b/>
      <sz val="15"/>
      <name val="TH SarabunPSK"/>
      <family val="2"/>
    </font>
    <font>
      <sz val="14"/>
      <name val="TH SarabunPSK"/>
      <family val="2"/>
    </font>
    <font>
      <sz val="14"/>
      <color theme="1"/>
      <name val="TH SarabunPSK"/>
      <family val="2"/>
    </font>
    <font>
      <b/>
      <sz val="14"/>
      <color theme="1"/>
      <name val="TH SarabunPSK"/>
      <family val="2"/>
    </font>
    <font>
      <b/>
      <sz val="15"/>
      <name val="TH Sarabun New"/>
      <family val="2"/>
    </font>
    <font>
      <u val="singleAccounting"/>
      <sz val="16"/>
      <color theme="1"/>
      <name val="TH Sarabun New"/>
      <family val="2"/>
      <charset val="222"/>
    </font>
    <font>
      <b/>
      <sz val="16"/>
      <color theme="1"/>
      <name val="TH SarabunPSK"/>
      <family val="2"/>
    </font>
    <font>
      <b/>
      <sz val="18"/>
      <name val="TH SarabunPSK"/>
      <family val="2"/>
    </font>
    <font>
      <b/>
      <u val="singleAccounting"/>
      <sz val="14"/>
      <name val="TH Sarabun New"/>
      <family val="2"/>
    </font>
    <font>
      <u val="singleAccounting"/>
      <sz val="15"/>
      <color theme="1"/>
      <name val="TH SarabunPSK"/>
      <family val="2"/>
    </font>
    <font>
      <b/>
      <sz val="14"/>
      <name val="TH Sarabun New"/>
      <family val="2"/>
    </font>
    <font>
      <b/>
      <sz val="20"/>
      <color rgb="FFFF0000"/>
      <name val="TH Sarabun New"/>
      <family val="2"/>
    </font>
    <font>
      <b/>
      <sz val="18"/>
      <color rgb="FFFF0000"/>
      <name val="TH Sarabun New"/>
      <family val="2"/>
    </font>
    <font>
      <sz val="16"/>
      <name val="TH Sarabun New"/>
      <family val="2"/>
      <charset val="222"/>
    </font>
    <font>
      <b/>
      <sz val="18"/>
      <color theme="1"/>
      <name val="TH Sarabun New"/>
      <family val="2"/>
    </font>
    <font>
      <b/>
      <sz val="20"/>
      <color theme="1"/>
      <name val="TH SarabunPSK"/>
      <family val="2"/>
    </font>
    <font>
      <b/>
      <sz val="14"/>
      <name val="TH SarabunPSK"/>
      <family val="2"/>
    </font>
    <font>
      <b/>
      <u/>
      <sz val="14"/>
      <name val="TH SarabunPSK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4"/>
      <color theme="1"/>
      <name val="TH SarabunPSK"/>
      <family val="2"/>
    </font>
    <font>
      <sz val="14"/>
      <color theme="1"/>
      <name val="TH Sarabun New"/>
      <family val="2"/>
      <charset val="222"/>
    </font>
    <font>
      <b/>
      <u/>
      <sz val="15"/>
      <color theme="1"/>
      <name val="TH SarabunPSK"/>
      <family val="2"/>
    </font>
    <font>
      <b/>
      <sz val="13"/>
      <color theme="1"/>
      <name val="TH SarabunPSK"/>
      <family val="2"/>
    </font>
    <font>
      <u/>
      <sz val="14"/>
      <color theme="1"/>
      <name val="TH SarabunPSK"/>
      <family val="2"/>
    </font>
    <font>
      <sz val="12"/>
      <color theme="1"/>
      <name val="TH Sarabun New"/>
      <family val="2"/>
      <charset val="222"/>
    </font>
    <font>
      <b/>
      <sz val="14"/>
      <color theme="1"/>
      <name val="TH Sarabun New"/>
      <family val="2"/>
    </font>
    <font>
      <sz val="18"/>
      <color theme="1"/>
      <name val="TH Sarabun New"/>
      <family val="2"/>
      <charset val="222"/>
    </font>
    <font>
      <b/>
      <sz val="18"/>
      <color theme="1"/>
      <name val="TH SarabunPSK"/>
      <family val="2"/>
    </font>
    <font>
      <b/>
      <sz val="18"/>
      <color theme="1"/>
      <name val="TH Sarabun New"/>
      <family val="2"/>
      <charset val="222"/>
    </font>
    <font>
      <sz val="18"/>
      <color theme="1"/>
      <name val="TH SarabunPSK"/>
      <family val="2"/>
    </font>
    <font>
      <sz val="18"/>
      <name val="TH SarabunPSK"/>
      <family val="2"/>
    </font>
    <font>
      <b/>
      <u val="singleAccounting"/>
      <sz val="18"/>
      <name val="TH SarabunPSK"/>
      <family val="2"/>
    </font>
    <font>
      <b/>
      <u val="singleAccounting"/>
      <sz val="18"/>
      <color theme="1"/>
      <name val="TH SarabunPSK"/>
      <family val="2"/>
    </font>
    <font>
      <b/>
      <u val="singleAccounting"/>
      <sz val="18"/>
      <color theme="1"/>
      <name val="TH Sarabun New"/>
      <family val="2"/>
    </font>
    <font>
      <b/>
      <u val="singleAccounting"/>
      <sz val="18"/>
      <color rgb="FFFF0000"/>
      <name val="TH Sarabun New"/>
      <family val="2"/>
    </font>
    <font>
      <b/>
      <sz val="14"/>
      <color theme="1"/>
      <name val="TH Sarabun New"/>
      <family val="2"/>
      <charset val="222"/>
    </font>
    <font>
      <sz val="13"/>
      <color theme="1"/>
      <name val="TH Sarabun New"/>
      <family val="2"/>
      <charset val="222"/>
    </font>
    <font>
      <b/>
      <sz val="20"/>
      <color theme="1"/>
      <name val="TH Sarabun New"/>
      <family val="2"/>
    </font>
    <font>
      <b/>
      <sz val="22"/>
      <color theme="1"/>
      <name val="TH Sarabun New"/>
      <family val="2"/>
    </font>
    <font>
      <b/>
      <sz val="22"/>
      <color theme="1"/>
      <name val="TH SarabunPSK"/>
      <family val="2"/>
    </font>
    <font>
      <b/>
      <sz val="22"/>
      <color theme="1"/>
      <name val="TH Sarabun New"/>
      <family val="2"/>
      <charset val="222"/>
    </font>
    <font>
      <sz val="22"/>
      <color theme="1"/>
      <name val="TH Sarabun New"/>
      <family val="2"/>
      <charset val="222"/>
    </font>
    <font>
      <b/>
      <u val="singleAccounting"/>
      <sz val="22"/>
      <color rgb="FFFF0000"/>
      <name val="TH SarabunPSK"/>
      <family val="2"/>
    </font>
    <font>
      <b/>
      <sz val="18"/>
      <color theme="2" tint="-0.89999084444715716"/>
      <name val="TH SarabunPSK"/>
      <family val="2"/>
    </font>
    <font>
      <sz val="18"/>
      <color rgb="FFFF0000"/>
      <name val="TH SarabunPSK"/>
      <family val="2"/>
    </font>
    <font>
      <b/>
      <u/>
      <sz val="18"/>
      <name val="TH SarabunPSK"/>
      <family val="2"/>
    </font>
    <font>
      <b/>
      <u val="doubleAccounting"/>
      <sz val="18"/>
      <color theme="1"/>
      <name val="TH SarabunPSK"/>
      <family val="2"/>
    </font>
    <font>
      <u val="singleAccounting"/>
      <sz val="16"/>
      <color rgb="FFFF0000"/>
      <name val="TH Sarabun New"/>
      <family val="2"/>
      <charset val="222"/>
    </font>
    <font>
      <b/>
      <u/>
      <sz val="18"/>
      <color rgb="FFFF0000"/>
      <name val="TH SarabunPSK"/>
      <family val="2"/>
    </font>
    <font>
      <b/>
      <u val="singleAccounting"/>
      <sz val="18"/>
      <color rgb="FFFF0000"/>
      <name val="TH SarabunPSK"/>
      <family val="2"/>
    </font>
    <font>
      <u/>
      <sz val="16"/>
      <color rgb="FFFF0000"/>
      <name val="TH SarabunPSK"/>
      <family val="2"/>
    </font>
    <font>
      <u/>
      <sz val="20"/>
      <color rgb="FFFF0000"/>
      <name val="TH SarabunPSK"/>
      <family val="2"/>
    </font>
    <font>
      <sz val="16"/>
      <color rgb="FFFF0000"/>
      <name val="TH Sarabun New"/>
      <family val="2"/>
      <charset val="222"/>
    </font>
  </fonts>
  <fills count="1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187" fontId="1" fillId="0" borderId="0" applyFont="0" applyFill="0" applyBorder="0" applyAlignment="0" applyProtection="0"/>
    <xf numFmtId="0" fontId="5" fillId="0" borderId="0"/>
    <xf numFmtId="188" fontId="5" fillId="0" borderId="0" applyFill="0" applyBorder="0" applyAlignment="0" applyProtection="0"/>
    <xf numFmtId="9" fontId="1" fillId="0" borderId="0" applyFont="0" applyFill="0" applyBorder="0" applyAlignment="0" applyProtection="0"/>
    <xf numFmtId="188" fontId="5" fillId="0" borderId="0" applyFill="0" applyBorder="0" applyAlignment="0" applyProtection="0"/>
  </cellStyleXfs>
  <cellXfs count="1321">
    <xf numFmtId="0" fontId="0" fillId="0" borderId="0" xfId="0"/>
    <xf numFmtId="0" fontId="0" fillId="0" borderId="0" xfId="0" applyBorder="1"/>
    <xf numFmtId="187" fontId="2" fillId="2" borderId="38" xfId="1" applyFont="1" applyFill="1" applyBorder="1" applyAlignment="1">
      <alignment vertical="center" wrapText="1"/>
    </xf>
    <xf numFmtId="187" fontId="2" fillId="2" borderId="36" xfId="1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left"/>
    </xf>
    <xf numFmtId="3" fontId="6" fillId="0" borderId="18" xfId="2" applyNumberFormat="1" applyFont="1" applyFill="1" applyBorder="1" applyAlignment="1">
      <alignment horizontal="center" vertical="center"/>
    </xf>
    <xf numFmtId="187" fontId="6" fillId="0" borderId="19" xfId="1" applyFont="1" applyFill="1" applyBorder="1" applyAlignment="1">
      <alignment horizontal="center" vertical="center"/>
    </xf>
    <xf numFmtId="187" fontId="0" fillId="0" borderId="47" xfId="1" applyFont="1" applyFill="1" applyBorder="1"/>
    <xf numFmtId="187" fontId="0" fillId="0" borderId="18" xfId="1" applyFont="1" applyFill="1" applyBorder="1"/>
    <xf numFmtId="187" fontId="0" fillId="0" borderId="17" xfId="1" applyFont="1" applyBorder="1"/>
    <xf numFmtId="187" fontId="0" fillId="0" borderId="18" xfId="1" applyFont="1" applyBorder="1"/>
    <xf numFmtId="187" fontId="0" fillId="0" borderId="19" xfId="1" applyFont="1" applyBorder="1"/>
    <xf numFmtId="187" fontId="0" fillId="0" borderId="46" xfId="1" applyFont="1" applyBorder="1"/>
    <xf numFmtId="187" fontId="0" fillId="0" borderId="11" xfId="1" applyFont="1" applyBorder="1"/>
    <xf numFmtId="187" fontId="0" fillId="0" borderId="12" xfId="1" applyFont="1" applyBorder="1"/>
    <xf numFmtId="187" fontId="0" fillId="0" borderId="48" xfId="1" applyFont="1" applyBorder="1"/>
    <xf numFmtId="187" fontId="0" fillId="0" borderId="49" xfId="1" applyFont="1" applyBorder="1"/>
    <xf numFmtId="187" fontId="0" fillId="0" borderId="34" xfId="1" applyFont="1" applyBorder="1"/>
    <xf numFmtId="187" fontId="0" fillId="0" borderId="50" xfId="1" applyFont="1" applyBorder="1"/>
    <xf numFmtId="3" fontId="6" fillId="0" borderId="11" xfId="2" applyNumberFormat="1" applyFont="1" applyFill="1" applyBorder="1" applyAlignment="1">
      <alignment horizontal="left" vertical="center"/>
    </xf>
    <xf numFmtId="3" fontId="6" fillId="0" borderId="12" xfId="2" applyNumberFormat="1" applyFont="1" applyFill="1" applyBorder="1" applyAlignment="1">
      <alignment horizontal="center" vertical="center"/>
    </xf>
    <xf numFmtId="187" fontId="6" fillId="0" borderId="13" xfId="1" applyFont="1" applyFill="1" applyBorder="1" applyAlignment="1" applyProtection="1">
      <alignment horizontal="center" vertical="center"/>
    </xf>
    <xf numFmtId="187" fontId="0" fillId="0" borderId="34" xfId="1" applyFont="1" applyFill="1" applyBorder="1"/>
    <xf numFmtId="187" fontId="0" fillId="0" borderId="13" xfId="1" applyFont="1" applyBorder="1"/>
    <xf numFmtId="0" fontId="4" fillId="0" borderId="31" xfId="0" applyFont="1" applyBorder="1" applyAlignment="1">
      <alignment horizontal="center"/>
    </xf>
    <xf numFmtId="187" fontId="6" fillId="0" borderId="33" xfId="1" applyFont="1" applyFill="1" applyBorder="1" applyAlignment="1" applyProtection="1">
      <alignment horizontal="center" vertical="center"/>
    </xf>
    <xf numFmtId="187" fontId="0" fillId="0" borderId="51" xfId="1" applyFont="1" applyFill="1" applyBorder="1"/>
    <xf numFmtId="187" fontId="0" fillId="0" borderId="32" xfId="1" applyFont="1" applyBorder="1"/>
    <xf numFmtId="187" fontId="0" fillId="0" borderId="31" xfId="1" applyFont="1" applyBorder="1"/>
    <xf numFmtId="187" fontId="0" fillId="0" borderId="33" xfId="1" applyFont="1" applyBorder="1"/>
    <xf numFmtId="187" fontId="0" fillId="0" borderId="52" xfId="1" applyFont="1" applyBorder="1"/>
    <xf numFmtId="187" fontId="0" fillId="0" borderId="51" xfId="1" applyFont="1" applyBorder="1"/>
    <xf numFmtId="187" fontId="0" fillId="0" borderId="54" xfId="1" applyFont="1" applyBorder="1"/>
    <xf numFmtId="3" fontId="6" fillId="0" borderId="20" xfId="2" applyNumberFormat="1" applyFont="1" applyFill="1" applyBorder="1" applyAlignment="1">
      <alignment horizontal="left" vertical="center"/>
    </xf>
    <xf numFmtId="3" fontId="6" fillId="0" borderId="21" xfId="2" applyNumberFormat="1" applyFont="1" applyFill="1" applyBorder="1" applyAlignment="1">
      <alignment horizontal="center" vertical="center"/>
    </xf>
    <xf numFmtId="187" fontId="6" fillId="0" borderId="56" xfId="1" applyFont="1" applyFill="1" applyBorder="1" applyAlignment="1">
      <alignment horizontal="center" vertical="center"/>
    </xf>
    <xf numFmtId="187" fontId="0" fillId="0" borderId="20" xfId="1" applyFont="1" applyBorder="1"/>
    <xf numFmtId="187" fontId="0" fillId="0" borderId="21" xfId="1" applyFont="1" applyBorder="1"/>
    <xf numFmtId="187" fontId="0" fillId="0" borderId="56" xfId="1" applyFont="1" applyBorder="1"/>
    <xf numFmtId="187" fontId="0" fillId="0" borderId="22" xfId="1" applyFont="1" applyBorder="1"/>
    <xf numFmtId="187" fontId="0" fillId="0" borderId="58" xfId="1" applyFont="1" applyBorder="1"/>
    <xf numFmtId="187" fontId="0" fillId="0" borderId="57" xfId="1" applyFont="1" applyBorder="1"/>
    <xf numFmtId="187" fontId="0" fillId="0" borderId="0" xfId="1" applyFont="1" applyBorder="1"/>
    <xf numFmtId="0" fontId="6" fillId="0" borderId="17" xfId="0" applyFont="1" applyBorder="1" applyAlignment="1">
      <alignment horizontal="left"/>
    </xf>
    <xf numFmtId="3" fontId="4" fillId="7" borderId="18" xfId="3" applyNumberFormat="1" applyFont="1" applyFill="1" applyBorder="1" applyAlignment="1" applyProtection="1">
      <alignment horizontal="center"/>
    </xf>
    <xf numFmtId="187" fontId="4" fillId="7" borderId="19" xfId="1" applyFont="1" applyFill="1" applyBorder="1" applyAlignment="1" applyProtection="1">
      <alignment horizontal="center"/>
    </xf>
    <xf numFmtId="187" fontId="0" fillId="0" borderId="47" xfId="1" applyFont="1" applyBorder="1"/>
    <xf numFmtId="187" fontId="0" fillId="0" borderId="30" xfId="1" applyFont="1" applyBorder="1"/>
    <xf numFmtId="187" fontId="0" fillId="0" borderId="29" xfId="1" applyFont="1" applyBorder="1"/>
    <xf numFmtId="0" fontId="6" fillId="0" borderId="11" xfId="0" applyFont="1" applyBorder="1" applyAlignment="1">
      <alignment horizontal="left"/>
    </xf>
    <xf numFmtId="3" fontId="4" fillId="7" borderId="12" xfId="3" applyNumberFormat="1" applyFont="1" applyFill="1" applyBorder="1" applyAlignment="1" applyProtection="1">
      <alignment horizontal="center"/>
    </xf>
    <xf numFmtId="187" fontId="4" fillId="7" borderId="13" xfId="1" applyFont="1" applyFill="1" applyBorder="1" applyAlignment="1" applyProtection="1">
      <alignment horizontal="center"/>
    </xf>
    <xf numFmtId="187" fontId="0" fillId="0" borderId="12" xfId="1" applyFont="1" applyFill="1" applyBorder="1"/>
    <xf numFmtId="0" fontId="6" fillId="0" borderId="32" xfId="0" applyFont="1" applyBorder="1" applyAlignment="1">
      <alignment horizontal="left"/>
    </xf>
    <xf numFmtId="3" fontId="4" fillId="7" borderId="31" xfId="3" applyNumberFormat="1" applyFont="1" applyFill="1" applyBorder="1" applyAlignment="1" applyProtection="1">
      <alignment horizontal="center"/>
    </xf>
    <xf numFmtId="187" fontId="4" fillId="7" borderId="33" xfId="1" applyFont="1" applyFill="1" applyBorder="1" applyAlignment="1" applyProtection="1">
      <alignment horizontal="center"/>
    </xf>
    <xf numFmtId="0" fontId="0" fillId="0" borderId="0" xfId="0" applyFill="1" applyBorder="1"/>
    <xf numFmtId="187" fontId="0" fillId="5" borderId="0" xfId="1" applyFont="1" applyFill="1" applyBorder="1"/>
    <xf numFmtId="187" fontId="0" fillId="5" borderId="65" xfId="1" applyFont="1" applyFill="1" applyBorder="1"/>
    <xf numFmtId="187" fontId="0" fillId="5" borderId="58" xfId="1" applyFont="1" applyFill="1" applyBorder="1"/>
    <xf numFmtId="187" fontId="0" fillId="5" borderId="11" xfId="1" applyFont="1" applyFill="1" applyBorder="1"/>
    <xf numFmtId="187" fontId="0" fillId="5" borderId="12" xfId="1" applyFont="1" applyFill="1" applyBorder="1"/>
    <xf numFmtId="187" fontId="0" fillId="5" borderId="48" xfId="1" applyFont="1" applyFill="1" applyBorder="1"/>
    <xf numFmtId="187" fontId="0" fillId="5" borderId="49" xfId="1" applyFont="1" applyFill="1" applyBorder="1"/>
    <xf numFmtId="187" fontId="0" fillId="5" borderId="50" xfId="1" applyFont="1" applyFill="1" applyBorder="1"/>
    <xf numFmtId="3" fontId="6" fillId="0" borderId="17" xfId="2" applyNumberFormat="1" applyFont="1" applyFill="1" applyBorder="1" applyAlignment="1">
      <alignment horizontal="left" vertical="center"/>
    </xf>
    <xf numFmtId="0" fontId="4" fillId="0" borderId="18" xfId="0" applyFont="1" applyBorder="1" applyAlignment="1">
      <alignment horizontal="center"/>
    </xf>
    <xf numFmtId="187" fontId="6" fillId="0" borderId="19" xfId="1" applyFont="1" applyFill="1" applyBorder="1" applyAlignment="1" applyProtection="1">
      <alignment horizontal="center" vertical="center"/>
    </xf>
    <xf numFmtId="0" fontId="8" fillId="6" borderId="4" xfId="0" applyFont="1" applyFill="1" applyBorder="1"/>
    <xf numFmtId="0" fontId="8" fillId="0" borderId="0" xfId="0" applyFont="1" applyFill="1" applyBorder="1"/>
    <xf numFmtId="187" fontId="0" fillId="5" borderId="34" xfId="1" applyFont="1" applyFill="1" applyBorder="1"/>
    <xf numFmtId="187" fontId="0" fillId="0" borderId="66" xfId="1" applyFont="1" applyBorder="1"/>
    <xf numFmtId="187" fontId="6" fillId="0" borderId="13" xfId="1" applyFont="1" applyFill="1" applyBorder="1" applyAlignment="1">
      <alignment horizontal="center" vertical="center"/>
    </xf>
    <xf numFmtId="3" fontId="6" fillId="0" borderId="31" xfId="2" applyNumberFormat="1" applyFont="1" applyFill="1" applyBorder="1" applyAlignment="1">
      <alignment horizontal="center" vertical="center"/>
    </xf>
    <xf numFmtId="187" fontId="6" fillId="0" borderId="33" xfId="1" applyFont="1" applyFill="1" applyBorder="1" applyAlignment="1">
      <alignment horizontal="center" vertical="center"/>
    </xf>
    <xf numFmtId="3" fontId="6" fillId="0" borderId="17" xfId="3" applyNumberFormat="1" applyFont="1" applyFill="1" applyBorder="1" applyAlignment="1" applyProtection="1">
      <alignment horizontal="left"/>
    </xf>
    <xf numFmtId="3" fontId="6" fillId="0" borderId="11" xfId="3" applyNumberFormat="1" applyFont="1" applyFill="1" applyBorder="1" applyAlignment="1" applyProtection="1">
      <alignment horizontal="left"/>
    </xf>
    <xf numFmtId="1" fontId="6" fillId="0" borderId="11" xfId="3" applyNumberFormat="1" applyFont="1" applyFill="1" applyBorder="1" applyAlignment="1" applyProtection="1">
      <alignment horizontal="left"/>
    </xf>
    <xf numFmtId="1" fontId="6" fillId="0" borderId="32" xfId="3" applyNumberFormat="1" applyFont="1" applyFill="1" applyBorder="1" applyAlignment="1" applyProtection="1">
      <alignment horizontal="left"/>
    </xf>
    <xf numFmtId="0" fontId="6" fillId="0" borderId="20" xfId="0" applyFont="1" applyBorder="1" applyAlignment="1">
      <alignment horizontal="left"/>
    </xf>
    <xf numFmtId="3" fontId="4" fillId="7" borderId="21" xfId="0" applyNumberFormat="1" applyFont="1" applyFill="1" applyBorder="1" applyAlignment="1">
      <alignment horizontal="center"/>
    </xf>
    <xf numFmtId="187" fontId="4" fillId="7" borderId="56" xfId="1" applyFont="1" applyFill="1" applyBorder="1" applyAlignment="1">
      <alignment horizontal="center"/>
    </xf>
    <xf numFmtId="187" fontId="0" fillId="0" borderId="11" xfId="1" applyFont="1" applyFill="1" applyBorder="1"/>
    <xf numFmtId="187" fontId="9" fillId="5" borderId="12" xfId="1" applyFont="1" applyFill="1" applyBorder="1"/>
    <xf numFmtId="187" fontId="0" fillId="0" borderId="48" xfId="1" applyFont="1" applyFill="1" applyBorder="1"/>
    <xf numFmtId="187" fontId="0" fillId="0" borderId="49" xfId="1" applyFont="1" applyFill="1" applyBorder="1"/>
    <xf numFmtId="187" fontId="0" fillId="0" borderId="50" xfId="1" applyFont="1" applyFill="1" applyBorder="1"/>
    <xf numFmtId="187" fontId="0" fillId="0" borderId="13" xfId="1" applyFont="1" applyFill="1" applyBorder="1"/>
    <xf numFmtId="0" fontId="0" fillId="0" borderId="0" xfId="0" applyFill="1"/>
    <xf numFmtId="187" fontId="0" fillId="0" borderId="32" xfId="1" applyFont="1" applyFill="1" applyBorder="1"/>
    <xf numFmtId="187" fontId="0" fillId="0" borderId="31" xfId="1" applyFont="1" applyFill="1" applyBorder="1"/>
    <xf numFmtId="187" fontId="0" fillId="0" borderId="33" xfId="1" applyFont="1" applyFill="1" applyBorder="1"/>
    <xf numFmtId="3" fontId="4" fillId="7" borderId="18" xfId="0" applyNumberFormat="1" applyFont="1" applyFill="1" applyBorder="1" applyAlignment="1">
      <alignment horizontal="center"/>
    </xf>
    <xf numFmtId="187" fontId="4" fillId="7" borderId="19" xfId="1" applyFont="1" applyFill="1" applyBorder="1" applyAlignment="1">
      <alignment horizontal="center"/>
    </xf>
    <xf numFmtId="3" fontId="4" fillId="7" borderId="12" xfId="0" applyNumberFormat="1" applyFont="1" applyFill="1" applyBorder="1" applyAlignment="1">
      <alignment horizontal="center"/>
    </xf>
    <xf numFmtId="187" fontId="4" fillId="7" borderId="13" xfId="1" applyFont="1" applyFill="1" applyBorder="1" applyAlignment="1">
      <alignment horizontal="center"/>
    </xf>
    <xf numFmtId="3" fontId="6" fillId="0" borderId="11" xfId="0" applyNumberFormat="1" applyFont="1" applyBorder="1" applyAlignment="1">
      <alignment horizontal="left"/>
    </xf>
    <xf numFmtId="3" fontId="4" fillId="7" borderId="31" xfId="0" applyNumberFormat="1" applyFont="1" applyFill="1" applyBorder="1" applyAlignment="1">
      <alignment horizontal="center"/>
    </xf>
    <xf numFmtId="187" fontId="4" fillId="7" borderId="33" xfId="1" applyFont="1" applyFill="1" applyBorder="1" applyAlignment="1">
      <alignment horizontal="center"/>
    </xf>
    <xf numFmtId="3" fontId="6" fillId="0" borderId="17" xfId="0" applyNumberFormat="1" applyFont="1" applyBorder="1" applyAlignment="1">
      <alignment horizontal="left"/>
    </xf>
    <xf numFmtId="187" fontId="0" fillId="0" borderId="61" xfId="1" applyFont="1" applyBorder="1"/>
    <xf numFmtId="187" fontId="0" fillId="0" borderId="17" xfId="1" applyFont="1" applyFill="1" applyBorder="1"/>
    <xf numFmtId="187" fontId="0" fillId="0" borderId="19" xfId="1" applyFont="1" applyFill="1" applyBorder="1"/>
    <xf numFmtId="187" fontId="0" fillId="0" borderId="46" xfId="1" applyFont="1" applyFill="1" applyBorder="1"/>
    <xf numFmtId="187" fontId="0" fillId="8" borderId="12" xfId="1" applyFont="1" applyFill="1" applyBorder="1"/>
    <xf numFmtId="187" fontId="0" fillId="0" borderId="52" xfId="1" applyFont="1" applyFill="1" applyBorder="1"/>
    <xf numFmtId="187" fontId="0" fillId="0" borderId="65" xfId="1" applyFont="1" applyBorder="1"/>
    <xf numFmtId="0" fontId="11" fillId="0" borderId="11" xfId="0" applyFont="1" applyBorder="1" applyAlignment="1">
      <alignment horizontal="left"/>
    </xf>
    <xf numFmtId="3" fontId="12" fillId="7" borderId="12" xfId="0" applyNumberFormat="1" applyFont="1" applyFill="1" applyBorder="1" applyAlignment="1">
      <alignment horizontal="center"/>
    </xf>
    <xf numFmtId="187" fontId="12" fillId="7" borderId="13" xfId="1" applyFont="1" applyFill="1" applyBorder="1" applyAlignment="1" applyProtection="1">
      <alignment horizontal="center"/>
    </xf>
    <xf numFmtId="3" fontId="12" fillId="7" borderId="31" xfId="0" applyNumberFormat="1" applyFont="1" applyFill="1" applyBorder="1" applyAlignment="1">
      <alignment horizontal="center"/>
    </xf>
    <xf numFmtId="187" fontId="12" fillId="7" borderId="33" xfId="1" applyFont="1" applyFill="1" applyBorder="1" applyAlignment="1" applyProtection="1">
      <alignment horizontal="center"/>
    </xf>
    <xf numFmtId="0" fontId="12" fillId="0" borderId="17" xfId="0" applyFont="1" applyFill="1" applyBorder="1" applyAlignment="1">
      <alignment horizontal="left"/>
    </xf>
    <xf numFmtId="0" fontId="12" fillId="0" borderId="18" xfId="0" applyFont="1" applyFill="1" applyBorder="1" applyAlignment="1">
      <alignment horizontal="center"/>
    </xf>
    <xf numFmtId="187" fontId="12" fillId="0" borderId="19" xfId="1" applyFont="1" applyFill="1" applyBorder="1" applyAlignment="1">
      <alignment horizontal="center"/>
    </xf>
    <xf numFmtId="0" fontId="12" fillId="0" borderId="12" xfId="0" applyFont="1" applyFill="1" applyBorder="1" applyAlignment="1">
      <alignment horizontal="center"/>
    </xf>
    <xf numFmtId="187" fontId="12" fillId="0" borderId="13" xfId="1" applyFont="1" applyFill="1" applyBorder="1" applyAlignment="1">
      <alignment horizontal="center"/>
    </xf>
    <xf numFmtId="0" fontId="12" fillId="0" borderId="31" xfId="0" applyFont="1" applyFill="1" applyBorder="1" applyAlignment="1">
      <alignment horizontal="center"/>
    </xf>
    <xf numFmtId="187" fontId="12" fillId="0" borderId="33" xfId="1" applyFont="1" applyFill="1" applyBorder="1" applyAlignment="1">
      <alignment horizontal="center"/>
    </xf>
    <xf numFmtId="0" fontId="12" fillId="0" borderId="17" xfId="0" applyFont="1" applyBorder="1" applyAlignment="1">
      <alignment horizontal="left"/>
    </xf>
    <xf numFmtId="0" fontId="12" fillId="0" borderId="18" xfId="0" applyFont="1" applyBorder="1" applyAlignment="1">
      <alignment horizontal="center"/>
    </xf>
    <xf numFmtId="187" fontId="12" fillId="0" borderId="19" xfId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187" fontId="12" fillId="0" borderId="13" xfId="1" applyFont="1" applyBorder="1" applyAlignment="1">
      <alignment horizontal="center"/>
    </xf>
    <xf numFmtId="0" fontId="12" fillId="0" borderId="31" xfId="0" applyFont="1" applyBorder="1" applyAlignment="1">
      <alignment horizontal="center"/>
    </xf>
    <xf numFmtId="187" fontId="12" fillId="0" borderId="33" xfId="1" applyFont="1" applyBorder="1" applyAlignment="1">
      <alignment horizontal="center"/>
    </xf>
    <xf numFmtId="0" fontId="12" fillId="0" borderId="20" xfId="0" applyFont="1" applyBorder="1" applyAlignment="1">
      <alignment horizontal="left"/>
    </xf>
    <xf numFmtId="0" fontId="12" fillId="0" borderId="21" xfId="0" applyFont="1" applyBorder="1" applyAlignment="1">
      <alignment horizontal="center"/>
    </xf>
    <xf numFmtId="187" fontId="12" fillId="0" borderId="56" xfId="1" applyFont="1" applyBorder="1" applyAlignment="1">
      <alignment horizontal="center"/>
    </xf>
    <xf numFmtId="0" fontId="12" fillId="0" borderId="17" xfId="0" applyFont="1" applyBorder="1" applyAlignment="1"/>
    <xf numFmtId="0" fontId="12" fillId="0" borderId="18" xfId="1" applyNumberFormat="1" applyFont="1" applyBorder="1" applyAlignment="1">
      <alignment horizontal="center"/>
    </xf>
    <xf numFmtId="0" fontId="12" fillId="0" borderId="11" xfId="0" applyFont="1" applyBorder="1" applyAlignment="1"/>
    <xf numFmtId="187" fontId="12" fillId="0" borderId="13" xfId="1" applyFont="1" applyBorder="1" applyAlignment="1"/>
    <xf numFmtId="0" fontId="12" fillId="0" borderId="32" xfId="0" applyFont="1" applyBorder="1" applyAlignment="1"/>
    <xf numFmtId="187" fontId="12" fillId="0" borderId="33" xfId="1" applyFont="1" applyBorder="1" applyAlignment="1"/>
    <xf numFmtId="0" fontId="12" fillId="0" borderId="17" xfId="0" applyFont="1" applyBorder="1" applyAlignment="1">
      <alignment horizontal="left" vertical="center"/>
    </xf>
    <xf numFmtId="0" fontId="12" fillId="0" borderId="18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187" fontId="0" fillId="0" borderId="66" xfId="1" applyFont="1" applyFill="1" applyBorder="1"/>
    <xf numFmtId="0" fontId="12" fillId="0" borderId="35" xfId="0" applyFont="1" applyBorder="1" applyAlignment="1">
      <alignment horizontal="left"/>
    </xf>
    <xf numFmtId="0" fontId="12" fillId="0" borderId="36" xfId="0" applyFont="1" applyBorder="1" applyAlignment="1">
      <alignment horizontal="center"/>
    </xf>
    <xf numFmtId="187" fontId="12" fillId="0" borderId="37" xfId="1" applyFont="1" applyBorder="1" applyAlignment="1">
      <alignment horizontal="center"/>
    </xf>
    <xf numFmtId="187" fontId="0" fillId="0" borderId="38" xfId="1" applyFont="1" applyBorder="1"/>
    <xf numFmtId="187" fontId="0" fillId="0" borderId="36" xfId="1" applyFont="1" applyBorder="1"/>
    <xf numFmtId="187" fontId="0" fillId="0" borderId="35" xfId="1" applyFont="1" applyBorder="1"/>
    <xf numFmtId="187" fontId="0" fillId="0" borderId="37" xfId="1" applyFont="1" applyBorder="1"/>
    <xf numFmtId="187" fontId="0" fillId="0" borderId="67" xfId="1" applyFont="1" applyBorder="1"/>
    <xf numFmtId="187" fontId="0" fillId="0" borderId="63" xfId="1" applyFont="1" applyBorder="1"/>
    <xf numFmtId="187" fontId="0" fillId="0" borderId="0" xfId="1" applyFont="1"/>
    <xf numFmtId="187" fontId="0" fillId="5" borderId="13" xfId="1" applyFont="1" applyFill="1" applyBorder="1"/>
    <xf numFmtId="0" fontId="0" fillId="0" borderId="29" xfId="0" applyBorder="1"/>
    <xf numFmtId="187" fontId="0" fillId="0" borderId="2" xfId="1" applyFont="1" applyBorder="1"/>
    <xf numFmtId="187" fontId="0" fillId="0" borderId="3" xfId="1" applyFont="1" applyBorder="1"/>
    <xf numFmtId="187" fontId="2" fillId="6" borderId="5" xfId="0" applyNumberFormat="1" applyFont="1" applyFill="1" applyBorder="1" applyAlignment="1"/>
    <xf numFmtId="0" fontId="4" fillId="6" borderId="10" xfId="0" applyFont="1" applyFill="1" applyBorder="1" applyAlignment="1"/>
    <xf numFmtId="187" fontId="4" fillId="6" borderId="59" xfId="0" applyNumberFormat="1" applyFont="1" applyFill="1" applyBorder="1" applyAlignment="1"/>
    <xf numFmtId="187" fontId="2" fillId="6" borderId="25" xfId="0" applyNumberFormat="1" applyFont="1" applyFill="1" applyBorder="1" applyAlignment="1"/>
    <xf numFmtId="187" fontId="2" fillId="6" borderId="24" xfId="0" applyNumberFormat="1" applyFont="1" applyFill="1" applyBorder="1" applyAlignment="1"/>
    <xf numFmtId="187" fontId="0" fillId="6" borderId="2" xfId="1" applyFont="1" applyFill="1" applyBorder="1"/>
    <xf numFmtId="187" fontId="0" fillId="6" borderId="23" xfId="1" applyFont="1" applyFill="1" applyBorder="1"/>
    <xf numFmtId="187" fontId="0" fillId="6" borderId="24" xfId="1" applyFont="1" applyFill="1" applyBorder="1"/>
    <xf numFmtId="187" fontId="0" fillId="6" borderId="3" xfId="1" applyFont="1" applyFill="1" applyBorder="1"/>
    <xf numFmtId="0" fontId="4" fillId="6" borderId="6" xfId="0" applyFont="1" applyFill="1" applyBorder="1" applyAlignment="1"/>
    <xf numFmtId="43" fontId="4" fillId="6" borderId="5" xfId="0" applyNumberFormat="1" applyFont="1" applyFill="1" applyBorder="1" applyAlignment="1"/>
    <xf numFmtId="43" fontId="4" fillId="6" borderId="6" xfId="0" applyNumberFormat="1" applyFont="1" applyFill="1" applyBorder="1" applyAlignment="1"/>
    <xf numFmtId="0" fontId="4" fillId="6" borderId="7" xfId="0" applyFont="1" applyFill="1" applyBorder="1" applyAlignment="1"/>
    <xf numFmtId="187" fontId="0" fillId="0" borderId="28" xfId="1" applyFont="1" applyBorder="1"/>
    <xf numFmtId="187" fontId="0" fillId="5" borderId="61" xfId="1" applyFont="1" applyFill="1" applyBorder="1"/>
    <xf numFmtId="187" fontId="0" fillId="0" borderId="61" xfId="1" applyFont="1" applyFill="1" applyBorder="1"/>
    <xf numFmtId="187" fontId="0" fillId="0" borderId="60" xfId="1" applyFont="1" applyBorder="1"/>
    <xf numFmtId="187" fontId="0" fillId="0" borderId="62" xfId="1" applyFont="1" applyBorder="1"/>
    <xf numFmtId="187" fontId="0" fillId="0" borderId="1" xfId="1" applyFont="1" applyBorder="1"/>
    <xf numFmtId="187" fontId="0" fillId="0" borderId="42" xfId="1" applyFont="1" applyBorder="1"/>
    <xf numFmtId="187" fontId="4" fillId="6" borderId="6" xfId="0" applyNumberFormat="1" applyFont="1" applyFill="1" applyBorder="1" applyAlignment="1"/>
    <xf numFmtId="0" fontId="0" fillId="0" borderId="0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3" borderId="4" xfId="0" applyFill="1" applyBorder="1" applyAlignment="1">
      <alignment vertical="center"/>
    </xf>
    <xf numFmtId="187" fontId="0" fillId="0" borderId="53" xfId="1" applyFont="1" applyBorder="1"/>
    <xf numFmtId="187" fontId="0" fillId="0" borderId="69" xfId="1" applyFont="1" applyBorder="1"/>
    <xf numFmtId="187" fontId="0" fillId="0" borderId="71" xfId="1" applyFont="1" applyBorder="1"/>
    <xf numFmtId="3" fontId="6" fillId="7" borderId="17" xfId="2" applyNumberFormat="1" applyFont="1" applyFill="1" applyBorder="1" applyAlignment="1">
      <alignment horizontal="left" vertical="center"/>
    </xf>
    <xf numFmtId="3" fontId="6" fillId="0" borderId="20" xfId="0" applyNumberFormat="1" applyFont="1" applyBorder="1" applyAlignment="1">
      <alignment horizontal="left"/>
    </xf>
    <xf numFmtId="187" fontId="0" fillId="0" borderId="21" xfId="1" applyFont="1" applyFill="1" applyBorder="1"/>
    <xf numFmtId="187" fontId="0" fillId="0" borderId="26" xfId="1" applyFont="1" applyBorder="1"/>
    <xf numFmtId="187" fontId="2" fillId="6" borderId="3" xfId="0" applyNumberFormat="1" applyFont="1" applyFill="1" applyBorder="1" applyAlignment="1"/>
    <xf numFmtId="187" fontId="0" fillId="0" borderId="40" xfId="1" applyFont="1" applyBorder="1"/>
    <xf numFmtId="0" fontId="0" fillId="0" borderId="12" xfId="1" applyNumberFormat="1" applyFont="1" applyFill="1" applyBorder="1"/>
    <xf numFmtId="0" fontId="6" fillId="7" borderId="17" xfId="0" applyFont="1" applyFill="1" applyBorder="1" applyAlignment="1">
      <alignment horizontal="left"/>
    </xf>
    <xf numFmtId="187" fontId="0" fillId="7" borderId="47" xfId="1" applyFont="1" applyFill="1" applyBorder="1"/>
    <xf numFmtId="187" fontId="0" fillId="7" borderId="18" xfId="1" applyFont="1" applyFill="1" applyBorder="1"/>
    <xf numFmtId="187" fontId="0" fillId="7" borderId="17" xfId="1" applyFont="1" applyFill="1" applyBorder="1"/>
    <xf numFmtId="187" fontId="0" fillId="7" borderId="19" xfId="1" applyFont="1" applyFill="1" applyBorder="1"/>
    <xf numFmtId="187" fontId="0" fillId="7" borderId="46" xfId="1" applyFont="1" applyFill="1" applyBorder="1"/>
    <xf numFmtId="187" fontId="0" fillId="7" borderId="11" xfId="1" applyFont="1" applyFill="1" applyBorder="1"/>
    <xf numFmtId="187" fontId="0" fillId="7" borderId="34" xfId="1" applyFont="1" applyFill="1" applyBorder="1"/>
    <xf numFmtId="187" fontId="0" fillId="7" borderId="61" xfId="1" applyFont="1" applyFill="1" applyBorder="1"/>
    <xf numFmtId="187" fontId="0" fillId="7" borderId="12" xfId="1" applyFont="1" applyFill="1" applyBorder="1"/>
    <xf numFmtId="187" fontId="0" fillId="7" borderId="50" xfId="1" applyFont="1" applyFill="1" applyBorder="1"/>
    <xf numFmtId="187" fontId="0" fillId="7" borderId="48" xfId="1" applyFont="1" applyFill="1" applyBorder="1"/>
    <xf numFmtId="187" fontId="0" fillId="7" borderId="13" xfId="1" applyFont="1" applyFill="1" applyBorder="1"/>
    <xf numFmtId="187" fontId="0" fillId="7" borderId="49" xfId="1" applyFont="1" applyFill="1" applyBorder="1"/>
    <xf numFmtId="0" fontId="0" fillId="7" borderId="0" xfId="0" applyFill="1" applyBorder="1"/>
    <xf numFmtId="0" fontId="0" fillId="7" borderId="0" xfId="0" applyFill="1"/>
    <xf numFmtId="0" fontId="0" fillId="7" borderId="12" xfId="1" applyNumberFormat="1" applyFont="1" applyFill="1" applyBorder="1"/>
    <xf numFmtId="0" fontId="0" fillId="0" borderId="12" xfId="1" applyNumberFormat="1" applyFont="1" applyBorder="1"/>
    <xf numFmtId="187" fontId="0" fillId="0" borderId="64" xfId="1" applyFont="1" applyBorder="1"/>
    <xf numFmtId="187" fontId="23" fillId="7" borderId="11" xfId="1" applyFont="1" applyFill="1" applyBorder="1"/>
    <xf numFmtId="0" fontId="24" fillId="7" borderId="65" xfId="0" applyFont="1" applyFill="1" applyBorder="1" applyAlignment="1">
      <alignment vertical="center"/>
    </xf>
    <xf numFmtId="0" fontId="24" fillId="7" borderId="0" xfId="0" applyFont="1" applyFill="1" applyBorder="1" applyAlignment="1">
      <alignment vertical="center"/>
    </xf>
    <xf numFmtId="0" fontId="24" fillId="7" borderId="9" xfId="0" applyFont="1" applyFill="1" applyBorder="1" applyAlignment="1">
      <alignment vertical="center"/>
    </xf>
    <xf numFmtId="0" fontId="24" fillId="7" borderId="58" xfId="0" applyFont="1" applyFill="1" applyBorder="1" applyAlignment="1">
      <alignment vertical="center"/>
    </xf>
    <xf numFmtId="0" fontId="24" fillId="7" borderId="9" xfId="0" applyFont="1" applyFill="1" applyBorder="1" applyAlignment="1">
      <alignment horizontal="left" vertical="center"/>
    </xf>
    <xf numFmtId="187" fontId="12" fillId="0" borderId="0" xfId="1" applyFont="1"/>
    <xf numFmtId="0" fontId="12" fillId="0" borderId="0" xfId="0" applyFont="1"/>
    <xf numFmtId="0" fontId="12" fillId="0" borderId="0" xfId="0" applyFont="1" applyAlignment="1">
      <alignment horizontal="center"/>
    </xf>
    <xf numFmtId="0" fontId="13" fillId="2" borderId="31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center" vertical="center" wrapText="1"/>
    </xf>
    <xf numFmtId="9" fontId="12" fillId="0" borderId="0" xfId="0" applyNumberFormat="1" applyFont="1"/>
    <xf numFmtId="3" fontId="12" fillId="7" borderId="12" xfId="3" applyNumberFormat="1" applyFont="1" applyFill="1" applyBorder="1" applyAlignment="1" applyProtection="1">
      <alignment horizontal="center"/>
    </xf>
    <xf numFmtId="187" fontId="12" fillId="7" borderId="12" xfId="1" applyFont="1" applyFill="1" applyBorder="1" applyAlignment="1" applyProtection="1">
      <alignment horizontal="center"/>
    </xf>
    <xf numFmtId="43" fontId="12" fillId="0" borderId="0" xfId="0" applyNumberFormat="1" applyFont="1"/>
    <xf numFmtId="3" fontId="12" fillId="7" borderId="18" xfId="3" applyNumberFormat="1" applyFont="1" applyFill="1" applyBorder="1" applyAlignment="1" applyProtection="1">
      <alignment horizontal="center"/>
    </xf>
    <xf numFmtId="187" fontId="12" fillId="7" borderId="18" xfId="1" applyFont="1" applyFill="1" applyBorder="1" applyAlignment="1" applyProtection="1">
      <alignment horizontal="center"/>
    </xf>
    <xf numFmtId="0" fontId="12" fillId="0" borderId="0" xfId="0" applyFont="1" applyBorder="1"/>
    <xf numFmtId="3" fontId="11" fillId="0" borderId="12" xfId="2" applyNumberFormat="1" applyFont="1" applyFill="1" applyBorder="1" applyAlignment="1">
      <alignment horizontal="center" vertical="center"/>
    </xf>
    <xf numFmtId="0" fontId="13" fillId="0" borderId="0" xfId="0" applyFont="1"/>
    <xf numFmtId="3" fontId="12" fillId="7" borderId="21" xfId="0" applyNumberFormat="1" applyFont="1" applyFill="1" applyBorder="1" applyAlignment="1">
      <alignment horizontal="center"/>
    </xf>
    <xf numFmtId="187" fontId="12" fillId="7" borderId="21" xfId="1" applyFont="1" applyFill="1" applyBorder="1" applyAlignment="1" applyProtection="1">
      <alignment horizontal="center"/>
    </xf>
    <xf numFmtId="3" fontId="11" fillId="0" borderId="18" xfId="2" applyNumberFormat="1" applyFont="1" applyFill="1" applyBorder="1" applyAlignment="1">
      <alignment horizontal="center" vertical="center"/>
    </xf>
    <xf numFmtId="187" fontId="12" fillId="7" borderId="31" xfId="1" applyFont="1" applyFill="1" applyBorder="1" applyAlignment="1" applyProtection="1">
      <alignment horizontal="center"/>
    </xf>
    <xf numFmtId="0" fontId="13" fillId="2" borderId="12" xfId="0" applyFont="1" applyFill="1" applyBorder="1" applyAlignment="1">
      <alignment horizontal="center" vertical="center" wrapText="1"/>
    </xf>
    <xf numFmtId="0" fontId="0" fillId="7" borderId="0" xfId="0" applyFill="1" applyBorder="1" applyAlignment="1">
      <alignment vertical="center"/>
    </xf>
    <xf numFmtId="0" fontId="3" fillId="7" borderId="0" xfId="0" applyFont="1" applyFill="1" applyBorder="1" applyAlignment="1">
      <alignment vertical="center"/>
    </xf>
    <xf numFmtId="0" fontId="3" fillId="7" borderId="58" xfId="0" applyFont="1" applyFill="1" applyBorder="1" applyAlignment="1">
      <alignment vertical="center"/>
    </xf>
    <xf numFmtId="0" fontId="4" fillId="0" borderId="0" xfId="0" applyFont="1"/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 vertical="center"/>
    </xf>
    <xf numFmtId="187" fontId="13" fillId="0" borderId="6" xfId="1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4" fillId="0" borderId="0" xfId="0" applyFont="1" applyFill="1" applyBorder="1" applyAlignment="1">
      <alignment vertical="center"/>
    </xf>
    <xf numFmtId="0" fontId="30" fillId="0" borderId="69" xfId="0" applyFont="1" applyBorder="1" applyAlignment="1"/>
    <xf numFmtId="0" fontId="12" fillId="0" borderId="18" xfId="0" applyFont="1" applyBorder="1" applyAlignment="1">
      <alignment horizontal="left"/>
    </xf>
    <xf numFmtId="187" fontId="11" fillId="0" borderId="18" xfId="1" applyFont="1" applyFill="1" applyBorder="1" applyAlignment="1">
      <alignment horizontal="center" vertical="center"/>
    </xf>
    <xf numFmtId="0" fontId="30" fillId="0" borderId="20" xfId="0" applyFont="1" applyBorder="1" applyAlignment="1"/>
    <xf numFmtId="3" fontId="11" fillId="0" borderId="12" xfId="2" applyNumberFormat="1" applyFont="1" applyFill="1" applyBorder="1" applyAlignment="1">
      <alignment horizontal="left" vertical="center"/>
    </xf>
    <xf numFmtId="187" fontId="11" fillId="0" borderId="12" xfId="1" applyFont="1" applyFill="1" applyBorder="1" applyAlignment="1" applyProtection="1">
      <alignment horizontal="center" vertical="center"/>
    </xf>
    <xf numFmtId="0" fontId="11" fillId="0" borderId="12" xfId="2" applyFont="1" applyFill="1" applyBorder="1" applyAlignment="1">
      <alignment horizontal="center"/>
    </xf>
    <xf numFmtId="0" fontId="12" fillId="0" borderId="12" xfId="0" applyFont="1" applyBorder="1" applyAlignment="1">
      <alignment horizontal="left"/>
    </xf>
    <xf numFmtId="0" fontId="12" fillId="0" borderId="31" xfId="0" applyFont="1" applyBorder="1" applyAlignment="1">
      <alignment horizontal="left"/>
    </xf>
    <xf numFmtId="187" fontId="11" fillId="0" borderId="31" xfId="1" applyFont="1" applyFill="1" applyBorder="1" applyAlignment="1" applyProtection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12" fillId="0" borderId="57" xfId="0" applyFont="1" applyBorder="1"/>
    <xf numFmtId="0" fontId="13" fillId="0" borderId="21" xfId="0" applyFont="1" applyBorder="1"/>
    <xf numFmtId="3" fontId="11" fillId="0" borderId="21" xfId="2" applyNumberFormat="1" applyFont="1" applyFill="1" applyBorder="1" applyAlignment="1">
      <alignment horizontal="left" vertical="center"/>
    </xf>
    <xf numFmtId="3" fontId="11" fillId="0" borderId="21" xfId="2" applyNumberFormat="1" applyFont="1" applyFill="1" applyBorder="1" applyAlignment="1">
      <alignment horizontal="center" vertical="center"/>
    </xf>
    <xf numFmtId="187" fontId="11" fillId="0" borderId="21" xfId="1" applyFont="1" applyFill="1" applyBorder="1" applyAlignment="1">
      <alignment horizontal="center" vertical="center"/>
    </xf>
    <xf numFmtId="3" fontId="13" fillId="4" borderId="12" xfId="0" applyNumberFormat="1" applyFont="1" applyFill="1" applyBorder="1" applyAlignment="1">
      <alignment horizontal="center"/>
    </xf>
    <xf numFmtId="187" fontId="13" fillId="4" borderId="12" xfId="1" applyFont="1" applyFill="1" applyBorder="1" applyAlignment="1">
      <alignment horizontal="center"/>
    </xf>
    <xf numFmtId="0" fontId="12" fillId="4" borderId="12" xfId="0" applyFont="1" applyFill="1" applyBorder="1" applyAlignment="1">
      <alignment horizontal="center"/>
    </xf>
    <xf numFmtId="0" fontId="30" fillId="0" borderId="65" xfId="0" applyFont="1" applyBorder="1" applyAlignment="1"/>
    <xf numFmtId="0" fontId="13" fillId="0" borderId="21" xfId="0" applyFont="1" applyBorder="1" applyAlignment="1"/>
    <xf numFmtId="0" fontId="11" fillId="0" borderId="18" xfId="0" applyFont="1" applyBorder="1" applyAlignment="1">
      <alignment horizontal="left"/>
    </xf>
    <xf numFmtId="0" fontId="31" fillId="0" borderId="18" xfId="0" applyFont="1" applyBorder="1" applyAlignment="1">
      <alignment horizontal="center"/>
    </xf>
    <xf numFmtId="0" fontId="12" fillId="0" borderId="57" xfId="0" applyFont="1" applyBorder="1" applyAlignment="1"/>
    <xf numFmtId="0" fontId="11" fillId="0" borderId="12" xfId="0" applyFont="1" applyBorder="1" applyAlignment="1">
      <alignment horizontal="left"/>
    </xf>
    <xf numFmtId="0" fontId="11" fillId="0" borderId="31" xfId="0" applyFont="1" applyBorder="1" applyAlignment="1">
      <alignment horizontal="left"/>
    </xf>
    <xf numFmtId="3" fontId="12" fillId="7" borderId="31" xfId="3" applyNumberFormat="1" applyFont="1" applyFill="1" applyBorder="1" applyAlignment="1" applyProtection="1">
      <alignment horizontal="center"/>
    </xf>
    <xf numFmtId="0" fontId="13" fillId="4" borderId="12" xfId="0" applyFont="1" applyFill="1" applyBorder="1" applyAlignment="1">
      <alignment horizontal="center"/>
    </xf>
    <xf numFmtId="0" fontId="13" fillId="6" borderId="12" xfId="0" applyFont="1" applyFill="1" applyBorder="1" applyAlignment="1">
      <alignment horizontal="center"/>
    </xf>
    <xf numFmtId="0" fontId="13" fillId="0" borderId="73" xfId="0" applyFont="1" applyBorder="1" applyAlignment="1">
      <alignment horizontal="center" vertical="top"/>
    </xf>
    <xf numFmtId="0" fontId="13" fillId="0" borderId="74" xfId="0" applyFont="1" applyBorder="1" applyAlignment="1">
      <alignment vertical="top"/>
    </xf>
    <xf numFmtId="0" fontId="13" fillId="0" borderId="57" xfId="0" applyFont="1" applyBorder="1" applyAlignment="1"/>
    <xf numFmtId="3" fontId="11" fillId="0" borderId="18" xfId="2" applyNumberFormat="1" applyFont="1" applyFill="1" applyBorder="1" applyAlignment="1">
      <alignment horizontal="left" vertical="center"/>
    </xf>
    <xf numFmtId="187" fontId="11" fillId="0" borderId="18" xfId="1" applyFont="1" applyFill="1" applyBorder="1" applyAlignment="1" applyProtection="1">
      <alignment horizontal="center" vertical="center"/>
    </xf>
    <xf numFmtId="187" fontId="11" fillId="0" borderId="12" xfId="1" applyFont="1" applyFill="1" applyBorder="1" applyAlignment="1">
      <alignment horizontal="center" vertical="center"/>
    </xf>
    <xf numFmtId="3" fontId="11" fillId="0" borderId="31" xfId="2" applyNumberFormat="1" applyFont="1" applyFill="1" applyBorder="1" applyAlignment="1">
      <alignment horizontal="left" vertical="center"/>
    </xf>
    <xf numFmtId="3" fontId="11" fillId="0" borderId="31" xfId="2" applyNumberFormat="1" applyFont="1" applyFill="1" applyBorder="1" applyAlignment="1">
      <alignment horizontal="center" vertical="center"/>
    </xf>
    <xf numFmtId="187" fontId="11" fillId="0" borderId="31" xfId="1" applyFont="1" applyFill="1" applyBorder="1" applyAlignment="1">
      <alignment horizontal="center" vertical="center"/>
    </xf>
    <xf numFmtId="189" fontId="11" fillId="0" borderId="18" xfId="2" applyNumberFormat="1" applyFont="1" applyFill="1" applyBorder="1" applyAlignment="1">
      <alignment horizontal="center" vertical="center"/>
    </xf>
    <xf numFmtId="0" fontId="30" fillId="0" borderId="57" xfId="0" applyFont="1" applyBorder="1"/>
    <xf numFmtId="0" fontId="11" fillId="0" borderId="21" xfId="0" applyFont="1" applyBorder="1" applyAlignment="1">
      <alignment horizontal="left"/>
    </xf>
    <xf numFmtId="187" fontId="12" fillId="7" borderId="21" xfId="1" applyFont="1" applyFill="1" applyBorder="1" applyAlignment="1">
      <alignment horizontal="center"/>
    </xf>
    <xf numFmtId="1" fontId="11" fillId="0" borderId="18" xfId="3" applyNumberFormat="1" applyFont="1" applyFill="1" applyBorder="1" applyAlignment="1" applyProtection="1">
      <alignment horizontal="left"/>
    </xf>
    <xf numFmtId="1" fontId="11" fillId="0" borderId="31" xfId="3" applyNumberFormat="1" applyFont="1" applyFill="1" applyBorder="1" applyAlignment="1" applyProtection="1">
      <alignment horizontal="left"/>
    </xf>
    <xf numFmtId="187" fontId="13" fillId="6" borderId="12" xfId="1" applyFont="1" applyFill="1" applyBorder="1" applyAlignment="1">
      <alignment horizontal="center"/>
    </xf>
    <xf numFmtId="0" fontId="30" fillId="0" borderId="57" xfId="0" applyFont="1" applyBorder="1" applyAlignment="1"/>
    <xf numFmtId="0" fontId="11" fillId="7" borderId="12" xfId="0" applyFont="1" applyFill="1" applyBorder="1" applyAlignment="1">
      <alignment horizontal="left"/>
    </xf>
    <xf numFmtId="3" fontId="11" fillId="0" borderId="12" xfId="0" applyNumberFormat="1" applyFont="1" applyBorder="1" applyAlignment="1">
      <alignment horizontal="left"/>
    </xf>
    <xf numFmtId="187" fontId="12" fillId="0" borderId="12" xfId="1" applyFont="1" applyBorder="1" applyAlignment="1">
      <alignment horizontal="center"/>
    </xf>
    <xf numFmtId="0" fontId="13" fillId="4" borderId="10" xfId="0" applyFont="1" applyFill="1" applyBorder="1" applyAlignment="1">
      <alignment horizontal="center"/>
    </xf>
    <xf numFmtId="0" fontId="12" fillId="0" borderId="21" xfId="0" applyFont="1" applyFill="1" applyBorder="1" applyAlignment="1">
      <alignment horizontal="center"/>
    </xf>
    <xf numFmtId="187" fontId="12" fillId="0" borderId="18" xfId="1" applyFont="1" applyBorder="1" applyAlignment="1">
      <alignment horizontal="center"/>
    </xf>
    <xf numFmtId="187" fontId="12" fillId="0" borderId="31" xfId="1" applyFont="1" applyBorder="1" applyAlignment="1">
      <alignment horizontal="center"/>
    </xf>
    <xf numFmtId="0" fontId="12" fillId="0" borderId="21" xfId="0" applyFont="1" applyBorder="1" applyAlignment="1">
      <alignment horizontal="left"/>
    </xf>
    <xf numFmtId="187" fontId="12" fillId="0" borderId="21" xfId="1" applyFont="1" applyBorder="1" applyAlignment="1">
      <alignment horizontal="center"/>
    </xf>
    <xf numFmtId="187" fontId="12" fillId="0" borderId="12" xfId="1" applyFont="1" applyBorder="1" applyAlignment="1"/>
    <xf numFmtId="0" fontId="12" fillId="0" borderId="12" xfId="1" applyNumberFormat="1" applyFont="1" applyBorder="1" applyAlignment="1">
      <alignment horizontal="center"/>
    </xf>
    <xf numFmtId="187" fontId="12" fillId="0" borderId="31" xfId="1" applyFont="1" applyBorder="1" applyAlignment="1"/>
    <xf numFmtId="0" fontId="12" fillId="0" borderId="31" xfId="1" applyNumberFormat="1" applyFont="1" applyBorder="1" applyAlignment="1">
      <alignment horizontal="center"/>
    </xf>
    <xf numFmtId="187" fontId="12" fillId="0" borderId="18" xfId="1" applyFont="1" applyBorder="1" applyAlignment="1"/>
    <xf numFmtId="187" fontId="13" fillId="4" borderId="6" xfId="1" applyFont="1" applyFill="1" applyBorder="1" applyAlignment="1">
      <alignment horizontal="center"/>
    </xf>
    <xf numFmtId="0" fontId="30" fillId="4" borderId="10" xfId="0" applyFont="1" applyFill="1" applyBorder="1" applyAlignment="1"/>
    <xf numFmtId="0" fontId="32" fillId="0" borderId="0" xfId="0" applyFont="1" applyBorder="1" applyAlignment="1"/>
    <xf numFmtId="0" fontId="13" fillId="0" borderId="21" xfId="0" applyFont="1" applyBorder="1" applyAlignment="1">
      <alignment horizontal="center"/>
    </xf>
    <xf numFmtId="0" fontId="13" fillId="0" borderId="20" xfId="0" applyFont="1" applyBorder="1" applyAlignment="1"/>
    <xf numFmtId="0" fontId="13" fillId="4" borderId="44" xfId="0" applyFont="1" applyFill="1" applyBorder="1" applyAlignment="1">
      <alignment horizontal="center"/>
    </xf>
    <xf numFmtId="187" fontId="13" fillId="4" borderId="18" xfId="1" applyFont="1" applyFill="1" applyBorder="1" applyAlignment="1">
      <alignment horizontal="center"/>
    </xf>
    <xf numFmtId="0" fontId="12" fillId="4" borderId="18" xfId="0" applyFont="1" applyFill="1" applyBorder="1" applyAlignment="1">
      <alignment horizontal="center"/>
    </xf>
    <xf numFmtId="0" fontId="13" fillId="6" borderId="59" xfId="0" applyFont="1" applyFill="1" applyBorder="1" applyAlignment="1">
      <alignment horizontal="center" vertical="top"/>
    </xf>
    <xf numFmtId="0" fontId="2" fillId="2" borderId="59" xfId="0" applyFont="1" applyFill="1" applyBorder="1" applyAlignment="1">
      <alignment horizontal="center"/>
    </xf>
    <xf numFmtId="3" fontId="2" fillId="2" borderId="6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187" fontId="4" fillId="0" borderId="0" xfId="1" applyFont="1" applyAlignment="1">
      <alignment horizontal="center"/>
    </xf>
    <xf numFmtId="0" fontId="4" fillId="0" borderId="0" xfId="0" applyFont="1" applyFill="1"/>
    <xf numFmtId="0" fontId="4" fillId="0" borderId="0" xfId="0" applyFont="1" applyBorder="1"/>
    <xf numFmtId="0" fontId="2" fillId="0" borderId="0" xfId="0" applyFont="1"/>
    <xf numFmtId="0" fontId="33" fillId="0" borderId="14" xfId="0" applyFont="1" applyBorder="1" applyAlignment="1">
      <alignment horizontal="left"/>
    </xf>
    <xf numFmtId="187" fontId="33" fillId="0" borderId="16" xfId="1" applyFont="1" applyBorder="1" applyAlignment="1">
      <alignment horizontal="center"/>
    </xf>
    <xf numFmtId="187" fontId="2" fillId="0" borderId="0" xfId="1" applyFont="1" applyFill="1" applyAlignment="1">
      <alignment horizontal="center"/>
    </xf>
    <xf numFmtId="0" fontId="33" fillId="0" borderId="65" xfId="0" applyFont="1" applyBorder="1" applyAlignment="1">
      <alignment horizontal="left"/>
    </xf>
    <xf numFmtId="187" fontId="33" fillId="0" borderId="58" xfId="1" applyFont="1" applyBorder="1" applyAlignment="1">
      <alignment horizontal="center"/>
    </xf>
    <xf numFmtId="187" fontId="4" fillId="0" borderId="0" xfId="0" applyNumberFormat="1" applyFont="1" applyAlignment="1">
      <alignment horizontal="center"/>
    </xf>
    <xf numFmtId="43" fontId="33" fillId="0" borderId="58" xfId="0" applyNumberFormat="1" applyFont="1" applyFill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3" fillId="0" borderId="43" xfId="0" applyFont="1" applyBorder="1" applyAlignment="1">
      <alignment horizontal="left"/>
    </xf>
    <xf numFmtId="187" fontId="33" fillId="0" borderId="45" xfId="0" applyNumberFormat="1" applyFont="1" applyFill="1" applyBorder="1" applyAlignment="1">
      <alignment horizontal="center"/>
    </xf>
    <xf numFmtId="0" fontId="4" fillId="0" borderId="22" xfId="0" applyFont="1" applyBorder="1"/>
    <xf numFmtId="0" fontId="11" fillId="0" borderId="36" xfId="0" applyFont="1" applyBorder="1" applyAlignment="1">
      <alignment horizontal="left"/>
    </xf>
    <xf numFmtId="3" fontId="12" fillId="7" borderId="36" xfId="0" applyNumberFormat="1" applyFont="1" applyFill="1" applyBorder="1" applyAlignment="1">
      <alignment horizontal="center"/>
    </xf>
    <xf numFmtId="187" fontId="12" fillId="7" borderId="36" xfId="1" applyFont="1" applyFill="1" applyBorder="1" applyAlignment="1">
      <alignment horizontal="center"/>
    </xf>
    <xf numFmtId="0" fontId="12" fillId="0" borderId="57" xfId="0" applyFont="1" applyBorder="1" applyAlignment="1">
      <alignment horizontal="center"/>
    </xf>
    <xf numFmtId="3" fontId="11" fillId="0" borderId="40" xfId="0" applyNumberFormat="1" applyFont="1" applyBorder="1" applyAlignment="1">
      <alignment horizontal="left"/>
    </xf>
    <xf numFmtId="3" fontId="13" fillId="8" borderId="6" xfId="0" applyNumberFormat="1" applyFont="1" applyFill="1" applyBorder="1" applyAlignment="1">
      <alignment horizontal="center"/>
    </xf>
    <xf numFmtId="187" fontId="13" fillId="8" borderId="6" xfId="1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0" borderId="11" xfId="0" applyFont="1" applyBorder="1" applyAlignment="1"/>
    <xf numFmtId="0" fontId="13" fillId="8" borderId="10" xfId="0" applyFont="1" applyFill="1" applyBorder="1" applyAlignment="1">
      <alignment horizontal="center"/>
    </xf>
    <xf numFmtId="187" fontId="13" fillId="5" borderId="6" xfId="1" applyFont="1" applyFill="1" applyBorder="1" applyAlignment="1">
      <alignment horizontal="center"/>
    </xf>
    <xf numFmtId="0" fontId="13" fillId="5" borderId="7" xfId="0" applyFont="1" applyFill="1" applyBorder="1" applyAlignment="1">
      <alignment horizontal="center"/>
    </xf>
    <xf numFmtId="187" fontId="13" fillId="6" borderId="18" xfId="1" applyFont="1" applyFill="1" applyBorder="1" applyAlignment="1">
      <alignment horizontal="center"/>
    </xf>
    <xf numFmtId="0" fontId="13" fillId="5" borderId="6" xfId="0" applyFont="1" applyFill="1" applyBorder="1" applyAlignment="1">
      <alignment horizontal="center"/>
    </xf>
    <xf numFmtId="0" fontId="12" fillId="0" borderId="36" xfId="0" applyFont="1" applyBorder="1" applyAlignment="1">
      <alignment horizontal="left"/>
    </xf>
    <xf numFmtId="0" fontId="12" fillId="0" borderId="13" xfId="0" applyFont="1" applyBorder="1" applyAlignment="1">
      <alignment horizontal="center"/>
    </xf>
    <xf numFmtId="0" fontId="12" fillId="0" borderId="33" xfId="0" applyFont="1" applyBorder="1" applyAlignment="1">
      <alignment horizontal="center"/>
    </xf>
    <xf numFmtId="0" fontId="12" fillId="0" borderId="37" xfId="0" applyFont="1" applyBorder="1" applyAlignment="1">
      <alignment horizontal="center"/>
    </xf>
    <xf numFmtId="0" fontId="13" fillId="0" borderId="21" xfId="0" applyFont="1" applyBorder="1" applyAlignment="1">
      <alignment horizontal="center" vertical="center"/>
    </xf>
    <xf numFmtId="187" fontId="13" fillId="5" borderId="6" xfId="0" applyNumberFormat="1" applyFont="1" applyFill="1" applyBorder="1" applyAlignment="1">
      <alignment horizontal="center"/>
    </xf>
    <xf numFmtId="0" fontId="12" fillId="0" borderId="3" xfId="1" applyNumberFormat="1" applyFont="1" applyBorder="1" applyAlignment="1">
      <alignment horizontal="center"/>
    </xf>
    <xf numFmtId="0" fontId="12" fillId="0" borderId="13" xfId="1" applyNumberFormat="1" applyFont="1" applyBorder="1" applyAlignment="1">
      <alignment horizontal="center"/>
    </xf>
    <xf numFmtId="0" fontId="12" fillId="0" borderId="33" xfId="1" applyNumberFormat="1" applyFont="1" applyBorder="1" applyAlignment="1">
      <alignment horizontal="center"/>
    </xf>
    <xf numFmtId="187" fontId="12" fillId="0" borderId="36" xfId="1" applyFont="1" applyBorder="1" applyAlignment="1"/>
    <xf numFmtId="0" fontId="12" fillId="0" borderId="37" xfId="1" applyNumberFormat="1" applyFont="1" applyBorder="1" applyAlignment="1">
      <alignment horizontal="center"/>
    </xf>
    <xf numFmtId="0" fontId="30" fillId="5" borderId="10" xfId="0" applyFont="1" applyFill="1" applyBorder="1" applyAlignment="1"/>
    <xf numFmtId="0" fontId="30" fillId="0" borderId="43" xfId="0" applyFont="1" applyBorder="1" applyAlignment="1"/>
    <xf numFmtId="0" fontId="34" fillId="0" borderId="0" xfId="0" applyFont="1"/>
    <xf numFmtId="0" fontId="13" fillId="7" borderId="69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left"/>
    </xf>
    <xf numFmtId="0" fontId="12" fillId="7" borderId="2" xfId="0" applyFont="1" applyFill="1" applyBorder="1" applyAlignment="1">
      <alignment horizontal="center"/>
    </xf>
    <xf numFmtId="187" fontId="12" fillId="7" borderId="2" xfId="0" applyNumberFormat="1" applyFont="1" applyFill="1" applyBorder="1" applyAlignment="1">
      <alignment horizontal="center"/>
    </xf>
    <xf numFmtId="0" fontId="35" fillId="0" borderId="0" xfId="0" applyFont="1"/>
    <xf numFmtId="0" fontId="35" fillId="0" borderId="0" xfId="0" applyFont="1" applyAlignment="1">
      <alignment horizontal="center"/>
    </xf>
    <xf numFmtId="0" fontId="38" fillId="2" borderId="31" xfId="0" applyFont="1" applyFill="1" applyBorder="1" applyAlignment="1">
      <alignment horizontal="center" vertical="center" wrapText="1"/>
    </xf>
    <xf numFmtId="0" fontId="39" fillId="2" borderId="33" xfId="0" applyFont="1" applyFill="1" applyBorder="1" applyAlignment="1">
      <alignment horizontal="center"/>
    </xf>
    <xf numFmtId="3" fontId="17" fillId="3" borderId="9" xfId="0" applyNumberFormat="1" applyFont="1" applyFill="1" applyBorder="1" applyAlignment="1">
      <alignment vertical="center"/>
    </xf>
    <xf numFmtId="3" fontId="17" fillId="3" borderId="4" xfId="0" applyNumberFormat="1" applyFont="1" applyFill="1" applyBorder="1" applyAlignment="1">
      <alignment vertical="center"/>
    </xf>
    <xf numFmtId="3" fontId="17" fillId="3" borderId="10" xfId="0" applyNumberFormat="1" applyFont="1" applyFill="1" applyBorder="1" applyAlignment="1">
      <alignment vertical="center"/>
    </xf>
    <xf numFmtId="3" fontId="17" fillId="6" borderId="9" xfId="0" applyNumberFormat="1" applyFont="1" applyFill="1" applyBorder="1" applyAlignment="1"/>
    <xf numFmtId="3" fontId="17" fillId="6" borderId="4" xfId="0" applyNumberFormat="1" applyFont="1" applyFill="1" applyBorder="1" applyAlignment="1"/>
    <xf numFmtId="3" fontId="17" fillId="6" borderId="10" xfId="0" applyNumberFormat="1" applyFont="1" applyFill="1" applyBorder="1" applyAlignment="1"/>
    <xf numFmtId="0" fontId="40" fillId="0" borderId="11" xfId="0" applyFont="1" applyBorder="1" applyAlignment="1"/>
    <xf numFmtId="0" fontId="40" fillId="0" borderId="12" xfId="0" applyFont="1" applyBorder="1" applyAlignment="1">
      <alignment horizontal="center"/>
    </xf>
    <xf numFmtId="187" fontId="40" fillId="0" borderId="13" xfId="1" applyFont="1" applyBorder="1" applyAlignment="1"/>
    <xf numFmtId="0" fontId="37" fillId="0" borderId="46" xfId="0" applyFont="1" applyBorder="1" applyAlignment="1">
      <alignment horizontal="center"/>
    </xf>
    <xf numFmtId="3" fontId="41" fillId="0" borderId="12" xfId="2" applyNumberFormat="1" applyFont="1" applyFill="1" applyBorder="1" applyAlignment="1">
      <alignment horizontal="center" vertical="center"/>
    </xf>
    <xf numFmtId="187" fontId="37" fillId="0" borderId="13" xfId="1" applyFont="1" applyBorder="1" applyAlignment="1">
      <alignment horizontal="center"/>
    </xf>
    <xf numFmtId="0" fontId="40" fillId="0" borderId="17" xfId="0" applyFont="1" applyBorder="1" applyAlignment="1">
      <alignment horizontal="left"/>
    </xf>
    <xf numFmtId="0" fontId="40" fillId="0" borderId="18" xfId="0" applyFont="1" applyBorder="1" applyAlignment="1">
      <alignment horizontal="center"/>
    </xf>
    <xf numFmtId="187" fontId="40" fillId="0" borderId="19" xfId="1" applyFont="1" applyBorder="1" applyAlignment="1">
      <alignment horizontal="center"/>
    </xf>
    <xf numFmtId="0" fontId="37" fillId="0" borderId="18" xfId="0" applyFont="1" applyBorder="1" applyAlignment="1"/>
    <xf numFmtId="187" fontId="37" fillId="0" borderId="19" xfId="1" applyFont="1" applyBorder="1" applyAlignment="1"/>
    <xf numFmtId="0" fontId="40" fillId="0" borderId="11" xfId="0" applyFont="1" applyBorder="1" applyAlignment="1">
      <alignment horizontal="left" vertical="center"/>
    </xf>
    <xf numFmtId="0" fontId="40" fillId="0" borderId="12" xfId="0" applyFont="1" applyBorder="1" applyAlignment="1">
      <alignment horizontal="center" vertical="center" wrapText="1"/>
    </xf>
    <xf numFmtId="187" fontId="40" fillId="0" borderId="13" xfId="1" applyFont="1" applyBorder="1" applyAlignment="1">
      <alignment horizontal="center"/>
    </xf>
    <xf numFmtId="0" fontId="37" fillId="0" borderId="12" xfId="0" applyFont="1" applyBorder="1" applyAlignment="1"/>
    <xf numFmtId="187" fontId="37" fillId="0" borderId="13" xfId="1" applyFont="1" applyBorder="1" applyAlignment="1"/>
    <xf numFmtId="0" fontId="24" fillId="3" borderId="14" xfId="0" applyFont="1" applyFill="1" applyBorder="1"/>
    <xf numFmtId="0" fontId="24" fillId="3" borderId="15" xfId="0" applyFont="1" applyFill="1" applyBorder="1"/>
    <xf numFmtId="0" fontId="24" fillId="3" borderId="15" xfId="0" applyFont="1" applyFill="1" applyBorder="1" applyAlignment="1">
      <alignment horizontal="center"/>
    </xf>
    <xf numFmtId="0" fontId="24" fillId="3" borderId="16" xfId="0" applyFont="1" applyFill="1" applyBorder="1" applyAlignment="1">
      <alignment horizontal="center"/>
    </xf>
    <xf numFmtId="0" fontId="37" fillId="0" borderId="11" xfId="0" applyFont="1" applyBorder="1"/>
    <xf numFmtId="0" fontId="37" fillId="0" borderId="12" xfId="0" applyFont="1" applyBorder="1" applyAlignment="1">
      <alignment horizontal="center"/>
    </xf>
    <xf numFmtId="190" fontId="37" fillId="0" borderId="12" xfId="1" applyNumberFormat="1" applyFont="1" applyBorder="1" applyAlignment="1">
      <alignment horizontal="center"/>
    </xf>
    <xf numFmtId="190" fontId="37" fillId="0" borderId="12" xfId="1" applyNumberFormat="1" applyFont="1" applyBorder="1"/>
    <xf numFmtId="0" fontId="40" fillId="0" borderId="32" xfId="0" applyFont="1" applyBorder="1" applyAlignment="1"/>
    <xf numFmtId="0" fontId="40" fillId="0" borderId="31" xfId="0" applyFont="1" applyBorder="1" applyAlignment="1">
      <alignment horizontal="center"/>
    </xf>
    <xf numFmtId="187" fontId="40" fillId="0" borderId="33" xfId="1" applyFont="1" applyBorder="1" applyAlignment="1"/>
    <xf numFmtId="0" fontId="37" fillId="0" borderId="22" xfId="0" applyFont="1" applyBorder="1" applyAlignment="1">
      <alignment horizontal="center"/>
    </xf>
    <xf numFmtId="3" fontId="41" fillId="0" borderId="31" xfId="2" applyNumberFormat="1" applyFont="1" applyFill="1" applyBorder="1" applyAlignment="1">
      <alignment horizontal="center" vertical="center"/>
    </xf>
    <xf numFmtId="187" fontId="37" fillId="0" borderId="33" xfId="1" applyFont="1" applyBorder="1" applyAlignment="1">
      <alignment horizontal="center"/>
    </xf>
    <xf numFmtId="43" fontId="45" fillId="8" borderId="10" xfId="0" applyNumberFormat="1" applyFont="1" applyFill="1" applyBorder="1" applyAlignment="1">
      <alignment vertical="center"/>
    </xf>
    <xf numFmtId="187" fontId="42" fillId="11" borderId="72" xfId="1" applyFont="1" applyFill="1" applyBorder="1" applyAlignment="1">
      <alignment vertical="center"/>
    </xf>
    <xf numFmtId="43" fontId="43" fillId="5" borderId="10" xfId="0" applyNumberFormat="1" applyFont="1" applyFill="1" applyBorder="1" applyAlignment="1">
      <alignment vertical="center"/>
    </xf>
    <xf numFmtId="187" fontId="42" fillId="11" borderId="53" xfId="1" applyFont="1" applyFill="1" applyBorder="1" applyAlignment="1">
      <alignment vertical="center"/>
    </xf>
    <xf numFmtId="43" fontId="44" fillId="11" borderId="49" xfId="0" applyNumberFormat="1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/>
    </xf>
    <xf numFmtId="0" fontId="46" fillId="2" borderId="12" xfId="0" applyNumberFormat="1" applyFont="1" applyFill="1" applyBorder="1" applyAlignment="1">
      <alignment horizontal="center"/>
    </xf>
    <xf numFmtId="187" fontId="31" fillId="0" borderId="18" xfId="1" applyFont="1" applyBorder="1"/>
    <xf numFmtId="187" fontId="31" fillId="0" borderId="12" xfId="1" applyFont="1" applyBorder="1"/>
    <xf numFmtId="187" fontId="31" fillId="0" borderId="31" xfId="1" applyFont="1" applyBorder="1"/>
    <xf numFmtId="187" fontId="31" fillId="0" borderId="21" xfId="1" applyFont="1" applyBorder="1"/>
    <xf numFmtId="187" fontId="26" fillId="11" borderId="6" xfId="1" applyFont="1" applyFill="1" applyBorder="1" applyAlignment="1">
      <alignment horizontal="center" vertical="center"/>
    </xf>
    <xf numFmtId="187" fontId="46" fillId="11" borderId="6" xfId="1" applyFont="1" applyFill="1" applyBorder="1"/>
    <xf numFmtId="187" fontId="46" fillId="11" borderId="6" xfId="1" applyFont="1" applyFill="1" applyBorder="1" applyAlignment="1">
      <alignment horizontal="center"/>
    </xf>
    <xf numFmtId="187" fontId="46" fillId="11" borderId="7" xfId="1" applyFont="1" applyFill="1" applyBorder="1" applyAlignment="1">
      <alignment horizontal="center"/>
    </xf>
    <xf numFmtId="3" fontId="26" fillId="11" borderId="35" xfId="2" applyNumberFormat="1" applyFont="1" applyFill="1" applyBorder="1" applyAlignment="1">
      <alignment horizontal="left" vertical="center"/>
    </xf>
    <xf numFmtId="3" fontId="26" fillId="11" borderId="36" xfId="2" applyNumberFormat="1" applyFont="1" applyFill="1" applyBorder="1" applyAlignment="1">
      <alignment horizontal="center" vertical="center"/>
    </xf>
    <xf numFmtId="187" fontId="26" fillId="11" borderId="36" xfId="1" applyFont="1" applyFill="1" applyBorder="1" applyAlignment="1">
      <alignment horizontal="center" vertical="center"/>
    </xf>
    <xf numFmtId="187" fontId="46" fillId="11" borderId="36" xfId="1" applyFont="1" applyFill="1" applyBorder="1"/>
    <xf numFmtId="0" fontId="47" fillId="0" borderId="0" xfId="0" applyFont="1"/>
    <xf numFmtId="0" fontId="11" fillId="0" borderId="32" xfId="0" applyFont="1" applyBorder="1" applyAlignment="1">
      <alignment horizontal="left"/>
    </xf>
    <xf numFmtId="187" fontId="12" fillId="7" borderId="31" xfId="1" applyFont="1" applyFill="1" applyBorder="1" applyAlignment="1" applyProtection="1"/>
    <xf numFmtId="0" fontId="31" fillId="0" borderId="52" xfId="0" applyNumberFormat="1" applyFont="1" applyBorder="1" applyAlignment="1">
      <alignment horizontal="center"/>
    </xf>
    <xf numFmtId="0" fontId="26" fillId="11" borderId="5" xfId="0" applyFont="1" applyFill="1" applyBorder="1" applyAlignment="1">
      <alignment horizontal="left"/>
    </xf>
    <xf numFmtId="187" fontId="13" fillId="11" borderId="6" xfId="1" applyFont="1" applyFill="1" applyBorder="1" applyAlignment="1" applyProtection="1">
      <alignment horizontal="center"/>
    </xf>
    <xf numFmtId="187" fontId="13" fillId="11" borderId="6" xfId="1" applyFont="1" applyFill="1" applyBorder="1" applyAlignment="1" applyProtection="1"/>
    <xf numFmtId="187" fontId="46" fillId="11" borderId="7" xfId="1" applyFont="1" applyFill="1" applyBorder="1"/>
    <xf numFmtId="0" fontId="46" fillId="11" borderId="6" xfId="0" applyNumberFormat="1" applyFont="1" applyFill="1" applyBorder="1" applyAlignment="1">
      <alignment horizontal="center"/>
    </xf>
    <xf numFmtId="187" fontId="46" fillId="11" borderId="10" xfId="1" applyFont="1" applyFill="1" applyBorder="1"/>
    <xf numFmtId="0" fontId="26" fillId="3" borderId="14" xfId="0" applyFont="1" applyFill="1" applyBorder="1" applyAlignment="1"/>
    <xf numFmtId="0" fontId="26" fillId="3" borderId="15" xfId="0" applyFont="1" applyFill="1" applyBorder="1" applyAlignment="1"/>
    <xf numFmtId="0" fontId="26" fillId="3" borderId="16" xfId="0" applyFont="1" applyFill="1" applyBorder="1" applyAlignment="1"/>
    <xf numFmtId="3" fontId="11" fillId="0" borderId="17" xfId="2" applyNumberFormat="1" applyFont="1" applyFill="1" applyBorder="1" applyAlignment="1">
      <alignment horizontal="left" vertical="center"/>
    </xf>
    <xf numFmtId="0" fontId="31" fillId="0" borderId="18" xfId="0" applyFont="1" applyBorder="1"/>
    <xf numFmtId="0" fontId="31" fillId="0" borderId="18" xfId="1" applyNumberFormat="1" applyFont="1" applyFill="1" applyBorder="1" applyAlignment="1">
      <alignment horizontal="center"/>
    </xf>
    <xf numFmtId="43" fontId="31" fillId="0" borderId="18" xfId="0" applyNumberFormat="1" applyFont="1" applyBorder="1"/>
    <xf numFmtId="187" fontId="31" fillId="0" borderId="18" xfId="1" applyFont="1" applyFill="1" applyBorder="1" applyAlignment="1">
      <alignment horizontal="center"/>
    </xf>
    <xf numFmtId="187" fontId="31" fillId="0" borderId="46" xfId="1" applyFont="1" applyBorder="1"/>
    <xf numFmtId="187" fontId="31" fillId="0" borderId="12" xfId="1" applyFont="1" applyFill="1" applyBorder="1" applyAlignment="1">
      <alignment horizontal="center"/>
    </xf>
    <xf numFmtId="0" fontId="31" fillId="0" borderId="31" xfId="1" applyNumberFormat="1" applyFont="1" applyFill="1" applyBorder="1" applyAlignment="1">
      <alignment horizontal="center"/>
    </xf>
    <xf numFmtId="187" fontId="31" fillId="0" borderId="31" xfId="1" applyFont="1" applyFill="1" applyBorder="1" applyAlignment="1">
      <alignment horizontal="center"/>
    </xf>
    <xf numFmtId="0" fontId="46" fillId="11" borderId="36" xfId="1" applyNumberFormat="1" applyFont="1" applyFill="1" applyBorder="1" applyAlignment="1">
      <alignment horizontal="center"/>
    </xf>
    <xf numFmtId="43" fontId="46" fillId="11" borderId="36" xfId="0" applyNumberFormat="1" applyFont="1" applyFill="1" applyBorder="1"/>
    <xf numFmtId="187" fontId="46" fillId="11" borderId="36" xfId="1" applyFont="1" applyFill="1" applyBorder="1" applyAlignment="1">
      <alignment horizontal="center"/>
    </xf>
    <xf numFmtId="187" fontId="46" fillId="11" borderId="37" xfId="1" applyFont="1" applyFill="1" applyBorder="1"/>
    <xf numFmtId="0" fontId="13" fillId="6" borderId="28" xfId="0" applyFont="1" applyFill="1" applyBorder="1" applyAlignment="1"/>
    <xf numFmtId="0" fontId="13" fillId="6" borderId="29" xfId="0" applyFont="1" applyFill="1" applyBorder="1" applyAlignment="1"/>
    <xf numFmtId="0" fontId="13" fillId="6" borderId="30" xfId="0" applyFont="1" applyFill="1" applyBorder="1" applyAlignment="1"/>
    <xf numFmtId="43" fontId="31" fillId="0" borderId="19" xfId="0" applyNumberFormat="1" applyFont="1" applyBorder="1"/>
    <xf numFmtId="187" fontId="31" fillId="0" borderId="21" xfId="1" applyFont="1" applyFill="1" applyBorder="1" applyAlignment="1">
      <alignment horizontal="center"/>
    </xf>
    <xf numFmtId="187" fontId="12" fillId="0" borderId="18" xfId="1" applyFont="1" applyFill="1" applyBorder="1" applyAlignment="1">
      <alignment horizontal="center"/>
    </xf>
    <xf numFmtId="187" fontId="12" fillId="0" borderId="12" xfId="1" applyFont="1" applyFill="1" applyBorder="1" applyAlignment="1">
      <alignment horizontal="center"/>
    </xf>
    <xf numFmtId="0" fontId="31" fillId="0" borderId="12" xfId="0" applyFont="1" applyBorder="1" applyAlignment="1">
      <alignment horizontal="center"/>
    </xf>
    <xf numFmtId="187" fontId="12" fillId="0" borderId="31" xfId="1" applyFont="1" applyFill="1" applyBorder="1" applyAlignment="1">
      <alignment horizontal="center"/>
    </xf>
    <xf numFmtId="43" fontId="46" fillId="11" borderId="6" xfId="0" applyNumberFormat="1" applyFont="1" applyFill="1" applyBorder="1"/>
    <xf numFmtId="43" fontId="46" fillId="11" borderId="7" xfId="0" applyNumberFormat="1" applyFont="1" applyFill="1" applyBorder="1"/>
    <xf numFmtId="0" fontId="13" fillId="11" borderId="5" xfId="0" applyFont="1" applyFill="1" applyBorder="1" applyAlignment="1">
      <alignment vertical="center" wrapText="1"/>
    </xf>
    <xf numFmtId="187" fontId="13" fillId="11" borderId="6" xfId="1" applyFont="1" applyFill="1" applyBorder="1" applyAlignment="1">
      <alignment horizontal="center"/>
    </xf>
    <xf numFmtId="187" fontId="46" fillId="11" borderId="59" xfId="1" applyFont="1" applyFill="1" applyBorder="1" applyAlignment="1"/>
    <xf numFmtId="0" fontId="13" fillId="3" borderId="65" xfId="0" applyFont="1" applyFill="1" applyBorder="1" applyAlignment="1">
      <alignment vertical="center" wrapText="1"/>
    </xf>
    <xf numFmtId="0" fontId="13" fillId="3" borderId="0" xfId="0" applyFont="1" applyFill="1" applyBorder="1" applyAlignment="1">
      <alignment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2" fillId="0" borderId="31" xfId="0" applyFont="1" applyFill="1" applyBorder="1" applyAlignment="1">
      <alignment horizontal="center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46" fillId="11" borderId="6" xfId="1" applyNumberFormat="1" applyFont="1" applyFill="1" applyBorder="1" applyAlignment="1">
      <alignment horizontal="center"/>
    </xf>
    <xf numFmtId="0" fontId="31" fillId="0" borderId="18" xfId="0" applyFont="1" applyFill="1" applyBorder="1" applyAlignment="1">
      <alignment horizontal="center"/>
    </xf>
    <xf numFmtId="187" fontId="31" fillId="0" borderId="18" xfId="1" applyFont="1" applyFill="1" applyBorder="1"/>
    <xf numFmtId="0" fontId="31" fillId="0" borderId="12" xfId="0" applyFont="1" applyFill="1" applyBorder="1" applyAlignment="1">
      <alignment horizontal="center"/>
    </xf>
    <xf numFmtId="187" fontId="31" fillId="0" borderId="12" xfId="1" applyFont="1" applyFill="1" applyBorder="1"/>
    <xf numFmtId="0" fontId="0" fillId="0" borderId="0" xfId="0" applyNumberFormat="1"/>
    <xf numFmtId="0" fontId="0" fillId="0" borderId="0" xfId="0" applyAlignment="1">
      <alignment horizontal="center"/>
    </xf>
    <xf numFmtId="0" fontId="50" fillId="2" borderId="12" xfId="0" applyFont="1" applyFill="1" applyBorder="1" applyAlignment="1">
      <alignment horizontal="center" vertical="center" wrapText="1"/>
    </xf>
    <xf numFmtId="0" fontId="51" fillId="2" borderId="12" xfId="0" applyFont="1" applyFill="1" applyBorder="1" applyAlignment="1">
      <alignment horizontal="center"/>
    </xf>
    <xf numFmtId="0" fontId="49" fillId="3" borderId="12" xfId="0" applyFont="1" applyFill="1" applyBorder="1"/>
    <xf numFmtId="0" fontId="52" fillId="3" borderId="12" xfId="0" applyFont="1" applyFill="1" applyBorder="1"/>
    <xf numFmtId="187" fontId="52" fillId="3" borderId="12" xfId="1" applyFont="1" applyFill="1" applyBorder="1"/>
    <xf numFmtId="0" fontId="49" fillId="4" borderId="12" xfId="0" applyFont="1" applyFill="1" applyBorder="1"/>
    <xf numFmtId="0" fontId="52" fillId="4" borderId="12" xfId="0" applyFont="1" applyFill="1" applyBorder="1"/>
    <xf numFmtId="187" fontId="52" fillId="4" borderId="12" xfId="1" applyFont="1" applyFill="1" applyBorder="1"/>
    <xf numFmtId="0" fontId="52" fillId="0" borderId="12" xfId="0" applyFont="1" applyBorder="1"/>
    <xf numFmtId="0" fontId="52" fillId="0" borderId="12" xfId="0" applyFont="1" applyBorder="1" applyAlignment="1">
      <alignment horizontal="center"/>
    </xf>
    <xf numFmtId="190" fontId="52" fillId="0" borderId="12" xfId="1" applyNumberFormat="1" applyFont="1" applyBorder="1" applyAlignment="1">
      <alignment horizontal="center"/>
    </xf>
    <xf numFmtId="187" fontId="52" fillId="0" borderId="12" xfId="1" applyFont="1" applyBorder="1"/>
    <xf numFmtId="0" fontId="38" fillId="13" borderId="12" xfId="0" applyFont="1" applyFill="1" applyBorder="1" applyAlignment="1">
      <alignment horizontal="center" vertical="center" wrapText="1"/>
    </xf>
    <xf numFmtId="0" fontId="24" fillId="13" borderId="12" xfId="0" applyFont="1" applyFill="1" applyBorder="1" applyAlignment="1">
      <alignment horizontal="center" vertical="center"/>
    </xf>
    <xf numFmtId="187" fontId="24" fillId="13" borderId="12" xfId="1" applyFont="1" applyFill="1" applyBorder="1" applyAlignment="1">
      <alignment vertical="center"/>
    </xf>
    <xf numFmtId="0" fontId="37" fillId="0" borderId="0" xfId="0" applyFont="1" applyAlignment="1">
      <alignment vertical="center"/>
    </xf>
    <xf numFmtId="187" fontId="48" fillId="13" borderId="12" xfId="1" applyFont="1" applyFill="1" applyBorder="1" applyAlignment="1">
      <alignment vertical="center"/>
    </xf>
    <xf numFmtId="187" fontId="53" fillId="14" borderId="12" xfId="0" applyNumberFormat="1" applyFont="1" applyFill="1" applyBorder="1" applyAlignment="1">
      <alignment vertical="center"/>
    </xf>
    <xf numFmtId="1" fontId="41" fillId="0" borderId="2" xfId="3" applyNumberFormat="1" applyFont="1" applyFill="1" applyBorder="1" applyAlignment="1" applyProtection="1"/>
    <xf numFmtId="9" fontId="55" fillId="0" borderId="47" xfId="3" applyNumberFormat="1" applyFont="1" applyFill="1" applyBorder="1" applyAlignment="1" applyProtection="1">
      <alignment horizontal="center"/>
    </xf>
    <xf numFmtId="3" fontId="40" fillId="7" borderId="47" xfId="3" applyNumberFormat="1" applyFont="1" applyFill="1" applyBorder="1" applyAlignment="1" applyProtection="1">
      <alignment horizontal="center"/>
    </xf>
    <xf numFmtId="3" fontId="40" fillId="7" borderId="18" xfId="3" applyNumberFormat="1" applyFont="1" applyFill="1" applyBorder="1" applyAlignment="1" applyProtection="1">
      <alignment horizontal="center"/>
    </xf>
    <xf numFmtId="0" fontId="40" fillId="7" borderId="18" xfId="4" applyNumberFormat="1" applyFont="1" applyFill="1" applyBorder="1" applyAlignment="1" applyProtection="1">
      <alignment horizontal="center"/>
    </xf>
    <xf numFmtId="187" fontId="40" fillId="7" borderId="18" xfId="1" applyFont="1" applyFill="1" applyBorder="1" applyAlignment="1" applyProtection="1">
      <alignment horizontal="center"/>
    </xf>
    <xf numFmtId="43" fontId="40" fillId="0" borderId="18" xfId="0" applyNumberFormat="1" applyFont="1" applyBorder="1"/>
    <xf numFmtId="1" fontId="41" fillId="0" borderId="40" xfId="3" applyNumberFormat="1" applyFont="1" applyFill="1" applyBorder="1" applyAlignment="1" applyProtection="1"/>
    <xf numFmtId="9" fontId="55" fillId="0" borderId="57" xfId="3" applyNumberFormat="1" applyFont="1" applyFill="1" applyBorder="1" applyAlignment="1" applyProtection="1">
      <alignment horizontal="center"/>
    </xf>
    <xf numFmtId="3" fontId="40" fillId="7" borderId="51" xfId="3" applyNumberFormat="1" applyFont="1" applyFill="1" applyBorder="1" applyAlignment="1" applyProtection="1">
      <alignment horizontal="center"/>
    </xf>
    <xf numFmtId="3" fontId="40" fillId="7" borderId="31" xfId="3" applyNumberFormat="1" applyFont="1" applyFill="1" applyBorder="1" applyAlignment="1" applyProtection="1">
      <alignment horizontal="center"/>
    </xf>
    <xf numFmtId="0" fontId="40" fillId="7" borderId="31" xfId="4" applyNumberFormat="1" applyFont="1" applyFill="1" applyBorder="1" applyAlignment="1" applyProtection="1">
      <alignment horizontal="center"/>
    </xf>
    <xf numFmtId="187" fontId="40" fillId="7" borderId="31" xfId="1" applyFont="1" applyFill="1" applyBorder="1" applyAlignment="1" applyProtection="1">
      <alignment horizontal="center"/>
    </xf>
    <xf numFmtId="43" fontId="40" fillId="0" borderId="21" xfId="0" applyNumberFormat="1" applyFont="1" applyBorder="1"/>
    <xf numFmtId="43" fontId="38" fillId="8" borderId="72" xfId="0" applyNumberFormat="1" applyFont="1" applyFill="1" applyBorder="1"/>
    <xf numFmtId="1" fontId="41" fillId="0" borderId="21" xfId="3" applyNumberFormat="1" applyFont="1" applyFill="1" applyBorder="1" applyAlignment="1" applyProtection="1"/>
    <xf numFmtId="1" fontId="41" fillId="0" borderId="31" xfId="3" applyNumberFormat="1" applyFont="1" applyFill="1" applyBorder="1" applyAlignment="1" applyProtection="1"/>
    <xf numFmtId="9" fontId="55" fillId="0" borderId="36" xfId="3" applyNumberFormat="1" applyFont="1" applyFill="1" applyBorder="1" applyAlignment="1" applyProtection="1">
      <alignment horizontal="center"/>
    </xf>
    <xf numFmtId="0" fontId="40" fillId="7" borderId="21" xfId="4" applyNumberFormat="1" applyFont="1" applyFill="1" applyBorder="1" applyAlignment="1" applyProtection="1">
      <alignment horizontal="center"/>
    </xf>
    <xf numFmtId="187" fontId="40" fillId="7" borderId="21" xfId="1" applyFont="1" applyFill="1" applyBorder="1" applyAlignment="1" applyProtection="1">
      <alignment horizontal="center"/>
    </xf>
    <xf numFmtId="43" fontId="43" fillId="5" borderId="31" xfId="0" applyNumberFormat="1" applyFont="1" applyFill="1" applyBorder="1"/>
    <xf numFmtId="1" fontId="41" fillId="0" borderId="52" xfId="3" applyNumberFormat="1" applyFont="1" applyFill="1" applyBorder="1" applyAlignment="1" applyProtection="1"/>
    <xf numFmtId="9" fontId="55" fillId="0" borderId="51" xfId="3" applyNumberFormat="1" applyFont="1" applyFill="1" applyBorder="1" applyAlignment="1" applyProtection="1">
      <alignment horizontal="center"/>
    </xf>
    <xf numFmtId="43" fontId="40" fillId="0" borderId="31" xfId="0" applyNumberFormat="1" applyFont="1" applyBorder="1"/>
    <xf numFmtId="0" fontId="41" fillId="7" borderId="18" xfId="0" applyFont="1" applyFill="1" applyBorder="1" applyAlignment="1">
      <alignment horizontal="left"/>
    </xf>
    <xf numFmtId="9" fontId="55" fillId="0" borderId="47" xfId="0" applyNumberFormat="1" applyFont="1" applyBorder="1" applyAlignment="1">
      <alignment horizontal="center"/>
    </xf>
    <xf numFmtId="43" fontId="40" fillId="0" borderId="12" xfId="0" applyNumberFormat="1" applyFont="1" applyBorder="1"/>
    <xf numFmtId="0" fontId="41" fillId="7" borderId="12" xfId="0" applyFont="1" applyFill="1" applyBorder="1" applyAlignment="1"/>
    <xf numFmtId="9" fontId="55" fillId="0" borderId="34" xfId="0" applyNumberFormat="1" applyFont="1" applyBorder="1" applyAlignment="1">
      <alignment horizontal="center"/>
    </xf>
    <xf numFmtId="43" fontId="38" fillId="8" borderId="18" xfId="0" applyNumberFormat="1" applyFont="1" applyFill="1" applyBorder="1"/>
    <xf numFmtId="43" fontId="57" fillId="11" borderId="12" xfId="0" applyNumberFormat="1" applyFont="1" applyFill="1" applyBorder="1"/>
    <xf numFmtId="0" fontId="41" fillId="0" borderId="2" xfId="0" applyFont="1" applyBorder="1" applyAlignment="1"/>
    <xf numFmtId="9" fontId="55" fillId="0" borderId="34" xfId="0" applyNumberFormat="1" applyFont="1" applyBorder="1" applyAlignment="1"/>
    <xf numFmtId="3" fontId="40" fillId="7" borderId="18" xfId="0" applyNumberFormat="1" applyFont="1" applyFill="1" applyBorder="1" applyAlignment="1">
      <alignment horizontal="center"/>
    </xf>
    <xf numFmtId="0" fontId="41" fillId="0" borderId="12" xfId="0" applyFont="1" applyBorder="1" applyAlignment="1"/>
    <xf numFmtId="43" fontId="38" fillId="8" borderId="12" xfId="0" applyNumberFormat="1" applyFont="1" applyFill="1" applyBorder="1"/>
    <xf numFmtId="3" fontId="41" fillId="0" borderId="29" xfId="0" applyNumberFormat="1" applyFont="1" applyBorder="1" applyAlignment="1"/>
    <xf numFmtId="9" fontId="55" fillId="0" borderId="47" xfId="0" applyNumberFormat="1" applyFont="1" applyBorder="1" applyAlignment="1"/>
    <xf numFmtId="0" fontId="41" fillId="0" borderId="48" xfId="0" applyFont="1" applyBorder="1" applyAlignment="1"/>
    <xf numFmtId="43" fontId="38" fillId="5" borderId="12" xfId="0" applyNumberFormat="1" applyFont="1" applyFill="1" applyBorder="1"/>
    <xf numFmtId="43" fontId="43" fillId="11" borderId="31" xfId="0" applyNumberFormat="1" applyFont="1" applyFill="1" applyBorder="1"/>
    <xf numFmtId="3" fontId="41" fillId="0" borderId="2" xfId="2" applyNumberFormat="1" applyFont="1" applyFill="1" applyBorder="1" applyAlignment="1">
      <alignment vertical="center"/>
    </xf>
    <xf numFmtId="9" fontId="55" fillId="0" borderId="47" xfId="4" applyFont="1" applyBorder="1" applyAlignment="1">
      <alignment horizontal="center"/>
    </xf>
    <xf numFmtId="3" fontId="41" fillId="0" borderId="18" xfId="2" applyNumberFormat="1" applyFont="1" applyFill="1" applyBorder="1" applyAlignment="1">
      <alignment horizontal="center" vertical="center"/>
    </xf>
    <xf numFmtId="3" fontId="41" fillId="0" borderId="12" xfId="2" applyNumberFormat="1" applyFont="1" applyFill="1" applyBorder="1" applyAlignment="1">
      <alignment vertical="center"/>
    </xf>
    <xf numFmtId="9" fontId="55" fillId="0" borderId="34" xfId="4" applyFont="1" applyBorder="1" applyAlignment="1">
      <alignment horizontal="center"/>
    </xf>
    <xf numFmtId="0" fontId="40" fillId="7" borderId="12" xfId="4" applyNumberFormat="1" applyFont="1" applyFill="1" applyBorder="1" applyAlignment="1" applyProtection="1">
      <alignment horizontal="center"/>
    </xf>
    <xf numFmtId="187" fontId="40" fillId="7" borderId="12" xfId="1" applyFont="1" applyFill="1" applyBorder="1" applyAlignment="1" applyProtection="1">
      <alignment horizontal="center"/>
    </xf>
    <xf numFmtId="3" fontId="41" fillId="0" borderId="21" xfId="2" applyNumberFormat="1" applyFont="1" applyFill="1" applyBorder="1" applyAlignment="1">
      <alignment vertical="center"/>
    </xf>
    <xf numFmtId="9" fontId="55" fillId="0" borderId="57" xfId="4" applyFont="1" applyBorder="1" applyAlignment="1">
      <alignment horizontal="center"/>
    </xf>
    <xf numFmtId="3" fontId="41" fillId="0" borderId="21" xfId="2" applyNumberFormat="1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/>
    </xf>
    <xf numFmtId="43" fontId="38" fillId="8" borderId="7" xfId="0" applyNumberFormat="1" applyFont="1" applyFill="1" applyBorder="1"/>
    <xf numFmtId="3" fontId="41" fillId="0" borderId="48" xfId="0" applyNumberFormat="1" applyFont="1" applyBorder="1" applyAlignment="1"/>
    <xf numFmtId="3" fontId="40" fillId="7" borderId="34" xfId="0" applyNumberFormat="1" applyFont="1" applyFill="1" applyBorder="1" applyAlignment="1">
      <alignment horizontal="center"/>
    </xf>
    <xf numFmtId="3" fontId="40" fillId="7" borderId="12" xfId="0" applyNumberFormat="1" applyFont="1" applyFill="1" applyBorder="1" applyAlignment="1">
      <alignment horizontal="center"/>
    </xf>
    <xf numFmtId="3" fontId="41" fillId="0" borderId="52" xfId="0" applyNumberFormat="1" applyFont="1" applyBorder="1" applyAlignment="1"/>
    <xf numFmtId="9" fontId="55" fillId="0" borderId="51" xfId="4" applyFont="1" applyBorder="1" applyAlignment="1">
      <alignment horizontal="center"/>
    </xf>
    <xf numFmtId="3" fontId="40" fillId="7" borderId="51" xfId="0" applyNumberFormat="1" applyFont="1" applyFill="1" applyBorder="1" applyAlignment="1">
      <alignment horizontal="center"/>
    </xf>
    <xf numFmtId="3" fontId="40" fillId="7" borderId="31" xfId="0" applyNumberFormat="1" applyFont="1" applyFill="1" applyBorder="1" applyAlignment="1">
      <alignment horizontal="center"/>
    </xf>
    <xf numFmtId="43" fontId="38" fillId="8" borderId="10" xfId="0" applyNumberFormat="1" applyFont="1" applyFill="1" applyBorder="1"/>
    <xf numFmtId="43" fontId="43" fillId="11" borderId="7" xfId="0" applyNumberFormat="1" applyFont="1" applyFill="1" applyBorder="1"/>
    <xf numFmtId="3" fontId="41" fillId="0" borderId="46" xfId="2" applyNumberFormat="1" applyFont="1" applyFill="1" applyBorder="1" applyAlignment="1">
      <alignment vertical="center"/>
    </xf>
    <xf numFmtId="3" fontId="41" fillId="0" borderId="48" xfId="2" applyNumberFormat="1" applyFont="1" applyFill="1" applyBorder="1" applyAlignment="1">
      <alignment vertical="center"/>
    </xf>
    <xf numFmtId="0" fontId="41" fillId="0" borderId="52" xfId="0" applyFont="1" applyBorder="1" applyAlignment="1"/>
    <xf numFmtId="9" fontId="55" fillId="0" borderId="51" xfId="0" applyNumberFormat="1" applyFont="1" applyBorder="1" applyAlignment="1">
      <alignment horizontal="center"/>
    </xf>
    <xf numFmtId="3" fontId="40" fillId="7" borderId="21" xfId="0" applyNumberFormat="1" applyFont="1" applyFill="1" applyBorder="1" applyAlignment="1">
      <alignment horizontal="center"/>
    </xf>
    <xf numFmtId="43" fontId="43" fillId="11" borderId="12" xfId="0" applyNumberFormat="1" applyFont="1" applyFill="1" applyBorder="1"/>
    <xf numFmtId="9" fontId="55" fillId="0" borderId="12" xfId="2" applyNumberFormat="1" applyFont="1" applyFill="1" applyBorder="1" applyAlignment="1">
      <alignment horizontal="center" vertical="center"/>
    </xf>
    <xf numFmtId="3" fontId="41" fillId="0" borderId="31" xfId="2" applyNumberFormat="1" applyFont="1" applyFill="1" applyBorder="1" applyAlignment="1">
      <alignment vertical="center"/>
    </xf>
    <xf numFmtId="9" fontId="55" fillId="0" borderId="31" xfId="2" applyNumberFormat="1" applyFont="1" applyFill="1" applyBorder="1" applyAlignment="1">
      <alignment horizontal="center" vertical="center"/>
    </xf>
    <xf numFmtId="43" fontId="43" fillId="8" borderId="7" xfId="0" applyNumberFormat="1" applyFont="1" applyFill="1" applyBorder="1"/>
    <xf numFmtId="0" fontId="41" fillId="0" borderId="18" xfId="0" applyFont="1" applyBorder="1" applyAlignment="1"/>
    <xf numFmtId="43" fontId="43" fillId="8" borderId="12" xfId="0" applyNumberFormat="1" applyFont="1" applyFill="1" applyBorder="1"/>
    <xf numFmtId="4" fontId="56" fillId="11" borderId="31" xfId="2" applyNumberFormat="1" applyFont="1" applyFill="1" applyBorder="1" applyAlignment="1">
      <alignment vertical="center"/>
    </xf>
    <xf numFmtId="0" fontId="40" fillId="0" borderId="2" xfId="0" applyFont="1" applyBorder="1" applyAlignment="1"/>
    <xf numFmtId="9" fontId="55" fillId="0" borderId="25" xfId="0" applyNumberFormat="1" applyFont="1" applyBorder="1" applyAlignment="1">
      <alignment horizontal="center"/>
    </xf>
    <xf numFmtId="3" fontId="40" fillId="7" borderId="2" xfId="0" applyNumberFormat="1" applyFont="1" applyFill="1" applyBorder="1" applyAlignment="1">
      <alignment horizontal="center"/>
    </xf>
    <xf numFmtId="0" fontId="40" fillId="7" borderId="2" xfId="4" applyNumberFormat="1" applyFont="1" applyFill="1" applyBorder="1" applyAlignment="1" applyProtection="1">
      <alignment horizontal="center"/>
    </xf>
    <xf numFmtId="0" fontId="40" fillId="0" borderId="12" xfId="0" applyFont="1" applyBorder="1" applyAlignment="1"/>
    <xf numFmtId="0" fontId="40" fillId="0" borderId="2" xfId="0" applyFont="1" applyBorder="1" applyAlignment="1">
      <alignment horizontal="left"/>
    </xf>
    <xf numFmtId="3" fontId="40" fillId="7" borderId="57" xfId="0" applyNumberFormat="1" applyFont="1" applyFill="1" applyBorder="1" applyAlignment="1">
      <alignment horizontal="center"/>
    </xf>
    <xf numFmtId="0" fontId="40" fillId="0" borderId="12" xfId="0" applyFont="1" applyBorder="1" applyAlignment="1">
      <alignment horizontal="left"/>
    </xf>
    <xf numFmtId="43" fontId="43" fillId="5" borderId="12" xfId="0" applyNumberFormat="1" applyFont="1" applyFill="1" applyBorder="1"/>
    <xf numFmtId="3" fontId="40" fillId="0" borderId="48" xfId="0" applyNumberFormat="1" applyFont="1" applyBorder="1"/>
    <xf numFmtId="3" fontId="40" fillId="0" borderId="12" xfId="0" applyNumberFormat="1" applyFont="1" applyBorder="1"/>
    <xf numFmtId="187" fontId="31" fillId="0" borderId="19" xfId="1" applyFont="1" applyBorder="1"/>
    <xf numFmtId="187" fontId="46" fillId="11" borderId="67" xfId="1" applyFont="1" applyFill="1" applyBorder="1"/>
    <xf numFmtId="187" fontId="46" fillId="11" borderId="5" xfId="1" applyFont="1" applyFill="1" applyBorder="1"/>
    <xf numFmtId="187" fontId="46" fillId="11" borderId="36" xfId="1" applyNumberFormat="1" applyFont="1" applyFill="1" applyBorder="1" applyAlignment="1">
      <alignment horizontal="center"/>
    </xf>
    <xf numFmtId="187" fontId="46" fillId="11" borderId="34" xfId="1" applyFont="1" applyFill="1" applyBorder="1" applyAlignment="1">
      <alignment horizontal="center"/>
    </xf>
    <xf numFmtId="187" fontId="46" fillId="11" borderId="34" xfId="1" applyFont="1" applyFill="1" applyBorder="1"/>
    <xf numFmtId="187" fontId="46" fillId="11" borderId="12" xfId="1" applyFont="1" applyFill="1" applyBorder="1"/>
    <xf numFmtId="187" fontId="46" fillId="11" borderId="12" xfId="1" applyFont="1" applyFill="1" applyBorder="1" applyAlignment="1">
      <alignment horizontal="center"/>
    </xf>
    <xf numFmtId="0" fontId="46" fillId="11" borderId="12" xfId="0" applyFont="1" applyFill="1" applyBorder="1" applyAlignment="1">
      <alignment horizontal="center"/>
    </xf>
    <xf numFmtId="187" fontId="26" fillId="11" borderId="12" xfId="1" applyFont="1" applyFill="1" applyBorder="1" applyAlignment="1">
      <alignment horizontal="center" vertical="center"/>
    </xf>
    <xf numFmtId="187" fontId="13" fillId="11" borderId="12" xfId="1" applyFont="1" applyFill="1" applyBorder="1" applyAlignment="1">
      <alignment horizontal="center"/>
    </xf>
    <xf numFmtId="0" fontId="13" fillId="11" borderId="12" xfId="0" applyFont="1" applyFill="1" applyBorder="1" applyAlignment="1">
      <alignment horizontal="center"/>
    </xf>
    <xf numFmtId="0" fontId="12" fillId="0" borderId="21" xfId="0" applyFont="1" applyFill="1" applyBorder="1" applyAlignment="1">
      <alignment horizontal="center" vertical="center" wrapText="1"/>
    </xf>
    <xf numFmtId="187" fontId="12" fillId="0" borderId="21" xfId="1" applyFont="1" applyFill="1" applyBorder="1" applyAlignment="1">
      <alignment horizontal="center"/>
    </xf>
    <xf numFmtId="0" fontId="31" fillId="0" borderId="21" xfId="1" applyNumberFormat="1" applyFont="1" applyFill="1" applyBorder="1" applyAlignment="1">
      <alignment horizontal="center"/>
    </xf>
    <xf numFmtId="0" fontId="13" fillId="4" borderId="28" xfId="0" applyFont="1" applyFill="1" applyBorder="1" applyAlignment="1">
      <alignment vertical="center" wrapText="1"/>
    </xf>
    <xf numFmtId="0" fontId="13" fillId="4" borderId="29" xfId="0" applyFont="1" applyFill="1" applyBorder="1" applyAlignment="1">
      <alignment vertical="center" wrapText="1"/>
    </xf>
    <xf numFmtId="187" fontId="46" fillId="11" borderId="6" xfId="1" applyFont="1" applyFill="1" applyBorder="1" applyAlignment="1"/>
    <xf numFmtId="3" fontId="13" fillId="11" borderId="6" xfId="0" applyNumberFormat="1" applyFont="1" applyFill="1" applyBorder="1" applyAlignment="1">
      <alignment horizontal="center" vertical="center" wrapText="1"/>
    </xf>
    <xf numFmtId="3" fontId="11" fillId="7" borderId="12" xfId="0" applyNumberFormat="1" applyFont="1" applyFill="1" applyBorder="1" applyAlignment="1">
      <alignment horizontal="center"/>
    </xf>
    <xf numFmtId="187" fontId="11" fillId="7" borderId="12" xfId="1" applyFont="1" applyFill="1" applyBorder="1" applyAlignment="1" applyProtection="1">
      <alignment horizontal="center"/>
    </xf>
    <xf numFmtId="3" fontId="11" fillId="7" borderId="31" xfId="0" applyNumberFormat="1" applyFont="1" applyFill="1" applyBorder="1" applyAlignment="1">
      <alignment horizontal="center"/>
    </xf>
    <xf numFmtId="187" fontId="11" fillId="7" borderId="31" xfId="1" applyFont="1" applyFill="1" applyBorder="1" applyAlignment="1" applyProtection="1">
      <alignment horizontal="center"/>
    </xf>
    <xf numFmtId="3" fontId="11" fillId="7" borderId="21" xfId="0" applyNumberFormat="1" applyFont="1" applyFill="1" applyBorder="1" applyAlignment="1">
      <alignment horizontal="center"/>
    </xf>
    <xf numFmtId="187" fontId="11" fillId="7" borderId="21" xfId="1" applyFont="1" applyFill="1" applyBorder="1" applyAlignment="1" applyProtection="1">
      <alignment horizontal="center"/>
    </xf>
    <xf numFmtId="3" fontId="11" fillId="7" borderId="36" xfId="0" applyNumberFormat="1" applyFont="1" applyFill="1" applyBorder="1" applyAlignment="1">
      <alignment horizontal="center"/>
    </xf>
    <xf numFmtId="187" fontId="11" fillId="7" borderId="36" xfId="1" applyFont="1" applyFill="1" applyBorder="1" applyAlignment="1" applyProtection="1">
      <alignment horizontal="center"/>
    </xf>
    <xf numFmtId="187" fontId="31" fillId="0" borderId="36" xfId="1" applyFont="1" applyBorder="1"/>
    <xf numFmtId="43" fontId="0" fillId="0" borderId="0" xfId="0" applyNumberFormat="1"/>
    <xf numFmtId="43" fontId="58" fillId="0" borderId="0" xfId="0" applyNumberFormat="1" applyFont="1"/>
    <xf numFmtId="0" fontId="11" fillId="0" borderId="31" xfId="0" applyFont="1" applyBorder="1" applyAlignment="1">
      <alignment horizontal="center"/>
    </xf>
    <xf numFmtId="187" fontId="11" fillId="0" borderId="31" xfId="1" applyFont="1" applyBorder="1" applyAlignment="1"/>
    <xf numFmtId="0" fontId="11" fillId="0" borderId="13" xfId="1" applyNumberFormat="1" applyFont="1" applyBorder="1" applyAlignment="1">
      <alignment horizontal="center"/>
    </xf>
    <xf numFmtId="0" fontId="46" fillId="2" borderId="13" xfId="0" applyFont="1" applyFill="1" applyBorder="1" applyAlignment="1">
      <alignment horizontal="center"/>
    </xf>
    <xf numFmtId="187" fontId="31" fillId="0" borderId="33" xfId="1" applyFont="1" applyBorder="1"/>
    <xf numFmtId="0" fontId="12" fillId="0" borderId="11" xfId="0" applyFont="1" applyFill="1" applyBorder="1" applyAlignment="1">
      <alignment horizontal="left"/>
    </xf>
    <xf numFmtId="187" fontId="31" fillId="0" borderId="13" xfId="1" applyFont="1" applyFill="1" applyBorder="1" applyAlignment="1">
      <alignment horizontal="center"/>
    </xf>
    <xf numFmtId="0" fontId="13" fillId="11" borderId="61" xfId="0" applyFont="1" applyFill="1" applyBorder="1" applyAlignment="1">
      <alignment vertical="center"/>
    </xf>
    <xf numFmtId="187" fontId="46" fillId="11" borderId="49" xfId="1" applyFont="1" applyFill="1" applyBorder="1" applyAlignment="1">
      <alignment horizontal="center"/>
    </xf>
    <xf numFmtId="0" fontId="13" fillId="3" borderId="58" xfId="0" applyFont="1" applyFill="1" applyBorder="1" applyAlignment="1">
      <alignment vertical="center" wrapText="1"/>
    </xf>
    <xf numFmtId="0" fontId="13" fillId="4" borderId="30" xfId="0" applyFont="1" applyFill="1" applyBorder="1" applyAlignment="1">
      <alignment vertical="center" wrapText="1"/>
    </xf>
    <xf numFmtId="0" fontId="12" fillId="0" borderId="17" xfId="0" applyFont="1" applyFill="1" applyBorder="1" applyAlignment="1">
      <alignment vertical="center" wrapText="1"/>
    </xf>
    <xf numFmtId="187" fontId="31" fillId="0" borderId="19" xfId="1" applyFont="1" applyFill="1" applyBorder="1" applyAlignment="1">
      <alignment horizontal="center"/>
    </xf>
    <xf numFmtId="0" fontId="12" fillId="0" borderId="20" xfId="0" applyFont="1" applyFill="1" applyBorder="1" applyAlignment="1">
      <alignment vertical="center" wrapText="1"/>
    </xf>
    <xf numFmtId="187" fontId="31" fillId="0" borderId="33" xfId="1" applyFont="1" applyFill="1" applyBorder="1" applyAlignment="1">
      <alignment horizontal="center"/>
    </xf>
    <xf numFmtId="0" fontId="12" fillId="0" borderId="32" xfId="0" applyFont="1" applyFill="1" applyBorder="1" applyAlignment="1">
      <alignment vertical="center" wrapText="1"/>
    </xf>
    <xf numFmtId="0" fontId="12" fillId="0" borderId="11" xfId="0" applyFont="1" applyFill="1" applyBorder="1" applyAlignment="1">
      <alignment vertical="center" wrapText="1"/>
    </xf>
    <xf numFmtId="3" fontId="11" fillId="0" borderId="11" xfId="2" applyNumberFormat="1" applyFont="1" applyFill="1" applyBorder="1" applyAlignment="1">
      <alignment horizontal="left" vertical="center"/>
    </xf>
    <xf numFmtId="3" fontId="11" fillId="0" borderId="32" xfId="2" applyNumberFormat="1" applyFont="1" applyFill="1" applyBorder="1" applyAlignment="1">
      <alignment horizontal="left" vertical="center"/>
    </xf>
    <xf numFmtId="0" fontId="11" fillId="0" borderId="35" xfId="0" applyFont="1" applyBorder="1" applyAlignment="1">
      <alignment horizontal="left"/>
    </xf>
    <xf numFmtId="0" fontId="11" fillId="0" borderId="20" xfId="0" applyFont="1" applyBorder="1" applyAlignment="1">
      <alignment horizontal="left"/>
    </xf>
    <xf numFmtId="0" fontId="12" fillId="0" borderId="51" xfId="0" applyFont="1" applyBorder="1" applyAlignment="1">
      <alignment horizontal="left"/>
    </xf>
    <xf numFmtId="0" fontId="0" fillId="0" borderId="12" xfId="0" applyBorder="1"/>
    <xf numFmtId="190" fontId="0" fillId="0" borderId="12" xfId="1" applyNumberFormat="1" applyFont="1" applyBorder="1"/>
    <xf numFmtId="0" fontId="0" fillId="6" borderId="12" xfId="0" applyFill="1" applyBorder="1"/>
    <xf numFmtId="190" fontId="0" fillId="6" borderId="12" xfId="1" applyNumberFormat="1" applyFont="1" applyFill="1" applyBorder="1"/>
    <xf numFmtId="0" fontId="0" fillId="8" borderId="31" xfId="0" applyFill="1" applyBorder="1"/>
    <xf numFmtId="0" fontId="8" fillId="6" borderId="12" xfId="0" applyFont="1" applyFill="1" applyBorder="1"/>
    <xf numFmtId="0" fontId="0" fillId="0" borderId="12" xfId="0" applyFill="1" applyBorder="1"/>
    <xf numFmtId="190" fontId="0" fillId="0" borderId="0" xfId="1" applyNumberFormat="1" applyFont="1"/>
    <xf numFmtId="190" fontId="0" fillId="6" borderId="48" xfId="1" applyNumberFormat="1" applyFont="1" applyFill="1" applyBorder="1"/>
    <xf numFmtId="0" fontId="0" fillId="8" borderId="12" xfId="0" applyFill="1" applyBorder="1"/>
    <xf numFmtId="190" fontId="0" fillId="8" borderId="12" xfId="1" applyNumberFormat="1" applyFont="1" applyFill="1" applyBorder="1"/>
    <xf numFmtId="0" fontId="8" fillId="8" borderId="12" xfId="0" applyFont="1" applyFill="1" applyBorder="1"/>
    <xf numFmtId="0" fontId="0" fillId="0" borderId="31" xfId="0" applyBorder="1"/>
    <xf numFmtId="190" fontId="0" fillId="0" borderId="31" xfId="1" applyNumberFormat="1" applyFont="1" applyBorder="1"/>
    <xf numFmtId="0" fontId="0" fillId="0" borderId="21" xfId="0" applyBorder="1"/>
    <xf numFmtId="190" fontId="0" fillId="0" borderId="21" xfId="1" applyNumberFormat="1" applyFont="1" applyBorder="1"/>
    <xf numFmtId="0" fontId="0" fillId="0" borderId="18" xfId="0" applyBorder="1"/>
    <xf numFmtId="190" fontId="0" fillId="0" borderId="18" xfId="1" applyNumberFormat="1" applyFont="1" applyBorder="1"/>
    <xf numFmtId="190" fontId="2" fillId="2" borderId="12" xfId="1" applyNumberFormat="1" applyFont="1" applyFill="1" applyBorder="1" applyAlignment="1">
      <alignment horizontal="center" vertical="center"/>
    </xf>
    <xf numFmtId="49" fontId="2" fillId="2" borderId="31" xfId="1" applyNumberFormat="1" applyFont="1" applyFill="1" applyBorder="1" applyAlignment="1">
      <alignment horizontal="center" vertical="center"/>
    </xf>
    <xf numFmtId="43" fontId="12" fillId="0" borderId="18" xfId="0" applyNumberFormat="1" applyFont="1" applyBorder="1"/>
    <xf numFmtId="191" fontId="0" fillId="0" borderId="0" xfId="0" applyNumberFormat="1"/>
    <xf numFmtId="49" fontId="0" fillId="0" borderId="0" xfId="0" applyNumberFormat="1"/>
    <xf numFmtId="190" fontId="0" fillId="6" borderId="12" xfId="0" applyNumberFormat="1" applyFill="1" applyBorder="1"/>
    <xf numFmtId="191" fontId="0" fillId="2" borderId="0" xfId="0" applyNumberFormat="1" applyFill="1"/>
    <xf numFmtId="0" fontId="0" fillId="2" borderId="0" xfId="0" applyFill="1"/>
    <xf numFmtId="190" fontId="8" fillId="6" borderId="12" xfId="0" applyNumberFormat="1" applyFont="1" applyFill="1" applyBorder="1"/>
    <xf numFmtId="0" fontId="0" fillId="0" borderId="18" xfId="0" applyFill="1" applyBorder="1" applyAlignment="1">
      <alignment horizontal="left"/>
    </xf>
    <xf numFmtId="190" fontId="0" fillId="0" borderId="18" xfId="1" applyNumberFormat="1" applyFont="1" applyFill="1" applyBorder="1" applyAlignment="1">
      <alignment horizontal="left"/>
    </xf>
    <xf numFmtId="0" fontId="0" fillId="0" borderId="12" xfId="0" applyFill="1" applyBorder="1" applyAlignment="1">
      <alignment horizontal="left"/>
    </xf>
    <xf numFmtId="190" fontId="0" fillId="0" borderId="12" xfId="1" applyNumberFormat="1" applyFont="1" applyFill="1" applyBorder="1" applyAlignment="1">
      <alignment horizontal="left"/>
    </xf>
    <xf numFmtId="190" fontId="8" fillId="8" borderId="12" xfId="0" applyNumberFormat="1" applyFont="1" applyFill="1" applyBorder="1"/>
    <xf numFmtId="190" fontId="0" fillId="0" borderId="0" xfId="0" applyNumberFormat="1"/>
    <xf numFmtId="43" fontId="12" fillId="0" borderId="21" xfId="0" applyNumberFormat="1" applyFont="1" applyBorder="1"/>
    <xf numFmtId="43" fontId="12" fillId="8" borderId="18" xfId="0" applyNumberFormat="1" applyFont="1" applyFill="1" applyBorder="1"/>
    <xf numFmtId="190" fontId="0" fillId="8" borderId="12" xfId="0" applyNumberFormat="1" applyFill="1" applyBorder="1"/>
    <xf numFmtId="49" fontId="0" fillId="8" borderId="12" xfId="1" applyNumberFormat="1" applyFont="1" applyFill="1" applyBorder="1" applyAlignment="1">
      <alignment vertical="center"/>
    </xf>
    <xf numFmtId="43" fontId="12" fillId="8" borderId="12" xfId="0" applyNumberFormat="1" applyFont="1" applyFill="1" applyBorder="1"/>
    <xf numFmtId="49" fontId="0" fillId="6" borderId="12" xfId="1" applyNumberFormat="1" applyFont="1" applyFill="1" applyBorder="1" applyAlignment="1">
      <alignment vertical="center"/>
    </xf>
    <xf numFmtId="49" fontId="23" fillId="8" borderId="12" xfId="1" applyNumberFormat="1" applyFont="1" applyFill="1" applyBorder="1" applyAlignment="1">
      <alignment vertical="center"/>
    </xf>
    <xf numFmtId="0" fontId="13" fillId="0" borderId="68" xfId="0" applyFont="1" applyBorder="1" applyAlignment="1">
      <alignment horizontal="center"/>
    </xf>
    <xf numFmtId="0" fontId="13" fillId="9" borderId="14" xfId="0" applyFont="1" applyFill="1" applyBorder="1" applyAlignment="1">
      <alignment vertical="center"/>
    </xf>
    <xf numFmtId="0" fontId="2" fillId="9" borderId="12" xfId="0" applyFon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3" fontId="11" fillId="0" borderId="31" xfId="0" applyNumberFormat="1" applyFont="1" applyBorder="1" applyAlignment="1">
      <alignment horizontal="left"/>
    </xf>
    <xf numFmtId="0" fontId="4" fillId="0" borderId="21" xfId="0" applyFont="1" applyBorder="1" applyAlignment="1">
      <alignment horizontal="center"/>
    </xf>
    <xf numFmtId="2" fontId="4" fillId="8" borderId="7" xfId="0" applyNumberFormat="1" applyFont="1" applyFill="1" applyBorder="1" applyAlignment="1">
      <alignment horizontal="center"/>
    </xf>
    <xf numFmtId="2" fontId="4" fillId="0" borderId="18" xfId="0" applyNumberFormat="1" applyFont="1" applyBorder="1" applyAlignment="1">
      <alignment horizontal="center"/>
    </xf>
    <xf numFmtId="0" fontId="12" fillId="4" borderId="7" xfId="0" applyFont="1" applyFill="1" applyBorder="1" applyAlignment="1">
      <alignment horizontal="center"/>
    </xf>
    <xf numFmtId="2" fontId="12" fillId="4" borderId="7" xfId="0" applyNumberFormat="1" applyFont="1" applyFill="1" applyBorder="1" applyAlignment="1">
      <alignment horizontal="center"/>
    </xf>
    <xf numFmtId="3" fontId="13" fillId="6" borderId="31" xfId="0" applyNumberFormat="1" applyFont="1" applyFill="1" applyBorder="1" applyAlignment="1">
      <alignment horizontal="center"/>
    </xf>
    <xf numFmtId="0" fontId="13" fillId="6" borderId="31" xfId="0" applyFont="1" applyFill="1" applyBorder="1" applyAlignment="1">
      <alignment horizontal="center"/>
    </xf>
    <xf numFmtId="2" fontId="4" fillId="0" borderId="21" xfId="0" applyNumberFormat="1" applyFont="1" applyBorder="1" applyAlignment="1">
      <alignment horizontal="center"/>
    </xf>
    <xf numFmtId="2" fontId="13" fillId="8" borderId="7" xfId="0" applyNumberFormat="1" applyFont="1" applyFill="1" applyBorder="1" applyAlignment="1">
      <alignment horizontal="center"/>
    </xf>
    <xf numFmtId="3" fontId="13" fillId="4" borderId="31" xfId="0" applyNumberFormat="1" applyFont="1" applyFill="1" applyBorder="1" applyAlignment="1">
      <alignment horizontal="center"/>
    </xf>
    <xf numFmtId="0" fontId="12" fillId="4" borderId="31" xfId="0" applyFont="1" applyFill="1" applyBorder="1" applyAlignment="1">
      <alignment horizontal="center"/>
    </xf>
    <xf numFmtId="2" fontId="12" fillId="4" borderId="31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11" fillId="7" borderId="18" xfId="0" applyFont="1" applyFill="1" applyBorder="1" applyAlignment="1">
      <alignment horizontal="left"/>
    </xf>
    <xf numFmtId="0" fontId="12" fillId="7" borderId="18" xfId="0" applyFont="1" applyFill="1" applyBorder="1" applyAlignment="1">
      <alignment horizontal="center"/>
    </xf>
    <xf numFmtId="0" fontId="12" fillId="7" borderId="12" xfId="0" applyFont="1" applyFill="1" applyBorder="1" applyAlignment="1">
      <alignment horizontal="center"/>
    </xf>
    <xf numFmtId="3" fontId="11" fillId="7" borderId="12" xfId="3" applyNumberFormat="1" applyFont="1" applyFill="1" applyBorder="1" applyAlignment="1" applyProtection="1">
      <alignment horizontal="left"/>
    </xf>
    <xf numFmtId="3" fontId="11" fillId="7" borderId="31" xfId="3" applyNumberFormat="1" applyFont="1" applyFill="1" applyBorder="1" applyAlignment="1" applyProtection="1">
      <alignment horizontal="left"/>
    </xf>
    <xf numFmtId="0" fontId="12" fillId="7" borderId="31" xfId="0" applyFont="1" applyFill="1" applyBorder="1" applyAlignment="1">
      <alignment horizontal="center"/>
    </xf>
    <xf numFmtId="187" fontId="13" fillId="4" borderId="31" xfId="1" applyFont="1" applyFill="1" applyBorder="1" applyAlignment="1">
      <alignment horizontal="center"/>
    </xf>
    <xf numFmtId="3" fontId="13" fillId="6" borderId="6" xfId="0" applyNumberFormat="1" applyFont="1" applyFill="1" applyBorder="1" applyAlignment="1">
      <alignment horizontal="center"/>
    </xf>
    <xf numFmtId="0" fontId="13" fillId="6" borderId="6" xfId="0" applyFont="1" applyFill="1" applyBorder="1" applyAlignment="1">
      <alignment horizontal="center"/>
    </xf>
    <xf numFmtId="0" fontId="13" fillId="6" borderId="7" xfId="0" applyFont="1" applyFill="1" applyBorder="1" applyAlignment="1">
      <alignment horizontal="center"/>
    </xf>
    <xf numFmtId="0" fontId="11" fillId="0" borderId="18" xfId="0" applyFont="1" applyFill="1" applyBorder="1" applyAlignment="1">
      <alignment horizontal="center"/>
    </xf>
    <xf numFmtId="0" fontId="11" fillId="0" borderId="12" xfId="0" applyFont="1" applyFill="1" applyBorder="1" applyAlignment="1">
      <alignment horizontal="center"/>
    </xf>
    <xf numFmtId="0" fontId="11" fillId="0" borderId="31" xfId="0" applyFont="1" applyFill="1" applyBorder="1" applyAlignment="1">
      <alignment horizontal="center"/>
    </xf>
    <xf numFmtId="3" fontId="11" fillId="0" borderId="2" xfId="0" applyNumberFormat="1" applyFont="1" applyBorder="1" applyAlignment="1">
      <alignment horizontal="left"/>
    </xf>
    <xf numFmtId="3" fontId="11" fillId="7" borderId="2" xfId="0" applyNumberFormat="1" applyFont="1" applyFill="1" applyBorder="1" applyAlignment="1">
      <alignment horizontal="center"/>
    </xf>
    <xf numFmtId="187" fontId="11" fillId="7" borderId="2" xfId="1" applyFont="1" applyFill="1" applyBorder="1" applyAlignment="1">
      <alignment horizontal="center"/>
    </xf>
    <xf numFmtId="0" fontId="11" fillId="0" borderId="3" xfId="0" applyFont="1" applyFill="1" applyBorder="1" applyAlignment="1">
      <alignment horizontal="center"/>
    </xf>
    <xf numFmtId="187" fontId="11" fillId="7" borderId="12" xfId="1" applyFont="1" applyFill="1" applyBorder="1" applyAlignment="1">
      <alignment horizontal="center"/>
    </xf>
    <xf numFmtId="3" fontId="11" fillId="7" borderId="40" xfId="0" applyNumberFormat="1" applyFont="1" applyFill="1" applyBorder="1" applyAlignment="1">
      <alignment horizontal="center"/>
    </xf>
    <xf numFmtId="187" fontId="11" fillId="7" borderId="40" xfId="1" applyFont="1" applyFill="1" applyBorder="1" applyAlignment="1">
      <alignment horizontal="center"/>
    </xf>
    <xf numFmtId="0" fontId="11" fillId="0" borderId="19" xfId="0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3" fontId="11" fillId="7" borderId="18" xfId="0" applyNumberFormat="1" applyFont="1" applyFill="1" applyBorder="1" applyAlignment="1">
      <alignment horizontal="center"/>
    </xf>
    <xf numFmtId="187" fontId="11" fillId="7" borderId="18" xfId="1" applyFont="1" applyFill="1" applyBorder="1" applyAlignment="1">
      <alignment horizontal="center"/>
    </xf>
    <xf numFmtId="187" fontId="11" fillId="7" borderId="31" xfId="1" applyFont="1" applyFill="1" applyBorder="1" applyAlignment="1">
      <alignment horizontal="center"/>
    </xf>
    <xf numFmtId="0" fontId="12" fillId="0" borderId="65" xfId="0" applyFont="1" applyBorder="1" applyAlignment="1">
      <alignment horizontal="center"/>
    </xf>
    <xf numFmtId="3" fontId="12" fillId="0" borderId="21" xfId="0" applyNumberFormat="1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43" fontId="4" fillId="0" borderId="0" xfId="0" applyNumberFormat="1" applyFont="1"/>
    <xf numFmtId="0" fontId="12" fillId="4" borderId="6" xfId="0" applyFont="1" applyFill="1" applyBorder="1" applyAlignment="1">
      <alignment horizontal="center"/>
    </xf>
    <xf numFmtId="0" fontId="13" fillId="6" borderId="46" xfId="0" applyFont="1" applyFill="1" applyBorder="1" applyAlignment="1">
      <alignment horizontal="center"/>
    </xf>
    <xf numFmtId="0" fontId="13" fillId="6" borderId="72" xfId="0" applyFont="1" applyFill="1" applyBorder="1" applyAlignment="1">
      <alignment horizontal="center"/>
    </xf>
    <xf numFmtId="2" fontId="13" fillId="8" borderId="10" xfId="0" applyNumberFormat="1" applyFont="1" applyFill="1" applyBorder="1" applyAlignment="1">
      <alignment horizontal="center"/>
    </xf>
    <xf numFmtId="43" fontId="13" fillId="4" borderId="10" xfId="0" applyNumberFormat="1" applyFont="1" applyFill="1" applyBorder="1" applyAlignment="1">
      <alignment horizontal="center"/>
    </xf>
    <xf numFmtId="2" fontId="6" fillId="0" borderId="18" xfId="0" applyNumberFormat="1" applyFont="1" applyBorder="1" applyAlignment="1">
      <alignment horizontal="center"/>
    </xf>
    <xf numFmtId="0" fontId="13" fillId="6" borderId="48" xfId="0" applyFont="1" applyFill="1" applyBorder="1" applyAlignment="1">
      <alignment horizontal="center"/>
    </xf>
    <xf numFmtId="43" fontId="13" fillId="6" borderId="72" xfId="0" applyNumberFormat="1" applyFont="1" applyFill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187" fontId="11" fillId="0" borderId="18" xfId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87" fontId="11" fillId="0" borderId="12" xfId="1" applyFont="1" applyBorder="1" applyAlignment="1">
      <alignment horizontal="center"/>
    </xf>
    <xf numFmtId="187" fontId="11" fillId="0" borderId="31" xfId="1" applyFont="1" applyBorder="1" applyAlignment="1">
      <alignment horizontal="center"/>
    </xf>
    <xf numFmtId="0" fontId="11" fillId="0" borderId="36" xfId="0" applyFont="1" applyBorder="1" applyAlignment="1">
      <alignment horizontal="center"/>
    </xf>
    <xf numFmtId="187" fontId="11" fillId="0" borderId="36" xfId="1" applyFont="1" applyBorder="1" applyAlignment="1">
      <alignment horizontal="center"/>
    </xf>
    <xf numFmtId="2" fontId="13" fillId="5" borderId="7" xfId="0" applyNumberFormat="1" applyFont="1" applyFill="1" applyBorder="1" applyAlignment="1">
      <alignment horizontal="center"/>
    </xf>
    <xf numFmtId="0" fontId="13" fillId="5" borderId="10" xfId="0" applyFont="1" applyFill="1" applyBorder="1" applyAlignment="1">
      <alignment horizontal="center"/>
    </xf>
    <xf numFmtId="2" fontId="13" fillId="4" borderId="10" xfId="0" applyNumberFormat="1" applyFont="1" applyFill="1" applyBorder="1" applyAlignment="1">
      <alignment horizontal="center"/>
    </xf>
    <xf numFmtId="0" fontId="12" fillId="0" borderId="18" xfId="0" applyFont="1" applyBorder="1" applyAlignment="1"/>
    <xf numFmtId="49" fontId="12" fillId="0" borderId="18" xfId="1" applyNumberFormat="1" applyFont="1" applyBorder="1" applyAlignment="1">
      <alignment horizontal="center"/>
    </xf>
    <xf numFmtId="187" fontId="12" fillId="0" borderId="18" xfId="1" applyNumberFormat="1" applyFont="1" applyBorder="1" applyAlignment="1">
      <alignment horizontal="center"/>
    </xf>
    <xf numFmtId="49" fontId="4" fillId="0" borderId="18" xfId="0" applyNumberFormat="1" applyFont="1" applyBorder="1" applyAlignment="1">
      <alignment horizontal="center"/>
    </xf>
    <xf numFmtId="49" fontId="13" fillId="5" borderId="10" xfId="0" applyNumberFormat="1" applyFont="1" applyFill="1" applyBorder="1" applyAlignment="1">
      <alignment horizontal="center"/>
    </xf>
    <xf numFmtId="0" fontId="13" fillId="7" borderId="14" xfId="0" applyFont="1" applyFill="1" applyBorder="1" applyAlignment="1"/>
    <xf numFmtId="0" fontId="12" fillId="7" borderId="18" xfId="0" applyFont="1" applyFill="1" applyBorder="1" applyAlignment="1">
      <alignment horizontal="left"/>
    </xf>
    <xf numFmtId="187" fontId="12" fillId="7" borderId="18" xfId="1" applyFont="1" applyFill="1" applyBorder="1" applyAlignment="1">
      <alignment horizontal="center"/>
    </xf>
    <xf numFmtId="0" fontId="13" fillId="7" borderId="65" xfId="0" applyFont="1" applyFill="1" applyBorder="1" applyAlignment="1"/>
    <xf numFmtId="0" fontId="12" fillId="7" borderId="12" xfId="0" applyFont="1" applyFill="1" applyBorder="1" applyAlignment="1">
      <alignment horizontal="left"/>
    </xf>
    <xf numFmtId="187" fontId="12" fillId="7" borderId="12" xfId="1" applyFont="1" applyFill="1" applyBorder="1" applyAlignment="1">
      <alignment horizontal="center"/>
    </xf>
    <xf numFmtId="2" fontId="12" fillId="7" borderId="18" xfId="0" applyNumberFormat="1" applyFont="1" applyFill="1" applyBorder="1" applyAlignment="1">
      <alignment horizontal="center"/>
    </xf>
    <xf numFmtId="187" fontId="13" fillId="5" borderId="6" xfId="0" applyNumberFormat="1" applyFont="1" applyFill="1" applyBorder="1" applyAlignment="1">
      <alignment vertical="center"/>
    </xf>
    <xf numFmtId="2" fontId="12" fillId="0" borderId="18" xfId="0" applyNumberFormat="1" applyFont="1" applyBorder="1" applyAlignment="1">
      <alignment horizontal="center"/>
    </xf>
    <xf numFmtId="49" fontId="12" fillId="4" borderId="18" xfId="0" applyNumberFormat="1" applyFont="1" applyFill="1" applyBorder="1" applyAlignment="1">
      <alignment horizontal="center"/>
    </xf>
    <xf numFmtId="187" fontId="4" fillId="2" borderId="7" xfId="1" applyFont="1" applyFill="1" applyBorder="1" applyAlignment="1">
      <alignment horizontal="center"/>
    </xf>
    <xf numFmtId="187" fontId="4" fillId="0" borderId="0" xfId="1" applyFont="1" applyAlignment="1"/>
    <xf numFmtId="0" fontId="4" fillId="0" borderId="12" xfId="0" applyFont="1" applyBorder="1" applyAlignment="1">
      <alignment horizontal="left"/>
    </xf>
    <xf numFmtId="187" fontId="6" fillId="0" borderId="12" xfId="1" applyFont="1" applyFill="1" applyBorder="1" applyAlignment="1">
      <alignment horizontal="center" vertical="center"/>
    </xf>
    <xf numFmtId="0" fontId="6" fillId="0" borderId="12" xfId="2" applyFont="1" applyFill="1" applyBorder="1" applyAlignment="1">
      <alignment horizontal="center"/>
    </xf>
    <xf numFmtId="43" fontId="6" fillId="0" borderId="12" xfId="2" applyNumberFormat="1" applyFont="1" applyFill="1" applyBorder="1" applyAlignment="1">
      <alignment horizontal="center"/>
    </xf>
    <xf numFmtId="187" fontId="4" fillId="0" borderId="12" xfId="1" applyFont="1" applyBorder="1" applyAlignment="1"/>
    <xf numFmtId="187" fontId="4" fillId="0" borderId="12" xfId="1" applyFont="1" applyBorder="1" applyAlignment="1">
      <alignment horizontal="center"/>
    </xf>
    <xf numFmtId="0" fontId="4" fillId="0" borderId="12" xfId="0" applyFont="1" applyBorder="1"/>
    <xf numFmtId="187" fontId="6" fillId="0" borderId="12" xfId="1" applyFont="1" applyFill="1" applyBorder="1" applyAlignment="1" applyProtection="1">
      <alignment horizontal="center" vertical="center"/>
    </xf>
    <xf numFmtId="3" fontId="2" fillId="5" borderId="12" xfId="0" applyNumberFormat="1" applyFont="1" applyFill="1" applyBorder="1" applyAlignment="1">
      <alignment horizontal="center"/>
    </xf>
    <xf numFmtId="187" fontId="2" fillId="5" borderId="12" xfId="1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187" fontId="2" fillId="5" borderId="12" xfId="1" applyFont="1" applyFill="1" applyBorder="1" applyAlignment="1"/>
    <xf numFmtId="0" fontId="4" fillId="0" borderId="12" xfId="1" applyNumberFormat="1" applyFont="1" applyBorder="1" applyAlignment="1">
      <alignment horizontal="center"/>
    </xf>
    <xf numFmtId="3" fontId="2" fillId="8" borderId="12" xfId="0" applyNumberFormat="1" applyFont="1" applyFill="1" applyBorder="1" applyAlignment="1">
      <alignment horizontal="center"/>
    </xf>
    <xf numFmtId="4" fontId="2" fillId="8" borderId="12" xfId="0" applyNumberFormat="1" applyFont="1" applyFill="1" applyBorder="1" applyAlignment="1">
      <alignment horizontal="right"/>
    </xf>
    <xf numFmtId="0" fontId="2" fillId="8" borderId="12" xfId="0" applyFont="1" applyFill="1" applyBorder="1" applyAlignment="1">
      <alignment horizontal="center"/>
    </xf>
    <xf numFmtId="187" fontId="2" fillId="8" borderId="12" xfId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center"/>
    </xf>
    <xf numFmtId="2" fontId="2" fillId="5" borderId="12" xfId="0" applyNumberFormat="1" applyFont="1" applyFill="1" applyBorder="1" applyAlignment="1">
      <alignment horizontal="center"/>
    </xf>
    <xf numFmtId="43" fontId="2" fillId="5" borderId="12" xfId="0" applyNumberFormat="1" applyFont="1" applyFill="1" applyBorder="1" applyAlignment="1">
      <alignment horizontal="center"/>
    </xf>
    <xf numFmtId="43" fontId="40" fillId="0" borderId="19" xfId="0" applyNumberFormat="1" applyFont="1" applyBorder="1"/>
    <xf numFmtId="43" fontId="40" fillId="0" borderId="33" xfId="0" applyNumberFormat="1" applyFont="1" applyBorder="1"/>
    <xf numFmtId="43" fontId="40" fillId="0" borderId="13" xfId="0" applyNumberFormat="1" applyFont="1" applyBorder="1"/>
    <xf numFmtId="43" fontId="38" fillId="8" borderId="13" xfId="0" applyNumberFormat="1" applyFont="1" applyFill="1" applyBorder="1"/>
    <xf numFmtId="43" fontId="38" fillId="5" borderId="13" xfId="0" applyNumberFormat="1" applyFont="1" applyFill="1" applyBorder="1"/>
    <xf numFmtId="3" fontId="41" fillId="0" borderId="1" xfId="2" applyNumberFormat="1" applyFont="1" applyFill="1" applyBorder="1" applyAlignment="1">
      <alignment vertical="center"/>
    </xf>
    <xf numFmtId="3" fontId="41" fillId="0" borderId="11" xfId="2" applyNumberFormat="1" applyFont="1" applyFill="1" applyBorder="1" applyAlignment="1">
      <alignment vertical="center"/>
    </xf>
    <xf numFmtId="3" fontId="41" fillId="0" borderId="28" xfId="2" applyNumberFormat="1" applyFont="1" applyFill="1" applyBorder="1" applyAlignment="1">
      <alignment vertical="center"/>
    </xf>
    <xf numFmtId="0" fontId="41" fillId="0" borderId="17" xfId="0" applyFont="1" applyBorder="1" applyAlignment="1"/>
    <xf numFmtId="0" fontId="40" fillId="0" borderId="1" xfId="0" applyFont="1" applyBorder="1" applyAlignment="1"/>
    <xf numFmtId="0" fontId="40" fillId="0" borderId="1" xfId="0" applyFont="1" applyBorder="1" applyAlignment="1">
      <alignment horizontal="left"/>
    </xf>
    <xf numFmtId="0" fontId="40" fillId="0" borderId="11" xfId="0" applyFont="1" applyBorder="1" applyAlignment="1">
      <alignment horizontal="left"/>
    </xf>
    <xf numFmtId="3" fontId="40" fillId="0" borderId="61" xfId="0" applyNumberFormat="1" applyFont="1" applyBorder="1"/>
    <xf numFmtId="3" fontId="41" fillId="0" borderId="35" xfId="2" applyNumberFormat="1" applyFont="1" applyFill="1" applyBorder="1" applyAlignment="1">
      <alignment vertical="center"/>
    </xf>
    <xf numFmtId="9" fontId="55" fillId="0" borderId="36" xfId="2" applyNumberFormat="1" applyFont="1" applyFill="1" applyBorder="1" applyAlignment="1">
      <alignment horizontal="center" vertical="center"/>
    </xf>
    <xf numFmtId="3" fontId="41" fillId="0" borderId="36" xfId="2" applyNumberFormat="1" applyFont="1" applyFill="1" applyBorder="1" applyAlignment="1">
      <alignment horizontal="center" vertical="center"/>
    </xf>
    <xf numFmtId="0" fontId="40" fillId="7" borderId="36" xfId="4" applyNumberFormat="1" applyFont="1" applyFill="1" applyBorder="1" applyAlignment="1" applyProtection="1">
      <alignment horizontal="center"/>
    </xf>
    <xf numFmtId="187" fontId="40" fillId="7" borderId="36" xfId="1" applyFont="1" applyFill="1" applyBorder="1" applyAlignment="1" applyProtection="1">
      <alignment horizontal="center"/>
    </xf>
    <xf numFmtId="0" fontId="40" fillId="0" borderId="36" xfId="0" applyFont="1" applyBorder="1" applyAlignment="1">
      <alignment horizontal="center"/>
    </xf>
    <xf numFmtId="43" fontId="40" fillId="0" borderId="37" xfId="0" applyNumberFormat="1" applyFont="1" applyBorder="1"/>
    <xf numFmtId="43" fontId="60" fillId="11" borderId="33" xfId="0" applyNumberFormat="1" applyFont="1" applyFill="1" applyBorder="1"/>
    <xf numFmtId="43" fontId="60" fillId="11" borderId="7" xfId="0" applyNumberFormat="1" applyFont="1" applyFill="1" applyBorder="1"/>
    <xf numFmtId="3" fontId="41" fillId="0" borderId="60" xfId="2" applyNumberFormat="1" applyFont="1" applyFill="1" applyBorder="1" applyAlignment="1">
      <alignment vertical="center"/>
    </xf>
    <xf numFmtId="43" fontId="38" fillId="8" borderId="33" xfId="0" applyNumberFormat="1" applyFont="1" applyFill="1" applyBorder="1"/>
    <xf numFmtId="4" fontId="59" fillId="11" borderId="7" xfId="2" applyNumberFormat="1" applyFont="1" applyFill="1" applyBorder="1" applyAlignment="1">
      <alignment vertical="center"/>
    </xf>
    <xf numFmtId="9" fontId="55" fillId="0" borderId="2" xfId="0" applyNumberFormat="1" applyFont="1" applyBorder="1" applyAlignment="1">
      <alignment horizontal="center"/>
    </xf>
    <xf numFmtId="187" fontId="40" fillId="7" borderId="2" xfId="1" applyFont="1" applyFill="1" applyBorder="1" applyAlignment="1" applyProtection="1">
      <alignment horizontal="center"/>
    </xf>
    <xf numFmtId="0" fontId="40" fillId="0" borderId="2" xfId="0" applyFont="1" applyBorder="1" applyAlignment="1">
      <alignment horizontal="center"/>
    </xf>
    <xf numFmtId="43" fontId="40" fillId="0" borderId="3" xfId="0" applyNumberFormat="1" applyFont="1" applyBorder="1"/>
    <xf numFmtId="9" fontId="55" fillId="0" borderId="12" xfId="0" applyNumberFormat="1" applyFont="1" applyBorder="1" applyAlignment="1">
      <alignment horizontal="center"/>
    </xf>
    <xf numFmtId="9" fontId="55" fillId="0" borderId="18" xfId="0" applyNumberFormat="1" applyFont="1" applyBorder="1" applyAlignment="1">
      <alignment horizontal="center"/>
    </xf>
    <xf numFmtId="9" fontId="55" fillId="0" borderId="31" xfId="0" applyNumberFormat="1" applyFont="1" applyBorder="1" applyAlignment="1">
      <alignment horizontal="center"/>
    </xf>
    <xf numFmtId="43" fontId="60" fillId="5" borderId="13" xfId="0" applyNumberFormat="1" applyFont="1" applyFill="1" applyBorder="1"/>
    <xf numFmtId="43" fontId="60" fillId="11" borderId="37" xfId="0" applyNumberFormat="1" applyFont="1" applyFill="1" applyBorder="1"/>
    <xf numFmtId="0" fontId="62" fillId="0" borderId="0" xfId="0" applyFont="1" applyAlignment="1">
      <alignment vertical="center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13" fillId="6" borderId="9" xfId="0" applyFont="1" applyFill="1" applyBorder="1" applyAlignment="1">
      <alignment horizontal="center" vertical="top"/>
    </xf>
    <xf numFmtId="0" fontId="13" fillId="6" borderId="15" xfId="0" applyFont="1" applyFill="1" applyBorder="1" applyAlignment="1">
      <alignment horizontal="center" vertical="top"/>
    </xf>
    <xf numFmtId="0" fontId="13" fillId="8" borderId="5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4" borderId="14" xfId="0" applyFont="1" applyFill="1" applyBorder="1" applyAlignment="1">
      <alignment horizontal="center"/>
    </xf>
    <xf numFmtId="0" fontId="13" fillId="4" borderId="15" xfId="0" applyFont="1" applyFill="1" applyBorder="1" applyAlignment="1">
      <alignment horizontal="center"/>
    </xf>
    <xf numFmtId="0" fontId="13" fillId="0" borderId="14" xfId="0" applyFont="1" applyBorder="1" applyAlignment="1">
      <alignment horizontal="center" vertical="top"/>
    </xf>
    <xf numFmtId="0" fontId="13" fillId="0" borderId="65" xfId="0" applyFont="1" applyBorder="1" applyAlignment="1">
      <alignment horizontal="center" vertical="top"/>
    </xf>
    <xf numFmtId="0" fontId="13" fillId="0" borderId="43" xfId="0" applyFont="1" applyBorder="1" applyAlignment="1">
      <alignment horizontal="center" vertical="top"/>
    </xf>
    <xf numFmtId="0" fontId="13" fillId="4" borderId="9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 vertical="top"/>
    </xf>
    <xf numFmtId="0" fontId="27" fillId="5" borderId="9" xfId="0" applyFont="1" applyFill="1" applyBorder="1" applyAlignment="1">
      <alignment horizontal="left"/>
    </xf>
    <xf numFmtId="0" fontId="27" fillId="5" borderId="4" xfId="0" applyFont="1" applyFill="1" applyBorder="1" applyAlignment="1">
      <alignment horizontal="left"/>
    </xf>
    <xf numFmtId="0" fontId="27" fillId="5" borderId="10" xfId="0" applyFont="1" applyFill="1" applyBorder="1" applyAlignment="1">
      <alignment horizontal="left"/>
    </xf>
    <xf numFmtId="0" fontId="30" fillId="12" borderId="9" xfId="0" applyFont="1" applyFill="1" applyBorder="1" applyAlignment="1">
      <alignment horizontal="left"/>
    </xf>
    <xf numFmtId="0" fontId="30" fillId="12" borderId="4" xfId="0" applyFont="1" applyFill="1" applyBorder="1" applyAlignment="1">
      <alignment horizontal="left"/>
    </xf>
    <xf numFmtId="0" fontId="30" fillId="12" borderId="59" xfId="0" applyFont="1" applyFill="1" applyBorder="1" applyAlignment="1">
      <alignment horizontal="left"/>
    </xf>
    <xf numFmtId="0" fontId="30" fillId="12" borderId="10" xfId="0" applyFont="1" applyFill="1" applyBorder="1" applyAlignment="1">
      <alignment horizontal="left"/>
    </xf>
    <xf numFmtId="0" fontId="13" fillId="6" borderId="4" xfId="0" applyFont="1" applyFill="1" applyBorder="1" applyAlignment="1">
      <alignment horizontal="center" vertical="top"/>
    </xf>
    <xf numFmtId="0" fontId="13" fillId="6" borderId="59" xfId="0" applyFont="1" applyFill="1" applyBorder="1" applyAlignment="1">
      <alignment horizontal="center" vertical="top"/>
    </xf>
    <xf numFmtId="0" fontId="13" fillId="0" borderId="68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74" xfId="0" applyFont="1" applyBorder="1" applyAlignment="1">
      <alignment horizontal="center" vertical="top"/>
    </xf>
    <xf numFmtId="0" fontId="13" fillId="0" borderId="75" xfId="0" applyFont="1" applyBorder="1" applyAlignment="1">
      <alignment horizontal="center" vertical="top"/>
    </xf>
    <xf numFmtId="0" fontId="13" fillId="0" borderId="21" xfId="0" applyFont="1" applyBorder="1" applyAlignment="1">
      <alignment horizontal="center" vertical="center"/>
    </xf>
    <xf numFmtId="0" fontId="13" fillId="4" borderId="43" xfId="0" applyFont="1" applyFill="1" applyBorder="1" applyAlignment="1">
      <alignment horizontal="center"/>
    </xf>
    <xf numFmtId="0" fontId="13" fillId="4" borderId="44" xfId="0" applyFont="1" applyFill="1" applyBorder="1" applyAlignment="1">
      <alignment horizontal="center"/>
    </xf>
    <xf numFmtId="0" fontId="13" fillId="0" borderId="73" xfId="0" applyFont="1" applyBorder="1" applyAlignment="1">
      <alignment horizontal="center" vertical="top"/>
    </xf>
    <xf numFmtId="0" fontId="13" fillId="5" borderId="5" xfId="0" applyFont="1" applyFill="1" applyBorder="1" applyAlignment="1">
      <alignment horizontal="center"/>
    </xf>
    <xf numFmtId="0" fontId="13" fillId="5" borderId="6" xfId="0" applyFont="1" applyFill="1" applyBorder="1" applyAlignment="1">
      <alignment horizontal="center"/>
    </xf>
    <xf numFmtId="0" fontId="13" fillId="7" borderId="68" xfId="0" applyFont="1" applyFill="1" applyBorder="1" applyAlignment="1">
      <alignment horizontal="center" vertical="center"/>
    </xf>
    <xf numFmtId="0" fontId="13" fillId="7" borderId="21" xfId="0" applyFont="1" applyFill="1" applyBorder="1" applyAlignment="1">
      <alignment horizontal="center" vertical="center"/>
    </xf>
    <xf numFmtId="0" fontId="13" fillId="7" borderId="40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6" fillId="0" borderId="68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13" fillId="6" borderId="44" xfId="0" applyFont="1" applyFill="1" applyBorder="1" applyAlignment="1">
      <alignment horizontal="center" vertical="top"/>
    </xf>
    <xf numFmtId="0" fontId="13" fillId="6" borderId="55" xfId="0" applyFont="1" applyFill="1" applyBorder="1" applyAlignment="1">
      <alignment horizontal="center" vertical="top"/>
    </xf>
    <xf numFmtId="0" fontId="30" fillId="0" borderId="6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40" xfId="0" applyFont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187" fontId="2" fillId="0" borderId="12" xfId="1" applyFont="1" applyBorder="1" applyAlignment="1">
      <alignment horizontal="center" vertical="center"/>
    </xf>
    <xf numFmtId="187" fontId="2" fillId="0" borderId="12" xfId="1" applyFont="1" applyFill="1" applyBorder="1" applyAlignment="1">
      <alignment horizontal="center" vertical="center"/>
    </xf>
    <xf numFmtId="187" fontId="2" fillId="0" borderId="12" xfId="1" applyFont="1" applyFill="1" applyBorder="1" applyAlignment="1">
      <alignment horizontal="center" vertical="center" wrapText="1"/>
    </xf>
    <xf numFmtId="0" fontId="2" fillId="8" borderId="48" xfId="0" applyFont="1" applyFill="1" applyBorder="1" applyAlignment="1">
      <alignment horizontal="center"/>
    </xf>
    <xf numFmtId="0" fontId="2" fillId="8" borderId="50" xfId="0" applyFont="1" applyFill="1" applyBorder="1" applyAlignment="1">
      <alignment horizontal="center"/>
    </xf>
    <xf numFmtId="0" fontId="2" fillId="8" borderId="34" xfId="0" applyFont="1" applyFill="1" applyBorder="1" applyAlignment="1">
      <alignment horizontal="center"/>
    </xf>
    <xf numFmtId="0" fontId="32" fillId="12" borderId="48" xfId="0" applyFont="1" applyFill="1" applyBorder="1" applyAlignment="1">
      <alignment horizontal="left"/>
    </xf>
    <xf numFmtId="0" fontId="32" fillId="12" borderId="50" xfId="0" applyFont="1" applyFill="1" applyBorder="1" applyAlignment="1">
      <alignment horizontal="left"/>
    </xf>
    <xf numFmtId="0" fontId="32" fillId="12" borderId="34" xfId="0" applyFont="1" applyFill="1" applyBorder="1" applyAlignment="1">
      <alignment horizontal="left"/>
    </xf>
    <xf numFmtId="0" fontId="2" fillId="0" borderId="31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2" fillId="5" borderId="12" xfId="0" applyFont="1" applyFill="1" applyBorder="1" applyAlignment="1">
      <alignment horizontal="center"/>
    </xf>
    <xf numFmtId="0" fontId="48" fillId="8" borderId="29" xfId="0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32" fillId="4" borderId="48" xfId="0" applyFont="1" applyFill="1" applyBorder="1" applyAlignment="1">
      <alignment horizontal="left"/>
    </xf>
    <xf numFmtId="0" fontId="32" fillId="4" borderId="50" xfId="0" applyFont="1" applyFill="1" applyBorder="1" applyAlignment="1">
      <alignment horizontal="left"/>
    </xf>
    <xf numFmtId="0" fontId="32" fillId="4" borderId="34" xfId="0" applyFont="1" applyFill="1" applyBorder="1" applyAlignment="1">
      <alignment horizontal="left"/>
    </xf>
    <xf numFmtId="0" fontId="8" fillId="6" borderId="9" xfId="0" applyFont="1" applyFill="1" applyBorder="1" applyAlignment="1">
      <alignment horizontal="left" vertical="center"/>
    </xf>
    <xf numFmtId="0" fontId="8" fillId="6" borderId="4" xfId="0" applyFont="1" applyFill="1" applyBorder="1" applyAlignment="1">
      <alignment horizontal="left" vertical="center"/>
    </xf>
    <xf numFmtId="0" fontId="8" fillId="6" borderId="10" xfId="0" applyFont="1" applyFill="1" applyBorder="1" applyAlignment="1">
      <alignment horizontal="left" vertical="center"/>
    </xf>
    <xf numFmtId="0" fontId="16" fillId="10" borderId="69" xfId="0" applyFont="1" applyFill="1" applyBorder="1" applyAlignment="1">
      <alignment horizontal="center" vertical="center" wrapText="1"/>
    </xf>
    <xf numFmtId="0" fontId="16" fillId="10" borderId="39" xfId="0" applyFont="1" applyFill="1" applyBorder="1" applyAlignment="1">
      <alignment horizontal="center" vertical="center" wrapText="1"/>
    </xf>
    <xf numFmtId="3" fontId="2" fillId="10" borderId="68" xfId="0" applyNumberFormat="1" applyFont="1" applyFill="1" applyBorder="1" applyAlignment="1">
      <alignment horizontal="center" vertical="center"/>
    </xf>
    <xf numFmtId="3" fontId="2" fillId="10" borderId="40" xfId="0" applyNumberFormat="1" applyFont="1" applyFill="1" applyBorder="1" applyAlignment="1">
      <alignment horizontal="center" vertical="center"/>
    </xf>
    <xf numFmtId="3" fontId="4" fillId="10" borderId="71" xfId="0" applyNumberFormat="1" applyFont="1" applyFill="1" applyBorder="1" applyAlignment="1">
      <alignment horizontal="center" vertical="center"/>
    </xf>
    <xf numFmtId="3" fontId="4" fillId="10" borderId="68" xfId="0" applyNumberFormat="1" applyFont="1" applyFill="1" applyBorder="1" applyAlignment="1">
      <alignment horizontal="center" vertical="center"/>
    </xf>
    <xf numFmtId="3" fontId="4" fillId="10" borderId="70" xfId="0" applyNumberFormat="1" applyFont="1" applyFill="1" applyBorder="1" applyAlignment="1">
      <alignment horizontal="center" vertical="center"/>
    </xf>
    <xf numFmtId="3" fontId="4" fillId="10" borderId="55" xfId="0" applyNumberFormat="1" applyFont="1" applyFill="1" applyBorder="1" applyAlignment="1">
      <alignment horizontal="center" vertical="center"/>
    </xf>
    <xf numFmtId="3" fontId="4" fillId="10" borderId="40" xfId="0" applyNumberFormat="1" applyFont="1" applyFill="1" applyBorder="1" applyAlignment="1">
      <alignment horizontal="center" vertical="center"/>
    </xf>
    <xf numFmtId="3" fontId="4" fillId="10" borderId="42" xfId="0" applyNumberFormat="1" applyFont="1" applyFill="1" applyBorder="1" applyAlignment="1">
      <alignment horizontal="center" vertical="center"/>
    </xf>
    <xf numFmtId="43" fontId="2" fillId="8" borderId="62" xfId="0" applyNumberFormat="1" applyFont="1" applyFill="1" applyBorder="1" applyAlignment="1">
      <alignment horizontal="center"/>
    </xf>
    <xf numFmtId="43" fontId="2" fillId="8" borderId="38" xfId="0" applyNumberFormat="1" applyFont="1" applyFill="1" applyBorder="1" applyAlignment="1">
      <alignment horizontal="center"/>
    </xf>
    <xf numFmtId="43" fontId="7" fillId="9" borderId="62" xfId="0" applyNumberFormat="1" applyFont="1" applyFill="1" applyBorder="1" applyAlignment="1">
      <alignment horizontal="center"/>
    </xf>
    <xf numFmtId="43" fontId="7" fillId="9" borderId="63" xfId="0" applyNumberFormat="1" applyFont="1" applyFill="1" applyBorder="1" applyAlignment="1">
      <alignment horizontal="center"/>
    </xf>
    <xf numFmtId="43" fontId="7" fillId="9" borderId="38" xfId="0" applyNumberFormat="1" applyFont="1" applyFill="1" applyBorder="1" applyAlignment="1">
      <alignment horizontal="center"/>
    </xf>
    <xf numFmtId="187" fontId="0" fillId="8" borderId="67" xfId="1" applyFont="1" applyFill="1" applyBorder="1" applyAlignment="1">
      <alignment horizontal="center"/>
    </xf>
    <xf numFmtId="187" fontId="0" fillId="8" borderId="63" xfId="1" applyFont="1" applyFill="1" applyBorder="1" applyAlignment="1">
      <alignment horizontal="center"/>
    </xf>
    <xf numFmtId="187" fontId="0" fillId="8" borderId="64" xfId="1" applyFont="1" applyFill="1" applyBorder="1" applyAlignment="1">
      <alignment horizontal="center"/>
    </xf>
    <xf numFmtId="43" fontId="4" fillId="8" borderId="44" xfId="0" applyNumberFormat="1" applyFont="1" applyFill="1" applyBorder="1" applyAlignment="1">
      <alignment horizontal="center"/>
    </xf>
    <xf numFmtId="43" fontId="4" fillId="8" borderId="55" xfId="0" applyNumberFormat="1" applyFont="1" applyFill="1" applyBorder="1" applyAlignment="1">
      <alignment horizontal="center"/>
    </xf>
    <xf numFmtId="43" fontId="7" fillId="9" borderId="8" xfId="0" applyNumberFormat="1" applyFont="1" applyFill="1" applyBorder="1" applyAlignment="1">
      <alignment horizontal="center"/>
    </xf>
    <xf numFmtId="43" fontId="7" fillId="9" borderId="4" xfId="0" applyNumberFormat="1" applyFont="1" applyFill="1" applyBorder="1" applyAlignment="1">
      <alignment horizontal="center"/>
    </xf>
    <xf numFmtId="43" fontId="7" fillId="9" borderId="59" xfId="0" applyNumberFormat="1" applyFont="1" applyFill="1" applyBorder="1" applyAlignment="1">
      <alignment horizontal="center"/>
    </xf>
    <xf numFmtId="187" fontId="1" fillId="8" borderId="8" xfId="1" applyFont="1" applyFill="1" applyBorder="1" applyAlignment="1">
      <alignment horizontal="center"/>
    </xf>
    <xf numFmtId="187" fontId="1" fillId="8" borderId="4" xfId="1" applyFont="1" applyFill="1" applyBorder="1" applyAlignment="1">
      <alignment horizontal="center"/>
    </xf>
    <xf numFmtId="187" fontId="1" fillId="8" borderId="59" xfId="1" applyFont="1" applyFill="1" applyBorder="1" applyAlignment="1">
      <alignment horizontal="center"/>
    </xf>
    <xf numFmtId="187" fontId="2" fillId="8" borderId="9" xfId="0" applyNumberFormat="1" applyFont="1" applyFill="1" applyBorder="1" applyAlignment="1">
      <alignment horizontal="center"/>
    </xf>
    <xf numFmtId="187" fontId="2" fillId="8" borderId="59" xfId="0" applyNumberFormat="1" applyFont="1" applyFill="1" applyBorder="1" applyAlignment="1">
      <alignment horizontal="center"/>
    </xf>
    <xf numFmtId="187" fontId="7" fillId="9" borderId="9" xfId="0" applyNumberFormat="1" applyFont="1" applyFill="1" applyBorder="1" applyAlignment="1">
      <alignment horizontal="center"/>
    </xf>
    <xf numFmtId="187" fontId="7" fillId="9" borderId="4" xfId="0" applyNumberFormat="1" applyFont="1" applyFill="1" applyBorder="1" applyAlignment="1">
      <alignment horizontal="center"/>
    </xf>
    <xf numFmtId="187" fontId="7" fillId="9" borderId="59" xfId="0" applyNumberFormat="1" applyFont="1" applyFill="1" applyBorder="1" applyAlignment="1">
      <alignment horizontal="center"/>
    </xf>
    <xf numFmtId="187" fontId="20" fillId="8" borderId="8" xfId="1" applyFont="1" applyFill="1" applyBorder="1" applyAlignment="1">
      <alignment horizontal="center"/>
    </xf>
    <xf numFmtId="187" fontId="20" fillId="8" borderId="4" xfId="1" applyFont="1" applyFill="1" applyBorder="1" applyAlignment="1">
      <alignment horizontal="center"/>
    </xf>
    <xf numFmtId="187" fontId="20" fillId="8" borderId="10" xfId="1" applyFont="1" applyFill="1" applyBorder="1" applyAlignment="1">
      <alignment horizontal="center"/>
    </xf>
    <xf numFmtId="187" fontId="4" fillId="8" borderId="9" xfId="0" applyNumberFormat="1" applyFont="1" applyFill="1" applyBorder="1" applyAlignment="1">
      <alignment horizontal="center"/>
    </xf>
    <xf numFmtId="187" fontId="4" fillId="8" borderId="4" xfId="0" applyNumberFormat="1" applyFont="1" applyFill="1" applyBorder="1" applyAlignment="1">
      <alignment horizontal="center"/>
    </xf>
    <xf numFmtId="187" fontId="8" fillId="8" borderId="8" xfId="1" applyFont="1" applyFill="1" applyBorder="1" applyAlignment="1">
      <alignment horizontal="center"/>
    </xf>
    <xf numFmtId="187" fontId="8" fillId="8" borderId="4" xfId="1" applyFont="1" applyFill="1" applyBorder="1" applyAlignment="1">
      <alignment horizontal="center"/>
    </xf>
    <xf numFmtId="187" fontId="8" fillId="8" borderId="10" xfId="1" applyFont="1" applyFill="1" applyBorder="1" applyAlignment="1">
      <alignment horizontal="center"/>
    </xf>
    <xf numFmtId="0" fontId="17" fillId="3" borderId="27" xfId="0" applyFont="1" applyFill="1" applyBorder="1" applyAlignment="1">
      <alignment horizontal="left" vertical="center"/>
    </xf>
    <xf numFmtId="0" fontId="17" fillId="3" borderId="24" xfId="0" applyFont="1" applyFill="1" applyBorder="1" applyAlignment="1">
      <alignment horizontal="left" vertical="center"/>
    </xf>
    <xf numFmtId="0" fontId="17" fillId="3" borderId="26" xfId="0" applyFont="1" applyFill="1" applyBorder="1" applyAlignment="1">
      <alignment horizontal="left" vertical="center"/>
    </xf>
    <xf numFmtId="0" fontId="24" fillId="6" borderId="28" xfId="0" applyFont="1" applyFill="1" applyBorder="1" applyAlignment="1">
      <alignment horizontal="left" vertical="center"/>
    </xf>
    <xf numFmtId="0" fontId="24" fillId="6" borderId="29" xfId="0" applyFont="1" applyFill="1" applyBorder="1" applyAlignment="1">
      <alignment horizontal="left" vertical="center"/>
    </xf>
    <xf numFmtId="0" fontId="24" fillId="6" borderId="30" xfId="0" applyFont="1" applyFill="1" applyBorder="1" applyAlignment="1">
      <alignment horizontal="left" vertical="center"/>
    </xf>
    <xf numFmtId="0" fontId="10" fillId="4" borderId="62" xfId="0" applyFont="1" applyFill="1" applyBorder="1" applyAlignment="1">
      <alignment horizontal="left" vertical="center"/>
    </xf>
    <xf numFmtId="0" fontId="10" fillId="4" borderId="63" xfId="0" applyFont="1" applyFill="1" applyBorder="1" applyAlignment="1">
      <alignment horizontal="left" vertical="center"/>
    </xf>
    <xf numFmtId="0" fontId="10" fillId="4" borderId="64" xfId="0" applyFont="1" applyFill="1" applyBorder="1" applyAlignment="1">
      <alignment horizontal="left" vertical="center"/>
    </xf>
    <xf numFmtId="3" fontId="2" fillId="10" borderId="70" xfId="0" applyNumberFormat="1" applyFont="1" applyFill="1" applyBorder="1" applyAlignment="1">
      <alignment horizontal="center" vertical="center"/>
    </xf>
    <xf numFmtId="3" fontId="2" fillId="10" borderId="42" xfId="0" applyNumberFormat="1" applyFont="1" applyFill="1" applyBorder="1" applyAlignment="1">
      <alignment horizontal="center" vertical="center"/>
    </xf>
    <xf numFmtId="187" fontId="15" fillId="9" borderId="8" xfId="1" applyFont="1" applyFill="1" applyBorder="1" applyAlignment="1">
      <alignment horizontal="center"/>
    </xf>
    <xf numFmtId="187" fontId="15" fillId="9" borderId="4" xfId="1" applyFont="1" applyFill="1" applyBorder="1" applyAlignment="1">
      <alignment horizontal="center"/>
    </xf>
    <xf numFmtId="187" fontId="15" fillId="9" borderId="59" xfId="1" applyFont="1" applyFill="1" applyBorder="1" applyAlignment="1">
      <alignment horizontal="center"/>
    </xf>
    <xf numFmtId="187" fontId="18" fillId="9" borderId="8" xfId="1" applyFont="1" applyFill="1" applyBorder="1" applyAlignment="1">
      <alignment horizontal="center"/>
    </xf>
    <xf numFmtId="187" fontId="18" fillId="9" borderId="4" xfId="1" applyFont="1" applyFill="1" applyBorder="1" applyAlignment="1">
      <alignment horizontal="center"/>
    </xf>
    <xf numFmtId="187" fontId="18" fillId="9" borderId="10" xfId="1" applyFont="1" applyFill="1" applyBorder="1" applyAlignment="1">
      <alignment horizontal="center"/>
    </xf>
    <xf numFmtId="187" fontId="9" fillId="9" borderId="8" xfId="1" applyFont="1" applyFill="1" applyBorder="1" applyAlignment="1">
      <alignment horizontal="center"/>
    </xf>
    <xf numFmtId="187" fontId="9" fillId="9" borderId="4" xfId="1" applyFont="1" applyFill="1" applyBorder="1" applyAlignment="1">
      <alignment horizontal="center"/>
    </xf>
    <xf numFmtId="187" fontId="9" fillId="9" borderId="10" xfId="1" applyFont="1" applyFill="1" applyBorder="1" applyAlignment="1">
      <alignment horizontal="center"/>
    </xf>
    <xf numFmtId="187" fontId="21" fillId="8" borderId="14" xfId="1" applyFont="1" applyFill="1" applyBorder="1" applyAlignment="1">
      <alignment horizontal="center" vertical="center" wrapText="1"/>
    </xf>
    <xf numFmtId="187" fontId="8" fillId="8" borderId="15" xfId="1" applyFont="1" applyFill="1" applyBorder="1" applyAlignment="1">
      <alignment horizontal="center" vertical="center" wrapText="1"/>
    </xf>
    <xf numFmtId="187" fontId="8" fillId="8" borderId="16" xfId="1" applyFont="1" applyFill="1" applyBorder="1" applyAlignment="1">
      <alignment horizontal="center" vertical="center" wrapText="1"/>
    </xf>
    <xf numFmtId="187" fontId="8" fillId="8" borderId="65" xfId="1" applyFont="1" applyFill="1" applyBorder="1" applyAlignment="1">
      <alignment horizontal="center" vertical="center" wrapText="1"/>
    </xf>
    <xf numFmtId="187" fontId="8" fillId="8" borderId="0" xfId="1" applyFont="1" applyFill="1" applyBorder="1" applyAlignment="1">
      <alignment horizontal="center" vertical="center" wrapText="1"/>
    </xf>
    <xf numFmtId="187" fontId="8" fillId="8" borderId="58" xfId="1" applyFont="1" applyFill="1" applyBorder="1" applyAlignment="1">
      <alignment horizontal="center" vertical="center" wrapText="1"/>
    </xf>
    <xf numFmtId="187" fontId="8" fillId="8" borderId="43" xfId="1" applyFont="1" applyFill="1" applyBorder="1" applyAlignment="1">
      <alignment horizontal="center" vertical="center" wrapText="1"/>
    </xf>
    <xf numFmtId="187" fontId="8" fillId="8" borderId="44" xfId="1" applyFont="1" applyFill="1" applyBorder="1" applyAlignment="1">
      <alignment horizontal="center" vertical="center" wrapText="1"/>
    </xf>
    <xf numFmtId="187" fontId="8" fillId="8" borderId="45" xfId="1" applyFont="1" applyFill="1" applyBorder="1" applyAlignment="1">
      <alignment horizontal="center" vertical="center" wrapText="1"/>
    </xf>
    <xf numFmtId="187" fontId="0" fillId="8" borderId="8" xfId="1" applyFont="1" applyFill="1" applyBorder="1" applyAlignment="1">
      <alignment horizontal="center"/>
    </xf>
    <xf numFmtId="187" fontId="0" fillId="8" borderId="4" xfId="1" applyFont="1" applyFill="1" applyBorder="1" applyAlignment="1">
      <alignment horizontal="center"/>
    </xf>
    <xf numFmtId="187" fontId="0" fillId="8" borderId="59" xfId="1" applyFont="1" applyFill="1" applyBorder="1" applyAlignment="1">
      <alignment horizontal="center"/>
    </xf>
    <xf numFmtId="187" fontId="0" fillId="8" borderId="10" xfId="1" applyFont="1" applyFill="1" applyBorder="1" applyAlignment="1">
      <alignment horizontal="center"/>
    </xf>
    <xf numFmtId="187" fontId="0" fillId="8" borderId="38" xfId="1" applyFont="1" applyFill="1" applyBorder="1" applyAlignment="1">
      <alignment horizontal="center"/>
    </xf>
    <xf numFmtId="43" fontId="7" fillId="9" borderId="41" xfId="0" applyNumberFormat="1" applyFont="1" applyFill="1" applyBorder="1" applyAlignment="1">
      <alignment horizontal="center"/>
    </xf>
    <xf numFmtId="43" fontId="7" fillId="9" borderId="55" xfId="0" applyNumberFormat="1" applyFont="1" applyFill="1" applyBorder="1" applyAlignment="1">
      <alignment horizontal="center"/>
    </xf>
    <xf numFmtId="187" fontId="2" fillId="8" borderId="4" xfId="0" applyNumberFormat="1" applyFont="1" applyFill="1" applyBorder="1" applyAlignment="1">
      <alignment horizontal="center"/>
    </xf>
    <xf numFmtId="0" fontId="16" fillId="10" borderId="69" xfId="0" applyFont="1" applyFill="1" applyBorder="1" applyAlignment="1">
      <alignment horizontal="center" vertical="center"/>
    </xf>
    <xf numFmtId="0" fontId="16" fillId="10" borderId="39" xfId="0" applyFont="1" applyFill="1" applyBorder="1" applyAlignment="1">
      <alignment horizontal="center" vertical="center"/>
    </xf>
    <xf numFmtId="43" fontId="2" fillId="8" borderId="63" xfId="0" applyNumberFormat="1" applyFont="1" applyFill="1" applyBorder="1" applyAlignment="1">
      <alignment horizontal="center"/>
    </xf>
    <xf numFmtId="0" fontId="10" fillId="3" borderId="27" xfId="0" applyFont="1" applyFill="1" applyBorder="1" applyAlignment="1">
      <alignment horizontal="left" vertical="center"/>
    </xf>
    <xf numFmtId="0" fontId="10" fillId="3" borderId="24" xfId="0" applyFont="1" applyFill="1" applyBorder="1" applyAlignment="1">
      <alignment horizontal="left" vertical="center"/>
    </xf>
    <xf numFmtId="0" fontId="10" fillId="3" borderId="26" xfId="0" applyFont="1" applyFill="1" applyBorder="1" applyAlignment="1">
      <alignment horizontal="left" vertical="center"/>
    </xf>
    <xf numFmtId="43" fontId="2" fillId="8" borderId="41" xfId="0" applyNumberFormat="1" applyFont="1" applyFill="1" applyBorder="1" applyAlignment="1">
      <alignment horizontal="center"/>
    </xf>
    <xf numFmtId="43" fontId="2" fillId="8" borderId="55" xfId="0" applyNumberFormat="1" applyFont="1" applyFill="1" applyBorder="1" applyAlignment="1">
      <alignment horizontal="center"/>
    </xf>
    <xf numFmtId="187" fontId="9" fillId="9" borderId="59" xfId="1" applyFont="1" applyFill="1" applyBorder="1" applyAlignment="1">
      <alignment horizontal="center"/>
    </xf>
    <xf numFmtId="0" fontId="2" fillId="10" borderId="69" xfId="0" applyFont="1" applyFill="1" applyBorder="1" applyAlignment="1">
      <alignment horizontal="center" vertical="center" wrapText="1"/>
    </xf>
    <xf numFmtId="0" fontId="2" fillId="10" borderId="39" xfId="0" applyFont="1" applyFill="1" applyBorder="1" applyAlignment="1">
      <alignment horizontal="center" vertical="center" wrapText="1"/>
    </xf>
    <xf numFmtId="187" fontId="9" fillId="9" borderId="67" xfId="1" applyFont="1" applyFill="1" applyBorder="1" applyAlignment="1">
      <alignment horizontal="center"/>
    </xf>
    <xf numFmtId="187" fontId="9" fillId="9" borderId="63" xfId="1" applyFont="1" applyFill="1" applyBorder="1" applyAlignment="1">
      <alignment horizontal="center"/>
    </xf>
    <xf numFmtId="187" fontId="9" fillId="9" borderId="38" xfId="1" applyFont="1" applyFill="1" applyBorder="1" applyAlignment="1">
      <alignment horizontal="center"/>
    </xf>
    <xf numFmtId="0" fontId="2" fillId="10" borderId="69" xfId="0" applyFont="1" applyFill="1" applyBorder="1" applyAlignment="1">
      <alignment horizontal="center" vertical="center"/>
    </xf>
    <xf numFmtId="0" fontId="2" fillId="10" borderId="39" xfId="0" applyFont="1" applyFill="1" applyBorder="1" applyAlignment="1">
      <alignment horizontal="center" vertical="center"/>
    </xf>
    <xf numFmtId="0" fontId="13" fillId="5" borderId="65" xfId="0" applyFont="1" applyFill="1" applyBorder="1" applyAlignment="1">
      <alignment horizontal="center" vertical="center"/>
    </xf>
    <xf numFmtId="0" fontId="13" fillId="5" borderId="0" xfId="0" applyFont="1" applyFill="1" applyBorder="1" applyAlignment="1">
      <alignment horizontal="center" vertical="center"/>
    </xf>
    <xf numFmtId="0" fontId="13" fillId="5" borderId="58" xfId="0" applyFont="1" applyFill="1" applyBorder="1" applyAlignment="1">
      <alignment horizontal="center" vertical="center"/>
    </xf>
    <xf numFmtId="0" fontId="13" fillId="5" borderId="43" xfId="0" applyFont="1" applyFill="1" applyBorder="1" applyAlignment="1">
      <alignment horizontal="center" vertical="center"/>
    </xf>
    <xf numFmtId="0" fontId="13" fillId="5" borderId="44" xfId="0" applyFont="1" applyFill="1" applyBorder="1" applyAlignment="1">
      <alignment horizontal="center" vertical="center"/>
    </xf>
    <xf numFmtId="0" fontId="13" fillId="5" borderId="45" xfId="0" applyFont="1" applyFill="1" applyBorder="1" applyAlignment="1">
      <alignment horizontal="center" vertical="center"/>
    </xf>
    <xf numFmtId="187" fontId="3" fillId="2" borderId="4" xfId="1" applyFont="1" applyFill="1" applyBorder="1" applyAlignment="1">
      <alignment horizontal="center" vertical="center" wrapText="1"/>
    </xf>
    <xf numFmtId="187" fontId="3" fillId="2" borderId="10" xfId="1" applyFont="1" applyFill="1" applyBorder="1" applyAlignment="1">
      <alignment horizontal="center" vertical="center" wrapText="1"/>
    </xf>
    <xf numFmtId="187" fontId="3" fillId="2" borderId="9" xfId="1" applyFont="1" applyFill="1" applyBorder="1" applyAlignment="1">
      <alignment horizontal="center" vertical="center" wrapText="1"/>
    </xf>
    <xf numFmtId="187" fontId="2" fillId="2" borderId="23" xfId="1" applyFont="1" applyFill="1" applyBorder="1" applyAlignment="1">
      <alignment horizontal="center" vertical="center"/>
    </xf>
    <xf numFmtId="187" fontId="2" fillId="2" borderId="24" xfId="1" applyFont="1" applyFill="1" applyBorder="1" applyAlignment="1">
      <alignment horizontal="center" vertical="center"/>
    </xf>
    <xf numFmtId="187" fontId="2" fillId="2" borderId="25" xfId="1" applyFont="1" applyFill="1" applyBorder="1" applyAlignment="1">
      <alignment horizontal="center" vertical="center"/>
    </xf>
    <xf numFmtId="187" fontId="2" fillId="2" borderId="31" xfId="1" applyFont="1" applyFill="1" applyBorder="1" applyAlignment="1">
      <alignment horizontal="center" vertical="center"/>
    </xf>
    <xf numFmtId="187" fontId="2" fillId="2" borderId="21" xfId="1" applyFont="1" applyFill="1" applyBorder="1" applyAlignment="1">
      <alignment horizontal="center" vertical="center"/>
    </xf>
    <xf numFmtId="187" fontId="2" fillId="2" borderId="13" xfId="1" applyFont="1" applyFill="1" applyBorder="1" applyAlignment="1">
      <alignment horizontal="center" vertical="center"/>
    </xf>
    <xf numFmtId="187" fontId="2" fillId="2" borderId="37" xfId="1" applyFont="1" applyFill="1" applyBorder="1" applyAlignment="1">
      <alignment horizontal="center" vertical="center"/>
    </xf>
    <xf numFmtId="187" fontId="2" fillId="2" borderId="11" xfId="1" applyFont="1" applyFill="1" applyBorder="1" applyAlignment="1">
      <alignment horizontal="center" vertical="center"/>
    </xf>
    <xf numFmtId="187" fontId="2" fillId="2" borderId="35" xfId="1" applyFont="1" applyFill="1" applyBorder="1" applyAlignment="1">
      <alignment horizontal="center" vertical="center"/>
    </xf>
    <xf numFmtId="187" fontId="2" fillId="2" borderId="12" xfId="1" applyFont="1" applyFill="1" applyBorder="1" applyAlignment="1">
      <alignment horizontal="center" vertical="center"/>
    </xf>
    <xf numFmtId="187" fontId="2" fillId="2" borderId="36" xfId="1" applyFont="1" applyFill="1" applyBorder="1" applyAlignment="1">
      <alignment horizontal="center" vertical="center"/>
    </xf>
    <xf numFmtId="187" fontId="2" fillId="2" borderId="34" xfId="1" applyFont="1" applyFill="1" applyBorder="1" applyAlignment="1">
      <alignment horizontal="center" vertical="center"/>
    </xf>
    <xf numFmtId="187" fontId="2" fillId="2" borderId="38" xfId="1" applyFont="1" applyFill="1" applyBorder="1" applyAlignment="1">
      <alignment horizontal="center" vertical="center"/>
    </xf>
    <xf numFmtId="187" fontId="2" fillId="2" borderId="40" xfId="1" applyFont="1" applyFill="1" applyBorder="1" applyAlignment="1">
      <alignment horizontal="center" vertical="center"/>
    </xf>
    <xf numFmtId="187" fontId="2" fillId="2" borderId="33" xfId="1" applyFont="1" applyFill="1" applyBorder="1" applyAlignment="1">
      <alignment horizontal="center" vertical="center"/>
    </xf>
    <xf numFmtId="187" fontId="2" fillId="2" borderId="42" xfId="1" applyFont="1" applyFill="1" applyBorder="1" applyAlignment="1">
      <alignment horizontal="center" vertical="center"/>
    </xf>
    <xf numFmtId="187" fontId="2" fillId="2" borderId="26" xfId="1" applyFont="1" applyFill="1" applyBorder="1" applyAlignment="1">
      <alignment horizontal="center" vertical="center"/>
    </xf>
    <xf numFmtId="187" fontId="2" fillId="2" borderId="2" xfId="1" applyFont="1" applyFill="1" applyBorder="1" applyAlignment="1">
      <alignment horizontal="center" vertical="center"/>
    </xf>
    <xf numFmtId="187" fontId="2" fillId="2" borderId="1" xfId="1" applyFont="1" applyFill="1" applyBorder="1" applyAlignment="1">
      <alignment horizontal="center" vertical="center"/>
    </xf>
    <xf numFmtId="187" fontId="2" fillId="2" borderId="5" xfId="1" applyFont="1" applyFill="1" applyBorder="1" applyAlignment="1">
      <alignment horizontal="center" vertical="center"/>
    </xf>
    <xf numFmtId="187" fontId="2" fillId="2" borderId="6" xfId="1" applyFont="1" applyFill="1" applyBorder="1" applyAlignment="1">
      <alignment horizontal="center" vertical="center"/>
    </xf>
    <xf numFmtId="187" fontId="2" fillId="2" borderId="8" xfId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14" fillId="3" borderId="43" xfId="0" applyFont="1" applyFill="1" applyBorder="1" applyAlignment="1">
      <alignment horizontal="left" vertical="center"/>
    </xf>
    <xf numFmtId="0" fontId="14" fillId="3" borderId="44" xfId="0" applyFont="1" applyFill="1" applyBorder="1" applyAlignment="1">
      <alignment horizontal="left" vertical="center"/>
    </xf>
    <xf numFmtId="0" fontId="14" fillId="3" borderId="45" xfId="0" applyFont="1" applyFill="1" applyBorder="1" applyAlignment="1">
      <alignment horizontal="left" vertical="center"/>
    </xf>
    <xf numFmtId="43" fontId="7" fillId="9" borderId="9" xfId="0" applyNumberFormat="1" applyFont="1" applyFill="1" applyBorder="1" applyAlignment="1">
      <alignment horizontal="center"/>
    </xf>
    <xf numFmtId="0" fontId="4" fillId="8" borderId="8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9" xfId="0" applyFont="1" applyFill="1" applyBorder="1" applyAlignment="1">
      <alignment horizontal="center"/>
    </xf>
    <xf numFmtId="0" fontId="4" fillId="8" borderId="10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187" fontId="7" fillId="9" borderId="10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187" fontId="2" fillId="2" borderId="4" xfId="1" applyFont="1" applyFill="1" applyBorder="1" applyAlignment="1">
      <alignment horizontal="center" vertical="center" wrapText="1"/>
    </xf>
    <xf numFmtId="187" fontId="2" fillId="2" borderId="7" xfId="1" applyFont="1" applyFill="1" applyBorder="1" applyAlignment="1">
      <alignment horizontal="center" vertical="center"/>
    </xf>
    <xf numFmtId="187" fontId="2" fillId="2" borderId="22" xfId="1" applyFont="1" applyFill="1" applyBorder="1" applyAlignment="1">
      <alignment horizontal="center" vertical="center"/>
    </xf>
    <xf numFmtId="187" fontId="2" fillId="2" borderId="41" xfId="1" applyFont="1" applyFill="1" applyBorder="1" applyAlignment="1">
      <alignment horizontal="center" vertical="center"/>
    </xf>
    <xf numFmtId="0" fontId="25" fillId="0" borderId="44" xfId="0" applyFont="1" applyBorder="1" applyAlignment="1">
      <alignment horizontal="left" vertical="top"/>
    </xf>
    <xf numFmtId="187" fontId="2" fillId="2" borderId="27" xfId="1" applyFont="1" applyFill="1" applyBorder="1" applyAlignment="1">
      <alignment horizontal="center" vertical="center"/>
    </xf>
    <xf numFmtId="187" fontId="2" fillId="2" borderId="32" xfId="1" applyFont="1" applyFill="1" applyBorder="1" applyAlignment="1">
      <alignment horizontal="center" vertical="center"/>
    </xf>
    <xf numFmtId="187" fontId="2" fillId="2" borderId="39" xfId="1" applyFont="1" applyFill="1" applyBorder="1" applyAlignment="1">
      <alignment horizontal="center" vertical="center"/>
    </xf>
    <xf numFmtId="187" fontId="2" fillId="2" borderId="51" xfId="1" applyFont="1" applyFill="1" applyBorder="1" applyAlignment="1">
      <alignment horizontal="center" vertical="center"/>
    </xf>
    <xf numFmtId="187" fontId="2" fillId="2" borderId="55" xfId="1" applyFont="1" applyFill="1" applyBorder="1" applyAlignment="1">
      <alignment horizontal="center" vertical="center"/>
    </xf>
    <xf numFmtId="187" fontId="2" fillId="2" borderId="48" xfId="1" applyFont="1" applyFill="1" applyBorder="1" applyAlignment="1">
      <alignment horizontal="center" vertical="center"/>
    </xf>
    <xf numFmtId="187" fontId="2" fillId="2" borderId="67" xfId="1" applyFont="1" applyFill="1" applyBorder="1" applyAlignment="1">
      <alignment horizontal="center" vertical="center"/>
    </xf>
    <xf numFmtId="187" fontId="2" fillId="2" borderId="14" xfId="1" applyFont="1" applyFill="1" applyBorder="1" applyAlignment="1">
      <alignment horizontal="center" vertical="center" wrapText="1"/>
    </xf>
    <xf numFmtId="187" fontId="2" fillId="2" borderId="15" xfId="1" applyFont="1" applyFill="1" applyBorder="1" applyAlignment="1">
      <alignment horizontal="center" vertical="center" wrapText="1"/>
    </xf>
    <xf numFmtId="187" fontId="2" fillId="2" borderId="16" xfId="1" applyFont="1" applyFill="1" applyBorder="1" applyAlignment="1">
      <alignment horizontal="center" vertical="center" wrapText="1"/>
    </xf>
    <xf numFmtId="187" fontId="2" fillId="2" borderId="28" xfId="1" applyFont="1" applyFill="1" applyBorder="1" applyAlignment="1">
      <alignment horizontal="center" vertical="center" wrapText="1"/>
    </xf>
    <xf numFmtId="187" fontId="2" fillId="2" borderId="29" xfId="1" applyFont="1" applyFill="1" applyBorder="1" applyAlignment="1">
      <alignment horizontal="center" vertical="center" wrapText="1"/>
    </xf>
    <xf numFmtId="187" fontId="2" fillId="2" borderId="30" xfId="1" applyFont="1" applyFill="1" applyBorder="1" applyAlignment="1">
      <alignment horizontal="center" vertical="center" wrapText="1"/>
    </xf>
    <xf numFmtId="187" fontId="2" fillId="2" borderId="17" xfId="1" applyFont="1" applyFill="1" applyBorder="1" applyAlignment="1">
      <alignment horizontal="center" vertical="center"/>
    </xf>
    <xf numFmtId="187" fontId="2" fillId="2" borderId="18" xfId="1" applyFont="1" applyFill="1" applyBorder="1" applyAlignment="1">
      <alignment horizontal="center" vertical="center"/>
    </xf>
    <xf numFmtId="187" fontId="2" fillId="2" borderId="19" xfId="1" applyFont="1" applyFill="1" applyBorder="1" applyAlignment="1">
      <alignment horizontal="center" vertical="center"/>
    </xf>
    <xf numFmtId="187" fontId="2" fillId="2" borderId="20" xfId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left" vertical="center"/>
    </xf>
    <xf numFmtId="0" fontId="2" fillId="6" borderId="10" xfId="0" applyFont="1" applyFill="1" applyBorder="1" applyAlignment="1">
      <alignment horizontal="left" vertical="center"/>
    </xf>
    <xf numFmtId="3" fontId="2" fillId="10" borderId="68" xfId="0" applyNumberFormat="1" applyFont="1" applyFill="1" applyBorder="1" applyAlignment="1">
      <alignment horizontal="center" vertical="center" wrapText="1"/>
    </xf>
    <xf numFmtId="3" fontId="2" fillId="10" borderId="40" xfId="0" applyNumberFormat="1" applyFont="1" applyFill="1" applyBorder="1" applyAlignment="1">
      <alignment horizontal="center" vertical="center" wrapText="1"/>
    </xf>
    <xf numFmtId="43" fontId="19" fillId="9" borderId="44" xfId="0" applyNumberFormat="1" applyFont="1" applyFill="1" applyBorder="1" applyAlignment="1">
      <alignment horizontal="center"/>
    </xf>
    <xf numFmtId="43" fontId="19" fillId="9" borderId="55" xfId="0" applyNumberFormat="1" applyFont="1" applyFill="1" applyBorder="1" applyAlignment="1">
      <alignment horizontal="center"/>
    </xf>
    <xf numFmtId="187" fontId="21" fillId="8" borderId="15" xfId="1" applyFont="1" applyFill="1" applyBorder="1" applyAlignment="1">
      <alignment horizontal="center" vertical="center" wrapText="1"/>
    </xf>
    <xf numFmtId="187" fontId="21" fillId="8" borderId="16" xfId="1" applyFont="1" applyFill="1" applyBorder="1" applyAlignment="1">
      <alignment horizontal="center" vertical="center" wrapText="1"/>
    </xf>
    <xf numFmtId="187" fontId="21" fillId="8" borderId="65" xfId="1" applyFont="1" applyFill="1" applyBorder="1" applyAlignment="1">
      <alignment horizontal="center" vertical="center" wrapText="1"/>
    </xf>
    <xf numFmtId="187" fontId="21" fillId="8" borderId="0" xfId="1" applyFont="1" applyFill="1" applyBorder="1" applyAlignment="1">
      <alignment horizontal="center" vertical="center" wrapText="1"/>
    </xf>
    <xf numFmtId="187" fontId="21" fillId="8" borderId="58" xfId="1" applyFont="1" applyFill="1" applyBorder="1" applyAlignment="1">
      <alignment horizontal="center" vertical="center" wrapText="1"/>
    </xf>
    <xf numFmtId="187" fontId="21" fillId="8" borderId="43" xfId="1" applyFont="1" applyFill="1" applyBorder="1" applyAlignment="1">
      <alignment horizontal="center" vertical="center" wrapText="1"/>
    </xf>
    <xf numFmtId="187" fontId="21" fillId="8" borderId="44" xfId="1" applyFont="1" applyFill="1" applyBorder="1" applyAlignment="1">
      <alignment horizontal="center" vertical="center" wrapText="1"/>
    </xf>
    <xf numFmtId="187" fontId="21" fillId="8" borderId="45" xfId="1" applyFont="1" applyFill="1" applyBorder="1" applyAlignment="1">
      <alignment horizontal="center" vertical="center" wrapText="1"/>
    </xf>
    <xf numFmtId="187" fontId="22" fillId="8" borderId="14" xfId="1" applyFont="1" applyFill="1" applyBorder="1" applyAlignment="1">
      <alignment horizontal="center" vertical="center" wrapText="1"/>
    </xf>
    <xf numFmtId="187" fontId="22" fillId="8" borderId="15" xfId="1" applyFont="1" applyFill="1" applyBorder="1" applyAlignment="1">
      <alignment horizontal="center" vertical="center" wrapText="1"/>
    </xf>
    <xf numFmtId="187" fontId="22" fillId="8" borderId="16" xfId="1" applyFont="1" applyFill="1" applyBorder="1" applyAlignment="1">
      <alignment horizontal="center" vertical="center" wrapText="1"/>
    </xf>
    <xf numFmtId="187" fontId="19" fillId="9" borderId="9" xfId="0" applyNumberFormat="1" applyFont="1" applyFill="1" applyBorder="1" applyAlignment="1">
      <alignment horizontal="center"/>
    </xf>
    <xf numFmtId="187" fontId="19" fillId="9" borderId="4" xfId="0" applyNumberFormat="1" applyFont="1" applyFill="1" applyBorder="1" applyAlignment="1">
      <alignment horizontal="center"/>
    </xf>
    <xf numFmtId="43" fontId="19" fillId="8" borderId="44" xfId="0" applyNumberFormat="1" applyFont="1" applyFill="1" applyBorder="1" applyAlignment="1">
      <alignment horizontal="center"/>
    </xf>
    <xf numFmtId="43" fontId="19" fillId="8" borderId="55" xfId="0" applyNumberFormat="1" applyFont="1" applyFill="1" applyBorder="1" applyAlignment="1">
      <alignment horizontal="center"/>
    </xf>
    <xf numFmtId="0" fontId="62" fillId="0" borderId="0" xfId="0" applyFont="1" applyAlignment="1">
      <alignment horizontal="left" vertical="center"/>
    </xf>
    <xf numFmtId="0" fontId="24" fillId="6" borderId="65" xfId="0" applyFont="1" applyFill="1" applyBorder="1" applyAlignment="1">
      <alignment horizontal="left" vertical="center"/>
    </xf>
    <xf numFmtId="0" fontId="24" fillId="6" borderId="0" xfId="0" applyFont="1" applyFill="1" applyBorder="1" applyAlignment="1">
      <alignment horizontal="left" vertical="center"/>
    </xf>
    <xf numFmtId="0" fontId="38" fillId="5" borderId="46" xfId="0" applyFont="1" applyFill="1" applyBorder="1" applyAlignment="1">
      <alignment horizontal="center"/>
    </xf>
    <xf numFmtId="0" fontId="38" fillId="5" borderId="29" xfId="0" applyFont="1" applyFill="1" applyBorder="1" applyAlignment="1">
      <alignment horizontal="center"/>
    </xf>
    <xf numFmtId="0" fontId="38" fillId="5" borderId="50" xfId="0" applyFont="1" applyFill="1" applyBorder="1" applyAlignment="1">
      <alignment horizontal="center"/>
    </xf>
    <xf numFmtId="3" fontId="17" fillId="3" borderId="23" xfId="2" applyNumberFormat="1" applyFont="1" applyFill="1" applyBorder="1" applyAlignment="1">
      <alignment horizontal="left" vertical="center"/>
    </xf>
    <xf numFmtId="3" fontId="17" fillId="3" borderId="24" xfId="2" applyNumberFormat="1" applyFont="1" applyFill="1" applyBorder="1" applyAlignment="1">
      <alignment horizontal="left" vertical="center"/>
    </xf>
    <xf numFmtId="3" fontId="17" fillId="3" borderId="25" xfId="2" applyNumberFormat="1" applyFont="1" applyFill="1" applyBorder="1" applyAlignment="1">
      <alignment horizontal="left" vertical="center"/>
    </xf>
    <xf numFmtId="0" fontId="38" fillId="11" borderId="46" xfId="0" applyFont="1" applyFill="1" applyBorder="1" applyAlignment="1">
      <alignment horizontal="center"/>
    </xf>
    <xf numFmtId="0" fontId="38" fillId="11" borderId="29" xfId="0" applyFont="1" applyFill="1" applyBorder="1" applyAlignment="1">
      <alignment horizontal="center"/>
    </xf>
    <xf numFmtId="0" fontId="38" fillId="11" borderId="50" xfId="0" applyFont="1" applyFill="1" applyBorder="1" applyAlignment="1">
      <alignment horizontal="center"/>
    </xf>
    <xf numFmtId="0" fontId="17" fillId="11" borderId="48" xfId="0" applyFont="1" applyFill="1" applyBorder="1" applyAlignment="1">
      <alignment horizontal="center"/>
    </xf>
    <xf numFmtId="0" fontId="17" fillId="11" borderId="50" xfId="0" applyFont="1" applyFill="1" applyBorder="1" applyAlignment="1">
      <alignment horizontal="center"/>
    </xf>
    <xf numFmtId="0" fontId="17" fillId="8" borderId="12" xfId="0" applyFont="1" applyFill="1" applyBorder="1" applyAlignment="1">
      <alignment horizontal="center"/>
    </xf>
    <xf numFmtId="3" fontId="17" fillId="8" borderId="9" xfId="2" applyNumberFormat="1" applyFont="1" applyFill="1" applyBorder="1" applyAlignment="1">
      <alignment horizontal="center" vertical="center"/>
    </xf>
    <xf numFmtId="3" fontId="17" fillId="8" borderId="4" xfId="2" applyNumberFormat="1" applyFont="1" applyFill="1" applyBorder="1" applyAlignment="1">
      <alignment horizontal="center" vertical="center"/>
    </xf>
    <xf numFmtId="3" fontId="17" fillId="11" borderId="14" xfId="2" applyNumberFormat="1" applyFont="1" applyFill="1" applyBorder="1" applyAlignment="1">
      <alignment horizontal="center" vertical="center"/>
    </xf>
    <xf numFmtId="3" fontId="17" fillId="11" borderId="15" xfId="2" applyNumberFormat="1" applyFont="1" applyFill="1" applyBorder="1" applyAlignment="1">
      <alignment horizontal="center" vertical="center"/>
    </xf>
    <xf numFmtId="0" fontId="38" fillId="8" borderId="48" xfId="0" applyFont="1" applyFill="1" applyBorder="1" applyAlignment="1">
      <alignment horizontal="center"/>
    </xf>
    <xf numFmtId="0" fontId="38" fillId="8" borderId="50" xfId="0" applyFont="1" applyFill="1" applyBorder="1" applyAlignment="1">
      <alignment horizontal="center"/>
    </xf>
    <xf numFmtId="0" fontId="38" fillId="3" borderId="9" xfId="0" applyFont="1" applyFill="1" applyBorder="1" applyAlignment="1">
      <alignment horizontal="left"/>
    </xf>
    <xf numFmtId="0" fontId="38" fillId="3" borderId="4" xfId="0" applyFont="1" applyFill="1" applyBorder="1" applyAlignment="1">
      <alignment horizontal="left"/>
    </xf>
    <xf numFmtId="0" fontId="38" fillId="3" borderId="10" xfId="0" applyFont="1" applyFill="1" applyBorder="1" applyAlignment="1">
      <alignment horizontal="left"/>
    </xf>
    <xf numFmtId="0" fontId="38" fillId="6" borderId="9" xfId="0" applyFont="1" applyFill="1" applyBorder="1" applyAlignment="1">
      <alignment horizontal="left"/>
    </xf>
    <xf numFmtId="0" fontId="38" fillId="6" borderId="4" xfId="0" applyFont="1" applyFill="1" applyBorder="1" applyAlignment="1">
      <alignment horizontal="left"/>
    </xf>
    <xf numFmtId="0" fontId="38" fillId="6" borderId="59" xfId="0" applyFont="1" applyFill="1" applyBorder="1" applyAlignment="1">
      <alignment horizontal="left"/>
    </xf>
    <xf numFmtId="0" fontId="38" fillId="6" borderId="10" xfId="0" applyFont="1" applyFill="1" applyBorder="1" applyAlignment="1">
      <alignment horizontal="left"/>
    </xf>
    <xf numFmtId="0" fontId="38" fillId="6" borderId="23" xfId="0" applyFont="1" applyFill="1" applyBorder="1" applyAlignment="1">
      <alignment horizontal="left"/>
    </xf>
    <xf numFmtId="0" fontId="38" fillId="6" borderId="24" xfId="0" applyFont="1" applyFill="1" applyBorder="1" applyAlignment="1">
      <alignment horizontal="left"/>
    </xf>
    <xf numFmtId="0" fontId="38" fillId="6" borderId="25" xfId="0" applyFont="1" applyFill="1" applyBorder="1" applyAlignment="1">
      <alignment horizontal="left"/>
    </xf>
    <xf numFmtId="0" fontId="38" fillId="11" borderId="31" xfId="0" applyFont="1" applyFill="1" applyBorder="1" applyAlignment="1">
      <alignment horizontal="center"/>
    </xf>
    <xf numFmtId="0" fontId="38" fillId="4" borderId="9" xfId="0" applyFont="1" applyFill="1" applyBorder="1" applyAlignment="1">
      <alignment horizontal="left"/>
    </xf>
    <xf numFmtId="0" fontId="38" fillId="4" borderId="4" xfId="0" applyFont="1" applyFill="1" applyBorder="1" applyAlignment="1">
      <alignment horizontal="left"/>
    </xf>
    <xf numFmtId="0" fontId="38" fillId="4" borderId="10" xfId="0" applyFont="1" applyFill="1" applyBorder="1" applyAlignment="1">
      <alignment horizontal="left"/>
    </xf>
    <xf numFmtId="3" fontId="17" fillId="6" borderId="27" xfId="2" applyNumberFormat="1" applyFont="1" applyFill="1" applyBorder="1" applyAlignment="1">
      <alignment horizontal="left" vertical="center"/>
    </xf>
    <xf numFmtId="3" fontId="17" fillId="6" borderId="24" xfId="2" applyNumberFormat="1" applyFont="1" applyFill="1" applyBorder="1" applyAlignment="1">
      <alignment horizontal="left" vertical="center"/>
    </xf>
    <xf numFmtId="3" fontId="17" fillId="6" borderId="25" xfId="2" applyNumberFormat="1" applyFont="1" applyFill="1" applyBorder="1" applyAlignment="1">
      <alignment horizontal="left" vertical="center"/>
    </xf>
    <xf numFmtId="3" fontId="17" fillId="8" borderId="9" xfId="0" applyNumberFormat="1" applyFont="1" applyFill="1" applyBorder="1" applyAlignment="1">
      <alignment horizontal="center"/>
    </xf>
    <xf numFmtId="3" fontId="17" fillId="8" borderId="4" xfId="0" applyNumberFormat="1" applyFont="1" applyFill="1" applyBorder="1" applyAlignment="1">
      <alignment horizontal="center"/>
    </xf>
    <xf numFmtId="3" fontId="17" fillId="8" borderId="10" xfId="0" applyNumberFormat="1" applyFont="1" applyFill="1" applyBorder="1" applyAlignment="1">
      <alignment horizontal="center"/>
    </xf>
    <xf numFmtId="3" fontId="17" fillId="11" borderId="9" xfId="2" applyNumberFormat="1" applyFont="1" applyFill="1" applyBorder="1" applyAlignment="1">
      <alignment horizontal="center" vertical="center"/>
    </xf>
    <xf numFmtId="3" fontId="17" fillId="11" borderId="4" xfId="2" applyNumberFormat="1" applyFont="1" applyFill="1" applyBorder="1" applyAlignment="1">
      <alignment horizontal="center" vertical="center"/>
    </xf>
    <xf numFmtId="0" fontId="17" fillId="6" borderId="46" xfId="0" applyFont="1" applyFill="1" applyBorder="1" applyAlignment="1">
      <alignment horizontal="left"/>
    </xf>
    <xf numFmtId="0" fontId="17" fillId="6" borderId="29" xfId="0" applyFont="1" applyFill="1" applyBorder="1" applyAlignment="1">
      <alignment horizontal="left"/>
    </xf>
    <xf numFmtId="0" fontId="17" fillId="6" borderId="47" xfId="0" applyFont="1" applyFill="1" applyBorder="1" applyAlignment="1">
      <alignment horizontal="left"/>
    </xf>
    <xf numFmtId="0" fontId="17" fillId="4" borderId="60" xfId="0" applyFont="1" applyFill="1" applyBorder="1" applyAlignment="1">
      <alignment horizontal="left"/>
    </xf>
    <xf numFmtId="0" fontId="17" fillId="4" borderId="54" xfId="0" applyFont="1" applyFill="1" applyBorder="1" applyAlignment="1">
      <alignment horizontal="left"/>
    </xf>
    <xf numFmtId="0" fontId="17" fillId="4" borderId="51" xfId="0" applyFont="1" applyFill="1" applyBorder="1" applyAlignment="1">
      <alignment horizontal="left"/>
    </xf>
    <xf numFmtId="0" fontId="38" fillId="11" borderId="22" xfId="0" applyFont="1" applyFill="1" applyBorder="1" applyAlignment="1">
      <alignment horizontal="center"/>
    </xf>
    <xf numFmtId="0" fontId="38" fillId="11" borderId="0" xfId="0" applyFont="1" applyFill="1" applyBorder="1" applyAlignment="1">
      <alignment horizontal="center"/>
    </xf>
    <xf numFmtId="0" fontId="38" fillId="11" borderId="54" xfId="0" applyFont="1" applyFill="1" applyBorder="1" applyAlignment="1">
      <alignment horizontal="center"/>
    </xf>
    <xf numFmtId="0" fontId="56" fillId="5" borderId="60" xfId="0" applyFont="1" applyFill="1" applyBorder="1" applyAlignment="1">
      <alignment horizontal="center"/>
    </xf>
    <xf numFmtId="0" fontId="56" fillId="5" borderId="54" xfId="0" applyFont="1" applyFill="1" applyBorder="1" applyAlignment="1">
      <alignment horizontal="center"/>
    </xf>
    <xf numFmtId="0" fontId="13" fillId="2" borderId="31" xfId="0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horizontal="center" vertical="center" wrapText="1"/>
    </xf>
    <xf numFmtId="1" fontId="17" fillId="8" borderId="9" xfId="3" applyNumberFormat="1" applyFont="1" applyFill="1" applyBorder="1" applyAlignment="1" applyProtection="1">
      <alignment horizontal="center"/>
    </xf>
    <xf numFmtId="1" fontId="17" fillId="8" borderId="4" xfId="3" applyNumberFormat="1" applyFont="1" applyFill="1" applyBorder="1" applyAlignment="1" applyProtection="1">
      <alignment horizontal="center"/>
    </xf>
    <xf numFmtId="1" fontId="17" fillId="8" borderId="10" xfId="3" applyNumberFormat="1" applyFont="1" applyFill="1" applyBorder="1" applyAlignment="1" applyProtection="1">
      <alignment horizontal="center"/>
    </xf>
    <xf numFmtId="3" fontId="17" fillId="11" borderId="43" xfId="2" applyNumberFormat="1" applyFont="1" applyFill="1" applyBorder="1" applyAlignment="1">
      <alignment horizontal="center" vertical="center"/>
    </xf>
    <xf numFmtId="3" fontId="17" fillId="11" borderId="44" xfId="2" applyNumberFormat="1" applyFont="1" applyFill="1" applyBorder="1" applyAlignment="1">
      <alignment horizontal="center" vertical="center"/>
    </xf>
    <xf numFmtId="0" fontId="56" fillId="11" borderId="62" xfId="0" applyFont="1" applyFill="1" applyBorder="1" applyAlignment="1">
      <alignment horizontal="center"/>
    </xf>
    <xf numFmtId="0" fontId="56" fillId="11" borderId="63" xfId="0" applyFont="1" applyFill="1" applyBorder="1" applyAlignment="1">
      <alignment horizontal="center"/>
    </xf>
    <xf numFmtId="3" fontId="17" fillId="8" borderId="48" xfId="0" applyNumberFormat="1" applyFont="1" applyFill="1" applyBorder="1" applyAlignment="1">
      <alignment horizontal="center"/>
    </xf>
    <xf numFmtId="3" fontId="17" fillId="8" borderId="50" xfId="0" applyNumberFormat="1" applyFont="1" applyFill="1" applyBorder="1" applyAlignment="1">
      <alignment horizontal="center"/>
    </xf>
    <xf numFmtId="0" fontId="17" fillId="8" borderId="48" xfId="0" applyFont="1" applyFill="1" applyBorder="1" applyAlignment="1">
      <alignment horizontal="center"/>
    </xf>
    <xf numFmtId="0" fontId="17" fillId="8" borderId="50" xfId="0" applyFont="1" applyFill="1" applyBorder="1" applyAlignment="1">
      <alignment horizontal="center"/>
    </xf>
    <xf numFmtId="0" fontId="56" fillId="11" borderId="60" xfId="0" applyFont="1" applyFill="1" applyBorder="1" applyAlignment="1">
      <alignment horizontal="center"/>
    </xf>
    <xf numFmtId="0" fontId="56" fillId="11" borderId="54" xfId="0" applyFont="1" applyFill="1" applyBorder="1" applyAlignment="1">
      <alignment horizontal="center"/>
    </xf>
    <xf numFmtId="3" fontId="17" fillId="3" borderId="65" xfId="2" applyNumberFormat="1" applyFont="1" applyFill="1" applyBorder="1" applyAlignment="1">
      <alignment horizontal="left" vertical="center"/>
    </xf>
    <xf numFmtId="3" fontId="17" fillId="3" borderId="0" xfId="2" applyNumberFormat="1" applyFont="1" applyFill="1" applyBorder="1" applyAlignment="1">
      <alignment horizontal="left" vertical="center"/>
    </xf>
    <xf numFmtId="3" fontId="17" fillId="3" borderId="57" xfId="2" applyNumberFormat="1" applyFont="1" applyFill="1" applyBorder="1" applyAlignment="1">
      <alignment horizontal="left" vertical="center"/>
    </xf>
    <xf numFmtId="3" fontId="17" fillId="6" borderId="61" xfId="2" applyNumberFormat="1" applyFont="1" applyFill="1" applyBorder="1" applyAlignment="1">
      <alignment horizontal="left" vertical="center"/>
    </xf>
    <xf numFmtId="3" fontId="17" fillId="6" borderId="50" xfId="2" applyNumberFormat="1" applyFont="1" applyFill="1" applyBorder="1" applyAlignment="1">
      <alignment horizontal="left" vertical="center"/>
    </xf>
    <xf numFmtId="3" fontId="17" fillId="6" borderId="34" xfId="2" applyNumberFormat="1" applyFont="1" applyFill="1" applyBorder="1" applyAlignment="1">
      <alignment horizontal="left" vertical="center"/>
    </xf>
    <xf numFmtId="0" fontId="24" fillId="4" borderId="9" xfId="0" applyFont="1" applyFill="1" applyBorder="1" applyAlignment="1">
      <alignment horizontal="left" vertical="center"/>
    </xf>
    <xf numFmtId="0" fontId="24" fillId="4" borderId="4" xfId="0" applyFont="1" applyFill="1" applyBorder="1" applyAlignment="1">
      <alignment horizontal="left" vertical="center"/>
    </xf>
    <xf numFmtId="0" fontId="24" fillId="4" borderId="10" xfId="0" applyFont="1" applyFill="1" applyBorder="1" applyAlignment="1">
      <alignment horizontal="left" vertical="center"/>
    </xf>
    <xf numFmtId="0" fontId="38" fillId="3" borderId="61" xfId="0" applyFont="1" applyFill="1" applyBorder="1" applyAlignment="1">
      <alignment horizontal="left"/>
    </xf>
    <xf numFmtId="0" fontId="38" fillId="3" borderId="50" xfId="0" applyFont="1" applyFill="1" applyBorder="1" applyAlignment="1">
      <alignment horizontal="left"/>
    </xf>
    <xf numFmtId="0" fontId="38" fillId="3" borderId="34" xfId="0" applyFont="1" applyFill="1" applyBorder="1" applyAlignment="1">
      <alignment horizontal="left"/>
    </xf>
    <xf numFmtId="0" fontId="13" fillId="2" borderId="52" xfId="0" applyFont="1" applyFill="1" applyBorder="1" applyAlignment="1">
      <alignment horizontal="center" vertical="center"/>
    </xf>
    <xf numFmtId="0" fontId="13" fillId="2" borderId="51" xfId="0" applyFont="1" applyFill="1" applyBorder="1" applyAlignment="1">
      <alignment horizontal="center" vertical="center"/>
    </xf>
    <xf numFmtId="0" fontId="13" fillId="2" borderId="41" xfId="0" applyFont="1" applyFill="1" applyBorder="1" applyAlignment="1">
      <alignment horizontal="center" vertical="center"/>
    </xf>
    <xf numFmtId="0" fontId="13" fillId="2" borderId="55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31" xfId="0" applyFont="1" applyFill="1" applyBorder="1" applyAlignment="1">
      <alignment horizontal="center" vertical="center"/>
    </xf>
    <xf numFmtId="0" fontId="13" fillId="2" borderId="12" xfId="4" applyNumberFormat="1" applyFont="1" applyFill="1" applyBorder="1" applyAlignment="1">
      <alignment horizontal="center" vertical="center" wrapText="1"/>
    </xf>
    <xf numFmtId="0" fontId="13" fillId="2" borderId="31" xfId="4" applyNumberFormat="1" applyFont="1" applyFill="1" applyBorder="1" applyAlignment="1">
      <alignment horizontal="center" vertical="center" wrapText="1"/>
    </xf>
    <xf numFmtId="187" fontId="13" fillId="2" borderId="12" xfId="1" applyFont="1" applyFill="1" applyBorder="1" applyAlignment="1">
      <alignment horizontal="center" vertical="center" wrapText="1"/>
    </xf>
    <xf numFmtId="187" fontId="13" fillId="2" borderId="31" xfId="1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54" fillId="3" borderId="10" xfId="0" applyFont="1" applyFill="1" applyBorder="1" applyAlignment="1">
      <alignment horizontal="left" vertical="center"/>
    </xf>
    <xf numFmtId="0" fontId="38" fillId="6" borderId="27" xfId="0" applyFont="1" applyFill="1" applyBorder="1" applyAlignment="1">
      <alignment horizontal="left"/>
    </xf>
    <xf numFmtId="0" fontId="38" fillId="6" borderId="26" xfId="0" applyFont="1" applyFill="1" applyBorder="1" applyAlignment="1">
      <alignment horizontal="left"/>
    </xf>
    <xf numFmtId="0" fontId="56" fillId="5" borderId="51" xfId="0" applyFont="1" applyFill="1" applyBorder="1" applyAlignment="1">
      <alignment horizontal="center"/>
    </xf>
    <xf numFmtId="3" fontId="17" fillId="3" borderId="9" xfId="2" applyNumberFormat="1" applyFont="1" applyFill="1" applyBorder="1" applyAlignment="1">
      <alignment horizontal="left" vertical="center"/>
    </xf>
    <xf numFmtId="3" fontId="17" fillId="3" borderId="4" xfId="2" applyNumberFormat="1" applyFont="1" applyFill="1" applyBorder="1" applyAlignment="1">
      <alignment horizontal="left" vertical="center"/>
    </xf>
    <xf numFmtId="3" fontId="17" fillId="3" borderId="10" xfId="2" applyNumberFormat="1" applyFont="1" applyFill="1" applyBorder="1" applyAlignment="1">
      <alignment horizontal="left" vertical="center"/>
    </xf>
    <xf numFmtId="0" fontId="24" fillId="8" borderId="9" xfId="0" applyFont="1" applyFill="1" applyBorder="1" applyAlignment="1">
      <alignment horizontal="center" vertical="center"/>
    </xf>
    <xf numFmtId="0" fontId="24" fillId="8" borderId="4" xfId="0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/>
    </xf>
    <xf numFmtId="0" fontId="24" fillId="8" borderId="4" xfId="0" applyFont="1" applyFill="1" applyBorder="1" applyAlignment="1">
      <alignment horizontal="center"/>
    </xf>
    <xf numFmtId="0" fontId="24" fillId="8" borderId="10" xfId="0" applyFont="1" applyFill="1" applyBorder="1" applyAlignment="1">
      <alignment horizontal="center"/>
    </xf>
    <xf numFmtId="0" fontId="24" fillId="8" borderId="9" xfId="0" applyFont="1" applyFill="1" applyBorder="1" applyAlignment="1">
      <alignment horizontal="left"/>
    </xf>
    <xf numFmtId="0" fontId="24" fillId="8" borderId="4" xfId="0" applyFont="1" applyFill="1" applyBorder="1" applyAlignment="1">
      <alignment horizontal="left"/>
    </xf>
    <xf numFmtId="0" fontId="24" fillId="8" borderId="10" xfId="0" applyFont="1" applyFill="1" applyBorder="1" applyAlignment="1">
      <alignment horizontal="left"/>
    </xf>
    <xf numFmtId="0" fontId="38" fillId="2" borderId="23" xfId="0" applyFont="1" applyFill="1" applyBorder="1" applyAlignment="1">
      <alignment horizontal="center" vertical="center" wrapText="1"/>
    </xf>
    <xf numFmtId="0" fontId="38" fillId="2" borderId="26" xfId="0" applyFont="1" applyFill="1" applyBorder="1" applyAlignment="1">
      <alignment horizontal="center" vertical="center" wrapText="1"/>
    </xf>
    <xf numFmtId="0" fontId="24" fillId="11" borderId="61" xfId="0" applyFont="1" applyFill="1" applyBorder="1" applyAlignment="1">
      <alignment horizontal="center" vertical="center"/>
    </xf>
    <xf numFmtId="0" fontId="24" fillId="11" borderId="50" xfId="0" applyFont="1" applyFill="1" applyBorder="1" applyAlignment="1">
      <alignment horizontal="center" vertical="center"/>
    </xf>
    <xf numFmtId="0" fontId="24" fillId="11" borderId="34" xfId="0" applyFont="1" applyFill="1" applyBorder="1" applyAlignment="1">
      <alignment horizontal="center" vertical="center"/>
    </xf>
    <xf numFmtId="0" fontId="24" fillId="6" borderId="61" xfId="0" applyFont="1" applyFill="1" applyBorder="1" applyAlignment="1">
      <alignment horizontal="left" vertical="center"/>
    </xf>
    <xf numFmtId="0" fontId="24" fillId="6" borderId="50" xfId="0" applyFont="1" applyFill="1" applyBorder="1" applyAlignment="1">
      <alignment horizontal="left" vertical="center"/>
    </xf>
    <xf numFmtId="0" fontId="24" fillId="6" borderId="49" xfId="0" applyFont="1" applyFill="1" applyBorder="1" applyAlignment="1">
      <alignment horizontal="left" vertical="center"/>
    </xf>
    <xf numFmtId="0" fontId="38" fillId="2" borderId="69" xfId="0" applyFont="1" applyFill="1" applyBorder="1" applyAlignment="1">
      <alignment horizontal="center" vertical="center"/>
    </xf>
    <xf numFmtId="0" fontId="38" fillId="2" borderId="20" xfId="0" applyFont="1" applyFill="1" applyBorder="1" applyAlignment="1">
      <alignment horizontal="center" vertical="center"/>
    </xf>
    <xf numFmtId="0" fontId="38" fillId="2" borderId="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8" fillId="2" borderId="31" xfId="0" applyFont="1" applyFill="1" applyBorder="1" applyAlignment="1">
      <alignment horizontal="center" vertical="center"/>
    </xf>
    <xf numFmtId="0" fontId="38" fillId="2" borderId="68" xfId="0" applyFont="1" applyFill="1" applyBorder="1" applyAlignment="1">
      <alignment horizontal="center" vertical="center" wrapText="1"/>
    </xf>
    <xf numFmtId="0" fontId="38" fillId="2" borderId="21" xfId="0" applyFont="1" applyFill="1" applyBorder="1" applyAlignment="1">
      <alignment horizontal="center" vertical="center" wrapText="1"/>
    </xf>
    <xf numFmtId="0" fontId="38" fillId="2" borderId="40" xfId="0" applyFont="1" applyFill="1" applyBorder="1" applyAlignment="1">
      <alignment horizontal="center" vertical="center" wrapText="1"/>
    </xf>
    <xf numFmtId="0" fontId="38" fillId="2" borderId="12" xfId="0" applyFont="1" applyFill="1" applyBorder="1" applyAlignment="1">
      <alignment horizontal="center" vertical="center" wrapText="1"/>
    </xf>
    <xf numFmtId="0" fontId="38" fillId="2" borderId="13" xfId="0" applyFont="1" applyFill="1" applyBorder="1" applyAlignment="1">
      <alignment horizontal="center" vertical="center" wrapText="1"/>
    </xf>
    <xf numFmtId="0" fontId="38" fillId="4" borderId="9" xfId="0" applyFont="1" applyFill="1" applyBorder="1" applyAlignment="1">
      <alignment horizontal="center" vertical="center"/>
    </xf>
    <xf numFmtId="0" fontId="38" fillId="4" borderId="4" xfId="0" applyFont="1" applyFill="1" applyBorder="1" applyAlignment="1">
      <alignment horizontal="center" vertical="center"/>
    </xf>
    <xf numFmtId="0" fontId="24" fillId="12" borderId="9" xfId="0" applyFont="1" applyFill="1" applyBorder="1" applyAlignment="1">
      <alignment horizontal="center" vertical="center"/>
    </xf>
    <xf numFmtId="0" fontId="24" fillId="12" borderId="4" xfId="0" applyFont="1" applyFill="1" applyBorder="1" applyAlignment="1">
      <alignment horizontal="center" vertical="center"/>
    </xf>
    <xf numFmtId="0" fontId="38" fillId="11" borderId="9" xfId="0" applyFont="1" applyFill="1" applyBorder="1" applyAlignment="1">
      <alignment horizontal="center" vertical="center"/>
    </xf>
    <xf numFmtId="0" fontId="38" fillId="11" borderId="4" xfId="0" applyFont="1" applyFill="1" applyBorder="1" applyAlignment="1">
      <alignment horizontal="center" vertical="center"/>
    </xf>
    <xf numFmtId="0" fontId="38" fillId="11" borderId="10" xfId="0" applyFont="1" applyFill="1" applyBorder="1" applyAlignment="1">
      <alignment horizontal="center" vertical="center"/>
    </xf>
    <xf numFmtId="0" fontId="38" fillId="11" borderId="62" xfId="0" applyFont="1" applyFill="1" applyBorder="1" applyAlignment="1">
      <alignment horizontal="center" vertical="center"/>
    </xf>
    <xf numFmtId="0" fontId="38" fillId="11" borderId="63" xfId="0" applyFont="1" applyFill="1" applyBorder="1" applyAlignment="1">
      <alignment horizontal="center" vertical="center"/>
    </xf>
    <xf numFmtId="0" fontId="24" fillId="8" borderId="61" xfId="0" applyFont="1" applyFill="1" applyBorder="1" applyAlignment="1">
      <alignment horizontal="left" vertical="center"/>
    </xf>
    <xf numFmtId="0" fontId="24" fillId="8" borderId="50" xfId="0" applyFont="1" applyFill="1" applyBorder="1" applyAlignment="1">
      <alignment horizontal="left" vertical="center"/>
    </xf>
    <xf numFmtId="0" fontId="24" fillId="8" borderId="49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 wrapText="1"/>
    </xf>
    <xf numFmtId="0" fontId="13" fillId="3" borderId="15" xfId="0" applyFont="1" applyFill="1" applyBorder="1" applyAlignment="1">
      <alignment horizontal="left" vertical="center" wrapText="1"/>
    </xf>
    <xf numFmtId="0" fontId="13" fillId="3" borderId="16" xfId="0" applyFont="1" applyFill="1" applyBorder="1" applyAlignment="1">
      <alignment horizontal="left" vertical="center" wrapText="1"/>
    </xf>
    <xf numFmtId="0" fontId="13" fillId="4" borderId="28" xfId="0" applyFont="1" applyFill="1" applyBorder="1" applyAlignment="1">
      <alignment horizontal="left" vertical="center" wrapText="1"/>
    </xf>
    <xf numFmtId="0" fontId="13" fillId="4" borderId="29" xfId="0" applyFont="1" applyFill="1" applyBorder="1" applyAlignment="1">
      <alignment horizontal="left" vertical="center" wrapText="1"/>
    </xf>
    <xf numFmtId="0" fontId="13" fillId="4" borderId="30" xfId="0" applyFont="1" applyFill="1" applyBorder="1" applyAlignment="1">
      <alignment horizontal="left" vertical="center" wrapText="1"/>
    </xf>
    <xf numFmtId="0" fontId="13" fillId="6" borderId="27" xfId="0" applyFont="1" applyFill="1" applyBorder="1" applyAlignment="1">
      <alignment horizontal="left"/>
    </xf>
    <xf numFmtId="0" fontId="13" fillId="6" borderId="24" xfId="0" applyFont="1" applyFill="1" applyBorder="1" applyAlignment="1">
      <alignment horizontal="left"/>
    </xf>
    <xf numFmtId="0" fontId="13" fillId="6" borderId="26" xfId="0" applyFont="1" applyFill="1" applyBorder="1" applyAlignment="1">
      <alignment horizontal="left"/>
    </xf>
    <xf numFmtId="0" fontId="13" fillId="6" borderId="61" xfId="0" applyFont="1" applyFill="1" applyBorder="1" applyAlignment="1">
      <alignment horizontal="left"/>
    </xf>
    <xf numFmtId="0" fontId="13" fillId="6" borderId="50" xfId="0" applyFont="1" applyFill="1" applyBorder="1" applyAlignment="1">
      <alignment horizontal="left"/>
    </xf>
    <xf numFmtId="0" fontId="13" fillId="6" borderId="49" xfId="0" applyFont="1" applyFill="1" applyBorder="1" applyAlignment="1">
      <alignment horizontal="left"/>
    </xf>
    <xf numFmtId="0" fontId="26" fillId="4" borderId="61" xfId="0" applyFont="1" applyFill="1" applyBorder="1" applyAlignment="1">
      <alignment horizontal="left"/>
    </xf>
    <xf numFmtId="0" fontId="26" fillId="4" borderId="50" xfId="0" applyFont="1" applyFill="1" applyBorder="1" applyAlignment="1">
      <alignment horizontal="left"/>
    </xf>
    <xf numFmtId="0" fontId="26" fillId="4" borderId="49" xfId="0" applyFont="1" applyFill="1" applyBorder="1" applyAlignment="1">
      <alignment horizontal="left"/>
    </xf>
    <xf numFmtId="0" fontId="48" fillId="8" borderId="27" xfId="0" applyFont="1" applyFill="1" applyBorder="1" applyAlignment="1">
      <alignment horizontal="center"/>
    </xf>
    <xf numFmtId="0" fontId="48" fillId="8" borderId="24" xfId="0" applyFont="1" applyFill="1" applyBorder="1" applyAlignment="1">
      <alignment horizontal="center"/>
    </xf>
    <xf numFmtId="0" fontId="48" fillId="8" borderId="26" xfId="0" applyFont="1" applyFill="1" applyBorder="1" applyAlignment="1">
      <alignment horizontal="center"/>
    </xf>
    <xf numFmtId="0" fontId="13" fillId="3" borderId="27" xfId="0" applyFont="1" applyFill="1" applyBorder="1" applyAlignment="1">
      <alignment horizontal="left" vertical="center"/>
    </xf>
    <xf numFmtId="0" fontId="13" fillId="3" borderId="24" xfId="0" applyFont="1" applyFill="1" applyBorder="1" applyAlignment="1">
      <alignment horizontal="left" vertical="center"/>
    </xf>
    <xf numFmtId="0" fontId="13" fillId="3" borderId="26" xfId="0" applyFont="1" applyFill="1" applyBorder="1" applyAlignment="1">
      <alignment horizontal="left" vertical="center"/>
    </xf>
    <xf numFmtId="0" fontId="13" fillId="2" borderId="18" xfId="0" applyFont="1" applyFill="1" applyBorder="1" applyAlignment="1">
      <alignment horizontal="center" vertical="center" wrapText="1"/>
    </xf>
    <xf numFmtId="0" fontId="13" fillId="2" borderId="32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 wrapText="1"/>
    </xf>
    <xf numFmtId="0" fontId="13" fillId="2" borderId="48" xfId="0" applyFont="1" applyFill="1" applyBorder="1" applyAlignment="1">
      <alignment horizontal="center" vertical="center" wrapText="1"/>
    </xf>
    <xf numFmtId="0" fontId="13" fillId="2" borderId="50" xfId="0" applyFont="1" applyFill="1" applyBorder="1" applyAlignment="1">
      <alignment horizontal="center" vertical="center" wrapText="1"/>
    </xf>
    <xf numFmtId="0" fontId="13" fillId="2" borderId="49" xfId="0" applyFont="1" applyFill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29" xfId="0" applyFont="1" applyFill="1" applyBorder="1" applyAlignment="1">
      <alignment horizontal="center" vertical="center" wrapText="1"/>
    </xf>
    <xf numFmtId="0" fontId="13" fillId="2" borderId="30" xfId="0" applyFont="1" applyFill="1" applyBorder="1" applyAlignment="1">
      <alignment horizontal="center" vertical="center" wrapText="1"/>
    </xf>
    <xf numFmtId="0" fontId="13" fillId="3" borderId="28" xfId="0" applyFont="1" applyFill="1" applyBorder="1" applyAlignment="1">
      <alignment horizontal="left" vertical="center"/>
    </xf>
    <xf numFmtId="0" fontId="13" fillId="3" borderId="29" xfId="0" applyFont="1" applyFill="1" applyBorder="1" applyAlignment="1">
      <alignment horizontal="left" vertical="center"/>
    </xf>
    <xf numFmtId="0" fontId="13" fillId="3" borderId="30" xfId="0" applyFont="1" applyFill="1" applyBorder="1" applyAlignment="1">
      <alignment horizontal="left" vertical="center"/>
    </xf>
    <xf numFmtId="0" fontId="49" fillId="8" borderId="12" xfId="0" applyFont="1" applyFill="1" applyBorder="1" applyAlignment="1">
      <alignment horizontal="center"/>
    </xf>
    <xf numFmtId="0" fontId="50" fillId="14" borderId="12" xfId="0" applyFont="1" applyFill="1" applyBorder="1" applyAlignment="1">
      <alignment horizontal="center" vertical="center"/>
    </xf>
    <xf numFmtId="187" fontId="50" fillId="2" borderId="12" xfId="1" applyFont="1" applyFill="1" applyBorder="1" applyAlignment="1">
      <alignment horizontal="center" vertical="center" wrapText="1"/>
    </xf>
    <xf numFmtId="0" fontId="50" fillId="2" borderId="12" xfId="0" applyFont="1" applyFill="1" applyBorder="1" applyAlignment="1">
      <alignment horizontal="center" vertical="center" wrapText="1"/>
    </xf>
    <xf numFmtId="0" fontId="50" fillId="2" borderId="12" xfId="0" applyFont="1" applyFill="1" applyBorder="1" applyAlignment="1">
      <alignment horizontal="center" vertical="center"/>
    </xf>
    <xf numFmtId="0" fontId="50" fillId="2" borderId="12" xfId="4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3" borderId="14" xfId="0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0" fontId="0" fillId="3" borderId="16" xfId="0" applyFill="1" applyBorder="1" applyAlignment="1">
      <alignment horizontal="left"/>
    </xf>
    <xf numFmtId="0" fontId="0" fillId="6" borderId="12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3" borderId="10" xfId="0" applyFill="1" applyBorder="1" applyAlignment="1">
      <alignment horizontal="left"/>
    </xf>
    <xf numFmtId="0" fontId="0" fillId="8" borderId="12" xfId="0" applyFill="1" applyBorder="1" applyAlignment="1">
      <alignment horizontal="left"/>
    </xf>
    <xf numFmtId="0" fontId="0" fillId="6" borderId="18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3" fillId="2" borderId="12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49" fillId="8" borderId="48" xfId="0" applyFont="1" applyFill="1" applyBorder="1" applyAlignment="1">
      <alignment horizontal="center" vertical="center"/>
    </xf>
    <xf numFmtId="0" fontId="49" fillId="8" borderId="50" xfId="0" applyFont="1" applyFill="1" applyBorder="1" applyAlignment="1">
      <alignment horizontal="center" vertical="center"/>
    </xf>
    <xf numFmtId="0" fontId="49" fillId="8" borderId="34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190" fontId="2" fillId="2" borderId="12" xfId="1" applyNumberFormat="1" applyFont="1" applyFill="1" applyBorder="1" applyAlignment="1">
      <alignment horizontal="center" vertical="center"/>
    </xf>
    <xf numFmtId="190" fontId="2" fillId="2" borderId="31" xfId="1" applyNumberFormat="1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31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49" fontId="0" fillId="0" borderId="31" xfId="1" applyNumberFormat="1" applyFont="1" applyBorder="1" applyAlignment="1">
      <alignment horizontal="center" vertical="center"/>
    </xf>
    <xf numFmtId="49" fontId="0" fillId="0" borderId="21" xfId="1" applyNumberFormat="1" applyFont="1" applyBorder="1" applyAlignment="1">
      <alignment horizontal="center" vertical="center"/>
    </xf>
    <xf numFmtId="49" fontId="0" fillId="0" borderId="18" xfId="1" applyNumberFormat="1" applyFont="1" applyBorder="1" applyAlignment="1">
      <alignment horizontal="center" vertical="center"/>
    </xf>
    <xf numFmtId="190" fontId="2" fillId="2" borderId="40" xfId="1" applyNumberFormat="1" applyFont="1" applyFill="1" applyBorder="1" applyAlignment="1">
      <alignment horizontal="center" vertical="center"/>
    </xf>
    <xf numFmtId="190" fontId="36" fillId="2" borderId="31" xfId="0" applyNumberFormat="1" applyFont="1" applyFill="1" applyBorder="1" applyAlignment="1">
      <alignment horizontal="center" vertical="center" wrapText="1"/>
    </xf>
    <xf numFmtId="190" fontId="36" fillId="2" borderId="40" xfId="0" applyNumberFormat="1" applyFont="1" applyFill="1" applyBorder="1" applyAlignment="1">
      <alignment horizontal="center" vertical="center" wrapText="1"/>
    </xf>
    <xf numFmtId="0" fontId="63" fillId="0" borderId="0" xfId="0" applyFont="1" applyAlignment="1">
      <alignment horizontal="center"/>
    </xf>
    <xf numFmtId="0" fontId="49" fillId="8" borderId="46" xfId="0" applyFont="1" applyFill="1" applyBorder="1" applyAlignment="1">
      <alignment horizontal="center"/>
    </xf>
    <xf numFmtId="0" fontId="49" fillId="8" borderId="29" xfId="0" applyFont="1" applyFill="1" applyBorder="1" applyAlignment="1">
      <alignment horizontal="center"/>
    </xf>
    <xf numFmtId="0" fontId="50" fillId="2" borderId="52" xfId="0" applyFont="1" applyFill="1" applyBorder="1" applyAlignment="1">
      <alignment horizontal="center" vertical="center" wrapText="1"/>
    </xf>
    <xf numFmtId="0" fontId="50" fillId="2" borderId="54" xfId="0" applyFont="1" applyFill="1" applyBorder="1" applyAlignment="1">
      <alignment horizontal="center" vertical="center" wrapText="1"/>
    </xf>
    <xf numFmtId="0" fontId="50" fillId="2" borderId="51" xfId="0" applyFont="1" applyFill="1" applyBorder="1" applyAlignment="1">
      <alignment horizontal="center" vertical="center" wrapText="1"/>
    </xf>
    <xf numFmtId="0" fontId="50" fillId="2" borderId="48" xfId="0" applyFont="1" applyFill="1" applyBorder="1" applyAlignment="1">
      <alignment horizontal="center" vertical="center" wrapText="1"/>
    </xf>
    <xf numFmtId="0" fontId="50" fillId="2" borderId="50" xfId="0" applyFont="1" applyFill="1" applyBorder="1" applyAlignment="1">
      <alignment horizontal="center" vertical="center" wrapText="1"/>
    </xf>
    <xf numFmtId="0" fontId="50" fillId="2" borderId="34" xfId="0" applyFont="1" applyFill="1" applyBorder="1" applyAlignment="1">
      <alignment horizontal="center" vertical="center" wrapText="1"/>
    </xf>
    <xf numFmtId="0" fontId="38" fillId="5" borderId="9" xfId="0" applyFont="1" applyFill="1" applyBorder="1" applyAlignment="1">
      <alignment horizontal="center"/>
    </xf>
    <xf numFmtId="0" fontId="38" fillId="5" borderId="4" xfId="0" applyFont="1" applyFill="1" applyBorder="1" applyAlignment="1">
      <alignment horizontal="center"/>
    </xf>
    <xf numFmtId="0" fontId="38" fillId="5" borderId="59" xfId="0" applyFont="1" applyFill="1" applyBorder="1" applyAlignment="1">
      <alignment horizontal="center"/>
    </xf>
    <xf numFmtId="187" fontId="13" fillId="2" borderId="68" xfId="1" applyFont="1" applyFill="1" applyBorder="1" applyAlignment="1">
      <alignment horizontal="center" vertical="center" wrapText="1"/>
    </xf>
    <xf numFmtId="187" fontId="13" fillId="2" borderId="40" xfId="1" applyFont="1" applyFill="1" applyBorder="1" applyAlignment="1">
      <alignment horizontal="center" vertical="center" wrapText="1"/>
    </xf>
    <xf numFmtId="0" fontId="17" fillId="4" borderId="9" xfId="0" applyFont="1" applyFill="1" applyBorder="1" applyAlignment="1">
      <alignment horizontal="left"/>
    </xf>
    <xf numFmtId="0" fontId="17" fillId="4" borderId="4" xfId="0" applyFont="1" applyFill="1" applyBorder="1" applyAlignment="1">
      <alignment horizontal="left"/>
    </xf>
    <xf numFmtId="0" fontId="17" fillId="4" borderId="10" xfId="0" applyFont="1" applyFill="1" applyBorder="1" applyAlignment="1">
      <alignment horizontal="left"/>
    </xf>
    <xf numFmtId="0" fontId="38" fillId="8" borderId="61" xfId="0" applyFont="1" applyFill="1" applyBorder="1" applyAlignment="1">
      <alignment horizontal="center"/>
    </xf>
    <xf numFmtId="0" fontId="38" fillId="11" borderId="32" xfId="0" applyFont="1" applyFill="1" applyBorder="1" applyAlignment="1">
      <alignment horizontal="center"/>
    </xf>
    <xf numFmtId="0" fontId="38" fillId="5" borderId="28" xfId="0" applyFont="1" applyFill="1" applyBorder="1" applyAlignment="1">
      <alignment horizontal="center"/>
    </xf>
    <xf numFmtId="0" fontId="38" fillId="11" borderId="65" xfId="0" applyFont="1" applyFill="1" applyBorder="1" applyAlignment="1">
      <alignment horizontal="center"/>
    </xf>
    <xf numFmtId="3" fontId="17" fillId="3" borderId="27" xfId="2" applyNumberFormat="1" applyFont="1" applyFill="1" applyBorder="1" applyAlignment="1">
      <alignment horizontal="left" vertical="center"/>
    </xf>
    <xf numFmtId="3" fontId="17" fillId="3" borderId="26" xfId="2" applyNumberFormat="1" applyFont="1" applyFill="1" applyBorder="1" applyAlignment="1">
      <alignment horizontal="left" vertical="center"/>
    </xf>
    <xf numFmtId="0" fontId="38" fillId="3" borderId="28" xfId="0" applyFont="1" applyFill="1" applyBorder="1" applyAlignment="1">
      <alignment horizontal="left"/>
    </xf>
    <xf numFmtId="0" fontId="38" fillId="3" borderId="29" xfId="0" applyFont="1" applyFill="1" applyBorder="1" applyAlignment="1">
      <alignment horizontal="left"/>
    </xf>
    <xf numFmtId="0" fontId="38" fillId="3" borderId="30" xfId="0" applyFont="1" applyFill="1" applyBorder="1" applyAlignment="1">
      <alignment horizontal="left"/>
    </xf>
    <xf numFmtId="0" fontId="17" fillId="4" borderId="53" xfId="0" applyFont="1" applyFill="1" applyBorder="1" applyAlignment="1">
      <alignment horizontal="left"/>
    </xf>
    <xf numFmtId="0" fontId="17" fillId="6" borderId="28" xfId="0" applyFont="1" applyFill="1" applyBorder="1" applyAlignment="1">
      <alignment horizontal="left"/>
    </xf>
    <xf numFmtId="0" fontId="17" fillId="6" borderId="30" xfId="0" applyFont="1" applyFill="1" applyBorder="1" applyAlignment="1">
      <alignment horizontal="left"/>
    </xf>
    <xf numFmtId="0" fontId="24" fillId="8" borderId="10" xfId="0" applyFont="1" applyFill="1" applyBorder="1" applyAlignment="1">
      <alignment horizontal="center" vertical="center"/>
    </xf>
    <xf numFmtId="0" fontId="13" fillId="2" borderId="60" xfId="0" applyFont="1" applyFill="1" applyBorder="1" applyAlignment="1">
      <alignment horizontal="center" vertical="center"/>
    </xf>
    <xf numFmtId="0" fontId="13" fillId="2" borderId="43" xfId="0" applyFont="1" applyFill="1" applyBorder="1" applyAlignment="1">
      <alignment horizontal="center" vertical="center"/>
    </xf>
    <xf numFmtId="0" fontId="13" fillId="2" borderId="68" xfId="4" applyNumberFormat="1" applyFont="1" applyFill="1" applyBorder="1" applyAlignment="1">
      <alignment horizontal="center" vertical="center" wrapText="1"/>
    </xf>
    <xf numFmtId="0" fontId="13" fillId="2" borderId="40" xfId="4" applyNumberFormat="1" applyFont="1" applyFill="1" applyBorder="1" applyAlignment="1">
      <alignment horizontal="center" vertical="center" wrapText="1"/>
    </xf>
    <xf numFmtId="0" fontId="13" fillId="2" borderId="33" xfId="0" applyFont="1" applyFill="1" applyBorder="1" applyAlignment="1">
      <alignment horizontal="center" vertical="center" wrapText="1"/>
    </xf>
    <xf numFmtId="0" fontId="13" fillId="2" borderId="42" xfId="0" applyFont="1" applyFill="1" applyBorder="1" applyAlignment="1">
      <alignment horizontal="center" vertical="center" wrapText="1"/>
    </xf>
    <xf numFmtId="0" fontId="13" fillId="2" borderId="68" xfId="0" applyFont="1" applyFill="1" applyBorder="1" applyAlignment="1">
      <alignment horizontal="center" vertical="center" wrapText="1"/>
    </xf>
  </cellXfs>
  <cellStyles count="6">
    <cellStyle name="Comma" xfId="1" builtinId="3"/>
    <cellStyle name="Comma 2" xfId="3"/>
    <cellStyle name="Comma 2 2" xfId="5"/>
    <cellStyle name="Normal" xfId="0" builtinId="0"/>
    <cellStyle name="Normal 2" xfId="2"/>
    <cellStyle name="Percent" xfId="4" builtinId="5"/>
  </cellStyles>
  <dxfs count="0"/>
  <tableStyles count="0" defaultTableStyle="TableStyleMedium2" defaultPivotStyle="PivotStyleLight16"/>
  <colors>
    <mruColors>
      <color rgb="FFFF99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175"/>
  <sheetViews>
    <sheetView zoomScale="90" zoomScaleNormal="90" workbookViewId="0">
      <pane xSplit="1" ySplit="2" topLeftCell="B3" activePane="bottomRight" state="frozen"/>
      <selection pane="topRight" activeCell="H1" sqref="H1"/>
      <selection pane="bottomLeft" activeCell="A3" sqref="A3"/>
      <selection pane="bottomRight" activeCell="J9" sqref="J9"/>
    </sheetView>
  </sheetViews>
  <sheetFormatPr defaultColWidth="9" defaultRowHeight="23.25" x14ac:dyDescent="0.55000000000000004"/>
  <cols>
    <col min="1" max="1" width="10.5" style="334" customWidth="1"/>
    <col min="2" max="2" width="23.875" style="238" customWidth="1"/>
    <col min="3" max="3" width="9" style="323" customWidth="1"/>
    <col min="4" max="4" width="16.375" style="318" customWidth="1"/>
    <col min="5" max="5" width="11.625" style="319" customWidth="1"/>
    <col min="6" max="6" width="11.75" style="320" customWidth="1"/>
    <col min="7" max="7" width="12.625" style="319" customWidth="1"/>
    <col min="8" max="8" width="17.25" style="319" customWidth="1"/>
    <col min="9" max="16384" width="9" style="238"/>
  </cols>
  <sheetData>
    <row r="1" spans="1:9" ht="24.75" customHeight="1" thickBot="1" x14ac:dyDescent="0.6">
      <c r="A1" s="813" t="s">
        <v>300</v>
      </c>
      <c r="B1" s="814"/>
      <c r="C1" s="814"/>
      <c r="D1" s="814"/>
      <c r="E1" s="814"/>
      <c r="F1" s="814"/>
      <c r="G1" s="814"/>
      <c r="H1" s="815"/>
    </row>
    <row r="2" spans="1:9" ht="24" thickBot="1" x14ac:dyDescent="0.6">
      <c r="A2" s="239" t="s">
        <v>239</v>
      </c>
      <c r="B2" s="240" t="s">
        <v>240</v>
      </c>
      <c r="C2" s="241" t="s">
        <v>241</v>
      </c>
      <c r="D2" s="240" t="s">
        <v>204</v>
      </c>
      <c r="E2" s="240" t="s">
        <v>242</v>
      </c>
      <c r="F2" s="242" t="s">
        <v>243</v>
      </c>
      <c r="G2" s="243" t="s">
        <v>244</v>
      </c>
      <c r="H2" s="675" t="s">
        <v>374</v>
      </c>
      <c r="I2" s="676">
        <v>6.25</v>
      </c>
    </row>
    <row r="3" spans="1:9" ht="24.75" customHeight="1" thickBot="1" x14ac:dyDescent="0.6">
      <c r="A3" s="822" t="s">
        <v>245</v>
      </c>
      <c r="B3" s="828" t="s">
        <v>22</v>
      </c>
      <c r="C3" s="829"/>
      <c r="D3" s="829"/>
      <c r="E3" s="829"/>
      <c r="F3" s="829"/>
      <c r="G3" s="829"/>
      <c r="H3" s="830"/>
      <c r="I3" s="244"/>
    </row>
    <row r="4" spans="1:9" ht="23.25" customHeight="1" x14ac:dyDescent="0.55000000000000004">
      <c r="A4" s="823"/>
      <c r="B4" s="248"/>
      <c r="C4" s="837" t="s">
        <v>246</v>
      </c>
      <c r="D4" s="252" t="s">
        <v>23</v>
      </c>
      <c r="E4" s="122">
        <v>136</v>
      </c>
      <c r="F4" s="250">
        <v>2243</v>
      </c>
      <c r="G4" s="251">
        <v>22</v>
      </c>
      <c r="H4" s="66">
        <f>E4/$I2</f>
        <v>21.76</v>
      </c>
    </row>
    <row r="5" spans="1:9" ht="25.5" customHeight="1" thickBot="1" x14ac:dyDescent="0.6">
      <c r="A5" s="823"/>
      <c r="B5" s="248"/>
      <c r="C5" s="841"/>
      <c r="D5" s="253" t="s">
        <v>24</v>
      </c>
      <c r="E5" s="124">
        <v>151</v>
      </c>
      <c r="F5" s="254">
        <v>2494</v>
      </c>
      <c r="G5" s="255">
        <v>22</v>
      </c>
      <c r="H5" s="680">
        <f>E5/$I$2</f>
        <v>24.16</v>
      </c>
    </row>
    <row r="6" spans="1:9" ht="24.75" customHeight="1" thickBot="1" x14ac:dyDescent="0.6">
      <c r="A6" s="823"/>
      <c r="B6" s="818" t="s">
        <v>247</v>
      </c>
      <c r="C6" s="819"/>
      <c r="D6" s="819"/>
      <c r="E6" s="340">
        <f>SUM(E4:E5)</f>
        <v>287</v>
      </c>
      <c r="F6" s="341">
        <f>SUM(F4:F5)</f>
        <v>4737</v>
      </c>
      <c r="G6" s="342"/>
      <c r="H6" s="681">
        <f>SUM(H4:H5)</f>
        <v>45.92</v>
      </c>
    </row>
    <row r="7" spans="1:9" ht="24.75" customHeight="1" thickBot="1" x14ac:dyDescent="0.6">
      <c r="A7" s="823"/>
      <c r="B7" s="256"/>
      <c r="C7" s="257" t="s">
        <v>248</v>
      </c>
      <c r="D7" s="258" t="s">
        <v>26</v>
      </c>
      <c r="E7" s="259">
        <v>6</v>
      </c>
      <c r="F7" s="260">
        <v>126</v>
      </c>
      <c r="G7" s="127">
        <v>22</v>
      </c>
      <c r="H7" s="66">
        <f>E7/$I$2</f>
        <v>0.96</v>
      </c>
    </row>
    <row r="8" spans="1:9" ht="24.75" customHeight="1" thickBot="1" x14ac:dyDescent="0.6">
      <c r="A8" s="823"/>
      <c r="B8" s="818" t="s">
        <v>249</v>
      </c>
      <c r="C8" s="819"/>
      <c r="D8" s="819"/>
      <c r="E8" s="340">
        <f>SUM(E7)</f>
        <v>6</v>
      </c>
      <c r="F8" s="341">
        <f>SUM(F7)</f>
        <v>126</v>
      </c>
      <c r="G8" s="342"/>
      <c r="H8" s="342">
        <f>SUM(H7)</f>
        <v>0.96</v>
      </c>
    </row>
    <row r="9" spans="1:9" ht="24.75" customHeight="1" thickBot="1" x14ac:dyDescent="0.6">
      <c r="A9" s="823"/>
      <c r="B9" s="825" t="s">
        <v>250</v>
      </c>
      <c r="C9" s="826"/>
      <c r="D9" s="826"/>
      <c r="E9" s="261">
        <f>+E6+E8</f>
        <v>293</v>
      </c>
      <c r="F9" s="262">
        <f>+F6+F8</f>
        <v>4863</v>
      </c>
      <c r="G9" s="263"/>
      <c r="H9" s="684">
        <f>H6+H8</f>
        <v>46.88</v>
      </c>
    </row>
    <row r="10" spans="1:9" ht="24" customHeight="1" thickBot="1" x14ac:dyDescent="0.6">
      <c r="A10" s="823"/>
      <c r="B10" s="831" t="s">
        <v>27</v>
      </c>
      <c r="C10" s="832"/>
      <c r="D10" s="832"/>
      <c r="E10" s="832"/>
      <c r="F10" s="832"/>
      <c r="G10" s="832"/>
      <c r="H10" s="833"/>
    </row>
    <row r="11" spans="1:9" ht="24" customHeight="1" thickBot="1" x14ac:dyDescent="0.6">
      <c r="A11" s="823"/>
      <c r="B11" s="264"/>
      <c r="C11" s="265" t="s">
        <v>60</v>
      </c>
      <c r="D11" s="266" t="s">
        <v>251</v>
      </c>
      <c r="E11" s="225">
        <v>8</v>
      </c>
      <c r="F11" s="226">
        <v>184</v>
      </c>
      <c r="G11" s="267">
        <v>22</v>
      </c>
      <c r="H11" s="66">
        <f>E11/$I$2</f>
        <v>1.28</v>
      </c>
    </row>
    <row r="12" spans="1:9" ht="24.75" customHeight="1" thickBot="1" x14ac:dyDescent="0.6">
      <c r="A12" s="823"/>
      <c r="B12" s="818" t="s">
        <v>252</v>
      </c>
      <c r="C12" s="819"/>
      <c r="D12" s="819"/>
      <c r="E12" s="340">
        <f>SUM(E11)</f>
        <v>8</v>
      </c>
      <c r="F12" s="341">
        <f>SUM(F11)</f>
        <v>184</v>
      </c>
      <c r="G12" s="342"/>
      <c r="H12" s="342">
        <f>H11</f>
        <v>1.28</v>
      </c>
    </row>
    <row r="13" spans="1:9" ht="24" customHeight="1" x14ac:dyDescent="0.55000000000000004">
      <c r="A13" s="823"/>
      <c r="B13" s="268"/>
      <c r="C13" s="841" t="s">
        <v>253</v>
      </c>
      <c r="D13" s="269" t="s">
        <v>28</v>
      </c>
      <c r="E13" s="222">
        <v>82</v>
      </c>
      <c r="F13" s="223">
        <v>1813</v>
      </c>
      <c r="G13" s="122">
        <v>22</v>
      </c>
      <c r="H13" s="66">
        <f>E13/$I$2</f>
        <v>13.12</v>
      </c>
    </row>
    <row r="14" spans="1:9" ht="24" customHeight="1" x14ac:dyDescent="0.55000000000000004">
      <c r="A14" s="823"/>
      <c r="B14" s="268"/>
      <c r="C14" s="841"/>
      <c r="D14" s="269" t="s">
        <v>29</v>
      </c>
      <c r="E14" s="222">
        <v>72</v>
      </c>
      <c r="F14" s="223">
        <v>1574</v>
      </c>
      <c r="G14" s="122">
        <v>22</v>
      </c>
      <c r="H14" s="66">
        <f>E14/$I$2</f>
        <v>11.52</v>
      </c>
    </row>
    <row r="15" spans="1:9" ht="24.75" customHeight="1" thickBot="1" x14ac:dyDescent="0.6">
      <c r="A15" s="823"/>
      <c r="B15" s="268"/>
      <c r="C15" s="838"/>
      <c r="D15" s="270" t="s">
        <v>30</v>
      </c>
      <c r="E15" s="271">
        <v>69</v>
      </c>
      <c r="F15" s="233">
        <v>1509</v>
      </c>
      <c r="G15" s="124">
        <v>22</v>
      </c>
      <c r="H15" s="66">
        <f>E15/$I$2</f>
        <v>11.04</v>
      </c>
    </row>
    <row r="16" spans="1:9" ht="24.75" customHeight="1" thickBot="1" x14ac:dyDescent="0.6">
      <c r="A16" s="823"/>
      <c r="B16" s="818" t="s">
        <v>254</v>
      </c>
      <c r="C16" s="819"/>
      <c r="D16" s="819"/>
      <c r="E16" s="340">
        <f>SUM(E13:E15)</f>
        <v>223</v>
      </c>
      <c r="F16" s="341">
        <f>SUM(F13:F15)</f>
        <v>4896</v>
      </c>
      <c r="G16" s="342"/>
      <c r="H16" s="342">
        <f>SUM(H13:H15)</f>
        <v>35.68</v>
      </c>
    </row>
    <row r="17" spans="1:8" ht="24.75" customHeight="1" thickBot="1" x14ac:dyDescent="0.6">
      <c r="A17" s="824"/>
      <c r="B17" s="827" t="s">
        <v>255</v>
      </c>
      <c r="C17" s="827"/>
      <c r="D17" s="827"/>
      <c r="E17" s="261">
        <f>E12+E16</f>
        <v>231</v>
      </c>
      <c r="F17" s="261">
        <f>F12+F16</f>
        <v>5080</v>
      </c>
      <c r="G17" s="272"/>
      <c r="H17" s="272">
        <f>H12+H16</f>
        <v>36.96</v>
      </c>
    </row>
    <row r="18" spans="1:8" ht="24.75" customHeight="1" thickBot="1" x14ac:dyDescent="0.6">
      <c r="A18" s="816" t="s">
        <v>256</v>
      </c>
      <c r="B18" s="817"/>
      <c r="C18" s="817"/>
      <c r="D18" s="817"/>
      <c r="E18" s="685">
        <f>+E9+E17</f>
        <v>524</v>
      </c>
      <c r="F18" s="685">
        <f>+F9+F17</f>
        <v>9943</v>
      </c>
      <c r="G18" s="686"/>
      <c r="H18" s="686">
        <f>H17+H9</f>
        <v>83.84</v>
      </c>
    </row>
    <row r="19" spans="1:8" ht="24" customHeight="1" thickBot="1" x14ac:dyDescent="0.6">
      <c r="A19" s="274" t="s">
        <v>257</v>
      </c>
      <c r="B19" s="828" t="s">
        <v>22</v>
      </c>
      <c r="C19" s="829"/>
      <c r="D19" s="829"/>
      <c r="E19" s="829"/>
      <c r="F19" s="829"/>
      <c r="G19" s="829"/>
      <c r="H19" s="830"/>
    </row>
    <row r="20" spans="1:8" ht="24" customHeight="1" x14ac:dyDescent="0.55000000000000004">
      <c r="A20" s="275"/>
      <c r="B20" s="276"/>
      <c r="C20" s="841" t="s">
        <v>246</v>
      </c>
      <c r="D20" s="277" t="s">
        <v>64</v>
      </c>
      <c r="E20" s="120">
        <v>4</v>
      </c>
      <c r="F20" s="278">
        <v>112</v>
      </c>
      <c r="G20" s="113">
        <v>25</v>
      </c>
      <c r="H20" s="66">
        <f>E20/$I$2</f>
        <v>0.64</v>
      </c>
    </row>
    <row r="21" spans="1:8" ht="24" customHeight="1" x14ac:dyDescent="0.55000000000000004">
      <c r="A21" s="275"/>
      <c r="B21" s="276"/>
      <c r="C21" s="841"/>
      <c r="D21" s="249" t="s">
        <v>65</v>
      </c>
      <c r="E21" s="122">
        <v>113</v>
      </c>
      <c r="F21" s="250">
        <v>2833</v>
      </c>
      <c r="G21" s="115">
        <v>25</v>
      </c>
      <c r="H21" s="66">
        <f>E21/$I$2</f>
        <v>18.079999999999998</v>
      </c>
    </row>
    <row r="22" spans="1:8" ht="24" customHeight="1" x14ac:dyDescent="0.55000000000000004">
      <c r="A22" s="275"/>
      <c r="B22" s="276"/>
      <c r="C22" s="841"/>
      <c r="D22" s="249" t="s">
        <v>73</v>
      </c>
      <c r="E22" s="228">
        <v>115</v>
      </c>
      <c r="F22" s="279">
        <v>2872</v>
      </c>
      <c r="G22" s="115">
        <v>25</v>
      </c>
      <c r="H22" s="682">
        <f>E22/$I$2</f>
        <v>18.399999999999999</v>
      </c>
    </row>
    <row r="23" spans="1:8" ht="24" customHeight="1" x14ac:dyDescent="0.55000000000000004">
      <c r="A23" s="275"/>
      <c r="B23" s="276"/>
      <c r="C23" s="841"/>
      <c r="D23" s="249" t="s">
        <v>74</v>
      </c>
      <c r="E23" s="228">
        <v>121</v>
      </c>
      <c r="F23" s="279">
        <v>3030</v>
      </c>
      <c r="G23" s="115">
        <v>25</v>
      </c>
      <c r="H23" s="66">
        <f t="shared" ref="H23" si="0">E23/$I$2</f>
        <v>19.36</v>
      </c>
    </row>
    <row r="24" spans="1:8" ht="24.75" customHeight="1" thickBot="1" x14ac:dyDescent="0.6">
      <c r="A24" s="275"/>
      <c r="B24" s="276"/>
      <c r="C24" s="838"/>
      <c r="D24" s="280" t="s">
        <v>90</v>
      </c>
      <c r="E24" s="281">
        <v>4</v>
      </c>
      <c r="F24" s="282">
        <v>92</v>
      </c>
      <c r="G24" s="117">
        <v>25</v>
      </c>
      <c r="H24" s="66">
        <f>E24/$I$2</f>
        <v>0.64</v>
      </c>
    </row>
    <row r="25" spans="1:8" ht="24.75" customHeight="1" thickBot="1" x14ac:dyDescent="0.6">
      <c r="A25" s="275"/>
      <c r="B25" s="818" t="s">
        <v>258</v>
      </c>
      <c r="C25" s="819"/>
      <c r="D25" s="819"/>
      <c r="E25" s="340">
        <f>SUM(E20:E24)</f>
        <v>357</v>
      </c>
      <c r="F25" s="341">
        <f>SUM(F20:F24)</f>
        <v>8939</v>
      </c>
      <c r="G25" s="342"/>
      <c r="H25" s="342">
        <f>SUM(H20:H24)</f>
        <v>57.12</v>
      </c>
    </row>
    <row r="26" spans="1:8" ht="24" customHeight="1" x14ac:dyDescent="0.55000000000000004">
      <c r="A26" s="275"/>
      <c r="B26" s="268"/>
      <c r="C26" s="837" t="s">
        <v>248</v>
      </c>
      <c r="D26" s="277" t="s">
        <v>48</v>
      </c>
      <c r="E26" s="283">
        <v>168</v>
      </c>
      <c r="F26" s="247">
        <v>4192</v>
      </c>
      <c r="G26" s="120">
        <v>25</v>
      </c>
      <c r="H26" s="678">
        <f>E26/$I$2</f>
        <v>26.88</v>
      </c>
    </row>
    <row r="27" spans="1:8" ht="24" customHeight="1" x14ac:dyDescent="0.55000000000000004">
      <c r="A27" s="275"/>
      <c r="B27" s="268"/>
      <c r="C27" s="841"/>
      <c r="D27" s="249" t="s">
        <v>49</v>
      </c>
      <c r="E27" s="228">
        <v>157</v>
      </c>
      <c r="F27" s="279">
        <v>4022</v>
      </c>
      <c r="G27" s="122" t="s">
        <v>259</v>
      </c>
      <c r="H27" s="66">
        <f>E27/$I$2</f>
        <v>25.12</v>
      </c>
    </row>
    <row r="28" spans="1:8" ht="24.75" customHeight="1" thickBot="1" x14ac:dyDescent="0.6">
      <c r="A28" s="275"/>
      <c r="B28" s="268"/>
      <c r="C28" s="838"/>
      <c r="D28" s="280" t="s">
        <v>35</v>
      </c>
      <c r="E28" s="281">
        <v>170</v>
      </c>
      <c r="F28" s="282">
        <v>4245</v>
      </c>
      <c r="G28" s="124">
        <v>25</v>
      </c>
      <c r="H28" s="687">
        <f>E28/$I$2</f>
        <v>27.2</v>
      </c>
    </row>
    <row r="29" spans="1:8" ht="24.75" customHeight="1" thickBot="1" x14ac:dyDescent="0.6">
      <c r="A29" s="275"/>
      <c r="B29" s="818" t="s">
        <v>260</v>
      </c>
      <c r="C29" s="819"/>
      <c r="D29" s="819"/>
      <c r="E29" s="340">
        <f>SUM(E26:E28)</f>
        <v>495</v>
      </c>
      <c r="F29" s="341">
        <f>SUM(F26:F28)</f>
        <v>12459</v>
      </c>
      <c r="G29" s="342"/>
      <c r="H29" s="688">
        <f>SUM(H26:H28)</f>
        <v>79.2</v>
      </c>
    </row>
    <row r="30" spans="1:8" ht="24.75" customHeight="1" thickBot="1" x14ac:dyDescent="0.6">
      <c r="A30" s="275"/>
      <c r="B30" s="820" t="s">
        <v>261</v>
      </c>
      <c r="C30" s="821"/>
      <c r="D30" s="821"/>
      <c r="E30" s="689">
        <f>+E25+E29</f>
        <v>852</v>
      </c>
      <c r="F30" s="689">
        <f>+F25+F29</f>
        <v>21398</v>
      </c>
      <c r="G30" s="690"/>
      <c r="H30" s="691">
        <f>H25+H29</f>
        <v>136.32</v>
      </c>
    </row>
    <row r="31" spans="1:8" ht="24.75" customHeight="1" thickBot="1" x14ac:dyDescent="0.6">
      <c r="A31" s="275"/>
      <c r="B31" s="831" t="s">
        <v>27</v>
      </c>
      <c r="C31" s="832"/>
      <c r="D31" s="832"/>
      <c r="E31" s="832"/>
      <c r="F31" s="832"/>
      <c r="G31" s="832"/>
      <c r="H31" s="834"/>
    </row>
    <row r="32" spans="1:8" ht="24" customHeight="1" x14ac:dyDescent="0.55000000000000004">
      <c r="A32" s="275"/>
      <c r="B32" s="268"/>
      <c r="C32" s="841" t="s">
        <v>265</v>
      </c>
      <c r="D32" s="693" t="s">
        <v>66</v>
      </c>
      <c r="E32" s="225">
        <v>112</v>
      </c>
      <c r="F32" s="226">
        <v>2785</v>
      </c>
      <c r="G32" s="694">
        <v>25</v>
      </c>
      <c r="H32" s="692">
        <f>E32/$I$2</f>
        <v>17.920000000000002</v>
      </c>
    </row>
    <row r="33" spans="1:8" ht="24" customHeight="1" x14ac:dyDescent="0.55000000000000004">
      <c r="A33" s="275"/>
      <c r="B33" s="268"/>
      <c r="C33" s="841"/>
      <c r="D33" s="291" t="s">
        <v>67</v>
      </c>
      <c r="E33" s="222">
        <v>98</v>
      </c>
      <c r="F33" s="223">
        <v>2421</v>
      </c>
      <c r="G33" s="695">
        <v>25</v>
      </c>
      <c r="H33" s="692">
        <f>E33/$I$2</f>
        <v>15.68</v>
      </c>
    </row>
    <row r="34" spans="1:8" ht="24" customHeight="1" x14ac:dyDescent="0.55000000000000004">
      <c r="A34" s="275"/>
      <c r="B34" s="268"/>
      <c r="C34" s="841"/>
      <c r="D34" s="291" t="s">
        <v>68</v>
      </c>
      <c r="E34" s="222">
        <v>153</v>
      </c>
      <c r="F34" s="223">
        <v>3764</v>
      </c>
      <c r="G34" s="695">
        <v>25</v>
      </c>
      <c r="H34" s="692">
        <f t="shared" ref="H34:H37" si="1">E34/$I$2</f>
        <v>24.48</v>
      </c>
    </row>
    <row r="35" spans="1:8" ht="24" customHeight="1" x14ac:dyDescent="0.55000000000000004">
      <c r="A35" s="275"/>
      <c r="B35" s="268"/>
      <c r="C35" s="841"/>
      <c r="D35" s="291" t="s">
        <v>69</v>
      </c>
      <c r="E35" s="222">
        <v>116</v>
      </c>
      <c r="F35" s="223">
        <v>2893</v>
      </c>
      <c r="G35" s="695">
        <v>25</v>
      </c>
      <c r="H35" s="692">
        <f t="shared" si="1"/>
        <v>18.559999999999999</v>
      </c>
    </row>
    <row r="36" spans="1:8" ht="24" customHeight="1" x14ac:dyDescent="0.55000000000000004">
      <c r="A36" s="275"/>
      <c r="B36" s="268"/>
      <c r="C36" s="841"/>
      <c r="D36" s="696" t="s">
        <v>78</v>
      </c>
      <c r="E36" s="222">
        <v>195</v>
      </c>
      <c r="F36" s="223">
        <v>4864</v>
      </c>
      <c r="G36" s="695">
        <v>25</v>
      </c>
      <c r="H36" s="677">
        <f t="shared" si="1"/>
        <v>31.2</v>
      </c>
    </row>
    <row r="37" spans="1:8" ht="24.75" customHeight="1" thickBot="1" x14ac:dyDescent="0.6">
      <c r="A37" s="275"/>
      <c r="B37" s="268"/>
      <c r="C37" s="838"/>
      <c r="D37" s="697" t="s">
        <v>79</v>
      </c>
      <c r="E37" s="271">
        <v>171</v>
      </c>
      <c r="F37" s="233">
        <v>4608</v>
      </c>
      <c r="G37" s="698">
        <v>27</v>
      </c>
      <c r="H37" s="677">
        <f t="shared" si="1"/>
        <v>27.36</v>
      </c>
    </row>
    <row r="38" spans="1:8" ht="24.75" customHeight="1" thickBot="1" x14ac:dyDescent="0.6">
      <c r="A38" s="275"/>
      <c r="B38" s="818" t="s">
        <v>266</v>
      </c>
      <c r="C38" s="819"/>
      <c r="D38" s="819"/>
      <c r="E38" s="340">
        <f>SUM(E32:E37)</f>
        <v>845</v>
      </c>
      <c r="F38" s="341">
        <f>SUM(F32:F37)</f>
        <v>21335</v>
      </c>
      <c r="G38" s="342"/>
      <c r="H38" s="342">
        <f>SUM(H32:H37)</f>
        <v>135.19999999999999</v>
      </c>
    </row>
    <row r="39" spans="1:8" ht="24.75" customHeight="1" x14ac:dyDescent="0.55000000000000004">
      <c r="A39" s="275"/>
      <c r="B39" s="284"/>
      <c r="C39" s="852" t="s">
        <v>262</v>
      </c>
      <c r="D39" s="285" t="s">
        <v>85</v>
      </c>
      <c r="E39" s="230">
        <v>15</v>
      </c>
      <c r="F39" s="286">
        <v>401</v>
      </c>
      <c r="G39" s="127">
        <v>27</v>
      </c>
      <c r="H39" s="677">
        <f>E39/$I$2</f>
        <v>2.4</v>
      </c>
    </row>
    <row r="40" spans="1:8" ht="24.75" customHeight="1" thickBot="1" x14ac:dyDescent="0.6">
      <c r="A40" s="275"/>
      <c r="B40" s="284"/>
      <c r="C40" s="853"/>
      <c r="D40" s="335" t="s">
        <v>86</v>
      </c>
      <c r="E40" s="336">
        <v>5</v>
      </c>
      <c r="F40" s="337">
        <v>152</v>
      </c>
      <c r="G40" s="142">
        <v>27</v>
      </c>
      <c r="H40" s="66">
        <f>E40/$I$2</f>
        <v>0.8</v>
      </c>
    </row>
    <row r="41" spans="1:8" ht="24.75" customHeight="1" thickBot="1" x14ac:dyDescent="0.6">
      <c r="A41" s="275"/>
      <c r="B41" s="818" t="s">
        <v>263</v>
      </c>
      <c r="C41" s="819"/>
      <c r="D41" s="819"/>
      <c r="E41" s="340">
        <f>SUM(E39:E40)</f>
        <v>20</v>
      </c>
      <c r="F41" s="341">
        <f>SUM(F39:F40)</f>
        <v>553</v>
      </c>
      <c r="G41" s="342"/>
      <c r="H41" s="342">
        <f>H39+H40</f>
        <v>3.2</v>
      </c>
    </row>
    <row r="42" spans="1:8" ht="24" customHeight="1" x14ac:dyDescent="0.55000000000000004">
      <c r="A42" s="275"/>
      <c r="B42" s="268"/>
      <c r="C42" s="837" t="s">
        <v>60</v>
      </c>
      <c r="D42" s="287" t="s">
        <v>82</v>
      </c>
      <c r="E42" s="225">
        <v>103</v>
      </c>
      <c r="F42" s="226">
        <v>2792</v>
      </c>
      <c r="G42" s="113">
        <v>27</v>
      </c>
      <c r="H42" s="677">
        <f>E42/$I$2</f>
        <v>16.48</v>
      </c>
    </row>
    <row r="43" spans="1:8" ht="24.75" customHeight="1" thickBot="1" x14ac:dyDescent="0.6">
      <c r="A43" s="275"/>
      <c r="B43" s="268"/>
      <c r="C43" s="838"/>
      <c r="D43" s="288" t="s">
        <v>83</v>
      </c>
      <c r="E43" s="271">
        <v>156</v>
      </c>
      <c r="F43" s="233">
        <v>4202</v>
      </c>
      <c r="G43" s="117">
        <v>27</v>
      </c>
      <c r="H43" s="66">
        <f>E43/$I$2</f>
        <v>24.96</v>
      </c>
    </row>
    <row r="44" spans="1:8" ht="24.75" customHeight="1" thickBot="1" x14ac:dyDescent="0.6">
      <c r="A44" s="275"/>
      <c r="B44" s="818" t="s">
        <v>264</v>
      </c>
      <c r="C44" s="819"/>
      <c r="D44" s="819"/>
      <c r="E44" s="340">
        <f>SUM(E42:E43)</f>
        <v>259</v>
      </c>
      <c r="F44" s="341">
        <f>SUM(F42:F43)</f>
        <v>6994</v>
      </c>
      <c r="G44" s="342"/>
      <c r="H44" s="342">
        <f>H42+H43</f>
        <v>41.44</v>
      </c>
    </row>
    <row r="45" spans="1:8" ht="24.75" customHeight="1" thickBot="1" x14ac:dyDescent="0.6">
      <c r="A45" s="275"/>
      <c r="B45" s="820" t="s">
        <v>267</v>
      </c>
      <c r="C45" s="821"/>
      <c r="D45" s="821"/>
      <c r="E45" s="689">
        <f>+E41+E44+E38</f>
        <v>1124</v>
      </c>
      <c r="F45" s="699">
        <f>+F41+F44+F38</f>
        <v>28882</v>
      </c>
      <c r="G45" s="690"/>
      <c r="H45" s="690">
        <f>H44+H41+H38</f>
        <v>179.83999999999997</v>
      </c>
    </row>
    <row r="46" spans="1:8" ht="24.75" customHeight="1" thickBot="1" x14ac:dyDescent="0.6">
      <c r="A46" s="816" t="s">
        <v>268</v>
      </c>
      <c r="B46" s="835"/>
      <c r="C46" s="835"/>
      <c r="D46" s="836"/>
      <c r="E46" s="700">
        <f>E45+E30</f>
        <v>1976</v>
      </c>
      <c r="F46" s="700">
        <f>F45+F30</f>
        <v>50280</v>
      </c>
      <c r="G46" s="701"/>
      <c r="H46" s="702">
        <f>H45+H30</f>
        <v>316.15999999999997</v>
      </c>
    </row>
    <row r="47" spans="1:8" ht="24.75" customHeight="1" thickBot="1" x14ac:dyDescent="0.6">
      <c r="A47" s="839" t="s">
        <v>269</v>
      </c>
      <c r="B47" s="828" t="s">
        <v>22</v>
      </c>
      <c r="C47" s="829"/>
      <c r="D47" s="829"/>
      <c r="E47" s="829"/>
      <c r="F47" s="829"/>
      <c r="G47" s="829"/>
      <c r="H47" s="830"/>
    </row>
    <row r="48" spans="1:8" ht="24" customHeight="1" x14ac:dyDescent="0.55000000000000004">
      <c r="A48" s="839"/>
      <c r="B48" s="290"/>
      <c r="C48" s="265" t="s">
        <v>246</v>
      </c>
      <c r="D48" s="277" t="s">
        <v>93</v>
      </c>
      <c r="E48" s="232">
        <v>113</v>
      </c>
      <c r="F48" s="247">
        <v>2816</v>
      </c>
      <c r="G48" s="703">
        <v>25</v>
      </c>
      <c r="H48" s="66">
        <f>E48/$I$2</f>
        <v>18.079999999999998</v>
      </c>
    </row>
    <row r="49" spans="1:8" ht="24" customHeight="1" x14ac:dyDescent="0.55000000000000004">
      <c r="A49" s="839"/>
      <c r="B49" s="276"/>
      <c r="C49" s="265"/>
      <c r="D49" s="249" t="s">
        <v>50</v>
      </c>
      <c r="E49" s="228">
        <v>9</v>
      </c>
      <c r="F49" s="279">
        <v>213</v>
      </c>
      <c r="G49" s="704">
        <v>25</v>
      </c>
      <c r="H49" s="66">
        <f t="shared" ref="H49:H57" si="2">E49/$I$2</f>
        <v>1.44</v>
      </c>
    </row>
    <row r="50" spans="1:8" ht="24" customHeight="1" x14ac:dyDescent="0.55000000000000004">
      <c r="A50" s="839"/>
      <c r="B50" s="276"/>
      <c r="C50" s="265"/>
      <c r="D50" s="249" t="s">
        <v>94</v>
      </c>
      <c r="E50" s="228">
        <v>128</v>
      </c>
      <c r="F50" s="279">
        <v>3199</v>
      </c>
      <c r="G50" s="704">
        <v>25</v>
      </c>
      <c r="H50" s="66">
        <f t="shared" si="2"/>
        <v>20.48</v>
      </c>
    </row>
    <row r="51" spans="1:8" ht="24" customHeight="1" x14ac:dyDescent="0.55000000000000004">
      <c r="A51" s="839"/>
      <c r="B51" s="276"/>
      <c r="C51" s="265"/>
      <c r="D51" s="249" t="s">
        <v>95</v>
      </c>
      <c r="E51" s="228">
        <v>121</v>
      </c>
      <c r="F51" s="279">
        <v>3015</v>
      </c>
      <c r="G51" s="704">
        <v>25</v>
      </c>
      <c r="H51" s="66">
        <f t="shared" si="2"/>
        <v>19.36</v>
      </c>
    </row>
    <row r="52" spans="1:8" ht="24" customHeight="1" x14ac:dyDescent="0.55000000000000004">
      <c r="A52" s="839"/>
      <c r="B52" s="276"/>
      <c r="C52" s="265"/>
      <c r="D52" s="249" t="s">
        <v>96</v>
      </c>
      <c r="E52" s="228">
        <v>56</v>
      </c>
      <c r="F52" s="279">
        <v>1403</v>
      </c>
      <c r="G52" s="704">
        <v>25</v>
      </c>
      <c r="H52" s="66">
        <f t="shared" si="2"/>
        <v>8.9600000000000009</v>
      </c>
    </row>
    <row r="53" spans="1:8" ht="24" customHeight="1" x14ac:dyDescent="0.55000000000000004">
      <c r="A53" s="839"/>
      <c r="B53" s="276"/>
      <c r="C53" s="265"/>
      <c r="D53" s="249" t="s">
        <v>111</v>
      </c>
      <c r="E53" s="228">
        <v>117</v>
      </c>
      <c r="F53" s="279">
        <v>2934</v>
      </c>
      <c r="G53" s="704">
        <v>25</v>
      </c>
      <c r="H53" s="66">
        <f t="shared" si="2"/>
        <v>18.72</v>
      </c>
    </row>
    <row r="54" spans="1:8" ht="24" customHeight="1" x14ac:dyDescent="0.55000000000000004">
      <c r="A54" s="839"/>
      <c r="B54" s="276"/>
      <c r="C54" s="265"/>
      <c r="D54" s="249" t="s">
        <v>112</v>
      </c>
      <c r="E54" s="228">
        <v>116</v>
      </c>
      <c r="F54" s="279">
        <v>2903</v>
      </c>
      <c r="G54" s="704">
        <v>25</v>
      </c>
      <c r="H54" s="66">
        <f t="shared" si="2"/>
        <v>18.559999999999999</v>
      </c>
    </row>
    <row r="55" spans="1:8" ht="24" customHeight="1" x14ac:dyDescent="0.55000000000000004">
      <c r="A55" s="839"/>
      <c r="B55" s="276"/>
      <c r="C55" s="265"/>
      <c r="D55" s="249" t="s">
        <v>113</v>
      </c>
      <c r="E55" s="228">
        <v>115</v>
      </c>
      <c r="F55" s="279">
        <v>2864</v>
      </c>
      <c r="G55" s="704">
        <v>25</v>
      </c>
      <c r="H55" s="66">
        <f t="shared" si="2"/>
        <v>18.399999999999999</v>
      </c>
    </row>
    <row r="56" spans="1:8" ht="24" customHeight="1" x14ac:dyDescent="0.55000000000000004">
      <c r="A56" s="839"/>
      <c r="B56" s="276"/>
      <c r="C56" s="265"/>
      <c r="D56" s="249" t="s">
        <v>114</v>
      </c>
      <c r="E56" s="228">
        <v>128</v>
      </c>
      <c r="F56" s="279">
        <v>2825</v>
      </c>
      <c r="G56" s="704">
        <v>22</v>
      </c>
      <c r="H56" s="66">
        <f t="shared" si="2"/>
        <v>20.48</v>
      </c>
    </row>
    <row r="57" spans="1:8" ht="24" customHeight="1" thickBot="1" x14ac:dyDescent="0.6">
      <c r="A57" s="839"/>
      <c r="B57" s="276"/>
      <c r="C57" s="265"/>
      <c r="D57" s="280" t="s">
        <v>115</v>
      </c>
      <c r="E57" s="281">
        <v>129</v>
      </c>
      <c r="F57" s="282">
        <v>2843</v>
      </c>
      <c r="G57" s="705">
        <v>22</v>
      </c>
      <c r="H57" s="66">
        <f t="shared" si="2"/>
        <v>20.64</v>
      </c>
    </row>
    <row r="58" spans="1:8" ht="24" customHeight="1" thickBot="1" x14ac:dyDescent="0.6">
      <c r="A58" s="839"/>
      <c r="B58" s="818" t="s">
        <v>270</v>
      </c>
      <c r="C58" s="819"/>
      <c r="D58" s="819"/>
      <c r="E58" s="340">
        <f>SUM(E48:E57)</f>
        <v>1032</v>
      </c>
      <c r="F58" s="341">
        <f>SUM(F48:F57)</f>
        <v>25015</v>
      </c>
      <c r="G58" s="342"/>
      <c r="H58" s="342">
        <f>SUM(H48:H57)</f>
        <v>165.12</v>
      </c>
    </row>
    <row r="59" spans="1:8" ht="24" customHeight="1" x14ac:dyDescent="0.55000000000000004">
      <c r="A59" s="839"/>
      <c r="B59" s="268"/>
      <c r="C59" s="265" t="s">
        <v>248</v>
      </c>
      <c r="D59" s="277" t="s">
        <v>51</v>
      </c>
      <c r="E59" s="232">
        <v>169</v>
      </c>
      <c r="F59" s="247">
        <v>4231</v>
      </c>
      <c r="G59" s="120">
        <v>25</v>
      </c>
      <c r="H59" s="66">
        <f>E59/$I$2</f>
        <v>27.04</v>
      </c>
    </row>
    <row r="60" spans="1:8" ht="24" customHeight="1" x14ac:dyDescent="0.55000000000000004">
      <c r="A60" s="839"/>
      <c r="B60" s="268"/>
      <c r="C60" s="265"/>
      <c r="D60" s="249" t="s">
        <v>38</v>
      </c>
      <c r="E60" s="228">
        <v>171</v>
      </c>
      <c r="F60" s="279">
        <v>4265</v>
      </c>
      <c r="G60" s="122">
        <v>25</v>
      </c>
      <c r="H60" s="66">
        <f>E60/$I$2</f>
        <v>27.36</v>
      </c>
    </row>
    <row r="61" spans="1:8" ht="24" customHeight="1" thickBot="1" x14ac:dyDescent="0.6">
      <c r="A61" s="839"/>
      <c r="B61" s="268"/>
      <c r="C61" s="265"/>
      <c r="D61" s="280" t="s">
        <v>37</v>
      </c>
      <c r="E61" s="281">
        <v>67</v>
      </c>
      <c r="F61" s="282">
        <v>1663</v>
      </c>
      <c r="G61" s="124">
        <v>25</v>
      </c>
      <c r="H61" s="66">
        <f>E61/$I$2</f>
        <v>10.72</v>
      </c>
    </row>
    <row r="62" spans="1:8" ht="24" customHeight="1" thickBot="1" x14ac:dyDescent="0.6">
      <c r="A62" s="839"/>
      <c r="B62" s="818" t="s">
        <v>271</v>
      </c>
      <c r="C62" s="819"/>
      <c r="D62" s="819"/>
      <c r="E62" s="340">
        <f>SUM(E59:E61)</f>
        <v>407</v>
      </c>
      <c r="F62" s="341">
        <f>SUM(F59:F61)</f>
        <v>10159</v>
      </c>
      <c r="G62" s="342"/>
      <c r="H62" s="342">
        <f>SUM(H59:H61)</f>
        <v>65.12</v>
      </c>
    </row>
    <row r="63" spans="1:8" ht="24" customHeight="1" thickBot="1" x14ac:dyDescent="0.6">
      <c r="A63" s="839"/>
      <c r="B63" s="820" t="s">
        <v>272</v>
      </c>
      <c r="C63" s="821"/>
      <c r="D63" s="821"/>
      <c r="E63" s="689">
        <f>+E58+E62</f>
        <v>1439</v>
      </c>
      <c r="F63" s="689">
        <f>+F58+F62</f>
        <v>35174</v>
      </c>
      <c r="G63" s="690"/>
      <c r="H63" s="690">
        <f>H58+H62</f>
        <v>230.24</v>
      </c>
    </row>
    <row r="64" spans="1:8" ht="24" customHeight="1" thickBot="1" x14ac:dyDescent="0.6">
      <c r="A64" s="839"/>
      <c r="B64" s="831" t="s">
        <v>27</v>
      </c>
      <c r="C64" s="832"/>
      <c r="D64" s="832"/>
      <c r="E64" s="832"/>
      <c r="F64" s="832"/>
      <c r="G64" s="832"/>
      <c r="H64" s="834"/>
    </row>
    <row r="65" spans="1:9" ht="24" customHeight="1" thickBot="1" x14ac:dyDescent="0.6">
      <c r="A65" s="839"/>
      <c r="B65" s="284"/>
      <c r="C65" s="257" t="s">
        <v>262</v>
      </c>
      <c r="D65" s="285" t="s">
        <v>62</v>
      </c>
      <c r="E65" s="230">
        <v>4</v>
      </c>
      <c r="F65" s="286">
        <v>93</v>
      </c>
      <c r="G65" s="127">
        <v>22</v>
      </c>
      <c r="H65" s="692">
        <f>E65/$I$2</f>
        <v>0.64</v>
      </c>
    </row>
    <row r="66" spans="1:9" ht="24" customHeight="1" thickBot="1" x14ac:dyDescent="0.6">
      <c r="A66" s="839"/>
      <c r="B66" s="818" t="s">
        <v>273</v>
      </c>
      <c r="C66" s="819"/>
      <c r="D66" s="819"/>
      <c r="E66" s="340">
        <f>SUM(E65)</f>
        <v>4</v>
      </c>
      <c r="F66" s="341">
        <f>SUM(F65)</f>
        <v>93</v>
      </c>
      <c r="G66" s="342"/>
      <c r="H66" s="342">
        <f>H65</f>
        <v>0.64</v>
      </c>
    </row>
    <row r="67" spans="1:9" ht="24" customHeight="1" x14ac:dyDescent="0.55000000000000004">
      <c r="A67" s="839"/>
      <c r="B67" s="338"/>
      <c r="C67" s="837" t="s">
        <v>60</v>
      </c>
      <c r="D67" s="706" t="s">
        <v>97</v>
      </c>
      <c r="E67" s="707">
        <v>124</v>
      </c>
      <c r="F67" s="708">
        <v>3106</v>
      </c>
      <c r="G67" s="709">
        <v>25</v>
      </c>
      <c r="H67" s="66">
        <f>E67/$I$2</f>
        <v>19.84</v>
      </c>
    </row>
    <row r="68" spans="1:9" ht="24" customHeight="1" x14ac:dyDescent="0.55000000000000004">
      <c r="A68" s="839"/>
      <c r="B68" s="338"/>
      <c r="C68" s="841"/>
      <c r="D68" s="292" t="s">
        <v>105</v>
      </c>
      <c r="E68" s="601">
        <v>100</v>
      </c>
      <c r="F68" s="710">
        <v>2495</v>
      </c>
      <c r="G68" s="714">
        <v>25</v>
      </c>
      <c r="H68" s="682">
        <f>E68/$I$2</f>
        <v>16</v>
      </c>
    </row>
    <row r="69" spans="1:9" ht="24" customHeight="1" thickBot="1" x14ac:dyDescent="0.6">
      <c r="A69" s="839"/>
      <c r="B69" s="338"/>
      <c r="C69" s="841"/>
      <c r="D69" s="339" t="s">
        <v>106</v>
      </c>
      <c r="E69" s="711">
        <v>12</v>
      </c>
      <c r="F69" s="712">
        <v>300</v>
      </c>
      <c r="G69" s="713">
        <v>25</v>
      </c>
      <c r="H69" s="66">
        <f>E69/$I$2</f>
        <v>1.92</v>
      </c>
    </row>
    <row r="70" spans="1:9" ht="24" customHeight="1" thickBot="1" x14ac:dyDescent="0.6">
      <c r="A70" s="839"/>
      <c r="B70" s="818" t="s">
        <v>274</v>
      </c>
      <c r="C70" s="819"/>
      <c r="D70" s="819"/>
      <c r="E70" s="340">
        <f>SUM(E67:E69)</f>
        <v>236</v>
      </c>
      <c r="F70" s="340">
        <f>SUM(F67:F69)</f>
        <v>5901</v>
      </c>
      <c r="G70" s="342"/>
      <c r="H70" s="342">
        <f>SUM(H67:H69)</f>
        <v>37.760000000000005</v>
      </c>
    </row>
    <row r="71" spans="1:9" ht="24" customHeight="1" x14ac:dyDescent="0.55000000000000004">
      <c r="A71" s="839"/>
      <c r="B71" s="268"/>
      <c r="C71" s="837" t="s">
        <v>265</v>
      </c>
      <c r="D71" s="266" t="s">
        <v>100</v>
      </c>
      <c r="E71" s="715">
        <v>78</v>
      </c>
      <c r="F71" s="716">
        <v>1950</v>
      </c>
      <c r="G71" s="703">
        <v>25</v>
      </c>
      <c r="H71" s="678">
        <f>E71/$I$2</f>
        <v>12.48</v>
      </c>
    </row>
    <row r="72" spans="1:9" ht="24" customHeight="1" x14ac:dyDescent="0.55000000000000004">
      <c r="A72" s="839"/>
      <c r="B72" s="268"/>
      <c r="C72" s="841"/>
      <c r="D72" s="269" t="s">
        <v>101</v>
      </c>
      <c r="E72" s="601">
        <v>154</v>
      </c>
      <c r="F72" s="710">
        <v>3835</v>
      </c>
      <c r="G72" s="704">
        <v>25</v>
      </c>
      <c r="H72" s="66">
        <f>E72/$I$2</f>
        <v>24.64</v>
      </c>
    </row>
    <row r="73" spans="1:9" ht="24" customHeight="1" x14ac:dyDescent="0.55000000000000004">
      <c r="A73" s="839"/>
      <c r="B73" s="268"/>
      <c r="C73" s="841"/>
      <c r="D73" s="291" t="s">
        <v>102</v>
      </c>
      <c r="E73" s="601">
        <v>85</v>
      </c>
      <c r="F73" s="710">
        <v>2119</v>
      </c>
      <c r="G73" s="704">
        <v>25</v>
      </c>
      <c r="H73" s="66">
        <f>E73/$I$2</f>
        <v>13.6</v>
      </c>
    </row>
    <row r="74" spans="1:9" ht="24" customHeight="1" x14ac:dyDescent="0.55000000000000004">
      <c r="A74" s="839"/>
      <c r="B74" s="268"/>
      <c r="C74" s="841"/>
      <c r="D74" s="292" t="s">
        <v>107</v>
      </c>
      <c r="E74" s="601">
        <v>172</v>
      </c>
      <c r="F74" s="710">
        <v>4308</v>
      </c>
      <c r="G74" s="704">
        <v>25</v>
      </c>
      <c r="H74" s="66">
        <f>E74/$I$2</f>
        <v>27.52</v>
      </c>
    </row>
    <row r="75" spans="1:9" ht="24" customHeight="1" thickBot="1" x14ac:dyDescent="0.6">
      <c r="A75" s="839"/>
      <c r="B75" s="268"/>
      <c r="C75" s="838"/>
      <c r="D75" s="679" t="s">
        <v>108</v>
      </c>
      <c r="E75" s="603">
        <v>154</v>
      </c>
      <c r="F75" s="717">
        <v>3861</v>
      </c>
      <c r="G75" s="705">
        <v>25</v>
      </c>
      <c r="H75" s="66">
        <f>E75/$I$2</f>
        <v>24.64</v>
      </c>
    </row>
    <row r="76" spans="1:9" ht="24.75" customHeight="1" thickBot="1" x14ac:dyDescent="0.6">
      <c r="A76" s="839"/>
      <c r="B76" s="818" t="s">
        <v>275</v>
      </c>
      <c r="C76" s="819"/>
      <c r="D76" s="819"/>
      <c r="E76" s="340">
        <f>SUM(E71:E75)</f>
        <v>643</v>
      </c>
      <c r="F76" s="341">
        <f>SUM(F71:F75)</f>
        <v>16073</v>
      </c>
      <c r="G76" s="342"/>
      <c r="H76" s="342">
        <f>H71+H72+H73+H74+H75</f>
        <v>102.88000000000001</v>
      </c>
    </row>
    <row r="77" spans="1:9" ht="24.75" customHeight="1" thickBot="1" x14ac:dyDescent="0.6">
      <c r="A77" s="839"/>
      <c r="B77" s="718"/>
      <c r="C77" s="674" t="s">
        <v>276</v>
      </c>
      <c r="D77" s="298" t="s">
        <v>277</v>
      </c>
      <c r="E77" s="719">
        <v>157</v>
      </c>
      <c r="F77" s="299">
        <v>3932</v>
      </c>
      <c r="G77" s="127">
        <v>25</v>
      </c>
      <c r="H77" s="720">
        <f>E77/$I$2</f>
        <v>25.12</v>
      </c>
    </row>
    <row r="78" spans="1:9" ht="24.75" customHeight="1" thickBot="1" x14ac:dyDescent="0.6">
      <c r="A78" s="839"/>
      <c r="B78" s="818" t="s">
        <v>278</v>
      </c>
      <c r="C78" s="819"/>
      <c r="D78" s="819"/>
      <c r="E78" s="340">
        <f>SUM(E77)</f>
        <v>157</v>
      </c>
      <c r="F78" s="341">
        <f>SUM(F77)</f>
        <v>3932</v>
      </c>
      <c r="G78" s="344"/>
      <c r="H78" s="344">
        <f>E78/$I$2</f>
        <v>25.12</v>
      </c>
    </row>
    <row r="79" spans="1:9" ht="24.75" customHeight="1" thickBot="1" x14ac:dyDescent="0.6">
      <c r="A79" s="840"/>
      <c r="B79" s="825" t="s">
        <v>279</v>
      </c>
      <c r="C79" s="826"/>
      <c r="D79" s="826"/>
      <c r="E79" s="305">
        <f>+E66+E70+E76+E78</f>
        <v>1040</v>
      </c>
      <c r="F79" s="305">
        <f>+F66+F70+F76+F78</f>
        <v>25999</v>
      </c>
      <c r="G79" s="722"/>
      <c r="H79" s="683">
        <f>+H66+H70+H76+H78</f>
        <v>166.40000000000003</v>
      </c>
      <c r="I79" s="721"/>
    </row>
    <row r="80" spans="1:9" ht="24.75" customHeight="1" thickBot="1" x14ac:dyDescent="0.6">
      <c r="A80" s="816" t="s">
        <v>280</v>
      </c>
      <c r="B80" s="854"/>
      <c r="C80" s="854"/>
      <c r="D80" s="855"/>
      <c r="E80" s="347">
        <f>+E63+E79</f>
        <v>2479</v>
      </c>
      <c r="F80" s="347">
        <f>+F63+F79</f>
        <v>61173</v>
      </c>
      <c r="G80" s="723"/>
      <c r="H80" s="724">
        <f>H79+H63</f>
        <v>396.64000000000004</v>
      </c>
      <c r="I80" s="721"/>
    </row>
    <row r="81" spans="1:8" ht="24.75" customHeight="1" thickBot="1" x14ac:dyDescent="0.6">
      <c r="A81" s="844" t="s">
        <v>281</v>
      </c>
      <c r="B81" s="828" t="s">
        <v>22</v>
      </c>
      <c r="C81" s="829"/>
      <c r="D81" s="829"/>
      <c r="E81" s="829"/>
      <c r="F81" s="829"/>
      <c r="G81" s="829"/>
      <c r="H81" s="830"/>
    </row>
    <row r="82" spans="1:8" ht="24" customHeight="1" x14ac:dyDescent="0.55000000000000004">
      <c r="A82" s="839"/>
      <c r="B82" s="290"/>
      <c r="C82" s="841" t="s">
        <v>248</v>
      </c>
      <c r="D82" s="277" t="s">
        <v>52</v>
      </c>
      <c r="E82" s="232">
        <v>154</v>
      </c>
      <c r="F82" s="247">
        <v>3851</v>
      </c>
      <c r="G82" s="120">
        <v>25</v>
      </c>
      <c r="H82" s="66">
        <f>E82/$I$2</f>
        <v>24.64</v>
      </c>
    </row>
    <row r="83" spans="1:8" ht="24" customHeight="1" x14ac:dyDescent="0.55000000000000004">
      <c r="A83" s="839"/>
      <c r="B83" s="343"/>
      <c r="C83" s="841"/>
      <c r="D83" s="249" t="s">
        <v>53</v>
      </c>
      <c r="E83" s="228">
        <v>139</v>
      </c>
      <c r="F83" s="279">
        <v>3476</v>
      </c>
      <c r="G83" s="122">
        <v>25</v>
      </c>
      <c r="H83" s="66">
        <f>E83/$I$2</f>
        <v>22.24</v>
      </c>
    </row>
    <row r="84" spans="1:8" ht="24.75" customHeight="1" thickBot="1" x14ac:dyDescent="0.6">
      <c r="A84" s="839"/>
      <c r="B84" s="276"/>
      <c r="C84" s="841"/>
      <c r="D84" s="280" t="s">
        <v>54</v>
      </c>
      <c r="E84" s="281">
        <v>165</v>
      </c>
      <c r="F84" s="282">
        <v>4127</v>
      </c>
      <c r="G84" s="124">
        <v>25</v>
      </c>
      <c r="H84" s="682">
        <f>E84/$I$2</f>
        <v>26.4</v>
      </c>
    </row>
    <row r="85" spans="1:8" ht="24.75" customHeight="1" thickBot="1" x14ac:dyDescent="0.6">
      <c r="A85" s="839"/>
      <c r="B85" s="818" t="s">
        <v>282</v>
      </c>
      <c r="C85" s="819"/>
      <c r="D85" s="819"/>
      <c r="E85" s="340">
        <f>SUM(E82:E84)</f>
        <v>458</v>
      </c>
      <c r="F85" s="341">
        <f>SUM(F82:F84)</f>
        <v>11454</v>
      </c>
      <c r="G85" s="344"/>
      <c r="H85" s="725">
        <f>H82+H83+H84</f>
        <v>73.28</v>
      </c>
    </row>
    <row r="86" spans="1:8" ht="24.75" customHeight="1" thickBot="1" x14ac:dyDescent="0.6">
      <c r="A86" s="839"/>
      <c r="B86" s="825" t="s">
        <v>283</v>
      </c>
      <c r="C86" s="826"/>
      <c r="D86" s="826"/>
      <c r="E86" s="262">
        <f>E85</f>
        <v>458</v>
      </c>
      <c r="F86" s="262">
        <f>F85</f>
        <v>11454</v>
      </c>
      <c r="G86" s="294"/>
      <c r="H86" s="726">
        <f>E86/$I$2</f>
        <v>73.28</v>
      </c>
    </row>
    <row r="87" spans="1:8" ht="24.75" customHeight="1" thickBot="1" x14ac:dyDescent="0.6">
      <c r="A87" s="839"/>
      <c r="B87" s="831" t="s">
        <v>27</v>
      </c>
      <c r="C87" s="832"/>
      <c r="D87" s="832"/>
      <c r="E87" s="832"/>
      <c r="F87" s="832"/>
      <c r="G87" s="832"/>
      <c r="H87" s="834"/>
    </row>
    <row r="88" spans="1:8" ht="24" customHeight="1" x14ac:dyDescent="0.55000000000000004">
      <c r="A88" s="839"/>
      <c r="B88" s="290"/>
      <c r="C88" s="841" t="s">
        <v>60</v>
      </c>
      <c r="D88" s="266" t="s">
        <v>119</v>
      </c>
      <c r="E88" s="715">
        <v>134</v>
      </c>
      <c r="F88" s="716">
        <v>3333</v>
      </c>
      <c r="G88" s="703">
        <v>25</v>
      </c>
      <c r="H88" s="727">
        <f t="shared" ref="H88:H93" si="3">E88/$I$2</f>
        <v>21.44</v>
      </c>
    </row>
    <row r="89" spans="1:8" ht="24" customHeight="1" x14ac:dyDescent="0.55000000000000004">
      <c r="A89" s="839"/>
      <c r="B89" s="276"/>
      <c r="C89" s="841"/>
      <c r="D89" s="269" t="s">
        <v>120</v>
      </c>
      <c r="E89" s="601">
        <v>101</v>
      </c>
      <c r="F89" s="710">
        <v>2525</v>
      </c>
      <c r="G89" s="704">
        <v>25</v>
      </c>
      <c r="H89" s="727">
        <f t="shared" si="3"/>
        <v>16.16</v>
      </c>
    </row>
    <row r="90" spans="1:8" ht="24" customHeight="1" x14ac:dyDescent="0.55000000000000004">
      <c r="A90" s="839"/>
      <c r="B90" s="276"/>
      <c r="C90" s="841"/>
      <c r="D90" s="269" t="s">
        <v>121</v>
      </c>
      <c r="E90" s="601">
        <v>116</v>
      </c>
      <c r="F90" s="710">
        <v>2888</v>
      </c>
      <c r="G90" s="704">
        <v>25</v>
      </c>
      <c r="H90" s="727">
        <f t="shared" si="3"/>
        <v>18.559999999999999</v>
      </c>
    </row>
    <row r="91" spans="1:8" ht="24" customHeight="1" x14ac:dyDescent="0.55000000000000004">
      <c r="A91" s="839"/>
      <c r="B91" s="276"/>
      <c r="C91" s="841"/>
      <c r="D91" s="269" t="s">
        <v>122</v>
      </c>
      <c r="E91" s="601">
        <v>76</v>
      </c>
      <c r="F91" s="710">
        <v>1905</v>
      </c>
      <c r="G91" s="704">
        <v>25</v>
      </c>
      <c r="H91" s="727">
        <f t="shared" si="3"/>
        <v>12.16</v>
      </c>
    </row>
    <row r="92" spans="1:8" ht="24" customHeight="1" x14ac:dyDescent="0.55000000000000004">
      <c r="A92" s="839"/>
      <c r="B92" s="276"/>
      <c r="C92" s="841"/>
      <c r="D92" s="269" t="s">
        <v>123</v>
      </c>
      <c r="E92" s="601">
        <v>92</v>
      </c>
      <c r="F92" s="710">
        <v>2291</v>
      </c>
      <c r="G92" s="704">
        <v>25</v>
      </c>
      <c r="H92" s="727">
        <f t="shared" si="3"/>
        <v>14.72</v>
      </c>
    </row>
    <row r="93" spans="1:8" ht="24" customHeight="1" x14ac:dyDescent="0.55000000000000004">
      <c r="A93" s="839"/>
      <c r="B93" s="276"/>
      <c r="C93" s="841"/>
      <c r="D93" s="269" t="s">
        <v>126</v>
      </c>
      <c r="E93" s="601">
        <v>108</v>
      </c>
      <c r="F93" s="602">
        <v>2707</v>
      </c>
      <c r="G93" s="704">
        <v>25</v>
      </c>
      <c r="H93" s="727">
        <f t="shared" si="3"/>
        <v>17.28</v>
      </c>
    </row>
    <row r="94" spans="1:8" ht="24" customHeight="1" x14ac:dyDescent="0.55000000000000004">
      <c r="A94" s="839"/>
      <c r="B94" s="276"/>
      <c r="C94" s="841"/>
      <c r="D94" s="269" t="s">
        <v>127</v>
      </c>
      <c r="E94" s="601">
        <v>86</v>
      </c>
      <c r="F94" s="602">
        <v>2132</v>
      </c>
      <c r="G94" s="704">
        <v>25</v>
      </c>
      <c r="H94" s="727">
        <f t="shared" ref="H94:H95" si="4">E94/$I$2</f>
        <v>13.76</v>
      </c>
    </row>
    <row r="95" spans="1:8" ht="24.75" customHeight="1" thickBot="1" x14ac:dyDescent="0.6">
      <c r="A95" s="839"/>
      <c r="B95" s="276"/>
      <c r="C95" s="838"/>
      <c r="D95" s="270" t="s">
        <v>128</v>
      </c>
      <c r="E95" s="603">
        <v>29</v>
      </c>
      <c r="F95" s="604">
        <v>720</v>
      </c>
      <c r="G95" s="705">
        <v>25</v>
      </c>
      <c r="H95" s="727">
        <f t="shared" si="4"/>
        <v>4.6399999999999997</v>
      </c>
    </row>
    <row r="96" spans="1:8" ht="24.75" customHeight="1" thickBot="1" x14ac:dyDescent="0.6">
      <c r="A96" s="839"/>
      <c r="B96" s="818" t="s">
        <v>284</v>
      </c>
      <c r="C96" s="819"/>
      <c r="D96" s="819"/>
      <c r="E96" s="340">
        <f>SUM(E88:E95)</f>
        <v>742</v>
      </c>
      <c r="F96" s="341">
        <f>SUM(F88:F95)</f>
        <v>18501</v>
      </c>
      <c r="G96" s="344"/>
      <c r="H96" s="725">
        <f>SUM(H88:H95)</f>
        <v>118.72</v>
      </c>
    </row>
    <row r="97" spans="1:9" ht="24.75" customHeight="1" thickBot="1" x14ac:dyDescent="0.6">
      <c r="A97" s="839"/>
      <c r="B97" s="256"/>
      <c r="C97" s="308" t="s">
        <v>265</v>
      </c>
      <c r="D97" s="285" t="s">
        <v>135</v>
      </c>
      <c r="E97" s="230">
        <v>142</v>
      </c>
      <c r="F97" s="231">
        <v>3259</v>
      </c>
      <c r="G97" s="295">
        <v>25</v>
      </c>
      <c r="H97" s="678">
        <f>E97/$I$2</f>
        <v>22.72</v>
      </c>
    </row>
    <row r="98" spans="1:9" ht="24.75" customHeight="1" thickBot="1" x14ac:dyDescent="0.6">
      <c r="A98" s="839"/>
      <c r="B98" s="818" t="s">
        <v>285</v>
      </c>
      <c r="C98" s="819"/>
      <c r="D98" s="819"/>
      <c r="E98" s="340">
        <f>SUM(E97)</f>
        <v>142</v>
      </c>
      <c r="F98" s="341">
        <f>SUM(F97)</f>
        <v>3259</v>
      </c>
      <c r="G98" s="344"/>
      <c r="H98" s="344">
        <f>H97</f>
        <v>22.72</v>
      </c>
    </row>
    <row r="99" spans="1:9" ht="24.75" customHeight="1" thickBot="1" x14ac:dyDescent="0.6">
      <c r="A99" s="839"/>
      <c r="B99" s="825" t="s">
        <v>286</v>
      </c>
      <c r="C99" s="826"/>
      <c r="D99" s="826"/>
      <c r="E99" s="305">
        <f>+E96+E98</f>
        <v>884</v>
      </c>
      <c r="F99" s="305">
        <f>+F96+F98</f>
        <v>21760</v>
      </c>
      <c r="G99" s="294"/>
      <c r="H99" s="726">
        <f>E99/$I$2</f>
        <v>141.44</v>
      </c>
    </row>
    <row r="100" spans="1:9" ht="24" thickBot="1" x14ac:dyDescent="0.6">
      <c r="A100" s="816" t="s">
        <v>287</v>
      </c>
      <c r="B100" s="835"/>
      <c r="C100" s="835"/>
      <c r="D100" s="836"/>
      <c r="E100" s="347">
        <f>+E86+E99</f>
        <v>1342</v>
      </c>
      <c r="F100" s="347">
        <f>+F86+F99</f>
        <v>33214</v>
      </c>
      <c r="G100" s="728"/>
      <c r="H100" s="729">
        <f>+H99+H86</f>
        <v>214.72</v>
      </c>
      <c r="I100" s="721"/>
    </row>
    <row r="101" spans="1:9" ht="24.75" customHeight="1" thickBot="1" x14ac:dyDescent="0.6">
      <c r="A101" s="844">
        <v>63</v>
      </c>
      <c r="B101" s="828" t="s">
        <v>22</v>
      </c>
      <c r="C101" s="829"/>
      <c r="D101" s="829"/>
      <c r="E101" s="829"/>
      <c r="F101" s="829"/>
      <c r="G101" s="829"/>
      <c r="H101" s="830"/>
    </row>
    <row r="102" spans="1:9" ht="24" customHeight="1" x14ac:dyDescent="0.55000000000000004">
      <c r="A102" s="839"/>
      <c r="B102" s="290"/>
      <c r="C102" s="841" t="s">
        <v>246</v>
      </c>
      <c r="D102" s="246" t="s">
        <v>139</v>
      </c>
      <c r="E102" s="120">
        <v>121</v>
      </c>
      <c r="F102" s="296">
        <v>3037</v>
      </c>
      <c r="G102" s="120">
        <v>25</v>
      </c>
      <c r="H102" s="66">
        <f>E102/$I$2</f>
        <v>19.36</v>
      </c>
    </row>
    <row r="103" spans="1:9" ht="24" customHeight="1" x14ac:dyDescent="0.55000000000000004">
      <c r="A103" s="839"/>
      <c r="B103" s="276"/>
      <c r="C103" s="841"/>
      <c r="D103" s="252" t="s">
        <v>140</v>
      </c>
      <c r="E103" s="122">
        <v>38</v>
      </c>
      <c r="F103" s="293">
        <v>842</v>
      </c>
      <c r="G103" s="122">
        <v>22</v>
      </c>
      <c r="H103" s="66">
        <f>E103/$I$2</f>
        <v>6.08</v>
      </c>
    </row>
    <row r="104" spans="1:9" ht="24.75" customHeight="1" thickBot="1" x14ac:dyDescent="0.6">
      <c r="A104" s="839"/>
      <c r="B104" s="276"/>
      <c r="C104" s="838"/>
      <c r="D104" s="253" t="s">
        <v>141</v>
      </c>
      <c r="E104" s="124">
        <v>38</v>
      </c>
      <c r="F104" s="297">
        <v>844</v>
      </c>
      <c r="G104" s="124">
        <v>22</v>
      </c>
      <c r="H104" s="66">
        <f>E104/$I$2</f>
        <v>6.08</v>
      </c>
    </row>
    <row r="105" spans="1:9" ht="24.75" customHeight="1" thickBot="1" x14ac:dyDescent="0.6">
      <c r="A105" s="839"/>
      <c r="B105" s="818" t="s">
        <v>288</v>
      </c>
      <c r="C105" s="819"/>
      <c r="D105" s="819"/>
      <c r="E105" s="340">
        <f>SUM(E102:E104)</f>
        <v>197</v>
      </c>
      <c r="F105" s="341">
        <f>SUM(F102:F104)</f>
        <v>4723</v>
      </c>
      <c r="G105" s="344"/>
      <c r="H105" s="344">
        <f>H102+H103+H104</f>
        <v>31.519999999999996</v>
      </c>
    </row>
    <row r="106" spans="1:9" ht="24.75" customHeight="1" thickBot="1" x14ac:dyDescent="0.6">
      <c r="A106" s="839"/>
      <c r="B106" s="825" t="s">
        <v>289</v>
      </c>
      <c r="C106" s="826"/>
      <c r="D106" s="826"/>
      <c r="E106" s="262">
        <f>E105</f>
        <v>197</v>
      </c>
      <c r="F106" s="262">
        <f>F105</f>
        <v>4723</v>
      </c>
      <c r="G106" s="294"/>
      <c r="H106" s="294">
        <f>H105</f>
        <v>31.519999999999996</v>
      </c>
    </row>
    <row r="107" spans="1:9" ht="24.75" customHeight="1" thickBot="1" x14ac:dyDescent="0.6">
      <c r="A107" s="839"/>
      <c r="B107" s="831" t="s">
        <v>27</v>
      </c>
      <c r="C107" s="832"/>
      <c r="D107" s="832"/>
      <c r="E107" s="832"/>
      <c r="F107" s="832"/>
      <c r="G107" s="832"/>
      <c r="H107" s="834"/>
    </row>
    <row r="108" spans="1:9" ht="24" customHeight="1" x14ac:dyDescent="0.55000000000000004">
      <c r="A108" s="839"/>
      <c r="B108" s="290"/>
      <c r="C108" s="841" t="s">
        <v>265</v>
      </c>
      <c r="D108" s="266" t="s">
        <v>144</v>
      </c>
      <c r="E108" s="731">
        <v>24</v>
      </c>
      <c r="F108" s="732">
        <v>534</v>
      </c>
      <c r="G108" s="730">
        <v>22</v>
      </c>
      <c r="H108" s="66">
        <f t="shared" ref="H108:H109" si="5">E108/$I$2</f>
        <v>3.84</v>
      </c>
    </row>
    <row r="109" spans="1:9" ht="24" customHeight="1" x14ac:dyDescent="0.55000000000000004">
      <c r="A109" s="839"/>
      <c r="B109" s="276"/>
      <c r="C109" s="841"/>
      <c r="D109" s="269" t="s">
        <v>145</v>
      </c>
      <c r="E109" s="733">
        <v>39</v>
      </c>
      <c r="F109" s="734">
        <v>980</v>
      </c>
      <c r="G109" s="350">
        <v>25</v>
      </c>
      <c r="H109" s="678">
        <f t="shared" si="5"/>
        <v>6.24</v>
      </c>
    </row>
    <row r="110" spans="1:9" ht="24.75" customHeight="1" x14ac:dyDescent="0.55000000000000004">
      <c r="A110" s="839"/>
      <c r="B110" s="276"/>
      <c r="C110" s="841"/>
      <c r="D110" s="270" t="s">
        <v>146</v>
      </c>
      <c r="E110" s="612">
        <v>14</v>
      </c>
      <c r="F110" s="735">
        <v>309</v>
      </c>
      <c r="G110" s="351">
        <v>22</v>
      </c>
      <c r="H110" s="66">
        <f>E110/$I$2</f>
        <v>2.2400000000000002</v>
      </c>
    </row>
    <row r="111" spans="1:9" ht="24.75" customHeight="1" thickBot="1" x14ac:dyDescent="0.6">
      <c r="A111" s="839"/>
      <c r="B111" s="276"/>
      <c r="C111" s="838"/>
      <c r="D111" s="335" t="s">
        <v>147</v>
      </c>
      <c r="E111" s="736">
        <v>109</v>
      </c>
      <c r="F111" s="737">
        <v>2388</v>
      </c>
      <c r="G111" s="352">
        <v>22</v>
      </c>
      <c r="H111" s="66">
        <f t="shared" ref="H111" si="6">E111/$I$2</f>
        <v>17.440000000000001</v>
      </c>
    </row>
    <row r="112" spans="1:9" ht="24.75" customHeight="1" thickBot="1" x14ac:dyDescent="0.6">
      <c r="A112" s="839"/>
      <c r="B112" s="845" t="s">
        <v>290</v>
      </c>
      <c r="C112" s="846"/>
      <c r="D112" s="846"/>
      <c r="E112" s="348">
        <f>SUM(E108:E111)</f>
        <v>186</v>
      </c>
      <c r="F112" s="354">
        <f>SUM(F108:F111)</f>
        <v>4211</v>
      </c>
      <c r="G112" s="346"/>
      <c r="H112" s="346">
        <f>SUM(H108:H111)</f>
        <v>29.76</v>
      </c>
    </row>
    <row r="113" spans="1:9" ht="24.75" customHeight="1" thickBot="1" x14ac:dyDescent="0.6">
      <c r="A113" s="839"/>
      <c r="B113" s="256"/>
      <c r="C113" s="353" t="s">
        <v>276</v>
      </c>
      <c r="D113" s="298" t="s">
        <v>149</v>
      </c>
      <c r="E113" s="127">
        <v>108</v>
      </c>
      <c r="F113" s="299">
        <v>2365</v>
      </c>
      <c r="G113" s="127">
        <v>22</v>
      </c>
      <c r="H113" s="66">
        <f>E113/$I$2</f>
        <v>17.28</v>
      </c>
    </row>
    <row r="114" spans="1:9" ht="24.75" customHeight="1" thickBot="1" x14ac:dyDescent="0.6">
      <c r="A114" s="839"/>
      <c r="B114" s="845" t="s">
        <v>291</v>
      </c>
      <c r="C114" s="846"/>
      <c r="D114" s="846"/>
      <c r="E114" s="348">
        <f>SUM(E113:E113)</f>
        <v>108</v>
      </c>
      <c r="F114" s="345">
        <f>SUM(F113)</f>
        <v>2365</v>
      </c>
      <c r="G114" s="346"/>
      <c r="H114" s="346">
        <f>H113</f>
        <v>17.28</v>
      </c>
    </row>
    <row r="115" spans="1:9" ht="24.75" customHeight="1" thickBot="1" x14ac:dyDescent="0.6">
      <c r="A115" s="839"/>
      <c r="B115" s="825" t="s">
        <v>292</v>
      </c>
      <c r="C115" s="826"/>
      <c r="D115" s="826"/>
      <c r="E115" s="305">
        <f>+E112+E114</f>
        <v>294</v>
      </c>
      <c r="F115" s="305">
        <f>+F112+F114</f>
        <v>6576</v>
      </c>
      <c r="G115" s="294"/>
      <c r="H115" s="294">
        <f>H114+H112</f>
        <v>47.040000000000006</v>
      </c>
    </row>
    <row r="116" spans="1:9" ht="24" thickBot="1" x14ac:dyDescent="0.6">
      <c r="A116" s="816" t="s">
        <v>293</v>
      </c>
      <c r="B116" s="835"/>
      <c r="C116" s="835"/>
      <c r="D116" s="836"/>
      <c r="E116" s="347">
        <f>+E106+E115</f>
        <v>491</v>
      </c>
      <c r="F116" s="347">
        <f>+F106+F115</f>
        <v>11299</v>
      </c>
      <c r="G116" s="728"/>
      <c r="H116" s="724">
        <f>H115+H106</f>
        <v>78.56</v>
      </c>
      <c r="I116" s="721"/>
    </row>
    <row r="117" spans="1:9" ht="24" customHeight="1" thickBot="1" x14ac:dyDescent="0.6">
      <c r="A117" s="844" t="s">
        <v>301</v>
      </c>
      <c r="B117" s="828" t="s">
        <v>22</v>
      </c>
      <c r="C117" s="829"/>
      <c r="D117" s="829"/>
      <c r="E117" s="829"/>
      <c r="F117" s="829"/>
      <c r="G117" s="829"/>
      <c r="H117" s="830"/>
    </row>
    <row r="118" spans="1:9" ht="24" customHeight="1" x14ac:dyDescent="0.55000000000000004">
      <c r="A118" s="839"/>
      <c r="B118" s="290"/>
      <c r="C118" s="841" t="s">
        <v>248</v>
      </c>
      <c r="D118" s="246" t="s">
        <v>55</v>
      </c>
      <c r="E118" s="130">
        <v>158</v>
      </c>
      <c r="F118" s="296">
        <v>3480</v>
      </c>
      <c r="G118" s="130">
        <v>22</v>
      </c>
      <c r="H118" s="66">
        <f>E118/$I$2</f>
        <v>25.28</v>
      </c>
    </row>
    <row r="119" spans="1:9" ht="24" customHeight="1" x14ac:dyDescent="0.55000000000000004">
      <c r="A119" s="839"/>
      <c r="B119" s="290"/>
      <c r="C119" s="841"/>
      <c r="D119" s="252" t="s">
        <v>56</v>
      </c>
      <c r="E119" s="122">
        <v>143</v>
      </c>
      <c r="F119" s="300">
        <v>3140</v>
      </c>
      <c r="G119" s="301">
        <v>22</v>
      </c>
      <c r="H119" s="66">
        <f>E119/$I$2</f>
        <v>22.88</v>
      </c>
    </row>
    <row r="120" spans="1:9" ht="24" customHeight="1" x14ac:dyDescent="0.55000000000000004">
      <c r="A120" s="839"/>
      <c r="B120" s="290"/>
      <c r="C120" s="841"/>
      <c r="D120" s="252" t="s">
        <v>57</v>
      </c>
      <c r="E120" s="122">
        <v>167</v>
      </c>
      <c r="F120" s="300">
        <v>3671</v>
      </c>
      <c r="G120" s="301">
        <v>22</v>
      </c>
      <c r="H120" s="66">
        <f t="shared" ref="H120" si="7">E120/$I$2</f>
        <v>26.72</v>
      </c>
    </row>
    <row r="121" spans="1:9" ht="24" customHeight="1" x14ac:dyDescent="0.55000000000000004">
      <c r="A121" s="839"/>
      <c r="B121" s="290"/>
      <c r="C121" s="841"/>
      <c r="D121" s="252" t="s">
        <v>58</v>
      </c>
      <c r="E121" s="122">
        <v>130</v>
      </c>
      <c r="F121" s="300">
        <v>2868</v>
      </c>
      <c r="G121" s="301">
        <v>22</v>
      </c>
      <c r="H121" s="682">
        <f>E121/$I$2</f>
        <v>20.8</v>
      </c>
    </row>
    <row r="122" spans="1:9" ht="24" customHeight="1" thickBot="1" x14ac:dyDescent="0.6">
      <c r="A122" s="839"/>
      <c r="B122" s="290"/>
      <c r="C122" s="838"/>
      <c r="D122" s="253" t="s">
        <v>44</v>
      </c>
      <c r="E122" s="124">
        <v>145</v>
      </c>
      <c r="F122" s="302">
        <v>3193</v>
      </c>
      <c r="G122" s="303">
        <v>22</v>
      </c>
      <c r="H122" s="682">
        <f>E122/$I$2</f>
        <v>23.2</v>
      </c>
    </row>
    <row r="123" spans="1:9" ht="24" customHeight="1" thickBot="1" x14ac:dyDescent="0.6">
      <c r="A123" s="839"/>
      <c r="B123" s="845" t="s">
        <v>294</v>
      </c>
      <c r="C123" s="846"/>
      <c r="D123" s="846"/>
      <c r="E123" s="348">
        <f>SUM(E118:E122)</f>
        <v>743</v>
      </c>
      <c r="F123" s="345">
        <f>SUM(F118:F122)</f>
        <v>16352</v>
      </c>
      <c r="G123" s="346"/>
      <c r="H123" s="738">
        <f>H118+H119+H120+H121+H122</f>
        <v>118.88</v>
      </c>
    </row>
    <row r="124" spans="1:9" ht="24" customHeight="1" x14ac:dyDescent="0.55000000000000004">
      <c r="A124" s="839"/>
      <c r="B124" s="245"/>
      <c r="C124" s="856" t="s">
        <v>246</v>
      </c>
      <c r="D124" s="246" t="s">
        <v>174</v>
      </c>
      <c r="E124" s="120">
        <v>111</v>
      </c>
      <c r="F124" s="304">
        <v>2449</v>
      </c>
      <c r="G124" s="355">
        <v>22</v>
      </c>
      <c r="H124" s="66">
        <f>E124/$I$2</f>
        <v>17.760000000000002</v>
      </c>
    </row>
    <row r="125" spans="1:9" ht="24" customHeight="1" x14ac:dyDescent="0.55000000000000004">
      <c r="A125" s="839"/>
      <c r="B125" s="248"/>
      <c r="C125" s="857"/>
      <c r="D125" s="252" t="s">
        <v>175</v>
      </c>
      <c r="E125" s="122">
        <v>92</v>
      </c>
      <c r="F125" s="300">
        <v>2014</v>
      </c>
      <c r="G125" s="356">
        <v>22</v>
      </c>
      <c r="H125" s="66">
        <f t="shared" ref="H125:H134" si="8">E125/$I$2</f>
        <v>14.72</v>
      </c>
    </row>
    <row r="126" spans="1:9" ht="24" customHeight="1" x14ac:dyDescent="0.55000000000000004">
      <c r="A126" s="839"/>
      <c r="B126" s="248"/>
      <c r="C126" s="857"/>
      <c r="D126" s="252" t="s">
        <v>176</v>
      </c>
      <c r="E126" s="122">
        <v>132</v>
      </c>
      <c r="F126" s="300">
        <v>2898</v>
      </c>
      <c r="G126" s="356">
        <v>22</v>
      </c>
      <c r="H126" s="66">
        <f t="shared" si="8"/>
        <v>21.12</v>
      </c>
    </row>
    <row r="127" spans="1:9" ht="24" customHeight="1" x14ac:dyDescent="0.55000000000000004">
      <c r="A127" s="839"/>
      <c r="B127" s="248"/>
      <c r="C127" s="857"/>
      <c r="D127" s="253" t="s">
        <v>177</v>
      </c>
      <c r="E127" s="124">
        <v>107</v>
      </c>
      <c r="F127" s="302">
        <v>2364</v>
      </c>
      <c r="G127" s="357">
        <v>22</v>
      </c>
      <c r="H127" s="66">
        <f t="shared" si="8"/>
        <v>17.12</v>
      </c>
    </row>
    <row r="128" spans="1:9" ht="24" customHeight="1" x14ac:dyDescent="0.55000000000000004">
      <c r="A128" s="839"/>
      <c r="B128" s="248"/>
      <c r="C128" s="857"/>
      <c r="D128" s="269" t="s">
        <v>178</v>
      </c>
      <c r="E128" s="612">
        <v>3</v>
      </c>
      <c r="F128" s="613">
        <v>61</v>
      </c>
      <c r="G128" s="614">
        <v>22</v>
      </c>
      <c r="H128" s="66">
        <f t="shared" si="8"/>
        <v>0.48</v>
      </c>
    </row>
    <row r="129" spans="1:9" ht="24" customHeight="1" x14ac:dyDescent="0.55000000000000004">
      <c r="A129" s="839"/>
      <c r="B129" s="248"/>
      <c r="C129" s="857"/>
      <c r="D129" s="269" t="s">
        <v>179</v>
      </c>
      <c r="E129" s="612">
        <v>8</v>
      </c>
      <c r="F129" s="613">
        <v>171</v>
      </c>
      <c r="G129" s="614">
        <v>22</v>
      </c>
      <c r="H129" s="66">
        <f t="shared" si="8"/>
        <v>1.28</v>
      </c>
    </row>
    <row r="130" spans="1:9" ht="24" customHeight="1" x14ac:dyDescent="0.55000000000000004">
      <c r="A130" s="839"/>
      <c r="B130" s="248"/>
      <c r="C130" s="857"/>
      <c r="D130" s="269" t="s">
        <v>180</v>
      </c>
      <c r="E130" s="612">
        <v>11</v>
      </c>
      <c r="F130" s="613">
        <v>241</v>
      </c>
      <c r="G130" s="614">
        <v>22</v>
      </c>
      <c r="H130" s="66">
        <f t="shared" si="8"/>
        <v>1.76</v>
      </c>
    </row>
    <row r="131" spans="1:9" ht="24" customHeight="1" x14ac:dyDescent="0.55000000000000004">
      <c r="A131" s="839"/>
      <c r="B131" s="248"/>
      <c r="C131" s="857"/>
      <c r="D131" s="252" t="s">
        <v>181</v>
      </c>
      <c r="E131" s="124">
        <v>140</v>
      </c>
      <c r="F131" s="302">
        <v>3070</v>
      </c>
      <c r="G131" s="356">
        <v>22</v>
      </c>
      <c r="H131" s="66">
        <f t="shared" si="8"/>
        <v>22.4</v>
      </c>
    </row>
    <row r="132" spans="1:9" ht="24" customHeight="1" x14ac:dyDescent="0.55000000000000004">
      <c r="A132" s="839"/>
      <c r="B132" s="248"/>
      <c r="C132" s="857"/>
      <c r="D132" s="252" t="s">
        <v>182</v>
      </c>
      <c r="E132" s="122">
        <v>149</v>
      </c>
      <c r="F132" s="300">
        <v>3270</v>
      </c>
      <c r="G132" s="356">
        <v>22</v>
      </c>
      <c r="H132" s="66">
        <f t="shared" si="8"/>
        <v>23.84</v>
      </c>
    </row>
    <row r="133" spans="1:9" ht="24" customHeight="1" x14ac:dyDescent="0.55000000000000004">
      <c r="A133" s="839"/>
      <c r="B133" s="248"/>
      <c r="C133" s="857"/>
      <c r="D133" s="252" t="s">
        <v>183</v>
      </c>
      <c r="E133" s="122">
        <v>144</v>
      </c>
      <c r="F133" s="300">
        <v>3171</v>
      </c>
      <c r="G133" s="356">
        <v>22</v>
      </c>
      <c r="H133" s="66">
        <f t="shared" si="8"/>
        <v>23.04</v>
      </c>
    </row>
    <row r="134" spans="1:9" ht="24" customHeight="1" thickBot="1" x14ac:dyDescent="0.6">
      <c r="A134" s="839"/>
      <c r="B134" s="248"/>
      <c r="C134" s="858"/>
      <c r="D134" s="349" t="s">
        <v>184</v>
      </c>
      <c r="E134" s="142">
        <v>134</v>
      </c>
      <c r="F134" s="358">
        <v>2950</v>
      </c>
      <c r="G134" s="359">
        <v>22</v>
      </c>
      <c r="H134" s="66">
        <f t="shared" si="8"/>
        <v>21.44</v>
      </c>
    </row>
    <row r="135" spans="1:9" ht="24" customHeight="1" thickBot="1" x14ac:dyDescent="0.6">
      <c r="A135" s="839"/>
      <c r="B135" s="845" t="s">
        <v>329</v>
      </c>
      <c r="C135" s="846"/>
      <c r="D135" s="846"/>
      <c r="E135" s="345">
        <f>SUM(E124:E134)</f>
        <v>1031</v>
      </c>
      <c r="F135" s="354">
        <f>SUM(F124:F134)</f>
        <v>22659</v>
      </c>
      <c r="G135" s="360"/>
      <c r="H135" s="739">
        <f>SUM(H124:H134)</f>
        <v>164.96</v>
      </c>
    </row>
    <row r="136" spans="1:9" ht="24" customHeight="1" thickBot="1" x14ac:dyDescent="0.6">
      <c r="A136" s="839"/>
      <c r="B136" s="825" t="s">
        <v>318</v>
      </c>
      <c r="C136" s="826"/>
      <c r="D136" s="826"/>
      <c r="E136" s="305">
        <f>+E123+E135</f>
        <v>1774</v>
      </c>
      <c r="F136" s="305">
        <f>+F123+F135</f>
        <v>39011</v>
      </c>
      <c r="G136" s="306"/>
      <c r="H136" s="740">
        <f>H135+H123</f>
        <v>283.84000000000003</v>
      </c>
      <c r="I136" s="721"/>
    </row>
    <row r="137" spans="1:9" ht="24" customHeight="1" thickBot="1" x14ac:dyDescent="0.6">
      <c r="A137" s="839"/>
      <c r="B137" s="831" t="s">
        <v>27</v>
      </c>
      <c r="C137" s="832"/>
      <c r="D137" s="832"/>
      <c r="E137" s="832"/>
      <c r="F137" s="832"/>
      <c r="G137" s="832"/>
      <c r="H137" s="834"/>
      <c r="I137" s="307"/>
    </row>
    <row r="138" spans="1:9" ht="24" customHeight="1" x14ac:dyDescent="0.55000000000000004">
      <c r="A138" s="839"/>
      <c r="B138" s="264"/>
      <c r="C138" s="841" t="s">
        <v>302</v>
      </c>
      <c r="D138" s="741" t="s">
        <v>152</v>
      </c>
      <c r="E138" s="742">
        <v>131</v>
      </c>
      <c r="F138" s="743">
        <v>2886</v>
      </c>
      <c r="G138" s="730">
        <v>22</v>
      </c>
      <c r="H138" s="744">
        <f t="shared" ref="H138:H146" si="9">E138/$I$2</f>
        <v>20.96</v>
      </c>
      <c r="I138" s="307"/>
    </row>
    <row r="139" spans="1:9" ht="24" customHeight="1" x14ac:dyDescent="0.55000000000000004">
      <c r="A139" s="839"/>
      <c r="B139" s="264"/>
      <c r="C139" s="841"/>
      <c r="D139" s="252" t="s">
        <v>153</v>
      </c>
      <c r="E139" s="122">
        <v>117</v>
      </c>
      <c r="F139" s="293">
        <v>2579</v>
      </c>
      <c r="G139" s="350">
        <v>22</v>
      </c>
      <c r="H139" s="744">
        <f t="shared" si="9"/>
        <v>18.72</v>
      </c>
    </row>
    <row r="140" spans="1:9" ht="24" customHeight="1" x14ac:dyDescent="0.55000000000000004">
      <c r="A140" s="839"/>
      <c r="B140" s="264"/>
      <c r="C140" s="841"/>
      <c r="D140" s="252" t="s">
        <v>154</v>
      </c>
      <c r="E140" s="122">
        <v>155</v>
      </c>
      <c r="F140" s="293">
        <v>3402</v>
      </c>
      <c r="G140" s="350">
        <v>22</v>
      </c>
      <c r="H140" s="744">
        <f t="shared" si="9"/>
        <v>24.8</v>
      </c>
    </row>
    <row r="141" spans="1:9" ht="24" customHeight="1" x14ac:dyDescent="0.55000000000000004">
      <c r="A141" s="839"/>
      <c r="B141" s="264"/>
      <c r="C141" s="841"/>
      <c r="D141" s="252" t="s">
        <v>155</v>
      </c>
      <c r="E141" s="122">
        <v>100</v>
      </c>
      <c r="F141" s="293">
        <v>2192</v>
      </c>
      <c r="G141" s="350">
        <v>22</v>
      </c>
      <c r="H141" s="744">
        <f t="shared" si="9"/>
        <v>16</v>
      </c>
    </row>
    <row r="142" spans="1:9" ht="24" customHeight="1" x14ac:dyDescent="0.55000000000000004">
      <c r="A142" s="839"/>
      <c r="B142" s="264"/>
      <c r="C142" s="841"/>
      <c r="D142" s="252" t="s">
        <v>168</v>
      </c>
      <c r="E142" s="122">
        <v>116</v>
      </c>
      <c r="F142" s="293">
        <v>2550</v>
      </c>
      <c r="G142" s="350">
        <v>22</v>
      </c>
      <c r="H142" s="744">
        <f t="shared" si="9"/>
        <v>18.559999999999999</v>
      </c>
    </row>
    <row r="143" spans="1:9" ht="24" customHeight="1" x14ac:dyDescent="0.55000000000000004">
      <c r="A143" s="839"/>
      <c r="B143" s="264"/>
      <c r="C143" s="841"/>
      <c r="D143" s="252" t="s">
        <v>169</v>
      </c>
      <c r="E143" s="122">
        <v>130</v>
      </c>
      <c r="F143" s="293">
        <v>2854</v>
      </c>
      <c r="G143" s="350">
        <v>22</v>
      </c>
      <c r="H143" s="744">
        <f t="shared" si="9"/>
        <v>20.8</v>
      </c>
    </row>
    <row r="144" spans="1:9" ht="24.75" customHeight="1" x14ac:dyDescent="0.55000000000000004">
      <c r="A144" s="839"/>
      <c r="B144" s="264"/>
      <c r="C144" s="841"/>
      <c r="D144" s="252" t="s">
        <v>170</v>
      </c>
      <c r="E144" s="122">
        <v>141</v>
      </c>
      <c r="F144" s="293">
        <v>3111</v>
      </c>
      <c r="G144" s="350">
        <v>22</v>
      </c>
      <c r="H144" s="744">
        <f t="shared" si="9"/>
        <v>22.56</v>
      </c>
    </row>
    <row r="145" spans="1:8" ht="24.75" customHeight="1" x14ac:dyDescent="0.55000000000000004">
      <c r="A145" s="839"/>
      <c r="B145" s="264"/>
      <c r="C145" s="841"/>
      <c r="D145" s="252" t="s">
        <v>187</v>
      </c>
      <c r="E145" s="122">
        <v>99</v>
      </c>
      <c r="F145" s="293">
        <v>2167</v>
      </c>
      <c r="G145" s="350">
        <v>22</v>
      </c>
      <c r="H145" s="744">
        <f t="shared" si="9"/>
        <v>15.84</v>
      </c>
    </row>
    <row r="146" spans="1:8" ht="24.75" customHeight="1" thickBot="1" x14ac:dyDescent="0.6">
      <c r="A146" s="839"/>
      <c r="B146" s="361"/>
      <c r="C146" s="838"/>
      <c r="D146" s="253" t="s">
        <v>189</v>
      </c>
      <c r="E146" s="124">
        <v>105</v>
      </c>
      <c r="F146" s="297">
        <v>2320</v>
      </c>
      <c r="G146" s="350">
        <v>22</v>
      </c>
      <c r="H146" s="744">
        <f t="shared" si="9"/>
        <v>16.8</v>
      </c>
    </row>
    <row r="147" spans="1:8" ht="24.75" customHeight="1" thickBot="1" x14ac:dyDescent="0.6">
      <c r="A147" s="839"/>
      <c r="B147" s="845" t="s">
        <v>303</v>
      </c>
      <c r="C147" s="846"/>
      <c r="D147" s="846"/>
      <c r="E147" s="348">
        <f>SUM(E137:E146)</f>
        <v>1094</v>
      </c>
      <c r="F147" s="354">
        <f>SUM(F137:F146)</f>
        <v>24061</v>
      </c>
      <c r="G147" s="360"/>
      <c r="H147" s="745" t="s">
        <v>375</v>
      </c>
    </row>
    <row r="148" spans="1:8" ht="24.75" customHeight="1" x14ac:dyDescent="0.55000000000000004">
      <c r="A148" s="839"/>
      <c r="B148" s="746"/>
      <c r="C148" s="847" t="s">
        <v>276</v>
      </c>
      <c r="D148" s="747" t="s">
        <v>158</v>
      </c>
      <c r="E148" s="694">
        <v>130</v>
      </c>
      <c r="F148" s="748">
        <v>2853</v>
      </c>
      <c r="G148" s="694">
        <v>22</v>
      </c>
      <c r="H148" s="752">
        <f t="shared" ref="H148:H154" si="10">E148/$I$2</f>
        <v>20.8</v>
      </c>
    </row>
    <row r="149" spans="1:8" ht="24" customHeight="1" x14ac:dyDescent="0.55000000000000004">
      <c r="A149" s="839"/>
      <c r="B149" s="749"/>
      <c r="C149" s="848"/>
      <c r="D149" s="750" t="s">
        <v>160</v>
      </c>
      <c r="E149" s="695">
        <v>115</v>
      </c>
      <c r="F149" s="751">
        <v>2531</v>
      </c>
      <c r="G149" s="694">
        <v>22</v>
      </c>
      <c r="H149" s="752">
        <f t="shared" si="10"/>
        <v>18.399999999999999</v>
      </c>
    </row>
    <row r="150" spans="1:8" ht="24" customHeight="1" x14ac:dyDescent="0.55000000000000004">
      <c r="A150" s="839"/>
      <c r="B150" s="749"/>
      <c r="C150" s="848"/>
      <c r="D150" s="750" t="s">
        <v>161</v>
      </c>
      <c r="E150" s="695">
        <v>127</v>
      </c>
      <c r="F150" s="751">
        <v>2803</v>
      </c>
      <c r="G150" s="694">
        <v>22</v>
      </c>
      <c r="H150" s="752">
        <f t="shared" si="10"/>
        <v>20.32</v>
      </c>
    </row>
    <row r="151" spans="1:8" ht="24" customHeight="1" x14ac:dyDescent="0.55000000000000004">
      <c r="A151" s="839"/>
      <c r="B151" s="749"/>
      <c r="C151" s="848"/>
      <c r="D151" s="750" t="s">
        <v>162</v>
      </c>
      <c r="E151" s="695">
        <v>128</v>
      </c>
      <c r="F151" s="751">
        <v>2819</v>
      </c>
      <c r="G151" s="694">
        <v>22</v>
      </c>
      <c r="H151" s="752">
        <f t="shared" si="10"/>
        <v>20.48</v>
      </c>
    </row>
    <row r="152" spans="1:8" ht="24" customHeight="1" x14ac:dyDescent="0.55000000000000004">
      <c r="A152" s="839"/>
      <c r="B152" s="749"/>
      <c r="C152" s="848"/>
      <c r="D152" s="750" t="s">
        <v>163</v>
      </c>
      <c r="E152" s="695">
        <v>122</v>
      </c>
      <c r="F152" s="751">
        <v>2687</v>
      </c>
      <c r="G152" s="694">
        <v>22</v>
      </c>
      <c r="H152" s="752">
        <f t="shared" si="10"/>
        <v>19.52</v>
      </c>
    </row>
    <row r="153" spans="1:8" ht="24" customHeight="1" x14ac:dyDescent="0.55000000000000004">
      <c r="A153" s="839"/>
      <c r="B153" s="749"/>
      <c r="C153" s="848"/>
      <c r="D153" s="750" t="s">
        <v>172</v>
      </c>
      <c r="E153" s="695">
        <v>136</v>
      </c>
      <c r="F153" s="751">
        <v>2999</v>
      </c>
      <c r="G153" s="694">
        <v>22</v>
      </c>
      <c r="H153" s="752">
        <f t="shared" si="10"/>
        <v>21.76</v>
      </c>
    </row>
    <row r="154" spans="1:8" ht="24" customHeight="1" thickBot="1" x14ac:dyDescent="0.6">
      <c r="A154" s="839"/>
      <c r="B154" s="749"/>
      <c r="C154" s="849"/>
      <c r="D154" s="750" t="s">
        <v>190</v>
      </c>
      <c r="E154" s="695">
        <v>130</v>
      </c>
      <c r="F154" s="751">
        <v>2865</v>
      </c>
      <c r="G154" s="694">
        <v>22</v>
      </c>
      <c r="H154" s="752">
        <f t="shared" si="10"/>
        <v>20.8</v>
      </c>
    </row>
    <row r="155" spans="1:8" ht="24.75" customHeight="1" thickBot="1" x14ac:dyDescent="0.6">
      <c r="A155" s="839"/>
      <c r="B155" s="845" t="s">
        <v>304</v>
      </c>
      <c r="C155" s="846"/>
      <c r="D155" s="846"/>
      <c r="E155" s="348">
        <f>SUM(E148:E154)</f>
        <v>888</v>
      </c>
      <c r="F155" s="354">
        <f>SUM(F148:F154)</f>
        <v>19557</v>
      </c>
      <c r="G155" s="354"/>
      <c r="H155" s="753">
        <f>SUM(H148:H154)</f>
        <v>142.08000000000001</v>
      </c>
    </row>
    <row r="156" spans="1:8" ht="24.75" customHeight="1" x14ac:dyDescent="0.55000000000000004">
      <c r="A156" s="839"/>
      <c r="B156" s="363"/>
      <c r="C156" s="847" t="s">
        <v>253</v>
      </c>
      <c r="D156" s="364" t="s">
        <v>319</v>
      </c>
      <c r="E156" s="365">
        <v>90</v>
      </c>
      <c r="F156" s="366">
        <v>1970</v>
      </c>
      <c r="G156" s="120">
        <v>22</v>
      </c>
      <c r="H156" s="754">
        <f>E156/$I$2</f>
        <v>14.4</v>
      </c>
    </row>
    <row r="157" spans="1:8" ht="24.75" customHeight="1" x14ac:dyDescent="0.55000000000000004">
      <c r="A157" s="839"/>
      <c r="B157" s="309"/>
      <c r="C157" s="848"/>
      <c r="D157" s="246" t="s">
        <v>305</v>
      </c>
      <c r="E157" s="120">
        <v>86</v>
      </c>
      <c r="F157" s="296">
        <v>1892</v>
      </c>
      <c r="G157" s="120">
        <v>22</v>
      </c>
      <c r="H157" s="754">
        <f t="shared" ref="H157:H163" si="11">E157/$I$2</f>
        <v>13.76</v>
      </c>
    </row>
    <row r="158" spans="1:8" ht="24.75" customHeight="1" x14ac:dyDescent="0.55000000000000004">
      <c r="A158" s="839"/>
      <c r="B158" s="309"/>
      <c r="C158" s="848"/>
      <c r="D158" s="246" t="s">
        <v>306</v>
      </c>
      <c r="E158" s="120">
        <v>77</v>
      </c>
      <c r="F158" s="296">
        <v>1686</v>
      </c>
      <c r="G158" s="120">
        <v>22</v>
      </c>
      <c r="H158" s="754">
        <f t="shared" si="11"/>
        <v>12.32</v>
      </c>
    </row>
    <row r="159" spans="1:8" ht="24.75" customHeight="1" x14ac:dyDescent="0.55000000000000004">
      <c r="A159" s="839"/>
      <c r="B159" s="309"/>
      <c r="C159" s="848"/>
      <c r="D159" s="246" t="s">
        <v>307</v>
      </c>
      <c r="E159" s="120">
        <v>63</v>
      </c>
      <c r="F159" s="296">
        <v>1380</v>
      </c>
      <c r="G159" s="120">
        <v>22</v>
      </c>
      <c r="H159" s="754">
        <f t="shared" si="11"/>
        <v>10.08</v>
      </c>
    </row>
    <row r="160" spans="1:8" ht="24.75" customHeight="1" x14ac:dyDescent="0.55000000000000004">
      <c r="A160" s="839"/>
      <c r="B160" s="309"/>
      <c r="C160" s="848"/>
      <c r="D160" s="246" t="s">
        <v>308</v>
      </c>
      <c r="E160" s="120">
        <v>53</v>
      </c>
      <c r="F160" s="296">
        <v>1168</v>
      </c>
      <c r="G160" s="120">
        <v>22</v>
      </c>
      <c r="H160" s="754">
        <f t="shared" si="11"/>
        <v>8.48</v>
      </c>
    </row>
    <row r="161" spans="1:9" ht="24.75" customHeight="1" x14ac:dyDescent="0.55000000000000004">
      <c r="A161" s="839"/>
      <c r="B161" s="309"/>
      <c r="C161" s="848"/>
      <c r="D161" s="246" t="s">
        <v>309</v>
      </c>
      <c r="E161" s="120">
        <v>34</v>
      </c>
      <c r="F161" s="296">
        <v>751</v>
      </c>
      <c r="G161" s="120">
        <v>22</v>
      </c>
      <c r="H161" s="754">
        <f t="shared" si="11"/>
        <v>5.44</v>
      </c>
    </row>
    <row r="162" spans="1:9" ht="24" customHeight="1" x14ac:dyDescent="0.55000000000000004">
      <c r="A162" s="839"/>
      <c r="B162" s="309"/>
      <c r="C162" s="848"/>
      <c r="D162" s="252" t="s">
        <v>310</v>
      </c>
      <c r="E162" s="122">
        <v>70</v>
      </c>
      <c r="F162" s="293">
        <v>1547</v>
      </c>
      <c r="G162" s="120">
        <v>22</v>
      </c>
      <c r="H162" s="754">
        <f t="shared" si="11"/>
        <v>11.2</v>
      </c>
    </row>
    <row r="163" spans="1:9" ht="24" customHeight="1" thickBot="1" x14ac:dyDescent="0.6">
      <c r="A163" s="839"/>
      <c r="B163" s="309"/>
      <c r="C163" s="849"/>
      <c r="D163" s="253" t="s">
        <v>311</v>
      </c>
      <c r="E163" s="124">
        <v>7</v>
      </c>
      <c r="F163" s="297">
        <v>145</v>
      </c>
      <c r="G163" s="127">
        <v>22</v>
      </c>
      <c r="H163" s="754">
        <f t="shared" si="11"/>
        <v>1.1200000000000001</v>
      </c>
    </row>
    <row r="164" spans="1:9" ht="24.75" customHeight="1" thickBot="1" x14ac:dyDescent="0.6">
      <c r="A164" s="839"/>
      <c r="B164" s="845" t="s">
        <v>314</v>
      </c>
      <c r="C164" s="846"/>
      <c r="D164" s="846"/>
      <c r="E164" s="348">
        <f>SUM(E156:E163)</f>
        <v>480</v>
      </c>
      <c r="F164" s="354">
        <f>SUM(F156:F163)</f>
        <v>10539</v>
      </c>
      <c r="G164" s="354"/>
      <c r="H164" s="354">
        <f>SUM(H156:H163)</f>
        <v>76.800000000000011</v>
      </c>
    </row>
    <row r="165" spans="1:9" ht="24.75" customHeight="1" thickBot="1" x14ac:dyDescent="0.6">
      <c r="A165" s="840"/>
      <c r="B165" s="842" t="s">
        <v>312</v>
      </c>
      <c r="C165" s="843"/>
      <c r="D165" s="310"/>
      <c r="E165" s="311">
        <f>E164+E155+E147</f>
        <v>2462</v>
      </c>
      <c r="F165" s="311">
        <f>F164+F155+F147</f>
        <v>54157</v>
      </c>
      <c r="G165" s="312"/>
      <c r="H165" s="755">
        <f>H164+H155+H147</f>
        <v>393.92</v>
      </c>
      <c r="I165" s="721"/>
    </row>
    <row r="166" spans="1:9" ht="24.75" customHeight="1" thickBot="1" x14ac:dyDescent="0.6">
      <c r="A166" s="816" t="s">
        <v>313</v>
      </c>
      <c r="B166" s="835"/>
      <c r="C166" s="835"/>
      <c r="D166" s="313"/>
      <c r="E166" s="289">
        <f>+E136+E165</f>
        <v>4236</v>
      </c>
      <c r="F166" s="289">
        <f>+F136+F165</f>
        <v>93168</v>
      </c>
      <c r="G166" s="273"/>
      <c r="H166" s="755">
        <f>+H136+H165</f>
        <v>677.76</v>
      </c>
    </row>
    <row r="167" spans="1:9" ht="24.75" customHeight="1" thickBot="1" x14ac:dyDescent="0.6">
      <c r="A167" s="850" t="s">
        <v>295</v>
      </c>
      <c r="B167" s="851"/>
      <c r="C167" s="851"/>
      <c r="D167" s="314"/>
      <c r="E167" s="315">
        <f>+E18+E46+E80+E100+E116+E166</f>
        <v>11048</v>
      </c>
      <c r="F167" s="315">
        <f>+F18+F46+F80+F100+F116+F166</f>
        <v>259077</v>
      </c>
      <c r="G167" s="316"/>
      <c r="H167" s="756">
        <f>E167/I2</f>
        <v>1767.68</v>
      </c>
    </row>
    <row r="168" spans="1:9" s="321" customFormat="1" ht="24.75" customHeight="1" thickBot="1" x14ac:dyDescent="0.6">
      <c r="A168" s="317"/>
      <c r="B168" s="317"/>
      <c r="C168" s="317"/>
      <c r="D168" s="318"/>
      <c r="E168" s="319"/>
      <c r="F168" s="320"/>
      <c r="G168" s="319"/>
      <c r="H168" s="319"/>
    </row>
    <row r="169" spans="1:9" x14ac:dyDescent="0.55000000000000004">
      <c r="A169" s="322"/>
      <c r="D169" s="324" t="s">
        <v>296</v>
      </c>
      <c r="E169" s="325">
        <f>F9+F30+F63+F86+F106+F136</f>
        <v>116623</v>
      </c>
      <c r="F169" s="326"/>
    </row>
    <row r="170" spans="1:9" x14ac:dyDescent="0.55000000000000004">
      <c r="A170" s="322"/>
      <c r="D170" s="327" t="s">
        <v>297</v>
      </c>
      <c r="E170" s="328">
        <f>E9+E30+E63+E86+E106+E136</f>
        <v>5013</v>
      </c>
      <c r="F170" s="326"/>
      <c r="G170" s="329"/>
    </row>
    <row r="171" spans="1:9" x14ac:dyDescent="0.55000000000000004">
      <c r="A171" s="322"/>
      <c r="D171" s="327" t="s">
        <v>298</v>
      </c>
      <c r="E171" s="330">
        <f>F17+F45+F79+F99+F115+F165</f>
        <v>142454</v>
      </c>
      <c r="F171" s="326"/>
      <c r="G171" s="331"/>
    </row>
    <row r="172" spans="1:9" ht="24" thickBot="1" x14ac:dyDescent="0.6">
      <c r="A172" s="322"/>
      <c r="D172" s="332" t="s">
        <v>299</v>
      </c>
      <c r="E172" s="333">
        <f>E17+E45+E79+E99+E115+E165</f>
        <v>6035</v>
      </c>
      <c r="F172" s="326"/>
    </row>
    <row r="173" spans="1:9" x14ac:dyDescent="0.55000000000000004">
      <c r="A173" s="322"/>
    </row>
    <row r="174" spans="1:9" x14ac:dyDescent="0.55000000000000004">
      <c r="A174" s="322"/>
    </row>
    <row r="175" spans="1:9" x14ac:dyDescent="0.55000000000000004">
      <c r="A175" s="322"/>
    </row>
  </sheetData>
  <mergeCells count="81">
    <mergeCell ref="C124:C134"/>
    <mergeCell ref="C118:C122"/>
    <mergeCell ref="C138:C146"/>
    <mergeCell ref="B147:D147"/>
    <mergeCell ref="B137:H137"/>
    <mergeCell ref="A80:D80"/>
    <mergeCell ref="A81:A99"/>
    <mergeCell ref="B85:D85"/>
    <mergeCell ref="B86:D86"/>
    <mergeCell ref="B96:D96"/>
    <mergeCell ref="B98:D98"/>
    <mergeCell ref="B99:D99"/>
    <mergeCell ref="B81:H81"/>
    <mergeCell ref="C82:C84"/>
    <mergeCell ref="C88:C95"/>
    <mergeCell ref="B87:H87"/>
    <mergeCell ref="A166:C166"/>
    <mergeCell ref="A167:C167"/>
    <mergeCell ref="C4:C5"/>
    <mergeCell ref="C13:C15"/>
    <mergeCell ref="C20:C24"/>
    <mergeCell ref="C39:C40"/>
    <mergeCell ref="C32:C37"/>
    <mergeCell ref="C26:C28"/>
    <mergeCell ref="A116:D116"/>
    <mergeCell ref="A117:A165"/>
    <mergeCell ref="B123:D123"/>
    <mergeCell ref="B135:D135"/>
    <mergeCell ref="B136:D136"/>
    <mergeCell ref="B164:D164"/>
    <mergeCell ref="C67:C69"/>
    <mergeCell ref="B44:D44"/>
    <mergeCell ref="B165:C165"/>
    <mergeCell ref="A100:D100"/>
    <mergeCell ref="A101:A115"/>
    <mergeCell ref="B105:D105"/>
    <mergeCell ref="B106:D106"/>
    <mergeCell ref="B112:D112"/>
    <mergeCell ref="B114:D114"/>
    <mergeCell ref="B115:D115"/>
    <mergeCell ref="C108:C111"/>
    <mergeCell ref="B101:H101"/>
    <mergeCell ref="B107:H107"/>
    <mergeCell ref="B117:H117"/>
    <mergeCell ref="C102:C104"/>
    <mergeCell ref="B155:D155"/>
    <mergeCell ref="C148:C154"/>
    <mergeCell ref="C156:C163"/>
    <mergeCell ref="A47:A79"/>
    <mergeCell ref="B58:D58"/>
    <mergeCell ref="B62:D62"/>
    <mergeCell ref="B63:D63"/>
    <mergeCell ref="B66:D66"/>
    <mergeCell ref="B70:D70"/>
    <mergeCell ref="C71:C75"/>
    <mergeCell ref="B76:D76"/>
    <mergeCell ref="B78:D78"/>
    <mergeCell ref="B79:D79"/>
    <mergeCell ref="B47:H47"/>
    <mergeCell ref="B64:H64"/>
    <mergeCell ref="B41:D41"/>
    <mergeCell ref="B19:H19"/>
    <mergeCell ref="B31:H31"/>
    <mergeCell ref="B38:D38"/>
    <mergeCell ref="A46:D46"/>
    <mergeCell ref="C42:C43"/>
    <mergeCell ref="B45:D45"/>
    <mergeCell ref="A1:H1"/>
    <mergeCell ref="A18:D18"/>
    <mergeCell ref="B25:D25"/>
    <mergeCell ref="B29:D29"/>
    <mergeCell ref="B30:D30"/>
    <mergeCell ref="A3:A17"/>
    <mergeCell ref="B6:D6"/>
    <mergeCell ref="B8:D8"/>
    <mergeCell ref="B9:D9"/>
    <mergeCell ref="B12:D12"/>
    <mergeCell ref="B16:D16"/>
    <mergeCell ref="B17:D17"/>
    <mergeCell ref="B10:H10"/>
    <mergeCell ref="B3:H3"/>
  </mergeCells>
  <pageMargins left="0.28999999999999998" right="0.23622047244094491" top="0.17" bottom="0.17" header="0.31496062992125984" footer="1.2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B1:R96"/>
  <sheetViews>
    <sheetView topLeftCell="B1" zoomScale="80" zoomScaleNormal="80" workbookViewId="0">
      <pane xSplit="1" ySplit="3" topLeftCell="C4" activePane="bottomRight" state="frozen"/>
      <selection activeCell="B1" sqref="B1"/>
      <selection pane="topRight" activeCell="C1" sqref="C1"/>
      <selection pane="bottomLeft" activeCell="B4" sqref="B4"/>
      <selection pane="bottomRight" activeCell="N9" sqref="N9"/>
    </sheetView>
  </sheetViews>
  <sheetFormatPr defaultColWidth="9" defaultRowHeight="23.25" x14ac:dyDescent="0.55000000000000004"/>
  <cols>
    <col min="1" max="1" width="0" style="238" hidden="1" customWidth="1"/>
    <col min="2" max="2" width="18.375" style="238" customWidth="1"/>
    <col min="3" max="3" width="11.75" style="323" customWidth="1"/>
    <col min="4" max="4" width="13.75" style="318" customWidth="1"/>
    <col min="5" max="5" width="10.5" style="319" customWidth="1"/>
    <col min="6" max="6" width="11.375" style="320" customWidth="1"/>
    <col min="7" max="7" width="11.375" style="319" hidden="1" customWidth="1"/>
    <col min="8" max="8" width="10.75" style="319" customWidth="1"/>
    <col min="9" max="9" width="13.375" style="757" customWidth="1"/>
    <col min="10" max="10" width="15.25" style="319" customWidth="1"/>
    <col min="11" max="11" width="13.875" style="320" bestFit="1" customWidth="1"/>
    <col min="12" max="12" width="15" style="319" customWidth="1"/>
    <col min="13" max="16384" width="9" style="238"/>
  </cols>
  <sheetData>
    <row r="1" spans="2:18" ht="33" customHeight="1" x14ac:dyDescent="0.7">
      <c r="B1" s="875" t="s">
        <v>386</v>
      </c>
      <c r="C1" s="875"/>
      <c r="D1" s="875"/>
      <c r="E1" s="875"/>
      <c r="F1" s="875"/>
      <c r="G1" s="875"/>
      <c r="H1" s="875"/>
      <c r="I1" s="875"/>
      <c r="J1" s="875"/>
      <c r="K1" s="875"/>
      <c r="L1" s="875"/>
    </row>
    <row r="2" spans="2:18" x14ac:dyDescent="0.55000000000000004">
      <c r="B2" s="860" t="s">
        <v>240</v>
      </c>
      <c r="C2" s="860" t="s">
        <v>241</v>
      </c>
      <c r="D2" s="860" t="s">
        <v>204</v>
      </c>
      <c r="E2" s="861" t="s">
        <v>242</v>
      </c>
      <c r="F2" s="862" t="s">
        <v>243</v>
      </c>
      <c r="G2" s="677" t="s">
        <v>244</v>
      </c>
      <c r="H2" s="860" t="s">
        <v>376</v>
      </c>
      <c r="I2" s="863" t="s">
        <v>377</v>
      </c>
      <c r="J2" s="859" t="s">
        <v>378</v>
      </c>
      <c r="K2" s="864" t="s">
        <v>379</v>
      </c>
      <c r="L2" s="859" t="s">
        <v>380</v>
      </c>
      <c r="M2" s="244"/>
    </row>
    <row r="3" spans="2:18" ht="24" x14ac:dyDescent="0.55000000000000004">
      <c r="B3" s="860"/>
      <c r="C3" s="860"/>
      <c r="D3" s="860"/>
      <c r="E3" s="861"/>
      <c r="F3" s="862"/>
      <c r="G3" s="677"/>
      <c r="H3" s="860"/>
      <c r="I3" s="863"/>
      <c r="J3" s="859"/>
      <c r="K3" s="864"/>
      <c r="L3" s="859"/>
      <c r="M3" s="244"/>
      <c r="N3" s="873" t="s">
        <v>414</v>
      </c>
      <c r="O3" s="873"/>
      <c r="P3" s="873"/>
      <c r="Q3" s="873"/>
      <c r="R3" s="873"/>
    </row>
    <row r="4" spans="2:18" x14ac:dyDescent="0.55000000000000004">
      <c r="B4" s="877" t="s">
        <v>27</v>
      </c>
      <c r="C4" s="878"/>
      <c r="D4" s="878"/>
      <c r="E4" s="878"/>
      <c r="F4" s="878"/>
      <c r="G4" s="878"/>
      <c r="H4" s="878"/>
      <c r="I4" s="878"/>
      <c r="J4" s="878"/>
      <c r="K4" s="878"/>
      <c r="L4" s="879"/>
      <c r="M4" s="244"/>
    </row>
    <row r="5" spans="2:18" x14ac:dyDescent="0.55000000000000004">
      <c r="C5" s="871" t="s">
        <v>265</v>
      </c>
      <c r="D5" s="758" t="s">
        <v>78</v>
      </c>
      <c r="E5" s="20">
        <v>195</v>
      </c>
      <c r="F5" s="759">
        <v>4864</v>
      </c>
      <c r="G5" s="760">
        <v>22</v>
      </c>
      <c r="H5" s="761">
        <f>I5/E5</f>
        <v>3.8461538461538463</v>
      </c>
      <c r="I5" s="762">
        <v>750</v>
      </c>
      <c r="J5" s="678">
        <v>450</v>
      </c>
      <c r="K5" s="763">
        <f>J5*I5</f>
        <v>337500</v>
      </c>
      <c r="L5" s="678"/>
    </row>
    <row r="6" spans="2:18" x14ac:dyDescent="0.55000000000000004">
      <c r="B6" s="764"/>
      <c r="C6" s="872"/>
      <c r="D6" s="758" t="s">
        <v>79</v>
      </c>
      <c r="E6" s="678">
        <v>171</v>
      </c>
      <c r="F6" s="765">
        <v>4608</v>
      </c>
      <c r="G6" s="760">
        <v>22</v>
      </c>
      <c r="H6" s="761">
        <f>I6/E6</f>
        <v>4.0935672514619883</v>
      </c>
      <c r="I6" s="762">
        <v>700</v>
      </c>
      <c r="J6" s="678">
        <v>450</v>
      </c>
      <c r="K6" s="763">
        <f t="shared" ref="K6:K19" si="0">J6*I6</f>
        <v>315000</v>
      </c>
      <c r="L6" s="678"/>
    </row>
    <row r="7" spans="2:18" x14ac:dyDescent="0.55000000000000004">
      <c r="B7" s="764"/>
      <c r="C7" s="872"/>
      <c r="D7" s="758" t="s">
        <v>66</v>
      </c>
      <c r="E7" s="678">
        <v>112</v>
      </c>
      <c r="F7" s="765">
        <v>2785</v>
      </c>
      <c r="G7" s="760"/>
      <c r="H7" s="761">
        <f t="shared" ref="H7:H20" si="1">I7/E7</f>
        <v>3.5714285714285716</v>
      </c>
      <c r="I7" s="762">
        <v>400</v>
      </c>
      <c r="J7" s="678">
        <v>730</v>
      </c>
      <c r="K7" s="763">
        <f t="shared" si="0"/>
        <v>292000</v>
      </c>
      <c r="L7" s="678"/>
    </row>
    <row r="8" spans="2:18" x14ac:dyDescent="0.55000000000000004">
      <c r="B8" s="764"/>
      <c r="C8" s="872"/>
      <c r="D8" s="758" t="s">
        <v>67</v>
      </c>
      <c r="E8" s="678">
        <v>98</v>
      </c>
      <c r="F8" s="765">
        <v>2421</v>
      </c>
      <c r="G8" s="760"/>
      <c r="H8" s="761">
        <f t="shared" si="1"/>
        <v>3.5714285714285716</v>
      </c>
      <c r="I8" s="762">
        <v>350</v>
      </c>
      <c r="J8" s="678" t="s">
        <v>385</v>
      </c>
      <c r="K8" s="770">
        <f>0</f>
        <v>0</v>
      </c>
      <c r="L8" s="678"/>
    </row>
    <row r="9" spans="2:18" x14ac:dyDescent="0.55000000000000004">
      <c r="B9" s="764"/>
      <c r="C9" s="872"/>
      <c r="D9" s="758" t="s">
        <v>68</v>
      </c>
      <c r="E9" s="678">
        <v>153</v>
      </c>
      <c r="F9" s="765">
        <v>3764</v>
      </c>
      <c r="G9" s="760"/>
      <c r="H9" s="761">
        <f t="shared" si="1"/>
        <v>3.4640522875816995</v>
      </c>
      <c r="I9" s="762">
        <v>530</v>
      </c>
      <c r="J9" s="678">
        <v>730</v>
      </c>
      <c r="K9" s="763">
        <f t="shared" si="0"/>
        <v>386900</v>
      </c>
      <c r="L9" s="678"/>
    </row>
    <row r="10" spans="2:18" x14ac:dyDescent="0.55000000000000004">
      <c r="B10" s="764"/>
      <c r="C10" s="872"/>
      <c r="D10" s="758" t="s">
        <v>69</v>
      </c>
      <c r="E10" s="678">
        <v>116</v>
      </c>
      <c r="F10" s="765">
        <v>2893</v>
      </c>
      <c r="G10" s="760"/>
      <c r="H10" s="761">
        <f t="shared" si="1"/>
        <v>3.4482758620689653</v>
      </c>
      <c r="I10" s="762">
        <v>400</v>
      </c>
      <c r="J10" s="678">
        <v>730</v>
      </c>
      <c r="K10" s="763">
        <f t="shared" si="0"/>
        <v>292000</v>
      </c>
      <c r="L10" s="678"/>
    </row>
    <row r="11" spans="2:18" x14ac:dyDescent="0.55000000000000004">
      <c r="B11" s="764"/>
      <c r="C11" s="872"/>
      <c r="D11" s="758" t="s">
        <v>100</v>
      </c>
      <c r="E11" s="678">
        <v>78</v>
      </c>
      <c r="F11" s="765">
        <v>1950</v>
      </c>
      <c r="G11" s="760"/>
      <c r="H11" s="761">
        <f t="shared" si="1"/>
        <v>3.0769230769230771</v>
      </c>
      <c r="I11" s="762">
        <v>240</v>
      </c>
      <c r="J11" s="678">
        <v>700</v>
      </c>
      <c r="K11" s="763">
        <f t="shared" si="0"/>
        <v>168000</v>
      </c>
      <c r="L11" s="678"/>
    </row>
    <row r="12" spans="2:18" x14ac:dyDescent="0.55000000000000004">
      <c r="B12" s="764"/>
      <c r="C12" s="872"/>
      <c r="D12" s="758" t="s">
        <v>101</v>
      </c>
      <c r="E12" s="678">
        <v>154</v>
      </c>
      <c r="F12" s="765">
        <v>3835</v>
      </c>
      <c r="G12" s="760"/>
      <c r="H12" s="761">
        <f t="shared" si="1"/>
        <v>3.2467532467532467</v>
      </c>
      <c r="I12" s="762">
        <v>500</v>
      </c>
      <c r="J12" s="678">
        <v>700</v>
      </c>
      <c r="K12" s="763">
        <f t="shared" si="0"/>
        <v>350000</v>
      </c>
      <c r="L12" s="678"/>
    </row>
    <row r="13" spans="2:18" x14ac:dyDescent="0.55000000000000004">
      <c r="B13" s="764"/>
      <c r="C13" s="872"/>
      <c r="D13" s="758" t="s">
        <v>102</v>
      </c>
      <c r="E13" s="678">
        <v>85</v>
      </c>
      <c r="F13" s="765">
        <v>2119</v>
      </c>
      <c r="G13" s="760"/>
      <c r="H13" s="761">
        <f t="shared" si="1"/>
        <v>3.1764705882352939</v>
      </c>
      <c r="I13" s="762">
        <v>270</v>
      </c>
      <c r="J13" s="678">
        <v>700</v>
      </c>
      <c r="K13" s="763">
        <f t="shared" si="0"/>
        <v>189000</v>
      </c>
      <c r="L13" s="678"/>
    </row>
    <row r="14" spans="2:18" x14ac:dyDescent="0.55000000000000004">
      <c r="B14" s="764"/>
      <c r="C14" s="872"/>
      <c r="D14" s="758" t="s">
        <v>107</v>
      </c>
      <c r="E14" s="678">
        <v>172</v>
      </c>
      <c r="F14" s="765">
        <v>4308</v>
      </c>
      <c r="G14" s="760"/>
      <c r="H14" s="761">
        <f t="shared" si="1"/>
        <v>3.1976744186046511</v>
      </c>
      <c r="I14" s="762">
        <v>550</v>
      </c>
      <c r="J14" s="678">
        <v>700</v>
      </c>
      <c r="K14" s="763">
        <f t="shared" si="0"/>
        <v>385000</v>
      </c>
      <c r="L14" s="678"/>
    </row>
    <row r="15" spans="2:18" x14ac:dyDescent="0.55000000000000004">
      <c r="B15" s="764"/>
      <c r="C15" s="872"/>
      <c r="D15" s="758" t="s">
        <v>108</v>
      </c>
      <c r="E15" s="678">
        <v>154</v>
      </c>
      <c r="F15" s="765">
        <v>3861</v>
      </c>
      <c r="G15" s="760"/>
      <c r="H15" s="761">
        <f t="shared" si="1"/>
        <v>3.051948051948052</v>
      </c>
      <c r="I15" s="762">
        <v>470</v>
      </c>
      <c r="J15" s="678">
        <v>700</v>
      </c>
      <c r="K15" s="763">
        <f t="shared" si="0"/>
        <v>329000</v>
      </c>
      <c r="L15" s="678"/>
    </row>
    <row r="16" spans="2:18" x14ac:dyDescent="0.55000000000000004">
      <c r="B16" s="764"/>
      <c r="C16" s="872"/>
      <c r="D16" s="758" t="s">
        <v>135</v>
      </c>
      <c r="E16" s="678">
        <v>142</v>
      </c>
      <c r="F16" s="765">
        <v>3259</v>
      </c>
      <c r="G16" s="760"/>
      <c r="H16" s="761">
        <f t="shared" si="1"/>
        <v>2.464788732394366</v>
      </c>
      <c r="I16" s="762">
        <v>350</v>
      </c>
      <c r="J16" s="678">
        <v>760</v>
      </c>
      <c r="K16" s="763">
        <f t="shared" si="0"/>
        <v>266000</v>
      </c>
      <c r="L16" s="678"/>
    </row>
    <row r="17" spans="2:12" x14ac:dyDescent="0.55000000000000004">
      <c r="B17" s="764"/>
      <c r="C17" s="872"/>
      <c r="D17" s="758" t="s">
        <v>144</v>
      </c>
      <c r="E17" s="678">
        <v>24</v>
      </c>
      <c r="F17" s="765">
        <v>534</v>
      </c>
      <c r="G17" s="760"/>
      <c r="H17" s="761">
        <f t="shared" si="1"/>
        <v>2.5</v>
      </c>
      <c r="I17" s="762">
        <v>60</v>
      </c>
      <c r="J17" s="678">
        <v>900</v>
      </c>
      <c r="K17" s="763">
        <f t="shared" si="0"/>
        <v>54000</v>
      </c>
      <c r="L17" s="678"/>
    </row>
    <row r="18" spans="2:12" x14ac:dyDescent="0.55000000000000004">
      <c r="B18" s="764"/>
      <c r="C18" s="872"/>
      <c r="D18" s="758" t="s">
        <v>145</v>
      </c>
      <c r="E18" s="678">
        <v>39</v>
      </c>
      <c r="F18" s="765">
        <v>980</v>
      </c>
      <c r="G18" s="760"/>
      <c r="H18" s="761">
        <f t="shared" si="1"/>
        <v>1.2820512820512822</v>
      </c>
      <c r="I18" s="762">
        <v>50</v>
      </c>
      <c r="J18" s="678">
        <v>900</v>
      </c>
      <c r="K18" s="763">
        <f t="shared" si="0"/>
        <v>45000</v>
      </c>
      <c r="L18" s="678"/>
    </row>
    <row r="19" spans="2:12" x14ac:dyDescent="0.55000000000000004">
      <c r="B19" s="764"/>
      <c r="C19" s="872"/>
      <c r="D19" s="758" t="s">
        <v>146</v>
      </c>
      <c r="E19" s="678">
        <v>14</v>
      </c>
      <c r="F19" s="765">
        <v>309</v>
      </c>
      <c r="G19" s="760"/>
      <c r="H19" s="761">
        <f>I19/E19</f>
        <v>2.5</v>
      </c>
      <c r="I19" s="762">
        <v>35</v>
      </c>
      <c r="J19" s="678">
        <v>900</v>
      </c>
      <c r="K19" s="763">
        <f t="shared" si="0"/>
        <v>31500</v>
      </c>
      <c r="L19" s="678"/>
    </row>
    <row r="20" spans="2:12" x14ac:dyDescent="0.55000000000000004">
      <c r="B20" s="764"/>
      <c r="C20" s="876"/>
      <c r="D20" s="758" t="s">
        <v>147</v>
      </c>
      <c r="E20" s="678">
        <v>109</v>
      </c>
      <c r="F20" s="765">
        <v>2388</v>
      </c>
      <c r="G20" s="760"/>
      <c r="H20" s="761">
        <f t="shared" si="1"/>
        <v>2.3853211009174311</v>
      </c>
      <c r="I20" s="762">
        <v>260</v>
      </c>
      <c r="J20" s="678">
        <v>900</v>
      </c>
      <c r="K20" s="763">
        <f>J20*I20</f>
        <v>234000</v>
      </c>
      <c r="L20" s="678"/>
    </row>
    <row r="21" spans="2:12" x14ac:dyDescent="0.55000000000000004">
      <c r="B21" s="865" t="s">
        <v>36</v>
      </c>
      <c r="C21" s="866"/>
      <c r="D21" s="867"/>
      <c r="E21" s="771">
        <f>SUM(E5:E20)</f>
        <v>1816</v>
      </c>
      <c r="F21" s="771">
        <f>SUM(F5:F20)</f>
        <v>44878</v>
      </c>
      <c r="G21" s="771">
        <f t="shared" ref="G21:I21" si="2">SUM(G5:G20)</f>
        <v>44</v>
      </c>
      <c r="H21" s="772">
        <f>I21/E21</f>
        <v>3.2571585903083702</v>
      </c>
      <c r="I21" s="771">
        <f t="shared" si="2"/>
        <v>5915</v>
      </c>
      <c r="J21" s="775">
        <f>AVERAGE(J5:J7,J9:J20)</f>
        <v>730</v>
      </c>
      <c r="K21" s="774">
        <f>SUM(K5:K20)</f>
        <v>3674900</v>
      </c>
      <c r="L21" s="773"/>
    </row>
    <row r="22" spans="2:12" x14ac:dyDescent="0.55000000000000004">
      <c r="C22" s="871" t="s">
        <v>276</v>
      </c>
      <c r="D22" s="758" t="s">
        <v>277</v>
      </c>
      <c r="E22" s="20">
        <v>157</v>
      </c>
      <c r="F22" s="759">
        <v>3932</v>
      </c>
      <c r="G22" s="760">
        <v>22</v>
      </c>
      <c r="H22" s="761">
        <f>I22/E22</f>
        <v>3.1847133757961785</v>
      </c>
      <c r="I22" s="762">
        <v>500</v>
      </c>
      <c r="J22" s="678">
        <v>430</v>
      </c>
      <c r="K22" s="763">
        <f>J22*I22</f>
        <v>215000</v>
      </c>
      <c r="L22" s="678"/>
    </row>
    <row r="23" spans="2:12" x14ac:dyDescent="0.55000000000000004">
      <c r="B23" s="764"/>
      <c r="C23" s="872"/>
      <c r="D23" s="758" t="s">
        <v>149</v>
      </c>
      <c r="E23" s="678">
        <v>108</v>
      </c>
      <c r="F23" s="765">
        <v>2365</v>
      </c>
      <c r="G23" s="760">
        <v>22</v>
      </c>
      <c r="H23" s="761">
        <f>I23/E23</f>
        <v>3.5185185185185186</v>
      </c>
      <c r="I23" s="762">
        <v>380</v>
      </c>
      <c r="J23" s="678">
        <v>700</v>
      </c>
      <c r="K23" s="763">
        <f t="shared" ref="K23:K24" si="3">J23*I23</f>
        <v>266000</v>
      </c>
      <c r="L23" s="678"/>
    </row>
    <row r="24" spans="2:12" x14ac:dyDescent="0.55000000000000004">
      <c r="B24" s="764"/>
      <c r="C24" s="872"/>
      <c r="D24" s="758" t="s">
        <v>158</v>
      </c>
      <c r="E24" s="678">
        <v>130</v>
      </c>
      <c r="F24" s="765">
        <v>2853</v>
      </c>
      <c r="G24" s="760"/>
      <c r="H24" s="761">
        <f t="shared" ref="H24:H28" si="4">I24/E24</f>
        <v>1.5384615384615385</v>
      </c>
      <c r="I24" s="762">
        <v>200</v>
      </c>
      <c r="J24" s="678">
        <v>1050</v>
      </c>
      <c r="K24" s="763">
        <f t="shared" si="3"/>
        <v>210000</v>
      </c>
      <c r="L24" s="678"/>
    </row>
    <row r="25" spans="2:12" x14ac:dyDescent="0.55000000000000004">
      <c r="B25" s="764"/>
      <c r="C25" s="872"/>
      <c r="D25" s="758" t="s">
        <v>160</v>
      </c>
      <c r="E25" s="678">
        <v>115</v>
      </c>
      <c r="F25" s="765">
        <v>2531</v>
      </c>
      <c r="G25" s="760"/>
      <c r="H25" s="761">
        <f t="shared" si="4"/>
        <v>0.8</v>
      </c>
      <c r="I25" s="762">
        <v>92</v>
      </c>
      <c r="J25" s="678" t="s">
        <v>385</v>
      </c>
      <c r="K25" s="770">
        <f>0</f>
        <v>0</v>
      </c>
      <c r="L25" s="678"/>
    </row>
    <row r="26" spans="2:12" x14ac:dyDescent="0.55000000000000004">
      <c r="B26" s="764"/>
      <c r="C26" s="872"/>
      <c r="D26" s="758" t="s">
        <v>161</v>
      </c>
      <c r="E26" s="678">
        <v>127</v>
      </c>
      <c r="F26" s="765">
        <v>2803</v>
      </c>
      <c r="G26" s="760"/>
      <c r="H26" s="761">
        <f t="shared" si="4"/>
        <v>0.64566929133858264</v>
      </c>
      <c r="I26" s="762">
        <v>82</v>
      </c>
      <c r="J26" s="678" t="s">
        <v>385</v>
      </c>
      <c r="K26" s="770">
        <f>0</f>
        <v>0</v>
      </c>
      <c r="L26" s="678"/>
    </row>
    <row r="27" spans="2:12" x14ac:dyDescent="0.55000000000000004">
      <c r="B27" s="764"/>
      <c r="C27" s="872"/>
      <c r="D27" s="758" t="s">
        <v>162</v>
      </c>
      <c r="E27" s="678">
        <v>128</v>
      </c>
      <c r="F27" s="765">
        <v>2819</v>
      </c>
      <c r="G27" s="760"/>
      <c r="H27" s="761">
        <f t="shared" si="4"/>
        <v>1.171875</v>
      </c>
      <c r="I27" s="762">
        <v>150</v>
      </c>
      <c r="J27" s="678" t="s">
        <v>385</v>
      </c>
      <c r="K27" s="770">
        <f>0</f>
        <v>0</v>
      </c>
      <c r="L27" s="678"/>
    </row>
    <row r="28" spans="2:12" x14ac:dyDescent="0.55000000000000004">
      <c r="B28" s="764"/>
      <c r="C28" s="872"/>
      <c r="D28" s="758" t="s">
        <v>163</v>
      </c>
      <c r="E28" s="678">
        <v>122</v>
      </c>
      <c r="F28" s="765">
        <v>2687</v>
      </c>
      <c r="G28" s="760"/>
      <c r="H28" s="761">
        <f t="shared" si="4"/>
        <v>0.4098360655737705</v>
      </c>
      <c r="I28" s="762">
        <v>50</v>
      </c>
      <c r="J28" s="678" t="s">
        <v>385</v>
      </c>
      <c r="K28" s="770">
        <f>0</f>
        <v>0</v>
      </c>
      <c r="L28" s="678"/>
    </row>
    <row r="29" spans="2:12" x14ac:dyDescent="0.55000000000000004">
      <c r="B29" s="865" t="s">
        <v>33</v>
      </c>
      <c r="C29" s="866"/>
      <c r="D29" s="867"/>
      <c r="E29" s="771">
        <f>SUM(E22:E28)</f>
        <v>887</v>
      </c>
      <c r="F29" s="771">
        <f>SUM(F22:F28)</f>
        <v>19990</v>
      </c>
      <c r="G29" s="771">
        <f>SUM(G22:G28)</f>
        <v>44</v>
      </c>
      <c r="H29" s="772">
        <f>I29/E29</f>
        <v>1.6392333709131905</v>
      </c>
      <c r="I29" s="771">
        <f>SUM(I22:I28)</f>
        <v>1454</v>
      </c>
      <c r="J29" s="775">
        <f>AVERAGE(J22:J24,J26:J28)</f>
        <v>726.66666666666663</v>
      </c>
      <c r="K29" s="774">
        <f>SUM(K22:K28)</f>
        <v>691000</v>
      </c>
      <c r="L29" s="773"/>
    </row>
    <row r="30" spans="2:12" x14ac:dyDescent="0.55000000000000004">
      <c r="C30" s="871" t="s">
        <v>60</v>
      </c>
      <c r="D30" s="758" t="s">
        <v>251</v>
      </c>
      <c r="E30" s="20">
        <v>8</v>
      </c>
      <c r="F30" s="759">
        <v>184</v>
      </c>
      <c r="G30" s="760">
        <v>22</v>
      </c>
      <c r="H30" s="761">
        <f>I30/E30</f>
        <v>4.25</v>
      </c>
      <c r="I30" s="762">
        <v>34</v>
      </c>
      <c r="J30" s="678">
        <v>550</v>
      </c>
      <c r="K30" s="763">
        <f>J30*I30</f>
        <v>18700</v>
      </c>
      <c r="L30" s="678"/>
    </row>
    <row r="31" spans="2:12" x14ac:dyDescent="0.55000000000000004">
      <c r="B31" s="764"/>
      <c r="C31" s="872"/>
      <c r="D31" s="758" t="s">
        <v>82</v>
      </c>
      <c r="E31" s="678">
        <v>103</v>
      </c>
      <c r="F31" s="765">
        <v>2792</v>
      </c>
      <c r="G31" s="760">
        <v>22</v>
      </c>
      <c r="H31" s="761">
        <f>I31/E31</f>
        <v>4.3689320388349513</v>
      </c>
      <c r="I31" s="762">
        <v>450</v>
      </c>
      <c r="J31" s="678">
        <v>450</v>
      </c>
      <c r="K31" s="763">
        <f t="shared" ref="K31:K43" si="5">J31*I31</f>
        <v>202500</v>
      </c>
      <c r="L31" s="678"/>
    </row>
    <row r="32" spans="2:12" x14ac:dyDescent="0.55000000000000004">
      <c r="B32" s="764"/>
      <c r="C32" s="872"/>
      <c r="D32" s="758" t="s">
        <v>83</v>
      </c>
      <c r="E32" s="678">
        <v>156</v>
      </c>
      <c r="F32" s="765">
        <v>4202</v>
      </c>
      <c r="G32" s="760"/>
      <c r="H32" s="761">
        <f t="shared" ref="H32:H43" si="6">I32/E32</f>
        <v>4.3589743589743586</v>
      </c>
      <c r="I32" s="762">
        <v>680</v>
      </c>
      <c r="J32" s="678">
        <v>450</v>
      </c>
      <c r="K32" s="763">
        <f t="shared" si="5"/>
        <v>306000</v>
      </c>
      <c r="L32" s="678"/>
    </row>
    <row r="33" spans="2:12" x14ac:dyDescent="0.55000000000000004">
      <c r="B33" s="764"/>
      <c r="C33" s="872"/>
      <c r="D33" s="758" t="s">
        <v>97</v>
      </c>
      <c r="E33" s="678">
        <v>124</v>
      </c>
      <c r="F33" s="765">
        <v>3106</v>
      </c>
      <c r="G33" s="760"/>
      <c r="H33" s="761">
        <f t="shared" si="6"/>
        <v>2.903225806451613</v>
      </c>
      <c r="I33" s="762">
        <v>360</v>
      </c>
      <c r="J33" s="678">
        <v>430</v>
      </c>
      <c r="K33" s="763">
        <f t="shared" si="5"/>
        <v>154800</v>
      </c>
      <c r="L33" s="678"/>
    </row>
    <row r="34" spans="2:12" x14ac:dyDescent="0.55000000000000004">
      <c r="B34" s="764"/>
      <c r="C34" s="872"/>
      <c r="D34" s="758" t="s">
        <v>105</v>
      </c>
      <c r="E34" s="678">
        <v>100</v>
      </c>
      <c r="F34" s="765">
        <v>2495</v>
      </c>
      <c r="G34" s="760"/>
      <c r="H34" s="761">
        <f t="shared" si="6"/>
        <v>3.4</v>
      </c>
      <c r="I34" s="762">
        <v>340</v>
      </c>
      <c r="J34" s="678">
        <v>700</v>
      </c>
      <c r="K34" s="763">
        <f t="shared" si="5"/>
        <v>238000</v>
      </c>
      <c r="L34" s="678"/>
    </row>
    <row r="35" spans="2:12" x14ac:dyDescent="0.55000000000000004">
      <c r="B35" s="764"/>
      <c r="C35" s="872"/>
      <c r="D35" s="758" t="s">
        <v>106</v>
      </c>
      <c r="E35" s="678">
        <v>12</v>
      </c>
      <c r="F35" s="765">
        <v>300</v>
      </c>
      <c r="G35" s="760"/>
      <c r="H35" s="761">
        <f t="shared" si="6"/>
        <v>3.3333333333333335</v>
      </c>
      <c r="I35" s="762">
        <v>40</v>
      </c>
      <c r="J35" s="678">
        <v>700</v>
      </c>
      <c r="K35" s="763">
        <f t="shared" si="5"/>
        <v>28000</v>
      </c>
      <c r="L35" s="678"/>
    </row>
    <row r="36" spans="2:12" x14ac:dyDescent="0.55000000000000004">
      <c r="B36" s="764"/>
      <c r="C36" s="872"/>
      <c r="D36" s="758" t="s">
        <v>119</v>
      </c>
      <c r="E36" s="678">
        <v>134</v>
      </c>
      <c r="F36" s="765">
        <v>3333</v>
      </c>
      <c r="G36" s="760"/>
      <c r="H36" s="761">
        <f t="shared" si="6"/>
        <v>2.6119402985074629</v>
      </c>
      <c r="I36" s="762">
        <v>350</v>
      </c>
      <c r="J36" s="678">
        <v>680</v>
      </c>
      <c r="K36" s="763">
        <f t="shared" si="5"/>
        <v>238000</v>
      </c>
      <c r="L36" s="678"/>
    </row>
    <row r="37" spans="2:12" x14ac:dyDescent="0.55000000000000004">
      <c r="B37" s="764"/>
      <c r="C37" s="872"/>
      <c r="D37" s="758" t="s">
        <v>120</v>
      </c>
      <c r="E37" s="678">
        <v>101</v>
      </c>
      <c r="F37" s="765">
        <v>2525</v>
      </c>
      <c r="G37" s="760"/>
      <c r="H37" s="761">
        <f t="shared" si="6"/>
        <v>2.5742574257425743</v>
      </c>
      <c r="I37" s="762">
        <v>260</v>
      </c>
      <c r="J37" s="678">
        <v>680</v>
      </c>
      <c r="K37" s="763">
        <f t="shared" si="5"/>
        <v>176800</v>
      </c>
      <c r="L37" s="678"/>
    </row>
    <row r="38" spans="2:12" x14ac:dyDescent="0.55000000000000004">
      <c r="B38" s="764"/>
      <c r="C38" s="872"/>
      <c r="D38" s="758" t="s">
        <v>121</v>
      </c>
      <c r="E38" s="678">
        <v>116</v>
      </c>
      <c r="F38" s="765">
        <v>2888</v>
      </c>
      <c r="G38" s="760"/>
      <c r="H38" s="761">
        <f t="shared" si="6"/>
        <v>2.9310344827586206</v>
      </c>
      <c r="I38" s="762">
        <v>340</v>
      </c>
      <c r="J38" s="678">
        <v>680</v>
      </c>
      <c r="K38" s="763">
        <f t="shared" si="5"/>
        <v>231200</v>
      </c>
      <c r="L38" s="678"/>
    </row>
    <row r="39" spans="2:12" x14ac:dyDescent="0.55000000000000004">
      <c r="B39" s="764"/>
      <c r="C39" s="872"/>
      <c r="D39" s="758" t="s">
        <v>122</v>
      </c>
      <c r="E39" s="678">
        <v>76</v>
      </c>
      <c r="F39" s="765">
        <v>1905</v>
      </c>
      <c r="G39" s="760"/>
      <c r="H39" s="761">
        <f t="shared" si="6"/>
        <v>2.6315789473684212</v>
      </c>
      <c r="I39" s="762">
        <v>200</v>
      </c>
      <c r="J39" s="678">
        <v>680</v>
      </c>
      <c r="K39" s="763">
        <f t="shared" si="5"/>
        <v>136000</v>
      </c>
      <c r="L39" s="678"/>
    </row>
    <row r="40" spans="2:12" x14ac:dyDescent="0.55000000000000004">
      <c r="B40" s="764"/>
      <c r="C40" s="872"/>
      <c r="D40" s="758" t="s">
        <v>123</v>
      </c>
      <c r="E40" s="678">
        <v>92</v>
      </c>
      <c r="F40" s="765">
        <v>2291</v>
      </c>
      <c r="G40" s="760"/>
      <c r="H40" s="761">
        <f t="shared" si="6"/>
        <v>2.7173913043478262</v>
      </c>
      <c r="I40" s="762">
        <v>250</v>
      </c>
      <c r="J40" s="678">
        <v>680</v>
      </c>
      <c r="K40" s="763">
        <f t="shared" si="5"/>
        <v>170000</v>
      </c>
      <c r="L40" s="678"/>
    </row>
    <row r="41" spans="2:12" x14ac:dyDescent="0.55000000000000004">
      <c r="B41" s="764"/>
      <c r="C41" s="872"/>
      <c r="D41" s="758" t="s">
        <v>126</v>
      </c>
      <c r="E41" s="678">
        <v>108</v>
      </c>
      <c r="F41" s="765">
        <v>2707</v>
      </c>
      <c r="G41" s="760"/>
      <c r="H41" s="761">
        <f t="shared" si="6"/>
        <v>2.7777777777777777</v>
      </c>
      <c r="I41" s="762">
        <v>300</v>
      </c>
      <c r="J41" s="678">
        <v>680</v>
      </c>
      <c r="K41" s="763">
        <f t="shared" si="5"/>
        <v>204000</v>
      </c>
      <c r="L41" s="678"/>
    </row>
    <row r="42" spans="2:12" x14ac:dyDescent="0.55000000000000004">
      <c r="B42" s="764"/>
      <c r="C42" s="872"/>
      <c r="D42" s="758" t="s">
        <v>127</v>
      </c>
      <c r="E42" s="678">
        <v>86</v>
      </c>
      <c r="F42" s="765">
        <v>2132</v>
      </c>
      <c r="G42" s="760"/>
      <c r="H42" s="761">
        <f t="shared" si="6"/>
        <v>2.6744186046511627</v>
      </c>
      <c r="I42" s="762">
        <v>230</v>
      </c>
      <c r="J42" s="678">
        <v>680</v>
      </c>
      <c r="K42" s="763">
        <f t="shared" si="5"/>
        <v>156400</v>
      </c>
      <c r="L42" s="678"/>
    </row>
    <row r="43" spans="2:12" x14ac:dyDescent="0.55000000000000004">
      <c r="B43" s="764"/>
      <c r="C43" s="872"/>
      <c r="D43" s="758" t="s">
        <v>128</v>
      </c>
      <c r="E43" s="678">
        <v>29</v>
      </c>
      <c r="F43" s="765">
        <v>720</v>
      </c>
      <c r="G43" s="760"/>
      <c r="H43" s="761">
        <f t="shared" si="6"/>
        <v>2.7586206896551726</v>
      </c>
      <c r="I43" s="762">
        <v>80</v>
      </c>
      <c r="J43" s="678">
        <v>680</v>
      </c>
      <c r="K43" s="763">
        <f t="shared" si="5"/>
        <v>54400</v>
      </c>
      <c r="L43" s="678"/>
    </row>
    <row r="44" spans="2:12" x14ac:dyDescent="0.55000000000000004">
      <c r="B44" s="865" t="s">
        <v>32</v>
      </c>
      <c r="C44" s="866"/>
      <c r="D44" s="867"/>
      <c r="E44" s="771">
        <f>SUM(E30:E43)</f>
        <v>1245</v>
      </c>
      <c r="F44" s="771">
        <f>SUM(F30:F43)</f>
        <v>31580</v>
      </c>
      <c r="G44" s="771">
        <f>SUM(G30:G43)</f>
        <v>44</v>
      </c>
      <c r="H44" s="772">
        <f>I44/E44</f>
        <v>3.1437751004016063</v>
      </c>
      <c r="I44" s="771">
        <f>SUM(I30:I43)</f>
        <v>3914</v>
      </c>
      <c r="J44" s="775">
        <f>AVERAGE(J30:J43)</f>
        <v>622.85714285714289</v>
      </c>
      <c r="K44" s="774">
        <f>SUM(K30:K43)</f>
        <v>2314800</v>
      </c>
      <c r="L44" s="773"/>
    </row>
    <row r="45" spans="2:12" x14ac:dyDescent="0.55000000000000004">
      <c r="C45" s="871" t="s">
        <v>381</v>
      </c>
      <c r="D45" s="758" t="s">
        <v>85</v>
      </c>
      <c r="E45" s="20">
        <v>15</v>
      </c>
      <c r="F45" s="759">
        <v>401</v>
      </c>
      <c r="G45" s="760">
        <v>22</v>
      </c>
      <c r="H45" s="761">
        <v>75</v>
      </c>
      <c r="I45" s="762">
        <v>75</v>
      </c>
      <c r="J45" s="678">
        <v>450</v>
      </c>
      <c r="K45" s="763">
        <f>J45*I45</f>
        <v>33750</v>
      </c>
      <c r="L45" s="678"/>
    </row>
    <row r="46" spans="2:12" x14ac:dyDescent="0.55000000000000004">
      <c r="B46" s="764"/>
      <c r="C46" s="872"/>
      <c r="D46" s="758" t="s">
        <v>86</v>
      </c>
      <c r="E46" s="678">
        <v>5</v>
      </c>
      <c r="F46" s="765">
        <v>152</v>
      </c>
      <c r="G46" s="760">
        <v>22</v>
      </c>
      <c r="H46" s="761">
        <v>25</v>
      </c>
      <c r="I46" s="762">
        <v>25</v>
      </c>
      <c r="J46" s="678">
        <v>450</v>
      </c>
      <c r="K46" s="763">
        <f t="shared" ref="K46:K51" si="7">J46*I46</f>
        <v>11250</v>
      </c>
      <c r="L46" s="678"/>
    </row>
    <row r="47" spans="2:12" x14ac:dyDescent="0.55000000000000004">
      <c r="B47" s="764"/>
      <c r="C47" s="872"/>
      <c r="D47" s="758" t="s">
        <v>62</v>
      </c>
      <c r="E47" s="678">
        <v>4</v>
      </c>
      <c r="F47" s="765">
        <v>93</v>
      </c>
      <c r="G47" s="760"/>
      <c r="H47" s="761">
        <v>12</v>
      </c>
      <c r="I47" s="762">
        <v>12</v>
      </c>
      <c r="J47" s="678">
        <v>430</v>
      </c>
      <c r="K47" s="763">
        <f t="shared" si="7"/>
        <v>5160</v>
      </c>
      <c r="L47" s="678"/>
    </row>
    <row r="48" spans="2:12" x14ac:dyDescent="0.55000000000000004">
      <c r="B48" s="764"/>
      <c r="C48" s="872"/>
      <c r="D48" s="758" t="s">
        <v>152</v>
      </c>
      <c r="E48" s="678">
        <v>131</v>
      </c>
      <c r="F48" s="765">
        <v>2886</v>
      </c>
      <c r="G48" s="760"/>
      <c r="H48" s="761">
        <v>190</v>
      </c>
      <c r="I48" s="762">
        <v>190</v>
      </c>
      <c r="J48" s="678">
        <v>1050</v>
      </c>
      <c r="K48" s="763">
        <f t="shared" si="7"/>
        <v>199500</v>
      </c>
      <c r="L48" s="678"/>
    </row>
    <row r="49" spans="2:13" x14ac:dyDescent="0.55000000000000004">
      <c r="B49" s="764"/>
      <c r="C49" s="872"/>
      <c r="D49" s="758" t="s">
        <v>153</v>
      </c>
      <c r="E49" s="678">
        <v>117</v>
      </c>
      <c r="F49" s="765">
        <v>2579</v>
      </c>
      <c r="G49" s="760"/>
      <c r="H49" s="761">
        <v>150</v>
      </c>
      <c r="I49" s="762">
        <v>150</v>
      </c>
      <c r="J49" s="678">
        <v>1050</v>
      </c>
      <c r="K49" s="763">
        <f t="shared" si="7"/>
        <v>157500</v>
      </c>
      <c r="L49" s="678"/>
    </row>
    <row r="50" spans="2:13" x14ac:dyDescent="0.55000000000000004">
      <c r="B50" s="764"/>
      <c r="C50" s="872"/>
      <c r="D50" s="758" t="s">
        <v>154</v>
      </c>
      <c r="E50" s="678">
        <v>155</v>
      </c>
      <c r="F50" s="765">
        <v>3402</v>
      </c>
      <c r="G50" s="760"/>
      <c r="H50" s="761">
        <v>170</v>
      </c>
      <c r="I50" s="762">
        <v>170</v>
      </c>
      <c r="J50" s="678" t="s">
        <v>385</v>
      </c>
      <c r="K50" s="763">
        <f>0</f>
        <v>0</v>
      </c>
      <c r="L50" s="678"/>
    </row>
    <row r="51" spans="2:13" x14ac:dyDescent="0.55000000000000004">
      <c r="B51" s="764"/>
      <c r="C51" s="872"/>
      <c r="D51" s="758" t="s">
        <v>155</v>
      </c>
      <c r="E51" s="678">
        <v>100</v>
      </c>
      <c r="F51" s="765">
        <v>2192</v>
      </c>
      <c r="G51" s="760"/>
      <c r="H51" s="761">
        <v>160</v>
      </c>
      <c r="I51" s="762">
        <v>160</v>
      </c>
      <c r="J51" s="678">
        <v>1050</v>
      </c>
      <c r="K51" s="763">
        <f t="shared" si="7"/>
        <v>168000</v>
      </c>
      <c r="L51" s="678"/>
    </row>
    <row r="52" spans="2:13" x14ac:dyDescent="0.55000000000000004">
      <c r="B52" s="865" t="s">
        <v>43</v>
      </c>
      <c r="C52" s="866"/>
      <c r="D52" s="867"/>
      <c r="E52" s="771">
        <f>SUM(E45:E51)</f>
        <v>527</v>
      </c>
      <c r="F52" s="771">
        <f>SUM(F45:F51)</f>
        <v>11705</v>
      </c>
      <c r="G52" s="771">
        <f>SUM(G45:G51)</f>
        <v>44</v>
      </c>
      <c r="H52" s="772">
        <f>I52/E52</f>
        <v>1.4838709677419355</v>
      </c>
      <c r="I52" s="771">
        <f>SUM(I45:I51)</f>
        <v>782</v>
      </c>
      <c r="J52" s="775">
        <f>AVERAGE(J45:J51)</f>
        <v>746.66666666666663</v>
      </c>
      <c r="K52" s="774">
        <f>SUM(K45:K51)</f>
        <v>575160</v>
      </c>
      <c r="L52" s="773"/>
    </row>
    <row r="53" spans="2:13" x14ac:dyDescent="0.55000000000000004">
      <c r="C53" s="871" t="s">
        <v>253</v>
      </c>
      <c r="D53" s="758" t="s">
        <v>28</v>
      </c>
      <c r="E53" s="20">
        <v>82</v>
      </c>
      <c r="F53" s="759">
        <v>1813</v>
      </c>
      <c r="G53" s="760">
        <v>22</v>
      </c>
      <c r="H53" s="761">
        <v>75</v>
      </c>
      <c r="I53" s="762">
        <v>90</v>
      </c>
      <c r="J53" s="678">
        <v>625</v>
      </c>
      <c r="K53" s="763">
        <f>J53*I53</f>
        <v>56250</v>
      </c>
      <c r="L53" s="678"/>
    </row>
    <row r="54" spans="2:13" x14ac:dyDescent="0.55000000000000004">
      <c r="B54" s="764"/>
      <c r="C54" s="872"/>
      <c r="D54" s="758" t="s">
        <v>29</v>
      </c>
      <c r="E54" s="678">
        <v>72</v>
      </c>
      <c r="F54" s="765">
        <v>1574</v>
      </c>
      <c r="G54" s="760">
        <v>22</v>
      </c>
      <c r="H54" s="761">
        <v>25</v>
      </c>
      <c r="I54" s="762">
        <v>120</v>
      </c>
      <c r="J54" s="678">
        <v>625</v>
      </c>
      <c r="K54" s="763">
        <f>J54*I54</f>
        <v>75000</v>
      </c>
      <c r="L54" s="678"/>
    </row>
    <row r="55" spans="2:13" x14ac:dyDescent="0.55000000000000004">
      <c r="B55" s="764"/>
      <c r="C55" s="872"/>
      <c r="D55" s="758" t="s">
        <v>30</v>
      </c>
      <c r="E55" s="678">
        <v>69</v>
      </c>
      <c r="F55" s="765">
        <v>1509</v>
      </c>
      <c r="G55" s="760"/>
      <c r="H55" s="761">
        <v>12</v>
      </c>
      <c r="I55" s="762">
        <v>100</v>
      </c>
      <c r="J55" s="678">
        <v>625</v>
      </c>
      <c r="K55" s="763">
        <f>J55*I55</f>
        <v>62500</v>
      </c>
      <c r="L55" s="678"/>
    </row>
    <row r="56" spans="2:13" x14ac:dyDescent="0.55000000000000004">
      <c r="B56" s="865" t="s">
        <v>31</v>
      </c>
      <c r="C56" s="866"/>
      <c r="D56" s="867"/>
      <c r="E56" s="771">
        <f>SUM(E53:E55)</f>
        <v>223</v>
      </c>
      <c r="F56" s="771">
        <f>SUM(F53:F55)</f>
        <v>4896</v>
      </c>
      <c r="G56" s="771">
        <f>SUM(G53:G55)</f>
        <v>44</v>
      </c>
      <c r="H56" s="772">
        <f>I56/E56</f>
        <v>1.3901345291479821</v>
      </c>
      <c r="I56" s="771">
        <f>SUM(I53:I55)</f>
        <v>310</v>
      </c>
      <c r="J56" s="775">
        <f>AVERAGE(J53:J55)</f>
        <v>625</v>
      </c>
      <c r="K56" s="774">
        <f>SUM(K53:K55)</f>
        <v>193750</v>
      </c>
      <c r="L56" s="773"/>
    </row>
    <row r="57" spans="2:13" x14ac:dyDescent="0.55000000000000004">
      <c r="B57" s="868" t="s">
        <v>22</v>
      </c>
      <c r="C57" s="869"/>
      <c r="D57" s="869"/>
      <c r="E57" s="869"/>
      <c r="F57" s="869"/>
      <c r="G57" s="869"/>
      <c r="H57" s="869"/>
      <c r="I57" s="869"/>
      <c r="J57" s="869"/>
      <c r="K57" s="869"/>
      <c r="L57" s="870"/>
      <c r="M57" s="244"/>
    </row>
    <row r="58" spans="2:13" x14ac:dyDescent="0.55000000000000004">
      <c r="C58" s="871" t="s">
        <v>248</v>
      </c>
      <c r="D58" s="758" t="s">
        <v>26</v>
      </c>
      <c r="E58" s="20">
        <v>6</v>
      </c>
      <c r="F58" s="759">
        <v>126</v>
      </c>
      <c r="G58" s="760">
        <v>22</v>
      </c>
      <c r="H58" s="761">
        <f>I58/E58</f>
        <v>3.6666666666666665</v>
      </c>
      <c r="I58" s="762">
        <v>22</v>
      </c>
      <c r="J58" s="678">
        <v>550</v>
      </c>
      <c r="K58" s="763">
        <f>J58*I58</f>
        <v>12100</v>
      </c>
      <c r="L58" s="678"/>
    </row>
    <row r="59" spans="2:13" x14ac:dyDescent="0.55000000000000004">
      <c r="B59" s="764"/>
      <c r="C59" s="872"/>
      <c r="D59" s="758" t="s">
        <v>48</v>
      </c>
      <c r="E59" s="678">
        <v>168</v>
      </c>
      <c r="F59" s="765">
        <v>4192</v>
      </c>
      <c r="G59" s="760">
        <v>22</v>
      </c>
      <c r="H59" s="761">
        <f>I59/E59</f>
        <v>2.9761904761904763</v>
      </c>
      <c r="I59" s="762">
        <v>500</v>
      </c>
      <c r="J59" s="678" t="s">
        <v>385</v>
      </c>
      <c r="K59" s="763">
        <f>0</f>
        <v>0</v>
      </c>
      <c r="L59" s="678"/>
    </row>
    <row r="60" spans="2:13" x14ac:dyDescent="0.55000000000000004">
      <c r="B60" s="764"/>
      <c r="C60" s="872"/>
      <c r="D60" s="758" t="s">
        <v>49</v>
      </c>
      <c r="E60" s="678">
        <v>157</v>
      </c>
      <c r="F60" s="765">
        <v>4022</v>
      </c>
      <c r="G60" s="760"/>
      <c r="H60" s="761">
        <f t="shared" ref="H60:H71" si="8">I60/E60</f>
        <v>3.5031847133757963</v>
      </c>
      <c r="I60" s="762">
        <v>550</v>
      </c>
      <c r="J60" s="678">
        <v>450</v>
      </c>
      <c r="K60" s="763">
        <f t="shared" ref="K60" si="9">J60*I60</f>
        <v>247500</v>
      </c>
      <c r="L60" s="678"/>
    </row>
    <row r="61" spans="2:13" x14ac:dyDescent="0.55000000000000004">
      <c r="B61" s="764"/>
      <c r="C61" s="872"/>
      <c r="D61" s="758" t="s">
        <v>35</v>
      </c>
      <c r="E61" s="678">
        <v>170</v>
      </c>
      <c r="F61" s="765">
        <v>4245</v>
      </c>
      <c r="G61" s="760"/>
      <c r="H61" s="761">
        <f t="shared" si="8"/>
        <v>3.4117647058823528</v>
      </c>
      <c r="I61" s="762">
        <v>580</v>
      </c>
      <c r="J61" s="678" t="s">
        <v>385</v>
      </c>
      <c r="K61" s="770">
        <f>0</f>
        <v>0</v>
      </c>
      <c r="L61" s="678"/>
    </row>
    <row r="62" spans="2:13" x14ac:dyDescent="0.55000000000000004">
      <c r="B62" s="764"/>
      <c r="C62" s="872"/>
      <c r="D62" s="758" t="s">
        <v>51</v>
      </c>
      <c r="E62" s="678">
        <v>169</v>
      </c>
      <c r="F62" s="765">
        <v>4231</v>
      </c>
      <c r="G62" s="760"/>
      <c r="H62" s="761">
        <f t="shared" si="8"/>
        <v>3.7278106508875739</v>
      </c>
      <c r="I62" s="762">
        <v>630</v>
      </c>
      <c r="J62" s="678">
        <v>630</v>
      </c>
      <c r="K62" s="763">
        <f t="shared" ref="K62:K70" si="10">J62*I62</f>
        <v>396900</v>
      </c>
      <c r="L62" s="678"/>
    </row>
    <row r="63" spans="2:13" x14ac:dyDescent="0.55000000000000004">
      <c r="B63" s="764"/>
      <c r="C63" s="872"/>
      <c r="D63" s="758" t="s">
        <v>38</v>
      </c>
      <c r="E63" s="678">
        <v>171</v>
      </c>
      <c r="F63" s="765">
        <v>4265</v>
      </c>
      <c r="G63" s="760"/>
      <c r="H63" s="761">
        <f t="shared" si="8"/>
        <v>1.3450292397660819</v>
      </c>
      <c r="I63" s="762">
        <v>230</v>
      </c>
      <c r="J63" s="678">
        <v>430</v>
      </c>
      <c r="K63" s="763">
        <f t="shared" si="10"/>
        <v>98900</v>
      </c>
      <c r="L63" s="678"/>
    </row>
    <row r="64" spans="2:13" x14ac:dyDescent="0.55000000000000004">
      <c r="B64" s="764"/>
      <c r="C64" s="872"/>
      <c r="D64" s="758" t="s">
        <v>37</v>
      </c>
      <c r="E64" s="678">
        <v>67</v>
      </c>
      <c r="F64" s="765">
        <v>1663</v>
      </c>
      <c r="G64" s="760"/>
      <c r="H64" s="761">
        <f t="shared" si="8"/>
        <v>8.2089552238805972</v>
      </c>
      <c r="I64" s="762">
        <v>550</v>
      </c>
      <c r="J64" s="678">
        <v>430</v>
      </c>
      <c r="K64" s="763">
        <f t="shared" si="10"/>
        <v>236500</v>
      </c>
      <c r="L64" s="678"/>
    </row>
    <row r="65" spans="2:12" x14ac:dyDescent="0.55000000000000004">
      <c r="B65" s="764"/>
      <c r="C65" s="872"/>
      <c r="D65" s="758" t="s">
        <v>52</v>
      </c>
      <c r="E65" s="678">
        <v>154</v>
      </c>
      <c r="F65" s="765">
        <v>3851</v>
      </c>
      <c r="G65" s="760"/>
      <c r="H65" s="761">
        <f t="shared" si="8"/>
        <v>2.7922077922077921</v>
      </c>
      <c r="I65" s="762">
        <v>430</v>
      </c>
      <c r="J65" s="678">
        <v>690</v>
      </c>
      <c r="K65" s="763">
        <f t="shared" si="10"/>
        <v>296700</v>
      </c>
      <c r="L65" s="678"/>
    </row>
    <row r="66" spans="2:12" x14ac:dyDescent="0.55000000000000004">
      <c r="B66" s="764"/>
      <c r="C66" s="872"/>
      <c r="D66" s="758" t="s">
        <v>53</v>
      </c>
      <c r="E66" s="678">
        <v>139</v>
      </c>
      <c r="F66" s="765">
        <v>3476</v>
      </c>
      <c r="G66" s="760"/>
      <c r="H66" s="761">
        <f t="shared" si="8"/>
        <v>3.9568345323741005</v>
      </c>
      <c r="I66" s="762">
        <v>550</v>
      </c>
      <c r="J66" s="678">
        <v>430</v>
      </c>
      <c r="K66" s="763">
        <f t="shared" si="10"/>
        <v>236500</v>
      </c>
      <c r="L66" s="678"/>
    </row>
    <row r="67" spans="2:12" x14ac:dyDescent="0.55000000000000004">
      <c r="B67" s="764"/>
      <c r="C67" s="872"/>
      <c r="D67" s="758" t="s">
        <v>54</v>
      </c>
      <c r="E67" s="678">
        <v>165</v>
      </c>
      <c r="F67" s="765">
        <v>4127</v>
      </c>
      <c r="G67" s="760"/>
      <c r="H67" s="761">
        <f t="shared" si="8"/>
        <v>3.0303030303030303</v>
      </c>
      <c r="I67" s="762">
        <v>500</v>
      </c>
      <c r="J67" s="678">
        <v>690</v>
      </c>
      <c r="K67" s="763">
        <f t="shared" si="10"/>
        <v>345000</v>
      </c>
      <c r="L67" s="678"/>
    </row>
    <row r="68" spans="2:12" x14ac:dyDescent="0.55000000000000004">
      <c r="B68" s="764"/>
      <c r="C68" s="872"/>
      <c r="D68" s="758" t="s">
        <v>55</v>
      </c>
      <c r="E68" s="678">
        <v>158</v>
      </c>
      <c r="F68" s="765">
        <v>3480</v>
      </c>
      <c r="G68" s="760"/>
      <c r="H68" s="761">
        <f t="shared" si="8"/>
        <v>1.139240506329114</v>
      </c>
      <c r="I68" s="762">
        <v>180</v>
      </c>
      <c r="J68" s="678">
        <v>1050</v>
      </c>
      <c r="K68" s="763">
        <f t="shared" si="10"/>
        <v>189000</v>
      </c>
      <c r="L68" s="678"/>
    </row>
    <row r="69" spans="2:12" x14ac:dyDescent="0.55000000000000004">
      <c r="B69" s="764"/>
      <c r="C69" s="872"/>
      <c r="D69" s="758" t="s">
        <v>56</v>
      </c>
      <c r="E69" s="678">
        <v>143</v>
      </c>
      <c r="F69" s="765">
        <v>3140</v>
      </c>
      <c r="G69" s="760"/>
      <c r="H69" s="761">
        <f t="shared" si="8"/>
        <v>1.3986013986013985</v>
      </c>
      <c r="I69" s="762">
        <v>200</v>
      </c>
      <c r="J69" s="678">
        <v>1050</v>
      </c>
      <c r="K69" s="763">
        <f t="shared" si="10"/>
        <v>210000</v>
      </c>
      <c r="L69" s="678"/>
    </row>
    <row r="70" spans="2:12" x14ac:dyDescent="0.55000000000000004">
      <c r="B70" s="764"/>
      <c r="C70" s="872"/>
      <c r="D70" s="758" t="s">
        <v>57</v>
      </c>
      <c r="E70" s="678">
        <v>167</v>
      </c>
      <c r="F70" s="765">
        <v>3671</v>
      </c>
      <c r="G70" s="760"/>
      <c r="H70" s="761">
        <f t="shared" si="8"/>
        <v>1.4970059880239521</v>
      </c>
      <c r="I70" s="762">
        <v>250</v>
      </c>
      <c r="J70" s="678">
        <v>1050</v>
      </c>
      <c r="K70" s="763">
        <f t="shared" si="10"/>
        <v>262500</v>
      </c>
      <c r="L70" s="678"/>
    </row>
    <row r="71" spans="2:12" x14ac:dyDescent="0.55000000000000004">
      <c r="B71" s="764"/>
      <c r="C71" s="872"/>
      <c r="D71" s="758" t="s">
        <v>58</v>
      </c>
      <c r="E71" s="678">
        <v>130</v>
      </c>
      <c r="F71" s="765">
        <v>2868</v>
      </c>
      <c r="G71" s="760"/>
      <c r="H71" s="761">
        <f t="shared" si="8"/>
        <v>0.92307692307692313</v>
      </c>
      <c r="I71" s="762">
        <v>120</v>
      </c>
      <c r="J71" s="678" t="s">
        <v>385</v>
      </c>
      <c r="K71" s="763">
        <f>0</f>
        <v>0</v>
      </c>
      <c r="L71" s="678"/>
    </row>
    <row r="72" spans="2:12" x14ac:dyDescent="0.55000000000000004">
      <c r="B72" s="764"/>
      <c r="C72" s="872"/>
      <c r="D72" s="758" t="s">
        <v>44</v>
      </c>
      <c r="E72" s="678">
        <v>145</v>
      </c>
      <c r="F72" s="765">
        <v>3193</v>
      </c>
      <c r="G72" s="760"/>
      <c r="H72" s="761">
        <f>I72/E72</f>
        <v>0.89655172413793105</v>
      </c>
      <c r="I72" s="762">
        <v>130</v>
      </c>
      <c r="J72" s="678" t="s">
        <v>385</v>
      </c>
      <c r="K72" s="763">
        <f>0</f>
        <v>0</v>
      </c>
      <c r="L72" s="678"/>
    </row>
    <row r="73" spans="2:12" x14ac:dyDescent="0.55000000000000004">
      <c r="B73" s="865" t="s">
        <v>219</v>
      </c>
      <c r="C73" s="866"/>
      <c r="D73" s="867"/>
      <c r="E73" s="771">
        <f>SUM(E58:E72)</f>
        <v>2109</v>
      </c>
      <c r="F73" s="771">
        <f>SUM(F58:F72)</f>
        <v>50550</v>
      </c>
      <c r="G73" s="771">
        <f>SUM(G58:G72)</f>
        <v>44</v>
      </c>
      <c r="H73" s="772">
        <f>I73/E73</f>
        <v>2.5708866761498341</v>
      </c>
      <c r="I73" s="771">
        <f>SUM(I58:I72)</f>
        <v>5422</v>
      </c>
      <c r="J73" s="775">
        <f>AVERAGE(J58:J72)</f>
        <v>677.27272727272725</v>
      </c>
      <c r="K73" s="774">
        <f>SUM(K58:K72)</f>
        <v>2531600</v>
      </c>
      <c r="L73" s="773"/>
    </row>
    <row r="74" spans="2:12" x14ac:dyDescent="0.55000000000000004">
      <c r="C74" s="871" t="s">
        <v>246</v>
      </c>
      <c r="D74" s="758" t="s">
        <v>23</v>
      </c>
      <c r="E74" s="20">
        <v>136</v>
      </c>
      <c r="F74" s="759">
        <v>2243</v>
      </c>
      <c r="G74" s="760">
        <v>22</v>
      </c>
      <c r="H74" s="761">
        <f>I74/E74</f>
        <v>0.73529411764705888</v>
      </c>
      <c r="I74" s="762">
        <v>100</v>
      </c>
      <c r="J74" s="678">
        <v>625</v>
      </c>
      <c r="K74" s="763">
        <f>J74*I74</f>
        <v>62500</v>
      </c>
      <c r="L74" s="678"/>
    </row>
    <row r="75" spans="2:12" x14ac:dyDescent="0.55000000000000004">
      <c r="B75" s="764"/>
      <c r="C75" s="872"/>
      <c r="D75" s="758" t="s">
        <v>24</v>
      </c>
      <c r="E75" s="678">
        <v>151</v>
      </c>
      <c r="F75" s="765">
        <v>2494</v>
      </c>
      <c r="G75" s="760">
        <v>22</v>
      </c>
      <c r="H75" s="761">
        <f>I75/E75</f>
        <v>0.72847682119205293</v>
      </c>
      <c r="I75" s="762">
        <v>110</v>
      </c>
      <c r="J75" s="678">
        <v>625</v>
      </c>
      <c r="K75" s="763">
        <f t="shared" ref="K75:K92" si="11">J75*I75</f>
        <v>68750</v>
      </c>
      <c r="L75" s="678"/>
    </row>
    <row r="76" spans="2:12" x14ac:dyDescent="0.55000000000000004">
      <c r="B76" s="764"/>
      <c r="C76" s="872"/>
      <c r="D76" s="758" t="s">
        <v>64</v>
      </c>
      <c r="E76" s="678">
        <v>4</v>
      </c>
      <c r="F76" s="765">
        <v>112</v>
      </c>
      <c r="G76" s="760"/>
      <c r="H76" s="761">
        <f t="shared" ref="H76:H92" si="12">I76/E76</f>
        <v>5</v>
      </c>
      <c r="I76" s="762">
        <v>20</v>
      </c>
      <c r="J76" s="678">
        <v>450</v>
      </c>
      <c r="K76" s="763">
        <f t="shared" si="11"/>
        <v>9000</v>
      </c>
      <c r="L76" s="678"/>
    </row>
    <row r="77" spans="2:12" x14ac:dyDescent="0.55000000000000004">
      <c r="B77" s="764"/>
      <c r="C77" s="872"/>
      <c r="D77" s="758" t="s">
        <v>65</v>
      </c>
      <c r="E77" s="678">
        <v>113</v>
      </c>
      <c r="F77" s="765">
        <v>2833</v>
      </c>
      <c r="G77" s="760"/>
      <c r="H77" s="761">
        <f t="shared" si="12"/>
        <v>3.6725663716814161</v>
      </c>
      <c r="I77" s="762">
        <v>415</v>
      </c>
      <c r="J77" s="678">
        <v>450</v>
      </c>
      <c r="K77" s="763">
        <f t="shared" si="11"/>
        <v>186750</v>
      </c>
      <c r="L77" s="678"/>
    </row>
    <row r="78" spans="2:12" x14ac:dyDescent="0.55000000000000004">
      <c r="B78" s="764"/>
      <c r="C78" s="872"/>
      <c r="D78" s="758" t="s">
        <v>73</v>
      </c>
      <c r="E78" s="678">
        <v>115</v>
      </c>
      <c r="F78" s="765">
        <v>2872</v>
      </c>
      <c r="G78" s="760"/>
      <c r="H78" s="761">
        <f t="shared" si="12"/>
        <v>4.5652173913043477</v>
      </c>
      <c r="I78" s="762">
        <v>525</v>
      </c>
      <c r="J78" s="678">
        <v>450</v>
      </c>
      <c r="K78" s="763">
        <f t="shared" si="11"/>
        <v>236250</v>
      </c>
      <c r="L78" s="678"/>
    </row>
    <row r="79" spans="2:12" x14ac:dyDescent="0.55000000000000004">
      <c r="B79" s="764"/>
      <c r="C79" s="872"/>
      <c r="D79" s="758" t="s">
        <v>74</v>
      </c>
      <c r="E79" s="678">
        <v>121</v>
      </c>
      <c r="F79" s="765">
        <v>3030</v>
      </c>
      <c r="G79" s="760"/>
      <c r="H79" s="761">
        <f t="shared" si="12"/>
        <v>3.3057851239669422</v>
      </c>
      <c r="I79" s="762">
        <v>400</v>
      </c>
      <c r="J79" s="678">
        <v>720</v>
      </c>
      <c r="K79" s="763">
        <f t="shared" si="11"/>
        <v>288000</v>
      </c>
      <c r="L79" s="678"/>
    </row>
    <row r="80" spans="2:12" x14ac:dyDescent="0.55000000000000004">
      <c r="B80" s="764"/>
      <c r="C80" s="872"/>
      <c r="D80" s="758" t="s">
        <v>90</v>
      </c>
      <c r="E80" s="678">
        <v>4</v>
      </c>
      <c r="F80" s="765">
        <v>92</v>
      </c>
      <c r="G80" s="760"/>
      <c r="H80" s="761">
        <f t="shared" si="12"/>
        <v>3</v>
      </c>
      <c r="I80" s="762">
        <v>12</v>
      </c>
      <c r="J80" s="678">
        <v>720</v>
      </c>
      <c r="K80" s="763">
        <f t="shared" si="11"/>
        <v>8640</v>
      </c>
      <c r="L80" s="678"/>
    </row>
    <row r="81" spans="2:12" x14ac:dyDescent="0.55000000000000004">
      <c r="B81" s="764"/>
      <c r="C81" s="872"/>
      <c r="D81" s="758" t="s">
        <v>94</v>
      </c>
      <c r="E81" s="678">
        <v>128</v>
      </c>
      <c r="F81" s="765">
        <v>3199</v>
      </c>
      <c r="G81" s="760"/>
      <c r="H81" s="761">
        <f t="shared" si="12"/>
        <v>3.90625</v>
      </c>
      <c r="I81" s="762">
        <v>500</v>
      </c>
      <c r="J81" s="678">
        <v>430</v>
      </c>
      <c r="K81" s="763">
        <f t="shared" si="11"/>
        <v>215000</v>
      </c>
      <c r="L81" s="678"/>
    </row>
    <row r="82" spans="2:12" x14ac:dyDescent="0.55000000000000004">
      <c r="B82" s="764"/>
      <c r="C82" s="872"/>
      <c r="D82" s="758" t="s">
        <v>95</v>
      </c>
      <c r="E82" s="678">
        <v>121</v>
      </c>
      <c r="F82" s="765">
        <v>3015</v>
      </c>
      <c r="G82" s="760"/>
      <c r="H82" s="761">
        <f t="shared" si="12"/>
        <v>3.6363636363636362</v>
      </c>
      <c r="I82" s="762">
        <v>440</v>
      </c>
      <c r="J82" s="678">
        <v>430</v>
      </c>
      <c r="K82" s="763">
        <f t="shared" si="11"/>
        <v>189200</v>
      </c>
      <c r="L82" s="678"/>
    </row>
    <row r="83" spans="2:12" x14ac:dyDescent="0.55000000000000004">
      <c r="B83" s="764"/>
      <c r="C83" s="872"/>
      <c r="D83" s="758" t="s">
        <v>96</v>
      </c>
      <c r="E83" s="678">
        <v>56</v>
      </c>
      <c r="F83" s="765">
        <v>1403</v>
      </c>
      <c r="G83" s="760"/>
      <c r="H83" s="761">
        <f t="shared" si="12"/>
        <v>3.0357142857142856</v>
      </c>
      <c r="I83" s="762">
        <v>170</v>
      </c>
      <c r="J83" s="678">
        <v>700</v>
      </c>
      <c r="K83" s="763">
        <f t="shared" si="11"/>
        <v>119000</v>
      </c>
      <c r="L83" s="678"/>
    </row>
    <row r="84" spans="2:12" x14ac:dyDescent="0.55000000000000004">
      <c r="B84" s="764"/>
      <c r="C84" s="872"/>
      <c r="D84" s="758" t="s">
        <v>93</v>
      </c>
      <c r="E84" s="678">
        <v>113</v>
      </c>
      <c r="F84" s="765">
        <v>2816</v>
      </c>
      <c r="G84" s="760"/>
      <c r="H84" s="761">
        <f t="shared" si="12"/>
        <v>3.8938053097345131</v>
      </c>
      <c r="I84" s="762">
        <v>440</v>
      </c>
      <c r="J84" s="678">
        <v>430</v>
      </c>
      <c r="K84" s="763">
        <f t="shared" si="11"/>
        <v>189200</v>
      </c>
      <c r="L84" s="678"/>
    </row>
    <row r="85" spans="2:12" x14ac:dyDescent="0.55000000000000004">
      <c r="B85" s="764"/>
      <c r="C85" s="872"/>
      <c r="D85" s="758" t="s">
        <v>112</v>
      </c>
      <c r="E85" s="678">
        <v>116</v>
      </c>
      <c r="F85" s="765">
        <v>2903</v>
      </c>
      <c r="G85" s="760"/>
      <c r="H85" s="761">
        <f t="shared" si="12"/>
        <v>4.6551724137931032</v>
      </c>
      <c r="I85" s="762">
        <v>540</v>
      </c>
      <c r="J85" s="678">
        <v>430</v>
      </c>
      <c r="K85" s="763">
        <f t="shared" si="11"/>
        <v>232200</v>
      </c>
      <c r="L85" s="678"/>
    </row>
    <row r="86" spans="2:12" x14ac:dyDescent="0.55000000000000004">
      <c r="B86" s="764"/>
      <c r="C86" s="872"/>
      <c r="D86" s="758" t="s">
        <v>113</v>
      </c>
      <c r="E86" s="678">
        <v>115</v>
      </c>
      <c r="F86" s="765">
        <v>2864</v>
      </c>
      <c r="G86" s="760"/>
      <c r="H86" s="761">
        <f t="shared" si="12"/>
        <v>3.5652173913043477</v>
      </c>
      <c r="I86" s="762">
        <v>410</v>
      </c>
      <c r="J86" s="678">
        <v>700</v>
      </c>
      <c r="K86" s="763">
        <f t="shared" si="11"/>
        <v>287000</v>
      </c>
      <c r="L86" s="678"/>
    </row>
    <row r="87" spans="2:12" x14ac:dyDescent="0.55000000000000004">
      <c r="B87" s="764"/>
      <c r="C87" s="872"/>
      <c r="D87" s="758" t="s">
        <v>114</v>
      </c>
      <c r="E87" s="678">
        <v>128</v>
      </c>
      <c r="F87" s="765">
        <v>2825</v>
      </c>
      <c r="G87" s="760"/>
      <c r="H87" s="761">
        <f t="shared" si="12"/>
        <v>3.90625</v>
      </c>
      <c r="I87" s="762">
        <v>500</v>
      </c>
      <c r="J87" s="678">
        <v>430</v>
      </c>
      <c r="K87" s="763">
        <f t="shared" si="11"/>
        <v>215000</v>
      </c>
      <c r="L87" s="678"/>
    </row>
    <row r="88" spans="2:12" x14ac:dyDescent="0.55000000000000004">
      <c r="B88" s="764"/>
      <c r="C88" s="872"/>
      <c r="D88" s="758" t="s">
        <v>115</v>
      </c>
      <c r="E88" s="678">
        <v>129</v>
      </c>
      <c r="F88" s="765">
        <v>2843</v>
      </c>
      <c r="G88" s="760"/>
      <c r="H88" s="761">
        <f t="shared" si="12"/>
        <v>3.8759689922480618</v>
      </c>
      <c r="I88" s="762">
        <v>500</v>
      </c>
      <c r="J88" s="678">
        <v>430</v>
      </c>
      <c r="K88" s="763">
        <f t="shared" si="11"/>
        <v>215000</v>
      </c>
      <c r="L88" s="678"/>
    </row>
    <row r="89" spans="2:12" x14ac:dyDescent="0.55000000000000004">
      <c r="B89" s="764"/>
      <c r="C89" s="872"/>
      <c r="D89" s="758" t="s">
        <v>111</v>
      </c>
      <c r="E89" s="678">
        <v>117</v>
      </c>
      <c r="F89" s="765">
        <v>2934</v>
      </c>
      <c r="G89" s="760"/>
      <c r="H89" s="761">
        <f t="shared" si="12"/>
        <v>3.5897435897435899</v>
      </c>
      <c r="I89" s="762">
        <v>420</v>
      </c>
      <c r="J89" s="678">
        <v>700</v>
      </c>
      <c r="K89" s="763">
        <f t="shared" si="11"/>
        <v>294000</v>
      </c>
      <c r="L89" s="678"/>
    </row>
    <row r="90" spans="2:12" x14ac:dyDescent="0.55000000000000004">
      <c r="B90" s="764"/>
      <c r="C90" s="872"/>
      <c r="D90" s="758" t="s">
        <v>139</v>
      </c>
      <c r="E90" s="678">
        <v>121</v>
      </c>
      <c r="F90" s="765">
        <v>3037</v>
      </c>
      <c r="G90" s="760"/>
      <c r="H90" s="761">
        <f t="shared" si="12"/>
        <v>1.6528925619834711</v>
      </c>
      <c r="I90" s="762">
        <v>200</v>
      </c>
      <c r="J90" s="678">
        <v>700</v>
      </c>
      <c r="K90" s="763">
        <f t="shared" si="11"/>
        <v>140000</v>
      </c>
      <c r="L90" s="678"/>
    </row>
    <row r="91" spans="2:12" x14ac:dyDescent="0.55000000000000004">
      <c r="B91" s="764"/>
      <c r="C91" s="872"/>
      <c r="D91" s="758" t="s">
        <v>140</v>
      </c>
      <c r="E91" s="678">
        <v>38</v>
      </c>
      <c r="F91" s="765">
        <v>842</v>
      </c>
      <c r="G91" s="760"/>
      <c r="H91" s="761">
        <f t="shared" si="12"/>
        <v>1.7105263157894737</v>
      </c>
      <c r="I91" s="762">
        <v>65</v>
      </c>
      <c r="J91" s="678">
        <v>700</v>
      </c>
      <c r="K91" s="763">
        <f t="shared" si="11"/>
        <v>45500</v>
      </c>
      <c r="L91" s="678"/>
    </row>
    <row r="92" spans="2:12" x14ac:dyDescent="0.55000000000000004">
      <c r="B92" s="764"/>
      <c r="C92" s="872"/>
      <c r="D92" s="758" t="s">
        <v>141</v>
      </c>
      <c r="E92" s="678">
        <v>38</v>
      </c>
      <c r="F92" s="765">
        <v>844</v>
      </c>
      <c r="G92" s="760"/>
      <c r="H92" s="761">
        <f t="shared" si="12"/>
        <v>1.7105263157894737</v>
      </c>
      <c r="I92" s="762">
        <v>65</v>
      </c>
      <c r="J92" s="678">
        <v>700</v>
      </c>
      <c r="K92" s="763">
        <f t="shared" si="11"/>
        <v>45500</v>
      </c>
      <c r="L92" s="678"/>
    </row>
    <row r="93" spans="2:12" x14ac:dyDescent="0.55000000000000004">
      <c r="B93" s="865" t="s">
        <v>25</v>
      </c>
      <c r="C93" s="866"/>
      <c r="D93" s="867"/>
      <c r="E93" s="771">
        <f>SUM(E74:E92)</f>
        <v>1864</v>
      </c>
      <c r="F93" s="771">
        <f>SUM(F74:F92)</f>
        <v>43201</v>
      </c>
      <c r="G93" s="771">
        <f>SUM(G74:G92)</f>
        <v>44</v>
      </c>
      <c r="H93" s="772">
        <f>I93/E93</f>
        <v>3.1287553648068669</v>
      </c>
      <c r="I93" s="771">
        <f>SUM(I74:I92)</f>
        <v>5832</v>
      </c>
      <c r="J93" s="775">
        <f>AVERAGE(J74:J92)</f>
        <v>569.47368421052636</v>
      </c>
      <c r="K93" s="774">
        <f>SUM(K74:K92)</f>
        <v>3046490</v>
      </c>
      <c r="L93" s="773"/>
    </row>
    <row r="94" spans="2:12" x14ac:dyDescent="0.55000000000000004">
      <c r="B94" s="874" t="s">
        <v>382</v>
      </c>
      <c r="C94" s="874"/>
      <c r="D94" s="874"/>
      <c r="E94" s="766">
        <f>E93+E73</f>
        <v>3973</v>
      </c>
      <c r="F94" s="766">
        <f>F93+F73</f>
        <v>93751</v>
      </c>
      <c r="G94" s="768"/>
      <c r="H94" s="777">
        <f>I94/E94</f>
        <v>2.8326201862572362</v>
      </c>
      <c r="I94" s="769">
        <f>I93+I73</f>
        <v>11254</v>
      </c>
      <c r="J94" s="776">
        <f>AVERAGE(J93,J73)</f>
        <v>623.37320574162686</v>
      </c>
      <c r="K94" s="767">
        <f>K93+K73</f>
        <v>5578090</v>
      </c>
      <c r="L94" s="768"/>
    </row>
    <row r="95" spans="2:12" x14ac:dyDescent="0.55000000000000004">
      <c r="B95" s="874" t="s">
        <v>383</v>
      </c>
      <c r="C95" s="874"/>
      <c r="D95" s="874"/>
      <c r="E95" s="766">
        <f>E56+E52+E44+E29+E21</f>
        <v>4698</v>
      </c>
      <c r="F95" s="766">
        <f>F56+F52+F44+F29+F21</f>
        <v>113049</v>
      </c>
      <c r="G95" s="768"/>
      <c r="H95" s="777">
        <f>I95/E95</f>
        <v>2.6340996168582373</v>
      </c>
      <c r="I95" s="769">
        <f>I56+I52+I44+I29+I21</f>
        <v>12375</v>
      </c>
      <c r="J95" s="776">
        <f>AVERAGE(J21,J29,J44,J52,J56)</f>
        <v>690.23809523809518</v>
      </c>
      <c r="K95" s="767">
        <f>K56+K52+K44+K29+K21</f>
        <v>7449610</v>
      </c>
      <c r="L95" s="768"/>
    </row>
    <row r="96" spans="2:12" x14ac:dyDescent="0.55000000000000004">
      <c r="B96" s="874" t="s">
        <v>384</v>
      </c>
      <c r="C96" s="874"/>
      <c r="D96" s="874"/>
      <c r="E96" s="766">
        <f>SUM(E94:E95)</f>
        <v>8671</v>
      </c>
      <c r="F96" s="767">
        <f>SUM(F94:F95)</f>
        <v>206800</v>
      </c>
      <c r="G96" s="768"/>
      <c r="H96" s="777">
        <f>I96/E96</f>
        <v>2.7250605466497522</v>
      </c>
      <c r="I96" s="769">
        <f>SUM(I94:I95)</f>
        <v>23629</v>
      </c>
      <c r="J96" s="776">
        <f>AVERAGE(J94:J95)</f>
        <v>656.80565048986102</v>
      </c>
      <c r="K96" s="767">
        <f>SUM(K94:K95)</f>
        <v>13027700</v>
      </c>
      <c r="L96" s="768"/>
    </row>
  </sheetData>
  <mergeCells count="31">
    <mergeCell ref="N3:R3"/>
    <mergeCell ref="B96:D96"/>
    <mergeCell ref="B1:L1"/>
    <mergeCell ref="B21:D21"/>
    <mergeCell ref="C5:C20"/>
    <mergeCell ref="B4:L4"/>
    <mergeCell ref="C22:C28"/>
    <mergeCell ref="B29:D29"/>
    <mergeCell ref="C30:C43"/>
    <mergeCell ref="B94:D94"/>
    <mergeCell ref="B95:D95"/>
    <mergeCell ref="B44:D44"/>
    <mergeCell ref="C45:C51"/>
    <mergeCell ref="B52:D52"/>
    <mergeCell ref="C53:C55"/>
    <mergeCell ref="C74:C92"/>
    <mergeCell ref="B93:D93"/>
    <mergeCell ref="B57:L57"/>
    <mergeCell ref="C58:C72"/>
    <mergeCell ref="B56:D56"/>
    <mergeCell ref="B73:D73"/>
    <mergeCell ref="L2:L3"/>
    <mergeCell ref="B2:B3"/>
    <mergeCell ref="C2:C3"/>
    <mergeCell ref="D2:D3"/>
    <mergeCell ref="E2:E3"/>
    <mergeCell ref="F2:F3"/>
    <mergeCell ref="H2:H3"/>
    <mergeCell ref="I2:I3"/>
    <mergeCell ref="J2:J3"/>
    <mergeCell ref="K2:K3"/>
  </mergeCells>
  <pageMargins left="0.39370078740157483" right="0.23622047244094491" top="0.35433070866141736" bottom="0.35433070866141736" header="0.31496062992125984" footer="0.70866141732283472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FD248"/>
  <sheetViews>
    <sheetView zoomScale="70" zoomScaleNormal="70" workbookViewId="0">
      <pane ySplit="5" topLeftCell="A6" activePane="bottomLeft" state="frozen"/>
      <selection pane="bottomLeft" activeCell="I12" sqref="I12"/>
    </sheetView>
  </sheetViews>
  <sheetFormatPr defaultRowHeight="24" x14ac:dyDescent="0.55000000000000004"/>
  <cols>
    <col min="1" max="1" width="12" customWidth="1"/>
    <col min="2" max="2" width="9.625" customWidth="1"/>
    <col min="3" max="3" width="10.375" customWidth="1"/>
    <col min="4" max="4" width="8.625" style="150" customWidth="1"/>
    <col min="5" max="5" width="9.5" style="150" customWidth="1"/>
    <col min="6" max="6" width="8.625" style="150" customWidth="1"/>
    <col min="7" max="7" width="9.5" style="150" customWidth="1"/>
    <col min="8" max="8" width="9.25" style="150" customWidth="1"/>
    <col min="9" max="9" width="8.125" style="150" customWidth="1"/>
    <col min="10" max="11" width="8.75" style="150" customWidth="1"/>
    <col min="12" max="12" width="9.75" style="150" customWidth="1"/>
    <col min="13" max="14" width="10.25" style="150" customWidth="1"/>
    <col min="15" max="15" width="8.25" style="150" customWidth="1"/>
    <col min="16" max="16" width="8.5" style="150" customWidth="1"/>
    <col min="17" max="17" width="8.625" style="150" customWidth="1"/>
    <col min="18" max="18" width="8.5" style="150" customWidth="1"/>
    <col min="19" max="19" width="7.625" style="150" customWidth="1"/>
    <col min="20" max="20" width="9.375" style="150" customWidth="1"/>
    <col min="21" max="21" width="10.625" style="150" bestFit="1" customWidth="1"/>
    <col min="22" max="22" width="9.875" style="150" bestFit="1" customWidth="1"/>
    <col min="23" max="23" width="11.75" style="150" customWidth="1"/>
    <col min="24" max="24" width="12.125" style="150" customWidth="1"/>
    <col min="25" max="25" width="11.75" style="150" customWidth="1"/>
    <col min="26" max="26" width="12.125" style="150" customWidth="1"/>
    <col min="27" max="27" width="11.75" style="150" customWidth="1"/>
    <col min="28" max="29" width="12.875" style="150" customWidth="1"/>
    <col min="30" max="30" width="13.25" style="150" customWidth="1"/>
    <col min="31" max="32" width="12.875" style="150" customWidth="1"/>
    <col min="33" max="33" width="13" style="150" customWidth="1"/>
    <col min="34" max="40" width="12.875" style="150" customWidth="1"/>
    <col min="41" max="41" width="13" style="150" customWidth="1"/>
    <col min="42" max="44" width="12.875" style="150" customWidth="1"/>
    <col min="45" max="45" width="8.75" customWidth="1"/>
    <col min="47" max="47" width="8" customWidth="1"/>
    <col min="48" max="48" width="11.375" customWidth="1"/>
  </cols>
  <sheetData>
    <row r="1" spans="1:133" ht="31.5" thickBot="1" x14ac:dyDescent="0.6">
      <c r="A1" s="1032" t="s">
        <v>0</v>
      </c>
      <c r="B1" s="1032"/>
      <c r="C1" s="1032"/>
      <c r="D1" s="1032"/>
      <c r="E1" s="1032"/>
      <c r="F1" s="1032"/>
      <c r="G1" s="1032"/>
      <c r="H1" s="1032"/>
      <c r="I1" s="1032"/>
      <c r="J1" s="1032"/>
      <c r="K1" s="1032"/>
      <c r="L1" s="1032"/>
      <c r="M1" s="1032"/>
      <c r="N1" s="1032"/>
      <c r="O1" s="1032"/>
      <c r="P1" s="1032"/>
      <c r="Q1" s="1032"/>
      <c r="R1" s="1032"/>
      <c r="S1" s="1032"/>
      <c r="T1" s="1032"/>
      <c r="U1" s="1032"/>
      <c r="V1" s="1032"/>
      <c r="W1" s="1032"/>
      <c r="X1" s="1032"/>
      <c r="Y1" s="1032"/>
      <c r="Z1" s="1032"/>
      <c r="AA1" s="1032"/>
      <c r="AB1" s="1032"/>
      <c r="AC1" s="1032"/>
      <c r="AD1" s="1032"/>
      <c r="AE1" s="1032"/>
      <c r="AF1" s="1032"/>
      <c r="AG1" s="1032"/>
      <c r="AH1" s="1032"/>
      <c r="AI1" s="1032"/>
      <c r="AJ1" s="1032"/>
      <c r="AK1" s="1032"/>
      <c r="AL1" s="1032"/>
      <c r="AM1" s="1032"/>
      <c r="AN1" s="1032"/>
      <c r="AO1" s="1032"/>
      <c r="AP1" s="1032"/>
      <c r="AQ1" s="1032"/>
      <c r="AR1" s="1032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133" ht="27" customHeight="1" thickBot="1" x14ac:dyDescent="0.6">
      <c r="A2" s="1019" t="s">
        <v>47</v>
      </c>
      <c r="B2" s="1022" t="s">
        <v>1</v>
      </c>
      <c r="C2" s="1025" t="s">
        <v>2</v>
      </c>
      <c r="D2" s="1028" t="s">
        <v>3</v>
      </c>
      <c r="E2" s="1028"/>
      <c r="F2" s="1028"/>
      <c r="G2" s="1003" t="s">
        <v>4</v>
      </c>
      <c r="H2" s="1004"/>
      <c r="I2" s="1029"/>
      <c r="J2" s="1003" t="s">
        <v>5</v>
      </c>
      <c r="K2" s="1004"/>
      <c r="L2" s="1005"/>
      <c r="M2" s="983" t="s">
        <v>6</v>
      </c>
      <c r="N2" s="981"/>
      <c r="O2" s="981"/>
      <c r="P2" s="981"/>
      <c r="Q2" s="981"/>
      <c r="R2" s="981"/>
      <c r="S2" s="981"/>
      <c r="T2" s="981"/>
      <c r="U2" s="983" t="s">
        <v>7</v>
      </c>
      <c r="V2" s="981"/>
      <c r="W2" s="981"/>
      <c r="X2" s="981"/>
      <c r="Y2" s="981"/>
      <c r="Z2" s="981"/>
      <c r="AA2" s="981"/>
      <c r="AB2" s="982"/>
      <c r="AC2" s="981" t="s">
        <v>59</v>
      </c>
      <c r="AD2" s="981"/>
      <c r="AE2" s="981"/>
      <c r="AF2" s="981"/>
      <c r="AG2" s="981"/>
      <c r="AH2" s="981"/>
      <c r="AI2" s="981"/>
      <c r="AJ2" s="982"/>
      <c r="AK2" s="983" t="s">
        <v>8</v>
      </c>
      <c r="AL2" s="981"/>
      <c r="AM2" s="981"/>
      <c r="AN2" s="981"/>
      <c r="AO2" s="981"/>
      <c r="AP2" s="981"/>
      <c r="AQ2" s="981"/>
      <c r="AR2" s="982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</row>
    <row r="3" spans="1:133" ht="26.25" customHeight="1" x14ac:dyDescent="0.55000000000000004">
      <c r="A3" s="1020"/>
      <c r="B3" s="1023"/>
      <c r="C3" s="1026"/>
      <c r="D3" s="1040" t="s">
        <v>9</v>
      </c>
      <c r="E3" s="1041"/>
      <c r="F3" s="1042"/>
      <c r="G3" s="1046" t="s">
        <v>10</v>
      </c>
      <c r="H3" s="1047" t="s">
        <v>11</v>
      </c>
      <c r="I3" s="1048" t="s">
        <v>12</v>
      </c>
      <c r="J3" s="1049" t="s">
        <v>10</v>
      </c>
      <c r="K3" s="988" t="s">
        <v>11</v>
      </c>
      <c r="L3" s="1030" t="s">
        <v>12</v>
      </c>
      <c r="M3" s="1002" t="s">
        <v>10</v>
      </c>
      <c r="N3" s="1001"/>
      <c r="O3" s="984" t="s">
        <v>11</v>
      </c>
      <c r="P3" s="985"/>
      <c r="Q3" s="986"/>
      <c r="R3" s="984" t="s">
        <v>12</v>
      </c>
      <c r="S3" s="985"/>
      <c r="T3" s="985"/>
      <c r="U3" s="1033" t="s">
        <v>10</v>
      </c>
      <c r="V3" s="986"/>
      <c r="W3" s="984" t="s">
        <v>11</v>
      </c>
      <c r="X3" s="985"/>
      <c r="Y3" s="986"/>
      <c r="Z3" s="984" t="s">
        <v>12</v>
      </c>
      <c r="AA3" s="985"/>
      <c r="AB3" s="1000"/>
      <c r="AC3" s="986" t="s">
        <v>10</v>
      </c>
      <c r="AD3" s="1001"/>
      <c r="AE3" s="984" t="s">
        <v>11</v>
      </c>
      <c r="AF3" s="985"/>
      <c r="AG3" s="986"/>
      <c r="AH3" s="984" t="s">
        <v>12</v>
      </c>
      <c r="AI3" s="985"/>
      <c r="AJ3" s="1000"/>
      <c r="AK3" s="1002" t="s">
        <v>10</v>
      </c>
      <c r="AL3" s="1001"/>
      <c r="AM3" s="984" t="s">
        <v>11</v>
      </c>
      <c r="AN3" s="985"/>
      <c r="AO3" s="986"/>
      <c r="AP3" s="984" t="s">
        <v>12</v>
      </c>
      <c r="AQ3" s="985"/>
      <c r="AR3" s="1000"/>
      <c r="AS3" s="1"/>
      <c r="AT3" s="1072" t="s">
        <v>415</v>
      </c>
      <c r="AU3" s="1072"/>
      <c r="AV3" s="1072"/>
      <c r="AW3" s="1072"/>
      <c r="AX3" s="1072"/>
      <c r="AY3" s="1072"/>
      <c r="AZ3" s="1072"/>
      <c r="BA3" s="1072"/>
      <c r="BB3" s="1072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</row>
    <row r="4" spans="1:133" ht="24" customHeight="1" x14ac:dyDescent="0.55000000000000004">
      <c r="A4" s="1020"/>
      <c r="B4" s="1023"/>
      <c r="C4" s="1026"/>
      <c r="D4" s="1043"/>
      <c r="E4" s="1044"/>
      <c r="F4" s="1045"/>
      <c r="G4" s="991"/>
      <c r="H4" s="993"/>
      <c r="I4" s="989"/>
      <c r="J4" s="1049"/>
      <c r="K4" s="988"/>
      <c r="L4" s="1030"/>
      <c r="M4" s="991" t="s">
        <v>13</v>
      </c>
      <c r="N4" s="995" t="s">
        <v>14</v>
      </c>
      <c r="O4" s="993" t="s">
        <v>15</v>
      </c>
      <c r="P4" s="993" t="s">
        <v>16</v>
      </c>
      <c r="Q4" s="987" t="s">
        <v>17</v>
      </c>
      <c r="R4" s="993" t="s">
        <v>18</v>
      </c>
      <c r="S4" s="987" t="s">
        <v>19</v>
      </c>
      <c r="T4" s="1038" t="s">
        <v>20</v>
      </c>
      <c r="U4" s="1034" t="s">
        <v>13</v>
      </c>
      <c r="V4" s="1036" t="s">
        <v>14</v>
      </c>
      <c r="W4" s="987" t="s">
        <v>15</v>
      </c>
      <c r="X4" s="987" t="s">
        <v>16</v>
      </c>
      <c r="Y4" s="987" t="s">
        <v>17</v>
      </c>
      <c r="Z4" s="987" t="s">
        <v>18</v>
      </c>
      <c r="AA4" s="987" t="s">
        <v>19</v>
      </c>
      <c r="AB4" s="998" t="s">
        <v>20</v>
      </c>
      <c r="AC4" s="995" t="s">
        <v>13</v>
      </c>
      <c r="AD4" s="995" t="s">
        <v>14</v>
      </c>
      <c r="AE4" s="993" t="s">
        <v>15</v>
      </c>
      <c r="AF4" s="993" t="s">
        <v>16</v>
      </c>
      <c r="AG4" s="987" t="s">
        <v>17</v>
      </c>
      <c r="AH4" s="993" t="s">
        <v>18</v>
      </c>
      <c r="AI4" s="987" t="s">
        <v>19</v>
      </c>
      <c r="AJ4" s="989" t="s">
        <v>20</v>
      </c>
      <c r="AK4" s="991" t="s">
        <v>13</v>
      </c>
      <c r="AL4" s="993" t="s">
        <v>14</v>
      </c>
      <c r="AM4" s="993" t="s">
        <v>15</v>
      </c>
      <c r="AN4" s="993" t="s">
        <v>16</v>
      </c>
      <c r="AO4" s="987" t="s">
        <v>17</v>
      </c>
      <c r="AP4" s="993" t="s">
        <v>18</v>
      </c>
      <c r="AQ4" s="987" t="s">
        <v>19</v>
      </c>
      <c r="AR4" s="989" t="s">
        <v>20</v>
      </c>
      <c r="AS4" s="1"/>
      <c r="AT4" s="812"/>
      <c r="AU4" s="812"/>
      <c r="AV4" s="812" t="s">
        <v>416</v>
      </c>
      <c r="AW4" s="812"/>
      <c r="AX4" s="812"/>
      <c r="AY4" s="812"/>
      <c r="AZ4" s="812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</row>
    <row r="5" spans="1:133" ht="31.5" thickBot="1" x14ac:dyDescent="0.6">
      <c r="A5" s="1021"/>
      <c r="B5" s="1024"/>
      <c r="C5" s="1027"/>
      <c r="D5" s="2" t="s">
        <v>10</v>
      </c>
      <c r="E5" s="3" t="s">
        <v>11</v>
      </c>
      <c r="F5" s="3" t="s">
        <v>12</v>
      </c>
      <c r="G5" s="992"/>
      <c r="H5" s="994"/>
      <c r="I5" s="990"/>
      <c r="J5" s="1035"/>
      <c r="K5" s="997"/>
      <c r="L5" s="1031"/>
      <c r="M5" s="992"/>
      <c r="N5" s="996"/>
      <c r="O5" s="994"/>
      <c r="P5" s="994"/>
      <c r="Q5" s="997"/>
      <c r="R5" s="994"/>
      <c r="S5" s="997"/>
      <c r="T5" s="1039"/>
      <c r="U5" s="1035"/>
      <c r="V5" s="1037"/>
      <c r="W5" s="997"/>
      <c r="X5" s="997"/>
      <c r="Y5" s="997"/>
      <c r="Z5" s="997"/>
      <c r="AA5" s="997"/>
      <c r="AB5" s="999"/>
      <c r="AC5" s="996"/>
      <c r="AD5" s="996"/>
      <c r="AE5" s="994"/>
      <c r="AF5" s="994"/>
      <c r="AG5" s="997"/>
      <c r="AH5" s="994"/>
      <c r="AI5" s="988"/>
      <c r="AJ5" s="990"/>
      <c r="AK5" s="992"/>
      <c r="AL5" s="994"/>
      <c r="AM5" s="994"/>
      <c r="AN5" s="994"/>
      <c r="AO5" s="997"/>
      <c r="AP5" s="994"/>
      <c r="AQ5" s="988"/>
      <c r="AR5" s="990"/>
      <c r="AS5" s="1"/>
      <c r="AT5" s="1"/>
      <c r="AU5" s="1"/>
      <c r="AV5" s="812" t="s">
        <v>417</v>
      </c>
      <c r="AW5" s="812"/>
      <c r="AX5" s="812"/>
      <c r="AY5" s="812"/>
      <c r="AZ5" s="812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</row>
    <row r="6" spans="1:133" s="179" customFormat="1" ht="39.950000000000003" customHeight="1" thickBot="1" x14ac:dyDescent="0.6">
      <c r="A6" s="1009" t="s">
        <v>21</v>
      </c>
      <c r="B6" s="1010"/>
      <c r="C6" s="1010"/>
      <c r="D6" s="1010"/>
      <c r="E6" s="1010"/>
      <c r="F6" s="1010"/>
      <c r="G6" s="1010"/>
      <c r="H6" s="1010"/>
      <c r="I6" s="1010"/>
      <c r="J6" s="1010"/>
      <c r="K6" s="1010"/>
      <c r="L6" s="1010"/>
      <c r="M6" s="1010"/>
      <c r="N6" s="1010"/>
      <c r="O6" s="1010"/>
      <c r="P6" s="1010"/>
      <c r="Q6" s="1010"/>
      <c r="R6" s="1010"/>
      <c r="S6" s="1010"/>
      <c r="T6" s="1010"/>
      <c r="U6" s="1010"/>
      <c r="V6" s="1010"/>
      <c r="W6" s="1010"/>
      <c r="X6" s="1010"/>
      <c r="Y6" s="1010"/>
      <c r="Z6" s="1010"/>
      <c r="AA6" s="1010"/>
      <c r="AB6" s="1010"/>
      <c r="AC6" s="1010"/>
      <c r="AD6" s="1010"/>
      <c r="AE6" s="1010"/>
      <c r="AF6" s="1010"/>
      <c r="AG6" s="1010"/>
      <c r="AH6" s="1010"/>
      <c r="AI6" s="1010"/>
      <c r="AJ6" s="1010"/>
      <c r="AK6" s="1010"/>
      <c r="AL6" s="1010"/>
      <c r="AM6" s="1010"/>
      <c r="AN6" s="1010"/>
      <c r="AO6" s="1010"/>
      <c r="AP6" s="1010"/>
      <c r="AQ6" s="1010"/>
      <c r="AR6" s="1011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178"/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  <c r="CL6" s="178"/>
      <c r="CM6" s="178"/>
      <c r="CN6" s="178"/>
      <c r="CO6" s="178"/>
      <c r="CP6" s="178"/>
      <c r="CQ6" s="178"/>
      <c r="CR6" s="178"/>
      <c r="CS6" s="178"/>
      <c r="CT6" s="178"/>
      <c r="CU6" s="178"/>
      <c r="CV6" s="178"/>
      <c r="CW6" s="178"/>
      <c r="CX6" s="178"/>
      <c r="CY6" s="178"/>
      <c r="CZ6" s="178"/>
      <c r="DA6" s="178"/>
      <c r="DB6" s="178"/>
      <c r="DC6" s="178"/>
      <c r="DD6" s="178"/>
      <c r="DE6" s="178"/>
      <c r="DF6" s="178"/>
      <c r="DG6" s="178"/>
      <c r="DH6" s="178"/>
      <c r="DI6" s="178"/>
      <c r="DJ6" s="178"/>
      <c r="DK6" s="178"/>
      <c r="DL6" s="178"/>
      <c r="DM6" s="178"/>
      <c r="DN6" s="178"/>
      <c r="DO6" s="178"/>
      <c r="DP6" s="178"/>
      <c r="DQ6" s="178"/>
      <c r="DR6" s="178"/>
      <c r="DS6" s="178"/>
      <c r="DT6" s="178"/>
      <c r="DU6" s="178"/>
      <c r="DV6" s="178"/>
      <c r="DW6" s="178"/>
      <c r="DX6" s="178"/>
      <c r="DY6" s="178"/>
      <c r="DZ6" s="178"/>
      <c r="EA6" s="178"/>
      <c r="EB6" s="178"/>
      <c r="EC6" s="178"/>
    </row>
    <row r="7" spans="1:133" s="179" customFormat="1" ht="39.950000000000003" customHeight="1" thickBot="1" x14ac:dyDescent="0.6">
      <c r="A7" s="1006" t="s">
        <v>22</v>
      </c>
      <c r="B7" s="1007"/>
      <c r="C7" s="1007"/>
      <c r="D7" s="1007"/>
      <c r="E7" s="1007"/>
      <c r="F7" s="1007"/>
      <c r="G7" s="1007"/>
      <c r="H7" s="1007"/>
      <c r="I7" s="1007"/>
      <c r="J7" s="1007"/>
      <c r="K7" s="1007"/>
      <c r="L7" s="1007"/>
      <c r="M7" s="1007"/>
      <c r="N7" s="1007"/>
      <c r="O7" s="1007"/>
      <c r="P7" s="1007"/>
      <c r="Q7" s="1007"/>
      <c r="R7" s="1007"/>
      <c r="S7" s="1007"/>
      <c r="T7" s="1007"/>
      <c r="U7" s="1007"/>
      <c r="V7" s="1007"/>
      <c r="W7" s="1007"/>
      <c r="X7" s="1007"/>
      <c r="Y7" s="1007"/>
      <c r="Z7" s="1007"/>
      <c r="AA7" s="1007"/>
      <c r="AB7" s="1007"/>
      <c r="AC7" s="1007"/>
      <c r="AD7" s="1007"/>
      <c r="AE7" s="1007"/>
      <c r="AF7" s="1007"/>
      <c r="AG7" s="1007"/>
      <c r="AH7" s="1007"/>
      <c r="AI7" s="1007"/>
      <c r="AJ7" s="1007"/>
      <c r="AK7" s="1007"/>
      <c r="AL7" s="1007"/>
      <c r="AM7" s="1007"/>
      <c r="AN7" s="1007"/>
      <c r="AO7" s="1007"/>
      <c r="AP7" s="1007"/>
      <c r="AQ7" s="1007"/>
      <c r="AR7" s="100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78"/>
      <c r="BH7" s="178"/>
      <c r="BI7" s="178"/>
      <c r="BJ7" s="178"/>
      <c r="BK7" s="178"/>
      <c r="BL7" s="178"/>
      <c r="BM7" s="178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  <c r="CL7" s="178"/>
      <c r="CM7" s="178"/>
      <c r="CN7" s="178"/>
      <c r="CO7" s="178"/>
      <c r="CP7" s="178"/>
      <c r="CQ7" s="178"/>
      <c r="CR7" s="178"/>
      <c r="CS7" s="178"/>
      <c r="CT7" s="178"/>
      <c r="CU7" s="178"/>
      <c r="CV7" s="178"/>
      <c r="CW7" s="178"/>
      <c r="CX7" s="178"/>
      <c r="CY7" s="178"/>
      <c r="CZ7" s="178"/>
      <c r="DA7" s="178"/>
      <c r="DB7" s="178"/>
      <c r="DC7" s="178"/>
      <c r="DD7" s="178"/>
      <c r="DE7" s="178"/>
      <c r="DF7" s="178"/>
      <c r="DG7" s="178"/>
      <c r="DH7" s="178"/>
      <c r="DI7" s="178"/>
      <c r="DJ7" s="178"/>
      <c r="DK7" s="178"/>
      <c r="DL7" s="178"/>
      <c r="DM7" s="178"/>
      <c r="DN7" s="178"/>
      <c r="DO7" s="178"/>
      <c r="DP7" s="178"/>
      <c r="DQ7" s="178"/>
      <c r="DR7" s="178"/>
      <c r="DS7" s="178"/>
      <c r="DT7" s="178"/>
      <c r="DU7" s="178"/>
      <c r="DV7" s="178"/>
      <c r="DW7" s="178"/>
      <c r="DX7" s="178"/>
      <c r="DY7" s="178"/>
      <c r="DZ7" s="178"/>
      <c r="EA7" s="178"/>
      <c r="EB7" s="178"/>
      <c r="EC7" s="178"/>
    </row>
    <row r="8" spans="1:133" x14ac:dyDescent="0.55000000000000004">
      <c r="A8" s="4" t="s">
        <v>23</v>
      </c>
      <c r="B8" s="5">
        <v>102</v>
      </c>
      <c r="C8" s="6">
        <v>2243</v>
      </c>
      <c r="D8" s="7">
        <v>1</v>
      </c>
      <c r="E8" s="8">
        <v>0</v>
      </c>
      <c r="F8" s="8">
        <v>0</v>
      </c>
      <c r="G8" s="10">
        <v>5</v>
      </c>
      <c r="H8" s="10">
        <f>0</f>
        <v>0</v>
      </c>
      <c r="I8" s="10">
        <f>0</f>
        <v>0</v>
      </c>
      <c r="J8" s="10">
        <v>1.1000000000000001</v>
      </c>
      <c r="K8" s="10">
        <v>2</v>
      </c>
      <c r="L8" s="11">
        <v>1.7</v>
      </c>
      <c r="M8" s="9">
        <f>ROUND(C8*G8/1000,0)</f>
        <v>11</v>
      </c>
      <c r="N8" s="46"/>
      <c r="O8" s="10"/>
      <c r="P8" s="10"/>
      <c r="Q8" s="10"/>
      <c r="R8" s="12"/>
      <c r="S8" s="10"/>
      <c r="T8" s="48"/>
      <c r="U8" s="9">
        <f>ROUND(C8*J8,0)</f>
        <v>2467</v>
      </c>
      <c r="V8" s="46"/>
      <c r="W8" s="10"/>
      <c r="X8" s="10"/>
      <c r="Y8" s="10"/>
      <c r="Z8" s="10"/>
      <c r="AA8" s="12"/>
      <c r="AB8" s="11"/>
      <c r="AC8" s="46">
        <f>ROUND(M8*95,0)</f>
        <v>1045</v>
      </c>
      <c r="AD8" s="46"/>
      <c r="AE8" s="10"/>
      <c r="AF8" s="10"/>
      <c r="AG8" s="10"/>
      <c r="AH8" s="12"/>
      <c r="AI8" s="10"/>
      <c r="AJ8" s="47"/>
      <c r="AK8" s="168">
        <f>U8+AC8</f>
        <v>3512</v>
      </c>
      <c r="AL8" s="10">
        <f>V8+AD8</f>
        <v>0</v>
      </c>
      <c r="AM8" s="10"/>
      <c r="AN8" s="10"/>
      <c r="AO8" s="10"/>
      <c r="AP8" s="10"/>
      <c r="AQ8" s="10"/>
      <c r="AR8" s="47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</row>
    <row r="9" spans="1:133" x14ac:dyDescent="0.55000000000000004">
      <c r="A9" s="19" t="s">
        <v>24</v>
      </c>
      <c r="B9" s="20">
        <v>113</v>
      </c>
      <c r="C9" s="21">
        <v>2494</v>
      </c>
      <c r="D9" s="22">
        <v>1</v>
      </c>
      <c r="E9" s="52">
        <v>0</v>
      </c>
      <c r="F9" s="52">
        <v>0</v>
      </c>
      <c r="G9" s="14">
        <v>5</v>
      </c>
      <c r="H9" s="14">
        <f>0</f>
        <v>0</v>
      </c>
      <c r="I9" s="14">
        <f>0</f>
        <v>0</v>
      </c>
      <c r="J9" s="14">
        <v>1.1000000000000001</v>
      </c>
      <c r="K9" s="14">
        <v>2</v>
      </c>
      <c r="L9" s="23">
        <v>1.7</v>
      </c>
      <c r="M9" s="13">
        <f>ROUND(C9*G9/1000,0)</f>
        <v>12</v>
      </c>
      <c r="N9" s="17"/>
      <c r="O9" s="14"/>
      <c r="P9" s="14"/>
      <c r="Q9" s="14"/>
      <c r="R9" s="15"/>
      <c r="S9" s="14"/>
      <c r="T9" s="18"/>
      <c r="U9" s="13">
        <f>ROUND(C9*J9,0)</f>
        <v>2743</v>
      </c>
      <c r="V9" s="17"/>
      <c r="W9" s="14"/>
      <c r="X9" s="14"/>
      <c r="Y9" s="14"/>
      <c r="Z9" s="14"/>
      <c r="AA9" s="15"/>
      <c r="AB9" s="23"/>
      <c r="AC9" s="46">
        <f t="shared" ref="AC9" si="0">ROUND(M9*95,0)</f>
        <v>1140</v>
      </c>
      <c r="AD9" s="17"/>
      <c r="AE9" s="14"/>
      <c r="AF9" s="14"/>
      <c r="AG9" s="14"/>
      <c r="AH9" s="15"/>
      <c r="AI9" s="14"/>
      <c r="AJ9" s="16"/>
      <c r="AK9" s="100">
        <f>U9+AC9</f>
        <v>3883</v>
      </c>
      <c r="AL9" s="14">
        <f t="shared" ref="AL9:AL24" si="1">V9+AD9</f>
        <v>0</v>
      </c>
      <c r="AM9" s="14"/>
      <c r="AN9" s="14"/>
      <c r="AO9" s="14"/>
      <c r="AP9" s="14"/>
      <c r="AQ9" s="14"/>
      <c r="AR9" s="16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</row>
    <row r="10" spans="1:133" x14ac:dyDescent="0.55000000000000004">
      <c r="A10" s="19" t="s">
        <v>50</v>
      </c>
      <c r="B10" s="20">
        <v>9</v>
      </c>
      <c r="C10" s="21">
        <v>213</v>
      </c>
      <c r="D10" s="22">
        <v>1</v>
      </c>
      <c r="E10" s="52">
        <f>0</f>
        <v>0</v>
      </c>
      <c r="F10" s="52">
        <f>0</f>
        <v>0</v>
      </c>
      <c r="G10" s="14">
        <v>5</v>
      </c>
      <c r="H10" s="14">
        <f>0</f>
        <v>0</v>
      </c>
      <c r="I10" s="14">
        <f>0</f>
        <v>0</v>
      </c>
      <c r="J10" s="14">
        <v>1.1000000000000001</v>
      </c>
      <c r="K10" s="14">
        <v>2</v>
      </c>
      <c r="L10" s="23">
        <v>1.7</v>
      </c>
      <c r="M10" s="13">
        <f>ROUND(C10*G10/1000,0)</f>
        <v>1</v>
      </c>
      <c r="N10" s="17"/>
      <c r="O10" s="14"/>
      <c r="P10" s="14"/>
      <c r="Q10" s="14"/>
      <c r="R10" s="15"/>
      <c r="S10" s="14"/>
      <c r="T10" s="18"/>
      <c r="U10" s="13">
        <f>ROUND(C10*J10,0)</f>
        <v>234</v>
      </c>
      <c r="V10" s="17"/>
      <c r="W10" s="14"/>
      <c r="X10" s="14"/>
      <c r="Y10" s="14"/>
      <c r="Z10" s="14"/>
      <c r="AA10" s="15"/>
      <c r="AB10" s="23"/>
      <c r="AC10" s="46">
        <f>ROUND(M10*95,0)</f>
        <v>95</v>
      </c>
      <c r="AD10" s="17"/>
      <c r="AE10" s="14"/>
      <c r="AF10" s="14"/>
      <c r="AG10" s="14"/>
      <c r="AH10" s="15"/>
      <c r="AI10" s="14"/>
      <c r="AJ10" s="16"/>
      <c r="AK10" s="100">
        <f>U10+AC10</f>
        <v>329</v>
      </c>
      <c r="AL10" s="14"/>
      <c r="AM10" s="14"/>
      <c r="AN10" s="14"/>
      <c r="AO10" s="14"/>
      <c r="AP10" s="14"/>
      <c r="AQ10" s="14"/>
      <c r="AR10" s="16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</row>
    <row r="11" spans="1:133" x14ac:dyDescent="0.55000000000000004">
      <c r="A11" s="19" t="s">
        <v>174</v>
      </c>
      <c r="B11" s="20">
        <v>111</v>
      </c>
      <c r="C11" s="21">
        <v>2449</v>
      </c>
      <c r="D11" s="22">
        <v>1</v>
      </c>
      <c r="E11" s="52">
        <f>0</f>
        <v>0</v>
      </c>
      <c r="F11" s="52">
        <f>0</f>
        <v>0</v>
      </c>
      <c r="G11" s="14">
        <v>5</v>
      </c>
      <c r="H11" s="14">
        <f>0</f>
        <v>0</v>
      </c>
      <c r="I11" s="14">
        <f>0</f>
        <v>0</v>
      </c>
      <c r="J11" s="14">
        <v>1.1000000000000001</v>
      </c>
      <c r="K11" s="14">
        <v>2</v>
      </c>
      <c r="L11" s="23">
        <v>1.7</v>
      </c>
      <c r="M11" s="13">
        <f t="shared" ref="M11:M21" si="2">ROUND(C11*G11/1000,0)</f>
        <v>12</v>
      </c>
      <c r="N11" s="17"/>
      <c r="O11" s="14"/>
      <c r="P11" s="14"/>
      <c r="Q11" s="14"/>
      <c r="R11" s="15"/>
      <c r="S11" s="14"/>
      <c r="T11" s="18"/>
      <c r="U11" s="13">
        <f t="shared" ref="U11:U21" si="3">ROUND(C11*J11,0)</f>
        <v>2694</v>
      </c>
      <c r="V11" s="17"/>
      <c r="W11" s="14"/>
      <c r="X11" s="14"/>
      <c r="Y11" s="14"/>
      <c r="Z11" s="14"/>
      <c r="AA11" s="15"/>
      <c r="AB11" s="23"/>
      <c r="AC11" s="46">
        <f t="shared" ref="AC11:AC21" si="4">ROUND(M11*95,0)</f>
        <v>1140</v>
      </c>
      <c r="AD11" s="17"/>
      <c r="AE11" s="14"/>
      <c r="AF11" s="14"/>
      <c r="AG11" s="14"/>
      <c r="AH11" s="15"/>
      <c r="AI11" s="14"/>
      <c r="AJ11" s="16"/>
      <c r="AK11" s="100">
        <f t="shared" ref="AK11:AK21" si="5">U11+AC11</f>
        <v>3834</v>
      </c>
      <c r="AL11" s="14"/>
      <c r="AM11" s="14"/>
      <c r="AN11" s="14"/>
      <c r="AO11" s="14"/>
      <c r="AP11" s="14"/>
      <c r="AQ11" s="14"/>
      <c r="AR11" s="16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</row>
    <row r="12" spans="1:133" x14ac:dyDescent="0.55000000000000004">
      <c r="A12" s="19" t="s">
        <v>175</v>
      </c>
      <c r="B12" s="20">
        <v>92</v>
      </c>
      <c r="C12" s="21">
        <v>2014</v>
      </c>
      <c r="D12" s="22">
        <v>1</v>
      </c>
      <c r="E12" s="52">
        <f>0</f>
        <v>0</v>
      </c>
      <c r="F12" s="52">
        <f>0</f>
        <v>0</v>
      </c>
      <c r="G12" s="14">
        <v>5</v>
      </c>
      <c r="H12" s="14">
        <f>0</f>
        <v>0</v>
      </c>
      <c r="I12" s="14">
        <f>0</f>
        <v>0</v>
      </c>
      <c r="J12" s="14">
        <v>1.1000000000000001</v>
      </c>
      <c r="K12" s="14">
        <v>2</v>
      </c>
      <c r="L12" s="23">
        <v>1.7</v>
      </c>
      <c r="M12" s="13">
        <f t="shared" si="2"/>
        <v>10</v>
      </c>
      <c r="N12" s="17"/>
      <c r="O12" s="14"/>
      <c r="P12" s="14"/>
      <c r="Q12" s="14"/>
      <c r="R12" s="15"/>
      <c r="S12" s="14"/>
      <c r="T12" s="18"/>
      <c r="U12" s="13">
        <f t="shared" si="3"/>
        <v>2215</v>
      </c>
      <c r="V12" s="17"/>
      <c r="W12" s="14"/>
      <c r="X12" s="14"/>
      <c r="Y12" s="14"/>
      <c r="Z12" s="14"/>
      <c r="AA12" s="15"/>
      <c r="AB12" s="23"/>
      <c r="AC12" s="46">
        <f t="shared" si="4"/>
        <v>950</v>
      </c>
      <c r="AD12" s="17"/>
      <c r="AE12" s="14"/>
      <c r="AF12" s="14"/>
      <c r="AG12" s="14"/>
      <c r="AH12" s="15"/>
      <c r="AI12" s="14"/>
      <c r="AJ12" s="16"/>
      <c r="AK12" s="100">
        <f t="shared" si="5"/>
        <v>3165</v>
      </c>
      <c r="AL12" s="14"/>
      <c r="AM12" s="14"/>
      <c r="AN12" s="14"/>
      <c r="AO12" s="14"/>
      <c r="AP12" s="14"/>
      <c r="AQ12" s="14"/>
      <c r="AR12" s="16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</row>
    <row r="13" spans="1:133" x14ac:dyDescent="0.55000000000000004">
      <c r="A13" s="19" t="s">
        <v>176</v>
      </c>
      <c r="B13" s="20">
        <v>132</v>
      </c>
      <c r="C13" s="21">
        <v>2898</v>
      </c>
      <c r="D13" s="22">
        <v>1</v>
      </c>
      <c r="E13" s="52">
        <f>0</f>
        <v>0</v>
      </c>
      <c r="F13" s="52">
        <f>0</f>
        <v>0</v>
      </c>
      <c r="G13" s="14">
        <v>5</v>
      </c>
      <c r="H13" s="14">
        <f>0</f>
        <v>0</v>
      </c>
      <c r="I13" s="14">
        <f>0</f>
        <v>0</v>
      </c>
      <c r="J13" s="14">
        <v>1.1000000000000001</v>
      </c>
      <c r="K13" s="14">
        <v>2</v>
      </c>
      <c r="L13" s="23">
        <v>1.7</v>
      </c>
      <c r="M13" s="13">
        <f t="shared" si="2"/>
        <v>14</v>
      </c>
      <c r="N13" s="17"/>
      <c r="O13" s="14"/>
      <c r="P13" s="14"/>
      <c r="Q13" s="14"/>
      <c r="R13" s="15"/>
      <c r="S13" s="14"/>
      <c r="T13" s="18"/>
      <c r="U13" s="13">
        <f t="shared" si="3"/>
        <v>3188</v>
      </c>
      <c r="V13" s="17"/>
      <c r="W13" s="14"/>
      <c r="X13" s="14"/>
      <c r="Y13" s="14"/>
      <c r="Z13" s="14"/>
      <c r="AA13" s="15"/>
      <c r="AB13" s="23"/>
      <c r="AC13" s="46">
        <f t="shared" si="4"/>
        <v>1330</v>
      </c>
      <c r="AD13" s="17"/>
      <c r="AE13" s="14"/>
      <c r="AF13" s="14"/>
      <c r="AG13" s="14"/>
      <c r="AH13" s="15"/>
      <c r="AI13" s="14"/>
      <c r="AJ13" s="16"/>
      <c r="AK13" s="100">
        <f t="shared" si="5"/>
        <v>4518</v>
      </c>
      <c r="AL13" s="14"/>
      <c r="AM13" s="14"/>
      <c r="AN13" s="14"/>
      <c r="AO13" s="14"/>
      <c r="AP13" s="14"/>
      <c r="AQ13" s="14"/>
      <c r="AR13" s="16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</row>
    <row r="14" spans="1:133" x14ac:dyDescent="0.55000000000000004">
      <c r="A14" s="19" t="s">
        <v>177</v>
      </c>
      <c r="B14" s="20">
        <v>107</v>
      </c>
      <c r="C14" s="21">
        <v>2364</v>
      </c>
      <c r="D14" s="22">
        <v>1</v>
      </c>
      <c r="E14" s="52">
        <f>0</f>
        <v>0</v>
      </c>
      <c r="F14" s="52">
        <f>0</f>
        <v>0</v>
      </c>
      <c r="G14" s="14">
        <v>5</v>
      </c>
      <c r="H14" s="14">
        <f>0</f>
        <v>0</v>
      </c>
      <c r="I14" s="14">
        <f>0</f>
        <v>0</v>
      </c>
      <c r="J14" s="14">
        <v>1.1000000000000001</v>
      </c>
      <c r="K14" s="14">
        <v>2</v>
      </c>
      <c r="L14" s="23">
        <v>1.7</v>
      </c>
      <c r="M14" s="13">
        <f t="shared" si="2"/>
        <v>12</v>
      </c>
      <c r="N14" s="17"/>
      <c r="O14" s="14"/>
      <c r="P14" s="14"/>
      <c r="Q14" s="14"/>
      <c r="R14" s="15"/>
      <c r="S14" s="14"/>
      <c r="T14" s="18"/>
      <c r="U14" s="13">
        <f t="shared" si="3"/>
        <v>2600</v>
      </c>
      <c r="V14" s="17"/>
      <c r="W14" s="14"/>
      <c r="X14" s="14"/>
      <c r="Y14" s="14"/>
      <c r="Z14" s="14"/>
      <c r="AA14" s="15"/>
      <c r="AB14" s="23"/>
      <c r="AC14" s="46">
        <f t="shared" si="4"/>
        <v>1140</v>
      </c>
      <c r="AD14" s="17"/>
      <c r="AE14" s="14"/>
      <c r="AF14" s="14"/>
      <c r="AG14" s="14"/>
      <c r="AH14" s="15"/>
      <c r="AI14" s="14"/>
      <c r="AJ14" s="16"/>
      <c r="AK14" s="100">
        <f t="shared" si="5"/>
        <v>3740</v>
      </c>
      <c r="AL14" s="14"/>
      <c r="AM14" s="14"/>
      <c r="AN14" s="14"/>
      <c r="AO14" s="14"/>
      <c r="AP14" s="14"/>
      <c r="AQ14" s="14"/>
      <c r="AR14" s="16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</row>
    <row r="15" spans="1:133" x14ac:dyDescent="0.55000000000000004">
      <c r="A15" s="19" t="s">
        <v>178</v>
      </c>
      <c r="B15" s="20">
        <v>3</v>
      </c>
      <c r="C15" s="21">
        <v>61</v>
      </c>
      <c r="D15" s="22">
        <v>1</v>
      </c>
      <c r="E15" s="52">
        <f>0</f>
        <v>0</v>
      </c>
      <c r="F15" s="52">
        <f>0</f>
        <v>0</v>
      </c>
      <c r="G15" s="14">
        <v>5</v>
      </c>
      <c r="H15" s="14">
        <f>0</f>
        <v>0</v>
      </c>
      <c r="I15" s="14">
        <f>0</f>
        <v>0</v>
      </c>
      <c r="J15" s="14">
        <v>1.1000000000000001</v>
      </c>
      <c r="K15" s="14">
        <v>2</v>
      </c>
      <c r="L15" s="23">
        <v>1.7</v>
      </c>
      <c r="M15" s="13">
        <f>C15*G15/1000</f>
        <v>0.30499999999999999</v>
      </c>
      <c r="N15" s="17"/>
      <c r="O15" s="14"/>
      <c r="P15" s="14"/>
      <c r="Q15" s="14"/>
      <c r="R15" s="15"/>
      <c r="S15" s="14"/>
      <c r="T15" s="18"/>
      <c r="U15" s="13">
        <f t="shared" si="3"/>
        <v>67</v>
      </c>
      <c r="V15" s="17"/>
      <c r="W15" s="14"/>
      <c r="X15" s="14"/>
      <c r="Y15" s="14"/>
      <c r="Z15" s="14"/>
      <c r="AA15" s="15"/>
      <c r="AB15" s="23"/>
      <c r="AC15" s="46">
        <f t="shared" si="4"/>
        <v>29</v>
      </c>
      <c r="AD15" s="17"/>
      <c r="AE15" s="14"/>
      <c r="AF15" s="14"/>
      <c r="AG15" s="14"/>
      <c r="AH15" s="15"/>
      <c r="AI15" s="14"/>
      <c r="AJ15" s="16"/>
      <c r="AK15" s="100">
        <f t="shared" si="5"/>
        <v>96</v>
      </c>
      <c r="AL15" s="14"/>
      <c r="AM15" s="14"/>
      <c r="AN15" s="14"/>
      <c r="AO15" s="14"/>
      <c r="AP15" s="14"/>
      <c r="AQ15" s="14"/>
      <c r="AR15" s="16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</row>
    <row r="16" spans="1:133" x14ac:dyDescent="0.55000000000000004">
      <c r="A16" s="19" t="s">
        <v>179</v>
      </c>
      <c r="B16" s="20">
        <v>8</v>
      </c>
      <c r="C16" s="21">
        <v>171</v>
      </c>
      <c r="D16" s="22">
        <v>1</v>
      </c>
      <c r="E16" s="52">
        <f>0</f>
        <v>0</v>
      </c>
      <c r="F16" s="52">
        <f>0</f>
        <v>0</v>
      </c>
      <c r="G16" s="14">
        <v>5</v>
      </c>
      <c r="H16" s="14">
        <f>0</f>
        <v>0</v>
      </c>
      <c r="I16" s="14">
        <f>0</f>
        <v>0</v>
      </c>
      <c r="J16" s="14">
        <v>1.1000000000000001</v>
      </c>
      <c r="K16" s="14">
        <v>2</v>
      </c>
      <c r="L16" s="23">
        <v>1.7</v>
      </c>
      <c r="M16" s="13">
        <f t="shared" si="2"/>
        <v>1</v>
      </c>
      <c r="N16" s="17"/>
      <c r="O16" s="14"/>
      <c r="P16" s="14"/>
      <c r="Q16" s="14"/>
      <c r="R16" s="15"/>
      <c r="S16" s="14"/>
      <c r="T16" s="18"/>
      <c r="U16" s="13">
        <f t="shared" si="3"/>
        <v>188</v>
      </c>
      <c r="V16" s="17"/>
      <c r="W16" s="14"/>
      <c r="X16" s="14"/>
      <c r="Y16" s="14"/>
      <c r="Z16" s="14"/>
      <c r="AA16" s="15"/>
      <c r="AB16" s="23"/>
      <c r="AC16" s="46">
        <f t="shared" si="4"/>
        <v>95</v>
      </c>
      <c r="AD16" s="17"/>
      <c r="AE16" s="14"/>
      <c r="AF16" s="14"/>
      <c r="AG16" s="14"/>
      <c r="AH16" s="15"/>
      <c r="AI16" s="14"/>
      <c r="AJ16" s="16"/>
      <c r="AK16" s="100">
        <f t="shared" si="5"/>
        <v>283</v>
      </c>
      <c r="AL16" s="14"/>
      <c r="AM16" s="14"/>
      <c r="AN16" s="14"/>
      <c r="AO16" s="14"/>
      <c r="AP16" s="14"/>
      <c r="AQ16" s="14"/>
      <c r="AR16" s="16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</row>
    <row r="17" spans="1:133" x14ac:dyDescent="0.55000000000000004">
      <c r="A17" s="19" t="s">
        <v>180</v>
      </c>
      <c r="B17" s="20">
        <v>11</v>
      </c>
      <c r="C17" s="21">
        <v>241</v>
      </c>
      <c r="D17" s="22">
        <v>1</v>
      </c>
      <c r="E17" s="52">
        <f>0</f>
        <v>0</v>
      </c>
      <c r="F17" s="52">
        <f>0</f>
        <v>0</v>
      </c>
      <c r="G17" s="14">
        <v>5</v>
      </c>
      <c r="H17" s="14">
        <f>0</f>
        <v>0</v>
      </c>
      <c r="I17" s="14">
        <f>0</f>
        <v>0</v>
      </c>
      <c r="J17" s="14">
        <v>1.1000000000000001</v>
      </c>
      <c r="K17" s="14">
        <v>2</v>
      </c>
      <c r="L17" s="23">
        <v>1.7</v>
      </c>
      <c r="M17" s="13">
        <f t="shared" si="2"/>
        <v>1</v>
      </c>
      <c r="N17" s="17"/>
      <c r="O17" s="14"/>
      <c r="P17" s="14"/>
      <c r="Q17" s="14"/>
      <c r="R17" s="15"/>
      <c r="S17" s="14"/>
      <c r="T17" s="18"/>
      <c r="U17" s="13">
        <f t="shared" si="3"/>
        <v>265</v>
      </c>
      <c r="V17" s="17"/>
      <c r="W17" s="14"/>
      <c r="X17" s="14"/>
      <c r="Y17" s="14"/>
      <c r="Z17" s="14"/>
      <c r="AA17" s="15"/>
      <c r="AB17" s="23"/>
      <c r="AC17" s="46">
        <f t="shared" si="4"/>
        <v>95</v>
      </c>
      <c r="AD17" s="17"/>
      <c r="AE17" s="14"/>
      <c r="AF17" s="14"/>
      <c r="AG17" s="14"/>
      <c r="AH17" s="15"/>
      <c r="AI17" s="14"/>
      <c r="AJ17" s="16"/>
      <c r="AK17" s="100">
        <f t="shared" si="5"/>
        <v>360</v>
      </c>
      <c r="AL17" s="14"/>
      <c r="AM17" s="14"/>
      <c r="AN17" s="14"/>
      <c r="AO17" s="14"/>
      <c r="AP17" s="14"/>
      <c r="AQ17" s="14"/>
      <c r="AR17" s="16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</row>
    <row r="18" spans="1:133" x14ac:dyDescent="0.55000000000000004">
      <c r="A18" s="19" t="s">
        <v>181</v>
      </c>
      <c r="B18" s="20">
        <v>140</v>
      </c>
      <c r="C18" s="21">
        <v>3070</v>
      </c>
      <c r="D18" s="22">
        <v>1</v>
      </c>
      <c r="E18" s="52">
        <f>0</f>
        <v>0</v>
      </c>
      <c r="F18" s="52">
        <f>0</f>
        <v>0</v>
      </c>
      <c r="G18" s="14">
        <v>5</v>
      </c>
      <c r="H18" s="14">
        <f>0</f>
        <v>0</v>
      </c>
      <c r="I18" s="14">
        <f>0</f>
        <v>0</v>
      </c>
      <c r="J18" s="14">
        <v>1.1000000000000001</v>
      </c>
      <c r="K18" s="14">
        <v>2</v>
      </c>
      <c r="L18" s="23">
        <v>1.7</v>
      </c>
      <c r="M18" s="13">
        <f t="shared" si="2"/>
        <v>15</v>
      </c>
      <c r="N18" s="17"/>
      <c r="O18" s="14"/>
      <c r="P18" s="14"/>
      <c r="Q18" s="14"/>
      <c r="R18" s="15"/>
      <c r="S18" s="14"/>
      <c r="T18" s="18"/>
      <c r="U18" s="13">
        <f t="shared" si="3"/>
        <v>3377</v>
      </c>
      <c r="V18" s="17"/>
      <c r="W18" s="14"/>
      <c r="X18" s="14"/>
      <c r="Y18" s="14"/>
      <c r="Z18" s="14"/>
      <c r="AA18" s="15"/>
      <c r="AB18" s="23"/>
      <c r="AC18" s="46">
        <f t="shared" si="4"/>
        <v>1425</v>
      </c>
      <c r="AD18" s="17"/>
      <c r="AE18" s="14"/>
      <c r="AF18" s="14"/>
      <c r="AG18" s="14"/>
      <c r="AH18" s="15"/>
      <c r="AI18" s="14"/>
      <c r="AJ18" s="16"/>
      <c r="AK18" s="100">
        <f t="shared" si="5"/>
        <v>4802</v>
      </c>
      <c r="AL18" s="14"/>
      <c r="AM18" s="14"/>
      <c r="AN18" s="14"/>
      <c r="AO18" s="14"/>
      <c r="AP18" s="14"/>
      <c r="AQ18" s="14"/>
      <c r="AR18" s="16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</row>
    <row r="19" spans="1:133" x14ac:dyDescent="0.55000000000000004">
      <c r="A19" s="19" t="s">
        <v>182</v>
      </c>
      <c r="B19" s="20">
        <v>149</v>
      </c>
      <c r="C19" s="21">
        <v>3270</v>
      </c>
      <c r="D19" s="22">
        <v>1</v>
      </c>
      <c r="E19" s="52">
        <f>0</f>
        <v>0</v>
      </c>
      <c r="F19" s="52">
        <f>0</f>
        <v>0</v>
      </c>
      <c r="G19" s="14">
        <v>5</v>
      </c>
      <c r="H19" s="14">
        <f>0</f>
        <v>0</v>
      </c>
      <c r="I19" s="14">
        <f>0</f>
        <v>0</v>
      </c>
      <c r="J19" s="14">
        <v>1.1000000000000001</v>
      </c>
      <c r="K19" s="14">
        <v>2</v>
      </c>
      <c r="L19" s="23">
        <v>1.7</v>
      </c>
      <c r="M19" s="13">
        <f t="shared" si="2"/>
        <v>16</v>
      </c>
      <c r="N19" s="17"/>
      <c r="O19" s="14"/>
      <c r="P19" s="14"/>
      <c r="Q19" s="14"/>
      <c r="R19" s="15"/>
      <c r="S19" s="14"/>
      <c r="T19" s="18"/>
      <c r="U19" s="13">
        <f t="shared" si="3"/>
        <v>3597</v>
      </c>
      <c r="V19" s="17"/>
      <c r="W19" s="14"/>
      <c r="X19" s="14"/>
      <c r="Y19" s="14"/>
      <c r="Z19" s="14"/>
      <c r="AA19" s="15"/>
      <c r="AB19" s="23"/>
      <c r="AC19" s="46">
        <f t="shared" si="4"/>
        <v>1520</v>
      </c>
      <c r="AD19" s="17"/>
      <c r="AE19" s="14"/>
      <c r="AF19" s="14"/>
      <c r="AG19" s="14"/>
      <c r="AH19" s="15"/>
      <c r="AI19" s="14"/>
      <c r="AJ19" s="16"/>
      <c r="AK19" s="100">
        <f t="shared" si="5"/>
        <v>5117</v>
      </c>
      <c r="AL19" s="14"/>
      <c r="AM19" s="14"/>
      <c r="AN19" s="14"/>
      <c r="AO19" s="14"/>
      <c r="AP19" s="14"/>
      <c r="AQ19" s="14"/>
      <c r="AR19" s="16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</row>
    <row r="20" spans="1:133" x14ac:dyDescent="0.55000000000000004">
      <c r="A20" s="19" t="s">
        <v>183</v>
      </c>
      <c r="B20" s="20">
        <v>144</v>
      </c>
      <c r="C20" s="21">
        <v>3171</v>
      </c>
      <c r="D20" s="22">
        <v>1</v>
      </c>
      <c r="E20" s="52">
        <f>0</f>
        <v>0</v>
      </c>
      <c r="F20" s="52">
        <f>0</f>
        <v>0</v>
      </c>
      <c r="G20" s="14">
        <v>5</v>
      </c>
      <c r="H20" s="14">
        <f>0</f>
        <v>0</v>
      </c>
      <c r="I20" s="14">
        <f>0</f>
        <v>0</v>
      </c>
      <c r="J20" s="14">
        <v>1.1000000000000001</v>
      </c>
      <c r="K20" s="14">
        <v>2</v>
      </c>
      <c r="L20" s="23">
        <v>1.7</v>
      </c>
      <c r="M20" s="13">
        <f t="shared" si="2"/>
        <v>16</v>
      </c>
      <c r="N20" s="17"/>
      <c r="O20" s="14"/>
      <c r="P20" s="14"/>
      <c r="Q20" s="14"/>
      <c r="R20" s="15"/>
      <c r="S20" s="14"/>
      <c r="T20" s="18"/>
      <c r="U20" s="13">
        <f t="shared" si="3"/>
        <v>3488</v>
      </c>
      <c r="V20" s="17"/>
      <c r="W20" s="14"/>
      <c r="X20" s="14"/>
      <c r="Y20" s="14"/>
      <c r="Z20" s="14"/>
      <c r="AA20" s="15"/>
      <c r="AB20" s="23"/>
      <c r="AC20" s="46">
        <f t="shared" si="4"/>
        <v>1520</v>
      </c>
      <c r="AD20" s="17"/>
      <c r="AE20" s="14"/>
      <c r="AF20" s="14"/>
      <c r="AG20" s="14"/>
      <c r="AH20" s="15"/>
      <c r="AI20" s="14"/>
      <c r="AJ20" s="16"/>
      <c r="AK20" s="100">
        <f t="shared" si="5"/>
        <v>5008</v>
      </c>
      <c r="AL20" s="14"/>
      <c r="AM20" s="14"/>
      <c r="AN20" s="14"/>
      <c r="AO20" s="14"/>
      <c r="AP20" s="14"/>
      <c r="AQ20" s="14"/>
      <c r="AR20" s="16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</row>
    <row r="21" spans="1:133" ht="24.75" thickBot="1" x14ac:dyDescent="0.6">
      <c r="A21" s="19" t="s">
        <v>184</v>
      </c>
      <c r="B21" s="20">
        <v>134</v>
      </c>
      <c r="C21" s="21">
        <v>2950</v>
      </c>
      <c r="D21" s="22">
        <v>1</v>
      </c>
      <c r="E21" s="52">
        <f>0</f>
        <v>0</v>
      </c>
      <c r="F21" s="52">
        <f>0</f>
        <v>0</v>
      </c>
      <c r="G21" s="14">
        <v>5</v>
      </c>
      <c r="H21" s="14">
        <f>0</f>
        <v>0</v>
      </c>
      <c r="I21" s="14">
        <f>0</f>
        <v>0</v>
      </c>
      <c r="J21" s="14">
        <v>1.1000000000000001</v>
      </c>
      <c r="K21" s="14">
        <v>2</v>
      </c>
      <c r="L21" s="23">
        <v>1.7</v>
      </c>
      <c r="M21" s="13">
        <f t="shared" si="2"/>
        <v>15</v>
      </c>
      <c r="N21" s="17"/>
      <c r="O21" s="14"/>
      <c r="P21" s="14"/>
      <c r="Q21" s="14"/>
      <c r="R21" s="15"/>
      <c r="S21" s="14"/>
      <c r="T21" s="18"/>
      <c r="U21" s="13">
        <f t="shared" si="3"/>
        <v>3245</v>
      </c>
      <c r="V21" s="17"/>
      <c r="W21" s="14"/>
      <c r="X21" s="14"/>
      <c r="Y21" s="14"/>
      <c r="Z21" s="14"/>
      <c r="AA21" s="15"/>
      <c r="AB21" s="23"/>
      <c r="AC21" s="46">
        <f t="shared" si="4"/>
        <v>1425</v>
      </c>
      <c r="AD21" s="17"/>
      <c r="AE21" s="14"/>
      <c r="AF21" s="14"/>
      <c r="AG21" s="14"/>
      <c r="AH21" s="15"/>
      <c r="AI21" s="14"/>
      <c r="AJ21" s="16"/>
      <c r="AK21" s="100">
        <f t="shared" si="5"/>
        <v>4670</v>
      </c>
      <c r="AL21" s="14"/>
      <c r="AM21" s="14"/>
      <c r="AN21" s="14"/>
      <c r="AO21" s="14"/>
      <c r="AP21" s="14"/>
      <c r="AQ21" s="14"/>
      <c r="AR21" s="16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</row>
    <row r="22" spans="1:133" ht="24.75" thickBot="1" x14ac:dyDescent="0.6">
      <c r="A22" s="973" t="s">
        <v>25</v>
      </c>
      <c r="B22" s="885">
        <f>SUM(B8:B21)</f>
        <v>1255</v>
      </c>
      <c r="C22" s="931">
        <f>SUM(C8:C21)</f>
        <v>27609</v>
      </c>
      <c r="D22" s="887"/>
      <c r="E22" s="888"/>
      <c r="F22" s="888"/>
      <c r="G22" s="888"/>
      <c r="H22" s="888"/>
      <c r="I22" s="888"/>
      <c r="J22" s="888"/>
      <c r="K22" s="888"/>
      <c r="L22" s="889"/>
      <c r="M22" s="158">
        <f>SUM(M8:M21)</f>
        <v>136.30500000000001</v>
      </c>
      <c r="N22" s="159">
        <f>SUM(N8:N9)</f>
        <v>0</v>
      </c>
      <c r="O22" s="160"/>
      <c r="P22" s="160"/>
      <c r="Q22" s="160"/>
      <c r="R22" s="161"/>
      <c r="S22" s="160"/>
      <c r="T22" s="162"/>
      <c r="U22" s="155">
        <f>SUM(U8:U21)</f>
        <v>30368</v>
      </c>
      <c r="V22" s="164"/>
      <c r="W22" s="164"/>
      <c r="X22" s="164"/>
      <c r="Y22" s="164"/>
      <c r="Z22" s="164"/>
      <c r="AA22" s="164"/>
      <c r="AB22" s="164"/>
      <c r="AC22" s="157">
        <f>SUM(AC8:AC10)</f>
        <v>2280</v>
      </c>
      <c r="AD22" s="164"/>
      <c r="AE22" s="164"/>
      <c r="AF22" s="164"/>
      <c r="AG22" s="164"/>
      <c r="AH22" s="164"/>
      <c r="AI22" s="164"/>
      <c r="AJ22" s="164"/>
      <c r="AK22" s="165">
        <f>SUM(AK8:AK10)</f>
        <v>7724</v>
      </c>
      <c r="AL22" s="166">
        <f>AL8+AL9</f>
        <v>0</v>
      </c>
      <c r="AM22" s="164"/>
      <c r="AN22" s="164"/>
      <c r="AO22" s="164"/>
      <c r="AP22" s="164"/>
      <c r="AQ22" s="164"/>
      <c r="AR22" s="167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</row>
    <row r="23" spans="1:133" ht="27" thickBot="1" x14ac:dyDescent="0.75">
      <c r="A23" s="974"/>
      <c r="B23" s="886"/>
      <c r="C23" s="932"/>
      <c r="D23" s="890"/>
      <c r="E23" s="891"/>
      <c r="F23" s="891"/>
      <c r="G23" s="891"/>
      <c r="H23" s="891"/>
      <c r="I23" s="891"/>
      <c r="J23" s="891"/>
      <c r="K23" s="891"/>
      <c r="L23" s="892"/>
      <c r="M23" s="895">
        <f>M22+N22</f>
        <v>136.30500000000001</v>
      </c>
      <c r="N23" s="897"/>
      <c r="O23" s="898"/>
      <c r="P23" s="899"/>
      <c r="Q23" s="955"/>
      <c r="R23" s="898"/>
      <c r="S23" s="899"/>
      <c r="T23" s="900"/>
      <c r="U23" s="1012">
        <f>U22+V22</f>
        <v>30368</v>
      </c>
      <c r="V23" s="905"/>
      <c r="W23" s="1013"/>
      <c r="X23" s="1014"/>
      <c r="Y23" s="1015"/>
      <c r="Z23" s="1013"/>
      <c r="AA23" s="1014"/>
      <c r="AB23" s="1016"/>
      <c r="AC23" s="911">
        <f>AC22+AD22</f>
        <v>2280</v>
      </c>
      <c r="AD23" s="912"/>
      <c r="AE23" s="1017"/>
      <c r="AF23" s="1014"/>
      <c r="AG23" s="1016"/>
      <c r="AH23" s="1014"/>
      <c r="AI23" s="1014"/>
      <c r="AJ23" s="1016"/>
      <c r="AK23" s="911">
        <f>AK22+AL22</f>
        <v>7724</v>
      </c>
      <c r="AL23" s="1018"/>
      <c r="AM23" s="1017"/>
      <c r="AN23" s="1014"/>
      <c r="AO23" s="1016"/>
      <c r="AP23" s="1014"/>
      <c r="AQ23" s="1014"/>
      <c r="AR23" s="1016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</row>
    <row r="24" spans="1:133" s="152" customFormat="1" x14ac:dyDescent="0.55000000000000004">
      <c r="A24" s="52" t="s">
        <v>26</v>
      </c>
      <c r="B24" s="52">
        <v>6</v>
      </c>
      <c r="C24" s="87">
        <v>126</v>
      </c>
      <c r="D24" s="22">
        <v>1</v>
      </c>
      <c r="E24" s="52">
        <v>0</v>
      </c>
      <c r="F24" s="52">
        <v>0</v>
      </c>
      <c r="G24" s="14">
        <v>5</v>
      </c>
      <c r="H24" s="14">
        <f>0</f>
        <v>0</v>
      </c>
      <c r="I24" s="14">
        <f>0</f>
        <v>0</v>
      </c>
      <c r="J24" s="14">
        <v>1.1000000000000001</v>
      </c>
      <c r="K24" s="14">
        <v>2</v>
      </c>
      <c r="L24" s="14">
        <v>1.7</v>
      </c>
      <c r="M24" s="9">
        <f>ROUND(C24*G24/1000,0)</f>
        <v>1</v>
      </c>
      <c r="N24" s="46"/>
      <c r="O24" s="10"/>
      <c r="P24" s="10"/>
      <c r="Q24" s="10"/>
      <c r="R24" s="12"/>
      <c r="S24" s="10"/>
      <c r="T24" s="48"/>
      <c r="U24" s="9">
        <f>ROUND(C24*J24,0)</f>
        <v>139</v>
      </c>
      <c r="V24" s="46"/>
      <c r="W24" s="10"/>
      <c r="X24" s="10"/>
      <c r="Y24" s="10"/>
      <c r="Z24" s="10"/>
      <c r="AA24" s="12"/>
      <c r="AB24" s="154"/>
      <c r="AC24" s="46">
        <f>ROUND(M24*95,0)</f>
        <v>95</v>
      </c>
      <c r="AD24" s="153">
        <f>N24*960</f>
        <v>0</v>
      </c>
      <c r="AE24" s="153"/>
      <c r="AF24" s="153"/>
      <c r="AG24" s="153"/>
      <c r="AH24" s="153"/>
      <c r="AI24" s="153"/>
      <c r="AJ24" s="154"/>
      <c r="AK24" s="173">
        <f>U24+AC24</f>
        <v>234</v>
      </c>
      <c r="AL24" s="153">
        <f t="shared" si="1"/>
        <v>0</v>
      </c>
      <c r="AM24" s="153"/>
      <c r="AN24" s="153"/>
      <c r="AO24" s="153"/>
      <c r="AP24" s="153"/>
      <c r="AQ24" s="153"/>
      <c r="AR24" s="154"/>
    </row>
    <row r="25" spans="1:133" s="1" customFormat="1" x14ac:dyDescent="0.55000000000000004">
      <c r="A25" s="52" t="s">
        <v>51</v>
      </c>
      <c r="B25" s="52">
        <v>169</v>
      </c>
      <c r="C25" s="87">
        <v>4231</v>
      </c>
      <c r="D25" s="22">
        <v>1</v>
      </c>
      <c r="E25" s="52">
        <v>0</v>
      </c>
      <c r="F25" s="52">
        <v>0</v>
      </c>
      <c r="G25" s="14">
        <v>5</v>
      </c>
      <c r="H25" s="14">
        <f>0</f>
        <v>0</v>
      </c>
      <c r="I25" s="14">
        <f>0</f>
        <v>0</v>
      </c>
      <c r="J25" s="14">
        <v>1.1000000000000001</v>
      </c>
      <c r="K25" s="14">
        <v>2</v>
      </c>
      <c r="L25" s="14">
        <v>1.7</v>
      </c>
      <c r="M25" s="9">
        <f t="shared" ref="M25:M35" si="6">ROUND(C25*G25/1000,0)</f>
        <v>21</v>
      </c>
      <c r="N25" s="48"/>
      <c r="O25" s="10"/>
      <c r="P25" s="10"/>
      <c r="Q25" s="10"/>
      <c r="R25" s="12"/>
      <c r="S25" s="10"/>
      <c r="T25" s="48"/>
      <c r="U25" s="9">
        <f t="shared" ref="U25:U33" si="7">ROUND(C25*J25,0)</f>
        <v>4654</v>
      </c>
      <c r="V25" s="48"/>
      <c r="W25" s="10"/>
      <c r="X25" s="10"/>
      <c r="Y25" s="10"/>
      <c r="Z25" s="10"/>
      <c r="AA25" s="12"/>
      <c r="AB25" s="11"/>
      <c r="AC25" s="46">
        <f t="shared" ref="AC25:AC34" si="8">ROUND(M25*95,0)</f>
        <v>1995</v>
      </c>
      <c r="AD25" s="10"/>
      <c r="AE25" s="14"/>
      <c r="AF25" s="14"/>
      <c r="AG25" s="14"/>
      <c r="AH25" s="14"/>
      <c r="AI25" s="14"/>
      <c r="AJ25" s="23"/>
      <c r="AK25" s="13">
        <f>U25+AC25</f>
        <v>6649</v>
      </c>
      <c r="AL25" s="14"/>
      <c r="AM25" s="14"/>
      <c r="AN25" s="14"/>
      <c r="AO25" s="14"/>
      <c r="AP25" s="14"/>
      <c r="AQ25" s="14"/>
      <c r="AR25" s="23"/>
    </row>
    <row r="26" spans="1:133" s="1" customFormat="1" x14ac:dyDescent="0.55000000000000004">
      <c r="A26" s="52" t="s">
        <v>38</v>
      </c>
      <c r="B26" s="52">
        <v>171</v>
      </c>
      <c r="C26" s="87">
        <v>4265</v>
      </c>
      <c r="D26" s="22">
        <v>1</v>
      </c>
      <c r="E26" s="52">
        <f>0</f>
        <v>0</v>
      </c>
      <c r="F26" s="52">
        <f>0</f>
        <v>0</v>
      </c>
      <c r="G26" s="14">
        <v>5</v>
      </c>
      <c r="H26" s="14">
        <f>0</f>
        <v>0</v>
      </c>
      <c r="I26" s="14">
        <f>0</f>
        <v>0</v>
      </c>
      <c r="J26" s="14">
        <v>1.1000000000000001</v>
      </c>
      <c r="K26" s="14">
        <v>2</v>
      </c>
      <c r="L26" s="14">
        <v>1.7</v>
      </c>
      <c r="M26" s="9">
        <f t="shared" si="6"/>
        <v>21</v>
      </c>
      <c r="N26" s="48"/>
      <c r="O26" s="10"/>
      <c r="P26" s="10"/>
      <c r="Q26" s="10"/>
      <c r="R26" s="12"/>
      <c r="S26" s="10"/>
      <c r="T26" s="48"/>
      <c r="U26" s="9">
        <f t="shared" si="7"/>
        <v>4692</v>
      </c>
      <c r="V26" s="48"/>
      <c r="W26" s="10"/>
      <c r="X26" s="10"/>
      <c r="Y26" s="10"/>
      <c r="Z26" s="10"/>
      <c r="AA26" s="12"/>
      <c r="AB26" s="11"/>
      <c r="AC26" s="46">
        <f t="shared" si="8"/>
        <v>1995</v>
      </c>
      <c r="AD26" s="10"/>
      <c r="AE26" s="14"/>
      <c r="AF26" s="14"/>
      <c r="AG26" s="14"/>
      <c r="AH26" s="14"/>
      <c r="AI26" s="14"/>
      <c r="AJ26" s="23"/>
      <c r="AK26" s="13">
        <f>U26+AC26</f>
        <v>6687</v>
      </c>
      <c r="AL26" s="14"/>
      <c r="AM26" s="14"/>
      <c r="AN26" s="14"/>
      <c r="AO26" s="14"/>
      <c r="AP26" s="14"/>
      <c r="AQ26" s="14"/>
      <c r="AR26" s="23"/>
    </row>
    <row r="27" spans="1:133" s="1" customFormat="1" x14ac:dyDescent="0.55000000000000004">
      <c r="A27" s="52" t="s">
        <v>37</v>
      </c>
      <c r="B27" s="52">
        <v>67</v>
      </c>
      <c r="C27" s="87">
        <v>1663</v>
      </c>
      <c r="D27" s="22">
        <v>1</v>
      </c>
      <c r="E27" s="52">
        <v>0</v>
      </c>
      <c r="F27" s="52">
        <v>0</v>
      </c>
      <c r="G27" s="14">
        <v>5</v>
      </c>
      <c r="H27" s="14">
        <f>0</f>
        <v>0</v>
      </c>
      <c r="I27" s="14">
        <f>0</f>
        <v>0</v>
      </c>
      <c r="J27" s="14">
        <v>1.1000000000000001</v>
      </c>
      <c r="K27" s="14">
        <v>2</v>
      </c>
      <c r="L27" s="14">
        <v>1.7</v>
      </c>
      <c r="M27" s="9">
        <f t="shared" si="6"/>
        <v>8</v>
      </c>
      <c r="N27" s="48"/>
      <c r="O27" s="10"/>
      <c r="P27" s="10"/>
      <c r="Q27" s="10"/>
      <c r="R27" s="12"/>
      <c r="S27" s="10"/>
      <c r="T27" s="48"/>
      <c r="U27" s="9">
        <f t="shared" si="7"/>
        <v>1829</v>
      </c>
      <c r="V27" s="48"/>
      <c r="W27" s="10"/>
      <c r="X27" s="10"/>
      <c r="Y27" s="10"/>
      <c r="Z27" s="10"/>
      <c r="AA27" s="12"/>
      <c r="AB27" s="11"/>
      <c r="AC27" s="46">
        <f t="shared" si="8"/>
        <v>760</v>
      </c>
      <c r="AD27" s="10"/>
      <c r="AE27" s="14"/>
      <c r="AF27" s="14"/>
      <c r="AG27" s="14"/>
      <c r="AH27" s="14"/>
      <c r="AI27" s="14"/>
      <c r="AJ27" s="23"/>
      <c r="AK27" s="13">
        <f t="shared" ref="AK27:AK35" si="9">U27+AC27</f>
        <v>2589</v>
      </c>
      <c r="AL27" s="14"/>
      <c r="AM27" s="14"/>
      <c r="AN27" s="14"/>
      <c r="AO27" s="14"/>
      <c r="AP27" s="14"/>
      <c r="AQ27" s="14"/>
      <c r="AR27" s="23"/>
    </row>
    <row r="28" spans="1:133" s="1" customFormat="1" x14ac:dyDescent="0.55000000000000004">
      <c r="A28" s="52" t="s">
        <v>52</v>
      </c>
      <c r="B28" s="52">
        <v>154</v>
      </c>
      <c r="C28" s="87">
        <v>3851</v>
      </c>
      <c r="D28" s="22">
        <v>1</v>
      </c>
      <c r="E28" s="52">
        <v>0</v>
      </c>
      <c r="F28" s="52">
        <v>0</v>
      </c>
      <c r="G28" s="14">
        <v>5</v>
      </c>
      <c r="H28" s="14">
        <f>0</f>
        <v>0</v>
      </c>
      <c r="I28" s="14">
        <f>0</f>
        <v>0</v>
      </c>
      <c r="J28" s="14">
        <v>1.1000000000000001</v>
      </c>
      <c r="K28" s="14">
        <v>2</v>
      </c>
      <c r="L28" s="14">
        <v>1.7</v>
      </c>
      <c r="M28" s="9">
        <f t="shared" si="6"/>
        <v>19</v>
      </c>
      <c r="N28" s="48"/>
      <c r="O28" s="10"/>
      <c r="P28" s="10"/>
      <c r="Q28" s="10"/>
      <c r="R28" s="12"/>
      <c r="S28" s="10"/>
      <c r="T28" s="48"/>
      <c r="U28" s="9">
        <f t="shared" si="7"/>
        <v>4236</v>
      </c>
      <c r="V28" s="48"/>
      <c r="W28" s="10"/>
      <c r="X28" s="10"/>
      <c r="Y28" s="10"/>
      <c r="Z28" s="10"/>
      <c r="AA28" s="12"/>
      <c r="AB28" s="11"/>
      <c r="AC28" s="46">
        <f t="shared" si="8"/>
        <v>1805</v>
      </c>
      <c r="AD28" s="10"/>
      <c r="AE28" s="14"/>
      <c r="AF28" s="14"/>
      <c r="AG28" s="14"/>
      <c r="AH28" s="14"/>
      <c r="AI28" s="14"/>
      <c r="AJ28" s="23"/>
      <c r="AK28" s="13">
        <f t="shared" si="9"/>
        <v>6041</v>
      </c>
      <c r="AL28" s="14"/>
      <c r="AM28" s="14"/>
      <c r="AN28" s="14"/>
      <c r="AO28" s="14"/>
      <c r="AP28" s="14"/>
      <c r="AQ28" s="14"/>
      <c r="AR28" s="23"/>
    </row>
    <row r="29" spans="1:133" s="1" customFormat="1" x14ac:dyDescent="0.55000000000000004">
      <c r="A29" s="52" t="s">
        <v>53</v>
      </c>
      <c r="B29" s="52">
        <v>139</v>
      </c>
      <c r="C29" s="87">
        <v>3476</v>
      </c>
      <c r="D29" s="22">
        <v>1</v>
      </c>
      <c r="E29" s="52">
        <f>0</f>
        <v>0</v>
      </c>
      <c r="F29" s="52">
        <f>0</f>
        <v>0</v>
      </c>
      <c r="G29" s="14">
        <v>5</v>
      </c>
      <c r="H29" s="14">
        <f>0</f>
        <v>0</v>
      </c>
      <c r="I29" s="14">
        <f>0</f>
        <v>0</v>
      </c>
      <c r="J29" s="14">
        <v>1.1000000000000001</v>
      </c>
      <c r="K29" s="14">
        <v>2</v>
      </c>
      <c r="L29" s="14">
        <v>1.7</v>
      </c>
      <c r="M29" s="9">
        <f t="shared" si="6"/>
        <v>17</v>
      </c>
      <c r="N29" s="48"/>
      <c r="O29" s="10"/>
      <c r="P29" s="10"/>
      <c r="Q29" s="10"/>
      <c r="R29" s="12"/>
      <c r="S29" s="10"/>
      <c r="T29" s="48"/>
      <c r="U29" s="9">
        <f t="shared" si="7"/>
        <v>3824</v>
      </c>
      <c r="V29" s="48"/>
      <c r="W29" s="10"/>
      <c r="X29" s="10"/>
      <c r="Y29" s="10"/>
      <c r="Z29" s="10"/>
      <c r="AA29" s="12"/>
      <c r="AB29" s="11"/>
      <c r="AC29" s="46">
        <f t="shared" si="8"/>
        <v>1615</v>
      </c>
      <c r="AD29" s="10"/>
      <c r="AE29" s="14"/>
      <c r="AF29" s="14"/>
      <c r="AG29" s="14"/>
      <c r="AH29" s="14"/>
      <c r="AI29" s="14"/>
      <c r="AJ29" s="23"/>
      <c r="AK29" s="13">
        <f t="shared" si="9"/>
        <v>5439</v>
      </c>
      <c r="AL29" s="14"/>
      <c r="AM29" s="14"/>
      <c r="AN29" s="14"/>
      <c r="AO29" s="14"/>
      <c r="AP29" s="14"/>
      <c r="AQ29" s="14"/>
      <c r="AR29" s="23"/>
    </row>
    <row r="30" spans="1:133" s="1" customFormat="1" x14ac:dyDescent="0.55000000000000004">
      <c r="A30" s="52" t="s">
        <v>54</v>
      </c>
      <c r="B30" s="52">
        <v>165</v>
      </c>
      <c r="C30" s="87">
        <v>4127</v>
      </c>
      <c r="D30" s="22">
        <v>1</v>
      </c>
      <c r="E30" s="52">
        <v>0</v>
      </c>
      <c r="F30" s="52">
        <v>0</v>
      </c>
      <c r="G30" s="14">
        <v>5</v>
      </c>
      <c r="H30" s="14">
        <f>0</f>
        <v>0</v>
      </c>
      <c r="I30" s="14">
        <f>0</f>
        <v>0</v>
      </c>
      <c r="J30" s="14">
        <v>1.1000000000000001</v>
      </c>
      <c r="K30" s="14">
        <v>2</v>
      </c>
      <c r="L30" s="14">
        <v>1.7</v>
      </c>
      <c r="M30" s="9">
        <f t="shared" si="6"/>
        <v>21</v>
      </c>
      <c r="N30" s="48"/>
      <c r="O30" s="10"/>
      <c r="P30" s="10"/>
      <c r="Q30" s="10"/>
      <c r="R30" s="12"/>
      <c r="S30" s="10"/>
      <c r="T30" s="48"/>
      <c r="U30" s="9">
        <f t="shared" si="7"/>
        <v>4540</v>
      </c>
      <c r="V30" s="48"/>
      <c r="W30" s="10"/>
      <c r="X30" s="10"/>
      <c r="Y30" s="10"/>
      <c r="Z30" s="10"/>
      <c r="AA30" s="12"/>
      <c r="AB30" s="11"/>
      <c r="AC30" s="46">
        <f t="shared" si="8"/>
        <v>1995</v>
      </c>
      <c r="AD30" s="10"/>
      <c r="AE30" s="14"/>
      <c r="AF30" s="14"/>
      <c r="AG30" s="14"/>
      <c r="AH30" s="14"/>
      <c r="AI30" s="14"/>
      <c r="AJ30" s="23"/>
      <c r="AK30" s="13">
        <f t="shared" si="9"/>
        <v>6535</v>
      </c>
      <c r="AL30" s="14"/>
      <c r="AM30" s="14"/>
      <c r="AN30" s="14"/>
      <c r="AO30" s="14"/>
      <c r="AP30" s="14"/>
      <c r="AQ30" s="14"/>
      <c r="AR30" s="23"/>
    </row>
    <row r="31" spans="1:133" s="1" customFormat="1" x14ac:dyDescent="0.55000000000000004">
      <c r="A31" s="52" t="s">
        <v>55</v>
      </c>
      <c r="B31" s="52">
        <v>158</v>
      </c>
      <c r="C31" s="87">
        <v>3480</v>
      </c>
      <c r="D31" s="22">
        <v>1</v>
      </c>
      <c r="E31" s="52">
        <v>0</v>
      </c>
      <c r="F31" s="52">
        <v>0</v>
      </c>
      <c r="G31" s="14">
        <v>5</v>
      </c>
      <c r="H31" s="14">
        <f>0</f>
        <v>0</v>
      </c>
      <c r="I31" s="14">
        <f>0</f>
        <v>0</v>
      </c>
      <c r="J31" s="14">
        <v>1.1000000000000001</v>
      </c>
      <c r="K31" s="14">
        <v>2</v>
      </c>
      <c r="L31" s="14">
        <v>1.7</v>
      </c>
      <c r="M31" s="9">
        <f t="shared" si="6"/>
        <v>17</v>
      </c>
      <c r="N31" s="48"/>
      <c r="O31" s="10"/>
      <c r="P31" s="10"/>
      <c r="Q31" s="10"/>
      <c r="R31" s="12"/>
      <c r="S31" s="10"/>
      <c r="T31" s="48"/>
      <c r="U31" s="9">
        <f t="shared" si="7"/>
        <v>3828</v>
      </c>
      <c r="V31" s="48"/>
      <c r="W31" s="10"/>
      <c r="X31" s="10"/>
      <c r="Y31" s="10"/>
      <c r="Z31" s="10"/>
      <c r="AA31" s="12"/>
      <c r="AB31" s="11"/>
      <c r="AC31" s="46">
        <f t="shared" si="8"/>
        <v>1615</v>
      </c>
      <c r="AD31" s="10"/>
      <c r="AE31" s="14"/>
      <c r="AF31" s="14"/>
      <c r="AG31" s="14"/>
      <c r="AH31" s="14"/>
      <c r="AI31" s="14"/>
      <c r="AJ31" s="23"/>
      <c r="AK31" s="13">
        <f t="shared" si="9"/>
        <v>5443</v>
      </c>
      <c r="AL31" s="14"/>
      <c r="AM31" s="14"/>
      <c r="AN31" s="14"/>
      <c r="AO31" s="14"/>
      <c r="AP31" s="14"/>
      <c r="AQ31" s="14"/>
      <c r="AR31" s="23"/>
    </row>
    <row r="32" spans="1:133" s="1" customFormat="1" x14ac:dyDescent="0.55000000000000004">
      <c r="A32" s="52" t="s">
        <v>56</v>
      </c>
      <c r="B32" s="52">
        <v>143</v>
      </c>
      <c r="C32" s="87">
        <v>3140</v>
      </c>
      <c r="D32" s="22">
        <v>1</v>
      </c>
      <c r="E32" s="52">
        <f>0</f>
        <v>0</v>
      </c>
      <c r="F32" s="52">
        <f>0</f>
        <v>0</v>
      </c>
      <c r="G32" s="14">
        <v>5</v>
      </c>
      <c r="H32" s="14">
        <f>0</f>
        <v>0</v>
      </c>
      <c r="I32" s="14">
        <f>0</f>
        <v>0</v>
      </c>
      <c r="J32" s="14">
        <v>1.1000000000000001</v>
      </c>
      <c r="K32" s="14">
        <v>2</v>
      </c>
      <c r="L32" s="14">
        <v>1.7</v>
      </c>
      <c r="M32" s="9">
        <f t="shared" si="6"/>
        <v>16</v>
      </c>
      <c r="N32" s="48"/>
      <c r="O32" s="10"/>
      <c r="P32" s="10"/>
      <c r="Q32" s="10"/>
      <c r="R32" s="12"/>
      <c r="S32" s="10"/>
      <c r="T32" s="48"/>
      <c r="U32" s="9">
        <f t="shared" si="7"/>
        <v>3454</v>
      </c>
      <c r="V32" s="48"/>
      <c r="W32" s="10"/>
      <c r="X32" s="10"/>
      <c r="Y32" s="10"/>
      <c r="Z32" s="10"/>
      <c r="AA32" s="12"/>
      <c r="AB32" s="11"/>
      <c r="AC32" s="46">
        <f t="shared" si="8"/>
        <v>1520</v>
      </c>
      <c r="AD32" s="10"/>
      <c r="AE32" s="14"/>
      <c r="AF32" s="14"/>
      <c r="AG32" s="14"/>
      <c r="AH32" s="14"/>
      <c r="AI32" s="14"/>
      <c r="AJ32" s="23"/>
      <c r="AK32" s="13">
        <f t="shared" si="9"/>
        <v>4974</v>
      </c>
      <c r="AL32" s="14"/>
      <c r="AM32" s="14"/>
      <c r="AN32" s="14"/>
      <c r="AO32" s="14"/>
      <c r="AP32" s="14"/>
      <c r="AQ32" s="14"/>
      <c r="AR32" s="23"/>
    </row>
    <row r="33" spans="1:133" s="1" customFormat="1" x14ac:dyDescent="0.55000000000000004">
      <c r="A33" s="52" t="s">
        <v>57</v>
      </c>
      <c r="B33" s="52">
        <v>167</v>
      </c>
      <c r="C33" s="87">
        <v>3671</v>
      </c>
      <c r="D33" s="22">
        <v>1</v>
      </c>
      <c r="E33" s="52">
        <v>0</v>
      </c>
      <c r="F33" s="52">
        <v>0</v>
      </c>
      <c r="G33" s="14">
        <v>5</v>
      </c>
      <c r="H33" s="14">
        <f>0</f>
        <v>0</v>
      </c>
      <c r="I33" s="14">
        <f>0</f>
        <v>0</v>
      </c>
      <c r="J33" s="14">
        <v>1.1000000000000001</v>
      </c>
      <c r="K33" s="14">
        <v>2</v>
      </c>
      <c r="L33" s="14">
        <v>1.7</v>
      </c>
      <c r="M33" s="9">
        <f t="shared" si="6"/>
        <v>18</v>
      </c>
      <c r="N33" s="48"/>
      <c r="O33" s="10"/>
      <c r="P33" s="10"/>
      <c r="Q33" s="10"/>
      <c r="R33" s="12"/>
      <c r="S33" s="10"/>
      <c r="T33" s="48"/>
      <c r="U33" s="9">
        <f t="shared" si="7"/>
        <v>4038</v>
      </c>
      <c r="V33" s="48"/>
      <c r="W33" s="10"/>
      <c r="X33" s="10"/>
      <c r="Y33" s="10"/>
      <c r="Z33" s="10"/>
      <c r="AA33" s="12"/>
      <c r="AB33" s="11"/>
      <c r="AC33" s="46">
        <f t="shared" si="8"/>
        <v>1710</v>
      </c>
      <c r="AD33" s="10"/>
      <c r="AE33" s="14"/>
      <c r="AF33" s="14"/>
      <c r="AG33" s="14"/>
      <c r="AH33" s="14"/>
      <c r="AI33" s="14"/>
      <c r="AJ33" s="23"/>
      <c r="AK33" s="13">
        <f t="shared" si="9"/>
        <v>5748</v>
      </c>
      <c r="AL33" s="14"/>
      <c r="AM33" s="14"/>
      <c r="AN33" s="14"/>
      <c r="AO33" s="14"/>
      <c r="AP33" s="14"/>
      <c r="AQ33" s="14"/>
      <c r="AR33" s="23"/>
    </row>
    <row r="34" spans="1:133" s="1" customFormat="1" x14ac:dyDescent="0.55000000000000004">
      <c r="A34" s="52" t="s">
        <v>58</v>
      </c>
      <c r="B34" s="52">
        <v>130</v>
      </c>
      <c r="C34" s="87">
        <v>2868</v>
      </c>
      <c r="D34" s="22">
        <v>1</v>
      </c>
      <c r="E34" s="52">
        <v>0</v>
      </c>
      <c r="F34" s="52">
        <v>0</v>
      </c>
      <c r="G34" s="14">
        <v>5</v>
      </c>
      <c r="H34" s="14">
        <f>0</f>
        <v>0</v>
      </c>
      <c r="I34" s="14">
        <f>0</f>
        <v>0</v>
      </c>
      <c r="J34" s="14">
        <v>1.1000000000000001</v>
      </c>
      <c r="K34" s="14">
        <v>2</v>
      </c>
      <c r="L34" s="14">
        <v>1.7</v>
      </c>
      <c r="M34" s="9">
        <f t="shared" si="6"/>
        <v>14</v>
      </c>
      <c r="N34" s="48"/>
      <c r="O34" s="10"/>
      <c r="P34" s="10"/>
      <c r="Q34" s="10"/>
      <c r="R34" s="12"/>
      <c r="S34" s="10"/>
      <c r="T34" s="48"/>
      <c r="U34" s="9">
        <f>ROUND(C34*J34,0)</f>
        <v>3155</v>
      </c>
      <c r="V34" s="48"/>
      <c r="W34" s="10"/>
      <c r="X34" s="10"/>
      <c r="Y34" s="10"/>
      <c r="Z34" s="10"/>
      <c r="AA34" s="12"/>
      <c r="AB34" s="11"/>
      <c r="AC34" s="46">
        <f t="shared" si="8"/>
        <v>1330</v>
      </c>
      <c r="AD34" s="10"/>
      <c r="AE34" s="14"/>
      <c r="AF34" s="14"/>
      <c r="AG34" s="14"/>
      <c r="AH34" s="14"/>
      <c r="AI34" s="14"/>
      <c r="AJ34" s="23"/>
      <c r="AK34" s="13">
        <f>U34+AC34</f>
        <v>4485</v>
      </c>
      <c r="AL34" s="14"/>
      <c r="AM34" s="14"/>
      <c r="AN34" s="14"/>
      <c r="AO34" s="14"/>
      <c r="AP34" s="14"/>
      <c r="AQ34" s="14"/>
      <c r="AR34" s="23"/>
    </row>
    <row r="35" spans="1:133" s="1" customFormat="1" ht="24.75" thickBot="1" x14ac:dyDescent="0.6">
      <c r="A35" s="52" t="s">
        <v>44</v>
      </c>
      <c r="B35" s="52">
        <v>145</v>
      </c>
      <c r="C35" s="87">
        <v>3193</v>
      </c>
      <c r="D35" s="22">
        <v>1</v>
      </c>
      <c r="E35" s="52">
        <f>0</f>
        <v>0</v>
      </c>
      <c r="F35" s="52">
        <f>0</f>
        <v>0</v>
      </c>
      <c r="G35" s="14">
        <v>5</v>
      </c>
      <c r="H35" s="14">
        <f>0</f>
        <v>0</v>
      </c>
      <c r="I35" s="14">
        <f>0</f>
        <v>0</v>
      </c>
      <c r="J35" s="14">
        <v>1.1000000000000001</v>
      </c>
      <c r="K35" s="14">
        <v>2</v>
      </c>
      <c r="L35" s="14">
        <v>1.7</v>
      </c>
      <c r="M35" s="9">
        <f t="shared" si="6"/>
        <v>16</v>
      </c>
      <c r="N35" s="48"/>
      <c r="O35" s="10"/>
      <c r="P35" s="10"/>
      <c r="Q35" s="10"/>
      <c r="R35" s="12"/>
      <c r="S35" s="10"/>
      <c r="T35" s="48"/>
      <c r="U35" s="9">
        <f>ROUND(C35*J35,0)</f>
        <v>3512</v>
      </c>
      <c r="V35" s="48"/>
      <c r="W35" s="10"/>
      <c r="X35" s="10"/>
      <c r="Y35" s="10"/>
      <c r="Z35" s="10"/>
      <c r="AA35" s="12"/>
      <c r="AB35" s="174"/>
      <c r="AC35" s="46">
        <f t="shared" ref="AC35" si="10">ROUND(M35*960,0)</f>
        <v>15360</v>
      </c>
      <c r="AD35" s="10"/>
      <c r="AE35" s="145"/>
      <c r="AF35" s="145"/>
      <c r="AG35" s="145"/>
      <c r="AH35" s="145"/>
      <c r="AI35" s="145"/>
      <c r="AJ35" s="147"/>
      <c r="AK35" s="13">
        <f t="shared" si="9"/>
        <v>18872</v>
      </c>
      <c r="AL35" s="145"/>
      <c r="AM35" s="145"/>
      <c r="AN35" s="145"/>
      <c r="AO35" s="145"/>
      <c r="AP35" s="145"/>
      <c r="AQ35" s="145"/>
      <c r="AR35" s="147"/>
    </row>
    <row r="36" spans="1:133" ht="24.75" thickBot="1" x14ac:dyDescent="0.6">
      <c r="A36" s="973" t="s">
        <v>46</v>
      </c>
      <c r="B36" s="885">
        <f>SUM(B24:B35)</f>
        <v>1614</v>
      </c>
      <c r="C36" s="931">
        <f>SUM(C24:C35)</f>
        <v>38091</v>
      </c>
      <c r="D36" s="887"/>
      <c r="E36" s="888"/>
      <c r="F36" s="888"/>
      <c r="G36" s="888"/>
      <c r="H36" s="888"/>
      <c r="I36" s="888"/>
      <c r="J36" s="888"/>
      <c r="K36" s="888"/>
      <c r="L36" s="889"/>
      <c r="M36" s="158">
        <f t="shared" ref="M36:V36" si="11">SUM(M24:M35)</f>
        <v>189</v>
      </c>
      <c r="N36" s="158">
        <f t="shared" si="11"/>
        <v>0</v>
      </c>
      <c r="O36" s="160">
        <f t="shared" si="11"/>
        <v>0</v>
      </c>
      <c r="P36" s="160">
        <f t="shared" si="11"/>
        <v>0</v>
      </c>
      <c r="Q36" s="160">
        <f t="shared" si="11"/>
        <v>0</v>
      </c>
      <c r="R36" s="161">
        <f t="shared" si="11"/>
        <v>0</v>
      </c>
      <c r="S36" s="160">
        <f t="shared" si="11"/>
        <v>0</v>
      </c>
      <c r="T36" s="163">
        <f t="shared" si="11"/>
        <v>0</v>
      </c>
      <c r="U36" s="158">
        <f t="shared" si="11"/>
        <v>41901</v>
      </c>
      <c r="V36" s="158">
        <f t="shared" si="11"/>
        <v>0</v>
      </c>
      <c r="W36" s="164"/>
      <c r="X36" s="164"/>
      <c r="Y36" s="164"/>
      <c r="Z36" s="164"/>
      <c r="AA36" s="164"/>
      <c r="AB36" s="164"/>
      <c r="AC36" s="157">
        <f>SUM(AC24:AC35)</f>
        <v>31795</v>
      </c>
      <c r="AD36" s="157">
        <f>SUM(AD24:AD35)</f>
        <v>0</v>
      </c>
      <c r="AE36" s="164"/>
      <c r="AF36" s="164"/>
      <c r="AG36" s="164"/>
      <c r="AH36" s="164"/>
      <c r="AI36" s="164"/>
      <c r="AJ36" s="156"/>
      <c r="AK36" s="165">
        <f>SUM(AK24:AK35)</f>
        <v>73696</v>
      </c>
      <c r="AL36" s="165">
        <f>SUM(AL24:AL35)</f>
        <v>0</v>
      </c>
      <c r="AM36" s="164"/>
      <c r="AN36" s="164"/>
      <c r="AO36" s="164"/>
      <c r="AP36" s="164"/>
      <c r="AQ36" s="164"/>
      <c r="AR36" s="167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</row>
    <row r="37" spans="1:133" ht="27" thickBot="1" x14ac:dyDescent="0.75">
      <c r="A37" s="974"/>
      <c r="B37" s="886"/>
      <c r="C37" s="932"/>
      <c r="D37" s="890"/>
      <c r="E37" s="891"/>
      <c r="F37" s="891"/>
      <c r="G37" s="891"/>
      <c r="H37" s="891"/>
      <c r="I37" s="891"/>
      <c r="J37" s="891"/>
      <c r="K37" s="891"/>
      <c r="L37" s="892"/>
      <c r="M37" s="895">
        <f>M36+N36</f>
        <v>189</v>
      </c>
      <c r="N37" s="897"/>
      <c r="O37" s="898">
        <f>O36+P36+Q36</f>
        <v>0</v>
      </c>
      <c r="P37" s="899"/>
      <c r="Q37" s="955"/>
      <c r="R37" s="898">
        <f>R36+S36+T36</f>
        <v>0</v>
      </c>
      <c r="S37" s="899"/>
      <c r="T37" s="955"/>
      <c r="U37" s="956">
        <f>U36+V36</f>
        <v>41901</v>
      </c>
      <c r="V37" s="957"/>
      <c r="W37" s="951">
        <f>W36+X36+Y36</f>
        <v>0</v>
      </c>
      <c r="X37" s="952"/>
      <c r="Y37" s="953"/>
      <c r="Z37" s="951">
        <f>Z36+AA36+AB36</f>
        <v>0</v>
      </c>
      <c r="AA37" s="952"/>
      <c r="AB37" s="953"/>
      <c r="AC37" s="911">
        <f>AC36+AD36</f>
        <v>31795</v>
      </c>
      <c r="AD37" s="913"/>
      <c r="AE37" s="951">
        <f>AE36+AF36+AG36</f>
        <v>0</v>
      </c>
      <c r="AF37" s="952"/>
      <c r="AG37" s="953"/>
      <c r="AH37" s="951">
        <f>AH36+AI36+AJ36</f>
        <v>0</v>
      </c>
      <c r="AI37" s="952"/>
      <c r="AJ37" s="953"/>
      <c r="AK37" s="911">
        <f>AK36+AL36</f>
        <v>73696</v>
      </c>
      <c r="AL37" s="912"/>
      <c r="AM37" s="951">
        <f>AM36+AN36+AO36</f>
        <v>0</v>
      </c>
      <c r="AN37" s="952"/>
      <c r="AO37" s="953"/>
      <c r="AP37" s="951">
        <f>AP36+AQ36+AR36</f>
        <v>0</v>
      </c>
      <c r="AQ37" s="952"/>
      <c r="AR37" s="954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</row>
    <row r="38" spans="1:133" s="179" customFormat="1" ht="39.950000000000003" customHeight="1" thickBot="1" x14ac:dyDescent="0.6">
      <c r="A38" s="1050" t="s">
        <v>27</v>
      </c>
      <c r="B38" s="1051"/>
      <c r="C38" s="1051"/>
      <c r="D38" s="1051"/>
      <c r="E38" s="1051"/>
      <c r="F38" s="1051"/>
      <c r="G38" s="1051"/>
      <c r="H38" s="1051"/>
      <c r="I38" s="1051"/>
      <c r="J38" s="1051"/>
      <c r="K38" s="1051"/>
      <c r="L38" s="1051"/>
      <c r="M38" s="1051"/>
      <c r="N38" s="1051"/>
      <c r="O38" s="1051"/>
      <c r="P38" s="1051"/>
      <c r="Q38" s="1051"/>
      <c r="R38" s="1051"/>
      <c r="S38" s="1051"/>
      <c r="T38" s="1051"/>
      <c r="U38" s="1051"/>
      <c r="V38" s="1051"/>
      <c r="W38" s="1051"/>
      <c r="X38" s="1051"/>
      <c r="Y38" s="1051"/>
      <c r="Z38" s="1051"/>
      <c r="AA38" s="1051"/>
      <c r="AB38" s="1051"/>
      <c r="AC38" s="1051"/>
      <c r="AD38" s="1051"/>
      <c r="AE38" s="1051"/>
      <c r="AF38" s="1051"/>
      <c r="AG38" s="1051"/>
      <c r="AH38" s="1051"/>
      <c r="AI38" s="1051"/>
      <c r="AJ38" s="1051"/>
      <c r="AK38" s="1051"/>
      <c r="AL38" s="1051"/>
      <c r="AM38" s="1051"/>
      <c r="AN38" s="1051"/>
      <c r="AO38" s="1051"/>
      <c r="AP38" s="1051"/>
      <c r="AQ38" s="1051"/>
      <c r="AR38" s="1052"/>
      <c r="AS38" s="178"/>
      <c r="AT38" s="178"/>
      <c r="AU38" s="178"/>
      <c r="AV38" s="178"/>
      <c r="AW38" s="178"/>
      <c r="AX38" s="178"/>
      <c r="AY38" s="178"/>
      <c r="AZ38" s="178"/>
      <c r="BA38" s="178"/>
      <c r="BB38" s="178"/>
      <c r="BC38" s="178"/>
      <c r="BD38" s="178"/>
      <c r="BE38" s="178"/>
      <c r="BF38" s="178"/>
      <c r="BG38" s="178"/>
      <c r="BH38" s="178"/>
      <c r="BI38" s="178"/>
      <c r="BJ38" s="178"/>
      <c r="BK38" s="178"/>
      <c r="BL38" s="178"/>
      <c r="BM38" s="178"/>
      <c r="BN38" s="178"/>
      <c r="BO38" s="178"/>
      <c r="BP38" s="178"/>
      <c r="BQ38" s="178"/>
      <c r="BR38" s="178"/>
      <c r="BS38" s="178"/>
      <c r="BT38" s="178"/>
      <c r="BU38" s="178"/>
      <c r="BV38" s="178"/>
      <c r="BW38" s="178"/>
      <c r="BX38" s="178"/>
      <c r="BY38" s="178"/>
      <c r="BZ38" s="178"/>
      <c r="CA38" s="178"/>
      <c r="CB38" s="178"/>
      <c r="CC38" s="178"/>
      <c r="CD38" s="178"/>
      <c r="CE38" s="178"/>
      <c r="CF38" s="178"/>
      <c r="CG38" s="178"/>
      <c r="CH38" s="178"/>
      <c r="CI38" s="178"/>
      <c r="CJ38" s="178"/>
      <c r="CK38" s="178"/>
      <c r="CL38" s="178"/>
      <c r="CM38" s="178"/>
      <c r="CN38" s="178"/>
      <c r="CO38" s="178"/>
      <c r="CP38" s="178"/>
      <c r="CQ38" s="178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  <c r="DB38" s="178"/>
      <c r="DC38" s="178"/>
      <c r="DD38" s="178"/>
      <c r="DE38" s="178"/>
      <c r="DF38" s="178"/>
      <c r="DG38" s="178"/>
      <c r="DH38" s="178"/>
      <c r="DI38" s="178"/>
      <c r="DJ38" s="178"/>
      <c r="DK38" s="178"/>
      <c r="DL38" s="178"/>
      <c r="DM38" s="178"/>
      <c r="DN38" s="178"/>
      <c r="DO38" s="178"/>
      <c r="DP38" s="178"/>
      <c r="DQ38" s="178"/>
      <c r="DR38" s="178"/>
      <c r="DS38" s="178"/>
      <c r="DT38" s="178"/>
      <c r="DU38" s="178"/>
      <c r="DV38" s="178"/>
      <c r="DW38" s="178"/>
      <c r="DX38" s="178"/>
      <c r="DY38" s="178"/>
      <c r="DZ38" s="178"/>
      <c r="EA38" s="178"/>
      <c r="EB38" s="178"/>
      <c r="EC38" s="178"/>
    </row>
    <row r="39" spans="1:133" x14ac:dyDescent="0.55000000000000004">
      <c r="A39" s="49" t="s">
        <v>28</v>
      </c>
      <c r="B39" s="50">
        <v>82</v>
      </c>
      <c r="C39" s="51">
        <v>1813</v>
      </c>
      <c r="D39" s="46">
        <v>1</v>
      </c>
      <c r="E39" s="10">
        <v>0</v>
      </c>
      <c r="F39" s="10">
        <v>0</v>
      </c>
      <c r="G39" s="13">
        <v>5</v>
      </c>
      <c r="H39" s="14">
        <f>0</f>
        <v>0</v>
      </c>
      <c r="I39" s="23">
        <f>0</f>
        <v>0</v>
      </c>
      <c r="J39" s="13">
        <v>1.1000000000000001</v>
      </c>
      <c r="K39" s="14">
        <v>2</v>
      </c>
      <c r="L39" s="15">
        <v>1.7</v>
      </c>
      <c r="M39" s="13">
        <f>ROUND(C39*G39/1000,0)</f>
        <v>9</v>
      </c>
      <c r="N39" s="17">
        <f>0</f>
        <v>0</v>
      </c>
      <c r="O39" s="10">
        <f>0</f>
        <v>0</v>
      </c>
      <c r="P39" s="10">
        <f>0</f>
        <v>0</v>
      </c>
      <c r="Q39" s="10">
        <f>0</f>
        <v>0</v>
      </c>
      <c r="R39" s="15"/>
      <c r="S39" s="14"/>
      <c r="T39" s="18"/>
      <c r="U39" s="13">
        <f t="shared" ref="U39:U41" si="12">ROUND(C39*J39,0)</f>
        <v>1994</v>
      </c>
      <c r="V39" s="22"/>
      <c r="W39" s="52"/>
      <c r="X39" s="52"/>
      <c r="Y39" s="14"/>
      <c r="Z39" s="14"/>
      <c r="AA39" s="15"/>
      <c r="AB39" s="23"/>
      <c r="AC39" s="17">
        <f>ROUND(M39*95,0)</f>
        <v>855</v>
      </c>
      <c r="AD39" s="17">
        <f t="shared" ref="AD39:AD43" si="13">ROUND(N39*960,0)</f>
        <v>0</v>
      </c>
      <c r="AE39" s="10"/>
      <c r="AF39" s="14"/>
      <c r="AG39" s="14"/>
      <c r="AH39" s="15"/>
      <c r="AI39" s="14"/>
      <c r="AJ39" s="16"/>
      <c r="AK39" s="100">
        <f>U39+AC39</f>
        <v>2849</v>
      </c>
      <c r="AL39" s="14">
        <f t="shared" ref="AK39:AL43" si="14">V39+AD39</f>
        <v>0</v>
      </c>
      <c r="AM39" s="14"/>
      <c r="AN39" s="14"/>
      <c r="AO39" s="14"/>
      <c r="AP39" s="14"/>
      <c r="AQ39" s="14"/>
      <c r="AR39" s="16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133" x14ac:dyDescent="0.55000000000000004">
      <c r="A40" s="49" t="s">
        <v>29</v>
      </c>
      <c r="B40" s="50">
        <v>72</v>
      </c>
      <c r="C40" s="51">
        <v>1574</v>
      </c>
      <c r="D40" s="46">
        <v>1</v>
      </c>
      <c r="E40" s="10">
        <v>0</v>
      </c>
      <c r="F40" s="10">
        <v>0</v>
      </c>
      <c r="G40" s="13">
        <v>5</v>
      </c>
      <c r="H40" s="14">
        <f>0</f>
        <v>0</v>
      </c>
      <c r="I40" s="23">
        <f>0</f>
        <v>0</v>
      </c>
      <c r="J40" s="13">
        <v>1.1000000000000001</v>
      </c>
      <c r="K40" s="14">
        <v>2</v>
      </c>
      <c r="L40" s="15">
        <v>1.7</v>
      </c>
      <c r="M40" s="13">
        <f t="shared" ref="M40:M41" si="15">ROUND(C40*G40/1000,0)</f>
        <v>8</v>
      </c>
      <c r="N40" s="17">
        <f>0</f>
        <v>0</v>
      </c>
      <c r="O40" s="10">
        <f>0</f>
        <v>0</v>
      </c>
      <c r="P40" s="10">
        <f>0</f>
        <v>0</v>
      </c>
      <c r="Q40" s="10">
        <f>0</f>
        <v>0</v>
      </c>
      <c r="R40" s="15"/>
      <c r="S40" s="14"/>
      <c r="T40" s="18"/>
      <c r="U40" s="13">
        <f>ROUND(C40*J40,0)</f>
        <v>1731</v>
      </c>
      <c r="V40" s="22"/>
      <c r="W40" s="52"/>
      <c r="X40" s="52"/>
      <c r="Y40" s="14"/>
      <c r="Z40" s="14"/>
      <c r="AA40" s="15"/>
      <c r="AB40" s="23"/>
      <c r="AC40" s="17">
        <f>ROUND(M40*95,0)</f>
        <v>760</v>
      </c>
      <c r="AD40" s="17">
        <f t="shared" si="13"/>
        <v>0</v>
      </c>
      <c r="AE40" s="10"/>
      <c r="AF40" s="14"/>
      <c r="AG40" s="14"/>
      <c r="AH40" s="15"/>
      <c r="AI40" s="14"/>
      <c r="AJ40" s="16"/>
      <c r="AK40" s="100">
        <f t="shared" si="14"/>
        <v>2491</v>
      </c>
      <c r="AL40" s="14">
        <f t="shared" si="14"/>
        <v>0</v>
      </c>
      <c r="AM40" s="14"/>
      <c r="AN40" s="14"/>
      <c r="AO40" s="14"/>
      <c r="AP40" s="14"/>
      <c r="AQ40" s="14"/>
      <c r="AR40" s="16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133" ht="24.75" thickBot="1" x14ac:dyDescent="0.6">
      <c r="A41" s="49" t="s">
        <v>30</v>
      </c>
      <c r="B41" s="50">
        <v>69</v>
      </c>
      <c r="C41" s="51">
        <v>1509</v>
      </c>
      <c r="D41" s="46">
        <v>1</v>
      </c>
      <c r="E41" s="10">
        <v>0</v>
      </c>
      <c r="F41" s="10">
        <v>0</v>
      </c>
      <c r="G41" s="13">
        <v>5</v>
      </c>
      <c r="H41" s="14">
        <f>0</f>
        <v>0</v>
      </c>
      <c r="I41" s="23">
        <f>0</f>
        <v>0</v>
      </c>
      <c r="J41" s="13">
        <v>1.1000000000000001</v>
      </c>
      <c r="K41" s="14">
        <v>2</v>
      </c>
      <c r="L41" s="15">
        <v>1.7</v>
      </c>
      <c r="M41" s="13">
        <f t="shared" si="15"/>
        <v>8</v>
      </c>
      <c r="N41" s="17">
        <f>0</f>
        <v>0</v>
      </c>
      <c r="O41" s="10">
        <f>0</f>
        <v>0</v>
      </c>
      <c r="P41" s="10">
        <f>0</f>
        <v>0</v>
      </c>
      <c r="Q41" s="10">
        <f>0</f>
        <v>0</v>
      </c>
      <c r="R41" s="15"/>
      <c r="S41" s="14"/>
      <c r="T41" s="18"/>
      <c r="U41" s="13">
        <f t="shared" si="12"/>
        <v>1660</v>
      </c>
      <c r="V41" s="22"/>
      <c r="W41" s="52"/>
      <c r="X41" s="52"/>
      <c r="Y41" s="14"/>
      <c r="Z41" s="14"/>
      <c r="AA41" s="15"/>
      <c r="AB41" s="23"/>
      <c r="AC41" s="17">
        <f>ROUND(M41*95,0)</f>
        <v>760</v>
      </c>
      <c r="AD41" s="17">
        <f t="shared" si="13"/>
        <v>0</v>
      </c>
      <c r="AE41" s="10"/>
      <c r="AF41" s="14"/>
      <c r="AG41" s="14"/>
      <c r="AH41" s="15"/>
      <c r="AI41" s="14"/>
      <c r="AJ41" s="16"/>
      <c r="AK41" s="100">
        <f t="shared" si="14"/>
        <v>2420</v>
      </c>
      <c r="AL41" s="14">
        <f t="shared" si="14"/>
        <v>0</v>
      </c>
      <c r="AM41" s="14"/>
      <c r="AN41" s="14"/>
      <c r="AO41" s="14"/>
      <c r="AP41" s="14"/>
      <c r="AQ41" s="14"/>
      <c r="AR41" s="16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133" ht="24.75" thickBot="1" x14ac:dyDescent="0.6">
      <c r="A42" s="973" t="s">
        <v>31</v>
      </c>
      <c r="B42" s="885">
        <f>SUM(B39:B41)</f>
        <v>223</v>
      </c>
      <c r="C42" s="931">
        <f>SUM(C39:C41)</f>
        <v>4896</v>
      </c>
      <c r="D42" s="887"/>
      <c r="E42" s="888"/>
      <c r="F42" s="888"/>
      <c r="G42" s="888"/>
      <c r="H42" s="888"/>
      <c r="I42" s="888"/>
      <c r="J42" s="888"/>
      <c r="K42" s="888"/>
      <c r="L42" s="889"/>
      <c r="M42" s="158">
        <f>SUM(M39:M41)</f>
        <v>25</v>
      </c>
      <c r="N42" s="158">
        <f>SUM(N39:N41)</f>
        <v>0</v>
      </c>
      <c r="O42" s="160">
        <f>0</f>
        <v>0</v>
      </c>
      <c r="P42" s="160">
        <f>0</f>
        <v>0</v>
      </c>
      <c r="Q42" s="160">
        <f>0</f>
        <v>0</v>
      </c>
      <c r="R42" s="161"/>
      <c r="S42" s="160"/>
      <c r="T42" s="163"/>
      <c r="U42" s="158">
        <f>SUM(U39:U41)</f>
        <v>5385</v>
      </c>
      <c r="V42" s="158">
        <f>SUM(V39:V41)</f>
        <v>0</v>
      </c>
      <c r="W42" s="164"/>
      <c r="X42" s="164"/>
      <c r="Y42" s="164"/>
      <c r="Z42" s="164"/>
      <c r="AA42" s="164"/>
      <c r="AB42" s="164"/>
      <c r="AC42" s="157">
        <f>SUM(AC39:AC41)</f>
        <v>2375</v>
      </c>
      <c r="AD42" s="157">
        <f t="shared" si="13"/>
        <v>0</v>
      </c>
      <c r="AE42" s="164"/>
      <c r="AF42" s="164"/>
      <c r="AG42" s="164"/>
      <c r="AH42" s="164"/>
      <c r="AI42" s="164"/>
      <c r="AJ42" s="156"/>
      <c r="AK42" s="165">
        <f>SUM(AK39:AK41)</f>
        <v>7760</v>
      </c>
      <c r="AL42" s="165">
        <f>SUM(AL39:AL41)</f>
        <v>0</v>
      </c>
      <c r="AM42" s="164"/>
      <c r="AN42" s="164"/>
      <c r="AO42" s="164"/>
      <c r="AP42" s="164"/>
      <c r="AQ42" s="164"/>
      <c r="AR42" s="167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133" ht="27" thickBot="1" x14ac:dyDescent="0.75">
      <c r="A43" s="974"/>
      <c r="B43" s="886"/>
      <c r="C43" s="932"/>
      <c r="D43" s="890"/>
      <c r="E43" s="891"/>
      <c r="F43" s="891"/>
      <c r="G43" s="891"/>
      <c r="H43" s="891"/>
      <c r="I43" s="891"/>
      <c r="J43" s="891"/>
      <c r="K43" s="891"/>
      <c r="L43" s="892"/>
      <c r="M43" s="895">
        <f>M42+N42</f>
        <v>25</v>
      </c>
      <c r="N43" s="897">
        <f>M42+N42</f>
        <v>25</v>
      </c>
      <c r="O43" s="898">
        <f>+O42+P42+Q42</f>
        <v>0</v>
      </c>
      <c r="P43" s="899"/>
      <c r="Q43" s="955"/>
      <c r="R43" s="898">
        <f>+R42+S42+T42</f>
        <v>0</v>
      </c>
      <c r="S43" s="899"/>
      <c r="T43" s="955"/>
      <c r="U43" s="956">
        <f>U42+V42</f>
        <v>5385</v>
      </c>
      <c r="V43" s="957"/>
      <c r="W43" s="951">
        <f>W42+X42+Y42</f>
        <v>0</v>
      </c>
      <c r="X43" s="952"/>
      <c r="Y43" s="953"/>
      <c r="Z43" s="951">
        <f>Z42+AA42+AB42</f>
        <v>0</v>
      </c>
      <c r="AA43" s="952"/>
      <c r="AB43" s="953"/>
      <c r="AC43" s="911">
        <f>AC42+AD42</f>
        <v>2375</v>
      </c>
      <c r="AD43" s="913">
        <f t="shared" si="13"/>
        <v>24000</v>
      </c>
      <c r="AE43" s="951">
        <f>AE42+AF42+AG42</f>
        <v>0</v>
      </c>
      <c r="AF43" s="952"/>
      <c r="AG43" s="953"/>
      <c r="AH43" s="951">
        <f>AH42+AI42+AJ42</f>
        <v>0</v>
      </c>
      <c r="AI43" s="952"/>
      <c r="AJ43" s="953"/>
      <c r="AK43" s="911">
        <f>AK42+AL42</f>
        <v>7760</v>
      </c>
      <c r="AL43" s="912">
        <f t="shared" si="14"/>
        <v>24000</v>
      </c>
      <c r="AM43" s="951">
        <f>AM42+AN42+AO42</f>
        <v>0</v>
      </c>
      <c r="AN43" s="952"/>
      <c r="AO43" s="953"/>
      <c r="AP43" s="951">
        <f>AP42+AQ42+AR42</f>
        <v>0</v>
      </c>
      <c r="AQ43" s="952"/>
      <c r="AR43" s="954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133" ht="24.75" thickBot="1" x14ac:dyDescent="0.6">
      <c r="A44" s="49" t="s">
        <v>61</v>
      </c>
      <c r="B44" s="50">
        <v>8</v>
      </c>
      <c r="C44" s="51">
        <v>184</v>
      </c>
      <c r="D44" s="46">
        <v>1</v>
      </c>
      <c r="E44" s="10">
        <v>0</v>
      </c>
      <c r="F44" s="10">
        <v>0</v>
      </c>
      <c r="G44" s="13">
        <v>5</v>
      </c>
      <c r="H44" s="14">
        <f>0</f>
        <v>0</v>
      </c>
      <c r="I44" s="23">
        <f>0</f>
        <v>0</v>
      </c>
      <c r="J44" s="13">
        <v>1.1000000000000001</v>
      </c>
      <c r="K44" s="14">
        <v>2</v>
      </c>
      <c r="L44" s="15">
        <v>1.7</v>
      </c>
      <c r="M44" s="13">
        <f>ROUND(C44*G44/1000,0)</f>
        <v>1</v>
      </c>
      <c r="N44" s="17">
        <f>0</f>
        <v>0</v>
      </c>
      <c r="O44" s="10">
        <f>0</f>
        <v>0</v>
      </c>
      <c r="P44" s="10">
        <f>0</f>
        <v>0</v>
      </c>
      <c r="Q44" s="10">
        <f>0</f>
        <v>0</v>
      </c>
      <c r="R44" s="15"/>
      <c r="S44" s="14"/>
      <c r="T44" s="18"/>
      <c r="U44" s="13">
        <f>ROUND(C44*J44,0)</f>
        <v>202</v>
      </c>
      <c r="V44" s="22"/>
      <c r="W44" s="52"/>
      <c r="X44" s="52"/>
      <c r="Y44" s="14"/>
      <c r="Z44" s="14"/>
      <c r="AA44" s="15"/>
      <c r="AB44" s="23"/>
      <c r="AC44" s="17">
        <f>ROUND(M44*95,0)</f>
        <v>95</v>
      </c>
      <c r="AD44" s="17">
        <f t="shared" ref="AD44:AD46" si="16">ROUND(N44*960,0)</f>
        <v>0</v>
      </c>
      <c r="AE44" s="10"/>
      <c r="AF44" s="14"/>
      <c r="AG44" s="14"/>
      <c r="AH44" s="15"/>
      <c r="AI44" s="14"/>
      <c r="AJ44" s="16"/>
      <c r="AK44" s="100">
        <f>U44+AC44</f>
        <v>297</v>
      </c>
      <c r="AL44" s="14">
        <f t="shared" ref="AL44" si="17">V44+AD44</f>
        <v>0</v>
      </c>
      <c r="AM44" s="14"/>
      <c r="AN44" s="14"/>
      <c r="AO44" s="14"/>
      <c r="AP44" s="14"/>
      <c r="AQ44" s="14"/>
      <c r="AR44" s="16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133" ht="24.75" thickBot="1" x14ac:dyDescent="0.6">
      <c r="A45" s="973" t="s">
        <v>60</v>
      </c>
      <c r="B45" s="885">
        <f>SUM(B44:B44)</f>
        <v>8</v>
      </c>
      <c r="C45" s="931">
        <f>SUM(C44:C44)</f>
        <v>184</v>
      </c>
      <c r="D45" s="887"/>
      <c r="E45" s="888"/>
      <c r="F45" s="888"/>
      <c r="G45" s="888"/>
      <c r="H45" s="888"/>
      <c r="I45" s="888"/>
      <c r="J45" s="888"/>
      <c r="K45" s="888"/>
      <c r="L45" s="889"/>
      <c r="M45" s="158">
        <f>SUM(M44:M44)</f>
        <v>1</v>
      </c>
      <c r="N45" s="158">
        <f>SUM(N44:N44)</f>
        <v>0</v>
      </c>
      <c r="O45" s="160">
        <f t="shared" ref="O45:T45" si="18">SUM(O44:O44)</f>
        <v>0</v>
      </c>
      <c r="P45" s="160">
        <f t="shared" si="18"/>
        <v>0</v>
      </c>
      <c r="Q45" s="160">
        <f t="shared" si="18"/>
        <v>0</v>
      </c>
      <c r="R45" s="161">
        <f t="shared" si="18"/>
        <v>0</v>
      </c>
      <c r="S45" s="160">
        <f t="shared" si="18"/>
        <v>0</v>
      </c>
      <c r="T45" s="163">
        <f t="shared" si="18"/>
        <v>0</v>
      </c>
      <c r="U45" s="158">
        <f>SUM(U44:U44)</f>
        <v>202</v>
      </c>
      <c r="V45" s="158">
        <f>SUM(V44:V44)</f>
        <v>0</v>
      </c>
      <c r="W45" s="160">
        <f t="shared" ref="W45:AB45" si="19">SUM(W44:W44)</f>
        <v>0</v>
      </c>
      <c r="X45" s="160">
        <f>SUM(X44:X44)</f>
        <v>0</v>
      </c>
      <c r="Y45" s="160">
        <f t="shared" si="19"/>
        <v>0</v>
      </c>
      <c r="Z45" s="160">
        <f t="shared" si="19"/>
        <v>0</v>
      </c>
      <c r="AA45" s="160">
        <f t="shared" si="19"/>
        <v>0</v>
      </c>
      <c r="AB45" s="160">
        <f t="shared" si="19"/>
        <v>0</v>
      </c>
      <c r="AC45" s="157">
        <f>SUM(AC44:AC44)</f>
        <v>95</v>
      </c>
      <c r="AD45" s="157">
        <f t="shared" si="16"/>
        <v>0</v>
      </c>
      <c r="AE45" s="164"/>
      <c r="AF45" s="164"/>
      <c r="AG45" s="164"/>
      <c r="AH45" s="164"/>
      <c r="AI45" s="164"/>
      <c r="AJ45" s="156"/>
      <c r="AK45" s="165">
        <f>SUM(AK44:AK44)</f>
        <v>297</v>
      </c>
      <c r="AL45" s="165">
        <f>SUM(AL44:AL44)</f>
        <v>0</v>
      </c>
      <c r="AM45" s="164"/>
      <c r="AN45" s="164"/>
      <c r="AO45" s="164"/>
      <c r="AP45" s="164"/>
      <c r="AQ45" s="164"/>
      <c r="AR45" s="167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133" ht="27" thickBot="1" x14ac:dyDescent="0.75">
      <c r="A46" s="974"/>
      <c r="B46" s="886"/>
      <c r="C46" s="932"/>
      <c r="D46" s="890"/>
      <c r="E46" s="891"/>
      <c r="F46" s="891"/>
      <c r="G46" s="891"/>
      <c r="H46" s="891"/>
      <c r="I46" s="891"/>
      <c r="J46" s="891"/>
      <c r="K46" s="891"/>
      <c r="L46" s="892"/>
      <c r="M46" s="895">
        <f>M45+N45</f>
        <v>1</v>
      </c>
      <c r="N46" s="897">
        <f>M45+N45</f>
        <v>1</v>
      </c>
      <c r="O46" s="898">
        <f>+O45+P45+Q45</f>
        <v>0</v>
      </c>
      <c r="P46" s="899"/>
      <c r="Q46" s="955"/>
      <c r="R46" s="898">
        <f>+R45+S45+T45</f>
        <v>0</v>
      </c>
      <c r="S46" s="899"/>
      <c r="T46" s="955"/>
      <c r="U46" s="956">
        <f>U45+V45</f>
        <v>202</v>
      </c>
      <c r="V46" s="957"/>
      <c r="W46" s="951">
        <f>W45+X45+Y45</f>
        <v>0</v>
      </c>
      <c r="X46" s="952"/>
      <c r="Y46" s="953"/>
      <c r="Z46" s="951">
        <f>Z45+AA45+AB45</f>
        <v>0</v>
      </c>
      <c r="AA46" s="952"/>
      <c r="AB46" s="953"/>
      <c r="AC46" s="911">
        <f>AC45+AD45</f>
        <v>95</v>
      </c>
      <c r="AD46" s="913">
        <f t="shared" si="16"/>
        <v>960</v>
      </c>
      <c r="AE46" s="951">
        <f>AE45+AF45+AG45</f>
        <v>0</v>
      </c>
      <c r="AF46" s="952"/>
      <c r="AG46" s="953"/>
      <c r="AH46" s="951">
        <f>AH45+AI45+AJ45</f>
        <v>0</v>
      </c>
      <c r="AI46" s="952"/>
      <c r="AJ46" s="953"/>
      <c r="AK46" s="911">
        <f>AK45+AL45</f>
        <v>297</v>
      </c>
      <c r="AL46" s="912">
        <f t="shared" ref="AL46" si="20">V46+AD46</f>
        <v>960</v>
      </c>
      <c r="AM46" s="951">
        <f>AM45+AN45+AO45</f>
        <v>0</v>
      </c>
      <c r="AN46" s="952"/>
      <c r="AO46" s="953"/>
      <c r="AP46" s="951">
        <f>AP45+AQ45+AR45</f>
        <v>0</v>
      </c>
      <c r="AQ46" s="952"/>
      <c r="AR46" s="954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133" ht="24.75" thickBot="1" x14ac:dyDescent="0.6">
      <c r="A47" s="49" t="s">
        <v>62</v>
      </c>
      <c r="B47" s="50">
        <v>4</v>
      </c>
      <c r="C47" s="51">
        <v>93</v>
      </c>
      <c r="D47" s="46">
        <v>1</v>
      </c>
      <c r="E47" s="10">
        <v>0</v>
      </c>
      <c r="F47" s="10">
        <v>0</v>
      </c>
      <c r="G47" s="13">
        <v>5</v>
      </c>
      <c r="H47" s="14">
        <f>0</f>
        <v>0</v>
      </c>
      <c r="I47" s="23">
        <f>0</f>
        <v>0</v>
      </c>
      <c r="J47" s="13">
        <v>1.1000000000000001</v>
      </c>
      <c r="K47" s="14">
        <v>2</v>
      </c>
      <c r="L47" s="15">
        <v>1.7</v>
      </c>
      <c r="M47" s="13">
        <v>0.5</v>
      </c>
      <c r="N47" s="17">
        <f>0</f>
        <v>0</v>
      </c>
      <c r="O47" s="10">
        <f>0</f>
        <v>0</v>
      </c>
      <c r="P47" s="10">
        <f>0</f>
        <v>0</v>
      </c>
      <c r="Q47" s="10">
        <f>0</f>
        <v>0</v>
      </c>
      <c r="R47" s="15"/>
      <c r="S47" s="14"/>
      <c r="T47" s="18"/>
      <c r="U47" s="13">
        <f>ROUND(C47*J47,0)</f>
        <v>102</v>
      </c>
      <c r="V47" s="22"/>
      <c r="W47" s="52"/>
      <c r="X47" s="52"/>
      <c r="Y47" s="14"/>
      <c r="Z47" s="14"/>
      <c r="AA47" s="15"/>
      <c r="AB47" s="23"/>
      <c r="AC47" s="17">
        <f>ROUND(M47*95,0)</f>
        <v>48</v>
      </c>
      <c r="AD47" s="17">
        <f>ROUND(N47*960,0)</f>
        <v>0</v>
      </c>
      <c r="AE47" s="10"/>
      <c r="AF47" s="14"/>
      <c r="AG47" s="14"/>
      <c r="AH47" s="15"/>
      <c r="AI47" s="14"/>
      <c r="AJ47" s="16"/>
      <c r="AK47" s="100">
        <f>U47+AC47</f>
        <v>150</v>
      </c>
      <c r="AL47" s="14">
        <f>V47+AD47</f>
        <v>0</v>
      </c>
      <c r="AM47" s="14"/>
      <c r="AN47" s="14"/>
      <c r="AO47" s="14"/>
      <c r="AP47" s="14"/>
      <c r="AQ47" s="14"/>
      <c r="AR47" s="16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133" ht="24.75" thickBot="1" x14ac:dyDescent="0.6">
      <c r="A48" s="968" t="s">
        <v>63</v>
      </c>
      <c r="B48" s="885">
        <f>SUM(B47:B47)</f>
        <v>4</v>
      </c>
      <c r="C48" s="931">
        <f>SUM(C47:C47)</f>
        <v>93</v>
      </c>
      <c r="D48" s="887"/>
      <c r="E48" s="888"/>
      <c r="F48" s="888"/>
      <c r="G48" s="888"/>
      <c r="H48" s="888"/>
      <c r="I48" s="888"/>
      <c r="J48" s="888"/>
      <c r="K48" s="888"/>
      <c r="L48" s="889"/>
      <c r="M48" s="158">
        <f t="shared" ref="M48:AC48" si="21">SUM(M47:M47)</f>
        <v>0.5</v>
      </c>
      <c r="N48" s="158">
        <f t="shared" si="21"/>
        <v>0</v>
      </c>
      <c r="O48" s="160">
        <f t="shared" si="21"/>
        <v>0</v>
      </c>
      <c r="P48" s="160">
        <f t="shared" si="21"/>
        <v>0</v>
      </c>
      <c r="Q48" s="160">
        <f t="shared" si="21"/>
        <v>0</v>
      </c>
      <c r="R48" s="161">
        <f t="shared" si="21"/>
        <v>0</v>
      </c>
      <c r="S48" s="160">
        <f t="shared" si="21"/>
        <v>0</v>
      </c>
      <c r="T48" s="163">
        <f t="shared" si="21"/>
        <v>0</v>
      </c>
      <c r="U48" s="158">
        <f t="shared" si="21"/>
        <v>102</v>
      </c>
      <c r="V48" s="158">
        <f t="shared" si="21"/>
        <v>0</v>
      </c>
      <c r="W48" s="160">
        <f t="shared" si="21"/>
        <v>0</v>
      </c>
      <c r="X48" s="160">
        <f t="shared" si="21"/>
        <v>0</v>
      </c>
      <c r="Y48" s="160">
        <f t="shared" si="21"/>
        <v>0</v>
      </c>
      <c r="Z48" s="160">
        <f t="shared" si="21"/>
        <v>0</v>
      </c>
      <c r="AA48" s="160">
        <f t="shared" si="21"/>
        <v>0</v>
      </c>
      <c r="AB48" s="160">
        <f t="shared" si="21"/>
        <v>0</v>
      </c>
      <c r="AC48" s="157">
        <f t="shared" si="21"/>
        <v>48</v>
      </c>
      <c r="AD48" s="157">
        <f>ROUND(N48*960,0)</f>
        <v>0</v>
      </c>
      <c r="AE48" s="164"/>
      <c r="AF48" s="164"/>
      <c r="AG48" s="164"/>
      <c r="AH48" s="164"/>
      <c r="AI48" s="164"/>
      <c r="AJ48" s="156"/>
      <c r="AK48" s="165">
        <f>SUM(AK47:AK47)</f>
        <v>150</v>
      </c>
      <c r="AL48" s="165">
        <f>SUM(AL47:AL47)</f>
        <v>0</v>
      </c>
      <c r="AM48" s="164"/>
      <c r="AN48" s="164"/>
      <c r="AO48" s="164"/>
      <c r="AP48" s="164"/>
      <c r="AQ48" s="164"/>
      <c r="AR48" s="167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141" ht="27" thickBot="1" x14ac:dyDescent="0.75">
      <c r="A49" s="969"/>
      <c r="B49" s="886"/>
      <c r="C49" s="932"/>
      <c r="D49" s="890"/>
      <c r="E49" s="891"/>
      <c r="F49" s="891"/>
      <c r="G49" s="891"/>
      <c r="H49" s="891"/>
      <c r="I49" s="891"/>
      <c r="J49" s="891"/>
      <c r="K49" s="891"/>
      <c r="L49" s="892"/>
      <c r="M49" s="895">
        <f>M48+N48</f>
        <v>0.5</v>
      </c>
      <c r="N49" s="897">
        <f>M48+N48</f>
        <v>0.5</v>
      </c>
      <c r="O49" s="898">
        <f>+O48+P48+Q48</f>
        <v>0</v>
      </c>
      <c r="P49" s="899"/>
      <c r="Q49" s="955"/>
      <c r="R49" s="898">
        <f>+R48+S48+T48</f>
        <v>0</v>
      </c>
      <c r="S49" s="899"/>
      <c r="T49" s="955"/>
      <c r="U49" s="956">
        <f>U48+V48</f>
        <v>102</v>
      </c>
      <c r="V49" s="957"/>
      <c r="W49" s="951">
        <f>W48+X48+Y48</f>
        <v>0</v>
      </c>
      <c r="X49" s="952"/>
      <c r="Y49" s="953"/>
      <c r="Z49" s="951">
        <f>Z48+AA48+AB48</f>
        <v>0</v>
      </c>
      <c r="AA49" s="952"/>
      <c r="AB49" s="953"/>
      <c r="AC49" s="911">
        <f>AC48+AD48</f>
        <v>48</v>
      </c>
      <c r="AD49" s="913">
        <f>ROUND(N49*960,0)</f>
        <v>480</v>
      </c>
      <c r="AE49" s="951">
        <f>AE48+AF48+AG48</f>
        <v>0</v>
      </c>
      <c r="AF49" s="952"/>
      <c r="AG49" s="953"/>
      <c r="AH49" s="951">
        <f>AH48+AI48+AJ48</f>
        <v>0</v>
      </c>
      <c r="AI49" s="952"/>
      <c r="AJ49" s="953"/>
      <c r="AK49" s="911">
        <f>AK48+AL48</f>
        <v>150</v>
      </c>
      <c r="AL49" s="912">
        <f>V49+AD49</f>
        <v>480</v>
      </c>
      <c r="AM49" s="951">
        <f>AM48+AN48+AO48</f>
        <v>0</v>
      </c>
      <c r="AN49" s="952"/>
      <c r="AO49" s="953"/>
      <c r="AP49" s="951">
        <f>AP48+AQ48+AR48</f>
        <v>0</v>
      </c>
      <c r="AQ49" s="952"/>
      <c r="AR49" s="954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141" s="180" customFormat="1" ht="39.950000000000003" customHeight="1" thickBot="1" x14ac:dyDescent="0.6">
      <c r="A50" s="962" t="s">
        <v>70</v>
      </c>
      <c r="B50" s="963"/>
      <c r="C50" s="963"/>
      <c r="D50" s="963"/>
      <c r="E50" s="963"/>
      <c r="F50" s="963"/>
      <c r="G50" s="963"/>
      <c r="H50" s="963"/>
      <c r="I50" s="963"/>
      <c r="J50" s="963"/>
      <c r="K50" s="963"/>
      <c r="L50" s="963"/>
      <c r="M50" s="963"/>
      <c r="N50" s="963"/>
      <c r="O50" s="963"/>
      <c r="P50" s="963"/>
      <c r="Q50" s="963"/>
      <c r="R50" s="963"/>
      <c r="S50" s="963"/>
      <c r="T50" s="963"/>
      <c r="U50" s="963"/>
      <c r="V50" s="963"/>
      <c r="W50" s="963"/>
      <c r="X50" s="963"/>
      <c r="Y50" s="963"/>
      <c r="Z50" s="963"/>
      <c r="AA50" s="963"/>
      <c r="AB50" s="963"/>
      <c r="AC50" s="963"/>
      <c r="AD50" s="963"/>
      <c r="AE50" s="963"/>
      <c r="AF50" s="963"/>
      <c r="AG50" s="963"/>
      <c r="AH50" s="963"/>
      <c r="AI50" s="963"/>
      <c r="AJ50" s="963"/>
      <c r="AK50" s="963"/>
      <c r="AL50" s="963"/>
      <c r="AM50" s="963"/>
      <c r="AN50" s="963"/>
      <c r="AO50" s="963"/>
      <c r="AP50" s="963"/>
      <c r="AQ50" s="963"/>
      <c r="AR50" s="964"/>
      <c r="AS50" s="176"/>
      <c r="AT50" s="176"/>
      <c r="AU50" s="176"/>
      <c r="AV50" s="176"/>
      <c r="AW50" s="176"/>
      <c r="AX50" s="176"/>
      <c r="AY50" s="176"/>
      <c r="AZ50" s="176"/>
      <c r="BA50" s="176"/>
      <c r="BB50" s="176"/>
      <c r="BC50" s="176"/>
      <c r="BD50" s="176"/>
      <c r="BE50" s="176"/>
      <c r="BF50" s="176"/>
      <c r="BG50" s="176"/>
      <c r="BH50" s="176"/>
      <c r="BI50" s="176"/>
      <c r="BJ50" s="176"/>
      <c r="BK50" s="176"/>
      <c r="BL50" s="176"/>
      <c r="BM50" s="176"/>
      <c r="BN50" s="176"/>
      <c r="BO50" s="176"/>
      <c r="BP50" s="176"/>
      <c r="BQ50" s="176"/>
      <c r="BR50" s="176"/>
      <c r="BS50" s="176"/>
      <c r="BT50" s="176"/>
      <c r="BU50" s="176"/>
      <c r="BV50" s="176"/>
      <c r="BW50" s="176"/>
      <c r="BX50" s="176"/>
      <c r="BY50" s="176"/>
      <c r="BZ50" s="176"/>
      <c r="CA50" s="176"/>
      <c r="CB50" s="176"/>
      <c r="CC50" s="176"/>
      <c r="CD50" s="176"/>
      <c r="CE50" s="176"/>
      <c r="CF50" s="176"/>
      <c r="CG50" s="176"/>
      <c r="CH50" s="176"/>
      <c r="CI50" s="176"/>
      <c r="CJ50" s="176"/>
      <c r="CK50" s="176"/>
      <c r="CL50" s="176"/>
      <c r="CM50" s="176"/>
      <c r="CN50" s="176"/>
      <c r="CO50" s="176"/>
      <c r="CP50" s="176"/>
      <c r="CQ50" s="176"/>
      <c r="CR50" s="176"/>
      <c r="CS50" s="176"/>
      <c r="CT50" s="176"/>
      <c r="CU50" s="176"/>
      <c r="CV50" s="176"/>
      <c r="CW50" s="176"/>
      <c r="CX50" s="176"/>
      <c r="CY50" s="176"/>
      <c r="CZ50" s="176"/>
      <c r="DA50" s="176"/>
      <c r="DB50" s="176"/>
      <c r="DC50" s="176"/>
      <c r="DD50" s="176"/>
      <c r="DE50" s="176"/>
      <c r="DF50" s="176"/>
      <c r="DG50" s="176"/>
      <c r="DH50" s="176"/>
      <c r="DI50" s="176"/>
      <c r="DJ50" s="176"/>
      <c r="DK50" s="176"/>
      <c r="DL50" s="176"/>
      <c r="DM50" s="176"/>
      <c r="DN50" s="176"/>
      <c r="DO50" s="176"/>
      <c r="DP50" s="176"/>
      <c r="DQ50" s="176"/>
      <c r="DR50" s="176"/>
      <c r="DS50" s="176"/>
      <c r="DT50" s="176"/>
      <c r="DU50" s="176"/>
      <c r="DV50" s="176"/>
      <c r="DW50" s="176"/>
      <c r="DX50" s="176"/>
      <c r="DY50" s="176"/>
      <c r="DZ50" s="176"/>
      <c r="EA50" s="176"/>
      <c r="EB50" s="176"/>
      <c r="EC50" s="176"/>
      <c r="ED50" s="176"/>
      <c r="EE50" s="176"/>
      <c r="EF50" s="176"/>
      <c r="EG50" s="176"/>
      <c r="EH50" s="176"/>
      <c r="EI50" s="176"/>
      <c r="EJ50" s="176"/>
      <c r="EK50" s="176"/>
    </row>
    <row r="51" spans="1:141" s="177" customFormat="1" ht="39.950000000000003" customHeight="1" thickBot="1" x14ac:dyDescent="0.6">
      <c r="A51" s="928" t="s">
        <v>72</v>
      </c>
      <c r="B51" s="929"/>
      <c r="C51" s="929"/>
      <c r="D51" s="929"/>
      <c r="E51" s="929"/>
      <c r="F51" s="929"/>
      <c r="G51" s="929"/>
      <c r="H51" s="929"/>
      <c r="I51" s="929"/>
      <c r="J51" s="929"/>
      <c r="K51" s="929"/>
      <c r="L51" s="929"/>
      <c r="M51" s="929"/>
      <c r="N51" s="929"/>
      <c r="O51" s="929"/>
      <c r="P51" s="929"/>
      <c r="Q51" s="929"/>
      <c r="R51" s="929"/>
      <c r="S51" s="929"/>
      <c r="T51" s="929"/>
      <c r="U51" s="929"/>
      <c r="V51" s="929"/>
      <c r="W51" s="929"/>
      <c r="X51" s="929"/>
      <c r="Y51" s="929"/>
      <c r="Z51" s="929"/>
      <c r="AA51" s="929"/>
      <c r="AB51" s="929"/>
      <c r="AC51" s="929"/>
      <c r="AD51" s="929"/>
      <c r="AE51" s="929"/>
      <c r="AF51" s="929"/>
      <c r="AG51" s="929"/>
      <c r="AH51" s="929"/>
      <c r="AI51" s="929"/>
      <c r="AJ51" s="929"/>
      <c r="AK51" s="929"/>
      <c r="AL51" s="929"/>
      <c r="AM51" s="929"/>
      <c r="AN51" s="929"/>
      <c r="AO51" s="929"/>
      <c r="AP51" s="929"/>
      <c r="AQ51" s="929"/>
      <c r="AR51" s="930"/>
      <c r="AS51" s="176"/>
      <c r="AT51" s="176"/>
      <c r="AU51" s="176"/>
      <c r="AV51" s="176"/>
      <c r="AW51" s="176"/>
      <c r="AX51" s="176"/>
      <c r="AY51" s="176"/>
      <c r="AZ51" s="176"/>
      <c r="BA51" s="176"/>
      <c r="BB51" s="176"/>
      <c r="BC51" s="176"/>
      <c r="BD51" s="176"/>
      <c r="BE51" s="176"/>
      <c r="BF51" s="176"/>
      <c r="BG51" s="176"/>
      <c r="BH51" s="176"/>
      <c r="BI51" s="176"/>
      <c r="BJ51" s="176"/>
      <c r="BK51" s="176"/>
      <c r="BL51" s="176"/>
      <c r="BM51" s="176"/>
      <c r="BN51" s="176"/>
      <c r="BO51" s="176"/>
      <c r="BP51" s="176"/>
      <c r="BQ51" s="176"/>
      <c r="BR51" s="176"/>
      <c r="BS51" s="176"/>
      <c r="BT51" s="176"/>
      <c r="BU51" s="176"/>
      <c r="BV51" s="176"/>
      <c r="BW51" s="176"/>
      <c r="BX51" s="176"/>
      <c r="BY51" s="176"/>
      <c r="BZ51" s="176"/>
      <c r="CA51" s="176"/>
      <c r="CB51" s="176"/>
      <c r="CC51" s="176"/>
      <c r="CD51" s="176"/>
      <c r="CE51" s="176"/>
      <c r="CF51" s="176"/>
      <c r="CG51" s="176"/>
      <c r="CH51" s="176"/>
      <c r="CI51" s="176"/>
      <c r="CJ51" s="176"/>
      <c r="CK51" s="176"/>
      <c r="CL51" s="176"/>
      <c r="CM51" s="176"/>
      <c r="CN51" s="176"/>
      <c r="CO51" s="176"/>
      <c r="CP51" s="176"/>
      <c r="CQ51" s="176"/>
      <c r="CR51" s="176"/>
      <c r="CS51" s="176"/>
      <c r="CT51" s="176"/>
      <c r="CU51" s="176"/>
      <c r="CV51" s="176"/>
      <c r="CW51" s="176"/>
      <c r="CX51" s="176"/>
      <c r="CY51" s="176"/>
      <c r="CZ51" s="176"/>
      <c r="DA51" s="176"/>
      <c r="DB51" s="176"/>
      <c r="DC51" s="176"/>
      <c r="DD51" s="176"/>
      <c r="DE51" s="176"/>
      <c r="DF51" s="176"/>
      <c r="DG51" s="176"/>
      <c r="DH51" s="176"/>
      <c r="DI51" s="176"/>
      <c r="DJ51" s="176"/>
      <c r="DK51" s="176"/>
      <c r="DL51" s="176"/>
      <c r="DM51" s="176"/>
      <c r="DN51" s="176"/>
      <c r="DO51" s="176"/>
      <c r="DP51" s="176"/>
      <c r="DQ51" s="176"/>
      <c r="DR51" s="176"/>
      <c r="DS51" s="176"/>
      <c r="DT51" s="176"/>
      <c r="DU51" s="176"/>
      <c r="DV51" s="176"/>
      <c r="DW51" s="176"/>
      <c r="DX51" s="176"/>
      <c r="DY51" s="176"/>
      <c r="DZ51" s="176"/>
      <c r="EA51" s="176"/>
      <c r="EB51" s="176"/>
      <c r="EC51" s="176"/>
      <c r="ED51" s="176"/>
      <c r="EE51" s="176"/>
      <c r="EF51" s="176"/>
      <c r="EG51" s="176"/>
      <c r="EH51" s="176"/>
      <c r="EI51" s="176"/>
      <c r="EJ51" s="176"/>
      <c r="EK51" s="176"/>
    </row>
    <row r="52" spans="1:141" x14ac:dyDescent="0.55000000000000004">
      <c r="A52" s="65" t="s">
        <v>64</v>
      </c>
      <c r="B52" s="66">
        <v>4</v>
      </c>
      <c r="C52" s="67">
        <v>112</v>
      </c>
      <c r="D52" s="46">
        <v>1</v>
      </c>
      <c r="E52" s="10">
        <v>0</v>
      </c>
      <c r="F52" s="10">
        <v>0</v>
      </c>
      <c r="G52" s="9">
        <v>5</v>
      </c>
      <c r="H52" s="10">
        <v>12</v>
      </c>
      <c r="I52" s="11">
        <f>0</f>
        <v>0</v>
      </c>
      <c r="J52" s="9">
        <v>1.1000000000000001</v>
      </c>
      <c r="K52" s="10">
        <v>2</v>
      </c>
      <c r="L52" s="12">
        <v>1.7</v>
      </c>
      <c r="M52" s="9">
        <f>ROUND(C52*G52/1000,0)</f>
        <v>1</v>
      </c>
      <c r="N52" s="46">
        <f>0</f>
        <v>0</v>
      </c>
      <c r="O52" s="10">
        <f>ROUND(C52*H52/1000,0)</f>
        <v>1</v>
      </c>
      <c r="P52" s="10"/>
      <c r="Q52" s="10"/>
      <c r="R52" s="12"/>
      <c r="S52" s="10"/>
      <c r="T52" s="48"/>
      <c r="U52" s="9">
        <f>ROUND(C52*J52,0)</f>
        <v>123</v>
      </c>
      <c r="V52" s="46"/>
      <c r="W52" s="10">
        <f>ROUND(C52*K52,0)</f>
        <v>224</v>
      </c>
      <c r="X52" s="10"/>
      <c r="Y52" s="10"/>
      <c r="Z52" s="10"/>
      <c r="AA52" s="12"/>
      <c r="AB52" s="11"/>
      <c r="AC52" s="46">
        <f>ROUND(M52*95,0)</f>
        <v>95</v>
      </c>
      <c r="AD52" s="46"/>
      <c r="AE52" s="10">
        <f>ROUND(O52*95,0)</f>
        <v>95</v>
      </c>
      <c r="AF52" s="10"/>
      <c r="AG52" s="10"/>
      <c r="AH52" s="12"/>
      <c r="AI52" s="10"/>
      <c r="AJ52" s="47"/>
      <c r="AK52" s="168">
        <f>U52+AC52</f>
        <v>218</v>
      </c>
      <c r="AL52" s="10"/>
      <c r="AM52" s="10">
        <f>AE52+W52</f>
        <v>319</v>
      </c>
      <c r="AN52" s="10"/>
      <c r="AO52" s="10"/>
      <c r="AP52" s="10"/>
      <c r="AQ52" s="10"/>
      <c r="AR52" s="47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/>
      <c r="BS52" s="56"/>
      <c r="BT52" s="56"/>
      <c r="BU52" s="56"/>
      <c r="BV52" s="56"/>
      <c r="BW52" s="56"/>
      <c r="BX52" s="56"/>
      <c r="BY52" s="56"/>
      <c r="BZ52" s="56"/>
      <c r="CA52" s="56"/>
      <c r="CB52" s="56"/>
      <c r="CC52" s="56"/>
      <c r="CD52" s="56"/>
      <c r="CE52" s="56"/>
      <c r="CF52" s="56"/>
      <c r="CG52" s="56"/>
      <c r="CH52" s="56"/>
      <c r="CI52" s="56"/>
      <c r="CJ52" s="56"/>
      <c r="CK52" s="56"/>
      <c r="CL52" s="56"/>
      <c r="CM52" s="56"/>
      <c r="CN52" s="56"/>
      <c r="CO52" s="56"/>
      <c r="CP52" s="56"/>
      <c r="CQ52" s="56"/>
      <c r="CR52" s="56"/>
      <c r="CS52" s="56"/>
      <c r="CT52" s="56"/>
      <c r="CU52" s="56"/>
      <c r="CV52" s="56"/>
      <c r="CW52" s="56"/>
      <c r="CX52" s="56"/>
      <c r="CY52" s="56"/>
      <c r="CZ52" s="56"/>
      <c r="DA52" s="56"/>
      <c r="DB52" s="56"/>
      <c r="DC52" s="56"/>
      <c r="DD52" s="56"/>
      <c r="DE52" s="56"/>
      <c r="DF52" s="56"/>
      <c r="DG52" s="56"/>
      <c r="DH52" s="56"/>
      <c r="DI52" s="56"/>
      <c r="DJ52" s="56"/>
      <c r="DK52" s="56"/>
      <c r="DL52" s="56"/>
      <c r="DM52" s="56"/>
      <c r="DN52" s="56"/>
      <c r="DO52" s="56"/>
      <c r="DP52" s="56"/>
      <c r="DQ52" s="56"/>
      <c r="DR52" s="56"/>
      <c r="DS52" s="56"/>
      <c r="DT52" s="56"/>
      <c r="DU52" s="56"/>
      <c r="DV52" s="56"/>
      <c r="DW52" s="56"/>
      <c r="DX52" s="56"/>
      <c r="DY52" s="56"/>
      <c r="DZ52" s="56"/>
      <c r="EA52" s="56"/>
      <c r="EB52" s="56"/>
      <c r="EC52" s="56"/>
      <c r="ED52" s="56"/>
      <c r="EE52" s="56"/>
      <c r="EF52" s="56"/>
      <c r="EG52" s="56"/>
      <c r="EH52" s="56"/>
      <c r="EI52" s="56"/>
      <c r="EJ52" s="56"/>
      <c r="EK52" s="56"/>
    </row>
    <row r="53" spans="1:141" ht="24.75" thickBot="1" x14ac:dyDescent="0.6">
      <c r="A53" s="65" t="s">
        <v>65</v>
      </c>
      <c r="B53" s="24">
        <v>113</v>
      </c>
      <c r="C53" s="25">
        <v>2833</v>
      </c>
      <c r="D53" s="31">
        <v>1</v>
      </c>
      <c r="E53" s="10">
        <v>0</v>
      </c>
      <c r="F53" s="10">
        <v>0</v>
      </c>
      <c r="G53" s="27">
        <v>5</v>
      </c>
      <c r="H53" s="28">
        <v>12</v>
      </c>
      <c r="I53" s="29">
        <f>0</f>
        <v>0</v>
      </c>
      <c r="J53" s="27">
        <v>1.1000000000000001</v>
      </c>
      <c r="K53" s="28">
        <v>2</v>
      </c>
      <c r="L53" s="30">
        <v>1.7</v>
      </c>
      <c r="M53" s="13">
        <f>ROUND(C53*G53/1000,0)</f>
        <v>14</v>
      </c>
      <c r="N53" s="46">
        <f>0</f>
        <v>0</v>
      </c>
      <c r="O53" s="14">
        <f>ROUND(C53*H53/1000,0)</f>
        <v>34</v>
      </c>
      <c r="P53" s="14"/>
      <c r="Q53" s="14"/>
      <c r="R53" s="15"/>
      <c r="S53" s="14"/>
      <c r="T53" s="18"/>
      <c r="U53" s="13">
        <f>ROUND(C53*J53,0)</f>
        <v>3116</v>
      </c>
      <c r="V53" s="17"/>
      <c r="W53" s="14">
        <f>ROUND(C53*K53,0)</f>
        <v>5666</v>
      </c>
      <c r="X53" s="14"/>
      <c r="Y53" s="14"/>
      <c r="Z53" s="14"/>
      <c r="AA53" s="15"/>
      <c r="AB53" s="23"/>
      <c r="AC53" s="17">
        <f>ROUND(M53*95,0)</f>
        <v>1330</v>
      </c>
      <c r="AD53" s="17"/>
      <c r="AE53" s="14">
        <f>ROUND(O53*95,0)</f>
        <v>3230</v>
      </c>
      <c r="AF53" s="14"/>
      <c r="AG53" s="14"/>
      <c r="AH53" s="15"/>
      <c r="AI53" s="14"/>
      <c r="AJ53" s="16"/>
      <c r="AK53" s="100">
        <f>U53+AC53</f>
        <v>4446</v>
      </c>
      <c r="AL53" s="14"/>
      <c r="AM53" s="10">
        <f>AE53+W53</f>
        <v>8896</v>
      </c>
      <c r="AN53" s="14"/>
      <c r="AO53" s="14"/>
      <c r="AP53" s="14"/>
      <c r="AQ53" s="14"/>
      <c r="AR53" s="1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/>
      <c r="BS53" s="56"/>
      <c r="BT53" s="56"/>
      <c r="BU53" s="56"/>
      <c r="BV53" s="56"/>
      <c r="BW53" s="56"/>
      <c r="BX53" s="56"/>
      <c r="BY53" s="56"/>
      <c r="BZ53" s="56"/>
      <c r="CA53" s="56"/>
      <c r="CB53" s="56"/>
      <c r="CC53" s="56"/>
      <c r="CD53" s="56"/>
      <c r="CE53" s="56"/>
      <c r="CF53" s="56"/>
      <c r="CG53" s="56"/>
      <c r="CH53" s="56"/>
      <c r="CI53" s="56"/>
      <c r="CJ53" s="56"/>
      <c r="CK53" s="56"/>
      <c r="CL53" s="56"/>
      <c r="CM53" s="56"/>
      <c r="CN53" s="56"/>
      <c r="CO53" s="56"/>
      <c r="CP53" s="56"/>
      <c r="CQ53" s="56"/>
      <c r="CR53" s="56"/>
      <c r="CS53" s="56"/>
      <c r="CT53" s="56"/>
      <c r="CU53" s="56"/>
      <c r="CV53" s="56"/>
      <c r="CW53" s="56"/>
      <c r="CX53" s="56"/>
      <c r="CY53" s="56"/>
      <c r="CZ53" s="56"/>
      <c r="DA53" s="56"/>
      <c r="DB53" s="56"/>
      <c r="DC53" s="56"/>
      <c r="DD53" s="56"/>
      <c r="DE53" s="56"/>
      <c r="DF53" s="56"/>
      <c r="DG53" s="56"/>
      <c r="DH53" s="56"/>
      <c r="DI53" s="56"/>
      <c r="DJ53" s="56"/>
      <c r="DK53" s="56"/>
      <c r="DL53" s="56"/>
      <c r="DM53" s="56"/>
      <c r="DN53" s="56"/>
      <c r="DO53" s="56"/>
      <c r="DP53" s="56"/>
      <c r="DQ53" s="56"/>
      <c r="DR53" s="56"/>
      <c r="DS53" s="56"/>
      <c r="DT53" s="56"/>
      <c r="DU53" s="56"/>
      <c r="DV53" s="56"/>
      <c r="DW53" s="56"/>
      <c r="DX53" s="56"/>
      <c r="DY53" s="56"/>
      <c r="DZ53" s="56"/>
      <c r="EA53" s="56"/>
      <c r="EB53" s="56"/>
      <c r="EC53" s="56"/>
      <c r="ED53" s="56"/>
      <c r="EE53" s="56"/>
      <c r="EF53" s="56"/>
      <c r="EG53" s="56"/>
      <c r="EH53" s="56"/>
      <c r="EI53" s="56"/>
      <c r="EJ53" s="56"/>
      <c r="EK53" s="56"/>
    </row>
    <row r="54" spans="1:141" ht="24.75" thickBot="1" x14ac:dyDescent="0.6">
      <c r="A54" s="973" t="s">
        <v>25</v>
      </c>
      <c r="B54" s="885">
        <f>SUM(B52:B53)</f>
        <v>117</v>
      </c>
      <c r="C54" s="931">
        <f>SUM(C52:C53)</f>
        <v>2945</v>
      </c>
      <c r="D54" s="887"/>
      <c r="E54" s="888"/>
      <c r="F54" s="888"/>
      <c r="G54" s="888"/>
      <c r="H54" s="888"/>
      <c r="I54" s="888"/>
      <c r="J54" s="888"/>
      <c r="K54" s="888"/>
      <c r="L54" s="889"/>
      <c r="M54" s="158">
        <f>SUM(M52:M53)</f>
        <v>15</v>
      </c>
      <c r="N54" s="158">
        <f>SUM(N51:N53)</f>
        <v>0</v>
      </c>
      <c r="O54" s="160">
        <f>SUM(O52:O53)</f>
        <v>35</v>
      </c>
      <c r="P54" s="160">
        <f>0</f>
        <v>0</v>
      </c>
      <c r="Q54" s="160">
        <f>0</f>
        <v>0</v>
      </c>
      <c r="R54" s="161"/>
      <c r="S54" s="160"/>
      <c r="T54" s="163"/>
      <c r="U54" s="158">
        <f>SUM(U51:U53)</f>
        <v>3239</v>
      </c>
      <c r="V54" s="158">
        <f>SUM(V51:V53)</f>
        <v>0</v>
      </c>
      <c r="W54" s="166">
        <f>W52+W53</f>
        <v>5890</v>
      </c>
      <c r="X54" s="164"/>
      <c r="Y54" s="164"/>
      <c r="Z54" s="164"/>
      <c r="AA54" s="164"/>
      <c r="AB54" s="164"/>
      <c r="AC54" s="157">
        <f>SUM(AC51:AC53)</f>
        <v>1425</v>
      </c>
      <c r="AD54" s="157">
        <f t="shared" ref="AD54:AD58" si="22">ROUND(N54*960,0)</f>
        <v>0</v>
      </c>
      <c r="AE54" s="166">
        <f>AE52+AE53</f>
        <v>3325</v>
      </c>
      <c r="AF54" s="166">
        <f>AF52+AF53</f>
        <v>0</v>
      </c>
      <c r="AG54" s="164"/>
      <c r="AH54" s="164"/>
      <c r="AI54" s="164"/>
      <c r="AJ54" s="156"/>
      <c r="AK54" s="165">
        <f>SUM(AK51:AK53)</f>
        <v>4664</v>
      </c>
      <c r="AL54" s="165">
        <f>SUM(AL51:AL53)</f>
        <v>0</v>
      </c>
      <c r="AM54" s="166">
        <f>AM52+AM53</f>
        <v>9215</v>
      </c>
      <c r="AN54" s="166">
        <f>AN52+AN53</f>
        <v>0</v>
      </c>
      <c r="AO54" s="164"/>
      <c r="AP54" s="164"/>
      <c r="AQ54" s="164"/>
      <c r="AR54" s="167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141" ht="27" thickBot="1" x14ac:dyDescent="0.75">
      <c r="A55" s="974"/>
      <c r="B55" s="886"/>
      <c r="C55" s="932"/>
      <c r="D55" s="890"/>
      <c r="E55" s="891"/>
      <c r="F55" s="891"/>
      <c r="G55" s="891"/>
      <c r="H55" s="891"/>
      <c r="I55" s="891"/>
      <c r="J55" s="891"/>
      <c r="K55" s="891"/>
      <c r="L55" s="892"/>
      <c r="M55" s="895">
        <f>M54+N54</f>
        <v>15</v>
      </c>
      <c r="N55" s="897">
        <f>M54+N54</f>
        <v>15</v>
      </c>
      <c r="O55" s="895">
        <f>+O54+P54+Q54</f>
        <v>35</v>
      </c>
      <c r="P55" s="896"/>
      <c r="Q55" s="897"/>
      <c r="R55" s="898">
        <f>+R54+S54+T54</f>
        <v>0</v>
      </c>
      <c r="S55" s="899"/>
      <c r="T55" s="955"/>
      <c r="U55" s="956">
        <f>U54+V54</f>
        <v>3239</v>
      </c>
      <c r="V55" s="957"/>
      <c r="W55" s="939">
        <f>W54+X54+Y54</f>
        <v>5890</v>
      </c>
      <c r="X55" s="940"/>
      <c r="Y55" s="967"/>
      <c r="Z55" s="951">
        <f>Z54+AA54+AB54</f>
        <v>0</v>
      </c>
      <c r="AA55" s="952"/>
      <c r="AB55" s="953"/>
      <c r="AC55" s="911">
        <f>AC54+AD54</f>
        <v>1425</v>
      </c>
      <c r="AD55" s="913">
        <f t="shared" si="22"/>
        <v>14400</v>
      </c>
      <c r="AE55" s="939">
        <f>AE54+AF54+AG54</f>
        <v>3325</v>
      </c>
      <c r="AF55" s="940"/>
      <c r="AG55" s="967"/>
      <c r="AH55" s="951">
        <f>AH54+AI54+AJ54</f>
        <v>0</v>
      </c>
      <c r="AI55" s="952"/>
      <c r="AJ55" s="953"/>
      <c r="AK55" s="911">
        <f>AK54+AL54</f>
        <v>4664</v>
      </c>
      <c r="AL55" s="912">
        <f t="shared" ref="AL55" si="23">V55+AD55</f>
        <v>14400</v>
      </c>
      <c r="AM55" s="939">
        <f>AM54+AN54+AO54</f>
        <v>9215</v>
      </c>
      <c r="AN55" s="940"/>
      <c r="AO55" s="967"/>
      <c r="AP55" s="951">
        <f>AP54+AQ54+AR54</f>
        <v>0</v>
      </c>
      <c r="AQ55" s="952"/>
      <c r="AR55" s="954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141" s="1" customFormat="1" ht="24.75" thickBot="1" x14ac:dyDescent="0.6">
      <c r="A56" s="52" t="s">
        <v>48</v>
      </c>
      <c r="B56" s="52">
        <v>168</v>
      </c>
      <c r="C56" s="87">
        <v>4192</v>
      </c>
      <c r="D56" s="22">
        <v>1</v>
      </c>
      <c r="E56" s="52">
        <v>0</v>
      </c>
      <c r="F56" s="52">
        <v>0</v>
      </c>
      <c r="G56" s="14">
        <v>5</v>
      </c>
      <c r="H56" s="14">
        <v>12</v>
      </c>
      <c r="I56" s="14">
        <f>0</f>
        <v>0</v>
      </c>
      <c r="J56" s="14">
        <v>1.1000000000000001</v>
      </c>
      <c r="K56" s="14">
        <v>2</v>
      </c>
      <c r="L56" s="14">
        <v>1.7</v>
      </c>
      <c r="M56" s="9">
        <f>ROUND(C56*G56/1000,0)</f>
        <v>21</v>
      </c>
      <c r="N56" s="48"/>
      <c r="O56" s="10">
        <f>ROUND(C56*H56/1000,0)</f>
        <v>50</v>
      </c>
      <c r="P56" s="10">
        <f>0</f>
        <v>0</v>
      </c>
      <c r="Q56" s="10">
        <f>0</f>
        <v>0</v>
      </c>
      <c r="R56" s="12">
        <f>0</f>
        <v>0</v>
      </c>
      <c r="S56" s="10">
        <f>0</f>
        <v>0</v>
      </c>
      <c r="T56" s="48">
        <f>0</f>
        <v>0</v>
      </c>
      <c r="U56" s="9">
        <f>ROUND(C56*J56,0)</f>
        <v>4611</v>
      </c>
      <c r="V56" s="48"/>
      <c r="W56" s="10">
        <f>ROUND(C56*K56,0)</f>
        <v>8384</v>
      </c>
      <c r="X56" s="10"/>
      <c r="Y56" s="10"/>
      <c r="Z56" s="10"/>
      <c r="AA56" s="12"/>
      <c r="AB56" s="11"/>
      <c r="AC56" s="46">
        <f>ROUND(M56*95,0)</f>
        <v>1995</v>
      </c>
      <c r="AD56" s="10">
        <f>0</f>
        <v>0</v>
      </c>
      <c r="AE56" s="14">
        <f>ROUND(O56*95,0)</f>
        <v>4750</v>
      </c>
      <c r="AF56" s="14">
        <f>ROUND(P56*95,0)</f>
        <v>0</v>
      </c>
      <c r="AG56" s="14"/>
      <c r="AH56" s="14"/>
      <c r="AI56" s="14"/>
      <c r="AJ56" s="23"/>
      <c r="AK56" s="13">
        <f>U56+AC56</f>
        <v>6606</v>
      </c>
      <c r="AL56" s="14">
        <f>0</f>
        <v>0</v>
      </c>
      <c r="AM56" s="14">
        <f>AE56+W56</f>
        <v>13134</v>
      </c>
      <c r="AN56" s="14">
        <f>0</f>
        <v>0</v>
      </c>
      <c r="AO56" s="14"/>
      <c r="AP56" s="14"/>
      <c r="AQ56" s="14"/>
      <c r="AR56" s="23"/>
    </row>
    <row r="57" spans="1:141" ht="24.75" thickBot="1" x14ac:dyDescent="0.6">
      <c r="A57" s="968" t="s">
        <v>46</v>
      </c>
      <c r="B57" s="885">
        <f>B56</f>
        <v>168</v>
      </c>
      <c r="C57" s="931">
        <f>C56</f>
        <v>4192</v>
      </c>
      <c r="D57" s="887"/>
      <c r="E57" s="888"/>
      <c r="F57" s="888"/>
      <c r="G57" s="888"/>
      <c r="H57" s="888"/>
      <c r="I57" s="888"/>
      <c r="J57" s="888"/>
      <c r="K57" s="888"/>
      <c r="L57" s="889"/>
      <c r="M57" s="158">
        <f>M56</f>
        <v>21</v>
      </c>
      <c r="N57" s="158">
        <f>N56</f>
        <v>0</v>
      </c>
      <c r="O57" s="160">
        <f>O56</f>
        <v>50</v>
      </c>
      <c r="P57" s="160">
        <f>P56</f>
        <v>0</v>
      </c>
      <c r="Q57" s="160">
        <f>0</f>
        <v>0</v>
      </c>
      <c r="R57" s="161">
        <f t="shared" ref="R57:X57" si="24">R56</f>
        <v>0</v>
      </c>
      <c r="S57" s="160">
        <f t="shared" si="24"/>
        <v>0</v>
      </c>
      <c r="T57" s="163">
        <f t="shared" si="24"/>
        <v>0</v>
      </c>
      <c r="U57" s="158">
        <f t="shared" si="24"/>
        <v>4611</v>
      </c>
      <c r="V57" s="158">
        <f t="shared" si="24"/>
        <v>0</v>
      </c>
      <c r="W57" s="160">
        <f t="shared" si="24"/>
        <v>8384</v>
      </c>
      <c r="X57" s="160">
        <f t="shared" si="24"/>
        <v>0</v>
      </c>
      <c r="Y57" s="160">
        <f>0</f>
        <v>0</v>
      </c>
      <c r="Z57" s="160">
        <f>0</f>
        <v>0</v>
      </c>
      <c r="AA57" s="160">
        <f>0</f>
        <v>0</v>
      </c>
      <c r="AB57" s="160">
        <f>0</f>
        <v>0</v>
      </c>
      <c r="AC57" s="157">
        <f>AC56</f>
        <v>1995</v>
      </c>
      <c r="AD57" s="157">
        <f t="shared" si="22"/>
        <v>0</v>
      </c>
      <c r="AE57" s="175">
        <f>AE56</f>
        <v>4750</v>
      </c>
      <c r="AF57" s="175">
        <f>AF56</f>
        <v>0</v>
      </c>
      <c r="AG57" s="164"/>
      <c r="AH57" s="164"/>
      <c r="AI57" s="164"/>
      <c r="AJ57" s="156"/>
      <c r="AK57" s="165">
        <f>SUM(AC56+U56)</f>
        <v>6606</v>
      </c>
      <c r="AL57" s="165">
        <f>AL56</f>
        <v>0</v>
      </c>
      <c r="AM57" s="175">
        <f>AM56</f>
        <v>13134</v>
      </c>
      <c r="AN57" s="164">
        <f>0</f>
        <v>0</v>
      </c>
      <c r="AO57" s="164"/>
      <c r="AP57" s="164"/>
      <c r="AQ57" s="164"/>
      <c r="AR57" s="167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141" ht="27" thickBot="1" x14ac:dyDescent="0.75">
      <c r="A58" s="969"/>
      <c r="B58" s="886"/>
      <c r="C58" s="932"/>
      <c r="D58" s="890"/>
      <c r="E58" s="891"/>
      <c r="F58" s="891"/>
      <c r="G58" s="891"/>
      <c r="H58" s="891"/>
      <c r="I58" s="891"/>
      <c r="J58" s="891"/>
      <c r="K58" s="891"/>
      <c r="L58" s="892"/>
      <c r="M58" s="895">
        <f>M57+N57</f>
        <v>21</v>
      </c>
      <c r="N58" s="897">
        <f>M57+N57</f>
        <v>21</v>
      </c>
      <c r="O58" s="970">
        <f>O57+P57</f>
        <v>50</v>
      </c>
      <c r="P58" s="971"/>
      <c r="Q58" s="972"/>
      <c r="R58" s="898">
        <f>R57+S57+T57</f>
        <v>0</v>
      </c>
      <c r="S58" s="899"/>
      <c r="T58" s="955"/>
      <c r="U58" s="956">
        <f>U57+V57</f>
        <v>4611</v>
      </c>
      <c r="V58" s="957"/>
      <c r="W58" s="939">
        <f>W57+X57+Y57</f>
        <v>8384</v>
      </c>
      <c r="X58" s="940"/>
      <c r="Y58" s="967"/>
      <c r="Z58" s="951">
        <f>Z57+AA57+AB57</f>
        <v>0</v>
      </c>
      <c r="AA58" s="952"/>
      <c r="AB58" s="953"/>
      <c r="AC58" s="911">
        <f>AC57+AD57</f>
        <v>1995</v>
      </c>
      <c r="AD58" s="913">
        <f t="shared" si="22"/>
        <v>20160</v>
      </c>
      <c r="AE58" s="939">
        <f>AE57+AF57+AG57</f>
        <v>4750</v>
      </c>
      <c r="AF58" s="940"/>
      <c r="AG58" s="967"/>
      <c r="AH58" s="951">
        <f>AH57+AI57+AJ57</f>
        <v>0</v>
      </c>
      <c r="AI58" s="952"/>
      <c r="AJ58" s="953"/>
      <c r="AK58" s="911">
        <f>AK57+AL57</f>
        <v>6606</v>
      </c>
      <c r="AL58" s="912">
        <f t="shared" ref="AL58" si="25">V58+AD58</f>
        <v>20160</v>
      </c>
      <c r="AM58" s="939">
        <f>AM57+AN57+AO57</f>
        <v>13134</v>
      </c>
      <c r="AN58" s="940"/>
      <c r="AO58" s="967"/>
      <c r="AP58" s="951">
        <f>AP57+AQ57+AR57</f>
        <v>0</v>
      </c>
      <c r="AQ58" s="952"/>
      <c r="AR58" s="954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141" s="68" customFormat="1" ht="39.950000000000003" customHeight="1" thickBot="1" x14ac:dyDescent="0.6">
      <c r="A59" s="880" t="s">
        <v>71</v>
      </c>
      <c r="B59" s="881"/>
      <c r="C59" s="881"/>
      <c r="D59" s="881"/>
      <c r="E59" s="881"/>
      <c r="F59" s="881"/>
      <c r="G59" s="881"/>
      <c r="H59" s="881"/>
      <c r="I59" s="881"/>
      <c r="J59" s="881"/>
      <c r="K59" s="881"/>
      <c r="L59" s="881"/>
      <c r="M59" s="881"/>
      <c r="N59" s="881"/>
      <c r="O59" s="881"/>
      <c r="P59" s="881"/>
      <c r="Q59" s="881"/>
      <c r="R59" s="881"/>
      <c r="S59" s="881"/>
      <c r="T59" s="881"/>
      <c r="U59" s="881"/>
      <c r="V59" s="881"/>
      <c r="W59" s="881"/>
      <c r="X59" s="881"/>
      <c r="Y59" s="881"/>
      <c r="Z59" s="881"/>
      <c r="AA59" s="881"/>
      <c r="AB59" s="881"/>
      <c r="AC59" s="881"/>
      <c r="AD59" s="881"/>
      <c r="AE59" s="881"/>
      <c r="AF59" s="881"/>
      <c r="AG59" s="881"/>
      <c r="AH59" s="881"/>
      <c r="AI59" s="881"/>
      <c r="AJ59" s="881"/>
      <c r="AK59" s="881"/>
      <c r="AL59" s="881"/>
      <c r="AM59" s="881"/>
      <c r="AN59" s="881"/>
      <c r="AO59" s="881"/>
      <c r="AP59" s="881"/>
      <c r="AQ59" s="881"/>
      <c r="AR59" s="882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  <c r="BQ59" s="69"/>
      <c r="BR59" s="69"/>
      <c r="BS59" s="69"/>
      <c r="BT59" s="69"/>
      <c r="BU59" s="69"/>
      <c r="BV59" s="69"/>
      <c r="BW59" s="69"/>
      <c r="BX59" s="69"/>
      <c r="BY59" s="69"/>
      <c r="BZ59" s="69"/>
      <c r="CA59" s="69"/>
      <c r="CB59" s="69"/>
      <c r="CC59" s="69"/>
      <c r="CD59" s="69"/>
      <c r="CE59" s="69"/>
      <c r="CF59" s="69"/>
      <c r="CG59" s="69"/>
      <c r="CH59" s="69"/>
      <c r="CI59" s="69"/>
      <c r="CJ59" s="69"/>
      <c r="CK59" s="69"/>
      <c r="CL59" s="69"/>
      <c r="CM59" s="69"/>
      <c r="CN59" s="69"/>
      <c r="CO59" s="69"/>
      <c r="CP59" s="69"/>
      <c r="CQ59" s="69"/>
      <c r="CR59" s="69"/>
      <c r="CS59" s="69"/>
      <c r="CT59" s="69"/>
      <c r="CU59" s="69"/>
      <c r="CV59" s="69"/>
      <c r="CW59" s="69"/>
      <c r="CX59" s="69"/>
      <c r="CY59" s="69"/>
      <c r="CZ59" s="69"/>
      <c r="DA59" s="69"/>
      <c r="DB59" s="69"/>
      <c r="DC59" s="69"/>
      <c r="DD59" s="69"/>
      <c r="DE59" s="69"/>
      <c r="DF59" s="69"/>
      <c r="DG59" s="69"/>
      <c r="DH59" s="69"/>
      <c r="DI59" s="69"/>
      <c r="DJ59" s="69"/>
      <c r="DK59" s="69"/>
      <c r="DL59" s="69"/>
      <c r="DM59" s="69"/>
      <c r="DN59" s="69"/>
      <c r="DO59" s="69"/>
      <c r="DP59" s="69"/>
      <c r="DQ59" s="69"/>
      <c r="DR59" s="69"/>
      <c r="DS59" s="69"/>
      <c r="DT59" s="69"/>
      <c r="DU59" s="69"/>
      <c r="DV59" s="69"/>
      <c r="DW59" s="69"/>
      <c r="DX59" s="69"/>
      <c r="DY59" s="69"/>
      <c r="DZ59" s="69"/>
      <c r="EA59" s="69"/>
      <c r="EB59" s="69"/>
      <c r="EC59" s="69"/>
      <c r="ED59" s="69"/>
      <c r="EE59" s="69"/>
      <c r="EF59" s="69"/>
      <c r="EG59" s="69"/>
      <c r="EH59" s="69"/>
      <c r="EI59" s="69"/>
      <c r="EJ59" s="69"/>
      <c r="EK59" s="69"/>
    </row>
    <row r="60" spans="1:141" x14ac:dyDescent="0.55000000000000004">
      <c r="A60" s="43" t="s">
        <v>66</v>
      </c>
      <c r="B60" s="44">
        <v>111</v>
      </c>
      <c r="C60" s="45">
        <v>2785</v>
      </c>
      <c r="D60" s="7">
        <v>1</v>
      </c>
      <c r="E60" s="8">
        <v>0</v>
      </c>
      <c r="F60" s="8">
        <v>0</v>
      </c>
      <c r="G60" s="9">
        <v>5</v>
      </c>
      <c r="H60" s="10">
        <v>12</v>
      </c>
      <c r="I60" s="11">
        <f>0</f>
        <v>0</v>
      </c>
      <c r="J60" s="9">
        <v>1.1000000000000001</v>
      </c>
      <c r="K60" s="10">
        <v>2</v>
      </c>
      <c r="L60" s="12">
        <v>1.7</v>
      </c>
      <c r="M60" s="9">
        <f>ROUND(C60*G60/1000,0)</f>
        <v>14</v>
      </c>
      <c r="N60" s="46"/>
      <c r="O60" s="10">
        <f>ROUND(C60*H60/1000,0)</f>
        <v>33</v>
      </c>
      <c r="P60" s="10">
        <f>0</f>
        <v>0</v>
      </c>
      <c r="Q60" s="10">
        <f>0</f>
        <v>0</v>
      </c>
      <c r="R60" s="12">
        <f>0</f>
        <v>0</v>
      </c>
      <c r="S60" s="10">
        <f>0</f>
        <v>0</v>
      </c>
      <c r="T60" s="48">
        <f>0</f>
        <v>0</v>
      </c>
      <c r="U60" s="9">
        <f>ROUND(C60*J60,0)</f>
        <v>3064</v>
      </c>
      <c r="V60" s="46"/>
      <c r="W60" s="10">
        <f>ROUND(C60*K60,0)</f>
        <v>5570</v>
      </c>
      <c r="X60" s="10"/>
      <c r="Y60" s="10"/>
      <c r="Z60" s="10"/>
      <c r="AA60" s="12"/>
      <c r="AB60" s="11"/>
      <c r="AC60" s="46">
        <f>ROUND(M60*95,0)</f>
        <v>1330</v>
      </c>
      <c r="AD60" s="46">
        <f>0</f>
        <v>0</v>
      </c>
      <c r="AE60" s="10">
        <f>ROUND(O60*95,0)</f>
        <v>3135</v>
      </c>
      <c r="AF60" s="10">
        <f t="shared" ref="AF60:AF63" si="26">ROUND(P60*95,0)</f>
        <v>0</v>
      </c>
      <c r="AG60" s="10"/>
      <c r="AH60" s="12"/>
      <c r="AI60" s="10"/>
      <c r="AJ60" s="47"/>
      <c r="AK60" s="168">
        <f>U60+AC60</f>
        <v>4394</v>
      </c>
      <c r="AL60" s="10">
        <f>0</f>
        <v>0</v>
      </c>
      <c r="AM60" s="10">
        <f t="shared" ref="AM60:AM63" si="27">AE60+W60</f>
        <v>8705</v>
      </c>
      <c r="AN60" s="10">
        <f>0</f>
        <v>0</v>
      </c>
      <c r="AO60" s="10"/>
      <c r="AP60" s="10"/>
      <c r="AQ60" s="10"/>
      <c r="AR60" s="47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56"/>
      <c r="CB60" s="56"/>
      <c r="CC60" s="56"/>
      <c r="CD60" s="56"/>
      <c r="CE60" s="56"/>
      <c r="CF60" s="56"/>
      <c r="CG60" s="56"/>
      <c r="CH60" s="56"/>
      <c r="CI60" s="56"/>
      <c r="CJ60" s="56"/>
      <c r="CK60" s="56"/>
      <c r="CL60" s="56"/>
      <c r="CM60" s="56"/>
      <c r="CN60" s="56"/>
      <c r="CO60" s="56"/>
      <c r="CP60" s="56"/>
      <c r="CQ60" s="56"/>
      <c r="CR60" s="56"/>
      <c r="CS60" s="56"/>
      <c r="CT60" s="56"/>
      <c r="CU60" s="56"/>
      <c r="CV60" s="56"/>
      <c r="CW60" s="56"/>
      <c r="CX60" s="56"/>
      <c r="CY60" s="56"/>
      <c r="CZ60" s="56"/>
      <c r="DA60" s="56"/>
      <c r="DB60" s="56"/>
      <c r="DC60" s="56"/>
      <c r="DD60" s="56"/>
      <c r="DE60" s="56"/>
      <c r="DF60" s="56"/>
      <c r="DG60" s="56"/>
      <c r="DH60" s="56"/>
      <c r="DI60" s="56"/>
      <c r="DJ60" s="56"/>
      <c r="DK60" s="56"/>
      <c r="DL60" s="56"/>
      <c r="DM60" s="56"/>
      <c r="DN60" s="56"/>
      <c r="DO60" s="56"/>
      <c r="DP60" s="56"/>
      <c r="DQ60" s="56"/>
      <c r="DR60" s="56"/>
      <c r="DS60" s="56"/>
      <c r="DT60" s="56"/>
      <c r="DU60" s="56"/>
      <c r="DV60" s="56"/>
      <c r="DW60" s="56"/>
      <c r="DX60" s="56"/>
      <c r="DY60" s="56"/>
      <c r="DZ60" s="56"/>
      <c r="EA60" s="56"/>
      <c r="EB60" s="56"/>
      <c r="EC60" s="56"/>
      <c r="ED60" s="56"/>
      <c r="EE60" s="56"/>
      <c r="EF60" s="56"/>
      <c r="EG60" s="56"/>
      <c r="EH60" s="56"/>
      <c r="EI60" s="56"/>
      <c r="EJ60" s="56"/>
      <c r="EK60" s="56"/>
    </row>
    <row r="61" spans="1:141" x14ac:dyDescent="0.55000000000000004">
      <c r="A61" s="43" t="s">
        <v>67</v>
      </c>
      <c r="B61" s="50">
        <v>97</v>
      </c>
      <c r="C61" s="51">
        <v>2421</v>
      </c>
      <c r="D61" s="7">
        <v>1</v>
      </c>
      <c r="E61" s="8">
        <v>0</v>
      </c>
      <c r="F61" s="8">
        <v>0</v>
      </c>
      <c r="G61" s="13">
        <v>5</v>
      </c>
      <c r="H61" s="14">
        <v>12</v>
      </c>
      <c r="I61" s="23">
        <f>0</f>
        <v>0</v>
      </c>
      <c r="J61" s="13">
        <v>1.1000000000000001</v>
      </c>
      <c r="K61" s="14">
        <v>2</v>
      </c>
      <c r="L61" s="15">
        <v>1.7</v>
      </c>
      <c r="M61" s="13">
        <f>ROUND(C61*G61/1000,0)</f>
        <v>12</v>
      </c>
      <c r="N61" s="17"/>
      <c r="O61" s="14">
        <f>ROUND(C61*H61/1000,0)</f>
        <v>29</v>
      </c>
      <c r="P61" s="14">
        <f>0</f>
        <v>0</v>
      </c>
      <c r="Q61" s="14">
        <f>0</f>
        <v>0</v>
      </c>
      <c r="R61" s="15">
        <f>0</f>
        <v>0</v>
      </c>
      <c r="S61" s="14">
        <f>0</f>
        <v>0</v>
      </c>
      <c r="T61" s="18">
        <f>0</f>
        <v>0</v>
      </c>
      <c r="U61" s="13">
        <f>ROUND(C61*J61,0)</f>
        <v>2663</v>
      </c>
      <c r="V61" s="17"/>
      <c r="W61" s="14">
        <f>ROUND(C61*K61,0)</f>
        <v>4842</v>
      </c>
      <c r="X61" s="14"/>
      <c r="Y61" s="14"/>
      <c r="Z61" s="14"/>
      <c r="AA61" s="15"/>
      <c r="AB61" s="23"/>
      <c r="AC61" s="17">
        <f>ROUND(M61*95,0)</f>
        <v>1140</v>
      </c>
      <c r="AD61" s="17">
        <f>0</f>
        <v>0</v>
      </c>
      <c r="AE61" s="14">
        <f>ROUND(O61*95,0)</f>
        <v>2755</v>
      </c>
      <c r="AF61" s="14">
        <f t="shared" si="26"/>
        <v>0</v>
      </c>
      <c r="AG61" s="14"/>
      <c r="AH61" s="15"/>
      <c r="AI61" s="14"/>
      <c r="AJ61" s="16"/>
      <c r="AK61" s="100">
        <f>U61+AC61</f>
        <v>3803</v>
      </c>
      <c r="AL61" s="14">
        <f>0</f>
        <v>0</v>
      </c>
      <c r="AM61" s="14">
        <f t="shared" si="27"/>
        <v>7597</v>
      </c>
      <c r="AN61" s="14">
        <f>0</f>
        <v>0</v>
      </c>
      <c r="AO61" s="14"/>
      <c r="AP61" s="14"/>
      <c r="AQ61" s="14"/>
      <c r="AR61" s="1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  <c r="BN61" s="56"/>
      <c r="BO61" s="56"/>
      <c r="BP61" s="56"/>
      <c r="BQ61" s="56"/>
      <c r="BR61" s="56"/>
      <c r="BS61" s="56"/>
      <c r="BT61" s="56"/>
      <c r="BU61" s="56"/>
      <c r="BV61" s="56"/>
      <c r="BW61" s="56"/>
      <c r="BX61" s="56"/>
      <c r="BY61" s="56"/>
      <c r="BZ61" s="56"/>
      <c r="CA61" s="56"/>
      <c r="CB61" s="56"/>
      <c r="CC61" s="56"/>
      <c r="CD61" s="56"/>
      <c r="CE61" s="56"/>
      <c r="CF61" s="56"/>
      <c r="CG61" s="56"/>
      <c r="CH61" s="56"/>
      <c r="CI61" s="56"/>
      <c r="CJ61" s="56"/>
      <c r="CK61" s="56"/>
      <c r="CL61" s="56"/>
      <c r="CM61" s="56"/>
      <c r="CN61" s="56"/>
      <c r="CO61" s="56"/>
      <c r="CP61" s="56"/>
      <c r="CQ61" s="56"/>
      <c r="CR61" s="56"/>
      <c r="CS61" s="56"/>
      <c r="CT61" s="56"/>
      <c r="CU61" s="56"/>
      <c r="CV61" s="56"/>
      <c r="CW61" s="56"/>
      <c r="CX61" s="56"/>
      <c r="CY61" s="56"/>
      <c r="CZ61" s="56"/>
      <c r="DA61" s="56"/>
      <c r="DB61" s="56"/>
      <c r="DC61" s="56"/>
      <c r="DD61" s="56"/>
      <c r="DE61" s="56"/>
      <c r="DF61" s="56"/>
      <c r="DG61" s="56"/>
      <c r="DH61" s="56"/>
      <c r="DI61" s="56"/>
      <c r="DJ61" s="56"/>
      <c r="DK61" s="56"/>
      <c r="DL61" s="56"/>
      <c r="DM61" s="56"/>
      <c r="DN61" s="56"/>
      <c r="DO61" s="56"/>
      <c r="DP61" s="56"/>
      <c r="DQ61" s="56"/>
      <c r="DR61" s="56"/>
      <c r="DS61" s="56"/>
      <c r="DT61" s="56"/>
      <c r="DU61" s="56"/>
      <c r="DV61" s="56"/>
      <c r="DW61" s="56"/>
      <c r="DX61" s="56"/>
      <c r="DY61" s="56"/>
      <c r="DZ61" s="56"/>
      <c r="EA61" s="56"/>
      <c r="EB61" s="56"/>
      <c r="EC61" s="56"/>
      <c r="ED61" s="56"/>
      <c r="EE61" s="56"/>
      <c r="EF61" s="56"/>
      <c r="EG61" s="56"/>
      <c r="EH61" s="56"/>
      <c r="EI61" s="56"/>
      <c r="EJ61" s="56"/>
      <c r="EK61" s="56"/>
    </row>
    <row r="62" spans="1:141" x14ac:dyDescent="0.55000000000000004">
      <c r="A62" s="43" t="s">
        <v>68</v>
      </c>
      <c r="B62" s="50">
        <v>151</v>
      </c>
      <c r="C62" s="51">
        <v>3764</v>
      </c>
      <c r="D62" s="7">
        <v>1</v>
      </c>
      <c r="E62" s="8">
        <v>0</v>
      </c>
      <c r="F62" s="8">
        <v>0</v>
      </c>
      <c r="G62" s="13">
        <v>5</v>
      </c>
      <c r="H62" s="14">
        <v>12</v>
      </c>
      <c r="I62" s="23">
        <f>0</f>
        <v>0</v>
      </c>
      <c r="J62" s="13">
        <v>1.1000000000000001</v>
      </c>
      <c r="K62" s="14">
        <v>2</v>
      </c>
      <c r="L62" s="15">
        <v>1.7</v>
      </c>
      <c r="M62" s="13">
        <f>ROUND(C62*G62/1000,0)</f>
        <v>19</v>
      </c>
      <c r="N62" s="17"/>
      <c r="O62" s="14">
        <f>ROUND(C62*H62/1000,0)</f>
        <v>45</v>
      </c>
      <c r="P62" s="14">
        <f>0</f>
        <v>0</v>
      </c>
      <c r="Q62" s="14">
        <f>0</f>
        <v>0</v>
      </c>
      <c r="R62" s="15">
        <f>0</f>
        <v>0</v>
      </c>
      <c r="S62" s="14">
        <f>0</f>
        <v>0</v>
      </c>
      <c r="T62" s="18">
        <f>0</f>
        <v>0</v>
      </c>
      <c r="U62" s="13">
        <f>ROUND(C62*J62,0)</f>
        <v>4140</v>
      </c>
      <c r="V62" s="17"/>
      <c r="W62" s="14">
        <f>ROUND(C62*K62,0)</f>
        <v>7528</v>
      </c>
      <c r="X62" s="14"/>
      <c r="Y62" s="14"/>
      <c r="Z62" s="14"/>
      <c r="AA62" s="15"/>
      <c r="AB62" s="23"/>
      <c r="AC62" s="17">
        <f>ROUND(M62*95,0)</f>
        <v>1805</v>
      </c>
      <c r="AD62" s="17">
        <f>0</f>
        <v>0</v>
      </c>
      <c r="AE62" s="14">
        <f t="shared" ref="AE62:AE63" si="28">ROUND(O62*95,0)</f>
        <v>4275</v>
      </c>
      <c r="AF62" s="14">
        <f t="shared" si="26"/>
        <v>0</v>
      </c>
      <c r="AG62" s="14"/>
      <c r="AH62" s="15"/>
      <c r="AI62" s="14"/>
      <c r="AJ62" s="16"/>
      <c r="AK62" s="100">
        <f t="shared" ref="AK62:AK63" si="29">U62+AC62</f>
        <v>5945</v>
      </c>
      <c r="AL62" s="14">
        <f>0</f>
        <v>0</v>
      </c>
      <c r="AM62" s="14">
        <f t="shared" si="27"/>
        <v>11803</v>
      </c>
      <c r="AN62" s="14">
        <f>0</f>
        <v>0</v>
      </c>
      <c r="AO62" s="14"/>
      <c r="AP62" s="14"/>
      <c r="AQ62" s="14"/>
      <c r="AR62" s="1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  <c r="BN62" s="56"/>
      <c r="BO62" s="56"/>
      <c r="BP62" s="56"/>
      <c r="BQ62" s="56"/>
      <c r="BR62" s="56"/>
      <c r="BS62" s="56"/>
      <c r="BT62" s="56"/>
      <c r="BU62" s="56"/>
      <c r="BV62" s="56"/>
      <c r="BW62" s="56"/>
      <c r="BX62" s="56"/>
      <c r="BY62" s="56"/>
      <c r="BZ62" s="56"/>
      <c r="CA62" s="56"/>
      <c r="CB62" s="56"/>
      <c r="CC62" s="56"/>
      <c r="CD62" s="56"/>
      <c r="CE62" s="56"/>
      <c r="CF62" s="56"/>
      <c r="CG62" s="56"/>
      <c r="CH62" s="56"/>
      <c r="CI62" s="56"/>
      <c r="CJ62" s="56"/>
      <c r="CK62" s="56"/>
      <c r="CL62" s="56"/>
      <c r="CM62" s="56"/>
      <c r="CN62" s="56"/>
      <c r="CO62" s="56"/>
      <c r="CP62" s="56"/>
      <c r="CQ62" s="56"/>
      <c r="CR62" s="56"/>
      <c r="CS62" s="56"/>
      <c r="CT62" s="56"/>
      <c r="CU62" s="56"/>
      <c r="CV62" s="56"/>
      <c r="CW62" s="56"/>
      <c r="CX62" s="56"/>
      <c r="CY62" s="56"/>
      <c r="CZ62" s="56"/>
      <c r="DA62" s="56"/>
      <c r="DB62" s="56"/>
      <c r="DC62" s="56"/>
      <c r="DD62" s="56"/>
      <c r="DE62" s="56"/>
      <c r="DF62" s="56"/>
      <c r="DG62" s="56"/>
      <c r="DH62" s="56"/>
      <c r="DI62" s="56"/>
      <c r="DJ62" s="56"/>
      <c r="DK62" s="56"/>
      <c r="DL62" s="56"/>
      <c r="DM62" s="56"/>
      <c r="DN62" s="56"/>
      <c r="DO62" s="56"/>
      <c r="DP62" s="56"/>
      <c r="DQ62" s="56"/>
      <c r="DR62" s="56"/>
      <c r="DS62" s="56"/>
      <c r="DT62" s="56"/>
      <c r="DU62" s="56"/>
      <c r="DV62" s="56"/>
      <c r="DW62" s="56"/>
      <c r="DX62" s="56"/>
      <c r="DY62" s="56"/>
      <c r="DZ62" s="56"/>
      <c r="EA62" s="56"/>
      <c r="EB62" s="56"/>
      <c r="EC62" s="56"/>
      <c r="ED62" s="56"/>
      <c r="EE62" s="56"/>
      <c r="EF62" s="56"/>
      <c r="EG62" s="56"/>
      <c r="EH62" s="56"/>
      <c r="EI62" s="56"/>
      <c r="EJ62" s="56"/>
      <c r="EK62" s="56"/>
    </row>
    <row r="63" spans="1:141" ht="24.75" thickBot="1" x14ac:dyDescent="0.6">
      <c r="A63" s="43" t="s">
        <v>69</v>
      </c>
      <c r="B63" s="54">
        <v>116</v>
      </c>
      <c r="C63" s="55">
        <v>2893</v>
      </c>
      <c r="D63" s="7">
        <v>1</v>
      </c>
      <c r="E63" s="8">
        <v>0</v>
      </c>
      <c r="F63" s="8">
        <v>0</v>
      </c>
      <c r="G63" s="27">
        <v>5</v>
      </c>
      <c r="H63" s="28">
        <v>12</v>
      </c>
      <c r="I63" s="29">
        <f>0</f>
        <v>0</v>
      </c>
      <c r="J63" s="27">
        <v>1.1000000000000001</v>
      </c>
      <c r="K63" s="28">
        <v>2</v>
      </c>
      <c r="L63" s="30">
        <v>1.7</v>
      </c>
      <c r="M63" s="13">
        <f>ROUND(C63*G63/1000,0)</f>
        <v>14</v>
      </c>
      <c r="N63" s="17"/>
      <c r="O63" s="14">
        <f>ROUND(C63*H63/1000,0)</f>
        <v>35</v>
      </c>
      <c r="P63" s="14">
        <f>0</f>
        <v>0</v>
      </c>
      <c r="Q63" s="14">
        <f>0</f>
        <v>0</v>
      </c>
      <c r="R63" s="15">
        <f>0</f>
        <v>0</v>
      </c>
      <c r="S63" s="14">
        <f>0</f>
        <v>0</v>
      </c>
      <c r="T63" s="18">
        <f>0</f>
        <v>0</v>
      </c>
      <c r="U63" s="13">
        <f>ROUND(C63*J63,0)</f>
        <v>3182</v>
      </c>
      <c r="V63" s="17"/>
      <c r="W63" s="14">
        <f>ROUND(C63*K63,0)</f>
        <v>5786</v>
      </c>
      <c r="X63" s="14"/>
      <c r="Y63" s="14"/>
      <c r="Z63" s="14"/>
      <c r="AA63" s="15"/>
      <c r="AB63" s="23"/>
      <c r="AC63" s="17">
        <f>ROUND(M63*95,0)</f>
        <v>1330</v>
      </c>
      <c r="AD63" s="17">
        <f>0</f>
        <v>0</v>
      </c>
      <c r="AE63" s="14">
        <f t="shared" si="28"/>
        <v>3325</v>
      </c>
      <c r="AF63" s="14">
        <f t="shared" si="26"/>
        <v>0</v>
      </c>
      <c r="AG63" s="14"/>
      <c r="AH63" s="15"/>
      <c r="AI63" s="14"/>
      <c r="AJ63" s="16"/>
      <c r="AK63" s="100">
        <f t="shared" si="29"/>
        <v>4512</v>
      </c>
      <c r="AL63" s="14">
        <f>0</f>
        <v>0</v>
      </c>
      <c r="AM63" s="14">
        <f t="shared" si="27"/>
        <v>9111</v>
      </c>
      <c r="AN63" s="14">
        <f>0</f>
        <v>0</v>
      </c>
      <c r="AO63" s="14"/>
      <c r="AP63" s="14"/>
      <c r="AQ63" s="14"/>
      <c r="AR63" s="1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  <c r="BN63" s="56"/>
      <c r="BO63" s="56"/>
      <c r="BP63" s="56"/>
      <c r="BQ63" s="56"/>
      <c r="BR63" s="56"/>
      <c r="BS63" s="56"/>
      <c r="BT63" s="56"/>
      <c r="BU63" s="56"/>
      <c r="BV63" s="56"/>
      <c r="BW63" s="56"/>
      <c r="BX63" s="56"/>
      <c r="BY63" s="56"/>
      <c r="BZ63" s="56"/>
      <c r="CA63" s="56"/>
      <c r="CB63" s="56"/>
      <c r="CC63" s="56"/>
      <c r="CD63" s="56"/>
      <c r="CE63" s="56"/>
      <c r="CF63" s="56"/>
      <c r="CG63" s="56"/>
      <c r="CH63" s="56"/>
      <c r="CI63" s="56"/>
      <c r="CJ63" s="56"/>
      <c r="CK63" s="56"/>
      <c r="CL63" s="56"/>
      <c r="CM63" s="56"/>
      <c r="CN63" s="56"/>
      <c r="CO63" s="56"/>
      <c r="CP63" s="56"/>
      <c r="CQ63" s="56"/>
      <c r="CR63" s="56"/>
      <c r="CS63" s="56"/>
      <c r="CT63" s="56"/>
      <c r="CU63" s="56"/>
      <c r="CV63" s="56"/>
      <c r="CW63" s="56"/>
      <c r="CX63" s="56"/>
      <c r="CY63" s="56"/>
      <c r="CZ63" s="56"/>
      <c r="DA63" s="56"/>
      <c r="DB63" s="56"/>
      <c r="DC63" s="56"/>
      <c r="DD63" s="56"/>
      <c r="DE63" s="56"/>
      <c r="DF63" s="56"/>
      <c r="DG63" s="56"/>
      <c r="DH63" s="56"/>
      <c r="DI63" s="56"/>
      <c r="DJ63" s="56"/>
      <c r="DK63" s="56"/>
      <c r="DL63" s="56"/>
      <c r="DM63" s="56"/>
      <c r="DN63" s="56"/>
      <c r="DO63" s="56"/>
      <c r="DP63" s="56"/>
      <c r="DQ63" s="56"/>
      <c r="DR63" s="56"/>
      <c r="DS63" s="56"/>
      <c r="DT63" s="56"/>
      <c r="DU63" s="56"/>
      <c r="DV63" s="56"/>
      <c r="DW63" s="56"/>
      <c r="DX63" s="56"/>
      <c r="DY63" s="56"/>
      <c r="DZ63" s="56"/>
      <c r="EA63" s="56"/>
      <c r="EB63" s="56"/>
      <c r="EC63" s="56"/>
      <c r="ED63" s="56"/>
      <c r="EE63" s="56"/>
      <c r="EF63" s="56"/>
      <c r="EG63" s="56"/>
      <c r="EH63" s="56"/>
      <c r="EI63" s="56"/>
      <c r="EJ63" s="56"/>
      <c r="EK63" s="56"/>
    </row>
    <row r="64" spans="1:141" ht="24.75" thickBot="1" x14ac:dyDescent="0.6">
      <c r="A64" s="959" t="s">
        <v>36</v>
      </c>
      <c r="B64" s="885">
        <f>SUM(B60:B63)</f>
        <v>475</v>
      </c>
      <c r="C64" s="931">
        <f>SUM(C60:C63)</f>
        <v>11863</v>
      </c>
      <c r="D64" s="887"/>
      <c r="E64" s="888"/>
      <c r="F64" s="888"/>
      <c r="G64" s="888"/>
      <c r="H64" s="888"/>
      <c r="I64" s="888"/>
      <c r="J64" s="888"/>
      <c r="K64" s="888"/>
      <c r="L64" s="889"/>
      <c r="M64" s="158">
        <f>SUM(M60:M63)</f>
        <v>59</v>
      </c>
      <c r="N64" s="158">
        <f>SUM(N61:N63)</f>
        <v>0</v>
      </c>
      <c r="O64" s="160">
        <f>SUM(O60:O63)</f>
        <v>142</v>
      </c>
      <c r="P64" s="160">
        <f>0</f>
        <v>0</v>
      </c>
      <c r="Q64" s="160">
        <f>0</f>
        <v>0</v>
      </c>
      <c r="R64" s="161"/>
      <c r="S64" s="160"/>
      <c r="T64" s="163"/>
      <c r="U64" s="158">
        <f>SUM(U60:U63)</f>
        <v>13049</v>
      </c>
      <c r="V64" s="158">
        <f>SUM(V60:V63)</f>
        <v>0</v>
      </c>
      <c r="W64" s="175">
        <f>SUM(W60:W63)</f>
        <v>23726</v>
      </c>
      <c r="X64" s="164"/>
      <c r="Y64" s="164"/>
      <c r="Z64" s="164"/>
      <c r="AA64" s="164"/>
      <c r="AB64" s="164"/>
      <c r="AC64" s="157">
        <f>SUM(AC60:AC63)</f>
        <v>5605</v>
      </c>
      <c r="AD64" s="157">
        <f t="shared" ref="AD64:AD65" si="30">ROUND(N64*960,0)</f>
        <v>0</v>
      </c>
      <c r="AE64" s="166">
        <f>SUM(AE60:AE63)</f>
        <v>13490</v>
      </c>
      <c r="AF64" s="166">
        <f>AF62+AF63</f>
        <v>0</v>
      </c>
      <c r="AG64" s="164"/>
      <c r="AH64" s="164"/>
      <c r="AI64" s="164"/>
      <c r="AJ64" s="156"/>
      <c r="AK64" s="165">
        <f>SUM(AK60:AK63)</f>
        <v>18654</v>
      </c>
      <c r="AL64" s="165">
        <f>SUM(AL61:AL63)</f>
        <v>0</v>
      </c>
      <c r="AM64" s="166">
        <f>SUM(AM60:AM63)</f>
        <v>37216</v>
      </c>
      <c r="AN64" s="166">
        <f>AN62+AN63</f>
        <v>0</v>
      </c>
      <c r="AO64" s="164"/>
      <c r="AP64" s="164"/>
      <c r="AQ64" s="164"/>
      <c r="AR64" s="167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141" ht="27" thickBot="1" x14ac:dyDescent="0.75">
      <c r="A65" s="960"/>
      <c r="B65" s="886"/>
      <c r="C65" s="932"/>
      <c r="D65" s="890"/>
      <c r="E65" s="891"/>
      <c r="F65" s="891"/>
      <c r="G65" s="891"/>
      <c r="H65" s="891"/>
      <c r="I65" s="891"/>
      <c r="J65" s="891"/>
      <c r="K65" s="891"/>
      <c r="L65" s="892"/>
      <c r="M65" s="895">
        <f>M64+N64</f>
        <v>59</v>
      </c>
      <c r="N65" s="897">
        <f>M64+N64</f>
        <v>59</v>
      </c>
      <c r="O65" s="895">
        <f>+O64+P64+Q64</f>
        <v>142</v>
      </c>
      <c r="P65" s="896"/>
      <c r="Q65" s="897"/>
      <c r="R65" s="898">
        <f>+R64+S64+T64</f>
        <v>0</v>
      </c>
      <c r="S65" s="899"/>
      <c r="T65" s="955"/>
      <c r="U65" s="956">
        <f>U64+V64</f>
        <v>13049</v>
      </c>
      <c r="V65" s="957"/>
      <c r="W65" s="939">
        <f>W64+X64+Y64</f>
        <v>23726</v>
      </c>
      <c r="X65" s="940"/>
      <c r="Y65" s="967"/>
      <c r="Z65" s="951">
        <f>Z64+AA64+AB64</f>
        <v>0</v>
      </c>
      <c r="AA65" s="952"/>
      <c r="AB65" s="953"/>
      <c r="AC65" s="911">
        <f>AC64+AD64</f>
        <v>5605</v>
      </c>
      <c r="AD65" s="913">
        <f t="shared" si="30"/>
        <v>56640</v>
      </c>
      <c r="AE65" s="939">
        <f>AE64+AF64+AG64</f>
        <v>13490</v>
      </c>
      <c r="AF65" s="940"/>
      <c r="AG65" s="967"/>
      <c r="AH65" s="951">
        <f>AH64+AI64+AJ64</f>
        <v>0</v>
      </c>
      <c r="AI65" s="952"/>
      <c r="AJ65" s="953"/>
      <c r="AK65" s="911">
        <f>AK64+AL64</f>
        <v>18654</v>
      </c>
      <c r="AL65" s="912">
        <f t="shared" ref="AL65" si="31">V65+AD65</f>
        <v>56640</v>
      </c>
      <c r="AM65" s="939">
        <f>AM64+AN64+AO64</f>
        <v>37216</v>
      </c>
      <c r="AN65" s="940"/>
      <c r="AO65" s="967"/>
      <c r="AP65" s="951">
        <f>AP64+AQ64+AR64</f>
        <v>0</v>
      </c>
      <c r="AQ65" s="952"/>
      <c r="AR65" s="954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141" s="180" customFormat="1" ht="39.950000000000003" customHeight="1" thickBot="1" x14ac:dyDescent="0.6">
      <c r="A66" s="962" t="s">
        <v>76</v>
      </c>
      <c r="B66" s="963"/>
      <c r="C66" s="963"/>
      <c r="D66" s="963"/>
      <c r="E66" s="963"/>
      <c r="F66" s="963"/>
      <c r="G66" s="963"/>
      <c r="H66" s="963"/>
      <c r="I66" s="963"/>
      <c r="J66" s="963"/>
      <c r="K66" s="963"/>
      <c r="L66" s="963"/>
      <c r="M66" s="963"/>
      <c r="N66" s="963"/>
      <c r="O66" s="963"/>
      <c r="P66" s="963"/>
      <c r="Q66" s="963"/>
      <c r="R66" s="963"/>
      <c r="S66" s="963"/>
      <c r="T66" s="963"/>
      <c r="U66" s="963"/>
      <c r="V66" s="963"/>
      <c r="W66" s="963"/>
      <c r="X66" s="963"/>
      <c r="Y66" s="963"/>
      <c r="Z66" s="963"/>
      <c r="AA66" s="963"/>
      <c r="AB66" s="963"/>
      <c r="AC66" s="963"/>
      <c r="AD66" s="963"/>
      <c r="AE66" s="963"/>
      <c r="AF66" s="963"/>
      <c r="AG66" s="963"/>
      <c r="AH66" s="963"/>
      <c r="AI66" s="963"/>
      <c r="AJ66" s="963"/>
      <c r="AK66" s="963"/>
      <c r="AL66" s="963"/>
      <c r="AM66" s="963"/>
      <c r="AN66" s="963"/>
      <c r="AO66" s="963"/>
      <c r="AP66" s="963"/>
      <c r="AQ66" s="963"/>
      <c r="AR66" s="964"/>
      <c r="AS66" s="176"/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6"/>
      <c r="BE66" s="176"/>
      <c r="BF66" s="176"/>
      <c r="BG66" s="176"/>
      <c r="BH66" s="176"/>
      <c r="BI66" s="176"/>
      <c r="BJ66" s="176"/>
      <c r="BK66" s="176"/>
      <c r="BL66" s="176"/>
      <c r="BM66" s="176"/>
      <c r="BN66" s="176"/>
      <c r="BO66" s="176"/>
      <c r="BP66" s="176"/>
      <c r="BQ66" s="176"/>
      <c r="BR66" s="176"/>
      <c r="BS66" s="176"/>
      <c r="BT66" s="176"/>
      <c r="BU66" s="176"/>
      <c r="BV66" s="176"/>
      <c r="BW66" s="176"/>
      <c r="BX66" s="176"/>
      <c r="BY66" s="176"/>
      <c r="BZ66" s="176"/>
      <c r="CA66" s="176"/>
      <c r="CB66" s="176"/>
      <c r="CC66" s="176"/>
      <c r="CD66" s="176"/>
      <c r="CE66" s="176"/>
      <c r="CF66" s="176"/>
      <c r="CG66" s="176"/>
      <c r="CH66" s="176"/>
      <c r="CI66" s="176"/>
      <c r="CJ66" s="176"/>
      <c r="CK66" s="176"/>
      <c r="CL66" s="176"/>
      <c r="CM66" s="176"/>
      <c r="CN66" s="176"/>
      <c r="CO66" s="176"/>
      <c r="CP66" s="176"/>
      <c r="CQ66" s="176"/>
      <c r="CR66" s="176"/>
      <c r="CS66" s="176"/>
      <c r="CT66" s="176"/>
      <c r="CU66" s="176"/>
      <c r="CV66" s="176"/>
      <c r="CW66" s="176"/>
      <c r="CX66" s="176"/>
      <c r="CY66" s="176"/>
      <c r="CZ66" s="176"/>
      <c r="DA66" s="176"/>
      <c r="DB66" s="176"/>
      <c r="DC66" s="176"/>
      <c r="DD66" s="176"/>
      <c r="DE66" s="176"/>
      <c r="DF66" s="176"/>
      <c r="DG66" s="176"/>
      <c r="DH66" s="176"/>
      <c r="DI66" s="176"/>
      <c r="DJ66" s="176"/>
      <c r="DK66" s="176"/>
      <c r="DL66" s="176"/>
      <c r="DM66" s="176"/>
      <c r="DN66" s="176"/>
      <c r="DO66" s="176"/>
      <c r="DP66" s="176"/>
      <c r="DQ66" s="176"/>
      <c r="DR66" s="176"/>
      <c r="DS66" s="176"/>
      <c r="DT66" s="176"/>
      <c r="DU66" s="176"/>
      <c r="DV66" s="176"/>
      <c r="DW66" s="176"/>
      <c r="DX66" s="176"/>
      <c r="DY66" s="176"/>
      <c r="DZ66" s="176"/>
      <c r="EA66" s="176"/>
      <c r="EB66" s="176"/>
      <c r="EC66" s="176"/>
      <c r="ED66" s="176"/>
      <c r="EE66" s="176"/>
      <c r="EF66" s="176"/>
      <c r="EG66" s="176"/>
      <c r="EH66" s="176"/>
      <c r="EI66" s="176"/>
      <c r="EJ66" s="176"/>
      <c r="EK66" s="176"/>
    </row>
    <row r="67" spans="1:141" s="177" customFormat="1" ht="39.950000000000003" customHeight="1" thickBot="1" x14ac:dyDescent="0.6">
      <c r="A67" s="928" t="s">
        <v>75</v>
      </c>
      <c r="B67" s="929"/>
      <c r="C67" s="929"/>
      <c r="D67" s="929"/>
      <c r="E67" s="929"/>
      <c r="F67" s="929"/>
      <c r="G67" s="929"/>
      <c r="H67" s="929"/>
      <c r="I67" s="929"/>
      <c r="J67" s="929"/>
      <c r="K67" s="929"/>
      <c r="L67" s="929"/>
      <c r="M67" s="929"/>
      <c r="N67" s="929"/>
      <c r="O67" s="929"/>
      <c r="P67" s="929"/>
      <c r="Q67" s="929"/>
      <c r="R67" s="929"/>
      <c r="S67" s="929"/>
      <c r="T67" s="929"/>
      <c r="U67" s="929"/>
      <c r="V67" s="929"/>
      <c r="W67" s="929"/>
      <c r="X67" s="929"/>
      <c r="Y67" s="929"/>
      <c r="Z67" s="929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29"/>
      <c r="AN67" s="929"/>
      <c r="AO67" s="929"/>
      <c r="AP67" s="929"/>
      <c r="AQ67" s="929"/>
      <c r="AR67" s="930"/>
      <c r="AS67" s="176"/>
      <c r="AT67" s="176"/>
      <c r="AU67" s="176"/>
      <c r="AV67" s="176"/>
      <c r="AW67" s="176"/>
      <c r="AX67" s="176"/>
      <c r="AY67" s="176"/>
      <c r="AZ67" s="176"/>
      <c r="BA67" s="176"/>
      <c r="BB67" s="176"/>
      <c r="BC67" s="176"/>
      <c r="BD67" s="176"/>
      <c r="BE67" s="176"/>
      <c r="BF67" s="176"/>
      <c r="BG67" s="176"/>
      <c r="BH67" s="176"/>
      <c r="BI67" s="176"/>
      <c r="BJ67" s="176"/>
      <c r="BK67" s="176"/>
      <c r="BL67" s="176"/>
      <c r="BM67" s="176"/>
      <c r="BN67" s="176"/>
      <c r="BO67" s="176"/>
      <c r="BP67" s="176"/>
      <c r="BQ67" s="176"/>
      <c r="BR67" s="176"/>
      <c r="BS67" s="176"/>
      <c r="BT67" s="176"/>
      <c r="BU67" s="176"/>
      <c r="BV67" s="176"/>
      <c r="BW67" s="176"/>
      <c r="BX67" s="176"/>
      <c r="BY67" s="176"/>
      <c r="BZ67" s="176"/>
      <c r="CA67" s="176"/>
      <c r="CB67" s="176"/>
      <c r="CC67" s="176"/>
      <c r="CD67" s="176"/>
      <c r="CE67" s="176"/>
      <c r="CF67" s="176"/>
      <c r="CG67" s="176"/>
      <c r="CH67" s="176"/>
      <c r="CI67" s="176"/>
      <c r="CJ67" s="176"/>
      <c r="CK67" s="176"/>
      <c r="CL67" s="176"/>
      <c r="CM67" s="176"/>
      <c r="CN67" s="176"/>
      <c r="CO67" s="176"/>
      <c r="CP67" s="176"/>
      <c r="CQ67" s="176"/>
      <c r="CR67" s="176"/>
      <c r="CS67" s="176"/>
      <c r="CT67" s="176"/>
      <c r="CU67" s="176"/>
      <c r="CV67" s="176"/>
      <c r="CW67" s="176"/>
      <c r="CX67" s="176"/>
      <c r="CY67" s="176"/>
      <c r="CZ67" s="176"/>
      <c r="DA67" s="176"/>
      <c r="DB67" s="176"/>
      <c r="DC67" s="176"/>
      <c r="DD67" s="176"/>
      <c r="DE67" s="176"/>
      <c r="DF67" s="176"/>
      <c r="DG67" s="176"/>
      <c r="DH67" s="176"/>
      <c r="DI67" s="176"/>
      <c r="DJ67" s="176"/>
      <c r="DK67" s="176"/>
      <c r="DL67" s="176"/>
      <c r="DM67" s="176"/>
      <c r="DN67" s="176"/>
      <c r="DO67" s="176"/>
      <c r="DP67" s="176"/>
      <c r="DQ67" s="176"/>
      <c r="DR67" s="176"/>
      <c r="DS67" s="176"/>
      <c r="DT67" s="176"/>
      <c r="DU67" s="176"/>
      <c r="DV67" s="176"/>
      <c r="DW67" s="176"/>
      <c r="DX67" s="176"/>
      <c r="DY67" s="176"/>
      <c r="DZ67" s="176"/>
      <c r="EA67" s="176"/>
      <c r="EB67" s="176"/>
      <c r="EC67" s="176"/>
      <c r="ED67" s="176"/>
      <c r="EE67" s="176"/>
      <c r="EF67" s="176"/>
      <c r="EG67" s="176"/>
      <c r="EH67" s="176"/>
      <c r="EI67" s="176"/>
      <c r="EJ67" s="176"/>
      <c r="EK67" s="176"/>
    </row>
    <row r="68" spans="1:141" ht="24.75" customHeight="1" x14ac:dyDescent="0.55000000000000004">
      <c r="A68" s="65" t="s">
        <v>73</v>
      </c>
      <c r="B68" s="5">
        <v>115</v>
      </c>
      <c r="C68" s="6">
        <v>2872</v>
      </c>
      <c r="D68" s="46">
        <v>1</v>
      </c>
      <c r="E68" s="10">
        <v>0</v>
      </c>
      <c r="F68" s="10">
        <v>0</v>
      </c>
      <c r="G68" s="9">
        <v>5</v>
      </c>
      <c r="H68" s="10">
        <f>0</f>
        <v>0</v>
      </c>
      <c r="I68" s="11">
        <f>0</f>
        <v>0</v>
      </c>
      <c r="J68" s="9">
        <v>1.1000000000000001</v>
      </c>
      <c r="K68" s="10">
        <v>2</v>
      </c>
      <c r="L68" s="12">
        <v>1.7</v>
      </c>
      <c r="M68" s="13">
        <f>ROUND(C68*G68/1000,0)</f>
        <v>14</v>
      </c>
      <c r="N68" s="17">
        <f>0</f>
        <v>0</v>
      </c>
      <c r="O68" s="14"/>
      <c r="P68" s="14"/>
      <c r="Q68" s="14"/>
      <c r="R68" s="15"/>
      <c r="S68" s="14"/>
      <c r="T68" s="18"/>
      <c r="U68" s="13">
        <f>ROUND(C68*J68,0)</f>
        <v>3159</v>
      </c>
      <c r="V68" s="17">
        <f>0</f>
        <v>0</v>
      </c>
      <c r="W68" s="14"/>
      <c r="X68" s="14"/>
      <c r="Y68" s="14"/>
      <c r="Z68" s="14"/>
      <c r="AA68" s="15"/>
      <c r="AB68" s="23"/>
      <c r="AC68" s="17">
        <f>ROUND(M68*95,0)</f>
        <v>1330</v>
      </c>
      <c r="AD68" s="17">
        <f t="shared" ref="AD68" si="32">ROUND(N68*960,0)</f>
        <v>0</v>
      </c>
      <c r="AE68" s="14"/>
      <c r="AF68" s="14"/>
      <c r="AG68" s="14"/>
      <c r="AH68" s="15"/>
      <c r="AI68" s="14"/>
      <c r="AJ68" s="16"/>
      <c r="AK68" s="100">
        <f>U68+AC68</f>
        <v>4489</v>
      </c>
      <c r="AL68" s="14">
        <f t="shared" ref="AK68:AL69" si="33">V68+AD68</f>
        <v>0</v>
      </c>
      <c r="AM68" s="14"/>
      <c r="AN68" s="14"/>
      <c r="AO68" s="14"/>
      <c r="AP68" s="14"/>
      <c r="AQ68" s="14"/>
      <c r="AR68" s="1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  <c r="BN68" s="56"/>
      <c r="BO68" s="56"/>
      <c r="BP68" s="56"/>
      <c r="BQ68" s="56"/>
      <c r="BR68" s="56"/>
      <c r="BS68" s="56"/>
      <c r="BT68" s="56"/>
      <c r="BU68" s="56"/>
      <c r="BV68" s="56"/>
      <c r="BW68" s="56"/>
      <c r="BX68" s="56"/>
      <c r="BY68" s="56"/>
      <c r="BZ68" s="56"/>
      <c r="CA68" s="56"/>
      <c r="CB68" s="56"/>
      <c r="CC68" s="56"/>
      <c r="CD68" s="56"/>
      <c r="CE68" s="56"/>
      <c r="CF68" s="56"/>
      <c r="CG68" s="56"/>
      <c r="CH68" s="56"/>
      <c r="CI68" s="56"/>
      <c r="CJ68" s="56"/>
      <c r="CK68" s="56"/>
      <c r="CL68" s="56"/>
      <c r="CM68" s="56"/>
      <c r="CN68" s="56"/>
      <c r="CO68" s="56"/>
      <c r="CP68" s="56"/>
      <c r="CQ68" s="56"/>
      <c r="CR68" s="56"/>
      <c r="CS68" s="56"/>
      <c r="CT68" s="56"/>
      <c r="CU68" s="56"/>
      <c r="CV68" s="56"/>
      <c r="CW68" s="56"/>
      <c r="CX68" s="56"/>
      <c r="CY68" s="56"/>
      <c r="CZ68" s="56"/>
      <c r="DA68" s="56"/>
      <c r="DB68" s="56"/>
      <c r="DC68" s="56"/>
      <c r="DD68" s="56"/>
      <c r="DE68" s="56"/>
      <c r="DF68" s="56"/>
      <c r="DG68" s="56"/>
      <c r="DH68" s="56"/>
      <c r="DI68" s="56"/>
      <c r="DJ68" s="56"/>
      <c r="DK68" s="56"/>
      <c r="DL68" s="56"/>
      <c r="DM68" s="56"/>
      <c r="DN68" s="56"/>
      <c r="DO68" s="56"/>
      <c r="DP68" s="56"/>
      <c r="DQ68" s="56"/>
      <c r="DR68" s="56"/>
      <c r="DS68" s="56"/>
      <c r="DT68" s="56"/>
      <c r="DU68" s="56"/>
      <c r="DV68" s="56"/>
      <c r="DW68" s="56"/>
      <c r="DX68" s="56"/>
      <c r="DY68" s="56"/>
      <c r="DZ68" s="56"/>
      <c r="EA68" s="56"/>
      <c r="EB68" s="56"/>
      <c r="EC68" s="56"/>
      <c r="ED68" s="56"/>
      <c r="EE68" s="56"/>
      <c r="EF68" s="56"/>
      <c r="EG68" s="56"/>
      <c r="EH68" s="56"/>
      <c r="EI68" s="56"/>
      <c r="EJ68" s="56"/>
      <c r="EK68" s="56"/>
    </row>
    <row r="69" spans="1:141" ht="24.75" thickBot="1" x14ac:dyDescent="0.6">
      <c r="A69" s="65" t="s">
        <v>74</v>
      </c>
      <c r="B69" s="20">
        <v>121</v>
      </c>
      <c r="C69" s="72">
        <v>3030</v>
      </c>
      <c r="D69" s="17">
        <v>1</v>
      </c>
      <c r="E69" s="10">
        <v>0</v>
      </c>
      <c r="F69" s="10">
        <v>0</v>
      </c>
      <c r="G69" s="13">
        <v>5</v>
      </c>
      <c r="H69" s="14">
        <f>0</f>
        <v>0</v>
      </c>
      <c r="I69" s="23">
        <f>0</f>
        <v>0</v>
      </c>
      <c r="J69" s="13">
        <v>1.1000000000000001</v>
      </c>
      <c r="K69" s="14">
        <v>2</v>
      </c>
      <c r="L69" s="15">
        <v>1.7</v>
      </c>
      <c r="M69" s="13">
        <f>ROUND(C69*G69/1000,0)</f>
        <v>15</v>
      </c>
      <c r="N69" s="17">
        <v>0</v>
      </c>
      <c r="O69" s="14"/>
      <c r="P69" s="14"/>
      <c r="Q69" s="14"/>
      <c r="R69" s="15"/>
      <c r="S69" s="14"/>
      <c r="T69" s="18"/>
      <c r="U69" s="13">
        <f>ROUND(C69*J69,0)</f>
        <v>3333</v>
      </c>
      <c r="V69" s="17">
        <v>0</v>
      </c>
      <c r="W69" s="14"/>
      <c r="X69" s="14"/>
      <c r="Y69" s="14"/>
      <c r="Z69" s="14"/>
      <c r="AA69" s="15"/>
      <c r="AB69" s="23"/>
      <c r="AC69" s="17">
        <f>ROUND(M69*95,0)</f>
        <v>1425</v>
      </c>
      <c r="AD69" s="17">
        <v>0</v>
      </c>
      <c r="AE69" s="14"/>
      <c r="AF69" s="14"/>
      <c r="AG69" s="14"/>
      <c r="AH69" s="15"/>
      <c r="AI69" s="14"/>
      <c r="AJ69" s="16"/>
      <c r="AK69" s="100">
        <f t="shared" si="33"/>
        <v>4758</v>
      </c>
      <c r="AL69" s="14">
        <f t="shared" si="33"/>
        <v>0</v>
      </c>
      <c r="AM69" s="14"/>
      <c r="AN69" s="14"/>
      <c r="AO69" s="14"/>
      <c r="AP69" s="14"/>
      <c r="AQ69" s="14"/>
      <c r="AR69" s="1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/>
      <c r="BP69" s="56"/>
      <c r="BQ69" s="56"/>
      <c r="BR69" s="56"/>
      <c r="BS69" s="56"/>
      <c r="BT69" s="56"/>
      <c r="BU69" s="56"/>
      <c r="BV69" s="56"/>
      <c r="BW69" s="56"/>
      <c r="BX69" s="56"/>
      <c r="BY69" s="56"/>
      <c r="BZ69" s="56"/>
      <c r="CA69" s="56"/>
      <c r="CB69" s="56"/>
      <c r="CC69" s="56"/>
      <c r="CD69" s="56"/>
      <c r="CE69" s="56"/>
      <c r="CF69" s="56"/>
      <c r="CG69" s="56"/>
      <c r="CH69" s="56"/>
      <c r="CI69" s="56"/>
      <c r="CJ69" s="56"/>
      <c r="CK69" s="56"/>
      <c r="CL69" s="56"/>
      <c r="CM69" s="56"/>
      <c r="CN69" s="56"/>
      <c r="CO69" s="56"/>
      <c r="CP69" s="56"/>
      <c r="CQ69" s="56"/>
      <c r="CR69" s="56"/>
      <c r="CS69" s="56"/>
      <c r="CT69" s="56"/>
      <c r="CU69" s="56"/>
      <c r="CV69" s="56"/>
      <c r="CW69" s="56"/>
      <c r="CX69" s="56"/>
      <c r="CY69" s="56"/>
      <c r="CZ69" s="56"/>
      <c r="DA69" s="56"/>
      <c r="DB69" s="56"/>
      <c r="DC69" s="56"/>
      <c r="DD69" s="56"/>
      <c r="DE69" s="56"/>
      <c r="DF69" s="56"/>
      <c r="DG69" s="56"/>
      <c r="DH69" s="56"/>
      <c r="DI69" s="56"/>
      <c r="DJ69" s="56"/>
      <c r="DK69" s="56"/>
      <c r="DL69" s="56"/>
      <c r="DM69" s="56"/>
      <c r="DN69" s="56"/>
      <c r="DO69" s="56"/>
      <c r="DP69" s="56"/>
      <c r="DQ69" s="56"/>
      <c r="DR69" s="56"/>
      <c r="DS69" s="56"/>
      <c r="DT69" s="56"/>
      <c r="DU69" s="56"/>
      <c r="DV69" s="56"/>
      <c r="DW69" s="56"/>
      <c r="DX69" s="56"/>
      <c r="DY69" s="56"/>
      <c r="DZ69" s="56"/>
      <c r="EA69" s="56"/>
      <c r="EB69" s="56"/>
      <c r="EC69" s="56"/>
      <c r="ED69" s="56"/>
      <c r="EE69" s="56"/>
      <c r="EF69" s="56"/>
      <c r="EG69" s="56"/>
      <c r="EH69" s="56"/>
      <c r="EI69" s="56"/>
      <c r="EJ69" s="56"/>
      <c r="EK69" s="56"/>
    </row>
    <row r="70" spans="1:141" ht="24.75" thickBot="1" x14ac:dyDescent="0.6">
      <c r="A70" s="959" t="s">
        <v>25</v>
      </c>
      <c r="B70" s="885">
        <f>SUM(B68:B69)</f>
        <v>236</v>
      </c>
      <c r="C70" s="931">
        <f>SUM(C68:C69)</f>
        <v>5902</v>
      </c>
      <c r="D70" s="887"/>
      <c r="E70" s="888"/>
      <c r="F70" s="888"/>
      <c r="G70" s="888"/>
      <c r="H70" s="888"/>
      <c r="I70" s="888"/>
      <c r="J70" s="888"/>
      <c r="K70" s="888"/>
      <c r="L70" s="889"/>
      <c r="M70" s="158">
        <f>SUM(M68:M69)</f>
        <v>29</v>
      </c>
      <c r="N70" s="158">
        <f>SUM(N68:N69)</f>
        <v>0</v>
      </c>
      <c r="O70" s="160">
        <f>SUM(O66:O69)</f>
        <v>0</v>
      </c>
      <c r="P70" s="160">
        <f>0</f>
        <v>0</v>
      </c>
      <c r="Q70" s="160">
        <f>0</f>
        <v>0</v>
      </c>
      <c r="R70" s="161"/>
      <c r="S70" s="160"/>
      <c r="T70" s="163"/>
      <c r="U70" s="158">
        <f>SUM(U68:U69)</f>
        <v>6492</v>
      </c>
      <c r="V70" s="158">
        <f>SUM(V66:V69)</f>
        <v>0</v>
      </c>
      <c r="W70" s="175">
        <f>SUM(W66:W69)</f>
        <v>0</v>
      </c>
      <c r="X70" s="164"/>
      <c r="Y70" s="164"/>
      <c r="Z70" s="164"/>
      <c r="AA70" s="164"/>
      <c r="AB70" s="164"/>
      <c r="AC70" s="157">
        <f>SUM(AC68:AC69)</f>
        <v>2755</v>
      </c>
      <c r="AD70" s="157">
        <f t="shared" ref="AD70:AD71" si="34">ROUND(N70*960,0)</f>
        <v>0</v>
      </c>
      <c r="AE70" s="166">
        <f>SUM(AE66:AE69)</f>
        <v>0</v>
      </c>
      <c r="AF70" s="166">
        <f>AF68+AF69</f>
        <v>0</v>
      </c>
      <c r="AG70" s="164"/>
      <c r="AH70" s="164"/>
      <c r="AI70" s="164"/>
      <c r="AJ70" s="156"/>
      <c r="AK70" s="165">
        <f>SUM(AK66:AK69)</f>
        <v>9247</v>
      </c>
      <c r="AL70" s="165">
        <f>SUM(AL67:AL69)</f>
        <v>0</v>
      </c>
      <c r="AM70" s="166">
        <f>SUM(AM66:AM69)</f>
        <v>0</v>
      </c>
      <c r="AN70" s="166">
        <f>AN68+AN69</f>
        <v>0</v>
      </c>
      <c r="AO70" s="164"/>
      <c r="AP70" s="164"/>
      <c r="AQ70" s="164"/>
      <c r="AR70" s="167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141" ht="27" thickBot="1" x14ac:dyDescent="0.75">
      <c r="A71" s="960"/>
      <c r="B71" s="886"/>
      <c r="C71" s="932"/>
      <c r="D71" s="890"/>
      <c r="E71" s="891"/>
      <c r="F71" s="891"/>
      <c r="G71" s="891"/>
      <c r="H71" s="891"/>
      <c r="I71" s="891"/>
      <c r="J71" s="891"/>
      <c r="K71" s="891"/>
      <c r="L71" s="892"/>
      <c r="M71" s="895">
        <f>M70+N70</f>
        <v>29</v>
      </c>
      <c r="N71" s="897">
        <f>M70+N70</f>
        <v>29</v>
      </c>
      <c r="O71" s="898">
        <f>+O70+P70+Q70</f>
        <v>0</v>
      </c>
      <c r="P71" s="899"/>
      <c r="Q71" s="955"/>
      <c r="R71" s="898">
        <f>+R70+S70+T70</f>
        <v>0</v>
      </c>
      <c r="S71" s="899"/>
      <c r="T71" s="955"/>
      <c r="U71" s="956">
        <f>U70+V70</f>
        <v>6492</v>
      </c>
      <c r="V71" s="957"/>
      <c r="W71" s="951">
        <f>W70+X70+Y70</f>
        <v>0</v>
      </c>
      <c r="X71" s="952"/>
      <c r="Y71" s="953"/>
      <c r="Z71" s="951">
        <f>Z70+AA70+AB70</f>
        <v>0</v>
      </c>
      <c r="AA71" s="952"/>
      <c r="AB71" s="953"/>
      <c r="AC71" s="911">
        <f>AC70+AD70</f>
        <v>2755</v>
      </c>
      <c r="AD71" s="913">
        <f t="shared" si="34"/>
        <v>27840</v>
      </c>
      <c r="AE71" s="951">
        <f>AE70+AF70+AG70</f>
        <v>0</v>
      </c>
      <c r="AF71" s="952"/>
      <c r="AG71" s="953"/>
      <c r="AH71" s="951">
        <f>AH70+AI70+AJ70</f>
        <v>0</v>
      </c>
      <c r="AI71" s="952"/>
      <c r="AJ71" s="953"/>
      <c r="AK71" s="911">
        <f>AK70+AL70</f>
        <v>9247</v>
      </c>
      <c r="AL71" s="912">
        <f t="shared" ref="AL71" si="35">V71+AD71</f>
        <v>27840</v>
      </c>
      <c r="AM71" s="951">
        <f>AM70+AN70+AO70</f>
        <v>0</v>
      </c>
      <c r="AN71" s="952"/>
      <c r="AO71" s="954"/>
      <c r="AP71" s="951">
        <f>AP70+AQ70+AR70</f>
        <v>0</v>
      </c>
      <c r="AQ71" s="952"/>
      <c r="AR71" s="954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141" ht="24.75" customHeight="1" x14ac:dyDescent="0.55000000000000004">
      <c r="A72" s="65" t="s">
        <v>49</v>
      </c>
      <c r="B72" s="5">
        <v>157</v>
      </c>
      <c r="C72" s="6">
        <v>4022</v>
      </c>
      <c r="D72" s="46">
        <v>1</v>
      </c>
      <c r="E72" s="10">
        <f>0</f>
        <v>0</v>
      </c>
      <c r="F72" s="10">
        <f>0</f>
        <v>0</v>
      </c>
      <c r="G72" s="9">
        <v>5</v>
      </c>
      <c r="H72" s="10">
        <f>0</f>
        <v>0</v>
      </c>
      <c r="I72" s="11">
        <f>0</f>
        <v>0</v>
      </c>
      <c r="J72" s="9">
        <v>1.1000000000000001</v>
      </c>
      <c r="K72" s="10">
        <v>2</v>
      </c>
      <c r="L72" s="12">
        <v>1.7</v>
      </c>
      <c r="M72" s="13">
        <f>ROUND(C72*G72/1000,0)</f>
        <v>20</v>
      </c>
      <c r="N72" s="17"/>
      <c r="O72" s="14"/>
      <c r="P72" s="14"/>
      <c r="Q72" s="14"/>
      <c r="R72" s="15"/>
      <c r="S72" s="14"/>
      <c r="T72" s="18"/>
      <c r="U72" s="13">
        <f>ROUND(C72*J72,0)</f>
        <v>4424</v>
      </c>
      <c r="V72" s="17"/>
      <c r="W72" s="14"/>
      <c r="X72" s="14"/>
      <c r="Y72" s="14"/>
      <c r="Z72" s="14"/>
      <c r="AA72" s="15"/>
      <c r="AB72" s="23"/>
      <c r="AC72" s="17">
        <f>ROUND(M72*95,0)</f>
        <v>1900</v>
      </c>
      <c r="AD72" s="17"/>
      <c r="AE72" s="14"/>
      <c r="AF72" s="14"/>
      <c r="AG72" s="14"/>
      <c r="AH72" s="15"/>
      <c r="AI72" s="14"/>
      <c r="AJ72" s="16"/>
      <c r="AK72" s="100">
        <f>U72+AC72</f>
        <v>6324</v>
      </c>
      <c r="AL72" s="14"/>
      <c r="AM72" s="14"/>
      <c r="AN72" s="14"/>
      <c r="AO72" s="14"/>
      <c r="AP72" s="14"/>
      <c r="AQ72" s="14"/>
      <c r="AR72" s="1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  <c r="BQ72" s="56"/>
      <c r="BR72" s="56"/>
      <c r="BS72" s="56"/>
      <c r="BT72" s="56"/>
      <c r="BU72" s="56"/>
      <c r="BV72" s="56"/>
      <c r="BW72" s="56"/>
      <c r="BX72" s="56"/>
      <c r="BY72" s="56"/>
      <c r="BZ72" s="56"/>
      <c r="CA72" s="56"/>
      <c r="CB72" s="56"/>
      <c r="CC72" s="56"/>
      <c r="CD72" s="56"/>
      <c r="CE72" s="56"/>
      <c r="CF72" s="56"/>
      <c r="CG72" s="56"/>
      <c r="CH72" s="56"/>
      <c r="CI72" s="56"/>
      <c r="CJ72" s="56"/>
      <c r="CK72" s="56"/>
      <c r="CL72" s="56"/>
      <c r="CM72" s="56"/>
      <c r="CN72" s="56"/>
      <c r="CO72" s="56"/>
      <c r="CP72" s="56"/>
      <c r="CQ72" s="56"/>
      <c r="CR72" s="56"/>
      <c r="CS72" s="56"/>
      <c r="CT72" s="56"/>
      <c r="CU72" s="56"/>
      <c r="CV72" s="56"/>
      <c r="CW72" s="56"/>
      <c r="CX72" s="56"/>
      <c r="CY72" s="56"/>
      <c r="CZ72" s="56"/>
      <c r="DA72" s="56"/>
      <c r="DB72" s="56"/>
      <c r="DC72" s="56"/>
      <c r="DD72" s="56"/>
      <c r="DE72" s="56"/>
      <c r="DF72" s="56"/>
      <c r="DG72" s="56"/>
      <c r="DH72" s="56"/>
      <c r="DI72" s="56"/>
      <c r="DJ72" s="56"/>
      <c r="DK72" s="56"/>
      <c r="DL72" s="56"/>
      <c r="DM72" s="56"/>
      <c r="DN72" s="56"/>
      <c r="DO72" s="56"/>
      <c r="DP72" s="56"/>
      <c r="DQ72" s="56"/>
      <c r="DR72" s="56"/>
      <c r="DS72" s="56"/>
      <c r="DT72" s="56"/>
      <c r="DU72" s="56"/>
      <c r="DV72" s="56"/>
      <c r="DW72" s="56"/>
      <c r="DX72" s="56"/>
      <c r="DY72" s="56"/>
      <c r="DZ72" s="56"/>
      <c r="EA72" s="56"/>
      <c r="EB72" s="56"/>
      <c r="EC72" s="56"/>
      <c r="ED72" s="56"/>
      <c r="EE72" s="56"/>
      <c r="EF72" s="56"/>
      <c r="EG72" s="56"/>
      <c r="EH72" s="56"/>
      <c r="EI72" s="56"/>
      <c r="EJ72" s="56"/>
      <c r="EK72" s="56"/>
    </row>
    <row r="73" spans="1:141" ht="24.75" thickBot="1" x14ac:dyDescent="0.6">
      <c r="A73" s="65" t="s">
        <v>35</v>
      </c>
      <c r="B73" s="20">
        <v>170</v>
      </c>
      <c r="C73" s="72">
        <v>4245</v>
      </c>
      <c r="D73" s="17">
        <v>1</v>
      </c>
      <c r="E73" s="10">
        <v>0</v>
      </c>
      <c r="F73" s="10">
        <v>0</v>
      </c>
      <c r="G73" s="13">
        <v>5</v>
      </c>
      <c r="H73" s="14">
        <f>0</f>
        <v>0</v>
      </c>
      <c r="I73" s="23">
        <f>0</f>
        <v>0</v>
      </c>
      <c r="J73" s="13">
        <v>1.1000000000000001</v>
      </c>
      <c r="K73" s="14">
        <v>2</v>
      </c>
      <c r="L73" s="15">
        <v>1.7</v>
      </c>
      <c r="M73" s="13">
        <f>ROUND(C73*G73/1000,0)</f>
        <v>21</v>
      </c>
      <c r="N73" s="17"/>
      <c r="O73" s="14"/>
      <c r="P73" s="14"/>
      <c r="Q73" s="14"/>
      <c r="R73" s="15"/>
      <c r="S73" s="14"/>
      <c r="T73" s="18"/>
      <c r="U73" s="13">
        <f>ROUND(C73*J73,0)</f>
        <v>4670</v>
      </c>
      <c r="V73" s="17"/>
      <c r="W73" s="14"/>
      <c r="X73" s="14"/>
      <c r="Y73" s="14"/>
      <c r="Z73" s="14"/>
      <c r="AA73" s="15"/>
      <c r="AB73" s="23"/>
      <c r="AC73" s="17">
        <f>ROUND(M73*95,0)</f>
        <v>1995</v>
      </c>
      <c r="AD73" s="17"/>
      <c r="AE73" s="14"/>
      <c r="AF73" s="14"/>
      <c r="AG73" s="14"/>
      <c r="AH73" s="15"/>
      <c r="AI73" s="14"/>
      <c r="AJ73" s="16"/>
      <c r="AK73" s="100">
        <f t="shared" ref="AK73" si="36">U73+AC73</f>
        <v>6665</v>
      </c>
      <c r="AL73" s="14"/>
      <c r="AM73" s="14"/>
      <c r="AN73" s="14"/>
      <c r="AO73" s="14"/>
      <c r="AP73" s="14"/>
      <c r="AQ73" s="14"/>
      <c r="AR73" s="1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/>
      <c r="BP73" s="56"/>
      <c r="BQ73" s="56"/>
      <c r="BR73" s="56"/>
      <c r="BS73" s="56"/>
      <c r="BT73" s="56"/>
      <c r="BU73" s="56"/>
      <c r="BV73" s="56"/>
      <c r="BW73" s="56"/>
      <c r="BX73" s="56"/>
      <c r="BY73" s="56"/>
      <c r="BZ73" s="56"/>
      <c r="CA73" s="56"/>
      <c r="CB73" s="56"/>
      <c r="CC73" s="56"/>
      <c r="CD73" s="56"/>
      <c r="CE73" s="56"/>
      <c r="CF73" s="56"/>
      <c r="CG73" s="56"/>
      <c r="CH73" s="56"/>
      <c r="CI73" s="56"/>
      <c r="CJ73" s="56"/>
      <c r="CK73" s="56"/>
      <c r="CL73" s="56"/>
      <c r="CM73" s="56"/>
      <c r="CN73" s="56"/>
      <c r="CO73" s="56"/>
      <c r="CP73" s="56"/>
      <c r="CQ73" s="56"/>
      <c r="CR73" s="56"/>
      <c r="CS73" s="56"/>
      <c r="CT73" s="56"/>
      <c r="CU73" s="56"/>
      <c r="CV73" s="56"/>
      <c r="CW73" s="56"/>
      <c r="CX73" s="56"/>
      <c r="CY73" s="56"/>
      <c r="CZ73" s="56"/>
      <c r="DA73" s="56"/>
      <c r="DB73" s="56"/>
      <c r="DC73" s="56"/>
      <c r="DD73" s="56"/>
      <c r="DE73" s="56"/>
      <c r="DF73" s="56"/>
      <c r="DG73" s="56"/>
      <c r="DH73" s="56"/>
      <c r="DI73" s="56"/>
      <c r="DJ73" s="56"/>
      <c r="DK73" s="56"/>
      <c r="DL73" s="56"/>
      <c r="DM73" s="56"/>
      <c r="DN73" s="56"/>
      <c r="DO73" s="56"/>
      <c r="DP73" s="56"/>
      <c r="DQ73" s="56"/>
      <c r="DR73" s="56"/>
      <c r="DS73" s="56"/>
      <c r="DT73" s="56"/>
      <c r="DU73" s="56"/>
      <c r="DV73" s="56"/>
      <c r="DW73" s="56"/>
      <c r="DX73" s="56"/>
      <c r="DY73" s="56"/>
      <c r="DZ73" s="56"/>
      <c r="EA73" s="56"/>
      <c r="EB73" s="56"/>
      <c r="EC73" s="56"/>
      <c r="ED73" s="56"/>
      <c r="EE73" s="56"/>
      <c r="EF73" s="56"/>
      <c r="EG73" s="56"/>
      <c r="EH73" s="56"/>
      <c r="EI73" s="56"/>
      <c r="EJ73" s="56"/>
      <c r="EK73" s="56"/>
    </row>
    <row r="74" spans="1:141" ht="24.75" thickBot="1" x14ac:dyDescent="0.6">
      <c r="A74" s="959" t="s">
        <v>46</v>
      </c>
      <c r="B74" s="885">
        <f>SUM(B72:B73)</f>
        <v>327</v>
      </c>
      <c r="C74" s="931">
        <f>SUM(C72:C73)</f>
        <v>8267</v>
      </c>
      <c r="D74" s="887"/>
      <c r="E74" s="888"/>
      <c r="F74" s="888"/>
      <c r="G74" s="888"/>
      <c r="H74" s="888"/>
      <c r="I74" s="888"/>
      <c r="J74" s="888"/>
      <c r="K74" s="888"/>
      <c r="L74" s="889"/>
      <c r="M74" s="158">
        <f>SUM(M72:M73)</f>
        <v>41</v>
      </c>
      <c r="N74" s="158">
        <f>SUM(N72:N73)</f>
        <v>0</v>
      </c>
      <c r="O74" s="160">
        <f>SUM(O70:O73)</f>
        <v>0</v>
      </c>
      <c r="P74" s="160">
        <f>0</f>
        <v>0</v>
      </c>
      <c r="Q74" s="160">
        <f>0</f>
        <v>0</v>
      </c>
      <c r="R74" s="161"/>
      <c r="S74" s="160"/>
      <c r="T74" s="163"/>
      <c r="U74" s="158">
        <f>SUM(U72:U73)</f>
        <v>9094</v>
      </c>
      <c r="V74" s="158">
        <f>SUM(V70:V73)</f>
        <v>0</v>
      </c>
      <c r="W74" s="175">
        <f>SUM(W70:W73)</f>
        <v>0</v>
      </c>
      <c r="X74" s="164"/>
      <c r="Y74" s="164"/>
      <c r="Z74" s="164"/>
      <c r="AA74" s="164"/>
      <c r="AB74" s="164"/>
      <c r="AC74" s="157">
        <f>SUM(AC72:AC73)</f>
        <v>3895</v>
      </c>
      <c r="AD74" s="157">
        <f t="shared" ref="AD74:AD75" si="37">ROUND(N74*960,0)</f>
        <v>0</v>
      </c>
      <c r="AE74" s="166">
        <f>SUM(AE70:AE73)</f>
        <v>0</v>
      </c>
      <c r="AF74" s="166">
        <f>AF72+AF73</f>
        <v>0</v>
      </c>
      <c r="AG74" s="164"/>
      <c r="AH74" s="164"/>
      <c r="AI74" s="164"/>
      <c r="AJ74" s="156"/>
      <c r="AK74" s="165">
        <f>SUM(AK72:AK73)</f>
        <v>12989</v>
      </c>
      <c r="AL74" s="165">
        <f>SUM(AL72:AL73)</f>
        <v>0</v>
      </c>
      <c r="AM74" s="166">
        <f>SUM(AM70:AM73)</f>
        <v>0</v>
      </c>
      <c r="AN74" s="166">
        <f>AN72+AN73</f>
        <v>0</v>
      </c>
      <c r="AO74" s="164"/>
      <c r="AP74" s="164"/>
      <c r="AQ74" s="164"/>
      <c r="AR74" s="167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141" ht="27" thickBot="1" x14ac:dyDescent="0.75">
      <c r="A75" s="960"/>
      <c r="B75" s="886"/>
      <c r="C75" s="932"/>
      <c r="D75" s="890"/>
      <c r="E75" s="891"/>
      <c r="F75" s="891"/>
      <c r="G75" s="891"/>
      <c r="H75" s="891"/>
      <c r="I75" s="891"/>
      <c r="J75" s="891"/>
      <c r="K75" s="891"/>
      <c r="L75" s="892"/>
      <c r="M75" s="895">
        <f>M74+N74</f>
        <v>41</v>
      </c>
      <c r="N75" s="897">
        <f>M74+N74</f>
        <v>41</v>
      </c>
      <c r="O75" s="898">
        <f>+O74+P74+Q74</f>
        <v>0</v>
      </c>
      <c r="P75" s="899"/>
      <c r="Q75" s="955"/>
      <c r="R75" s="898">
        <f>+R74+S74+T74</f>
        <v>0</v>
      </c>
      <c r="S75" s="899"/>
      <c r="T75" s="955"/>
      <c r="U75" s="956">
        <f>U74+V74</f>
        <v>9094</v>
      </c>
      <c r="V75" s="957"/>
      <c r="W75" s="951">
        <f>W74+X74+Y74</f>
        <v>0</v>
      </c>
      <c r="X75" s="952"/>
      <c r="Y75" s="953"/>
      <c r="Z75" s="951">
        <f>Z74+AA74+AB74</f>
        <v>0</v>
      </c>
      <c r="AA75" s="952"/>
      <c r="AB75" s="953"/>
      <c r="AC75" s="911">
        <f>AC74+AD74</f>
        <v>3895</v>
      </c>
      <c r="AD75" s="913">
        <f t="shared" si="37"/>
        <v>39360</v>
      </c>
      <c r="AE75" s="951">
        <f>AE74+AF74+AG74</f>
        <v>0</v>
      </c>
      <c r="AF75" s="952"/>
      <c r="AG75" s="953"/>
      <c r="AH75" s="951">
        <f>AH74+AI74+AJ74</f>
        <v>0</v>
      </c>
      <c r="AI75" s="952"/>
      <c r="AJ75" s="953"/>
      <c r="AK75" s="911">
        <f>AK74+AL74</f>
        <v>12989</v>
      </c>
      <c r="AL75" s="912">
        <f t="shared" ref="AL75" si="38">V75+AD75</f>
        <v>39360</v>
      </c>
      <c r="AM75" s="951">
        <f>AM74+AN74+AO74</f>
        <v>0</v>
      </c>
      <c r="AN75" s="952"/>
      <c r="AO75" s="954"/>
      <c r="AP75" s="951">
        <f>AP74+AQ74+AR74</f>
        <v>0</v>
      </c>
      <c r="AQ75" s="952"/>
      <c r="AR75" s="954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141" s="68" customFormat="1" ht="39.950000000000003" customHeight="1" thickBot="1" x14ac:dyDescent="0.6">
      <c r="A76" s="880" t="s">
        <v>77</v>
      </c>
      <c r="B76" s="881"/>
      <c r="C76" s="881"/>
      <c r="D76" s="881"/>
      <c r="E76" s="881"/>
      <c r="F76" s="881"/>
      <c r="G76" s="881"/>
      <c r="H76" s="881"/>
      <c r="I76" s="881"/>
      <c r="J76" s="881"/>
      <c r="K76" s="881"/>
      <c r="L76" s="881"/>
      <c r="M76" s="881"/>
      <c r="N76" s="881"/>
      <c r="O76" s="881"/>
      <c r="P76" s="881"/>
      <c r="Q76" s="881"/>
      <c r="R76" s="881"/>
      <c r="S76" s="881"/>
      <c r="T76" s="881"/>
      <c r="U76" s="881"/>
      <c r="V76" s="881"/>
      <c r="W76" s="881"/>
      <c r="X76" s="881"/>
      <c r="Y76" s="881"/>
      <c r="Z76" s="881"/>
      <c r="AA76" s="881"/>
      <c r="AB76" s="881"/>
      <c r="AC76" s="881"/>
      <c r="AD76" s="881"/>
      <c r="AE76" s="881"/>
      <c r="AF76" s="881"/>
      <c r="AG76" s="881"/>
      <c r="AH76" s="881"/>
      <c r="AI76" s="881"/>
      <c r="AJ76" s="881"/>
      <c r="AK76" s="881"/>
      <c r="AL76" s="881"/>
      <c r="AM76" s="881"/>
      <c r="AN76" s="881"/>
      <c r="AO76" s="881"/>
      <c r="AP76" s="881"/>
      <c r="AQ76" s="881"/>
      <c r="AR76" s="882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  <c r="BQ76" s="69"/>
      <c r="BR76" s="69"/>
      <c r="BS76" s="69"/>
      <c r="BT76" s="69"/>
      <c r="BU76" s="69"/>
      <c r="BV76" s="69"/>
      <c r="BW76" s="69"/>
      <c r="BX76" s="69"/>
      <c r="BY76" s="69"/>
      <c r="BZ76" s="69"/>
      <c r="CA76" s="69"/>
      <c r="CB76" s="69"/>
      <c r="CC76" s="69"/>
      <c r="CD76" s="69"/>
      <c r="CE76" s="69"/>
      <c r="CF76" s="69"/>
      <c r="CG76" s="69"/>
      <c r="CH76" s="69"/>
      <c r="CI76" s="69"/>
      <c r="CJ76" s="69"/>
      <c r="CK76" s="69"/>
      <c r="CL76" s="69"/>
      <c r="CM76" s="69"/>
      <c r="CN76" s="69"/>
      <c r="CO76" s="69"/>
      <c r="CP76" s="69"/>
      <c r="CQ76" s="69"/>
      <c r="CR76" s="69"/>
      <c r="CS76" s="69"/>
      <c r="CT76" s="69"/>
      <c r="CU76" s="69"/>
      <c r="CV76" s="69"/>
      <c r="CW76" s="69"/>
      <c r="CX76" s="69"/>
      <c r="CY76" s="69"/>
      <c r="CZ76" s="69"/>
      <c r="DA76" s="69"/>
      <c r="DB76" s="69"/>
      <c r="DC76" s="69"/>
      <c r="DD76" s="69"/>
      <c r="DE76" s="69"/>
      <c r="DF76" s="69"/>
      <c r="DG76" s="69"/>
      <c r="DH76" s="69"/>
      <c r="DI76" s="69"/>
      <c r="DJ76" s="69"/>
      <c r="DK76" s="69"/>
      <c r="DL76" s="69"/>
      <c r="DM76" s="69"/>
      <c r="DN76" s="69"/>
      <c r="DO76" s="69"/>
      <c r="DP76" s="69"/>
      <c r="DQ76" s="69"/>
      <c r="DR76" s="69"/>
      <c r="DS76" s="69"/>
      <c r="DT76" s="69"/>
      <c r="DU76" s="69"/>
      <c r="DV76" s="69"/>
      <c r="DW76" s="69"/>
      <c r="DX76" s="69"/>
      <c r="DY76" s="69"/>
      <c r="DZ76" s="69"/>
      <c r="EA76" s="69"/>
      <c r="EB76" s="69"/>
      <c r="EC76" s="69"/>
      <c r="ED76" s="69"/>
      <c r="EE76" s="69"/>
      <c r="EF76" s="69"/>
      <c r="EG76" s="69"/>
      <c r="EH76" s="69"/>
      <c r="EI76" s="69"/>
      <c r="EJ76" s="69"/>
      <c r="EK76" s="69"/>
    </row>
    <row r="77" spans="1:141" x14ac:dyDescent="0.55000000000000004">
      <c r="A77" s="75" t="s">
        <v>78</v>
      </c>
      <c r="B77" s="44">
        <v>195</v>
      </c>
      <c r="C77" s="45">
        <v>4864</v>
      </c>
      <c r="D77" s="46">
        <v>1</v>
      </c>
      <c r="E77" s="10">
        <v>0</v>
      </c>
      <c r="F77" s="10">
        <v>0</v>
      </c>
      <c r="G77" s="9">
        <v>5</v>
      </c>
      <c r="H77" s="10">
        <f>0</f>
        <v>0</v>
      </c>
      <c r="I77" s="11">
        <f>0</f>
        <v>0</v>
      </c>
      <c r="J77" s="9">
        <v>1.1000000000000001</v>
      </c>
      <c r="K77" s="10">
        <v>2</v>
      </c>
      <c r="L77" s="12">
        <v>1.7</v>
      </c>
      <c r="M77" s="13">
        <f>ROUND(C77*G77/1000,0)</f>
        <v>24</v>
      </c>
      <c r="N77" s="17"/>
      <c r="O77" s="14"/>
      <c r="P77" s="14"/>
      <c r="Q77" s="14"/>
      <c r="R77" s="15"/>
      <c r="S77" s="14"/>
      <c r="T77" s="18"/>
      <c r="U77" s="13">
        <f>ROUND(C77*J77,0)</f>
        <v>5350</v>
      </c>
      <c r="V77" s="17"/>
      <c r="W77" s="14"/>
      <c r="X77" s="14"/>
      <c r="Y77" s="14"/>
      <c r="Z77" s="14"/>
      <c r="AA77" s="15"/>
      <c r="AB77" s="23"/>
      <c r="AC77" s="17">
        <f>ROUND(M77*95,0)</f>
        <v>2280</v>
      </c>
      <c r="AD77" s="17"/>
      <c r="AE77" s="14"/>
      <c r="AF77" s="14"/>
      <c r="AG77" s="14"/>
      <c r="AH77" s="15"/>
      <c r="AI77" s="14"/>
      <c r="AJ77" s="16"/>
      <c r="AK77" s="100">
        <f>U77+AC77</f>
        <v>7630</v>
      </c>
      <c r="AL77" s="14"/>
      <c r="AM77" s="14"/>
      <c r="AN77" s="14"/>
      <c r="AO77" s="14"/>
      <c r="AP77" s="14"/>
      <c r="AQ77" s="14"/>
      <c r="AR77" s="1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/>
      <c r="BT77" s="56"/>
      <c r="BU77" s="56"/>
      <c r="BV77" s="56"/>
      <c r="BW77" s="56"/>
      <c r="BX77" s="56"/>
      <c r="BY77" s="56"/>
      <c r="BZ77" s="56"/>
      <c r="CA77" s="56"/>
      <c r="CB77" s="56"/>
      <c r="CC77" s="56"/>
      <c r="CD77" s="56"/>
      <c r="CE77" s="56"/>
      <c r="CF77" s="56"/>
      <c r="CG77" s="56"/>
      <c r="CH77" s="56"/>
      <c r="CI77" s="56"/>
      <c r="CJ77" s="56"/>
      <c r="CK77" s="56"/>
      <c r="CL77" s="56"/>
      <c r="CM77" s="56"/>
      <c r="CN77" s="56"/>
      <c r="CO77" s="56"/>
      <c r="CP77" s="56"/>
      <c r="CQ77" s="56"/>
      <c r="CR77" s="56"/>
      <c r="CS77" s="56"/>
      <c r="CT77" s="56"/>
      <c r="CU77" s="56"/>
      <c r="CV77" s="56"/>
      <c r="CW77" s="56"/>
      <c r="CX77" s="56"/>
      <c r="CY77" s="56"/>
      <c r="CZ77" s="56"/>
      <c r="DA77" s="56"/>
      <c r="DB77" s="56"/>
      <c r="DC77" s="56"/>
      <c r="DD77" s="56"/>
      <c r="DE77" s="56"/>
      <c r="DF77" s="56"/>
      <c r="DG77" s="56"/>
      <c r="DH77" s="56"/>
      <c r="DI77" s="56"/>
      <c r="DJ77" s="56"/>
      <c r="DK77" s="56"/>
      <c r="DL77" s="56"/>
      <c r="DM77" s="56"/>
      <c r="DN77" s="56"/>
      <c r="DO77" s="56"/>
      <c r="DP77" s="56"/>
      <c r="DQ77" s="56"/>
      <c r="DR77" s="56"/>
      <c r="DS77" s="56"/>
      <c r="DT77" s="56"/>
      <c r="DU77" s="56"/>
      <c r="DV77" s="56"/>
      <c r="DW77" s="56"/>
      <c r="DX77" s="56"/>
      <c r="DY77" s="56"/>
      <c r="DZ77" s="56"/>
      <c r="EA77" s="56"/>
      <c r="EB77" s="56"/>
      <c r="EC77" s="56"/>
      <c r="ED77" s="56"/>
      <c r="EE77" s="56"/>
      <c r="EF77" s="56"/>
      <c r="EG77" s="56"/>
      <c r="EH77" s="56"/>
      <c r="EI77" s="56"/>
      <c r="EJ77" s="56"/>
      <c r="EK77" s="56"/>
    </row>
    <row r="78" spans="1:141" ht="24.75" thickBot="1" x14ac:dyDescent="0.6">
      <c r="A78" s="76" t="s">
        <v>79</v>
      </c>
      <c r="B78" s="50">
        <v>171</v>
      </c>
      <c r="C78" s="51">
        <v>4608</v>
      </c>
      <c r="D78" s="17">
        <v>1</v>
      </c>
      <c r="E78" s="10">
        <v>0</v>
      </c>
      <c r="F78" s="10">
        <v>0</v>
      </c>
      <c r="G78" s="13">
        <v>5</v>
      </c>
      <c r="H78" s="14">
        <f>0</f>
        <v>0</v>
      </c>
      <c r="I78" s="23">
        <f>0</f>
        <v>0</v>
      </c>
      <c r="J78" s="13">
        <v>1.1000000000000001</v>
      </c>
      <c r="K78" s="14">
        <v>2</v>
      </c>
      <c r="L78" s="15">
        <v>1.7</v>
      </c>
      <c r="M78" s="13">
        <f>ROUND(C78*G78/1000,0)</f>
        <v>23</v>
      </c>
      <c r="N78" s="17"/>
      <c r="O78" s="14"/>
      <c r="P78" s="14"/>
      <c r="Q78" s="14"/>
      <c r="R78" s="15"/>
      <c r="S78" s="14"/>
      <c r="T78" s="18"/>
      <c r="U78" s="13">
        <f>ROUND(C78*J78,0)</f>
        <v>5069</v>
      </c>
      <c r="V78" s="17"/>
      <c r="W78" s="14"/>
      <c r="X78" s="14"/>
      <c r="Y78" s="14"/>
      <c r="Z78" s="14"/>
      <c r="AA78" s="15"/>
      <c r="AB78" s="23"/>
      <c r="AC78" s="17">
        <f>ROUND(M78*95,0)</f>
        <v>2185</v>
      </c>
      <c r="AD78" s="17"/>
      <c r="AE78" s="14"/>
      <c r="AF78" s="14"/>
      <c r="AG78" s="14"/>
      <c r="AH78" s="15"/>
      <c r="AI78" s="14"/>
      <c r="AJ78" s="16"/>
      <c r="AK78" s="100">
        <f>U78+AC78</f>
        <v>7254</v>
      </c>
      <c r="AL78" s="14"/>
      <c r="AM78" s="14"/>
      <c r="AN78" s="14"/>
      <c r="AO78" s="14"/>
      <c r="AP78" s="14"/>
      <c r="AQ78" s="14"/>
      <c r="AR78" s="1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  <c r="BN78" s="56"/>
      <c r="BO78" s="56"/>
      <c r="BP78" s="56"/>
      <c r="BQ78" s="56"/>
      <c r="BR78" s="56"/>
      <c r="BS78" s="56"/>
      <c r="BT78" s="56"/>
      <c r="BU78" s="56"/>
      <c r="BV78" s="56"/>
      <c r="BW78" s="56"/>
      <c r="BX78" s="56"/>
      <c r="BY78" s="56"/>
      <c r="BZ78" s="56"/>
      <c r="CA78" s="56"/>
      <c r="CB78" s="56"/>
      <c r="CC78" s="56"/>
      <c r="CD78" s="56"/>
      <c r="CE78" s="56"/>
      <c r="CF78" s="56"/>
      <c r="CG78" s="56"/>
      <c r="CH78" s="56"/>
      <c r="CI78" s="56"/>
      <c r="CJ78" s="56"/>
      <c r="CK78" s="56"/>
      <c r="CL78" s="56"/>
      <c r="CM78" s="56"/>
      <c r="CN78" s="56"/>
      <c r="CO78" s="56"/>
      <c r="CP78" s="56"/>
      <c r="CQ78" s="56"/>
      <c r="CR78" s="56"/>
      <c r="CS78" s="56"/>
      <c r="CT78" s="56"/>
      <c r="CU78" s="56"/>
      <c r="CV78" s="56"/>
      <c r="CW78" s="56"/>
      <c r="CX78" s="56"/>
      <c r="CY78" s="56"/>
      <c r="CZ78" s="56"/>
      <c r="DA78" s="56"/>
      <c r="DB78" s="56"/>
      <c r="DC78" s="56"/>
      <c r="DD78" s="56"/>
      <c r="DE78" s="56"/>
      <c r="DF78" s="56"/>
      <c r="DG78" s="56"/>
      <c r="DH78" s="56"/>
      <c r="DI78" s="56"/>
      <c r="DJ78" s="56"/>
      <c r="DK78" s="56"/>
      <c r="DL78" s="56"/>
      <c r="DM78" s="56"/>
      <c r="DN78" s="56"/>
      <c r="DO78" s="56"/>
      <c r="DP78" s="56"/>
      <c r="DQ78" s="56"/>
      <c r="DR78" s="56"/>
      <c r="DS78" s="56"/>
      <c r="DT78" s="56"/>
      <c r="DU78" s="56"/>
      <c r="DV78" s="56"/>
      <c r="DW78" s="56"/>
      <c r="DX78" s="56"/>
      <c r="DY78" s="56"/>
      <c r="DZ78" s="56"/>
      <c r="EA78" s="56"/>
      <c r="EB78" s="56"/>
      <c r="EC78" s="56"/>
      <c r="ED78" s="56"/>
      <c r="EE78" s="56"/>
      <c r="EF78" s="56"/>
      <c r="EG78" s="56"/>
      <c r="EH78" s="56"/>
      <c r="EI78" s="56"/>
      <c r="EJ78" s="56"/>
      <c r="EK78" s="56"/>
    </row>
    <row r="79" spans="1:141" ht="24.75" thickBot="1" x14ac:dyDescent="0.6">
      <c r="A79" s="959" t="s">
        <v>80</v>
      </c>
      <c r="B79" s="885">
        <f>SUM(B77:B78)</f>
        <v>366</v>
      </c>
      <c r="C79" s="931">
        <f>SUM(C77:C78)</f>
        <v>9472</v>
      </c>
      <c r="D79" s="887"/>
      <c r="E79" s="888"/>
      <c r="F79" s="888"/>
      <c r="G79" s="888"/>
      <c r="H79" s="888"/>
      <c r="I79" s="888"/>
      <c r="J79" s="888"/>
      <c r="K79" s="888"/>
      <c r="L79" s="889"/>
      <c r="M79" s="158">
        <f>SUM(M77:M78)</f>
        <v>47</v>
      </c>
      <c r="N79" s="158">
        <f>SUM(N77:N78)</f>
        <v>0</v>
      </c>
      <c r="O79" s="160">
        <f>SUM(O75:O78)</f>
        <v>0</v>
      </c>
      <c r="P79" s="160">
        <f>0</f>
        <v>0</v>
      </c>
      <c r="Q79" s="160">
        <f>0</f>
        <v>0</v>
      </c>
      <c r="R79" s="161"/>
      <c r="S79" s="160"/>
      <c r="T79" s="163"/>
      <c r="U79" s="158">
        <f>SUM(U77:U78)</f>
        <v>10419</v>
      </c>
      <c r="V79" s="158">
        <f>SUM(V75:V78)</f>
        <v>0</v>
      </c>
      <c r="W79" s="175">
        <f>SUM(W75:W78)</f>
        <v>0</v>
      </c>
      <c r="X79" s="164"/>
      <c r="Y79" s="164"/>
      <c r="Z79" s="164"/>
      <c r="AA79" s="164"/>
      <c r="AB79" s="164"/>
      <c r="AC79" s="157">
        <f>SUM(AC77:AC78)</f>
        <v>4465</v>
      </c>
      <c r="AD79" s="157">
        <f t="shared" ref="AD79:AD80" si="39">ROUND(N79*960,0)</f>
        <v>0</v>
      </c>
      <c r="AE79" s="166">
        <f>SUM(AE75:AE78)</f>
        <v>0</v>
      </c>
      <c r="AF79" s="166">
        <f>AF77+AF78</f>
        <v>0</v>
      </c>
      <c r="AG79" s="164"/>
      <c r="AH79" s="164"/>
      <c r="AI79" s="164"/>
      <c r="AJ79" s="156"/>
      <c r="AK79" s="165">
        <f>SUM(AK77:AK78)</f>
        <v>14884</v>
      </c>
      <c r="AL79" s="165">
        <f>SUM(AL77:AL78)</f>
        <v>0</v>
      </c>
      <c r="AM79" s="166">
        <f>SUM(AM75:AM78)</f>
        <v>0</v>
      </c>
      <c r="AN79" s="166">
        <f>AN77+AN78</f>
        <v>0</v>
      </c>
      <c r="AO79" s="164"/>
      <c r="AP79" s="164"/>
      <c r="AQ79" s="164"/>
      <c r="AR79" s="167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141" ht="27" thickBot="1" x14ac:dyDescent="0.75">
      <c r="A80" s="960"/>
      <c r="B80" s="886"/>
      <c r="C80" s="932"/>
      <c r="D80" s="890"/>
      <c r="E80" s="891"/>
      <c r="F80" s="891"/>
      <c r="G80" s="891"/>
      <c r="H80" s="891"/>
      <c r="I80" s="891"/>
      <c r="J80" s="891"/>
      <c r="K80" s="891"/>
      <c r="L80" s="892"/>
      <c r="M80" s="895">
        <f>M79+N79</f>
        <v>47</v>
      </c>
      <c r="N80" s="897">
        <f>M79+N79</f>
        <v>47</v>
      </c>
      <c r="O80" s="898">
        <f>+O79+P79+Q79</f>
        <v>0</v>
      </c>
      <c r="P80" s="899"/>
      <c r="Q80" s="955"/>
      <c r="R80" s="898">
        <f>+R79+S79+T79</f>
        <v>0</v>
      </c>
      <c r="S80" s="899"/>
      <c r="T80" s="955"/>
      <c r="U80" s="956">
        <f>U79+V79</f>
        <v>10419</v>
      </c>
      <c r="V80" s="957"/>
      <c r="W80" s="951">
        <f>W79+X79+Y79</f>
        <v>0</v>
      </c>
      <c r="X80" s="952"/>
      <c r="Y80" s="953"/>
      <c r="Z80" s="951">
        <f>Z79+AA79+AB79</f>
        <v>0</v>
      </c>
      <c r="AA80" s="952"/>
      <c r="AB80" s="953"/>
      <c r="AC80" s="911">
        <f>AC79+AD79</f>
        <v>4465</v>
      </c>
      <c r="AD80" s="913">
        <f t="shared" si="39"/>
        <v>45120</v>
      </c>
      <c r="AE80" s="951">
        <f>AE79+AF79+AG79</f>
        <v>0</v>
      </c>
      <c r="AF80" s="952"/>
      <c r="AG80" s="953"/>
      <c r="AH80" s="951">
        <f>AH79+AI79+AJ79</f>
        <v>0</v>
      </c>
      <c r="AI80" s="952"/>
      <c r="AJ80" s="953"/>
      <c r="AK80" s="911">
        <f>AK79+AL79</f>
        <v>14884</v>
      </c>
      <c r="AL80" s="912">
        <f t="shared" ref="AL80" si="40">V80+AD80</f>
        <v>45120</v>
      </c>
      <c r="AM80" s="951">
        <f>AM79+AN79+AO79</f>
        <v>0</v>
      </c>
      <c r="AN80" s="952"/>
      <c r="AO80" s="954"/>
      <c r="AP80" s="951">
        <f>AP79+AQ79+AR79</f>
        <v>0</v>
      </c>
      <c r="AQ80" s="952"/>
      <c r="AR80" s="954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141" x14ac:dyDescent="0.55000000000000004">
      <c r="A81" s="77" t="s">
        <v>82</v>
      </c>
      <c r="B81" s="50">
        <v>103</v>
      </c>
      <c r="C81" s="51">
        <v>2792</v>
      </c>
      <c r="D81" s="17">
        <v>1</v>
      </c>
      <c r="E81" s="10">
        <v>0</v>
      </c>
      <c r="F81" s="10">
        <v>0</v>
      </c>
      <c r="G81" s="13">
        <v>5</v>
      </c>
      <c r="H81" s="10">
        <f>0</f>
        <v>0</v>
      </c>
      <c r="I81" s="11">
        <f>0</f>
        <v>0</v>
      </c>
      <c r="J81" s="13">
        <v>1.1000000000000001</v>
      </c>
      <c r="K81" s="14">
        <v>2</v>
      </c>
      <c r="L81" s="15">
        <v>1.7</v>
      </c>
      <c r="M81" s="13">
        <f>ROUND(C81*G81/1000,0)</f>
        <v>14</v>
      </c>
      <c r="N81" s="17"/>
      <c r="O81" s="14"/>
      <c r="P81" s="14"/>
      <c r="Q81" s="14"/>
      <c r="R81" s="15"/>
      <c r="S81" s="14"/>
      <c r="T81" s="18"/>
      <c r="U81" s="13">
        <f>ROUND(C81*J81,0)</f>
        <v>3071</v>
      </c>
      <c r="V81" s="17"/>
      <c r="W81" s="14"/>
      <c r="X81" s="14"/>
      <c r="Y81" s="14"/>
      <c r="Z81" s="14"/>
      <c r="AA81" s="15"/>
      <c r="AB81" s="23"/>
      <c r="AC81" s="17">
        <f>ROUND(M81*95,0)</f>
        <v>1330</v>
      </c>
      <c r="AD81" s="17"/>
      <c r="AE81" s="14"/>
      <c r="AF81" s="14"/>
      <c r="AG81" s="14"/>
      <c r="AH81" s="15"/>
      <c r="AI81" s="14"/>
      <c r="AJ81" s="16"/>
      <c r="AK81" s="100">
        <f>U81+AC81</f>
        <v>4401</v>
      </c>
      <c r="AL81" s="14"/>
      <c r="AM81" s="14"/>
      <c r="AN81" s="14"/>
      <c r="AO81" s="14"/>
      <c r="AP81" s="14"/>
      <c r="AQ81" s="14"/>
      <c r="AR81" s="1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  <c r="BN81" s="56"/>
      <c r="BO81" s="56"/>
      <c r="BP81" s="56"/>
      <c r="BQ81" s="56"/>
      <c r="BR81" s="56"/>
      <c r="BS81" s="56"/>
      <c r="BT81" s="56"/>
      <c r="BU81" s="56"/>
      <c r="BV81" s="56"/>
      <c r="BW81" s="56"/>
      <c r="BX81" s="56"/>
      <c r="BY81" s="56"/>
      <c r="BZ81" s="56"/>
      <c r="CA81" s="56"/>
      <c r="CB81" s="56"/>
      <c r="CC81" s="56"/>
      <c r="CD81" s="56"/>
      <c r="CE81" s="56"/>
      <c r="CF81" s="56"/>
      <c r="CG81" s="56"/>
      <c r="CH81" s="56"/>
      <c r="CI81" s="56"/>
      <c r="CJ81" s="56"/>
      <c r="CK81" s="56"/>
      <c r="CL81" s="56"/>
      <c r="CM81" s="56"/>
      <c r="CN81" s="56"/>
      <c r="CO81" s="56"/>
      <c r="CP81" s="56"/>
      <c r="CQ81" s="56"/>
      <c r="CR81" s="56"/>
      <c r="CS81" s="56"/>
      <c r="CT81" s="56"/>
      <c r="CU81" s="56"/>
      <c r="CV81" s="56"/>
      <c r="CW81" s="56"/>
      <c r="CX81" s="56"/>
      <c r="CY81" s="56"/>
      <c r="CZ81" s="56"/>
      <c r="DA81" s="56"/>
      <c r="DB81" s="56"/>
      <c r="DC81" s="56"/>
      <c r="DD81" s="56"/>
      <c r="DE81" s="56"/>
      <c r="DF81" s="56"/>
      <c r="DG81" s="56"/>
      <c r="DH81" s="56"/>
      <c r="DI81" s="56"/>
      <c r="DJ81" s="56"/>
      <c r="DK81" s="56"/>
      <c r="DL81" s="56"/>
      <c r="DM81" s="56"/>
      <c r="DN81" s="56"/>
      <c r="DO81" s="56"/>
      <c r="DP81" s="56"/>
      <c r="DQ81" s="56"/>
      <c r="DR81" s="56"/>
      <c r="DS81" s="56"/>
      <c r="DT81" s="56"/>
      <c r="DU81" s="56"/>
      <c r="DV81" s="56"/>
      <c r="DW81" s="56"/>
      <c r="DX81" s="56"/>
      <c r="DY81" s="56"/>
      <c r="DZ81" s="56"/>
      <c r="EA81" s="56"/>
      <c r="EB81" s="56"/>
      <c r="EC81" s="56"/>
      <c r="ED81" s="56"/>
      <c r="EE81" s="56"/>
      <c r="EF81" s="56"/>
      <c r="EG81" s="56"/>
      <c r="EH81" s="56"/>
      <c r="EI81" s="56"/>
      <c r="EJ81" s="56"/>
      <c r="EK81" s="56"/>
    </row>
    <row r="82" spans="1:141" ht="24.75" thickBot="1" x14ac:dyDescent="0.6">
      <c r="A82" s="78" t="s">
        <v>83</v>
      </c>
      <c r="B82" s="54">
        <v>156</v>
      </c>
      <c r="C82" s="55">
        <v>4202</v>
      </c>
      <c r="D82" s="31">
        <v>1</v>
      </c>
      <c r="E82" s="10">
        <v>0</v>
      </c>
      <c r="F82" s="10">
        <v>0</v>
      </c>
      <c r="G82" s="27">
        <v>5</v>
      </c>
      <c r="H82" s="14">
        <f>0</f>
        <v>0</v>
      </c>
      <c r="I82" s="23">
        <f>0</f>
        <v>0</v>
      </c>
      <c r="J82" s="27">
        <v>1.1000000000000001</v>
      </c>
      <c r="K82" s="28">
        <v>2</v>
      </c>
      <c r="L82" s="30">
        <v>1.7</v>
      </c>
      <c r="M82" s="13">
        <f>ROUND(C82*G82/1000,0)</f>
        <v>21</v>
      </c>
      <c r="N82" s="17"/>
      <c r="O82" s="14"/>
      <c r="P82" s="14"/>
      <c r="Q82" s="14"/>
      <c r="R82" s="15"/>
      <c r="S82" s="14"/>
      <c r="T82" s="18"/>
      <c r="U82" s="13">
        <f>ROUND(C82*J82,0)</f>
        <v>4622</v>
      </c>
      <c r="V82" s="17"/>
      <c r="W82" s="14"/>
      <c r="X82" s="14"/>
      <c r="Y82" s="14"/>
      <c r="Z82" s="14"/>
      <c r="AA82" s="15"/>
      <c r="AB82" s="23"/>
      <c r="AC82" s="17">
        <f>ROUND(M82*95,0)</f>
        <v>1995</v>
      </c>
      <c r="AD82" s="17"/>
      <c r="AE82" s="14"/>
      <c r="AF82" s="14"/>
      <c r="AG82" s="14"/>
      <c r="AH82" s="15"/>
      <c r="AI82" s="14"/>
      <c r="AJ82" s="16"/>
      <c r="AK82" s="100">
        <f>U82+AC82</f>
        <v>6617</v>
      </c>
      <c r="AL82" s="14"/>
      <c r="AM82" s="14"/>
      <c r="AN82" s="14"/>
      <c r="AO82" s="14"/>
      <c r="AP82" s="14"/>
      <c r="AQ82" s="14"/>
      <c r="AR82" s="1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  <c r="BN82" s="56"/>
      <c r="BO82" s="56"/>
      <c r="BP82" s="56"/>
      <c r="BQ82" s="56"/>
      <c r="BR82" s="56"/>
      <c r="BS82" s="56"/>
      <c r="BT82" s="56"/>
      <c r="BU82" s="56"/>
      <c r="BV82" s="56"/>
      <c r="BW82" s="56"/>
      <c r="BX82" s="56"/>
      <c r="BY82" s="56"/>
      <c r="BZ82" s="56"/>
      <c r="CA82" s="56"/>
      <c r="CB82" s="56"/>
      <c r="CC82" s="56"/>
      <c r="CD82" s="56"/>
      <c r="CE82" s="56"/>
      <c r="CF82" s="56"/>
      <c r="CG82" s="56"/>
      <c r="CH82" s="56"/>
      <c r="CI82" s="56"/>
      <c r="CJ82" s="56"/>
      <c r="CK82" s="56"/>
      <c r="CL82" s="56"/>
      <c r="CM82" s="56"/>
      <c r="CN82" s="56"/>
      <c r="CO82" s="56"/>
      <c r="CP82" s="56"/>
      <c r="CQ82" s="56"/>
      <c r="CR82" s="56"/>
      <c r="CS82" s="56"/>
      <c r="CT82" s="56"/>
      <c r="CU82" s="56"/>
      <c r="CV82" s="56"/>
      <c r="CW82" s="56"/>
      <c r="CX82" s="56"/>
      <c r="CY82" s="56"/>
      <c r="CZ82" s="56"/>
      <c r="DA82" s="56"/>
      <c r="DB82" s="56"/>
      <c r="DC82" s="56"/>
      <c r="DD82" s="56"/>
      <c r="DE82" s="56"/>
      <c r="DF82" s="56"/>
      <c r="DG82" s="56"/>
      <c r="DH82" s="56"/>
      <c r="DI82" s="56"/>
      <c r="DJ82" s="56"/>
      <c r="DK82" s="56"/>
      <c r="DL82" s="56"/>
      <c r="DM82" s="56"/>
      <c r="DN82" s="56"/>
      <c r="DO82" s="56"/>
      <c r="DP82" s="56"/>
      <c r="DQ82" s="56"/>
      <c r="DR82" s="56"/>
      <c r="DS82" s="56"/>
      <c r="DT82" s="56"/>
      <c r="DU82" s="56"/>
      <c r="DV82" s="56"/>
      <c r="DW82" s="56"/>
      <c r="DX82" s="56"/>
      <c r="DY82" s="56"/>
      <c r="DZ82" s="56"/>
      <c r="EA82" s="56"/>
      <c r="EB82" s="56"/>
      <c r="EC82" s="56"/>
      <c r="ED82" s="56"/>
      <c r="EE82" s="56"/>
      <c r="EF82" s="56"/>
      <c r="EG82" s="56"/>
      <c r="EH82" s="56"/>
      <c r="EI82" s="56"/>
      <c r="EJ82" s="56"/>
      <c r="EK82" s="56"/>
    </row>
    <row r="83" spans="1:141" ht="24.75" thickBot="1" x14ac:dyDescent="0.6">
      <c r="A83" s="959" t="s">
        <v>81</v>
      </c>
      <c r="B83" s="885">
        <f>SUM(B81:B82)</f>
        <v>259</v>
      </c>
      <c r="C83" s="931">
        <f>SUM(C81:C82)</f>
        <v>6994</v>
      </c>
      <c r="D83" s="887"/>
      <c r="E83" s="888"/>
      <c r="F83" s="888"/>
      <c r="G83" s="888"/>
      <c r="H83" s="888"/>
      <c r="I83" s="888"/>
      <c r="J83" s="888"/>
      <c r="K83" s="888"/>
      <c r="L83" s="889"/>
      <c r="M83" s="158">
        <f>SUM(M81:M82)</f>
        <v>35</v>
      </c>
      <c r="N83" s="158">
        <f>SUM(N81:N82)</f>
        <v>0</v>
      </c>
      <c r="O83" s="160">
        <f>SUM(O79:O82)</f>
        <v>0</v>
      </c>
      <c r="P83" s="160">
        <f>0</f>
        <v>0</v>
      </c>
      <c r="Q83" s="160">
        <f>0</f>
        <v>0</v>
      </c>
      <c r="R83" s="161"/>
      <c r="S83" s="160"/>
      <c r="T83" s="163"/>
      <c r="U83" s="158">
        <f>SUM(U81:U82)</f>
        <v>7693</v>
      </c>
      <c r="V83" s="158">
        <f>SUM(V79:V82)</f>
        <v>0</v>
      </c>
      <c r="W83" s="175">
        <f>SUM(W79:W82)</f>
        <v>0</v>
      </c>
      <c r="X83" s="164"/>
      <c r="Y83" s="164"/>
      <c r="Z83" s="164"/>
      <c r="AA83" s="164"/>
      <c r="AB83" s="164"/>
      <c r="AC83" s="157">
        <f>SUM(AC81:AC82)</f>
        <v>3325</v>
      </c>
      <c r="AD83" s="157">
        <f t="shared" ref="AD83:AD84" si="41">ROUND(N83*960,0)</f>
        <v>0</v>
      </c>
      <c r="AE83" s="166">
        <f>SUM(AE79:AE82)</f>
        <v>0</v>
      </c>
      <c r="AF83" s="166">
        <f>AF81+AF82</f>
        <v>0</v>
      </c>
      <c r="AG83" s="164"/>
      <c r="AH83" s="164"/>
      <c r="AI83" s="164"/>
      <c r="AJ83" s="156"/>
      <c r="AK83" s="165">
        <f>SUM(AK81:AK82)</f>
        <v>11018</v>
      </c>
      <c r="AL83" s="165">
        <f>SUM(AL81:AL82)</f>
        <v>0</v>
      </c>
      <c r="AM83" s="166">
        <f>SUM(AM79:AM82)</f>
        <v>0</v>
      </c>
      <c r="AN83" s="166">
        <f>AN81+AN82</f>
        <v>0</v>
      </c>
      <c r="AO83" s="164"/>
      <c r="AP83" s="164"/>
      <c r="AQ83" s="164"/>
      <c r="AR83" s="167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141" ht="27" thickBot="1" x14ac:dyDescent="0.75">
      <c r="A84" s="960"/>
      <c r="B84" s="886"/>
      <c r="C84" s="932"/>
      <c r="D84" s="890"/>
      <c r="E84" s="891"/>
      <c r="F84" s="891"/>
      <c r="G84" s="891"/>
      <c r="H84" s="891"/>
      <c r="I84" s="891"/>
      <c r="J84" s="891"/>
      <c r="K84" s="891"/>
      <c r="L84" s="892"/>
      <c r="M84" s="895">
        <f>M83+N83</f>
        <v>35</v>
      </c>
      <c r="N84" s="897">
        <f>M83+N83</f>
        <v>35</v>
      </c>
      <c r="O84" s="898">
        <f>+O83+P83+Q83</f>
        <v>0</v>
      </c>
      <c r="P84" s="899"/>
      <c r="Q84" s="955"/>
      <c r="R84" s="898">
        <f>+R83+S83+T83</f>
        <v>0</v>
      </c>
      <c r="S84" s="899"/>
      <c r="T84" s="955"/>
      <c r="U84" s="956">
        <f>U83+V83</f>
        <v>7693</v>
      </c>
      <c r="V84" s="957"/>
      <c r="W84" s="951">
        <f>W83+X83+Y83</f>
        <v>0</v>
      </c>
      <c r="X84" s="952"/>
      <c r="Y84" s="953"/>
      <c r="Z84" s="951">
        <f>Z83+AA83+AB83</f>
        <v>0</v>
      </c>
      <c r="AA84" s="952"/>
      <c r="AB84" s="953"/>
      <c r="AC84" s="911">
        <f>AC83+AD83</f>
        <v>3325</v>
      </c>
      <c r="AD84" s="913">
        <f t="shared" si="41"/>
        <v>33600</v>
      </c>
      <c r="AE84" s="951">
        <f>AE83+AF83+AG83</f>
        <v>0</v>
      </c>
      <c r="AF84" s="952"/>
      <c r="AG84" s="953"/>
      <c r="AH84" s="951">
        <f>AH83+AI83+AJ83</f>
        <v>0</v>
      </c>
      <c r="AI84" s="952"/>
      <c r="AJ84" s="953"/>
      <c r="AK84" s="911">
        <f>AK83+AL83</f>
        <v>11018</v>
      </c>
      <c r="AL84" s="912">
        <f t="shared" ref="AL84" si="42">V84+AD84</f>
        <v>33600</v>
      </c>
      <c r="AM84" s="951">
        <f>AM83+AN83+AO83</f>
        <v>0</v>
      </c>
      <c r="AN84" s="952"/>
      <c r="AO84" s="954"/>
      <c r="AP84" s="951">
        <f>AP83+AQ83+AR83</f>
        <v>0</v>
      </c>
      <c r="AQ84" s="952"/>
      <c r="AR84" s="954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141" s="180" customFormat="1" ht="39.950000000000003" customHeight="1" thickBot="1" x14ac:dyDescent="0.6">
      <c r="A85" s="962" t="s">
        <v>87</v>
      </c>
      <c r="B85" s="963"/>
      <c r="C85" s="963"/>
      <c r="D85" s="963"/>
      <c r="E85" s="963"/>
      <c r="F85" s="963"/>
      <c r="G85" s="963"/>
      <c r="H85" s="963"/>
      <c r="I85" s="963"/>
      <c r="J85" s="963"/>
      <c r="K85" s="963"/>
      <c r="L85" s="963"/>
      <c r="M85" s="963"/>
      <c r="N85" s="963"/>
      <c r="O85" s="963"/>
      <c r="P85" s="963"/>
      <c r="Q85" s="963"/>
      <c r="R85" s="963"/>
      <c r="S85" s="963"/>
      <c r="T85" s="963"/>
      <c r="U85" s="963"/>
      <c r="V85" s="963"/>
      <c r="W85" s="963"/>
      <c r="X85" s="963"/>
      <c r="Y85" s="963"/>
      <c r="Z85" s="963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963"/>
      <c r="AO85" s="963"/>
      <c r="AP85" s="963"/>
      <c r="AQ85" s="963"/>
      <c r="AR85" s="964"/>
      <c r="AS85" s="176"/>
      <c r="AT85" s="176"/>
      <c r="AU85" s="176"/>
      <c r="AV85" s="176"/>
      <c r="AW85" s="176"/>
      <c r="AX85" s="176"/>
      <c r="AY85" s="176"/>
      <c r="AZ85" s="176"/>
      <c r="BA85" s="176"/>
      <c r="BB85" s="176"/>
      <c r="BC85" s="176"/>
      <c r="BD85" s="176"/>
      <c r="BE85" s="176"/>
      <c r="BF85" s="176"/>
      <c r="BG85" s="176"/>
      <c r="BH85" s="176"/>
      <c r="BI85" s="176"/>
      <c r="BJ85" s="176"/>
      <c r="BK85" s="176"/>
      <c r="BL85" s="176"/>
      <c r="BM85" s="176"/>
      <c r="BN85" s="176"/>
      <c r="BO85" s="176"/>
      <c r="BP85" s="176"/>
      <c r="BQ85" s="176"/>
      <c r="BR85" s="176"/>
      <c r="BS85" s="176"/>
      <c r="BT85" s="176"/>
      <c r="BU85" s="176"/>
      <c r="BV85" s="176"/>
      <c r="BW85" s="176"/>
      <c r="BX85" s="176"/>
      <c r="BY85" s="176"/>
      <c r="BZ85" s="176"/>
      <c r="CA85" s="176"/>
      <c r="CB85" s="176"/>
      <c r="CC85" s="176"/>
      <c r="CD85" s="176"/>
      <c r="CE85" s="176"/>
      <c r="CF85" s="176"/>
      <c r="CG85" s="176"/>
      <c r="CH85" s="176"/>
      <c r="CI85" s="176"/>
      <c r="CJ85" s="176"/>
      <c r="CK85" s="176"/>
      <c r="CL85" s="176"/>
      <c r="CM85" s="176"/>
      <c r="CN85" s="176"/>
      <c r="CO85" s="176"/>
      <c r="CP85" s="176"/>
      <c r="CQ85" s="176"/>
      <c r="CR85" s="176"/>
      <c r="CS85" s="176"/>
      <c r="CT85" s="176"/>
      <c r="CU85" s="176"/>
      <c r="CV85" s="176"/>
      <c r="CW85" s="176"/>
      <c r="CX85" s="176"/>
      <c r="CY85" s="176"/>
      <c r="CZ85" s="176"/>
      <c r="DA85" s="176"/>
      <c r="DB85" s="176"/>
      <c r="DC85" s="176"/>
      <c r="DD85" s="176"/>
      <c r="DE85" s="176"/>
      <c r="DF85" s="176"/>
      <c r="DG85" s="176"/>
      <c r="DH85" s="176"/>
      <c r="DI85" s="176"/>
      <c r="DJ85" s="176"/>
      <c r="DK85" s="176"/>
      <c r="DL85" s="176"/>
      <c r="DM85" s="176"/>
      <c r="DN85" s="176"/>
      <c r="DO85" s="176"/>
      <c r="DP85" s="176"/>
      <c r="DQ85" s="176"/>
      <c r="DR85" s="176"/>
      <c r="DS85" s="176"/>
      <c r="DT85" s="176"/>
      <c r="DU85" s="176"/>
      <c r="DV85" s="176"/>
      <c r="DW85" s="176"/>
      <c r="DX85" s="176"/>
      <c r="DY85" s="176"/>
      <c r="DZ85" s="176"/>
      <c r="EA85" s="176"/>
      <c r="EB85" s="176"/>
      <c r="EC85" s="176"/>
      <c r="ED85" s="176"/>
      <c r="EE85" s="176"/>
      <c r="EF85" s="176"/>
      <c r="EG85" s="176"/>
      <c r="EH85" s="176"/>
      <c r="EI85" s="176"/>
      <c r="EJ85" s="176"/>
      <c r="EK85" s="176"/>
    </row>
    <row r="86" spans="1:141" s="68" customFormat="1" ht="39.950000000000003" customHeight="1" thickBot="1" x14ac:dyDescent="0.6">
      <c r="A86" s="880" t="s">
        <v>84</v>
      </c>
      <c r="B86" s="881"/>
      <c r="C86" s="881"/>
      <c r="D86" s="881"/>
      <c r="E86" s="881"/>
      <c r="F86" s="881"/>
      <c r="G86" s="881"/>
      <c r="H86" s="881"/>
      <c r="I86" s="881"/>
      <c r="J86" s="881"/>
      <c r="K86" s="881"/>
      <c r="L86" s="881"/>
      <c r="M86" s="881"/>
      <c r="N86" s="881"/>
      <c r="O86" s="881"/>
      <c r="P86" s="881"/>
      <c r="Q86" s="881"/>
      <c r="R86" s="881"/>
      <c r="S86" s="881"/>
      <c r="T86" s="881"/>
      <c r="U86" s="881"/>
      <c r="V86" s="881"/>
      <c r="W86" s="881"/>
      <c r="X86" s="881"/>
      <c r="Y86" s="881"/>
      <c r="Z86" s="881"/>
      <c r="AA86" s="881"/>
      <c r="AB86" s="881"/>
      <c r="AC86" s="881"/>
      <c r="AD86" s="881"/>
      <c r="AE86" s="881"/>
      <c r="AF86" s="881"/>
      <c r="AG86" s="881"/>
      <c r="AH86" s="881"/>
      <c r="AI86" s="881"/>
      <c r="AJ86" s="881"/>
      <c r="AK86" s="881"/>
      <c r="AL86" s="881"/>
      <c r="AM86" s="881"/>
      <c r="AN86" s="881"/>
      <c r="AO86" s="881"/>
      <c r="AP86" s="881"/>
      <c r="AQ86" s="881"/>
      <c r="AR86" s="882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  <c r="BQ86" s="69"/>
      <c r="BR86" s="69"/>
      <c r="BS86" s="69"/>
      <c r="BT86" s="69"/>
      <c r="BU86" s="69"/>
      <c r="BV86" s="69"/>
      <c r="BW86" s="69"/>
      <c r="BX86" s="69"/>
      <c r="BY86" s="69"/>
      <c r="BZ86" s="69"/>
      <c r="CA86" s="69"/>
      <c r="CB86" s="69"/>
      <c r="CC86" s="69"/>
      <c r="CD86" s="69"/>
      <c r="CE86" s="69"/>
      <c r="CF86" s="69"/>
      <c r="CG86" s="69"/>
      <c r="CH86" s="69"/>
      <c r="CI86" s="69"/>
      <c r="CJ86" s="69"/>
      <c r="CK86" s="69"/>
      <c r="CL86" s="69"/>
      <c r="CM86" s="69"/>
      <c r="CN86" s="69"/>
      <c r="CO86" s="69"/>
      <c r="CP86" s="69"/>
      <c r="CQ86" s="69"/>
      <c r="CR86" s="69"/>
      <c r="CS86" s="69"/>
      <c r="CT86" s="69"/>
      <c r="CU86" s="69"/>
      <c r="CV86" s="69"/>
      <c r="CW86" s="69"/>
      <c r="CX86" s="69"/>
      <c r="CY86" s="69"/>
      <c r="CZ86" s="69"/>
      <c r="DA86" s="69"/>
      <c r="DB86" s="69"/>
      <c r="DC86" s="69"/>
      <c r="DD86" s="69"/>
      <c r="DE86" s="69"/>
      <c r="DF86" s="69"/>
      <c r="DG86" s="69"/>
      <c r="DH86" s="69"/>
      <c r="DI86" s="69"/>
      <c r="DJ86" s="69"/>
      <c r="DK86" s="69"/>
      <c r="DL86" s="69"/>
      <c r="DM86" s="69"/>
      <c r="DN86" s="69"/>
      <c r="DO86" s="69"/>
      <c r="DP86" s="69"/>
      <c r="DQ86" s="69"/>
      <c r="DR86" s="69"/>
      <c r="DS86" s="69"/>
      <c r="DT86" s="69"/>
      <c r="DU86" s="69"/>
      <c r="DV86" s="69"/>
      <c r="DW86" s="69"/>
      <c r="DX86" s="69"/>
      <c r="DY86" s="69"/>
      <c r="DZ86" s="69"/>
      <c r="EA86" s="69"/>
      <c r="EB86" s="69"/>
      <c r="EC86" s="69"/>
      <c r="ED86" s="69"/>
      <c r="EE86" s="69"/>
      <c r="EF86" s="69"/>
      <c r="EG86" s="69"/>
      <c r="EH86" s="69"/>
      <c r="EI86" s="69"/>
      <c r="EJ86" s="69"/>
      <c r="EK86" s="69"/>
    </row>
    <row r="87" spans="1:141" x14ac:dyDescent="0.55000000000000004">
      <c r="A87" s="79" t="s">
        <v>85</v>
      </c>
      <c r="B87" s="80">
        <v>15</v>
      </c>
      <c r="C87" s="81">
        <v>401</v>
      </c>
      <c r="D87" s="41">
        <f>0</f>
        <v>0</v>
      </c>
      <c r="E87" s="37">
        <v>2</v>
      </c>
      <c r="F87" s="37">
        <v>0</v>
      </c>
      <c r="G87" s="36">
        <f>0</f>
        <v>0</v>
      </c>
      <c r="H87" s="37">
        <v>12</v>
      </c>
      <c r="I87" s="38">
        <f>0</f>
        <v>0</v>
      </c>
      <c r="J87" s="36">
        <v>1.1000000000000001</v>
      </c>
      <c r="K87" s="37">
        <v>2</v>
      </c>
      <c r="L87" s="39">
        <v>1.7</v>
      </c>
      <c r="M87" s="27">
        <f>ROUND(C87*G87/1000,0)</f>
        <v>0</v>
      </c>
      <c r="N87" s="31">
        <f>0</f>
        <v>0</v>
      </c>
      <c r="O87" s="27">
        <f>ROUND(C87*H87/1000,0)</f>
        <v>5</v>
      </c>
      <c r="P87" s="28">
        <f>0</f>
        <v>0</v>
      </c>
      <c r="Q87" s="28">
        <f>0</f>
        <v>0</v>
      </c>
      <c r="R87" s="30">
        <f>0</f>
        <v>0</v>
      </c>
      <c r="S87" s="28">
        <f>0</f>
        <v>0</v>
      </c>
      <c r="T87" s="32">
        <f>0</f>
        <v>0</v>
      </c>
      <c r="U87" s="182">
        <f>0</f>
        <v>0</v>
      </c>
      <c r="V87" s="183">
        <f>0</f>
        <v>0</v>
      </c>
      <c r="W87" s="26">
        <f>ROUND(C87*K87,0)</f>
        <v>802</v>
      </c>
      <c r="X87" s="28"/>
      <c r="Y87" s="28"/>
      <c r="Z87" s="28"/>
      <c r="AA87" s="30"/>
      <c r="AB87" s="29"/>
      <c r="AC87" s="31">
        <f t="shared" ref="AC87" si="43">ROUND(M87*960,0)</f>
        <v>0</v>
      </c>
      <c r="AD87" s="31"/>
      <c r="AE87" s="27">
        <f>ROUND(O87*95,0)</f>
        <v>475</v>
      </c>
      <c r="AF87" s="28"/>
      <c r="AG87" s="28"/>
      <c r="AH87" s="30"/>
      <c r="AI87" s="28"/>
      <c r="AJ87" s="181"/>
      <c r="AK87" s="171">
        <f t="shared" ref="AK87" si="44">U87+AC87</f>
        <v>0</v>
      </c>
      <c r="AL87" s="28"/>
      <c r="AM87" s="28">
        <f>+W87+AE87</f>
        <v>1277</v>
      </c>
      <c r="AN87" s="28"/>
      <c r="AO87" s="28"/>
      <c r="AP87" s="28"/>
      <c r="AQ87" s="28"/>
      <c r="AR87" s="181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  <c r="BN87" s="56"/>
      <c r="BO87" s="56"/>
      <c r="BP87" s="56"/>
      <c r="BQ87" s="56"/>
      <c r="BR87" s="56"/>
      <c r="BS87" s="56"/>
      <c r="BT87" s="56"/>
      <c r="BU87" s="56"/>
      <c r="BV87" s="56"/>
      <c r="BW87" s="56"/>
      <c r="BX87" s="56"/>
      <c r="BY87" s="56"/>
      <c r="BZ87" s="56"/>
      <c r="CA87" s="56"/>
      <c r="CB87" s="56"/>
      <c r="CC87" s="56"/>
      <c r="CD87" s="56"/>
      <c r="CE87" s="56"/>
      <c r="CF87" s="56"/>
      <c r="CG87" s="56"/>
      <c r="CH87" s="56"/>
      <c r="CI87" s="56"/>
      <c r="CJ87" s="56"/>
      <c r="CK87" s="56"/>
      <c r="CL87" s="56"/>
      <c r="CM87" s="56"/>
      <c r="CN87" s="56"/>
      <c r="CO87" s="56"/>
      <c r="CP87" s="56"/>
      <c r="CQ87" s="56"/>
      <c r="CR87" s="56"/>
      <c r="CS87" s="56"/>
      <c r="CT87" s="56"/>
      <c r="CU87" s="56"/>
      <c r="CV87" s="56"/>
      <c r="CW87" s="56"/>
      <c r="CX87" s="56"/>
      <c r="CY87" s="56"/>
      <c r="CZ87" s="56"/>
      <c r="DA87" s="56"/>
      <c r="DB87" s="56"/>
      <c r="DC87" s="56"/>
      <c r="DD87" s="56"/>
      <c r="DE87" s="56"/>
      <c r="DF87" s="56"/>
      <c r="DG87" s="56"/>
      <c r="DH87" s="56"/>
      <c r="DI87" s="56"/>
      <c r="DJ87" s="56"/>
      <c r="DK87" s="56"/>
      <c r="DL87" s="56"/>
      <c r="DM87" s="56"/>
      <c r="DN87" s="56"/>
      <c r="DO87" s="56"/>
      <c r="DP87" s="56"/>
      <c r="DQ87" s="56"/>
      <c r="DR87" s="56"/>
      <c r="DS87" s="56"/>
      <c r="DT87" s="56"/>
      <c r="DU87" s="56"/>
      <c r="DV87" s="56"/>
      <c r="DW87" s="56"/>
      <c r="DX87" s="56"/>
      <c r="DY87" s="56"/>
      <c r="DZ87" s="56"/>
      <c r="EA87" s="56"/>
      <c r="EB87" s="56"/>
      <c r="EC87" s="56"/>
      <c r="ED87" s="56"/>
      <c r="EE87" s="56"/>
      <c r="EF87" s="56"/>
      <c r="EG87" s="56"/>
      <c r="EH87" s="56"/>
      <c r="EI87" s="56"/>
      <c r="EJ87" s="56"/>
      <c r="EK87" s="56"/>
    </row>
    <row r="88" spans="1:141" ht="24.75" thickBot="1" x14ac:dyDescent="0.6">
      <c r="A88" s="53" t="s">
        <v>86</v>
      </c>
      <c r="B88" s="97">
        <v>6</v>
      </c>
      <c r="C88" s="98">
        <v>152</v>
      </c>
      <c r="D88" s="31">
        <f>0</f>
        <v>0</v>
      </c>
      <c r="E88" s="28">
        <v>2</v>
      </c>
      <c r="F88" s="28">
        <v>0</v>
      </c>
      <c r="G88" s="27">
        <f>0</f>
        <v>0</v>
      </c>
      <c r="H88" s="145">
        <v>12</v>
      </c>
      <c r="I88" s="29">
        <f>0</f>
        <v>0</v>
      </c>
      <c r="J88" s="27">
        <v>1.1000000000000001</v>
      </c>
      <c r="K88" s="28">
        <v>2</v>
      </c>
      <c r="L88" s="30">
        <v>1.7</v>
      </c>
      <c r="M88" s="13">
        <f>ROUND(C88*G88/1000,0)</f>
        <v>0</v>
      </c>
      <c r="N88" s="17">
        <f>0</f>
        <v>0</v>
      </c>
      <c r="O88" s="27">
        <f>ROUND(C88*H88/1000,0)</f>
        <v>2</v>
      </c>
      <c r="P88" s="14">
        <f>0</f>
        <v>0</v>
      </c>
      <c r="Q88" s="14">
        <f>0</f>
        <v>0</v>
      </c>
      <c r="R88" s="15">
        <f>0</f>
        <v>0</v>
      </c>
      <c r="S88" s="14">
        <f>0</f>
        <v>0</v>
      </c>
      <c r="T88" s="18">
        <f>0</f>
        <v>0</v>
      </c>
      <c r="U88" s="13">
        <f>0</f>
        <v>0</v>
      </c>
      <c r="V88" s="17">
        <f>0</f>
        <v>0</v>
      </c>
      <c r="W88" s="26">
        <f>ROUND(C88*K88,0)</f>
        <v>304</v>
      </c>
      <c r="X88" s="14"/>
      <c r="Y88" s="14"/>
      <c r="Z88" s="14"/>
      <c r="AA88" s="15"/>
      <c r="AB88" s="23"/>
      <c r="AC88" s="17">
        <f>ROUND(M88*95,0)</f>
        <v>0</v>
      </c>
      <c r="AD88" s="17"/>
      <c r="AE88" s="27">
        <f>ROUND(O88*95,0)</f>
        <v>190</v>
      </c>
      <c r="AF88" s="14"/>
      <c r="AG88" s="14"/>
      <c r="AH88" s="15"/>
      <c r="AI88" s="14"/>
      <c r="AJ88" s="16"/>
      <c r="AK88" s="100">
        <f>U88+AC88</f>
        <v>0</v>
      </c>
      <c r="AL88" s="14"/>
      <c r="AM88" s="14">
        <f>W88+AE88</f>
        <v>494</v>
      </c>
      <c r="AN88" s="14"/>
      <c r="AO88" s="14"/>
      <c r="AP88" s="14"/>
      <c r="AQ88" s="14"/>
      <c r="AR88" s="1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  <c r="BQ88" s="56"/>
      <c r="BR88" s="56"/>
      <c r="BS88" s="56"/>
      <c r="BT88" s="56"/>
      <c r="BU88" s="56"/>
      <c r="BV88" s="56"/>
      <c r="BW88" s="56"/>
      <c r="BX88" s="56"/>
      <c r="BY88" s="56"/>
      <c r="BZ88" s="56"/>
      <c r="CA88" s="56"/>
      <c r="CB88" s="56"/>
      <c r="CC88" s="56"/>
      <c r="CD88" s="56"/>
      <c r="CE88" s="56"/>
      <c r="CF88" s="56"/>
      <c r="CG88" s="56"/>
      <c r="CH88" s="56"/>
      <c r="CI88" s="56"/>
      <c r="CJ88" s="56"/>
      <c r="CK88" s="56"/>
      <c r="CL88" s="56"/>
      <c r="CM88" s="56"/>
      <c r="CN88" s="56"/>
      <c r="CO88" s="56"/>
      <c r="CP88" s="56"/>
      <c r="CQ88" s="56"/>
      <c r="CR88" s="56"/>
      <c r="CS88" s="56"/>
      <c r="CT88" s="56"/>
      <c r="CU88" s="56"/>
      <c r="CV88" s="56"/>
      <c r="CW88" s="56"/>
      <c r="CX88" s="56"/>
      <c r="CY88" s="56"/>
      <c r="CZ88" s="56"/>
      <c r="DA88" s="56"/>
      <c r="DB88" s="56"/>
      <c r="DC88" s="56"/>
      <c r="DD88" s="56"/>
      <c r="DE88" s="56"/>
      <c r="DF88" s="56"/>
      <c r="DG88" s="56"/>
      <c r="DH88" s="56"/>
      <c r="DI88" s="56"/>
      <c r="DJ88" s="56"/>
      <c r="DK88" s="56"/>
      <c r="DL88" s="56"/>
      <c r="DM88" s="56"/>
      <c r="DN88" s="56"/>
      <c r="DO88" s="56"/>
      <c r="DP88" s="56"/>
      <c r="DQ88" s="56"/>
      <c r="DR88" s="56"/>
      <c r="DS88" s="56"/>
      <c r="DT88" s="56"/>
      <c r="DU88" s="56"/>
      <c r="DV88" s="56"/>
      <c r="DW88" s="56"/>
      <c r="DX88" s="56"/>
      <c r="DY88" s="56"/>
      <c r="DZ88" s="56"/>
      <c r="EA88" s="56"/>
      <c r="EB88" s="56"/>
      <c r="EC88" s="56"/>
      <c r="ED88" s="56"/>
      <c r="EE88" s="56"/>
      <c r="EF88" s="56"/>
      <c r="EG88" s="56"/>
      <c r="EH88" s="56"/>
      <c r="EI88" s="56"/>
      <c r="EJ88" s="56"/>
      <c r="EK88" s="56"/>
    </row>
    <row r="89" spans="1:141" ht="24.75" thickBot="1" x14ac:dyDescent="0.6">
      <c r="A89" s="959" t="s">
        <v>43</v>
      </c>
      <c r="B89" s="885">
        <f>SUM(B87:B88)</f>
        <v>21</v>
      </c>
      <c r="C89" s="931">
        <f>SUM(C87:C88)</f>
        <v>553</v>
      </c>
      <c r="D89" s="887"/>
      <c r="E89" s="888"/>
      <c r="F89" s="888"/>
      <c r="G89" s="888"/>
      <c r="H89" s="888"/>
      <c r="I89" s="888"/>
      <c r="J89" s="888"/>
      <c r="K89" s="888"/>
      <c r="L89" s="889"/>
      <c r="M89" s="158">
        <f>SUM(M87:M88)</f>
        <v>0</v>
      </c>
      <c r="N89" s="158">
        <f>SUM(N87:N88)</f>
        <v>0</v>
      </c>
      <c r="O89" s="160">
        <f>SUM(O87:O88)</f>
        <v>7</v>
      </c>
      <c r="P89" s="160">
        <f>P87+P88</f>
        <v>0</v>
      </c>
      <c r="Q89" s="160">
        <f>Q87+Q88</f>
        <v>0</v>
      </c>
      <c r="R89" s="161">
        <f>R87+R88</f>
        <v>0</v>
      </c>
      <c r="S89" s="161">
        <f>S87+S88</f>
        <v>0</v>
      </c>
      <c r="T89" s="163">
        <f>T87+T88</f>
        <v>0</v>
      </c>
      <c r="U89" s="158">
        <f>SUM(U87:U88)</f>
        <v>0</v>
      </c>
      <c r="V89" s="158">
        <f>SUM(V87:V88)</f>
        <v>0</v>
      </c>
      <c r="W89" s="157">
        <f>SUM(W87:W88)</f>
        <v>1106</v>
      </c>
      <c r="X89" s="164"/>
      <c r="Y89" s="164"/>
      <c r="Z89" s="164"/>
      <c r="AA89" s="164"/>
      <c r="AB89" s="164"/>
      <c r="AC89" s="157">
        <f>SUM(AC87:AC88)</f>
        <v>0</v>
      </c>
      <c r="AD89" s="157">
        <f t="shared" ref="AD89:AD90" si="45">ROUND(N89*960,0)</f>
        <v>0</v>
      </c>
      <c r="AE89" s="166">
        <f>SUM(AE87:AE88)</f>
        <v>665</v>
      </c>
      <c r="AF89" s="166">
        <f>AF87+AF88</f>
        <v>0</v>
      </c>
      <c r="AG89" s="164"/>
      <c r="AH89" s="164"/>
      <c r="AI89" s="164"/>
      <c r="AJ89" s="156"/>
      <c r="AK89" s="165">
        <f>SUM(AK87:AK88)</f>
        <v>0</v>
      </c>
      <c r="AL89" s="165">
        <f>SUM(AL87:AL88)</f>
        <v>0</v>
      </c>
      <c r="AM89" s="166">
        <f>SUM(AM87:AM88)</f>
        <v>1771</v>
      </c>
      <c r="AN89" s="166">
        <f>AN87+AN88</f>
        <v>0</v>
      </c>
      <c r="AO89" s="164"/>
      <c r="AP89" s="164"/>
      <c r="AQ89" s="164"/>
      <c r="AR89" s="167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141" ht="27" thickBot="1" x14ac:dyDescent="0.75">
      <c r="A90" s="960"/>
      <c r="B90" s="886"/>
      <c r="C90" s="932"/>
      <c r="D90" s="890"/>
      <c r="E90" s="891"/>
      <c r="F90" s="891"/>
      <c r="G90" s="891"/>
      <c r="H90" s="891"/>
      <c r="I90" s="891"/>
      <c r="J90" s="891"/>
      <c r="K90" s="891"/>
      <c r="L90" s="892"/>
      <c r="M90" s="893">
        <f>M89+N89</f>
        <v>0</v>
      </c>
      <c r="N90" s="894">
        <f>M89+N89</f>
        <v>0</v>
      </c>
      <c r="O90" s="895">
        <f>+O89+P89+Q89</f>
        <v>7</v>
      </c>
      <c r="P90" s="896"/>
      <c r="Q90" s="897"/>
      <c r="R90" s="898">
        <f>+R89+S89+T89</f>
        <v>0</v>
      </c>
      <c r="S90" s="899"/>
      <c r="T90" s="955"/>
      <c r="U90" s="965">
        <f>U89+V89</f>
        <v>0</v>
      </c>
      <c r="V90" s="966"/>
      <c r="W90" s="896">
        <f>W89+X89+Y89</f>
        <v>1106</v>
      </c>
      <c r="X90" s="896"/>
      <c r="Y90" s="897"/>
      <c r="Z90" s="951">
        <f>Z89+AA89+AB89</f>
        <v>0</v>
      </c>
      <c r="AA90" s="952"/>
      <c r="AB90" s="953"/>
      <c r="AC90" s="909">
        <f>AC89+AD89</f>
        <v>0</v>
      </c>
      <c r="AD90" s="910">
        <f t="shared" si="45"/>
        <v>0</v>
      </c>
      <c r="AE90" s="911">
        <f>AE89+AF89+AG89</f>
        <v>665</v>
      </c>
      <c r="AF90" s="912"/>
      <c r="AG90" s="913"/>
      <c r="AH90" s="951">
        <f>AH89+AI89+AJ89</f>
        <v>0</v>
      </c>
      <c r="AI90" s="952"/>
      <c r="AJ90" s="953"/>
      <c r="AK90" s="909">
        <f>AK89+AL89</f>
        <v>0</v>
      </c>
      <c r="AL90" s="958">
        <f t="shared" ref="AL90" si="46">V90+AD90</f>
        <v>0</v>
      </c>
      <c r="AM90" s="911">
        <f>AM89+AN89+AO89</f>
        <v>1771</v>
      </c>
      <c r="AN90" s="912"/>
      <c r="AO90" s="913"/>
      <c r="AP90" s="951">
        <f>AP89+AQ89+AR89</f>
        <v>0</v>
      </c>
      <c r="AQ90" s="952"/>
      <c r="AR90" s="954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141" s="180" customFormat="1" ht="39.950000000000003" customHeight="1" thickBot="1" x14ac:dyDescent="0.6">
      <c r="A91" s="962" t="s">
        <v>88</v>
      </c>
      <c r="B91" s="963"/>
      <c r="C91" s="963"/>
      <c r="D91" s="963"/>
      <c r="E91" s="963"/>
      <c r="F91" s="963"/>
      <c r="G91" s="963"/>
      <c r="H91" s="963"/>
      <c r="I91" s="963"/>
      <c r="J91" s="963"/>
      <c r="K91" s="963"/>
      <c r="L91" s="963"/>
      <c r="M91" s="963"/>
      <c r="N91" s="963"/>
      <c r="O91" s="963"/>
      <c r="P91" s="963"/>
      <c r="Q91" s="963"/>
      <c r="R91" s="963"/>
      <c r="S91" s="963"/>
      <c r="T91" s="963"/>
      <c r="U91" s="963"/>
      <c r="V91" s="963"/>
      <c r="W91" s="963"/>
      <c r="X91" s="963"/>
      <c r="Y91" s="963"/>
      <c r="Z91" s="963"/>
      <c r="AA91" s="963"/>
      <c r="AB91" s="963"/>
      <c r="AC91" s="963"/>
      <c r="AD91" s="963"/>
      <c r="AE91" s="963"/>
      <c r="AF91" s="963"/>
      <c r="AG91" s="963"/>
      <c r="AH91" s="963"/>
      <c r="AI91" s="963"/>
      <c r="AJ91" s="963"/>
      <c r="AK91" s="963"/>
      <c r="AL91" s="963"/>
      <c r="AM91" s="963"/>
      <c r="AN91" s="963"/>
      <c r="AO91" s="963"/>
      <c r="AP91" s="963"/>
      <c r="AQ91" s="963"/>
      <c r="AR91" s="964"/>
      <c r="AS91" s="176"/>
      <c r="AT91" s="176"/>
      <c r="AU91" s="176"/>
      <c r="AV91" s="176"/>
      <c r="AW91" s="176"/>
      <c r="AX91" s="176"/>
      <c r="AY91" s="176"/>
      <c r="AZ91" s="176"/>
      <c r="BA91" s="176"/>
      <c r="BB91" s="176"/>
      <c r="BC91" s="176"/>
      <c r="BD91" s="176"/>
      <c r="BE91" s="176"/>
      <c r="BF91" s="176"/>
      <c r="BG91" s="176"/>
      <c r="BH91" s="176"/>
      <c r="BI91" s="176"/>
      <c r="BJ91" s="176"/>
      <c r="BK91" s="176"/>
      <c r="BL91" s="176"/>
      <c r="BM91" s="176"/>
      <c r="BN91" s="176"/>
      <c r="BO91" s="176"/>
      <c r="BP91" s="176"/>
      <c r="BQ91" s="176"/>
      <c r="BR91" s="176"/>
      <c r="BS91" s="176"/>
      <c r="BT91" s="176"/>
      <c r="BU91" s="176"/>
      <c r="BV91" s="176"/>
      <c r="BW91" s="176"/>
      <c r="BX91" s="176"/>
      <c r="BY91" s="176"/>
      <c r="BZ91" s="176"/>
      <c r="CA91" s="176"/>
      <c r="CB91" s="176"/>
      <c r="CC91" s="176"/>
      <c r="CD91" s="176"/>
      <c r="CE91" s="176"/>
      <c r="CF91" s="176"/>
      <c r="CG91" s="176"/>
      <c r="CH91" s="176"/>
      <c r="CI91" s="176"/>
      <c r="CJ91" s="176"/>
      <c r="CK91" s="176"/>
      <c r="CL91" s="176"/>
      <c r="CM91" s="176"/>
      <c r="CN91" s="176"/>
      <c r="CO91" s="176"/>
      <c r="CP91" s="176"/>
      <c r="CQ91" s="176"/>
      <c r="CR91" s="176"/>
      <c r="CS91" s="176"/>
      <c r="CT91" s="176"/>
      <c r="CU91" s="176"/>
      <c r="CV91" s="176"/>
      <c r="CW91" s="176"/>
      <c r="CX91" s="176"/>
      <c r="CY91" s="176"/>
      <c r="CZ91" s="176"/>
      <c r="DA91" s="176"/>
      <c r="DB91" s="176"/>
      <c r="DC91" s="176"/>
      <c r="DD91" s="176"/>
      <c r="DE91" s="176"/>
      <c r="DF91" s="176"/>
      <c r="DG91" s="176"/>
      <c r="DH91" s="176"/>
      <c r="DI91" s="176"/>
      <c r="DJ91" s="176"/>
      <c r="DK91" s="176"/>
      <c r="DL91" s="176"/>
      <c r="DM91" s="176"/>
      <c r="DN91" s="176"/>
      <c r="DO91" s="176"/>
      <c r="DP91" s="176"/>
      <c r="DQ91" s="176"/>
      <c r="DR91" s="176"/>
      <c r="DS91" s="176"/>
      <c r="DT91" s="176"/>
      <c r="DU91" s="176"/>
      <c r="DV91" s="176"/>
      <c r="DW91" s="176"/>
      <c r="DX91" s="176"/>
      <c r="DY91" s="176"/>
      <c r="DZ91" s="176"/>
      <c r="EA91" s="176"/>
      <c r="EB91" s="176"/>
      <c r="EC91" s="176"/>
      <c r="ED91" s="176"/>
      <c r="EE91" s="176"/>
      <c r="EF91" s="176"/>
      <c r="EG91" s="176"/>
      <c r="EH91" s="176"/>
      <c r="EI91" s="176"/>
      <c r="EJ91" s="176"/>
      <c r="EK91" s="176"/>
    </row>
    <row r="92" spans="1:141" s="177" customFormat="1" ht="39.950000000000003" customHeight="1" thickBot="1" x14ac:dyDescent="0.6">
      <c r="A92" s="928" t="s">
        <v>89</v>
      </c>
      <c r="B92" s="929"/>
      <c r="C92" s="929"/>
      <c r="D92" s="929"/>
      <c r="E92" s="929"/>
      <c r="F92" s="929"/>
      <c r="G92" s="929"/>
      <c r="H92" s="929"/>
      <c r="I92" s="929"/>
      <c r="J92" s="929"/>
      <c r="K92" s="929"/>
      <c r="L92" s="929"/>
      <c r="M92" s="929"/>
      <c r="N92" s="929"/>
      <c r="O92" s="929"/>
      <c r="P92" s="929"/>
      <c r="Q92" s="929"/>
      <c r="R92" s="929"/>
      <c r="S92" s="929"/>
      <c r="T92" s="929"/>
      <c r="U92" s="929"/>
      <c r="V92" s="929"/>
      <c r="W92" s="929"/>
      <c r="X92" s="929"/>
      <c r="Y92" s="929"/>
      <c r="Z92" s="929"/>
      <c r="AA92" s="929"/>
      <c r="AB92" s="929"/>
      <c r="AC92" s="929"/>
      <c r="AD92" s="929"/>
      <c r="AE92" s="929"/>
      <c r="AF92" s="929"/>
      <c r="AG92" s="929"/>
      <c r="AH92" s="929"/>
      <c r="AI92" s="929"/>
      <c r="AJ92" s="929"/>
      <c r="AK92" s="929"/>
      <c r="AL92" s="929"/>
      <c r="AM92" s="929"/>
      <c r="AN92" s="929"/>
      <c r="AO92" s="929"/>
      <c r="AP92" s="929"/>
      <c r="AQ92" s="929"/>
      <c r="AR92" s="930"/>
      <c r="AS92" s="176"/>
      <c r="AT92" s="176"/>
      <c r="AU92" s="176"/>
      <c r="AV92" s="176"/>
      <c r="AW92" s="176"/>
      <c r="AX92" s="176"/>
      <c r="AY92" s="176"/>
      <c r="AZ92" s="176"/>
      <c r="BA92" s="176"/>
      <c r="BB92" s="176"/>
      <c r="BC92" s="176"/>
      <c r="BD92" s="176"/>
      <c r="BE92" s="176"/>
      <c r="BF92" s="176"/>
      <c r="BG92" s="176"/>
      <c r="BH92" s="176"/>
      <c r="BI92" s="176"/>
      <c r="BJ92" s="176"/>
      <c r="BK92" s="176"/>
      <c r="BL92" s="176"/>
      <c r="BM92" s="176"/>
      <c r="BN92" s="176"/>
      <c r="BO92" s="176"/>
      <c r="BP92" s="176"/>
      <c r="BQ92" s="176"/>
      <c r="BR92" s="176"/>
      <c r="BS92" s="176"/>
      <c r="BT92" s="176"/>
      <c r="BU92" s="176"/>
      <c r="BV92" s="176"/>
      <c r="BW92" s="176"/>
      <c r="BX92" s="176"/>
      <c r="BY92" s="176"/>
      <c r="BZ92" s="176"/>
      <c r="CA92" s="176"/>
      <c r="CB92" s="176"/>
      <c r="CC92" s="176"/>
      <c r="CD92" s="176"/>
      <c r="CE92" s="176"/>
      <c r="CF92" s="176"/>
      <c r="CG92" s="176"/>
      <c r="CH92" s="176"/>
      <c r="CI92" s="176"/>
      <c r="CJ92" s="176"/>
      <c r="CK92" s="176"/>
      <c r="CL92" s="176"/>
      <c r="CM92" s="176"/>
      <c r="CN92" s="176"/>
      <c r="CO92" s="176"/>
      <c r="CP92" s="176"/>
      <c r="CQ92" s="176"/>
      <c r="CR92" s="176"/>
      <c r="CS92" s="176"/>
      <c r="CT92" s="176"/>
      <c r="CU92" s="176"/>
      <c r="CV92" s="176"/>
      <c r="CW92" s="176"/>
      <c r="CX92" s="176"/>
      <c r="CY92" s="176"/>
      <c r="CZ92" s="176"/>
      <c r="DA92" s="176"/>
      <c r="DB92" s="176"/>
      <c r="DC92" s="176"/>
      <c r="DD92" s="176"/>
      <c r="DE92" s="176"/>
      <c r="DF92" s="176"/>
      <c r="DG92" s="176"/>
      <c r="DH92" s="176"/>
      <c r="DI92" s="176"/>
      <c r="DJ92" s="176"/>
      <c r="DK92" s="176"/>
      <c r="DL92" s="176"/>
      <c r="DM92" s="176"/>
      <c r="DN92" s="176"/>
      <c r="DO92" s="176"/>
      <c r="DP92" s="176"/>
      <c r="DQ92" s="176"/>
      <c r="DR92" s="176"/>
      <c r="DS92" s="176"/>
      <c r="DT92" s="176"/>
      <c r="DU92" s="176"/>
      <c r="DV92" s="176"/>
      <c r="DW92" s="176"/>
      <c r="DX92" s="176"/>
      <c r="DY92" s="176"/>
      <c r="DZ92" s="176"/>
      <c r="EA92" s="176"/>
      <c r="EB92" s="176"/>
      <c r="EC92" s="176"/>
      <c r="ED92" s="176"/>
      <c r="EE92" s="176"/>
      <c r="EF92" s="176"/>
      <c r="EG92" s="176"/>
      <c r="EH92" s="176"/>
      <c r="EI92" s="176"/>
      <c r="EJ92" s="176"/>
      <c r="EK92" s="176"/>
    </row>
    <row r="93" spans="1:141" ht="24.75" thickBot="1" x14ac:dyDescent="0.6">
      <c r="A93" s="33" t="s">
        <v>90</v>
      </c>
      <c r="B93" s="34">
        <v>4</v>
      </c>
      <c r="C93" s="35">
        <v>92</v>
      </c>
      <c r="D93" s="41">
        <v>1</v>
      </c>
      <c r="E93" s="37">
        <v>0</v>
      </c>
      <c r="F93" s="37">
        <v>0</v>
      </c>
      <c r="G93" s="36">
        <v>5</v>
      </c>
      <c r="H93" s="37">
        <f>0</f>
        <v>0</v>
      </c>
      <c r="I93" s="38">
        <f>0</f>
        <v>0</v>
      </c>
      <c r="J93" s="36">
        <v>1.1000000000000001</v>
      </c>
      <c r="K93" s="37">
        <v>2</v>
      </c>
      <c r="L93" s="39">
        <v>1.7</v>
      </c>
      <c r="M93" s="13">
        <f>ROUND(C93*G93/1000,2)</f>
        <v>0.46</v>
      </c>
      <c r="N93" s="17"/>
      <c r="O93" s="14"/>
      <c r="P93" s="14"/>
      <c r="Q93" s="14"/>
      <c r="R93" s="15"/>
      <c r="S93" s="14"/>
      <c r="T93" s="18"/>
      <c r="U93" s="13">
        <f>ROUND(C93*J93,0)</f>
        <v>101</v>
      </c>
      <c r="V93" s="17"/>
      <c r="W93" s="17"/>
      <c r="X93" s="14"/>
      <c r="Y93" s="14"/>
      <c r="Z93" s="14"/>
      <c r="AA93" s="15"/>
      <c r="AB93" s="23"/>
      <c r="AC93" s="17">
        <f>ROUND(M93*95,0)</f>
        <v>44</v>
      </c>
      <c r="AD93" s="17"/>
      <c r="AE93" s="14"/>
      <c r="AF93" s="14"/>
      <c r="AG93" s="14"/>
      <c r="AH93" s="15"/>
      <c r="AI93" s="14"/>
      <c r="AJ93" s="16"/>
      <c r="AK93" s="100">
        <f>U93+AC93</f>
        <v>145</v>
      </c>
      <c r="AL93" s="14"/>
      <c r="AM93" s="14"/>
      <c r="AN93" s="14"/>
      <c r="AO93" s="14"/>
      <c r="AP93" s="14"/>
      <c r="AQ93" s="14"/>
      <c r="AR93" s="1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  <c r="BN93" s="56"/>
      <c r="BO93" s="56"/>
      <c r="BP93" s="56"/>
      <c r="BQ93" s="56"/>
      <c r="BR93" s="56"/>
      <c r="BS93" s="56"/>
      <c r="BT93" s="56"/>
      <c r="BU93" s="56"/>
      <c r="BV93" s="56"/>
      <c r="BW93" s="56"/>
      <c r="BX93" s="56"/>
      <c r="BY93" s="56"/>
      <c r="BZ93" s="56"/>
      <c r="CA93" s="56"/>
      <c r="CB93" s="56"/>
      <c r="CC93" s="56"/>
      <c r="CD93" s="56"/>
      <c r="CE93" s="56"/>
      <c r="CF93" s="56"/>
      <c r="CG93" s="56"/>
      <c r="CH93" s="56"/>
      <c r="CI93" s="56"/>
      <c r="CJ93" s="56"/>
      <c r="CK93" s="56"/>
      <c r="CL93" s="56"/>
      <c r="CM93" s="56"/>
      <c r="CN93" s="56"/>
      <c r="CO93" s="56"/>
      <c r="CP93" s="56"/>
      <c r="CQ93" s="56"/>
      <c r="CR93" s="56"/>
      <c r="CS93" s="56"/>
      <c r="CT93" s="56"/>
      <c r="CU93" s="56"/>
      <c r="CV93" s="56"/>
      <c r="CW93" s="56"/>
      <c r="CX93" s="56"/>
      <c r="CY93" s="56"/>
      <c r="CZ93" s="56"/>
      <c r="DA93" s="56"/>
      <c r="DB93" s="56"/>
      <c r="DC93" s="56"/>
      <c r="DD93" s="56"/>
      <c r="DE93" s="56"/>
      <c r="DF93" s="56"/>
      <c r="DG93" s="56"/>
      <c r="DH93" s="56"/>
      <c r="DI93" s="56"/>
      <c r="DJ93" s="56"/>
      <c r="DK93" s="56"/>
      <c r="DL93" s="56"/>
      <c r="DM93" s="56"/>
      <c r="DN93" s="56"/>
      <c r="DO93" s="56"/>
      <c r="DP93" s="56"/>
      <c r="DQ93" s="56"/>
      <c r="DR93" s="56"/>
      <c r="DS93" s="56"/>
      <c r="DT93" s="56"/>
      <c r="DU93" s="56"/>
      <c r="DV93" s="56"/>
      <c r="DW93" s="56"/>
      <c r="DX93" s="56"/>
      <c r="DY93" s="56"/>
      <c r="DZ93" s="56"/>
      <c r="EA93" s="56"/>
      <c r="EB93" s="56"/>
      <c r="EC93" s="56"/>
      <c r="ED93" s="56"/>
      <c r="EE93" s="56"/>
      <c r="EF93" s="56"/>
      <c r="EG93" s="56"/>
      <c r="EH93" s="56"/>
      <c r="EI93" s="56"/>
      <c r="EJ93" s="56"/>
      <c r="EK93" s="56"/>
    </row>
    <row r="94" spans="1:141" ht="24.75" thickBot="1" x14ac:dyDescent="0.6">
      <c r="A94" s="959" t="s">
        <v>25</v>
      </c>
      <c r="B94" s="885">
        <f>SUM(B93)</f>
        <v>4</v>
      </c>
      <c r="C94" s="931">
        <f>SUM(C93)</f>
        <v>92</v>
      </c>
      <c r="D94" s="887"/>
      <c r="E94" s="888"/>
      <c r="F94" s="888"/>
      <c r="G94" s="888"/>
      <c r="H94" s="888"/>
      <c r="I94" s="888"/>
      <c r="J94" s="888"/>
      <c r="K94" s="888"/>
      <c r="L94" s="889"/>
      <c r="M94" s="158">
        <f>SUM(M93)</f>
        <v>0.46</v>
      </c>
      <c r="N94" s="158">
        <f>SUM(N92:N93)</f>
        <v>0</v>
      </c>
      <c r="O94" s="160">
        <f>SUM(O92:O93)</f>
        <v>0</v>
      </c>
      <c r="P94" s="160">
        <f>P92+P93</f>
        <v>0</v>
      </c>
      <c r="Q94" s="160">
        <f>Q92+Q93</f>
        <v>0</v>
      </c>
      <c r="R94" s="161">
        <f>R92+R93</f>
        <v>0</v>
      </c>
      <c r="S94" s="161">
        <f>S92+S93</f>
        <v>0</v>
      </c>
      <c r="T94" s="163">
        <f>T92+T93</f>
        <v>0</v>
      </c>
      <c r="U94" s="158">
        <f>SUM(U93)</f>
        <v>101</v>
      </c>
      <c r="V94" s="158">
        <f>SUM(V92:V93)</f>
        <v>0</v>
      </c>
      <c r="W94" s="157">
        <f>SUM(W92:W93)</f>
        <v>0</v>
      </c>
      <c r="X94" s="164"/>
      <c r="Y94" s="164"/>
      <c r="Z94" s="164"/>
      <c r="AA94" s="164"/>
      <c r="AB94" s="164"/>
      <c r="AC94" s="157">
        <f>SUM(AC92:AC93)</f>
        <v>44</v>
      </c>
      <c r="AD94" s="157">
        <f t="shared" ref="AD94:AD95" si="47">ROUND(N94*960,0)</f>
        <v>0</v>
      </c>
      <c r="AE94" s="166">
        <f>SUM(AE92:AE93)</f>
        <v>0</v>
      </c>
      <c r="AF94" s="166">
        <f>AF92+AF93</f>
        <v>0</v>
      </c>
      <c r="AG94" s="164"/>
      <c r="AH94" s="164"/>
      <c r="AI94" s="164"/>
      <c r="AJ94" s="156"/>
      <c r="AK94" s="165">
        <f>SUM(AK92:AK93)</f>
        <v>145</v>
      </c>
      <c r="AL94" s="165">
        <f>SUM(AL92:AL93)</f>
        <v>0</v>
      </c>
      <c r="AM94" s="166">
        <f>SUM(AM92:AM93)</f>
        <v>0</v>
      </c>
      <c r="AN94" s="166">
        <f>AN92+AN93</f>
        <v>0</v>
      </c>
      <c r="AO94" s="164"/>
      <c r="AP94" s="164"/>
      <c r="AQ94" s="164"/>
      <c r="AR94" s="167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141" ht="27" thickBot="1" x14ac:dyDescent="0.75">
      <c r="A95" s="960"/>
      <c r="B95" s="886"/>
      <c r="C95" s="932"/>
      <c r="D95" s="890"/>
      <c r="E95" s="891"/>
      <c r="F95" s="891"/>
      <c r="G95" s="891"/>
      <c r="H95" s="891"/>
      <c r="I95" s="891"/>
      <c r="J95" s="891"/>
      <c r="K95" s="891"/>
      <c r="L95" s="892"/>
      <c r="M95" s="895">
        <f>M94+N94</f>
        <v>0.46</v>
      </c>
      <c r="N95" s="897">
        <f>M94+N94</f>
        <v>0.46</v>
      </c>
      <c r="O95" s="893">
        <f>+O94+P94+Q94</f>
        <v>0</v>
      </c>
      <c r="P95" s="961"/>
      <c r="Q95" s="894"/>
      <c r="R95" s="898">
        <f>+R94+S94+T94</f>
        <v>0</v>
      </c>
      <c r="S95" s="899"/>
      <c r="T95" s="955"/>
      <c r="U95" s="956">
        <f>U94+V94</f>
        <v>101</v>
      </c>
      <c r="V95" s="957"/>
      <c r="W95" s="961">
        <f>W94+X94+Y94</f>
        <v>0</v>
      </c>
      <c r="X95" s="961"/>
      <c r="Y95" s="894"/>
      <c r="Z95" s="951">
        <f>Z94+AA94+AB94</f>
        <v>0</v>
      </c>
      <c r="AA95" s="952"/>
      <c r="AB95" s="953"/>
      <c r="AC95" s="911">
        <f>AC94+AD94</f>
        <v>44</v>
      </c>
      <c r="AD95" s="913">
        <f t="shared" si="47"/>
        <v>442</v>
      </c>
      <c r="AE95" s="909">
        <f>AE94+AF94+AG94</f>
        <v>0</v>
      </c>
      <c r="AF95" s="958"/>
      <c r="AG95" s="910"/>
      <c r="AH95" s="951">
        <f>AH94+AI94+AJ94</f>
        <v>0</v>
      </c>
      <c r="AI95" s="952"/>
      <c r="AJ95" s="953"/>
      <c r="AK95" s="911">
        <f>AK94+AL94</f>
        <v>145</v>
      </c>
      <c r="AL95" s="912">
        <f t="shared" ref="AL95" si="48">V95+AD95</f>
        <v>442</v>
      </c>
      <c r="AM95" s="909">
        <f>AM94+AN94+AO94</f>
        <v>0</v>
      </c>
      <c r="AN95" s="958"/>
      <c r="AO95" s="910"/>
      <c r="AP95" s="951">
        <f>AP94+AQ94+AR94</f>
        <v>0</v>
      </c>
      <c r="AQ95" s="952"/>
      <c r="AR95" s="954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141" s="180" customFormat="1" ht="39.950000000000003" customHeight="1" thickBot="1" x14ac:dyDescent="0.6">
      <c r="A96" s="922" t="s">
        <v>92</v>
      </c>
      <c r="B96" s="923"/>
      <c r="C96" s="923"/>
      <c r="D96" s="923"/>
      <c r="E96" s="923"/>
      <c r="F96" s="923"/>
      <c r="G96" s="923"/>
      <c r="H96" s="923"/>
      <c r="I96" s="923"/>
      <c r="J96" s="923"/>
      <c r="K96" s="923"/>
      <c r="L96" s="923"/>
      <c r="M96" s="923"/>
      <c r="N96" s="923"/>
      <c r="O96" s="923"/>
      <c r="P96" s="923"/>
      <c r="Q96" s="923"/>
      <c r="R96" s="923"/>
      <c r="S96" s="923"/>
      <c r="T96" s="923"/>
      <c r="U96" s="923"/>
      <c r="V96" s="923"/>
      <c r="W96" s="923"/>
      <c r="X96" s="923"/>
      <c r="Y96" s="923"/>
      <c r="Z96" s="923"/>
      <c r="AA96" s="923"/>
      <c r="AB96" s="923"/>
      <c r="AC96" s="923"/>
      <c r="AD96" s="923"/>
      <c r="AE96" s="923"/>
      <c r="AF96" s="923"/>
      <c r="AG96" s="923"/>
      <c r="AH96" s="923"/>
      <c r="AI96" s="923"/>
      <c r="AJ96" s="923"/>
      <c r="AK96" s="923"/>
      <c r="AL96" s="923"/>
      <c r="AM96" s="923"/>
      <c r="AN96" s="923"/>
      <c r="AO96" s="923"/>
      <c r="AP96" s="923"/>
      <c r="AQ96" s="923"/>
      <c r="AR96" s="924"/>
      <c r="AS96" s="176"/>
      <c r="AT96" s="176"/>
      <c r="AU96" s="176"/>
      <c r="AV96" s="176"/>
      <c r="AW96" s="176"/>
      <c r="AX96" s="176"/>
      <c r="AY96" s="176"/>
      <c r="AZ96" s="176"/>
      <c r="BA96" s="176"/>
      <c r="BB96" s="176"/>
      <c r="BC96" s="176"/>
      <c r="BD96" s="176"/>
      <c r="BE96" s="176"/>
      <c r="BF96" s="176"/>
      <c r="BG96" s="176"/>
      <c r="BH96" s="176"/>
      <c r="BI96" s="176"/>
      <c r="BJ96" s="176"/>
      <c r="BK96" s="176"/>
      <c r="BL96" s="176"/>
      <c r="BM96" s="176"/>
      <c r="BN96" s="176"/>
      <c r="BO96" s="176"/>
      <c r="BP96" s="176"/>
      <c r="BQ96" s="176"/>
      <c r="BR96" s="176"/>
      <c r="BS96" s="176"/>
      <c r="BT96" s="176"/>
      <c r="BU96" s="176"/>
      <c r="BV96" s="176"/>
      <c r="BW96" s="176"/>
      <c r="BX96" s="176"/>
      <c r="BY96" s="176"/>
      <c r="BZ96" s="176"/>
      <c r="CA96" s="176"/>
      <c r="CB96" s="176"/>
      <c r="CC96" s="176"/>
      <c r="CD96" s="176"/>
      <c r="CE96" s="176"/>
      <c r="CF96" s="176"/>
      <c r="CG96" s="176"/>
      <c r="CH96" s="176"/>
      <c r="CI96" s="176"/>
      <c r="CJ96" s="176"/>
      <c r="CK96" s="176"/>
      <c r="CL96" s="176"/>
      <c r="CM96" s="176"/>
      <c r="CN96" s="176"/>
      <c r="CO96" s="176"/>
      <c r="CP96" s="176"/>
      <c r="CQ96" s="176"/>
      <c r="CR96" s="176"/>
      <c r="CS96" s="176"/>
      <c r="CT96" s="176"/>
      <c r="CU96" s="176"/>
      <c r="CV96" s="176"/>
      <c r="CW96" s="176"/>
      <c r="CX96" s="176"/>
      <c r="CY96" s="176"/>
      <c r="CZ96" s="176"/>
      <c r="DA96" s="176"/>
      <c r="DB96" s="176"/>
      <c r="DC96" s="176"/>
      <c r="DD96" s="176"/>
      <c r="DE96" s="176"/>
      <c r="DF96" s="176"/>
      <c r="DG96" s="176"/>
      <c r="DH96" s="176"/>
      <c r="DI96" s="176"/>
      <c r="DJ96" s="176"/>
      <c r="DK96" s="176"/>
      <c r="DL96" s="176"/>
      <c r="DM96" s="176"/>
      <c r="DN96" s="176"/>
      <c r="DO96" s="176"/>
      <c r="DP96" s="176"/>
      <c r="DQ96" s="176"/>
      <c r="DR96" s="176"/>
      <c r="DS96" s="176"/>
      <c r="DT96" s="176"/>
      <c r="DU96" s="176"/>
      <c r="DV96" s="176"/>
      <c r="DW96" s="176"/>
      <c r="DX96" s="176"/>
      <c r="DY96" s="176"/>
      <c r="DZ96" s="176"/>
      <c r="EA96" s="176"/>
      <c r="EB96" s="176"/>
      <c r="EC96" s="176"/>
      <c r="ED96" s="176"/>
      <c r="EE96" s="176"/>
      <c r="EF96" s="176"/>
      <c r="EG96" s="176"/>
      <c r="EH96" s="176"/>
      <c r="EI96" s="176"/>
      <c r="EJ96" s="176"/>
      <c r="EK96" s="176"/>
    </row>
    <row r="97" spans="1:141" s="177" customFormat="1" ht="39.950000000000003" customHeight="1" thickBot="1" x14ac:dyDescent="0.6">
      <c r="A97" s="928" t="s">
        <v>91</v>
      </c>
      <c r="B97" s="929"/>
      <c r="C97" s="929"/>
      <c r="D97" s="929"/>
      <c r="E97" s="929"/>
      <c r="F97" s="929"/>
      <c r="G97" s="929"/>
      <c r="H97" s="929"/>
      <c r="I97" s="929"/>
      <c r="J97" s="929"/>
      <c r="K97" s="929"/>
      <c r="L97" s="929"/>
      <c r="M97" s="929"/>
      <c r="N97" s="929"/>
      <c r="O97" s="929"/>
      <c r="P97" s="929"/>
      <c r="Q97" s="929"/>
      <c r="R97" s="929"/>
      <c r="S97" s="929"/>
      <c r="T97" s="929"/>
      <c r="U97" s="929"/>
      <c r="V97" s="929"/>
      <c r="W97" s="929"/>
      <c r="X97" s="929"/>
      <c r="Y97" s="929"/>
      <c r="Z97" s="929"/>
      <c r="AA97" s="929"/>
      <c r="AB97" s="929"/>
      <c r="AC97" s="929"/>
      <c r="AD97" s="929"/>
      <c r="AE97" s="929"/>
      <c r="AF97" s="929"/>
      <c r="AG97" s="929"/>
      <c r="AH97" s="929"/>
      <c r="AI97" s="929"/>
      <c r="AJ97" s="929"/>
      <c r="AK97" s="929"/>
      <c r="AL97" s="929"/>
      <c r="AM97" s="929"/>
      <c r="AN97" s="929"/>
      <c r="AO97" s="929"/>
      <c r="AP97" s="929"/>
      <c r="AQ97" s="929"/>
      <c r="AR97" s="930"/>
      <c r="AS97" s="176"/>
      <c r="AT97" s="176"/>
      <c r="AU97" s="176"/>
      <c r="AV97" s="176"/>
      <c r="AW97" s="176"/>
      <c r="AX97" s="176"/>
      <c r="AY97" s="176"/>
      <c r="AZ97" s="176"/>
      <c r="BA97" s="176"/>
      <c r="BB97" s="176"/>
      <c r="BC97" s="176"/>
      <c r="BD97" s="176"/>
      <c r="BE97" s="176"/>
      <c r="BF97" s="176"/>
      <c r="BG97" s="176"/>
      <c r="BH97" s="176"/>
      <c r="BI97" s="176"/>
      <c r="BJ97" s="176"/>
      <c r="BK97" s="176"/>
      <c r="BL97" s="176"/>
      <c r="BM97" s="176"/>
      <c r="BN97" s="176"/>
      <c r="BO97" s="176"/>
      <c r="BP97" s="176"/>
      <c r="BQ97" s="176"/>
      <c r="BR97" s="176"/>
      <c r="BS97" s="176"/>
      <c r="BT97" s="176"/>
      <c r="BU97" s="176"/>
      <c r="BV97" s="176"/>
      <c r="BW97" s="176"/>
      <c r="BX97" s="176"/>
      <c r="BY97" s="176"/>
      <c r="BZ97" s="176"/>
      <c r="CA97" s="176"/>
      <c r="CB97" s="176"/>
      <c r="CC97" s="176"/>
      <c r="CD97" s="176"/>
      <c r="CE97" s="176"/>
      <c r="CF97" s="176"/>
      <c r="CG97" s="176"/>
      <c r="CH97" s="176"/>
      <c r="CI97" s="176"/>
      <c r="CJ97" s="176"/>
      <c r="CK97" s="176"/>
      <c r="CL97" s="176"/>
      <c r="CM97" s="176"/>
      <c r="CN97" s="176"/>
      <c r="CO97" s="176"/>
      <c r="CP97" s="176"/>
      <c r="CQ97" s="176"/>
      <c r="CR97" s="176"/>
      <c r="CS97" s="176"/>
      <c r="CT97" s="176"/>
      <c r="CU97" s="176"/>
      <c r="CV97" s="176"/>
      <c r="CW97" s="176"/>
      <c r="CX97" s="176"/>
      <c r="CY97" s="176"/>
      <c r="CZ97" s="176"/>
      <c r="DA97" s="176"/>
      <c r="DB97" s="176"/>
      <c r="DC97" s="176"/>
      <c r="DD97" s="176"/>
      <c r="DE97" s="176"/>
      <c r="DF97" s="176"/>
      <c r="DG97" s="176"/>
      <c r="DH97" s="176"/>
      <c r="DI97" s="176"/>
      <c r="DJ97" s="176"/>
      <c r="DK97" s="176"/>
      <c r="DL97" s="176"/>
      <c r="DM97" s="176"/>
      <c r="DN97" s="176"/>
      <c r="DO97" s="176"/>
      <c r="DP97" s="176"/>
      <c r="DQ97" s="176"/>
      <c r="DR97" s="176"/>
      <c r="DS97" s="176"/>
      <c r="DT97" s="176"/>
      <c r="DU97" s="176"/>
      <c r="DV97" s="176"/>
      <c r="DW97" s="176"/>
      <c r="DX97" s="176"/>
      <c r="DY97" s="176"/>
      <c r="DZ97" s="176"/>
      <c r="EA97" s="176"/>
      <c r="EB97" s="176"/>
      <c r="EC97" s="176"/>
      <c r="ED97" s="176"/>
      <c r="EE97" s="176"/>
      <c r="EF97" s="176"/>
      <c r="EG97" s="176"/>
      <c r="EH97" s="176"/>
      <c r="EI97" s="176"/>
      <c r="EJ97" s="176"/>
      <c r="EK97" s="176"/>
    </row>
    <row r="98" spans="1:141" s="56" customFormat="1" x14ac:dyDescent="0.55000000000000004">
      <c r="A98" s="184" t="s">
        <v>93</v>
      </c>
      <c r="B98" s="5">
        <v>113</v>
      </c>
      <c r="C98" s="6">
        <v>2816</v>
      </c>
      <c r="D98" s="46">
        <v>2</v>
      </c>
      <c r="E98" s="10">
        <v>0</v>
      </c>
      <c r="F98" s="10">
        <v>0</v>
      </c>
      <c r="G98" s="9">
        <v>5</v>
      </c>
      <c r="H98" s="10">
        <v>0</v>
      </c>
      <c r="I98" s="10">
        <v>0</v>
      </c>
      <c r="J98" s="9">
        <v>1.1000000000000001</v>
      </c>
      <c r="K98" s="10">
        <v>2</v>
      </c>
      <c r="L98" s="12">
        <v>1.7</v>
      </c>
      <c r="M98" s="13">
        <f>ROUND(C98*G98/1000,0)</f>
        <v>14</v>
      </c>
      <c r="N98" s="17">
        <f>ROUND(C98*G98/1000,0)</f>
        <v>14</v>
      </c>
      <c r="O98" s="82">
        <f>ROUND(C98*H98/1000,0)</f>
        <v>0</v>
      </c>
      <c r="P98" s="82">
        <f>ROUND(C98*H98/1000,0)</f>
        <v>0</v>
      </c>
      <c r="Q98" s="52"/>
      <c r="R98" s="84"/>
      <c r="S98" s="52"/>
      <c r="T98" s="86"/>
      <c r="U98" s="13">
        <f>ROUND(C98*J98,0)</f>
        <v>3098</v>
      </c>
      <c r="V98" s="13">
        <f>ROUND(C98*J98,0)</f>
        <v>3098</v>
      </c>
      <c r="W98" s="52"/>
      <c r="X98" s="52"/>
      <c r="Y98" s="52"/>
      <c r="Z98" s="52"/>
      <c r="AA98" s="84"/>
      <c r="AB98" s="87"/>
      <c r="AC98" s="17">
        <f>ROUND(M98*95,0)</f>
        <v>1330</v>
      </c>
      <c r="AD98" s="17">
        <f>ROUND(N98*95,0)</f>
        <v>1330</v>
      </c>
      <c r="AE98" s="52"/>
      <c r="AF98" s="52"/>
      <c r="AG98" s="52"/>
      <c r="AH98" s="84"/>
      <c r="AI98" s="52"/>
      <c r="AJ98" s="85"/>
      <c r="AK98" s="100">
        <f>U98+AC98</f>
        <v>4428</v>
      </c>
      <c r="AL98" s="100">
        <f>V98+AD98</f>
        <v>4428</v>
      </c>
      <c r="AM98" s="52">
        <v>0</v>
      </c>
      <c r="AN98" s="52">
        <v>0</v>
      </c>
      <c r="AO98" s="52"/>
      <c r="AP98" s="52"/>
      <c r="AQ98" s="52"/>
      <c r="AR98" s="85"/>
    </row>
    <row r="99" spans="1:141" x14ac:dyDescent="0.55000000000000004">
      <c r="A99" s="184" t="s">
        <v>94</v>
      </c>
      <c r="B99" s="5">
        <v>128</v>
      </c>
      <c r="C99" s="6">
        <v>3199</v>
      </c>
      <c r="D99" s="46">
        <v>2</v>
      </c>
      <c r="E99" s="10">
        <v>0</v>
      </c>
      <c r="F99" s="10">
        <v>0</v>
      </c>
      <c r="G99" s="9">
        <v>5</v>
      </c>
      <c r="H99" s="10">
        <v>0</v>
      </c>
      <c r="I99" s="10">
        <v>0</v>
      </c>
      <c r="J99" s="9">
        <v>1.1000000000000001</v>
      </c>
      <c r="K99" s="10">
        <v>2</v>
      </c>
      <c r="L99" s="12">
        <v>1.7</v>
      </c>
      <c r="M99" s="13">
        <f>ROUND(C99*G99/1000,0)</f>
        <v>16</v>
      </c>
      <c r="N99" s="17">
        <f t="shared" ref="N99:N101" si="49">ROUND(C99*G99/1000,0)</f>
        <v>16</v>
      </c>
      <c r="O99" s="14">
        <f>+C99*H99*E99</f>
        <v>0</v>
      </c>
      <c r="P99" s="14">
        <v>0</v>
      </c>
      <c r="Q99" s="14"/>
      <c r="R99" s="15"/>
      <c r="S99" s="14"/>
      <c r="T99" s="18"/>
      <c r="U99" s="13">
        <f t="shared" ref="U99:U101" si="50">ROUND(C99*J99,0)</f>
        <v>3519</v>
      </c>
      <c r="V99" s="13">
        <f>ROUND(C99*J99,0)</f>
        <v>3519</v>
      </c>
      <c r="W99" s="14">
        <v>0</v>
      </c>
      <c r="X99" s="14">
        <v>0</v>
      </c>
      <c r="Y99" s="14"/>
      <c r="Z99" s="14"/>
      <c r="AA99" s="15"/>
      <c r="AB99" s="23"/>
      <c r="AC99" s="17">
        <f t="shared" ref="AC99:AC101" si="51">ROUND(M99*95,0)</f>
        <v>1520</v>
      </c>
      <c r="AD99" s="17">
        <f t="shared" ref="AD99:AD101" si="52">ROUND(N99*95,0)</f>
        <v>1520</v>
      </c>
      <c r="AE99" s="14">
        <f>+S99*X99*U99</f>
        <v>0</v>
      </c>
      <c r="AF99" s="14">
        <v>0</v>
      </c>
      <c r="AG99" s="14"/>
      <c r="AH99" s="15"/>
      <c r="AI99" s="14"/>
      <c r="AJ99" s="16"/>
      <c r="AK99" s="100">
        <f>U99+AC99</f>
        <v>5039</v>
      </c>
      <c r="AL99" s="100">
        <f t="shared" ref="AL99:AL101" si="53">V99+AD99</f>
        <v>5039</v>
      </c>
      <c r="AM99" s="14">
        <v>0</v>
      </c>
      <c r="AN99" s="14">
        <v>0</v>
      </c>
      <c r="AO99" s="14"/>
      <c r="AP99" s="14"/>
      <c r="AQ99" s="14"/>
      <c r="AR99" s="1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  <c r="BQ99" s="56"/>
      <c r="BR99" s="56"/>
      <c r="BS99" s="56"/>
      <c r="BT99" s="56"/>
      <c r="BU99" s="56"/>
      <c r="BV99" s="56"/>
      <c r="BW99" s="56"/>
      <c r="BX99" s="56"/>
      <c r="BY99" s="56"/>
      <c r="BZ99" s="56"/>
      <c r="CA99" s="56"/>
      <c r="CB99" s="56"/>
      <c r="CC99" s="56"/>
      <c r="CD99" s="56"/>
      <c r="CE99" s="56"/>
      <c r="CF99" s="56"/>
      <c r="CG99" s="56"/>
      <c r="CH99" s="56"/>
      <c r="CI99" s="56"/>
      <c r="CJ99" s="56"/>
      <c r="CK99" s="56"/>
      <c r="CL99" s="56"/>
      <c r="CM99" s="56"/>
      <c r="CN99" s="56"/>
      <c r="CO99" s="56"/>
      <c r="CP99" s="56"/>
      <c r="CQ99" s="56"/>
      <c r="CR99" s="56"/>
      <c r="CS99" s="56"/>
      <c r="CT99" s="56"/>
      <c r="CU99" s="56"/>
      <c r="CV99" s="56"/>
      <c r="CW99" s="56"/>
      <c r="CX99" s="56"/>
      <c r="CY99" s="56"/>
      <c r="CZ99" s="56"/>
      <c r="DA99" s="56"/>
      <c r="DB99" s="56"/>
      <c r="DC99" s="56"/>
      <c r="DD99" s="56"/>
      <c r="DE99" s="56"/>
      <c r="DF99" s="56"/>
      <c r="DG99" s="56"/>
      <c r="DH99" s="56"/>
      <c r="DI99" s="56"/>
      <c r="DJ99" s="56"/>
      <c r="DK99" s="56"/>
      <c r="DL99" s="56"/>
      <c r="DM99" s="56"/>
      <c r="DN99" s="56"/>
      <c r="DO99" s="56"/>
      <c r="DP99" s="56"/>
      <c r="DQ99" s="56"/>
      <c r="DR99" s="56"/>
      <c r="DS99" s="56"/>
      <c r="DT99" s="56"/>
      <c r="DU99" s="56"/>
      <c r="DV99" s="56"/>
      <c r="DW99" s="56"/>
      <c r="DX99" s="56"/>
      <c r="DY99" s="56"/>
      <c r="DZ99" s="56"/>
      <c r="EA99" s="56"/>
      <c r="EB99" s="56"/>
      <c r="EC99" s="56"/>
      <c r="ED99" s="56"/>
      <c r="EE99" s="56"/>
      <c r="EF99" s="56"/>
      <c r="EG99" s="56"/>
      <c r="EH99" s="56"/>
      <c r="EI99" s="56"/>
      <c r="EJ99" s="56"/>
      <c r="EK99" s="56"/>
    </row>
    <row r="100" spans="1:141" s="88" customFormat="1" x14ac:dyDescent="0.55000000000000004">
      <c r="A100" s="184" t="s">
        <v>95</v>
      </c>
      <c r="B100" s="20">
        <v>121</v>
      </c>
      <c r="C100" s="72">
        <v>3015</v>
      </c>
      <c r="D100" s="22">
        <v>2</v>
      </c>
      <c r="E100" s="52">
        <v>0</v>
      </c>
      <c r="F100" s="52">
        <v>0</v>
      </c>
      <c r="G100" s="82">
        <v>5</v>
      </c>
      <c r="H100" s="52">
        <v>0</v>
      </c>
      <c r="I100" s="52">
        <v>0</v>
      </c>
      <c r="J100" s="82">
        <v>1.1000000000000001</v>
      </c>
      <c r="K100" s="52">
        <v>2</v>
      </c>
      <c r="L100" s="84">
        <v>1.7</v>
      </c>
      <c r="M100" s="82">
        <f>ROUND(C100*G100/1000,0)</f>
        <v>15</v>
      </c>
      <c r="N100" s="17">
        <f t="shared" si="49"/>
        <v>15</v>
      </c>
      <c r="O100" s="52">
        <f>+C100*H100*E100</f>
        <v>0</v>
      </c>
      <c r="P100" s="52"/>
      <c r="Q100" s="52"/>
      <c r="R100" s="84"/>
      <c r="S100" s="52"/>
      <c r="T100" s="86"/>
      <c r="U100" s="82">
        <f t="shared" si="50"/>
        <v>3317</v>
      </c>
      <c r="V100" s="13">
        <f>ROUND(C100*J100,0)</f>
        <v>3317</v>
      </c>
      <c r="W100" s="52">
        <v>0</v>
      </c>
      <c r="X100" s="52">
        <v>0</v>
      </c>
      <c r="Y100" s="52"/>
      <c r="Z100" s="52"/>
      <c r="AA100" s="84"/>
      <c r="AB100" s="87"/>
      <c r="AC100" s="17">
        <f t="shared" si="51"/>
        <v>1425</v>
      </c>
      <c r="AD100" s="17">
        <f t="shared" si="52"/>
        <v>1425</v>
      </c>
      <c r="AE100" s="52">
        <f>+S100*X100*U100</f>
        <v>0</v>
      </c>
      <c r="AF100" s="52">
        <v>0</v>
      </c>
      <c r="AG100" s="52"/>
      <c r="AH100" s="84"/>
      <c r="AI100" s="52"/>
      <c r="AJ100" s="85"/>
      <c r="AK100" s="100">
        <f>U100+AC100</f>
        <v>4742</v>
      </c>
      <c r="AL100" s="100">
        <f t="shared" si="53"/>
        <v>4742</v>
      </c>
      <c r="AM100" s="52">
        <v>0</v>
      </c>
      <c r="AN100" s="52">
        <v>0</v>
      </c>
      <c r="AO100" s="52"/>
      <c r="AP100" s="52"/>
      <c r="AQ100" s="52"/>
      <c r="AR100" s="85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  <c r="BQ100" s="56"/>
      <c r="BR100" s="56"/>
      <c r="BS100" s="56"/>
      <c r="BT100" s="56"/>
      <c r="BU100" s="56"/>
      <c r="BV100" s="56"/>
      <c r="BW100" s="56"/>
      <c r="BX100" s="56"/>
      <c r="BY100" s="56"/>
      <c r="BZ100" s="56"/>
      <c r="CA100" s="56"/>
      <c r="CB100" s="56"/>
      <c r="CC100" s="56"/>
      <c r="CD100" s="56"/>
      <c r="CE100" s="56"/>
      <c r="CF100" s="56"/>
      <c r="CG100" s="56"/>
      <c r="CH100" s="56"/>
      <c r="CI100" s="56"/>
      <c r="CJ100" s="56"/>
      <c r="CK100" s="56"/>
      <c r="CL100" s="56"/>
      <c r="CM100" s="56"/>
      <c r="CN100" s="56"/>
      <c r="CO100" s="56"/>
      <c r="CP100" s="56"/>
      <c r="CQ100" s="56"/>
      <c r="CR100" s="56"/>
      <c r="CS100" s="56"/>
      <c r="CT100" s="56"/>
      <c r="CU100" s="56"/>
      <c r="CV100" s="56"/>
      <c r="CW100" s="56"/>
      <c r="CX100" s="56"/>
      <c r="CY100" s="56"/>
      <c r="CZ100" s="56"/>
      <c r="DA100" s="56"/>
      <c r="DB100" s="56"/>
      <c r="DC100" s="56"/>
      <c r="DD100" s="56"/>
      <c r="DE100" s="56"/>
      <c r="DF100" s="56"/>
      <c r="DG100" s="56"/>
      <c r="DH100" s="56"/>
      <c r="DI100" s="56"/>
      <c r="DJ100" s="56"/>
      <c r="DK100" s="56"/>
      <c r="DL100" s="56"/>
      <c r="DM100" s="56"/>
      <c r="DN100" s="56"/>
      <c r="DO100" s="56"/>
      <c r="DP100" s="56"/>
      <c r="DQ100" s="56"/>
      <c r="DR100" s="56"/>
      <c r="DS100" s="56"/>
      <c r="DT100" s="56"/>
      <c r="DU100" s="56"/>
      <c r="DV100" s="56"/>
      <c r="DW100" s="56"/>
      <c r="DX100" s="56"/>
      <c r="DY100" s="56"/>
      <c r="DZ100" s="56"/>
      <c r="EA100" s="56"/>
      <c r="EB100" s="56"/>
      <c r="EC100" s="56"/>
      <c r="ED100" s="56"/>
      <c r="EE100" s="56"/>
      <c r="EF100" s="56"/>
      <c r="EG100" s="56"/>
      <c r="EH100" s="56"/>
      <c r="EI100" s="56"/>
      <c r="EJ100" s="56"/>
      <c r="EK100" s="56"/>
    </row>
    <row r="101" spans="1:141" s="88" customFormat="1" ht="24.75" thickBot="1" x14ac:dyDescent="0.6">
      <c r="A101" s="184" t="s">
        <v>96</v>
      </c>
      <c r="B101" s="20">
        <v>56</v>
      </c>
      <c r="C101" s="72">
        <v>1403</v>
      </c>
      <c r="D101" s="22">
        <v>2</v>
      </c>
      <c r="E101" s="52">
        <v>0</v>
      </c>
      <c r="F101" s="52">
        <v>0</v>
      </c>
      <c r="G101" s="82">
        <v>5</v>
      </c>
      <c r="H101" s="52">
        <v>0</v>
      </c>
      <c r="I101" s="52">
        <v>0</v>
      </c>
      <c r="J101" s="82">
        <v>1.1000000000000001</v>
      </c>
      <c r="K101" s="52">
        <v>2</v>
      </c>
      <c r="L101" s="84">
        <v>1.7</v>
      </c>
      <c r="M101" s="82">
        <f>ROUND(C101*G101/1000,0)</f>
        <v>7</v>
      </c>
      <c r="N101" s="17">
        <f t="shared" si="49"/>
        <v>7</v>
      </c>
      <c r="O101" s="82">
        <f>ROUND(C101*H101/1000,0)</f>
        <v>0</v>
      </c>
      <c r="P101" s="52">
        <v>0</v>
      </c>
      <c r="Q101" s="52"/>
      <c r="R101" s="84"/>
      <c r="S101" s="52"/>
      <c r="T101" s="86"/>
      <c r="U101" s="82">
        <f t="shared" si="50"/>
        <v>1543</v>
      </c>
      <c r="V101" s="13">
        <f>ROUND(C101*J101,0)</f>
        <v>1543</v>
      </c>
      <c r="W101" s="52">
        <v>0</v>
      </c>
      <c r="X101" s="52">
        <v>0</v>
      </c>
      <c r="Y101" s="52"/>
      <c r="Z101" s="52"/>
      <c r="AA101" s="84"/>
      <c r="AB101" s="87"/>
      <c r="AC101" s="17">
        <f t="shared" si="51"/>
        <v>665</v>
      </c>
      <c r="AD101" s="17">
        <f t="shared" si="52"/>
        <v>665</v>
      </c>
      <c r="AE101" s="82">
        <f>ROUND(O101*960,0)</f>
        <v>0</v>
      </c>
      <c r="AF101" s="52">
        <v>0</v>
      </c>
      <c r="AG101" s="52"/>
      <c r="AH101" s="84"/>
      <c r="AI101" s="52"/>
      <c r="AJ101" s="85"/>
      <c r="AK101" s="100">
        <f>U101+AC101</f>
        <v>2208</v>
      </c>
      <c r="AL101" s="100">
        <f t="shared" si="53"/>
        <v>2208</v>
      </c>
      <c r="AM101" s="52">
        <f>W101+AE101</f>
        <v>0</v>
      </c>
      <c r="AN101" s="52">
        <v>0</v>
      </c>
      <c r="AO101" s="52"/>
      <c r="AP101" s="52"/>
      <c r="AQ101" s="52"/>
      <c r="AR101" s="85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  <c r="BQ101" s="56"/>
      <c r="BR101" s="56"/>
      <c r="BS101" s="56"/>
      <c r="BT101" s="56"/>
      <c r="BU101" s="56"/>
      <c r="BV101" s="56"/>
      <c r="BW101" s="56"/>
      <c r="BX101" s="56"/>
      <c r="BY101" s="56"/>
      <c r="BZ101" s="56"/>
      <c r="CA101" s="56"/>
      <c r="CB101" s="56"/>
      <c r="CC101" s="56"/>
      <c r="CD101" s="56"/>
      <c r="CE101" s="56"/>
      <c r="CF101" s="56"/>
      <c r="CG101" s="56"/>
      <c r="CH101" s="56"/>
      <c r="CI101" s="56"/>
      <c r="CJ101" s="56"/>
      <c r="CK101" s="56"/>
      <c r="CL101" s="56"/>
      <c r="CM101" s="56"/>
      <c r="CN101" s="56"/>
      <c r="CO101" s="56"/>
      <c r="CP101" s="56"/>
      <c r="CQ101" s="56"/>
      <c r="CR101" s="56"/>
      <c r="CS101" s="56"/>
      <c r="CT101" s="56"/>
      <c r="CU101" s="56"/>
      <c r="CV101" s="56"/>
      <c r="CW101" s="56"/>
      <c r="CX101" s="56"/>
      <c r="CY101" s="56"/>
      <c r="CZ101" s="56"/>
      <c r="DA101" s="56"/>
      <c r="DB101" s="56"/>
      <c r="DC101" s="56"/>
      <c r="DD101" s="56"/>
      <c r="DE101" s="56"/>
      <c r="DF101" s="56"/>
      <c r="DG101" s="56"/>
      <c r="DH101" s="56"/>
      <c r="DI101" s="56"/>
      <c r="DJ101" s="56"/>
      <c r="DK101" s="56"/>
      <c r="DL101" s="56"/>
      <c r="DM101" s="56"/>
      <c r="DN101" s="56"/>
      <c r="DO101" s="56"/>
      <c r="DP101" s="56"/>
      <c r="DQ101" s="56"/>
      <c r="DR101" s="56"/>
      <c r="DS101" s="56"/>
      <c r="DT101" s="56"/>
      <c r="DU101" s="56"/>
      <c r="DV101" s="56"/>
      <c r="DW101" s="56"/>
      <c r="DX101" s="56"/>
      <c r="DY101" s="56"/>
      <c r="DZ101" s="56"/>
      <c r="EA101" s="56"/>
      <c r="EB101" s="56"/>
      <c r="EC101" s="56"/>
      <c r="ED101" s="56"/>
      <c r="EE101" s="56"/>
      <c r="EF101" s="56"/>
      <c r="EG101" s="56"/>
      <c r="EH101" s="56"/>
      <c r="EI101" s="56"/>
      <c r="EJ101" s="56"/>
      <c r="EK101" s="56"/>
    </row>
    <row r="102" spans="1:141" ht="24.75" thickBot="1" x14ac:dyDescent="0.6">
      <c r="A102" s="959" t="s">
        <v>25</v>
      </c>
      <c r="B102" s="885">
        <f>SUM(B98:B101)</f>
        <v>418</v>
      </c>
      <c r="C102" s="931">
        <f>SUM(C98:C101)</f>
        <v>10433</v>
      </c>
      <c r="D102" s="887"/>
      <c r="E102" s="888"/>
      <c r="F102" s="888"/>
      <c r="G102" s="888"/>
      <c r="H102" s="888"/>
      <c r="I102" s="888"/>
      <c r="J102" s="888"/>
      <c r="K102" s="888"/>
      <c r="L102" s="889"/>
      <c r="M102" s="158">
        <f>SUM(M98:M101)</f>
        <v>52</v>
      </c>
      <c r="N102" s="158">
        <f>SUM(N98:N101)</f>
        <v>52</v>
      </c>
      <c r="O102" s="160">
        <f>SUM(O100:O101)</f>
        <v>0</v>
      </c>
      <c r="P102" s="160">
        <f>P100+P101</f>
        <v>0</v>
      </c>
      <c r="Q102" s="160">
        <f>Q100+Q101</f>
        <v>0</v>
      </c>
      <c r="R102" s="161">
        <f>R100+R101</f>
        <v>0</v>
      </c>
      <c r="S102" s="161">
        <f>S100+S101</f>
        <v>0</v>
      </c>
      <c r="T102" s="163">
        <f>T100+T101</f>
        <v>0</v>
      </c>
      <c r="U102" s="158">
        <f>SUM(U98:U101)</f>
        <v>11477</v>
      </c>
      <c r="V102" s="158">
        <f>SUM(V98:V101)</f>
        <v>11477</v>
      </c>
      <c r="W102" s="157">
        <f>SUM(W100:W101)</f>
        <v>0</v>
      </c>
      <c r="X102" s="164"/>
      <c r="Y102" s="164"/>
      <c r="Z102" s="164"/>
      <c r="AA102" s="164"/>
      <c r="AB102" s="164"/>
      <c r="AC102" s="157">
        <f>SUM(AC98:AC101)</f>
        <v>4940</v>
      </c>
      <c r="AD102" s="157">
        <f>SUM(AD98:AD101)</f>
        <v>4940</v>
      </c>
      <c r="AE102" s="166">
        <f>SUM(AE100:AE101)</f>
        <v>0</v>
      </c>
      <c r="AF102" s="166">
        <f>AF100+AF101</f>
        <v>0</v>
      </c>
      <c r="AG102" s="164"/>
      <c r="AH102" s="164"/>
      <c r="AI102" s="164"/>
      <c r="AJ102" s="156"/>
      <c r="AK102" s="165">
        <f>SUM(AK100:AK101)</f>
        <v>6950</v>
      </c>
      <c r="AL102" s="165">
        <f>SUM(AL100:AL101)</f>
        <v>6950</v>
      </c>
      <c r="AM102" s="166">
        <f>SUM(AM100:AM101)</f>
        <v>0</v>
      </c>
      <c r="AN102" s="166">
        <f>AN100+AN101</f>
        <v>0</v>
      </c>
      <c r="AO102" s="164"/>
      <c r="AP102" s="164"/>
      <c r="AQ102" s="164"/>
      <c r="AR102" s="167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</row>
    <row r="103" spans="1:141" ht="27" thickBot="1" x14ac:dyDescent="0.75">
      <c r="A103" s="960"/>
      <c r="B103" s="886"/>
      <c r="C103" s="932"/>
      <c r="D103" s="890"/>
      <c r="E103" s="891"/>
      <c r="F103" s="891"/>
      <c r="G103" s="891"/>
      <c r="H103" s="891"/>
      <c r="I103" s="891"/>
      <c r="J103" s="891"/>
      <c r="K103" s="891"/>
      <c r="L103" s="892"/>
      <c r="M103" s="895">
        <f>M102+N102</f>
        <v>104</v>
      </c>
      <c r="N103" s="897">
        <f>M102+N102</f>
        <v>104</v>
      </c>
      <c r="O103" s="893">
        <f>+O102+P102+Q102</f>
        <v>0</v>
      </c>
      <c r="P103" s="961"/>
      <c r="Q103" s="894"/>
      <c r="R103" s="898">
        <f>+R102+S102+T102</f>
        <v>0</v>
      </c>
      <c r="S103" s="899"/>
      <c r="T103" s="955"/>
      <c r="U103" s="956">
        <f>U102+V102</f>
        <v>22954</v>
      </c>
      <c r="V103" s="957"/>
      <c r="W103" s="961">
        <f>W102+X102+Y102</f>
        <v>0</v>
      </c>
      <c r="X103" s="961"/>
      <c r="Y103" s="894"/>
      <c r="Z103" s="951">
        <f>Z102+AA102+AB102</f>
        <v>0</v>
      </c>
      <c r="AA103" s="952"/>
      <c r="AB103" s="953"/>
      <c r="AC103" s="911">
        <f>AC102+AD102</f>
        <v>9880</v>
      </c>
      <c r="AD103" s="913">
        <f t="shared" ref="AD103" si="54">ROUND(N103*960,0)</f>
        <v>99840</v>
      </c>
      <c r="AE103" s="909">
        <f>AE102+AF102+AG102</f>
        <v>0</v>
      </c>
      <c r="AF103" s="958"/>
      <c r="AG103" s="910"/>
      <c r="AH103" s="951">
        <f>AH102+AI102+AJ102</f>
        <v>0</v>
      </c>
      <c r="AI103" s="952"/>
      <c r="AJ103" s="953"/>
      <c r="AK103" s="911">
        <f>AK102+AL102</f>
        <v>13900</v>
      </c>
      <c r="AL103" s="912">
        <f t="shared" ref="AL103" si="55">V103+AD103</f>
        <v>99840</v>
      </c>
      <c r="AM103" s="909">
        <f>AM102+AN102+AO102</f>
        <v>0</v>
      </c>
      <c r="AN103" s="958"/>
      <c r="AO103" s="910"/>
      <c r="AP103" s="951">
        <f>AP102+AQ102+AR102</f>
        <v>0</v>
      </c>
      <c r="AQ103" s="952"/>
      <c r="AR103" s="954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</row>
    <row r="104" spans="1:141" s="68" customFormat="1" ht="39.950000000000003" customHeight="1" thickBot="1" x14ac:dyDescent="0.6">
      <c r="A104" s="880" t="s">
        <v>98</v>
      </c>
      <c r="B104" s="881"/>
      <c r="C104" s="881"/>
      <c r="D104" s="881"/>
      <c r="E104" s="881"/>
      <c r="F104" s="881"/>
      <c r="G104" s="881"/>
      <c r="H104" s="881"/>
      <c r="I104" s="881"/>
      <c r="J104" s="881"/>
      <c r="K104" s="881"/>
      <c r="L104" s="881"/>
      <c r="M104" s="881"/>
      <c r="N104" s="881"/>
      <c r="O104" s="881"/>
      <c r="P104" s="881"/>
      <c r="Q104" s="881"/>
      <c r="R104" s="881"/>
      <c r="S104" s="881"/>
      <c r="T104" s="881"/>
      <c r="U104" s="881"/>
      <c r="V104" s="881"/>
      <c r="W104" s="881"/>
      <c r="X104" s="881"/>
      <c r="Y104" s="881"/>
      <c r="Z104" s="881"/>
      <c r="AA104" s="881"/>
      <c r="AB104" s="881"/>
      <c r="AC104" s="881"/>
      <c r="AD104" s="881"/>
      <c r="AE104" s="881"/>
      <c r="AF104" s="881"/>
      <c r="AG104" s="881"/>
      <c r="AH104" s="881"/>
      <c r="AI104" s="881"/>
      <c r="AJ104" s="881"/>
      <c r="AK104" s="881"/>
      <c r="AL104" s="881"/>
      <c r="AM104" s="881"/>
      <c r="AN104" s="881"/>
      <c r="AO104" s="881"/>
      <c r="AP104" s="881"/>
      <c r="AQ104" s="881"/>
      <c r="AR104" s="882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  <c r="BM104" s="69"/>
      <c r="BN104" s="69"/>
      <c r="BO104" s="69"/>
      <c r="BP104" s="69"/>
      <c r="BQ104" s="69"/>
      <c r="BR104" s="69"/>
      <c r="BS104" s="69"/>
      <c r="BT104" s="69"/>
      <c r="BU104" s="69"/>
      <c r="BV104" s="69"/>
      <c r="BW104" s="69"/>
      <c r="BX104" s="69"/>
      <c r="BY104" s="69"/>
      <c r="BZ104" s="69"/>
      <c r="CA104" s="69"/>
      <c r="CB104" s="69"/>
      <c r="CC104" s="69"/>
      <c r="CD104" s="69"/>
      <c r="CE104" s="69"/>
      <c r="CF104" s="69"/>
      <c r="CG104" s="69"/>
      <c r="CH104" s="69"/>
      <c r="CI104" s="69"/>
      <c r="CJ104" s="69"/>
      <c r="CK104" s="69"/>
      <c r="CL104" s="69"/>
      <c r="CM104" s="69"/>
      <c r="CN104" s="69"/>
      <c r="CO104" s="69"/>
      <c r="CP104" s="69"/>
      <c r="CQ104" s="69"/>
      <c r="CR104" s="69"/>
      <c r="CS104" s="69"/>
      <c r="CT104" s="69"/>
      <c r="CU104" s="69"/>
      <c r="CV104" s="69"/>
      <c r="CW104" s="69"/>
      <c r="CX104" s="69"/>
      <c r="CY104" s="69"/>
      <c r="CZ104" s="69"/>
      <c r="DA104" s="69"/>
      <c r="DB104" s="69"/>
      <c r="DC104" s="69"/>
      <c r="DD104" s="69"/>
      <c r="DE104" s="69"/>
      <c r="DF104" s="69"/>
      <c r="DG104" s="69"/>
      <c r="DH104" s="69"/>
      <c r="DI104" s="69"/>
      <c r="DJ104" s="69"/>
      <c r="DK104" s="69"/>
      <c r="DL104" s="69"/>
      <c r="DM104" s="69"/>
      <c r="DN104" s="69"/>
      <c r="DO104" s="69"/>
      <c r="DP104" s="69"/>
      <c r="DQ104" s="69"/>
      <c r="DR104" s="69"/>
      <c r="DS104" s="69"/>
      <c r="DT104" s="69"/>
      <c r="DU104" s="69"/>
      <c r="DV104" s="69"/>
      <c r="DW104" s="69"/>
      <c r="DX104" s="69"/>
      <c r="DY104" s="69"/>
      <c r="DZ104" s="69"/>
      <c r="EA104" s="69"/>
      <c r="EB104" s="69"/>
      <c r="EC104" s="69"/>
      <c r="ED104" s="69"/>
      <c r="EE104" s="69"/>
      <c r="EF104" s="69"/>
      <c r="EG104" s="69"/>
      <c r="EH104" s="69"/>
      <c r="EI104" s="69"/>
      <c r="EJ104" s="69"/>
      <c r="EK104" s="69"/>
    </row>
    <row r="105" spans="1:141" ht="24.75" thickBot="1" x14ac:dyDescent="0.6">
      <c r="A105" s="96" t="s">
        <v>97</v>
      </c>
      <c r="B105" s="94">
        <v>124</v>
      </c>
      <c r="C105" s="95">
        <v>3106</v>
      </c>
      <c r="D105" s="46">
        <v>1</v>
      </c>
      <c r="E105" s="10">
        <f>0</f>
        <v>0</v>
      </c>
      <c r="F105" s="10">
        <v>0</v>
      </c>
      <c r="G105" s="13">
        <v>5</v>
      </c>
      <c r="H105" s="14">
        <f>0</f>
        <v>0</v>
      </c>
      <c r="I105" s="23">
        <f>0</f>
        <v>0</v>
      </c>
      <c r="J105" s="13">
        <v>1.1000000000000001</v>
      </c>
      <c r="K105" s="14">
        <v>2</v>
      </c>
      <c r="L105" s="15">
        <v>1.7</v>
      </c>
      <c r="M105" s="13">
        <f>ROUND(C105*G105/1000,0)</f>
        <v>16</v>
      </c>
      <c r="N105" s="17">
        <f>0</f>
        <v>0</v>
      </c>
      <c r="O105" s="13">
        <f>ROUND(C105*H105/1000,0)</f>
        <v>0</v>
      </c>
      <c r="P105" s="14">
        <v>0</v>
      </c>
      <c r="Q105" s="14"/>
      <c r="R105" s="15"/>
      <c r="S105" s="14"/>
      <c r="T105" s="18"/>
      <c r="U105" s="13">
        <f>ROUND(C105*J105,0)</f>
        <v>3417</v>
      </c>
      <c r="V105" s="17">
        <f>0</f>
        <v>0</v>
      </c>
      <c r="W105" s="13">
        <v>0</v>
      </c>
      <c r="X105" s="14">
        <v>0</v>
      </c>
      <c r="Y105" s="14"/>
      <c r="Z105" s="14"/>
      <c r="AA105" s="15"/>
      <c r="AB105" s="23"/>
      <c r="AC105" s="17">
        <f>ROUND(M105*95,0)</f>
        <v>1520</v>
      </c>
      <c r="AD105" s="17">
        <f t="shared" ref="AD105" si="56">ROUND(N105*95,0)</f>
        <v>0</v>
      </c>
      <c r="AE105" s="13">
        <f>ROUND(O105*960,0)</f>
        <v>0</v>
      </c>
      <c r="AF105" s="14">
        <v>0</v>
      </c>
      <c r="AG105" s="14"/>
      <c r="AH105" s="15"/>
      <c r="AI105" s="14"/>
      <c r="AJ105" s="16"/>
      <c r="AK105" s="100">
        <f>U105+AC105</f>
        <v>4937</v>
      </c>
      <c r="AL105" s="14">
        <f t="shared" ref="AL105" si="57">V105+AD105</f>
        <v>0</v>
      </c>
      <c r="AM105" s="52">
        <f>W105+AE105</f>
        <v>0</v>
      </c>
      <c r="AN105" s="14">
        <v>0</v>
      </c>
      <c r="AO105" s="14"/>
      <c r="AP105" s="14"/>
      <c r="AQ105" s="14"/>
      <c r="AR105" s="1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  <c r="BN105" s="56"/>
      <c r="BO105" s="56"/>
      <c r="BP105" s="56"/>
      <c r="BQ105" s="56"/>
      <c r="BR105" s="56"/>
      <c r="BS105" s="56"/>
      <c r="BT105" s="56"/>
      <c r="BU105" s="56"/>
      <c r="BV105" s="56"/>
      <c r="BW105" s="56"/>
      <c r="BX105" s="56"/>
      <c r="BY105" s="56"/>
      <c r="BZ105" s="56"/>
      <c r="CA105" s="56"/>
      <c r="CB105" s="56"/>
      <c r="CC105" s="56"/>
      <c r="CD105" s="56"/>
      <c r="CE105" s="56"/>
      <c r="CF105" s="56"/>
      <c r="CG105" s="56"/>
      <c r="CH105" s="56"/>
      <c r="CI105" s="56"/>
      <c r="CJ105" s="56"/>
      <c r="CK105" s="56"/>
      <c r="CL105" s="56"/>
      <c r="CM105" s="56"/>
      <c r="CN105" s="56"/>
      <c r="CO105" s="56"/>
      <c r="CP105" s="56"/>
      <c r="CQ105" s="56"/>
      <c r="CR105" s="56"/>
      <c r="CS105" s="56"/>
      <c r="CT105" s="56"/>
      <c r="CU105" s="56"/>
      <c r="CV105" s="56"/>
      <c r="CW105" s="56"/>
      <c r="CX105" s="56"/>
      <c r="CY105" s="56"/>
      <c r="CZ105" s="56"/>
      <c r="DA105" s="56"/>
      <c r="DB105" s="56"/>
      <c r="DC105" s="56"/>
      <c r="DD105" s="56"/>
      <c r="DE105" s="56"/>
      <c r="DF105" s="56"/>
      <c r="DG105" s="56"/>
      <c r="DH105" s="56"/>
      <c r="DI105" s="56"/>
      <c r="DJ105" s="56"/>
      <c r="DK105" s="56"/>
      <c r="DL105" s="56"/>
      <c r="DM105" s="56"/>
      <c r="DN105" s="56"/>
      <c r="DO105" s="56"/>
      <c r="DP105" s="56"/>
      <c r="DQ105" s="56"/>
      <c r="DR105" s="56"/>
      <c r="DS105" s="56"/>
      <c r="DT105" s="56"/>
      <c r="DU105" s="56"/>
      <c r="DV105" s="56"/>
      <c r="DW105" s="56"/>
      <c r="DX105" s="56"/>
      <c r="DY105" s="56"/>
      <c r="DZ105" s="56"/>
      <c r="EA105" s="56"/>
      <c r="EB105" s="56"/>
      <c r="EC105" s="56"/>
      <c r="ED105" s="56"/>
      <c r="EE105" s="56"/>
      <c r="EF105" s="56"/>
      <c r="EG105" s="56"/>
      <c r="EH105" s="56"/>
      <c r="EI105" s="56"/>
      <c r="EJ105" s="56"/>
      <c r="EK105" s="56"/>
    </row>
    <row r="106" spans="1:141" ht="24.75" thickBot="1" x14ac:dyDescent="0.6">
      <c r="A106" s="959" t="s">
        <v>32</v>
      </c>
      <c r="B106" s="885">
        <f>SUM(B105)</f>
        <v>124</v>
      </c>
      <c r="C106" s="931">
        <f>SUM(C105)</f>
        <v>3106</v>
      </c>
      <c r="D106" s="887"/>
      <c r="E106" s="888"/>
      <c r="F106" s="888"/>
      <c r="G106" s="888"/>
      <c r="H106" s="888"/>
      <c r="I106" s="888"/>
      <c r="J106" s="888"/>
      <c r="K106" s="888"/>
      <c r="L106" s="889"/>
      <c r="M106" s="158">
        <f>M105</f>
        <v>16</v>
      </c>
      <c r="N106" s="158">
        <f>N105</f>
        <v>0</v>
      </c>
      <c r="O106" s="160">
        <f>SUM(O104:O105)</f>
        <v>0</v>
      </c>
      <c r="P106" s="160">
        <f>P104+P105</f>
        <v>0</v>
      </c>
      <c r="Q106" s="160">
        <f>Q104+Q105</f>
        <v>0</v>
      </c>
      <c r="R106" s="161">
        <f>R104+R105</f>
        <v>0</v>
      </c>
      <c r="S106" s="161">
        <f>S104+S105</f>
        <v>0</v>
      </c>
      <c r="T106" s="163">
        <f>T104+T105</f>
        <v>0</v>
      </c>
      <c r="U106" s="158">
        <f>U105</f>
        <v>3417</v>
      </c>
      <c r="V106" s="158">
        <f>V105</f>
        <v>0</v>
      </c>
      <c r="W106" s="157">
        <f>SUM(W104:W105)</f>
        <v>0</v>
      </c>
      <c r="X106" s="164"/>
      <c r="Y106" s="164"/>
      <c r="Z106" s="164"/>
      <c r="AA106" s="164"/>
      <c r="AB106" s="164"/>
      <c r="AC106" s="157">
        <f>SUM(AC105)</f>
        <v>1520</v>
      </c>
      <c r="AD106" s="157">
        <f>SUM(AD105)</f>
        <v>0</v>
      </c>
      <c r="AE106" s="166">
        <f>SUM(AE104:AE105)</f>
        <v>0</v>
      </c>
      <c r="AF106" s="166">
        <f>AF104+AF105</f>
        <v>0</v>
      </c>
      <c r="AG106" s="164"/>
      <c r="AH106" s="164"/>
      <c r="AI106" s="164"/>
      <c r="AJ106" s="156"/>
      <c r="AK106" s="165">
        <f>SUM(AK105)</f>
        <v>4937</v>
      </c>
      <c r="AL106" s="165">
        <f>SUM(AL104:AL105)</f>
        <v>0</v>
      </c>
      <c r="AM106" s="166">
        <f>SUM(AM104:AM105)</f>
        <v>0</v>
      </c>
      <c r="AN106" s="166">
        <f>AN104+AN105</f>
        <v>0</v>
      </c>
      <c r="AO106" s="164"/>
      <c r="AP106" s="164"/>
      <c r="AQ106" s="164"/>
      <c r="AR106" s="167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</row>
    <row r="107" spans="1:141" ht="27" thickBot="1" x14ac:dyDescent="0.75">
      <c r="A107" s="960"/>
      <c r="B107" s="886"/>
      <c r="C107" s="932"/>
      <c r="D107" s="890"/>
      <c r="E107" s="891"/>
      <c r="F107" s="891"/>
      <c r="G107" s="891"/>
      <c r="H107" s="891"/>
      <c r="I107" s="891"/>
      <c r="J107" s="891"/>
      <c r="K107" s="891"/>
      <c r="L107" s="892"/>
      <c r="M107" s="895">
        <f>M106+N106</f>
        <v>16</v>
      </c>
      <c r="N107" s="897">
        <f>M106+N106</f>
        <v>16</v>
      </c>
      <c r="O107" s="893">
        <f>+O106+P106+Q106</f>
        <v>0</v>
      </c>
      <c r="P107" s="961"/>
      <c r="Q107" s="894"/>
      <c r="R107" s="898">
        <f>+R106+S106+T106</f>
        <v>0</v>
      </c>
      <c r="S107" s="899"/>
      <c r="T107" s="955"/>
      <c r="U107" s="956">
        <f>U106+V106</f>
        <v>3417</v>
      </c>
      <c r="V107" s="957"/>
      <c r="W107" s="961">
        <f>W106+X106+Y106</f>
        <v>0</v>
      </c>
      <c r="X107" s="961"/>
      <c r="Y107" s="894"/>
      <c r="Z107" s="951">
        <f>Z106+AA106+AB106</f>
        <v>0</v>
      </c>
      <c r="AA107" s="952"/>
      <c r="AB107" s="953"/>
      <c r="AC107" s="911">
        <f>AC106+AD106</f>
        <v>1520</v>
      </c>
      <c r="AD107" s="913">
        <f t="shared" ref="AD107" si="58">ROUND(N107*960,0)</f>
        <v>15360</v>
      </c>
      <c r="AE107" s="909">
        <f>AE106+AF106+AG106</f>
        <v>0</v>
      </c>
      <c r="AF107" s="958"/>
      <c r="AG107" s="910"/>
      <c r="AH107" s="951">
        <f>AH106+AI106+AJ106</f>
        <v>0</v>
      </c>
      <c r="AI107" s="952"/>
      <c r="AJ107" s="953"/>
      <c r="AK107" s="911">
        <f>AK106+AL106</f>
        <v>4937</v>
      </c>
      <c r="AL107" s="912">
        <f t="shared" ref="AL107:AL108" si="59">V107+AD107</f>
        <v>15360</v>
      </c>
      <c r="AM107" s="909">
        <f>AM106+AN106+AO106</f>
        <v>0</v>
      </c>
      <c r="AN107" s="958"/>
      <c r="AO107" s="910"/>
      <c r="AP107" s="951">
        <f>AP106+AQ106+AR106</f>
        <v>0</v>
      </c>
      <c r="AQ107" s="952"/>
      <c r="AR107" s="954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</row>
    <row r="108" spans="1:141" ht="24.75" thickBot="1" x14ac:dyDescent="0.6">
      <c r="A108" s="96" t="s">
        <v>99</v>
      </c>
      <c r="B108" s="94">
        <v>157</v>
      </c>
      <c r="C108" s="95">
        <v>3931</v>
      </c>
      <c r="D108" s="46">
        <v>1</v>
      </c>
      <c r="E108" s="10">
        <f>0</f>
        <v>0</v>
      </c>
      <c r="F108" s="10">
        <v>0</v>
      </c>
      <c r="G108" s="13">
        <v>5</v>
      </c>
      <c r="H108" s="14">
        <f>0</f>
        <v>0</v>
      </c>
      <c r="I108" s="23">
        <f>0</f>
        <v>0</v>
      </c>
      <c r="J108" s="13">
        <v>1.1000000000000001</v>
      </c>
      <c r="K108" s="14">
        <v>2</v>
      </c>
      <c r="L108" s="15">
        <v>1.7</v>
      </c>
      <c r="M108" s="13">
        <f>ROUND(C108*G108/1000,0)</f>
        <v>20</v>
      </c>
      <c r="N108" s="17">
        <f>0</f>
        <v>0</v>
      </c>
      <c r="O108" s="13">
        <f>ROUND(C108*H108/1000,0)</f>
        <v>0</v>
      </c>
      <c r="P108" s="14">
        <v>0</v>
      </c>
      <c r="Q108" s="14"/>
      <c r="R108" s="15"/>
      <c r="S108" s="14"/>
      <c r="T108" s="18"/>
      <c r="U108" s="13">
        <f>ROUND(C108*J108,0)</f>
        <v>4324</v>
      </c>
      <c r="V108" s="17">
        <f>0</f>
        <v>0</v>
      </c>
      <c r="W108" s="13">
        <v>0</v>
      </c>
      <c r="X108" s="14">
        <v>0</v>
      </c>
      <c r="Y108" s="14"/>
      <c r="Z108" s="14"/>
      <c r="AA108" s="15"/>
      <c r="AB108" s="23"/>
      <c r="AC108" s="17">
        <f>ROUND(M108*95,0)</f>
        <v>1900</v>
      </c>
      <c r="AD108" s="17">
        <f t="shared" ref="AD108" si="60">ROUND(N108*95,0)</f>
        <v>0</v>
      </c>
      <c r="AE108" s="13">
        <f>ROUND(O108*960,0)</f>
        <v>0</v>
      </c>
      <c r="AF108" s="14">
        <v>0</v>
      </c>
      <c r="AG108" s="14"/>
      <c r="AH108" s="15"/>
      <c r="AI108" s="14"/>
      <c r="AJ108" s="16"/>
      <c r="AK108" s="100">
        <f>U108+AC108</f>
        <v>6224</v>
      </c>
      <c r="AL108" s="14">
        <f t="shared" si="59"/>
        <v>0</v>
      </c>
      <c r="AM108" s="52">
        <f>W108+AE108</f>
        <v>0</v>
      </c>
      <c r="AN108" s="14">
        <v>0</v>
      </c>
      <c r="AO108" s="14"/>
      <c r="AP108" s="14"/>
      <c r="AQ108" s="14"/>
      <c r="AR108" s="1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  <c r="BN108" s="56"/>
      <c r="BO108" s="56"/>
      <c r="BP108" s="56"/>
      <c r="BQ108" s="56"/>
      <c r="BR108" s="56"/>
      <c r="BS108" s="56"/>
      <c r="BT108" s="56"/>
      <c r="BU108" s="56"/>
      <c r="BV108" s="56"/>
      <c r="BW108" s="56"/>
      <c r="BX108" s="56"/>
      <c r="BY108" s="56"/>
      <c r="BZ108" s="56"/>
      <c r="CA108" s="56"/>
      <c r="CB108" s="56"/>
      <c r="CC108" s="56"/>
      <c r="CD108" s="56"/>
      <c r="CE108" s="56"/>
      <c r="CF108" s="56"/>
      <c r="CG108" s="56"/>
      <c r="CH108" s="56"/>
      <c r="CI108" s="56"/>
      <c r="CJ108" s="56"/>
      <c r="CK108" s="56"/>
      <c r="CL108" s="56"/>
      <c r="CM108" s="56"/>
      <c r="CN108" s="56"/>
      <c r="CO108" s="56"/>
      <c r="CP108" s="56"/>
      <c r="CQ108" s="56"/>
      <c r="CR108" s="56"/>
      <c r="CS108" s="56"/>
      <c r="CT108" s="56"/>
      <c r="CU108" s="56"/>
      <c r="CV108" s="56"/>
      <c r="CW108" s="56"/>
      <c r="CX108" s="56"/>
      <c r="CY108" s="56"/>
      <c r="CZ108" s="56"/>
      <c r="DA108" s="56"/>
      <c r="DB108" s="56"/>
      <c r="DC108" s="56"/>
      <c r="DD108" s="56"/>
      <c r="DE108" s="56"/>
      <c r="DF108" s="56"/>
      <c r="DG108" s="56"/>
      <c r="DH108" s="56"/>
      <c r="DI108" s="56"/>
      <c r="DJ108" s="56"/>
      <c r="DK108" s="56"/>
      <c r="DL108" s="56"/>
      <c r="DM108" s="56"/>
      <c r="DN108" s="56"/>
      <c r="DO108" s="56"/>
      <c r="DP108" s="56"/>
      <c r="DQ108" s="56"/>
      <c r="DR108" s="56"/>
      <c r="DS108" s="56"/>
      <c r="DT108" s="56"/>
      <c r="DU108" s="56"/>
      <c r="DV108" s="56"/>
      <c r="DW108" s="56"/>
      <c r="DX108" s="56"/>
      <c r="DY108" s="56"/>
      <c r="DZ108" s="56"/>
      <c r="EA108" s="56"/>
      <c r="EB108" s="56"/>
      <c r="EC108" s="56"/>
      <c r="ED108" s="56"/>
      <c r="EE108" s="56"/>
      <c r="EF108" s="56"/>
      <c r="EG108" s="56"/>
      <c r="EH108" s="56"/>
      <c r="EI108" s="56"/>
      <c r="EJ108" s="56"/>
      <c r="EK108" s="56"/>
    </row>
    <row r="109" spans="1:141" ht="24.75" thickBot="1" x14ac:dyDescent="0.6">
      <c r="A109" s="959" t="s">
        <v>33</v>
      </c>
      <c r="B109" s="885">
        <f>SUM(B108)</f>
        <v>157</v>
      </c>
      <c r="C109" s="931">
        <f>SUM(C108)</f>
        <v>3931</v>
      </c>
      <c r="D109" s="887"/>
      <c r="E109" s="888"/>
      <c r="F109" s="888"/>
      <c r="G109" s="888"/>
      <c r="H109" s="888"/>
      <c r="I109" s="888"/>
      <c r="J109" s="888"/>
      <c r="K109" s="888"/>
      <c r="L109" s="889"/>
      <c r="M109" s="158">
        <f>M108</f>
        <v>20</v>
      </c>
      <c r="N109" s="158">
        <f>N108</f>
        <v>0</v>
      </c>
      <c r="O109" s="160">
        <f>SUM(O107:O108)</f>
        <v>0</v>
      </c>
      <c r="P109" s="160">
        <f>P107+P108</f>
        <v>0</v>
      </c>
      <c r="Q109" s="160">
        <f>Q107+Q108</f>
        <v>0</v>
      </c>
      <c r="R109" s="161">
        <f>R107+R108</f>
        <v>0</v>
      </c>
      <c r="S109" s="161">
        <f>S107+S108</f>
        <v>0</v>
      </c>
      <c r="T109" s="163">
        <f>T107+T108</f>
        <v>0</v>
      </c>
      <c r="U109" s="158">
        <f>U108</f>
        <v>4324</v>
      </c>
      <c r="V109" s="158">
        <f>V108</f>
        <v>0</v>
      </c>
      <c r="W109" s="157">
        <f>SUM(W107:W108)</f>
        <v>0</v>
      </c>
      <c r="X109" s="164"/>
      <c r="Y109" s="164"/>
      <c r="Z109" s="164"/>
      <c r="AA109" s="164"/>
      <c r="AB109" s="164"/>
      <c r="AC109" s="157">
        <f>SUM(AC108)</f>
        <v>1900</v>
      </c>
      <c r="AD109" s="157">
        <f>SUM(AD108)</f>
        <v>0</v>
      </c>
      <c r="AE109" s="166">
        <f>SUM(AE107:AE108)</f>
        <v>0</v>
      </c>
      <c r="AF109" s="166">
        <f>AF107+AF108</f>
        <v>0</v>
      </c>
      <c r="AG109" s="164"/>
      <c r="AH109" s="164"/>
      <c r="AI109" s="164"/>
      <c r="AJ109" s="156"/>
      <c r="AK109" s="165">
        <f>SUM(AK108)</f>
        <v>6224</v>
      </c>
      <c r="AL109" s="165">
        <f>SUM(AL108)</f>
        <v>0</v>
      </c>
      <c r="AM109" s="166">
        <f>SUM(AM107:AM108)</f>
        <v>0</v>
      </c>
      <c r="AN109" s="166">
        <f>AN107+AN108</f>
        <v>0</v>
      </c>
      <c r="AO109" s="164"/>
      <c r="AP109" s="164"/>
      <c r="AQ109" s="164"/>
      <c r="AR109" s="167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</row>
    <row r="110" spans="1:141" ht="27" thickBot="1" x14ac:dyDescent="0.75">
      <c r="A110" s="960"/>
      <c r="B110" s="886"/>
      <c r="C110" s="932"/>
      <c r="D110" s="890"/>
      <c r="E110" s="891"/>
      <c r="F110" s="891"/>
      <c r="G110" s="891"/>
      <c r="H110" s="891"/>
      <c r="I110" s="891"/>
      <c r="J110" s="891"/>
      <c r="K110" s="891"/>
      <c r="L110" s="892"/>
      <c r="M110" s="895">
        <f>M109+N109</f>
        <v>20</v>
      </c>
      <c r="N110" s="897">
        <f>M109+N109</f>
        <v>20</v>
      </c>
      <c r="O110" s="893">
        <f>+O109+P109+Q109</f>
        <v>0</v>
      </c>
      <c r="P110" s="961"/>
      <c r="Q110" s="894"/>
      <c r="R110" s="898">
        <f>+R109+S109+T109</f>
        <v>0</v>
      </c>
      <c r="S110" s="899"/>
      <c r="T110" s="955"/>
      <c r="U110" s="956">
        <f>U109+V109</f>
        <v>4324</v>
      </c>
      <c r="V110" s="957"/>
      <c r="W110" s="961">
        <f>W109+X109+Y109</f>
        <v>0</v>
      </c>
      <c r="X110" s="961"/>
      <c r="Y110" s="894"/>
      <c r="Z110" s="951">
        <f>Z109+AA109+AB109</f>
        <v>0</v>
      </c>
      <c r="AA110" s="952"/>
      <c r="AB110" s="953"/>
      <c r="AC110" s="911">
        <f>AC109+AD109</f>
        <v>1900</v>
      </c>
      <c r="AD110" s="913">
        <f t="shared" ref="AD110" si="61">ROUND(N110*960,0)</f>
        <v>19200</v>
      </c>
      <c r="AE110" s="909">
        <f>AE109+AF109+AG109</f>
        <v>0</v>
      </c>
      <c r="AF110" s="958"/>
      <c r="AG110" s="910"/>
      <c r="AH110" s="951">
        <f>AH109+AI109+AJ109</f>
        <v>0</v>
      </c>
      <c r="AI110" s="952"/>
      <c r="AJ110" s="953"/>
      <c r="AK110" s="911">
        <f>AK109+AL109</f>
        <v>6224</v>
      </c>
      <c r="AL110" s="912">
        <f t="shared" ref="AL110" si="62">V110+AD110</f>
        <v>19200</v>
      </c>
      <c r="AM110" s="909">
        <f>AM109+AN109+AO109</f>
        <v>0</v>
      </c>
      <c r="AN110" s="958"/>
      <c r="AO110" s="910"/>
      <c r="AP110" s="951">
        <f>AP109+AQ109+AR109</f>
        <v>0</v>
      </c>
      <c r="AQ110" s="952"/>
      <c r="AR110" s="954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</row>
    <row r="111" spans="1:141" x14ac:dyDescent="0.55000000000000004">
      <c r="A111" s="43" t="s">
        <v>100</v>
      </c>
      <c r="B111" s="92">
        <v>78</v>
      </c>
      <c r="C111" s="93">
        <v>1950</v>
      </c>
      <c r="D111" s="46">
        <v>1</v>
      </c>
      <c r="E111" s="10">
        <v>0</v>
      </c>
      <c r="F111" s="10">
        <v>0</v>
      </c>
      <c r="G111" s="9">
        <v>5</v>
      </c>
      <c r="H111" s="10">
        <v>0</v>
      </c>
      <c r="I111" s="11">
        <v>0</v>
      </c>
      <c r="J111" s="9">
        <v>1.1000000000000001</v>
      </c>
      <c r="K111" s="10">
        <v>2</v>
      </c>
      <c r="L111" s="12">
        <v>1.7</v>
      </c>
      <c r="M111" s="13">
        <f>ROUND(C111*G111/1000,0)</f>
        <v>10</v>
      </c>
      <c r="N111" s="17"/>
      <c r="O111" s="14">
        <v>0</v>
      </c>
      <c r="P111" s="14"/>
      <c r="Q111" s="14"/>
      <c r="R111" s="15"/>
      <c r="S111" s="14"/>
      <c r="T111" s="18"/>
      <c r="U111" s="13">
        <f>ROUND(C111*J111,0)</f>
        <v>2145</v>
      </c>
      <c r="V111" s="17"/>
      <c r="W111" s="14">
        <v>0</v>
      </c>
      <c r="X111" s="14"/>
      <c r="Y111" s="14"/>
      <c r="Z111" s="14"/>
      <c r="AA111" s="15"/>
      <c r="AB111" s="23"/>
      <c r="AC111" s="17">
        <f>ROUND(M111*95,0)</f>
        <v>950</v>
      </c>
      <c r="AD111" s="17"/>
      <c r="AE111" s="14">
        <v>0</v>
      </c>
      <c r="AF111" s="14"/>
      <c r="AG111" s="14"/>
      <c r="AH111" s="15"/>
      <c r="AI111" s="14"/>
      <c r="AJ111" s="16"/>
      <c r="AK111" s="100">
        <f>U111+AC111</f>
        <v>3095</v>
      </c>
      <c r="AL111" s="14"/>
      <c r="AM111" s="52">
        <f>W111+AE111</f>
        <v>0</v>
      </c>
      <c r="AN111" s="14"/>
      <c r="AO111" s="14"/>
      <c r="AP111" s="14"/>
      <c r="AQ111" s="14"/>
      <c r="AR111" s="1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  <c r="BN111" s="56"/>
      <c r="BO111" s="56"/>
      <c r="BP111" s="56"/>
      <c r="BQ111" s="56"/>
      <c r="BR111" s="56"/>
      <c r="BS111" s="56"/>
      <c r="BT111" s="56"/>
      <c r="BU111" s="56"/>
      <c r="BV111" s="56"/>
      <c r="BW111" s="56"/>
      <c r="BX111" s="56"/>
      <c r="BY111" s="56"/>
      <c r="BZ111" s="56"/>
      <c r="CA111" s="56"/>
      <c r="CB111" s="56"/>
      <c r="CC111" s="56"/>
      <c r="CD111" s="56"/>
      <c r="CE111" s="56"/>
      <c r="CF111" s="56"/>
      <c r="CG111" s="56"/>
      <c r="CH111" s="56"/>
      <c r="CI111" s="56"/>
      <c r="CJ111" s="56"/>
      <c r="CK111" s="56"/>
      <c r="CL111" s="56"/>
      <c r="CM111" s="56"/>
      <c r="CN111" s="56"/>
      <c r="CO111" s="56"/>
      <c r="CP111" s="56"/>
      <c r="CQ111" s="56"/>
      <c r="CR111" s="56"/>
      <c r="CS111" s="56"/>
      <c r="CT111" s="56"/>
      <c r="CU111" s="56"/>
      <c r="CV111" s="56"/>
      <c r="CW111" s="56"/>
      <c r="CX111" s="56"/>
      <c r="CY111" s="56"/>
      <c r="CZ111" s="56"/>
      <c r="DA111" s="56"/>
      <c r="DB111" s="56"/>
      <c r="DC111" s="56"/>
      <c r="DD111" s="56"/>
      <c r="DE111" s="56"/>
      <c r="DF111" s="56"/>
      <c r="DG111" s="56"/>
      <c r="DH111" s="56"/>
      <c r="DI111" s="56"/>
      <c r="DJ111" s="56"/>
      <c r="DK111" s="56"/>
      <c r="DL111" s="56"/>
      <c r="DM111" s="56"/>
      <c r="DN111" s="56"/>
      <c r="DO111" s="56"/>
      <c r="DP111" s="56"/>
      <c r="DQ111" s="56"/>
      <c r="DR111" s="56"/>
      <c r="DS111" s="56"/>
      <c r="DT111" s="56"/>
      <c r="DU111" s="56"/>
      <c r="DV111" s="56"/>
      <c r="DW111" s="56"/>
      <c r="DX111" s="56"/>
      <c r="DY111" s="56"/>
      <c r="DZ111" s="56"/>
      <c r="EA111" s="56"/>
      <c r="EB111" s="56"/>
      <c r="EC111" s="56"/>
      <c r="ED111" s="56"/>
      <c r="EE111" s="56"/>
      <c r="EF111" s="56"/>
      <c r="EG111" s="56"/>
      <c r="EH111" s="56"/>
      <c r="EI111" s="56"/>
      <c r="EJ111" s="56"/>
      <c r="EK111" s="56"/>
    </row>
    <row r="112" spans="1:141" x14ac:dyDescent="0.55000000000000004">
      <c r="A112" s="43" t="s">
        <v>101</v>
      </c>
      <c r="B112" s="94">
        <v>153</v>
      </c>
      <c r="C112" s="95">
        <v>3835</v>
      </c>
      <c r="D112" s="46">
        <v>1</v>
      </c>
      <c r="E112" s="10">
        <v>0</v>
      </c>
      <c r="F112" s="10">
        <v>0</v>
      </c>
      <c r="G112" s="13">
        <v>5</v>
      </c>
      <c r="H112" s="14">
        <v>0</v>
      </c>
      <c r="I112" s="23">
        <v>0</v>
      </c>
      <c r="J112" s="13">
        <v>1.1000000000000001</v>
      </c>
      <c r="K112" s="14">
        <v>2</v>
      </c>
      <c r="L112" s="15">
        <v>1.7</v>
      </c>
      <c r="M112" s="13">
        <f>ROUND(C112*G112/1000,0)</f>
        <v>19</v>
      </c>
      <c r="N112" s="17"/>
      <c r="O112" s="13">
        <f>ROUND(C112*H112/1000,0)</f>
        <v>0</v>
      </c>
      <c r="P112" s="14"/>
      <c r="Q112" s="14"/>
      <c r="R112" s="15"/>
      <c r="S112" s="14"/>
      <c r="T112" s="18"/>
      <c r="U112" s="13">
        <f>ROUND(C112*J112,0)</f>
        <v>4219</v>
      </c>
      <c r="V112" s="17"/>
      <c r="W112" s="14">
        <v>0</v>
      </c>
      <c r="X112" s="14"/>
      <c r="Y112" s="14"/>
      <c r="Z112" s="14"/>
      <c r="AA112" s="15"/>
      <c r="AB112" s="23"/>
      <c r="AC112" s="17">
        <f>ROUND(M112*95,0)</f>
        <v>1805</v>
      </c>
      <c r="AD112" s="17"/>
      <c r="AE112" s="13">
        <f t="shared" ref="AE112" si="63">ROUND(O112*960,0)</f>
        <v>0</v>
      </c>
      <c r="AF112" s="14"/>
      <c r="AG112" s="14"/>
      <c r="AH112" s="15"/>
      <c r="AI112" s="14"/>
      <c r="AJ112" s="16"/>
      <c r="AK112" s="100">
        <f>U112+AC112</f>
        <v>6024</v>
      </c>
      <c r="AL112" s="14"/>
      <c r="AM112" s="52">
        <f t="shared" ref="AM112:AM113" si="64">W112+AE112</f>
        <v>0</v>
      </c>
      <c r="AN112" s="14"/>
      <c r="AO112" s="14"/>
      <c r="AP112" s="14"/>
      <c r="AQ112" s="14"/>
      <c r="AR112" s="1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/>
      <c r="BQ112" s="56"/>
      <c r="BR112" s="56"/>
      <c r="BS112" s="56"/>
      <c r="BT112" s="56"/>
      <c r="BU112" s="56"/>
      <c r="BV112" s="56"/>
      <c r="BW112" s="56"/>
      <c r="BX112" s="56"/>
      <c r="BY112" s="56"/>
      <c r="BZ112" s="56"/>
      <c r="CA112" s="56"/>
      <c r="CB112" s="56"/>
      <c r="CC112" s="56"/>
      <c r="CD112" s="56"/>
      <c r="CE112" s="56"/>
      <c r="CF112" s="56"/>
      <c r="CG112" s="56"/>
      <c r="CH112" s="56"/>
      <c r="CI112" s="56"/>
      <c r="CJ112" s="56"/>
      <c r="CK112" s="56"/>
      <c r="CL112" s="56"/>
      <c r="CM112" s="56"/>
      <c r="CN112" s="56"/>
      <c r="CO112" s="56"/>
      <c r="CP112" s="56"/>
      <c r="CQ112" s="56"/>
      <c r="CR112" s="56"/>
      <c r="CS112" s="56"/>
      <c r="CT112" s="56"/>
      <c r="CU112" s="56"/>
      <c r="CV112" s="56"/>
      <c r="CW112" s="56"/>
      <c r="CX112" s="56"/>
      <c r="CY112" s="56"/>
      <c r="CZ112" s="56"/>
      <c r="DA112" s="56"/>
      <c r="DB112" s="56"/>
      <c r="DC112" s="56"/>
      <c r="DD112" s="56"/>
      <c r="DE112" s="56"/>
      <c r="DF112" s="56"/>
      <c r="DG112" s="56"/>
      <c r="DH112" s="56"/>
      <c r="DI112" s="56"/>
      <c r="DJ112" s="56"/>
      <c r="DK112" s="56"/>
      <c r="DL112" s="56"/>
      <c r="DM112" s="56"/>
      <c r="DN112" s="56"/>
      <c r="DO112" s="56"/>
      <c r="DP112" s="56"/>
      <c r="DQ112" s="56"/>
      <c r="DR112" s="56"/>
      <c r="DS112" s="56"/>
      <c r="DT112" s="56"/>
      <c r="DU112" s="56"/>
      <c r="DV112" s="56"/>
      <c r="DW112" s="56"/>
      <c r="DX112" s="56"/>
      <c r="DY112" s="56"/>
      <c r="DZ112" s="56"/>
      <c r="EA112" s="56"/>
      <c r="EB112" s="56"/>
      <c r="EC112" s="56"/>
      <c r="ED112" s="56"/>
      <c r="EE112" s="56"/>
      <c r="EF112" s="56"/>
      <c r="EG112" s="56"/>
      <c r="EH112" s="56"/>
      <c r="EI112" s="56"/>
      <c r="EJ112" s="56"/>
      <c r="EK112" s="56"/>
    </row>
    <row r="113" spans="1:141" ht="24.75" thickBot="1" x14ac:dyDescent="0.6">
      <c r="A113" s="43" t="s">
        <v>102</v>
      </c>
      <c r="B113" s="94">
        <v>85</v>
      </c>
      <c r="C113" s="95">
        <v>2119</v>
      </c>
      <c r="D113" s="46">
        <v>0</v>
      </c>
      <c r="E113" s="10">
        <v>1</v>
      </c>
      <c r="F113" s="10">
        <v>0</v>
      </c>
      <c r="G113" s="13">
        <v>0</v>
      </c>
      <c r="H113" s="14">
        <v>15</v>
      </c>
      <c r="I113" s="23">
        <v>0</v>
      </c>
      <c r="J113" s="13">
        <v>1.1000000000000001</v>
      </c>
      <c r="K113" s="14">
        <v>2</v>
      </c>
      <c r="L113" s="15">
        <v>1.7</v>
      </c>
      <c r="M113" s="13">
        <v>0</v>
      </c>
      <c r="N113" s="17"/>
      <c r="O113" s="13">
        <f>ROUND(C113*H113/1000,0)</f>
        <v>32</v>
      </c>
      <c r="P113" s="14"/>
      <c r="Q113" s="14"/>
      <c r="R113" s="15"/>
      <c r="S113" s="14"/>
      <c r="T113" s="18"/>
      <c r="U113" s="13">
        <v>0</v>
      </c>
      <c r="V113" s="17">
        <f>0</f>
        <v>0</v>
      </c>
      <c r="W113" s="13">
        <f>ROUND(C113*K113,0)</f>
        <v>4238</v>
      </c>
      <c r="X113" s="14"/>
      <c r="Y113" s="14"/>
      <c r="Z113" s="14"/>
      <c r="AA113" s="15"/>
      <c r="AB113" s="23"/>
      <c r="AC113" s="17">
        <v>0</v>
      </c>
      <c r="AD113" s="17"/>
      <c r="AE113" s="13">
        <f>ROUND(O113*95,0)</f>
        <v>3040</v>
      </c>
      <c r="AF113" s="14"/>
      <c r="AG113" s="14"/>
      <c r="AH113" s="15"/>
      <c r="AI113" s="14"/>
      <c r="AJ113" s="16"/>
      <c r="AK113" s="100">
        <f t="shared" ref="AK113" si="65">U113+AC113</f>
        <v>0</v>
      </c>
      <c r="AL113" s="14"/>
      <c r="AM113" s="52">
        <f t="shared" si="64"/>
        <v>7278</v>
      </c>
      <c r="AN113" s="14"/>
      <c r="AO113" s="14"/>
      <c r="AP113" s="14"/>
      <c r="AQ113" s="14"/>
      <c r="AR113" s="1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  <c r="BN113" s="56"/>
      <c r="BO113" s="56"/>
      <c r="BP113" s="56"/>
      <c r="BQ113" s="56"/>
      <c r="BR113" s="56"/>
      <c r="BS113" s="56"/>
      <c r="BT113" s="56"/>
      <c r="BU113" s="56"/>
      <c r="BV113" s="56"/>
      <c r="BW113" s="56"/>
      <c r="BX113" s="56"/>
      <c r="BY113" s="56"/>
      <c r="BZ113" s="56"/>
      <c r="CA113" s="56"/>
      <c r="CB113" s="56"/>
      <c r="CC113" s="56"/>
      <c r="CD113" s="56"/>
      <c r="CE113" s="56"/>
      <c r="CF113" s="56"/>
      <c r="CG113" s="56"/>
      <c r="CH113" s="56"/>
      <c r="CI113" s="56"/>
      <c r="CJ113" s="56"/>
      <c r="CK113" s="56"/>
      <c r="CL113" s="56"/>
      <c r="CM113" s="56"/>
      <c r="CN113" s="56"/>
      <c r="CO113" s="56"/>
      <c r="CP113" s="56"/>
      <c r="CQ113" s="56"/>
      <c r="CR113" s="56"/>
      <c r="CS113" s="56"/>
      <c r="CT113" s="56"/>
      <c r="CU113" s="56"/>
      <c r="CV113" s="56"/>
      <c r="CW113" s="56"/>
      <c r="CX113" s="56"/>
      <c r="CY113" s="56"/>
      <c r="CZ113" s="56"/>
      <c r="DA113" s="56"/>
      <c r="DB113" s="56"/>
      <c r="DC113" s="56"/>
      <c r="DD113" s="56"/>
      <c r="DE113" s="56"/>
      <c r="DF113" s="56"/>
      <c r="DG113" s="56"/>
      <c r="DH113" s="56"/>
      <c r="DI113" s="56"/>
      <c r="DJ113" s="56"/>
      <c r="DK113" s="56"/>
      <c r="DL113" s="56"/>
      <c r="DM113" s="56"/>
      <c r="DN113" s="56"/>
      <c r="DO113" s="56"/>
      <c r="DP113" s="56"/>
      <c r="DQ113" s="56"/>
      <c r="DR113" s="56"/>
      <c r="DS113" s="56"/>
      <c r="DT113" s="56"/>
      <c r="DU113" s="56"/>
      <c r="DV113" s="56"/>
      <c r="DW113" s="56"/>
      <c r="DX113" s="56"/>
      <c r="DY113" s="56"/>
      <c r="DZ113" s="56"/>
      <c r="EA113" s="56"/>
      <c r="EB113" s="56"/>
      <c r="EC113" s="56"/>
      <c r="ED113" s="56"/>
      <c r="EE113" s="56"/>
      <c r="EF113" s="56"/>
      <c r="EG113" s="56"/>
      <c r="EH113" s="56"/>
      <c r="EI113" s="56"/>
      <c r="EJ113" s="56"/>
      <c r="EK113" s="56"/>
    </row>
    <row r="114" spans="1:141" ht="24.75" thickBot="1" x14ac:dyDescent="0.6">
      <c r="A114" s="959" t="s">
        <v>36</v>
      </c>
      <c r="B114" s="885">
        <f>SUM(B111:B113)</f>
        <v>316</v>
      </c>
      <c r="C114" s="931">
        <f>SUM(C111:C113)</f>
        <v>7904</v>
      </c>
      <c r="D114" s="887"/>
      <c r="E114" s="888"/>
      <c r="F114" s="888"/>
      <c r="G114" s="888"/>
      <c r="H114" s="888"/>
      <c r="I114" s="888"/>
      <c r="J114" s="888"/>
      <c r="K114" s="888"/>
      <c r="L114" s="889"/>
      <c r="M114" s="158">
        <f>M111+M112+M113</f>
        <v>29</v>
      </c>
      <c r="N114" s="158">
        <f>N113</f>
        <v>0</v>
      </c>
      <c r="O114" s="160">
        <f>SUM(O111:O113)</f>
        <v>32</v>
      </c>
      <c r="P114" s="160">
        <f>P112+P113</f>
        <v>0</v>
      </c>
      <c r="Q114" s="160">
        <f>Q112+Q113</f>
        <v>0</v>
      </c>
      <c r="R114" s="161">
        <f>R112+R113</f>
        <v>0</v>
      </c>
      <c r="S114" s="161">
        <f>S112+S113</f>
        <v>0</v>
      </c>
      <c r="T114" s="163">
        <f>T112+T113</f>
        <v>0</v>
      </c>
      <c r="U114" s="158">
        <f>U113+U112+U111</f>
        <v>6364</v>
      </c>
      <c r="V114" s="158">
        <f>V113+V112+V111</f>
        <v>0</v>
      </c>
      <c r="W114" s="157">
        <f>SUM(W112:W113)</f>
        <v>4238</v>
      </c>
      <c r="X114" s="164"/>
      <c r="Y114" s="164"/>
      <c r="Z114" s="164"/>
      <c r="AA114" s="164"/>
      <c r="AB114" s="164"/>
      <c r="AC114" s="157">
        <f>SUM(AC111:AC113)</f>
        <v>2755</v>
      </c>
      <c r="AD114" s="157">
        <f>SUM(AD111:AD113)</f>
        <v>0</v>
      </c>
      <c r="AE114" s="166">
        <f>SUM(AE111:AE113)</f>
        <v>3040</v>
      </c>
      <c r="AF114" s="166">
        <f>SUM(AF111:AF113)</f>
        <v>0</v>
      </c>
      <c r="AG114" s="164"/>
      <c r="AH114" s="164"/>
      <c r="AI114" s="164"/>
      <c r="AJ114" s="156"/>
      <c r="AK114" s="165">
        <f>SUM(AK111:AK113)</f>
        <v>9119</v>
      </c>
      <c r="AL114" s="165">
        <f>SUM(AL111:AL113)</f>
        <v>0</v>
      </c>
      <c r="AM114" s="166">
        <f>SUM(AM111:AM113)</f>
        <v>7278</v>
      </c>
      <c r="AN114" s="166">
        <f>AN112+AN113</f>
        <v>0</v>
      </c>
      <c r="AO114" s="164"/>
      <c r="AP114" s="164"/>
      <c r="AQ114" s="164"/>
      <c r="AR114" s="167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</row>
    <row r="115" spans="1:141" ht="27" thickBot="1" x14ac:dyDescent="0.75">
      <c r="A115" s="960"/>
      <c r="B115" s="886"/>
      <c r="C115" s="932"/>
      <c r="D115" s="890"/>
      <c r="E115" s="891"/>
      <c r="F115" s="891"/>
      <c r="G115" s="891"/>
      <c r="H115" s="891"/>
      <c r="I115" s="891"/>
      <c r="J115" s="891"/>
      <c r="K115" s="891"/>
      <c r="L115" s="892"/>
      <c r="M115" s="895">
        <f>M114+N114</f>
        <v>29</v>
      </c>
      <c r="N115" s="897">
        <f>M114+N114</f>
        <v>29</v>
      </c>
      <c r="O115" s="895">
        <f>+O114+P114+Q114</f>
        <v>32</v>
      </c>
      <c r="P115" s="896"/>
      <c r="Q115" s="897"/>
      <c r="R115" s="898">
        <f>+R114+S114+T114</f>
        <v>0</v>
      </c>
      <c r="S115" s="899"/>
      <c r="T115" s="955"/>
      <c r="U115" s="956">
        <f>U114+V114</f>
        <v>6364</v>
      </c>
      <c r="V115" s="957"/>
      <c r="W115" s="961">
        <f>W114+X114+Y114</f>
        <v>4238</v>
      </c>
      <c r="X115" s="961"/>
      <c r="Y115" s="894"/>
      <c r="Z115" s="951">
        <f>Z114+AA114+AB114</f>
        <v>0</v>
      </c>
      <c r="AA115" s="952"/>
      <c r="AB115" s="953"/>
      <c r="AC115" s="911">
        <f>AC114+AD114</f>
        <v>2755</v>
      </c>
      <c r="AD115" s="913">
        <f t="shared" ref="AD115" si="66">ROUND(N115*960,0)</f>
        <v>27840</v>
      </c>
      <c r="AE115" s="911">
        <f>AE114+AF114+AG114</f>
        <v>3040</v>
      </c>
      <c r="AF115" s="912"/>
      <c r="AG115" s="913"/>
      <c r="AH115" s="951">
        <f>AH114+AI114+AJ114</f>
        <v>0</v>
      </c>
      <c r="AI115" s="952"/>
      <c r="AJ115" s="953"/>
      <c r="AK115" s="911">
        <f>AK114+AL114</f>
        <v>9119</v>
      </c>
      <c r="AL115" s="912">
        <f t="shared" ref="AL115" si="67">V115+AD115</f>
        <v>27840</v>
      </c>
      <c r="AM115" s="911">
        <f>AM114+AN114+AO114</f>
        <v>7278</v>
      </c>
      <c r="AN115" s="912"/>
      <c r="AO115" s="913"/>
      <c r="AP115" s="951">
        <f>AP114+AQ114+AR114</f>
        <v>0</v>
      </c>
      <c r="AQ115" s="952"/>
      <c r="AR115" s="954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</row>
    <row r="116" spans="1:141" s="180" customFormat="1" ht="39.950000000000003" customHeight="1" thickBot="1" x14ac:dyDescent="0.6">
      <c r="A116" s="922" t="s">
        <v>103</v>
      </c>
      <c r="B116" s="923"/>
      <c r="C116" s="923"/>
      <c r="D116" s="923"/>
      <c r="E116" s="923"/>
      <c r="F116" s="923"/>
      <c r="G116" s="923"/>
      <c r="H116" s="923"/>
      <c r="I116" s="923"/>
      <c r="J116" s="923"/>
      <c r="K116" s="923"/>
      <c r="L116" s="923"/>
      <c r="M116" s="923"/>
      <c r="N116" s="923"/>
      <c r="O116" s="923"/>
      <c r="P116" s="923"/>
      <c r="Q116" s="923"/>
      <c r="R116" s="923"/>
      <c r="S116" s="923"/>
      <c r="T116" s="923"/>
      <c r="U116" s="923"/>
      <c r="V116" s="923"/>
      <c r="W116" s="923"/>
      <c r="X116" s="923"/>
      <c r="Y116" s="923"/>
      <c r="Z116" s="923"/>
      <c r="AA116" s="923"/>
      <c r="AB116" s="923"/>
      <c r="AC116" s="923"/>
      <c r="AD116" s="923"/>
      <c r="AE116" s="923"/>
      <c r="AF116" s="923"/>
      <c r="AG116" s="923"/>
      <c r="AH116" s="923"/>
      <c r="AI116" s="923"/>
      <c r="AJ116" s="923"/>
      <c r="AK116" s="923"/>
      <c r="AL116" s="923"/>
      <c r="AM116" s="923"/>
      <c r="AN116" s="923"/>
      <c r="AO116" s="923"/>
      <c r="AP116" s="923"/>
      <c r="AQ116" s="923"/>
      <c r="AR116" s="924"/>
      <c r="AS116" s="176"/>
      <c r="AT116" s="176"/>
      <c r="AU116" s="176"/>
      <c r="AV116" s="176"/>
      <c r="AW116" s="176"/>
      <c r="AX116" s="176"/>
      <c r="AY116" s="176"/>
      <c r="AZ116" s="176"/>
      <c r="BA116" s="176"/>
      <c r="BB116" s="176"/>
      <c r="BC116" s="176"/>
      <c r="BD116" s="176"/>
      <c r="BE116" s="176"/>
      <c r="BF116" s="176"/>
      <c r="BG116" s="176"/>
      <c r="BH116" s="176"/>
      <c r="BI116" s="176"/>
      <c r="BJ116" s="176"/>
      <c r="BK116" s="176"/>
      <c r="BL116" s="176"/>
      <c r="BM116" s="176"/>
      <c r="BN116" s="176"/>
      <c r="BO116" s="176"/>
      <c r="BP116" s="176"/>
      <c r="BQ116" s="176"/>
      <c r="BR116" s="176"/>
      <c r="BS116" s="176"/>
      <c r="BT116" s="176"/>
      <c r="BU116" s="176"/>
      <c r="BV116" s="176"/>
      <c r="BW116" s="176"/>
      <c r="BX116" s="176"/>
      <c r="BY116" s="176"/>
      <c r="BZ116" s="176"/>
      <c r="CA116" s="176"/>
      <c r="CB116" s="176"/>
      <c r="CC116" s="176"/>
      <c r="CD116" s="176"/>
      <c r="CE116" s="176"/>
      <c r="CF116" s="176"/>
      <c r="CG116" s="176"/>
      <c r="CH116" s="176"/>
      <c r="CI116" s="176"/>
      <c r="CJ116" s="176"/>
      <c r="CK116" s="176"/>
      <c r="CL116" s="176"/>
      <c r="CM116" s="176"/>
      <c r="CN116" s="176"/>
      <c r="CO116" s="176"/>
      <c r="CP116" s="176"/>
      <c r="CQ116" s="176"/>
      <c r="CR116" s="176"/>
      <c r="CS116" s="176"/>
      <c r="CT116" s="176"/>
      <c r="CU116" s="176"/>
      <c r="CV116" s="176"/>
      <c r="CW116" s="176"/>
      <c r="CX116" s="176"/>
      <c r="CY116" s="176"/>
      <c r="CZ116" s="176"/>
      <c r="DA116" s="176"/>
      <c r="DB116" s="176"/>
      <c r="DC116" s="176"/>
      <c r="DD116" s="176"/>
      <c r="DE116" s="176"/>
      <c r="DF116" s="176"/>
      <c r="DG116" s="176"/>
      <c r="DH116" s="176"/>
      <c r="DI116" s="176"/>
      <c r="DJ116" s="176"/>
      <c r="DK116" s="176"/>
      <c r="DL116" s="176"/>
      <c r="DM116" s="176"/>
      <c r="DN116" s="176"/>
      <c r="DO116" s="176"/>
      <c r="DP116" s="176"/>
      <c r="DQ116" s="176"/>
      <c r="DR116" s="176"/>
      <c r="DS116" s="176"/>
      <c r="DT116" s="176"/>
      <c r="DU116" s="176"/>
      <c r="DV116" s="176"/>
      <c r="DW116" s="176"/>
      <c r="DX116" s="176"/>
      <c r="DY116" s="176"/>
      <c r="DZ116" s="176"/>
      <c r="EA116" s="176"/>
      <c r="EB116" s="176"/>
      <c r="EC116" s="176"/>
      <c r="ED116" s="176"/>
      <c r="EE116" s="176"/>
      <c r="EF116" s="176"/>
      <c r="EG116" s="176"/>
      <c r="EH116" s="176"/>
      <c r="EI116" s="176"/>
      <c r="EJ116" s="176"/>
      <c r="EK116" s="176"/>
    </row>
    <row r="117" spans="1:141" s="68" customFormat="1" ht="39.950000000000003" customHeight="1" thickBot="1" x14ac:dyDescent="0.6">
      <c r="A117" s="880" t="s">
        <v>104</v>
      </c>
      <c r="B117" s="881"/>
      <c r="C117" s="881"/>
      <c r="D117" s="881"/>
      <c r="E117" s="881"/>
      <c r="F117" s="881"/>
      <c r="G117" s="881"/>
      <c r="H117" s="881"/>
      <c r="I117" s="881"/>
      <c r="J117" s="881"/>
      <c r="K117" s="881"/>
      <c r="L117" s="881"/>
      <c r="M117" s="881"/>
      <c r="N117" s="881"/>
      <c r="O117" s="881"/>
      <c r="P117" s="881"/>
      <c r="Q117" s="881"/>
      <c r="R117" s="881"/>
      <c r="S117" s="881"/>
      <c r="T117" s="881"/>
      <c r="U117" s="881"/>
      <c r="V117" s="881"/>
      <c r="W117" s="881"/>
      <c r="X117" s="881"/>
      <c r="Y117" s="881"/>
      <c r="Z117" s="881"/>
      <c r="AA117" s="881"/>
      <c r="AB117" s="881"/>
      <c r="AC117" s="881"/>
      <c r="AD117" s="881"/>
      <c r="AE117" s="881"/>
      <c r="AF117" s="881"/>
      <c r="AG117" s="881"/>
      <c r="AH117" s="881"/>
      <c r="AI117" s="881"/>
      <c r="AJ117" s="881"/>
      <c r="AK117" s="881"/>
      <c r="AL117" s="881"/>
      <c r="AM117" s="881"/>
      <c r="AN117" s="881"/>
      <c r="AO117" s="881"/>
      <c r="AP117" s="881"/>
      <c r="AQ117" s="881"/>
      <c r="AR117" s="882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  <c r="BM117" s="69"/>
      <c r="BN117" s="69"/>
      <c r="BO117" s="69"/>
      <c r="BP117" s="69"/>
      <c r="BQ117" s="69"/>
      <c r="BR117" s="69"/>
      <c r="BS117" s="69"/>
      <c r="BT117" s="69"/>
      <c r="BU117" s="69"/>
      <c r="BV117" s="69"/>
      <c r="BW117" s="69"/>
      <c r="BX117" s="69"/>
      <c r="BY117" s="69"/>
      <c r="BZ117" s="69"/>
      <c r="CA117" s="69"/>
      <c r="CB117" s="69"/>
      <c r="CC117" s="69"/>
      <c r="CD117" s="69"/>
      <c r="CE117" s="69"/>
      <c r="CF117" s="69"/>
      <c r="CG117" s="69"/>
      <c r="CH117" s="69"/>
      <c r="CI117" s="69"/>
      <c r="CJ117" s="69"/>
      <c r="CK117" s="69"/>
      <c r="CL117" s="69"/>
      <c r="CM117" s="69"/>
      <c r="CN117" s="69"/>
      <c r="CO117" s="69"/>
      <c r="CP117" s="69"/>
      <c r="CQ117" s="69"/>
      <c r="CR117" s="69"/>
      <c r="CS117" s="69"/>
      <c r="CT117" s="69"/>
      <c r="CU117" s="69"/>
      <c r="CV117" s="69"/>
      <c r="CW117" s="69"/>
      <c r="CX117" s="69"/>
      <c r="CY117" s="69"/>
      <c r="CZ117" s="69"/>
      <c r="DA117" s="69"/>
      <c r="DB117" s="69"/>
      <c r="DC117" s="69"/>
      <c r="DD117" s="69"/>
      <c r="DE117" s="69"/>
      <c r="DF117" s="69"/>
      <c r="DG117" s="69"/>
      <c r="DH117" s="69"/>
      <c r="DI117" s="69"/>
      <c r="DJ117" s="69"/>
      <c r="DK117" s="69"/>
      <c r="DL117" s="69"/>
      <c r="DM117" s="69"/>
      <c r="DN117" s="69"/>
      <c r="DO117" s="69"/>
      <c r="DP117" s="69"/>
      <c r="DQ117" s="69"/>
      <c r="DR117" s="69"/>
      <c r="DS117" s="69"/>
      <c r="DT117" s="69"/>
      <c r="DU117" s="69"/>
      <c r="DV117" s="69"/>
      <c r="DW117" s="69"/>
      <c r="DX117" s="69"/>
      <c r="DY117" s="69"/>
      <c r="DZ117" s="69"/>
      <c r="EA117" s="69"/>
      <c r="EB117" s="69"/>
      <c r="EC117" s="69"/>
      <c r="ED117" s="69"/>
      <c r="EE117" s="69"/>
      <c r="EF117" s="69"/>
      <c r="EG117" s="69"/>
      <c r="EH117" s="69"/>
      <c r="EI117" s="69"/>
      <c r="EJ117" s="69"/>
      <c r="EK117" s="69"/>
    </row>
    <row r="118" spans="1:141" x14ac:dyDescent="0.55000000000000004">
      <c r="A118" s="99" t="s">
        <v>105</v>
      </c>
      <c r="B118" s="92">
        <v>100</v>
      </c>
      <c r="C118" s="93">
        <v>2495</v>
      </c>
      <c r="D118" s="46">
        <v>1</v>
      </c>
      <c r="E118" s="10">
        <v>1</v>
      </c>
      <c r="F118" s="154">
        <v>0</v>
      </c>
      <c r="G118" s="46">
        <v>5</v>
      </c>
      <c r="H118" s="10">
        <v>15</v>
      </c>
      <c r="I118" s="154">
        <f>0</f>
        <v>0</v>
      </c>
      <c r="J118" s="46">
        <v>1.1000000000000001</v>
      </c>
      <c r="K118" s="10">
        <v>2</v>
      </c>
      <c r="L118" s="154">
        <v>1.7</v>
      </c>
      <c r="M118" s="17">
        <f>ROUND(C118*G118/1000,0)</f>
        <v>12</v>
      </c>
      <c r="N118" s="17"/>
      <c r="O118" s="13">
        <f>ROUND(C118*H118/1000,0)</f>
        <v>37</v>
      </c>
      <c r="P118" s="14"/>
      <c r="Q118" s="14"/>
      <c r="R118" s="15"/>
      <c r="S118" s="153"/>
      <c r="T118" s="187"/>
      <c r="U118" s="17">
        <f>ROUND(C118*J118,0)</f>
        <v>2745</v>
      </c>
      <c r="V118" s="154"/>
      <c r="W118" s="17">
        <f>ROUND(C118*K118,0)</f>
        <v>4990</v>
      </c>
      <c r="X118" s="14"/>
      <c r="Y118" s="14"/>
      <c r="Z118" s="14"/>
      <c r="AA118" s="15"/>
      <c r="AB118" s="154"/>
      <c r="AC118" s="17">
        <f>ROUND(M118*95,0)</f>
        <v>1140</v>
      </c>
      <c r="AD118" s="17"/>
      <c r="AE118" s="13">
        <f>ROUND(O118*95,0)</f>
        <v>3515</v>
      </c>
      <c r="AF118" s="14"/>
      <c r="AG118" s="14"/>
      <c r="AH118" s="15"/>
      <c r="AI118" s="14"/>
      <c r="AJ118" s="16"/>
      <c r="AK118" s="100">
        <f>U118+AC118</f>
        <v>3885</v>
      </c>
      <c r="AL118" s="14"/>
      <c r="AM118" s="52">
        <f>W118+AE118</f>
        <v>8505</v>
      </c>
      <c r="AN118" s="14"/>
      <c r="AO118" s="14"/>
      <c r="AP118" s="14"/>
      <c r="AQ118" s="14"/>
      <c r="AR118" s="1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  <c r="BN118" s="56"/>
      <c r="BO118" s="56"/>
      <c r="BP118" s="56"/>
      <c r="BQ118" s="56"/>
      <c r="BR118" s="56"/>
      <c r="BS118" s="56"/>
      <c r="BT118" s="56"/>
      <c r="BU118" s="56"/>
      <c r="BV118" s="56"/>
      <c r="BW118" s="56"/>
      <c r="BX118" s="56"/>
      <c r="BY118" s="56"/>
      <c r="BZ118" s="56"/>
      <c r="CA118" s="56"/>
      <c r="CB118" s="56"/>
      <c r="CC118" s="56"/>
      <c r="CD118" s="56"/>
      <c r="CE118" s="56"/>
      <c r="CF118" s="56"/>
      <c r="CG118" s="56"/>
      <c r="CH118" s="56"/>
      <c r="CI118" s="56"/>
      <c r="CJ118" s="56"/>
      <c r="CK118" s="56"/>
      <c r="CL118" s="56"/>
      <c r="CM118" s="56"/>
      <c r="CN118" s="56"/>
      <c r="CO118" s="56"/>
      <c r="CP118" s="56"/>
      <c r="CQ118" s="56"/>
      <c r="CR118" s="56"/>
      <c r="CS118" s="56"/>
      <c r="CT118" s="56"/>
      <c r="CU118" s="56"/>
      <c r="CV118" s="56"/>
      <c r="CW118" s="56"/>
      <c r="CX118" s="56"/>
      <c r="CY118" s="56"/>
      <c r="CZ118" s="56"/>
      <c r="DA118" s="56"/>
      <c r="DB118" s="56"/>
      <c r="DC118" s="56"/>
      <c r="DD118" s="56"/>
      <c r="DE118" s="56"/>
      <c r="DF118" s="56"/>
      <c r="DG118" s="56"/>
      <c r="DH118" s="56"/>
      <c r="DI118" s="56"/>
      <c r="DJ118" s="56"/>
      <c r="DK118" s="56"/>
      <c r="DL118" s="56"/>
      <c r="DM118" s="56"/>
      <c r="DN118" s="56"/>
      <c r="DO118" s="56"/>
      <c r="DP118" s="56"/>
      <c r="DQ118" s="56"/>
      <c r="DR118" s="56"/>
      <c r="DS118" s="56"/>
      <c r="DT118" s="56"/>
      <c r="DU118" s="56"/>
      <c r="DV118" s="56"/>
      <c r="DW118" s="56"/>
      <c r="DX118" s="56"/>
      <c r="DY118" s="56"/>
      <c r="DZ118" s="56"/>
      <c r="EA118" s="56"/>
      <c r="EB118" s="56"/>
      <c r="EC118" s="56"/>
      <c r="ED118" s="56"/>
      <c r="EE118" s="56"/>
      <c r="EF118" s="56"/>
      <c r="EG118" s="56"/>
      <c r="EH118" s="56"/>
      <c r="EI118" s="56"/>
      <c r="EJ118" s="56"/>
      <c r="EK118" s="56"/>
    </row>
    <row r="119" spans="1:141" ht="24.75" thickBot="1" x14ac:dyDescent="0.6">
      <c r="A119" s="185" t="s">
        <v>106</v>
      </c>
      <c r="B119" s="80">
        <v>12</v>
      </c>
      <c r="C119" s="81">
        <v>300</v>
      </c>
      <c r="D119" s="146">
        <v>1</v>
      </c>
      <c r="E119" s="145">
        <v>1</v>
      </c>
      <c r="F119" s="147">
        <v>0</v>
      </c>
      <c r="G119" s="144">
        <v>5</v>
      </c>
      <c r="H119" s="145">
        <v>15</v>
      </c>
      <c r="I119" s="147">
        <f>0</f>
        <v>0</v>
      </c>
      <c r="J119" s="144">
        <v>1.1000000000000001</v>
      </c>
      <c r="K119" s="145">
        <v>2</v>
      </c>
      <c r="L119" s="147">
        <v>1.7</v>
      </c>
      <c r="M119" s="46">
        <f>ROUND(C119*G119/1000,0)</f>
        <v>2</v>
      </c>
      <c r="N119" s="46"/>
      <c r="O119" s="46">
        <f>ROUND(C119*H119/1000,0)</f>
        <v>5</v>
      </c>
      <c r="P119" s="10"/>
      <c r="Q119" s="10"/>
      <c r="R119" s="12"/>
      <c r="S119" s="189"/>
      <c r="T119" s="47"/>
      <c r="U119" s="46">
        <f>ROUND(C119*J119,0)</f>
        <v>330</v>
      </c>
      <c r="V119" s="11"/>
      <c r="W119" s="41">
        <f>ROUND(C119*K119,0)</f>
        <v>600</v>
      </c>
      <c r="X119" s="37"/>
      <c r="Y119" s="37"/>
      <c r="Z119" s="37"/>
      <c r="AA119" s="39"/>
      <c r="AB119" s="174"/>
      <c r="AC119" s="41">
        <f>ROUND(M119*95,0)</f>
        <v>190</v>
      </c>
      <c r="AD119" s="41"/>
      <c r="AE119" s="41">
        <f>ROUND(O119*95,0)</f>
        <v>475</v>
      </c>
      <c r="AF119" s="37"/>
      <c r="AG119" s="37"/>
      <c r="AH119" s="39"/>
      <c r="AI119" s="37"/>
      <c r="AJ119" s="40"/>
      <c r="AK119" s="106">
        <f>U119+AC119</f>
        <v>520</v>
      </c>
      <c r="AL119" s="145"/>
      <c r="AM119" s="186">
        <f>W119+AE119</f>
        <v>1075</v>
      </c>
      <c r="AN119" s="37"/>
      <c r="AO119" s="37"/>
      <c r="AP119" s="37"/>
      <c r="AQ119" s="37"/>
      <c r="AR119" s="40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  <c r="BN119" s="56"/>
      <c r="BO119" s="56"/>
      <c r="BP119" s="56"/>
      <c r="BQ119" s="56"/>
      <c r="BR119" s="56"/>
      <c r="BS119" s="56"/>
      <c r="BT119" s="56"/>
      <c r="BU119" s="56"/>
      <c r="BV119" s="56"/>
      <c r="BW119" s="56"/>
      <c r="BX119" s="56"/>
      <c r="BY119" s="56"/>
      <c r="BZ119" s="56"/>
      <c r="CA119" s="56"/>
      <c r="CB119" s="56"/>
      <c r="CC119" s="56"/>
      <c r="CD119" s="56"/>
      <c r="CE119" s="56"/>
      <c r="CF119" s="56"/>
      <c r="CG119" s="56"/>
      <c r="CH119" s="56"/>
      <c r="CI119" s="56"/>
      <c r="CJ119" s="56"/>
      <c r="CK119" s="56"/>
      <c r="CL119" s="56"/>
      <c r="CM119" s="56"/>
      <c r="CN119" s="56"/>
      <c r="CO119" s="56"/>
      <c r="CP119" s="56"/>
      <c r="CQ119" s="56"/>
      <c r="CR119" s="56"/>
      <c r="CS119" s="56"/>
      <c r="CT119" s="56"/>
      <c r="CU119" s="56"/>
      <c r="CV119" s="56"/>
      <c r="CW119" s="56"/>
      <c r="CX119" s="56"/>
      <c r="CY119" s="56"/>
      <c r="CZ119" s="56"/>
      <c r="DA119" s="56"/>
      <c r="DB119" s="56"/>
      <c r="DC119" s="56"/>
      <c r="DD119" s="56"/>
      <c r="DE119" s="56"/>
      <c r="DF119" s="56"/>
      <c r="DG119" s="56"/>
      <c r="DH119" s="56"/>
      <c r="DI119" s="56"/>
      <c r="DJ119" s="56"/>
      <c r="DK119" s="56"/>
      <c r="DL119" s="56"/>
      <c r="DM119" s="56"/>
      <c r="DN119" s="56"/>
      <c r="DO119" s="56"/>
      <c r="DP119" s="56"/>
      <c r="DQ119" s="56"/>
      <c r="DR119" s="56"/>
      <c r="DS119" s="56"/>
      <c r="DT119" s="56"/>
      <c r="DU119" s="56"/>
      <c r="DV119" s="56"/>
      <c r="DW119" s="56"/>
      <c r="DX119" s="56"/>
      <c r="DY119" s="56"/>
      <c r="DZ119" s="56"/>
      <c r="EA119" s="56"/>
      <c r="EB119" s="56"/>
      <c r="EC119" s="56"/>
      <c r="ED119" s="56"/>
      <c r="EE119" s="56"/>
      <c r="EF119" s="56"/>
      <c r="EG119" s="56"/>
      <c r="EH119" s="56"/>
      <c r="EI119" s="56"/>
      <c r="EJ119" s="56"/>
      <c r="EK119" s="56"/>
    </row>
    <row r="120" spans="1:141" ht="24.75" thickBot="1" x14ac:dyDescent="0.6">
      <c r="A120" s="883" t="s">
        <v>134</v>
      </c>
      <c r="B120" s="885">
        <f>SUM(B118:B119)</f>
        <v>112</v>
      </c>
      <c r="C120" s="931">
        <f>SUM(C118:C119)</f>
        <v>2795</v>
      </c>
      <c r="D120" s="887"/>
      <c r="E120" s="888"/>
      <c r="F120" s="888"/>
      <c r="G120" s="888"/>
      <c r="H120" s="888"/>
      <c r="I120" s="888"/>
      <c r="J120" s="888"/>
      <c r="K120" s="888"/>
      <c r="L120" s="889"/>
      <c r="M120" s="158">
        <f>M116+M117+M118</f>
        <v>12</v>
      </c>
      <c r="N120" s="158">
        <f>N118</f>
        <v>0</v>
      </c>
      <c r="O120" s="160">
        <f>SUM(O118:O119)</f>
        <v>42</v>
      </c>
      <c r="P120" s="160">
        <f>P117+P118</f>
        <v>0</v>
      </c>
      <c r="Q120" s="160">
        <f>Q117+Q118</f>
        <v>0</v>
      </c>
      <c r="R120" s="161">
        <f>R117+R118</f>
        <v>0</v>
      </c>
      <c r="S120" s="161">
        <f>S117+S118</f>
        <v>0</v>
      </c>
      <c r="T120" s="163">
        <f>T117+T118</f>
        <v>0</v>
      </c>
      <c r="U120" s="158">
        <f>U118+U119</f>
        <v>3075</v>
      </c>
      <c r="V120" s="188">
        <f>V118+V117+V116</f>
        <v>0</v>
      </c>
      <c r="W120" s="157">
        <f>SUM(W118:W119)</f>
        <v>5590</v>
      </c>
      <c r="X120" s="164"/>
      <c r="Y120" s="164"/>
      <c r="Z120" s="164"/>
      <c r="AA120" s="164"/>
      <c r="AB120" s="164"/>
      <c r="AC120" s="157">
        <f>SUM(AC118:AC119)</f>
        <v>1330</v>
      </c>
      <c r="AD120" s="157">
        <f>SUM(AD116:AD118)</f>
        <v>0</v>
      </c>
      <c r="AE120" s="166">
        <f>SUM(AE118:AE119)</f>
        <v>3990</v>
      </c>
      <c r="AF120" s="166">
        <f>SUM(AF116:AF118)</f>
        <v>0</v>
      </c>
      <c r="AG120" s="164"/>
      <c r="AH120" s="164"/>
      <c r="AI120" s="164"/>
      <c r="AJ120" s="156"/>
      <c r="AK120" s="165">
        <f>SUM(AK118:AK119)</f>
        <v>4405</v>
      </c>
      <c r="AL120" s="165">
        <f>SUM(AL116:AL118)</f>
        <v>0</v>
      </c>
      <c r="AM120" s="166">
        <f>SUM(AM118:AM119)</f>
        <v>9580</v>
      </c>
      <c r="AN120" s="166">
        <f>AN117+AN118</f>
        <v>0</v>
      </c>
      <c r="AO120" s="164"/>
      <c r="AP120" s="164"/>
      <c r="AQ120" s="164"/>
      <c r="AR120" s="167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</row>
    <row r="121" spans="1:141" ht="27" thickBot="1" x14ac:dyDescent="0.75">
      <c r="A121" s="884"/>
      <c r="B121" s="886"/>
      <c r="C121" s="932"/>
      <c r="D121" s="890"/>
      <c r="E121" s="891"/>
      <c r="F121" s="891"/>
      <c r="G121" s="891"/>
      <c r="H121" s="891"/>
      <c r="I121" s="891"/>
      <c r="J121" s="891"/>
      <c r="K121" s="891"/>
      <c r="L121" s="892"/>
      <c r="M121" s="895">
        <f>M120+N120</f>
        <v>12</v>
      </c>
      <c r="N121" s="897">
        <f>M120+N120</f>
        <v>12</v>
      </c>
      <c r="O121" s="895">
        <f>+O120+P120+Q120</f>
        <v>42</v>
      </c>
      <c r="P121" s="896"/>
      <c r="Q121" s="897"/>
      <c r="R121" s="898">
        <f>+R120+S120+T120</f>
        <v>0</v>
      </c>
      <c r="S121" s="899"/>
      <c r="T121" s="955"/>
      <c r="U121" s="956">
        <f>U120+V120</f>
        <v>3075</v>
      </c>
      <c r="V121" s="957"/>
      <c r="W121" s="896">
        <f>W120+X120+Y120</f>
        <v>5590</v>
      </c>
      <c r="X121" s="896"/>
      <c r="Y121" s="897"/>
      <c r="Z121" s="951">
        <f>Z120+AA120+AB120</f>
        <v>0</v>
      </c>
      <c r="AA121" s="952"/>
      <c r="AB121" s="953"/>
      <c r="AC121" s="911">
        <f>AC120+AD120</f>
        <v>1330</v>
      </c>
      <c r="AD121" s="913">
        <f t="shared" ref="AD121" si="68">ROUND(N121*960,0)</f>
        <v>11520</v>
      </c>
      <c r="AE121" s="911">
        <f>AE120+AF120+AG120</f>
        <v>3990</v>
      </c>
      <c r="AF121" s="912"/>
      <c r="AG121" s="913"/>
      <c r="AH121" s="951">
        <f>AH120+AI120+AJ120</f>
        <v>0</v>
      </c>
      <c r="AI121" s="952"/>
      <c r="AJ121" s="953"/>
      <c r="AK121" s="911">
        <f>AK120+AL120</f>
        <v>4405</v>
      </c>
      <c r="AL121" s="912">
        <f t="shared" ref="AL121" si="69">V121+AD121</f>
        <v>11520</v>
      </c>
      <c r="AM121" s="911">
        <f>AM120+AN120+AO120</f>
        <v>9580</v>
      </c>
      <c r="AN121" s="912"/>
      <c r="AO121" s="913"/>
      <c r="AP121" s="951">
        <f>AP120+AQ120+AR120</f>
        <v>0</v>
      </c>
      <c r="AQ121" s="952"/>
      <c r="AR121" s="954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</row>
    <row r="122" spans="1:141" ht="24.75" customHeight="1" x14ac:dyDescent="0.55000000000000004">
      <c r="A122" s="96" t="s">
        <v>107</v>
      </c>
      <c r="B122" s="94">
        <v>172</v>
      </c>
      <c r="C122" s="95">
        <v>4308</v>
      </c>
      <c r="D122" s="17">
        <v>1</v>
      </c>
      <c r="E122" s="14">
        <v>1</v>
      </c>
      <c r="F122" s="14">
        <v>0</v>
      </c>
      <c r="G122" s="13">
        <v>5</v>
      </c>
      <c r="H122" s="14">
        <v>15</v>
      </c>
      <c r="I122" s="23">
        <f>0</f>
        <v>0</v>
      </c>
      <c r="J122" s="13">
        <v>1.1000000000000001</v>
      </c>
      <c r="K122" s="14">
        <v>2</v>
      </c>
      <c r="L122" s="15">
        <v>1.7</v>
      </c>
      <c r="M122" s="13">
        <f>ROUND(C122*G122/1000,0)</f>
        <v>22</v>
      </c>
      <c r="N122" s="17"/>
      <c r="O122" s="13">
        <f>ROUND(C122*H122/1000,0)</f>
        <v>65</v>
      </c>
      <c r="P122" s="14"/>
      <c r="Q122" s="14"/>
      <c r="R122" s="15"/>
      <c r="S122" s="14"/>
      <c r="T122" s="18"/>
      <c r="U122" s="13">
        <f>ROUND(C122*J122,0)</f>
        <v>4739</v>
      </c>
      <c r="V122" s="17"/>
      <c r="W122" s="13">
        <f>ROUND(C122*K122,0)</f>
        <v>8616</v>
      </c>
      <c r="X122" s="14"/>
      <c r="Y122" s="14"/>
      <c r="Z122" s="14"/>
      <c r="AA122" s="15"/>
      <c r="AB122" s="23"/>
      <c r="AC122" s="17">
        <f>ROUND(M122*95,0)</f>
        <v>2090</v>
      </c>
      <c r="AD122" s="17"/>
      <c r="AE122" s="13">
        <f>ROUND(O122*95,0)</f>
        <v>6175</v>
      </c>
      <c r="AF122" s="14"/>
      <c r="AG122" s="14"/>
      <c r="AH122" s="15"/>
      <c r="AI122" s="14"/>
      <c r="AJ122" s="16"/>
      <c r="AK122" s="100">
        <f>U122+AC122</f>
        <v>6829</v>
      </c>
      <c r="AL122" s="14"/>
      <c r="AM122" s="52">
        <f>W122+AE122</f>
        <v>14791</v>
      </c>
      <c r="AN122" s="14"/>
      <c r="AO122" s="14"/>
      <c r="AP122" s="14"/>
      <c r="AQ122" s="14"/>
      <c r="AR122" s="1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  <c r="BN122" s="56"/>
      <c r="BO122" s="56"/>
      <c r="BP122" s="56"/>
      <c r="BQ122" s="56"/>
      <c r="BR122" s="56"/>
      <c r="BS122" s="56"/>
      <c r="BT122" s="56"/>
      <c r="BU122" s="56"/>
      <c r="BV122" s="56"/>
      <c r="BW122" s="56"/>
      <c r="BX122" s="56"/>
      <c r="BY122" s="56"/>
      <c r="BZ122" s="56"/>
      <c r="CA122" s="56"/>
      <c r="CB122" s="56"/>
      <c r="CC122" s="56"/>
      <c r="CD122" s="56"/>
      <c r="CE122" s="56"/>
      <c r="CF122" s="56"/>
      <c r="CG122" s="56"/>
      <c r="CH122" s="56"/>
      <c r="CI122" s="56"/>
      <c r="CJ122" s="56"/>
      <c r="CK122" s="56"/>
      <c r="CL122" s="56"/>
      <c r="CM122" s="56"/>
      <c r="CN122" s="56"/>
      <c r="CO122" s="56"/>
      <c r="CP122" s="56"/>
      <c r="CQ122" s="56"/>
      <c r="CR122" s="56"/>
      <c r="CS122" s="56"/>
      <c r="CT122" s="56"/>
      <c r="CU122" s="56"/>
      <c r="CV122" s="56"/>
      <c r="CW122" s="56"/>
      <c r="CX122" s="56"/>
      <c r="CY122" s="56"/>
      <c r="CZ122" s="56"/>
      <c r="DA122" s="56"/>
      <c r="DB122" s="56"/>
      <c r="DC122" s="56"/>
      <c r="DD122" s="56"/>
      <c r="DE122" s="56"/>
      <c r="DF122" s="56"/>
      <c r="DG122" s="56"/>
      <c r="DH122" s="56"/>
      <c r="DI122" s="56"/>
      <c r="DJ122" s="56"/>
      <c r="DK122" s="56"/>
      <c r="DL122" s="56"/>
      <c r="DM122" s="56"/>
      <c r="DN122" s="56"/>
      <c r="DO122" s="56"/>
      <c r="DP122" s="56"/>
      <c r="DQ122" s="56"/>
      <c r="DR122" s="56"/>
      <c r="DS122" s="56"/>
      <c r="DT122" s="56"/>
      <c r="DU122" s="56"/>
      <c r="DV122" s="56"/>
      <c r="DW122" s="56"/>
      <c r="DX122" s="56"/>
      <c r="DY122" s="56"/>
      <c r="DZ122" s="56"/>
      <c r="EA122" s="56"/>
      <c r="EB122" s="56"/>
      <c r="EC122" s="56"/>
      <c r="ED122" s="56"/>
      <c r="EE122" s="56"/>
      <c r="EF122" s="56"/>
      <c r="EG122" s="56"/>
      <c r="EH122" s="56"/>
      <c r="EI122" s="56"/>
      <c r="EJ122" s="56"/>
      <c r="EK122" s="56"/>
    </row>
    <row r="123" spans="1:141" ht="24.75" thickBot="1" x14ac:dyDescent="0.6">
      <c r="A123" s="96" t="s">
        <v>108</v>
      </c>
      <c r="B123" s="97">
        <v>154</v>
      </c>
      <c r="C123" s="98">
        <v>3861</v>
      </c>
      <c r="D123" s="31">
        <v>1</v>
      </c>
      <c r="E123" s="28">
        <v>1</v>
      </c>
      <c r="F123" s="28">
        <v>0</v>
      </c>
      <c r="G123" s="27">
        <v>5</v>
      </c>
      <c r="H123" s="28">
        <v>15</v>
      </c>
      <c r="I123" s="29">
        <f>0</f>
        <v>0</v>
      </c>
      <c r="J123" s="27">
        <v>1.1000000000000001</v>
      </c>
      <c r="K123" s="28">
        <v>2</v>
      </c>
      <c r="L123" s="30">
        <v>1.7</v>
      </c>
      <c r="M123" s="13">
        <f>ROUND(C123*G123/1000,0)</f>
        <v>19</v>
      </c>
      <c r="N123" s="17"/>
      <c r="O123" s="13">
        <f>ROUND(C123*H123/1000,0)</f>
        <v>58</v>
      </c>
      <c r="P123" s="14"/>
      <c r="Q123" s="14"/>
      <c r="R123" s="15"/>
      <c r="S123" s="14"/>
      <c r="T123" s="18"/>
      <c r="U123" s="13">
        <f>ROUND(C123*J123,0)</f>
        <v>4247</v>
      </c>
      <c r="V123" s="17"/>
      <c r="W123" s="13">
        <f>ROUND(C123*K123,0)</f>
        <v>7722</v>
      </c>
      <c r="X123" s="14"/>
      <c r="Y123" s="14"/>
      <c r="Z123" s="14"/>
      <c r="AA123" s="15"/>
      <c r="AB123" s="23"/>
      <c r="AC123" s="17">
        <f>ROUND(M123*95,0)</f>
        <v>1805</v>
      </c>
      <c r="AD123" s="17"/>
      <c r="AE123" s="13">
        <f>ROUND(O123*95,0)</f>
        <v>5510</v>
      </c>
      <c r="AF123" s="14"/>
      <c r="AG123" s="14"/>
      <c r="AH123" s="15"/>
      <c r="AI123" s="14"/>
      <c r="AJ123" s="16"/>
      <c r="AK123" s="100">
        <f>U123+AC123</f>
        <v>6052</v>
      </c>
      <c r="AL123" s="14"/>
      <c r="AM123" s="52">
        <f>W123+AE123</f>
        <v>13232</v>
      </c>
      <c r="AN123" s="14"/>
      <c r="AO123" s="14"/>
      <c r="AP123" s="14"/>
      <c r="AQ123" s="14"/>
      <c r="AR123" s="1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  <c r="BN123" s="56"/>
      <c r="BO123" s="56"/>
      <c r="BP123" s="56"/>
      <c r="BQ123" s="56"/>
      <c r="BR123" s="56"/>
      <c r="BS123" s="56"/>
      <c r="BT123" s="56"/>
      <c r="BU123" s="56"/>
      <c r="BV123" s="56"/>
      <c r="BW123" s="56"/>
      <c r="BX123" s="56"/>
      <c r="BY123" s="56"/>
      <c r="BZ123" s="56"/>
      <c r="CA123" s="56"/>
      <c r="CB123" s="56"/>
      <c r="CC123" s="56"/>
      <c r="CD123" s="56"/>
      <c r="CE123" s="56"/>
      <c r="CF123" s="56"/>
      <c r="CG123" s="56"/>
      <c r="CH123" s="56"/>
      <c r="CI123" s="56"/>
      <c r="CJ123" s="56"/>
      <c r="CK123" s="56"/>
      <c r="CL123" s="56"/>
      <c r="CM123" s="56"/>
      <c r="CN123" s="56"/>
      <c r="CO123" s="56"/>
      <c r="CP123" s="56"/>
      <c r="CQ123" s="56"/>
      <c r="CR123" s="56"/>
      <c r="CS123" s="56"/>
      <c r="CT123" s="56"/>
      <c r="CU123" s="56"/>
      <c r="CV123" s="56"/>
      <c r="CW123" s="56"/>
      <c r="CX123" s="56"/>
      <c r="CY123" s="56"/>
      <c r="CZ123" s="56"/>
      <c r="DA123" s="56"/>
      <c r="DB123" s="56"/>
      <c r="DC123" s="56"/>
      <c r="DD123" s="56"/>
      <c r="DE123" s="56"/>
      <c r="DF123" s="56"/>
      <c r="DG123" s="56"/>
      <c r="DH123" s="56"/>
      <c r="DI123" s="56"/>
      <c r="DJ123" s="56"/>
      <c r="DK123" s="56"/>
      <c r="DL123" s="56"/>
      <c r="DM123" s="56"/>
      <c r="DN123" s="56"/>
      <c r="DO123" s="56"/>
      <c r="DP123" s="56"/>
      <c r="DQ123" s="56"/>
      <c r="DR123" s="56"/>
      <c r="DS123" s="56"/>
      <c r="DT123" s="56"/>
      <c r="DU123" s="56"/>
      <c r="DV123" s="56"/>
      <c r="DW123" s="56"/>
      <c r="DX123" s="56"/>
      <c r="DY123" s="56"/>
      <c r="DZ123" s="56"/>
      <c r="EA123" s="56"/>
      <c r="EB123" s="56"/>
      <c r="EC123" s="56"/>
      <c r="ED123" s="56"/>
      <c r="EE123" s="56"/>
      <c r="EF123" s="56"/>
      <c r="EG123" s="56"/>
      <c r="EH123" s="56"/>
      <c r="EI123" s="56"/>
      <c r="EJ123" s="56"/>
      <c r="EK123" s="56"/>
    </row>
    <row r="124" spans="1:141" ht="24.75" thickBot="1" x14ac:dyDescent="0.6">
      <c r="A124" s="883" t="s">
        <v>133</v>
      </c>
      <c r="B124" s="885">
        <f>SUM(B122:B123)</f>
        <v>326</v>
      </c>
      <c r="C124" s="931">
        <f>SUM(C122:C123)</f>
        <v>8169</v>
      </c>
      <c r="D124" s="887"/>
      <c r="E124" s="888"/>
      <c r="F124" s="888"/>
      <c r="G124" s="888"/>
      <c r="H124" s="888"/>
      <c r="I124" s="888"/>
      <c r="J124" s="888"/>
      <c r="K124" s="888"/>
      <c r="L124" s="889"/>
      <c r="M124" s="158">
        <f>M122+M123</f>
        <v>41</v>
      </c>
      <c r="N124" s="158">
        <f>N122</f>
        <v>0</v>
      </c>
      <c r="O124" s="160">
        <f>O122+O123</f>
        <v>123</v>
      </c>
      <c r="P124" s="160">
        <f>P121+P122</f>
        <v>0</v>
      </c>
      <c r="Q124" s="160">
        <f>Q121+Q122</f>
        <v>0</v>
      </c>
      <c r="R124" s="161">
        <f>R121+R122</f>
        <v>0</v>
      </c>
      <c r="S124" s="161">
        <f>S121+S122</f>
        <v>0</v>
      </c>
      <c r="T124" s="163">
        <f>T121+T122</f>
        <v>0</v>
      </c>
      <c r="U124" s="158">
        <f>U122+U123</f>
        <v>8986</v>
      </c>
      <c r="V124" s="188">
        <f>V122+V121+V120</f>
        <v>0</v>
      </c>
      <c r="W124" s="157">
        <f>SUM(W122:W123)</f>
        <v>16338</v>
      </c>
      <c r="X124" s="164"/>
      <c r="Y124" s="164"/>
      <c r="Z124" s="164"/>
      <c r="AA124" s="164"/>
      <c r="AB124" s="164"/>
      <c r="AC124" s="157">
        <f>SUM(AC122:AC123)</f>
        <v>3895</v>
      </c>
      <c r="AD124" s="157">
        <f>0</f>
        <v>0</v>
      </c>
      <c r="AE124" s="166">
        <f>SUM(AE122:AE123)</f>
        <v>11685</v>
      </c>
      <c r="AF124" s="166">
        <f>SUM(AF120:AF122)</f>
        <v>0</v>
      </c>
      <c r="AG124" s="164"/>
      <c r="AH124" s="164"/>
      <c r="AI124" s="164"/>
      <c r="AJ124" s="156"/>
      <c r="AK124" s="165">
        <f>SUM(AK122:AK123)</f>
        <v>12881</v>
      </c>
      <c r="AL124" s="165">
        <f>0</f>
        <v>0</v>
      </c>
      <c r="AM124" s="166">
        <f>SUM(AM122:AM123)</f>
        <v>28023</v>
      </c>
      <c r="AN124" s="166">
        <f>AN121+AN122</f>
        <v>0</v>
      </c>
      <c r="AO124" s="164"/>
      <c r="AP124" s="164"/>
      <c r="AQ124" s="164"/>
      <c r="AR124" s="167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</row>
    <row r="125" spans="1:141" ht="27" thickBot="1" x14ac:dyDescent="0.75">
      <c r="A125" s="884"/>
      <c r="B125" s="886"/>
      <c r="C125" s="932"/>
      <c r="D125" s="890"/>
      <c r="E125" s="891"/>
      <c r="F125" s="891"/>
      <c r="G125" s="891"/>
      <c r="H125" s="891"/>
      <c r="I125" s="891"/>
      <c r="J125" s="891"/>
      <c r="K125" s="891"/>
      <c r="L125" s="892"/>
      <c r="M125" s="895">
        <f>M124+N124</f>
        <v>41</v>
      </c>
      <c r="N125" s="897">
        <f>M124+N124</f>
        <v>41</v>
      </c>
      <c r="O125" s="895">
        <f>+O124+P124+Q124</f>
        <v>123</v>
      </c>
      <c r="P125" s="896"/>
      <c r="Q125" s="897"/>
      <c r="R125" s="898">
        <f>+R124+S124+T124</f>
        <v>0</v>
      </c>
      <c r="S125" s="899"/>
      <c r="T125" s="955"/>
      <c r="U125" s="956">
        <f>U124+V124</f>
        <v>8986</v>
      </c>
      <c r="V125" s="957"/>
      <c r="W125" s="896">
        <f>W124+X124+Y124</f>
        <v>16338</v>
      </c>
      <c r="X125" s="896"/>
      <c r="Y125" s="897"/>
      <c r="Z125" s="951">
        <f>Z124+AA124+AB124</f>
        <v>0</v>
      </c>
      <c r="AA125" s="952"/>
      <c r="AB125" s="953"/>
      <c r="AC125" s="911">
        <f>AC124+AD124</f>
        <v>3895</v>
      </c>
      <c r="AD125" s="913">
        <f t="shared" ref="AD125" si="70">ROUND(N125*960,0)</f>
        <v>39360</v>
      </c>
      <c r="AE125" s="911">
        <f>AE124+AF124+AG124</f>
        <v>11685</v>
      </c>
      <c r="AF125" s="912"/>
      <c r="AG125" s="913"/>
      <c r="AH125" s="951">
        <f>AH124+AI124+AJ124</f>
        <v>0</v>
      </c>
      <c r="AI125" s="952"/>
      <c r="AJ125" s="953"/>
      <c r="AK125" s="911">
        <f>AK124+AL124</f>
        <v>12881</v>
      </c>
      <c r="AL125" s="912">
        <f t="shared" ref="AL125" si="71">V125+AD125</f>
        <v>39360</v>
      </c>
      <c r="AM125" s="911">
        <f>AM124+AN124+AO124</f>
        <v>28023</v>
      </c>
      <c r="AN125" s="912"/>
      <c r="AO125" s="913"/>
      <c r="AP125" s="951">
        <f>AP124+AQ124+AR124</f>
        <v>0</v>
      </c>
      <c r="AQ125" s="952"/>
      <c r="AR125" s="954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</row>
    <row r="126" spans="1:141" s="180" customFormat="1" ht="39.950000000000003" customHeight="1" thickBot="1" x14ac:dyDescent="0.6">
      <c r="A126" s="922" t="s">
        <v>109</v>
      </c>
      <c r="B126" s="923"/>
      <c r="C126" s="923"/>
      <c r="D126" s="923"/>
      <c r="E126" s="923"/>
      <c r="F126" s="923"/>
      <c r="G126" s="923"/>
      <c r="H126" s="923"/>
      <c r="I126" s="923"/>
      <c r="J126" s="923"/>
      <c r="K126" s="923"/>
      <c r="L126" s="923"/>
      <c r="M126" s="923"/>
      <c r="N126" s="923"/>
      <c r="O126" s="923"/>
      <c r="P126" s="923"/>
      <c r="Q126" s="923"/>
      <c r="R126" s="923"/>
      <c r="S126" s="923"/>
      <c r="T126" s="923"/>
      <c r="U126" s="923"/>
      <c r="V126" s="923"/>
      <c r="W126" s="923"/>
      <c r="X126" s="923"/>
      <c r="Y126" s="923"/>
      <c r="Z126" s="923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4"/>
      <c r="AS126" s="176"/>
      <c r="AT126" s="176"/>
      <c r="AU126" s="176"/>
      <c r="AV126" s="176"/>
      <c r="AW126" s="176"/>
      <c r="AX126" s="176"/>
      <c r="AY126" s="176"/>
      <c r="AZ126" s="176"/>
      <c r="BA126" s="176"/>
      <c r="BB126" s="176"/>
      <c r="BC126" s="176"/>
      <c r="BD126" s="176"/>
      <c r="BE126" s="176"/>
      <c r="BF126" s="176"/>
      <c r="BG126" s="176"/>
      <c r="BH126" s="176"/>
      <c r="BI126" s="176"/>
      <c r="BJ126" s="176"/>
      <c r="BK126" s="176"/>
      <c r="BL126" s="176"/>
      <c r="BM126" s="176"/>
      <c r="BN126" s="176"/>
      <c r="BO126" s="176"/>
      <c r="BP126" s="176"/>
      <c r="BQ126" s="176"/>
      <c r="BR126" s="176"/>
      <c r="BS126" s="176"/>
      <c r="BT126" s="176"/>
      <c r="BU126" s="176"/>
      <c r="BV126" s="176"/>
      <c r="BW126" s="176"/>
      <c r="BX126" s="176"/>
      <c r="BY126" s="176"/>
      <c r="BZ126" s="176"/>
      <c r="CA126" s="176"/>
      <c r="CB126" s="176"/>
      <c r="CC126" s="176"/>
      <c r="CD126" s="176"/>
      <c r="CE126" s="176"/>
      <c r="CF126" s="176"/>
      <c r="CG126" s="176"/>
      <c r="CH126" s="176"/>
      <c r="CI126" s="176"/>
      <c r="CJ126" s="176"/>
      <c r="CK126" s="176"/>
      <c r="CL126" s="176"/>
      <c r="CM126" s="176"/>
      <c r="CN126" s="176"/>
      <c r="CO126" s="176"/>
      <c r="CP126" s="176"/>
      <c r="CQ126" s="176"/>
      <c r="CR126" s="176"/>
      <c r="CS126" s="176"/>
      <c r="CT126" s="176"/>
      <c r="CU126" s="176"/>
      <c r="CV126" s="176"/>
      <c r="CW126" s="176"/>
      <c r="CX126" s="176"/>
      <c r="CY126" s="176"/>
      <c r="CZ126" s="176"/>
      <c r="DA126" s="176"/>
      <c r="DB126" s="176"/>
      <c r="DC126" s="176"/>
      <c r="DD126" s="176"/>
      <c r="DE126" s="176"/>
      <c r="DF126" s="176"/>
      <c r="DG126" s="176"/>
      <c r="DH126" s="176"/>
      <c r="DI126" s="176"/>
      <c r="DJ126" s="176"/>
      <c r="DK126" s="176"/>
      <c r="DL126" s="176"/>
      <c r="DM126" s="176"/>
      <c r="DN126" s="176"/>
      <c r="DO126" s="176"/>
      <c r="DP126" s="176"/>
      <c r="DQ126" s="176"/>
      <c r="DR126" s="176"/>
      <c r="DS126" s="176"/>
      <c r="DT126" s="176"/>
      <c r="DU126" s="176"/>
      <c r="DV126" s="176"/>
      <c r="DW126" s="176"/>
      <c r="DX126" s="176"/>
      <c r="DY126" s="176"/>
      <c r="DZ126" s="176"/>
      <c r="EA126" s="176"/>
      <c r="EB126" s="176"/>
      <c r="EC126" s="176"/>
      <c r="ED126" s="176"/>
      <c r="EE126" s="176"/>
      <c r="EF126" s="176"/>
      <c r="EG126" s="176"/>
      <c r="EH126" s="176"/>
      <c r="EI126" s="176"/>
      <c r="EJ126" s="176"/>
      <c r="EK126" s="176"/>
    </row>
    <row r="127" spans="1:141" s="177" customFormat="1" ht="39.950000000000003" customHeight="1" thickBot="1" x14ac:dyDescent="0.6">
      <c r="A127" s="928" t="s">
        <v>110</v>
      </c>
      <c r="B127" s="929"/>
      <c r="C127" s="929"/>
      <c r="D127" s="929"/>
      <c r="E127" s="929"/>
      <c r="F127" s="929"/>
      <c r="G127" s="929"/>
      <c r="H127" s="929"/>
      <c r="I127" s="929"/>
      <c r="J127" s="929"/>
      <c r="K127" s="929"/>
      <c r="L127" s="929"/>
      <c r="M127" s="929"/>
      <c r="N127" s="929"/>
      <c r="O127" s="929"/>
      <c r="P127" s="929"/>
      <c r="Q127" s="929"/>
      <c r="R127" s="929"/>
      <c r="S127" s="929"/>
      <c r="T127" s="929"/>
      <c r="U127" s="929"/>
      <c r="V127" s="929"/>
      <c r="W127" s="929"/>
      <c r="X127" s="929"/>
      <c r="Y127" s="929"/>
      <c r="Z127" s="929"/>
      <c r="AA127" s="929"/>
      <c r="AB127" s="929"/>
      <c r="AC127" s="929"/>
      <c r="AD127" s="929"/>
      <c r="AE127" s="929"/>
      <c r="AF127" s="929"/>
      <c r="AG127" s="929"/>
      <c r="AH127" s="929"/>
      <c r="AI127" s="929"/>
      <c r="AJ127" s="929"/>
      <c r="AK127" s="929"/>
      <c r="AL127" s="929"/>
      <c r="AM127" s="929"/>
      <c r="AN127" s="929"/>
      <c r="AO127" s="929"/>
      <c r="AP127" s="929"/>
      <c r="AQ127" s="929"/>
      <c r="AR127" s="930"/>
      <c r="AS127" s="176"/>
      <c r="AT127" s="176"/>
      <c r="AU127" s="176"/>
      <c r="AV127" s="176"/>
      <c r="AW127" s="176"/>
      <c r="AX127" s="176"/>
      <c r="AY127" s="176"/>
      <c r="AZ127" s="176"/>
      <c r="BA127" s="176"/>
      <c r="BB127" s="176"/>
      <c r="BC127" s="176"/>
      <c r="BD127" s="176"/>
      <c r="BE127" s="176"/>
      <c r="BF127" s="176"/>
      <c r="BG127" s="176"/>
      <c r="BH127" s="176"/>
      <c r="BI127" s="176"/>
      <c r="BJ127" s="176"/>
      <c r="BK127" s="176"/>
      <c r="BL127" s="176"/>
      <c r="BM127" s="176"/>
      <c r="BN127" s="176"/>
      <c r="BO127" s="176"/>
      <c r="BP127" s="176"/>
      <c r="BQ127" s="176"/>
      <c r="BR127" s="176"/>
      <c r="BS127" s="176"/>
      <c r="BT127" s="176"/>
      <c r="BU127" s="176"/>
      <c r="BV127" s="176"/>
      <c r="BW127" s="176"/>
      <c r="BX127" s="176"/>
      <c r="BY127" s="176"/>
      <c r="BZ127" s="176"/>
      <c r="CA127" s="176"/>
      <c r="CB127" s="176"/>
      <c r="CC127" s="176"/>
      <c r="CD127" s="176"/>
      <c r="CE127" s="176"/>
      <c r="CF127" s="176"/>
      <c r="CG127" s="176"/>
      <c r="CH127" s="176"/>
      <c r="CI127" s="176"/>
      <c r="CJ127" s="176"/>
      <c r="CK127" s="176"/>
      <c r="CL127" s="176"/>
      <c r="CM127" s="176"/>
      <c r="CN127" s="176"/>
      <c r="CO127" s="176"/>
      <c r="CP127" s="176"/>
      <c r="CQ127" s="176"/>
      <c r="CR127" s="176"/>
      <c r="CS127" s="176"/>
      <c r="CT127" s="176"/>
      <c r="CU127" s="176"/>
      <c r="CV127" s="176"/>
      <c r="CW127" s="176"/>
      <c r="CX127" s="176"/>
      <c r="CY127" s="176"/>
      <c r="CZ127" s="176"/>
      <c r="DA127" s="176"/>
      <c r="DB127" s="176"/>
      <c r="DC127" s="176"/>
      <c r="DD127" s="176"/>
      <c r="DE127" s="176"/>
      <c r="DF127" s="176"/>
      <c r="DG127" s="176"/>
      <c r="DH127" s="176"/>
      <c r="DI127" s="176"/>
      <c r="DJ127" s="176"/>
      <c r="DK127" s="176"/>
      <c r="DL127" s="176"/>
      <c r="DM127" s="176"/>
      <c r="DN127" s="176"/>
      <c r="DO127" s="176"/>
      <c r="DP127" s="176"/>
      <c r="DQ127" s="176"/>
      <c r="DR127" s="176"/>
      <c r="DS127" s="176"/>
      <c r="DT127" s="176"/>
      <c r="DU127" s="176"/>
      <c r="DV127" s="176"/>
      <c r="DW127" s="176"/>
      <c r="DX127" s="176"/>
      <c r="DY127" s="176"/>
      <c r="DZ127" s="176"/>
      <c r="EA127" s="176"/>
      <c r="EB127" s="176"/>
      <c r="EC127" s="176"/>
      <c r="ED127" s="176"/>
      <c r="EE127" s="176"/>
      <c r="EF127" s="176"/>
      <c r="EG127" s="176"/>
      <c r="EH127" s="176"/>
      <c r="EI127" s="176"/>
      <c r="EJ127" s="176"/>
      <c r="EK127" s="176"/>
    </row>
    <row r="128" spans="1:141" ht="24" customHeight="1" x14ac:dyDescent="0.55000000000000004">
      <c r="A128" s="65" t="s">
        <v>111</v>
      </c>
      <c r="B128" s="5">
        <v>117</v>
      </c>
      <c r="C128" s="6">
        <v>2934</v>
      </c>
      <c r="D128" s="46">
        <v>0</v>
      </c>
      <c r="E128" s="10">
        <v>1</v>
      </c>
      <c r="F128" s="10">
        <v>1</v>
      </c>
      <c r="G128" s="9"/>
      <c r="H128" s="10">
        <v>15</v>
      </c>
      <c r="I128" s="11">
        <v>8</v>
      </c>
      <c r="J128" s="9">
        <v>1.1000000000000001</v>
      </c>
      <c r="K128" s="10">
        <v>2</v>
      </c>
      <c r="L128" s="12">
        <v>1.7</v>
      </c>
      <c r="M128" s="13">
        <f>0</f>
        <v>0</v>
      </c>
      <c r="N128" s="17">
        <f>0</f>
        <v>0</v>
      </c>
      <c r="O128" s="100">
        <f>ROUND(C128*H128/1000,0)</f>
        <v>44</v>
      </c>
      <c r="P128" s="14"/>
      <c r="Q128" s="14"/>
      <c r="R128" s="14">
        <f>ROUND(C128*I128/1000,0)</f>
        <v>23</v>
      </c>
      <c r="S128" s="14"/>
      <c r="T128" s="18"/>
      <c r="U128" s="13"/>
      <c r="V128" s="17"/>
      <c r="W128" s="942" t="s">
        <v>116</v>
      </c>
      <c r="X128" s="943"/>
      <c r="Y128" s="944"/>
      <c r="Z128" s="13">
        <f>ROUND(C128*L128,0)</f>
        <v>4988</v>
      </c>
      <c r="AA128" s="15"/>
      <c r="AB128" s="23"/>
      <c r="AC128" s="17"/>
      <c r="AD128" s="17"/>
      <c r="AE128" s="13">
        <f>ROUND(O128*95,0)</f>
        <v>4180</v>
      </c>
      <c r="AF128" s="13">
        <f t="shared" ref="AF128:AF132" si="72">ROUND(P128*960,0)</f>
        <v>0</v>
      </c>
      <c r="AG128" s="14"/>
      <c r="AH128" s="13">
        <f>ROUND(R128*95,0)</f>
        <v>2185</v>
      </c>
      <c r="AI128" s="14"/>
      <c r="AJ128" s="16"/>
      <c r="AK128" s="100"/>
      <c r="AL128" s="14"/>
      <c r="AM128" s="190" t="e">
        <f>W128+AE128</f>
        <v>#VALUE!</v>
      </c>
      <c r="AN128" s="14">
        <f>X128+AF128</f>
        <v>0</v>
      </c>
      <c r="AO128" s="14"/>
      <c r="AP128" s="14">
        <f>Z128+AH128</f>
        <v>7173</v>
      </c>
      <c r="AQ128" s="14"/>
      <c r="AR128" s="1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  <c r="BQ128" s="56"/>
      <c r="BR128" s="56"/>
      <c r="BS128" s="56"/>
      <c r="BT128" s="56"/>
      <c r="BU128" s="56"/>
      <c r="BV128" s="56"/>
      <c r="BW128" s="56"/>
      <c r="BX128" s="56"/>
      <c r="BY128" s="56"/>
      <c r="BZ128" s="56"/>
      <c r="CA128" s="56"/>
      <c r="CB128" s="56"/>
      <c r="CC128" s="56"/>
      <c r="CD128" s="56"/>
      <c r="CE128" s="56"/>
      <c r="CF128" s="56"/>
      <c r="CG128" s="56"/>
      <c r="CH128" s="56"/>
      <c r="CI128" s="56"/>
      <c r="CJ128" s="56"/>
      <c r="CK128" s="56"/>
      <c r="CL128" s="56"/>
      <c r="CM128" s="56"/>
      <c r="CN128" s="56"/>
      <c r="CO128" s="56"/>
      <c r="CP128" s="56"/>
      <c r="CQ128" s="56"/>
      <c r="CR128" s="56"/>
      <c r="CS128" s="56"/>
      <c r="CT128" s="56"/>
      <c r="CU128" s="56"/>
      <c r="CV128" s="56"/>
      <c r="CW128" s="56"/>
      <c r="CX128" s="56"/>
      <c r="CY128" s="56"/>
      <c r="CZ128" s="56"/>
      <c r="DA128" s="56"/>
      <c r="DB128" s="56"/>
      <c r="DC128" s="56"/>
      <c r="DD128" s="56"/>
      <c r="DE128" s="56"/>
      <c r="DF128" s="56"/>
      <c r="DG128" s="56"/>
      <c r="DH128" s="56"/>
      <c r="DI128" s="56"/>
      <c r="DJ128" s="56"/>
      <c r="DK128" s="56"/>
      <c r="DL128" s="56"/>
      <c r="DM128" s="56"/>
      <c r="DN128" s="56"/>
      <c r="DO128" s="56"/>
      <c r="DP128" s="56"/>
      <c r="DQ128" s="56"/>
      <c r="DR128" s="56"/>
      <c r="DS128" s="56"/>
      <c r="DT128" s="56"/>
      <c r="DU128" s="56"/>
      <c r="DV128" s="56"/>
      <c r="DW128" s="56"/>
      <c r="DX128" s="56"/>
      <c r="DY128" s="56"/>
      <c r="DZ128" s="56"/>
      <c r="EA128" s="56"/>
      <c r="EB128" s="56"/>
      <c r="EC128" s="56"/>
      <c r="ED128" s="56"/>
      <c r="EE128" s="56"/>
      <c r="EF128" s="56"/>
      <c r="EG128" s="56"/>
      <c r="EH128" s="56"/>
      <c r="EI128" s="56"/>
      <c r="EJ128" s="56"/>
      <c r="EK128" s="56"/>
    </row>
    <row r="129" spans="1:141" ht="24" customHeight="1" x14ac:dyDescent="0.55000000000000004">
      <c r="A129" s="65" t="s">
        <v>112</v>
      </c>
      <c r="B129" s="20">
        <v>116</v>
      </c>
      <c r="C129" s="72">
        <v>2903</v>
      </c>
      <c r="D129" s="17">
        <v>0</v>
      </c>
      <c r="E129" s="10">
        <v>1</v>
      </c>
      <c r="F129" s="14">
        <v>1</v>
      </c>
      <c r="G129" s="13"/>
      <c r="H129" s="14">
        <v>15</v>
      </c>
      <c r="I129" s="23">
        <v>8</v>
      </c>
      <c r="J129" s="13">
        <v>1.1000000000000001</v>
      </c>
      <c r="K129" s="14">
        <v>2</v>
      </c>
      <c r="L129" s="15">
        <v>1.7</v>
      </c>
      <c r="M129" s="13">
        <f>0</f>
        <v>0</v>
      </c>
      <c r="N129" s="17">
        <f>0</f>
        <v>0</v>
      </c>
      <c r="O129" s="100">
        <f>ROUND(C129*H129/1000,0)</f>
        <v>44</v>
      </c>
      <c r="P129" s="14"/>
      <c r="Q129" s="14"/>
      <c r="R129" s="14">
        <f>ROUND(C129*I129/1000,0)</f>
        <v>23</v>
      </c>
      <c r="S129" s="14"/>
      <c r="T129" s="18"/>
      <c r="U129" s="13"/>
      <c r="V129" s="17"/>
      <c r="W129" s="945"/>
      <c r="X129" s="946"/>
      <c r="Y129" s="947"/>
      <c r="Z129" s="13">
        <f t="shared" ref="Z129:Z132" si="73">ROUND(C129*L129,0)</f>
        <v>4935</v>
      </c>
      <c r="AA129" s="15"/>
      <c r="AB129" s="23"/>
      <c r="AC129" s="17"/>
      <c r="AD129" s="17"/>
      <c r="AE129" s="13">
        <f t="shared" ref="AE129:AE132" si="74">ROUND(O129*95,0)</f>
        <v>4180</v>
      </c>
      <c r="AF129" s="13">
        <f t="shared" si="72"/>
        <v>0</v>
      </c>
      <c r="AG129" s="14"/>
      <c r="AH129" s="13">
        <f t="shared" ref="AH129:AH132" si="75">ROUND(R129*95,0)</f>
        <v>2185</v>
      </c>
      <c r="AI129" s="14"/>
      <c r="AJ129" s="16"/>
      <c r="AK129" s="100"/>
      <c r="AL129" s="14"/>
      <c r="AM129" s="190" t="e">
        <f>W128+AE129</f>
        <v>#VALUE!</v>
      </c>
      <c r="AN129" s="14">
        <f t="shared" ref="AN129:AN132" si="76">X129+AF129</f>
        <v>0</v>
      </c>
      <c r="AO129" s="14"/>
      <c r="AP129" s="14">
        <f>Z129+AH129</f>
        <v>7120</v>
      </c>
      <c r="AQ129" s="14"/>
      <c r="AR129" s="1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  <c r="BQ129" s="56"/>
      <c r="BR129" s="56"/>
      <c r="BS129" s="56"/>
      <c r="BT129" s="56"/>
      <c r="BU129" s="56"/>
      <c r="BV129" s="56"/>
      <c r="BW129" s="56"/>
      <c r="BX129" s="56"/>
      <c r="BY129" s="56"/>
      <c r="BZ129" s="56"/>
      <c r="CA129" s="56"/>
      <c r="CB129" s="56"/>
      <c r="CC129" s="56"/>
      <c r="CD129" s="56"/>
      <c r="CE129" s="56"/>
      <c r="CF129" s="56"/>
      <c r="CG129" s="56"/>
      <c r="CH129" s="56"/>
      <c r="CI129" s="56"/>
      <c r="CJ129" s="56"/>
      <c r="CK129" s="56"/>
      <c r="CL129" s="56"/>
      <c r="CM129" s="56"/>
      <c r="CN129" s="56"/>
      <c r="CO129" s="56"/>
      <c r="CP129" s="56"/>
      <c r="CQ129" s="56"/>
      <c r="CR129" s="56"/>
      <c r="CS129" s="56"/>
      <c r="CT129" s="56"/>
      <c r="CU129" s="56"/>
      <c r="CV129" s="56"/>
      <c r="CW129" s="56"/>
      <c r="CX129" s="56"/>
      <c r="CY129" s="56"/>
      <c r="CZ129" s="56"/>
      <c r="DA129" s="56"/>
      <c r="DB129" s="56"/>
      <c r="DC129" s="56"/>
      <c r="DD129" s="56"/>
      <c r="DE129" s="56"/>
      <c r="DF129" s="56"/>
      <c r="DG129" s="56"/>
      <c r="DH129" s="56"/>
      <c r="DI129" s="56"/>
      <c r="DJ129" s="56"/>
      <c r="DK129" s="56"/>
      <c r="DL129" s="56"/>
      <c r="DM129" s="56"/>
      <c r="DN129" s="56"/>
      <c r="DO129" s="56"/>
      <c r="DP129" s="56"/>
      <c r="DQ129" s="56"/>
      <c r="DR129" s="56"/>
      <c r="DS129" s="56"/>
      <c r="DT129" s="56"/>
      <c r="DU129" s="56"/>
      <c r="DV129" s="56"/>
      <c r="DW129" s="56"/>
      <c r="DX129" s="56"/>
      <c r="DY129" s="56"/>
      <c r="DZ129" s="56"/>
      <c r="EA129" s="56"/>
      <c r="EB129" s="56"/>
      <c r="EC129" s="56"/>
      <c r="ED129" s="56"/>
      <c r="EE129" s="56"/>
      <c r="EF129" s="56"/>
      <c r="EG129" s="56"/>
      <c r="EH129" s="56"/>
      <c r="EI129" s="56"/>
      <c r="EJ129" s="56"/>
      <c r="EK129" s="56"/>
    </row>
    <row r="130" spans="1:141" ht="24" customHeight="1" x14ac:dyDescent="0.55000000000000004">
      <c r="A130" s="65" t="s">
        <v>113</v>
      </c>
      <c r="B130" s="20">
        <v>115</v>
      </c>
      <c r="C130" s="72">
        <v>2864</v>
      </c>
      <c r="D130" s="17">
        <v>0</v>
      </c>
      <c r="E130" s="10">
        <v>1</v>
      </c>
      <c r="F130" s="14">
        <v>1</v>
      </c>
      <c r="G130" s="13"/>
      <c r="H130" s="14">
        <v>15</v>
      </c>
      <c r="I130" s="23">
        <v>8</v>
      </c>
      <c r="J130" s="13">
        <v>1.1000000000000001</v>
      </c>
      <c r="K130" s="14">
        <v>2</v>
      </c>
      <c r="L130" s="15">
        <v>1.7</v>
      </c>
      <c r="M130" s="13">
        <f>0</f>
        <v>0</v>
      </c>
      <c r="N130" s="17">
        <f>0</f>
        <v>0</v>
      </c>
      <c r="O130" s="100">
        <f>ROUND(C130*H130/1000,0)</f>
        <v>43</v>
      </c>
      <c r="P130" s="14"/>
      <c r="Q130" s="14"/>
      <c r="R130" s="14">
        <f>ROUND(C130*I130/1000,0)</f>
        <v>23</v>
      </c>
      <c r="S130" s="14"/>
      <c r="T130" s="18"/>
      <c r="U130" s="13"/>
      <c r="V130" s="17"/>
      <c r="W130" s="945"/>
      <c r="X130" s="946"/>
      <c r="Y130" s="947"/>
      <c r="Z130" s="13">
        <f t="shared" si="73"/>
        <v>4869</v>
      </c>
      <c r="AA130" s="15"/>
      <c r="AB130" s="23"/>
      <c r="AC130" s="17"/>
      <c r="AD130" s="17"/>
      <c r="AE130" s="13">
        <f t="shared" si="74"/>
        <v>4085</v>
      </c>
      <c r="AF130" s="13">
        <f t="shared" si="72"/>
        <v>0</v>
      </c>
      <c r="AG130" s="14"/>
      <c r="AH130" s="13">
        <f t="shared" si="75"/>
        <v>2185</v>
      </c>
      <c r="AI130" s="14"/>
      <c r="AJ130" s="16"/>
      <c r="AK130" s="100"/>
      <c r="AL130" s="14"/>
      <c r="AM130" s="190" t="e">
        <f>W128+AE130</f>
        <v>#VALUE!</v>
      </c>
      <c r="AN130" s="14">
        <f t="shared" si="76"/>
        <v>0</v>
      </c>
      <c r="AO130" s="14"/>
      <c r="AP130" s="14">
        <f>Z130+AH130</f>
        <v>7054</v>
      </c>
      <c r="AQ130" s="14"/>
      <c r="AR130" s="16"/>
      <c r="AS130" s="56"/>
      <c r="AT130" s="56"/>
      <c r="AU130" s="56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  <c r="BQ130" s="56"/>
      <c r="BR130" s="56"/>
      <c r="BS130" s="56"/>
      <c r="BT130" s="56"/>
      <c r="BU130" s="56"/>
      <c r="BV130" s="56"/>
      <c r="BW130" s="56"/>
      <c r="BX130" s="56"/>
      <c r="BY130" s="56"/>
      <c r="BZ130" s="56"/>
      <c r="CA130" s="56"/>
      <c r="CB130" s="56"/>
      <c r="CC130" s="56"/>
      <c r="CD130" s="56"/>
      <c r="CE130" s="56"/>
      <c r="CF130" s="56"/>
      <c r="CG130" s="56"/>
      <c r="CH130" s="56"/>
      <c r="CI130" s="56"/>
      <c r="CJ130" s="56"/>
      <c r="CK130" s="56"/>
      <c r="CL130" s="56"/>
      <c r="CM130" s="56"/>
      <c r="CN130" s="56"/>
      <c r="CO130" s="56"/>
      <c r="CP130" s="56"/>
      <c r="CQ130" s="56"/>
      <c r="CR130" s="56"/>
      <c r="CS130" s="56"/>
      <c r="CT130" s="56"/>
      <c r="CU130" s="56"/>
      <c r="CV130" s="56"/>
      <c r="CW130" s="56"/>
      <c r="CX130" s="56"/>
      <c r="CY130" s="56"/>
      <c r="CZ130" s="56"/>
      <c r="DA130" s="56"/>
      <c r="DB130" s="56"/>
      <c r="DC130" s="56"/>
      <c r="DD130" s="56"/>
      <c r="DE130" s="56"/>
      <c r="DF130" s="56"/>
      <c r="DG130" s="56"/>
      <c r="DH130" s="56"/>
      <c r="DI130" s="56"/>
      <c r="DJ130" s="56"/>
      <c r="DK130" s="56"/>
      <c r="DL130" s="56"/>
      <c r="DM130" s="56"/>
      <c r="DN130" s="56"/>
      <c r="DO130" s="56"/>
      <c r="DP130" s="56"/>
      <c r="DQ130" s="56"/>
      <c r="DR130" s="56"/>
      <c r="DS130" s="56"/>
      <c r="DT130" s="56"/>
      <c r="DU130" s="56"/>
      <c r="DV130" s="56"/>
      <c r="DW130" s="56"/>
      <c r="DX130" s="56"/>
      <c r="DY130" s="56"/>
      <c r="DZ130" s="56"/>
      <c r="EA130" s="56"/>
      <c r="EB130" s="56"/>
      <c r="EC130" s="56"/>
      <c r="ED130" s="56"/>
      <c r="EE130" s="56"/>
      <c r="EF130" s="56"/>
      <c r="EG130" s="56"/>
      <c r="EH130" s="56"/>
      <c r="EI130" s="56"/>
      <c r="EJ130" s="56"/>
      <c r="EK130" s="56"/>
    </row>
    <row r="131" spans="1:141" ht="24" customHeight="1" x14ac:dyDescent="0.55000000000000004">
      <c r="A131" s="65" t="s">
        <v>114</v>
      </c>
      <c r="B131" s="20">
        <v>128</v>
      </c>
      <c r="C131" s="72">
        <v>2825</v>
      </c>
      <c r="D131" s="17">
        <v>0</v>
      </c>
      <c r="E131" s="10">
        <v>1</v>
      </c>
      <c r="F131" s="14">
        <v>1</v>
      </c>
      <c r="G131" s="13"/>
      <c r="H131" s="14">
        <v>15</v>
      </c>
      <c r="I131" s="23">
        <v>8</v>
      </c>
      <c r="J131" s="13">
        <v>1.1000000000000001</v>
      </c>
      <c r="K131" s="14">
        <v>2</v>
      </c>
      <c r="L131" s="15">
        <v>1.7</v>
      </c>
      <c r="M131" s="13">
        <f>0</f>
        <v>0</v>
      </c>
      <c r="N131" s="17">
        <f>0</f>
        <v>0</v>
      </c>
      <c r="O131" s="100">
        <f>ROUND(C131*H131/1000,0)</f>
        <v>42</v>
      </c>
      <c r="P131" s="14"/>
      <c r="Q131" s="14"/>
      <c r="R131" s="14">
        <f>ROUND(C131*I131/1000,0)</f>
        <v>23</v>
      </c>
      <c r="S131" s="14"/>
      <c r="T131" s="18"/>
      <c r="U131" s="13"/>
      <c r="V131" s="17"/>
      <c r="W131" s="945"/>
      <c r="X131" s="946"/>
      <c r="Y131" s="947"/>
      <c r="Z131" s="13">
        <f t="shared" si="73"/>
        <v>4803</v>
      </c>
      <c r="AA131" s="15"/>
      <c r="AB131" s="23"/>
      <c r="AC131" s="17"/>
      <c r="AD131" s="17"/>
      <c r="AE131" s="13">
        <f t="shared" si="74"/>
        <v>3990</v>
      </c>
      <c r="AF131" s="13">
        <f t="shared" si="72"/>
        <v>0</v>
      </c>
      <c r="AG131" s="14"/>
      <c r="AH131" s="13">
        <f t="shared" si="75"/>
        <v>2185</v>
      </c>
      <c r="AI131" s="14"/>
      <c r="AJ131" s="16"/>
      <c r="AK131" s="100"/>
      <c r="AL131" s="14"/>
      <c r="AM131" s="190" t="e">
        <f>W128+AE131</f>
        <v>#VALUE!</v>
      </c>
      <c r="AN131" s="14">
        <f t="shared" si="76"/>
        <v>0</v>
      </c>
      <c r="AO131" s="14"/>
      <c r="AP131" s="14">
        <f t="shared" ref="AP131:AP132" si="77">Z131+AH131</f>
        <v>6988</v>
      </c>
      <c r="AQ131" s="14"/>
      <c r="AR131" s="16"/>
      <c r="AS131" s="56"/>
      <c r="AT131" s="56"/>
      <c r="AU131" s="56"/>
      <c r="AV131" s="56"/>
      <c r="AW131" s="56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  <c r="BQ131" s="56"/>
      <c r="BR131" s="56"/>
      <c r="BS131" s="56"/>
      <c r="BT131" s="56"/>
      <c r="BU131" s="56"/>
      <c r="BV131" s="56"/>
      <c r="BW131" s="56"/>
      <c r="BX131" s="56"/>
      <c r="BY131" s="56"/>
      <c r="BZ131" s="56"/>
      <c r="CA131" s="56"/>
      <c r="CB131" s="56"/>
      <c r="CC131" s="56"/>
      <c r="CD131" s="56"/>
      <c r="CE131" s="56"/>
      <c r="CF131" s="56"/>
      <c r="CG131" s="56"/>
      <c r="CH131" s="56"/>
      <c r="CI131" s="56"/>
      <c r="CJ131" s="56"/>
      <c r="CK131" s="56"/>
      <c r="CL131" s="56"/>
      <c r="CM131" s="56"/>
      <c r="CN131" s="56"/>
      <c r="CO131" s="56"/>
      <c r="CP131" s="56"/>
      <c r="CQ131" s="56"/>
      <c r="CR131" s="56"/>
      <c r="CS131" s="56"/>
      <c r="CT131" s="56"/>
      <c r="CU131" s="56"/>
      <c r="CV131" s="56"/>
      <c r="CW131" s="56"/>
      <c r="CX131" s="56"/>
      <c r="CY131" s="56"/>
      <c r="CZ131" s="56"/>
      <c r="DA131" s="56"/>
      <c r="DB131" s="56"/>
      <c r="DC131" s="56"/>
      <c r="DD131" s="56"/>
      <c r="DE131" s="56"/>
      <c r="DF131" s="56"/>
      <c r="DG131" s="56"/>
      <c r="DH131" s="56"/>
      <c r="DI131" s="56"/>
      <c r="DJ131" s="56"/>
      <c r="DK131" s="56"/>
      <c r="DL131" s="56"/>
      <c r="DM131" s="56"/>
      <c r="DN131" s="56"/>
      <c r="DO131" s="56"/>
      <c r="DP131" s="56"/>
      <c r="DQ131" s="56"/>
      <c r="DR131" s="56"/>
      <c r="DS131" s="56"/>
      <c r="DT131" s="56"/>
      <c r="DU131" s="56"/>
      <c r="DV131" s="56"/>
      <c r="DW131" s="56"/>
      <c r="DX131" s="56"/>
      <c r="DY131" s="56"/>
      <c r="DZ131" s="56"/>
      <c r="EA131" s="56"/>
      <c r="EB131" s="56"/>
      <c r="EC131" s="56"/>
      <c r="ED131" s="56"/>
      <c r="EE131" s="56"/>
      <c r="EF131" s="56"/>
      <c r="EG131" s="56"/>
      <c r="EH131" s="56"/>
      <c r="EI131" s="56"/>
      <c r="EJ131" s="56"/>
      <c r="EK131" s="56"/>
    </row>
    <row r="132" spans="1:141" ht="24.75" customHeight="1" thickBot="1" x14ac:dyDescent="0.6">
      <c r="A132" s="65" t="s">
        <v>115</v>
      </c>
      <c r="B132" s="73">
        <v>129</v>
      </c>
      <c r="C132" s="74">
        <v>2843</v>
      </c>
      <c r="D132" s="31">
        <v>0</v>
      </c>
      <c r="E132" s="10">
        <v>1</v>
      </c>
      <c r="F132" s="28">
        <v>1</v>
      </c>
      <c r="G132" s="27"/>
      <c r="H132" s="28">
        <v>15</v>
      </c>
      <c r="I132" s="29">
        <v>8</v>
      </c>
      <c r="J132" s="27">
        <v>1.1000000000000001</v>
      </c>
      <c r="K132" s="28">
        <v>2</v>
      </c>
      <c r="L132" s="30">
        <v>1.7</v>
      </c>
      <c r="M132" s="13">
        <f>0</f>
        <v>0</v>
      </c>
      <c r="N132" s="17">
        <f>0</f>
        <v>0</v>
      </c>
      <c r="O132" s="100">
        <f>ROUND(C132*H132/1000,0)</f>
        <v>43</v>
      </c>
      <c r="P132" s="14"/>
      <c r="Q132" s="14"/>
      <c r="R132" s="14">
        <f>ROUND(C132*I132/1000,0)</f>
        <v>23</v>
      </c>
      <c r="S132" s="14"/>
      <c r="T132" s="18"/>
      <c r="U132" s="13"/>
      <c r="V132" s="17"/>
      <c r="W132" s="948"/>
      <c r="X132" s="949"/>
      <c r="Y132" s="950"/>
      <c r="Z132" s="13">
        <f t="shared" si="73"/>
        <v>4833</v>
      </c>
      <c r="AA132" s="15"/>
      <c r="AB132" s="23"/>
      <c r="AC132" s="17"/>
      <c r="AD132" s="17"/>
      <c r="AE132" s="13">
        <f t="shared" si="74"/>
        <v>4085</v>
      </c>
      <c r="AF132" s="13">
        <f t="shared" si="72"/>
        <v>0</v>
      </c>
      <c r="AG132" s="14"/>
      <c r="AH132" s="13">
        <f t="shared" si="75"/>
        <v>2185</v>
      </c>
      <c r="AI132" s="14"/>
      <c r="AJ132" s="16"/>
      <c r="AK132" s="100"/>
      <c r="AL132" s="14"/>
      <c r="AM132" s="190" t="e">
        <f>W128+AE132</f>
        <v>#VALUE!</v>
      </c>
      <c r="AN132" s="14">
        <f t="shared" si="76"/>
        <v>0</v>
      </c>
      <c r="AO132" s="14"/>
      <c r="AP132" s="14">
        <f t="shared" si="77"/>
        <v>7018</v>
      </c>
      <c r="AQ132" s="14"/>
      <c r="AR132" s="1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</row>
    <row r="133" spans="1:141" ht="24.75" thickBot="1" x14ac:dyDescent="0.6">
      <c r="A133" s="883" t="s">
        <v>132</v>
      </c>
      <c r="B133" s="885">
        <f>SUM(B128:B132)</f>
        <v>605</v>
      </c>
      <c r="C133" s="931">
        <f>SUM(C128:C132)</f>
        <v>14369</v>
      </c>
      <c r="D133" s="887"/>
      <c r="E133" s="888"/>
      <c r="F133" s="888"/>
      <c r="G133" s="888"/>
      <c r="H133" s="888"/>
      <c r="I133" s="888"/>
      <c r="J133" s="888"/>
      <c r="K133" s="888"/>
      <c r="L133" s="889"/>
      <c r="M133" s="158">
        <f>M131+M132</f>
        <v>0</v>
      </c>
      <c r="N133" s="158">
        <f>N131</f>
        <v>0</v>
      </c>
      <c r="O133" s="160">
        <f>SUM(O128:O132)</f>
        <v>216</v>
      </c>
      <c r="P133" s="160">
        <f>SUM(P128:P132)</f>
        <v>0</v>
      </c>
      <c r="Q133" s="160">
        <f>Q130+Q131</f>
        <v>0</v>
      </c>
      <c r="R133" s="161">
        <f>SUM(R128:R132)</f>
        <v>115</v>
      </c>
      <c r="S133" s="161">
        <f>SUM(S128:S132)</f>
        <v>0</v>
      </c>
      <c r="T133" s="163">
        <f>SUM(T128:T132)</f>
        <v>0</v>
      </c>
      <c r="U133" s="158">
        <f>U131+U132</f>
        <v>0</v>
      </c>
      <c r="V133" s="188">
        <f>V131+V130+V129</f>
        <v>0</v>
      </c>
      <c r="W133" s="157">
        <f>SUM(W128:W132)</f>
        <v>0</v>
      </c>
      <c r="X133" s="157">
        <f>SUM(X128:X132)</f>
        <v>0</v>
      </c>
      <c r="Y133" s="164"/>
      <c r="Z133" s="175">
        <f>SUM(Z128:Z132)</f>
        <v>24428</v>
      </c>
      <c r="AA133" s="164"/>
      <c r="AB133" s="164"/>
      <c r="AC133" s="157">
        <f>SUM(AC131:AC132)</f>
        <v>0</v>
      </c>
      <c r="AD133" s="157">
        <f>0</f>
        <v>0</v>
      </c>
      <c r="AE133" s="166">
        <f t="shared" ref="AE133:AJ133" si="78">SUM(AE128:AE132)</f>
        <v>20520</v>
      </c>
      <c r="AF133" s="166">
        <f t="shared" si="78"/>
        <v>0</v>
      </c>
      <c r="AG133" s="166">
        <f t="shared" si="78"/>
        <v>0</v>
      </c>
      <c r="AH133" s="175">
        <f t="shared" si="78"/>
        <v>10925</v>
      </c>
      <c r="AI133" s="175">
        <f t="shared" si="78"/>
        <v>0</v>
      </c>
      <c r="AJ133" s="175">
        <f t="shared" si="78"/>
        <v>0</v>
      </c>
      <c r="AK133" s="165">
        <f>SUM(AK131:AK132)</f>
        <v>0</v>
      </c>
      <c r="AL133" s="165">
        <f>0</f>
        <v>0</v>
      </c>
      <c r="AM133" s="166" t="e">
        <f>SUM(AM128:AM132)</f>
        <v>#VALUE!</v>
      </c>
      <c r="AN133" s="166">
        <f>AN130+AN131</f>
        <v>0</v>
      </c>
      <c r="AO133" s="164"/>
      <c r="AP133" s="175">
        <f>SUM(AP128:AP132)</f>
        <v>35353</v>
      </c>
      <c r="AQ133" s="164"/>
      <c r="AR133" s="167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</row>
    <row r="134" spans="1:141" ht="27" thickBot="1" x14ac:dyDescent="0.75">
      <c r="A134" s="884"/>
      <c r="B134" s="886"/>
      <c r="C134" s="932"/>
      <c r="D134" s="890"/>
      <c r="E134" s="891"/>
      <c r="F134" s="891"/>
      <c r="G134" s="891"/>
      <c r="H134" s="891"/>
      <c r="I134" s="891"/>
      <c r="J134" s="891"/>
      <c r="K134" s="891"/>
      <c r="L134" s="892"/>
      <c r="M134" s="893">
        <f>M133+N133</f>
        <v>0</v>
      </c>
      <c r="N134" s="894">
        <f>M133+N133</f>
        <v>0</v>
      </c>
      <c r="O134" s="895">
        <f>+O133+P133+Q133</f>
        <v>216</v>
      </c>
      <c r="P134" s="896"/>
      <c r="Q134" s="897"/>
      <c r="R134" s="898">
        <f>+R133+S133+T133</f>
        <v>115</v>
      </c>
      <c r="S134" s="899"/>
      <c r="T134" s="900"/>
      <c r="U134" s="901">
        <f>U133+V133</f>
        <v>0</v>
      </c>
      <c r="V134" s="902"/>
      <c r="W134" s="896">
        <f>W133+X133+Y133</f>
        <v>0</v>
      </c>
      <c r="X134" s="896"/>
      <c r="Y134" s="897"/>
      <c r="Z134" s="933">
        <f>Z133+AA133+AB133</f>
        <v>24428</v>
      </c>
      <c r="AA134" s="934"/>
      <c r="AB134" s="935"/>
      <c r="AC134" s="909">
        <f>AC133+AD133</f>
        <v>0</v>
      </c>
      <c r="AD134" s="910">
        <f t="shared" ref="AD134" si="79">ROUND(N134*960,0)</f>
        <v>0</v>
      </c>
      <c r="AE134" s="911">
        <f>AE133+AF133+AG133</f>
        <v>20520</v>
      </c>
      <c r="AF134" s="912"/>
      <c r="AG134" s="913"/>
      <c r="AH134" s="936">
        <f>AH133+AI133+AJ133</f>
        <v>10925</v>
      </c>
      <c r="AI134" s="937"/>
      <c r="AJ134" s="938"/>
      <c r="AK134" s="917">
        <f>AK133+AL133</f>
        <v>0</v>
      </c>
      <c r="AL134" s="918">
        <f t="shared" ref="AL134" si="80">V134+AD134</f>
        <v>0</v>
      </c>
      <c r="AM134" s="911" t="e">
        <f>AM133+AN133+AO133</f>
        <v>#VALUE!</v>
      </c>
      <c r="AN134" s="912"/>
      <c r="AO134" s="913"/>
      <c r="AP134" s="939">
        <f>AP133+AQ133+AR133</f>
        <v>35353</v>
      </c>
      <c r="AQ134" s="940"/>
      <c r="AR134" s="94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</row>
    <row r="135" spans="1:141" s="180" customFormat="1" ht="39.950000000000003" customHeight="1" thickBot="1" x14ac:dyDescent="0.6">
      <c r="A135" s="922" t="s">
        <v>117</v>
      </c>
      <c r="B135" s="923"/>
      <c r="C135" s="923"/>
      <c r="D135" s="923"/>
      <c r="E135" s="923"/>
      <c r="F135" s="923"/>
      <c r="G135" s="923"/>
      <c r="H135" s="923"/>
      <c r="I135" s="923"/>
      <c r="J135" s="923"/>
      <c r="K135" s="923"/>
      <c r="L135" s="923"/>
      <c r="M135" s="923"/>
      <c r="N135" s="923"/>
      <c r="O135" s="923"/>
      <c r="P135" s="923"/>
      <c r="Q135" s="923"/>
      <c r="R135" s="923"/>
      <c r="S135" s="923"/>
      <c r="T135" s="923"/>
      <c r="U135" s="923"/>
      <c r="V135" s="923"/>
      <c r="W135" s="923"/>
      <c r="X135" s="923"/>
      <c r="Y135" s="923"/>
      <c r="Z135" s="923"/>
      <c r="AA135" s="923"/>
      <c r="AB135" s="923"/>
      <c r="AC135" s="923"/>
      <c r="AD135" s="923"/>
      <c r="AE135" s="923"/>
      <c r="AF135" s="923"/>
      <c r="AG135" s="923"/>
      <c r="AH135" s="923"/>
      <c r="AI135" s="923"/>
      <c r="AJ135" s="923"/>
      <c r="AK135" s="923"/>
      <c r="AL135" s="923"/>
      <c r="AM135" s="923"/>
      <c r="AN135" s="923"/>
      <c r="AO135" s="923"/>
      <c r="AP135" s="923"/>
      <c r="AQ135" s="923"/>
      <c r="AR135" s="924"/>
      <c r="AS135" s="176"/>
      <c r="AT135" s="176"/>
      <c r="AU135" s="176"/>
      <c r="AV135" s="176"/>
      <c r="AW135" s="176"/>
      <c r="AX135" s="176"/>
      <c r="AY135" s="176"/>
      <c r="AZ135" s="176"/>
      <c r="BA135" s="176"/>
      <c r="BB135" s="176"/>
      <c r="BC135" s="176"/>
      <c r="BD135" s="176"/>
      <c r="BE135" s="176"/>
      <c r="BF135" s="176"/>
      <c r="BG135" s="176"/>
      <c r="BH135" s="176"/>
      <c r="BI135" s="176"/>
      <c r="BJ135" s="176"/>
      <c r="BK135" s="176"/>
      <c r="BL135" s="176"/>
      <c r="BM135" s="176"/>
      <c r="BN135" s="176"/>
      <c r="BO135" s="176"/>
      <c r="BP135" s="176"/>
      <c r="BQ135" s="176"/>
      <c r="BR135" s="176"/>
      <c r="BS135" s="176"/>
      <c r="BT135" s="176"/>
      <c r="BU135" s="176"/>
      <c r="BV135" s="176"/>
      <c r="BW135" s="176"/>
      <c r="BX135" s="176"/>
      <c r="BY135" s="176"/>
      <c r="BZ135" s="176"/>
      <c r="CA135" s="176"/>
      <c r="CB135" s="176"/>
      <c r="CC135" s="176"/>
      <c r="CD135" s="176"/>
      <c r="CE135" s="176"/>
      <c r="CF135" s="176"/>
      <c r="CG135" s="176"/>
      <c r="CH135" s="176"/>
      <c r="CI135" s="176"/>
      <c r="CJ135" s="176"/>
      <c r="CK135" s="176"/>
      <c r="CL135" s="176"/>
      <c r="CM135" s="176"/>
      <c r="CN135" s="176"/>
      <c r="CO135" s="176"/>
      <c r="CP135" s="176"/>
      <c r="CQ135" s="176"/>
      <c r="CR135" s="176"/>
      <c r="CS135" s="176"/>
      <c r="CT135" s="176"/>
      <c r="CU135" s="176"/>
      <c r="CV135" s="176"/>
      <c r="CW135" s="176"/>
      <c r="CX135" s="176"/>
      <c r="CY135" s="176"/>
      <c r="CZ135" s="176"/>
      <c r="DA135" s="176"/>
      <c r="DB135" s="176"/>
      <c r="DC135" s="176"/>
      <c r="DD135" s="176"/>
      <c r="DE135" s="176"/>
      <c r="DF135" s="176"/>
      <c r="DG135" s="176"/>
      <c r="DH135" s="176"/>
      <c r="DI135" s="176"/>
      <c r="DJ135" s="176"/>
      <c r="DK135" s="176"/>
      <c r="DL135" s="176"/>
      <c r="DM135" s="176"/>
      <c r="DN135" s="176"/>
      <c r="DO135" s="176"/>
      <c r="DP135" s="176"/>
      <c r="DQ135" s="176"/>
      <c r="DR135" s="176"/>
      <c r="DS135" s="176"/>
      <c r="DT135" s="176"/>
      <c r="DU135" s="176"/>
      <c r="DV135" s="176"/>
      <c r="DW135" s="176"/>
      <c r="DX135" s="176"/>
      <c r="DY135" s="176"/>
      <c r="DZ135" s="176"/>
      <c r="EA135" s="176"/>
      <c r="EB135" s="176"/>
      <c r="EC135" s="176"/>
      <c r="ED135" s="176"/>
      <c r="EE135" s="176"/>
      <c r="EF135" s="176"/>
      <c r="EG135" s="176"/>
      <c r="EH135" s="176"/>
      <c r="EI135" s="176"/>
      <c r="EJ135" s="176"/>
      <c r="EK135" s="176"/>
    </row>
    <row r="136" spans="1:141" s="68" customFormat="1" ht="39.950000000000003" customHeight="1" thickBot="1" x14ac:dyDescent="0.6">
      <c r="A136" s="880" t="s">
        <v>118</v>
      </c>
      <c r="B136" s="881"/>
      <c r="C136" s="881"/>
      <c r="D136" s="881"/>
      <c r="E136" s="881"/>
      <c r="F136" s="881"/>
      <c r="G136" s="881"/>
      <c r="H136" s="881"/>
      <c r="I136" s="881"/>
      <c r="J136" s="881"/>
      <c r="K136" s="881"/>
      <c r="L136" s="881"/>
      <c r="M136" s="881"/>
      <c r="N136" s="881"/>
      <c r="O136" s="881"/>
      <c r="P136" s="881"/>
      <c r="Q136" s="881"/>
      <c r="R136" s="881"/>
      <c r="S136" s="881"/>
      <c r="T136" s="881"/>
      <c r="U136" s="881"/>
      <c r="V136" s="881"/>
      <c r="W136" s="881"/>
      <c r="X136" s="881"/>
      <c r="Y136" s="881"/>
      <c r="Z136" s="881"/>
      <c r="AA136" s="881"/>
      <c r="AB136" s="881"/>
      <c r="AC136" s="881"/>
      <c r="AD136" s="881"/>
      <c r="AE136" s="881"/>
      <c r="AF136" s="881"/>
      <c r="AG136" s="881"/>
      <c r="AH136" s="881"/>
      <c r="AI136" s="881"/>
      <c r="AJ136" s="881"/>
      <c r="AK136" s="881"/>
      <c r="AL136" s="881"/>
      <c r="AM136" s="881"/>
      <c r="AN136" s="881"/>
      <c r="AO136" s="881"/>
      <c r="AP136" s="881"/>
      <c r="AQ136" s="881"/>
      <c r="AR136" s="882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  <c r="BM136" s="69"/>
      <c r="BN136" s="69"/>
      <c r="BO136" s="69"/>
      <c r="BP136" s="69"/>
      <c r="BQ136" s="69"/>
      <c r="BR136" s="69"/>
      <c r="BS136" s="69"/>
      <c r="BT136" s="69"/>
      <c r="BU136" s="69"/>
      <c r="BV136" s="69"/>
      <c r="BW136" s="69"/>
      <c r="BX136" s="69"/>
      <c r="BY136" s="69"/>
      <c r="BZ136" s="69"/>
      <c r="CA136" s="69"/>
      <c r="CB136" s="69"/>
      <c r="CC136" s="69"/>
      <c r="CD136" s="69"/>
      <c r="CE136" s="69"/>
      <c r="CF136" s="69"/>
      <c r="CG136" s="69"/>
      <c r="CH136" s="69"/>
      <c r="CI136" s="69"/>
      <c r="CJ136" s="69"/>
      <c r="CK136" s="69"/>
      <c r="CL136" s="69"/>
      <c r="CM136" s="69"/>
      <c r="CN136" s="69"/>
      <c r="CO136" s="69"/>
      <c r="CP136" s="69"/>
      <c r="CQ136" s="69"/>
      <c r="CR136" s="69"/>
      <c r="CS136" s="69"/>
      <c r="CT136" s="69"/>
      <c r="CU136" s="69"/>
      <c r="CV136" s="69"/>
      <c r="CW136" s="69"/>
      <c r="CX136" s="69"/>
      <c r="CY136" s="69"/>
      <c r="CZ136" s="69"/>
      <c r="DA136" s="69"/>
      <c r="DB136" s="69"/>
      <c r="DC136" s="69"/>
      <c r="DD136" s="69"/>
      <c r="DE136" s="69"/>
      <c r="DF136" s="69"/>
      <c r="DG136" s="69"/>
      <c r="DH136" s="69"/>
      <c r="DI136" s="69"/>
      <c r="DJ136" s="69"/>
      <c r="DK136" s="69"/>
      <c r="DL136" s="69"/>
      <c r="DM136" s="69"/>
      <c r="DN136" s="69"/>
      <c r="DO136" s="69"/>
      <c r="DP136" s="69"/>
      <c r="DQ136" s="69"/>
      <c r="DR136" s="69"/>
      <c r="DS136" s="69"/>
      <c r="DT136" s="69"/>
      <c r="DU136" s="69"/>
      <c r="DV136" s="69"/>
      <c r="DW136" s="69"/>
      <c r="DX136" s="69"/>
      <c r="DY136" s="69"/>
      <c r="DZ136" s="69"/>
      <c r="EA136" s="69"/>
      <c r="EB136" s="69"/>
      <c r="EC136" s="69"/>
      <c r="ED136" s="69"/>
      <c r="EE136" s="69"/>
      <c r="EF136" s="69"/>
      <c r="EG136" s="69"/>
      <c r="EH136" s="69"/>
      <c r="EI136" s="69"/>
      <c r="EJ136" s="69"/>
      <c r="EK136" s="69"/>
    </row>
    <row r="137" spans="1:141" s="206" customFormat="1" x14ac:dyDescent="0.55000000000000004">
      <c r="A137" s="191" t="s">
        <v>119</v>
      </c>
      <c r="B137" s="92">
        <v>133</v>
      </c>
      <c r="C137" s="93">
        <v>3333</v>
      </c>
      <c r="D137" s="192">
        <v>1</v>
      </c>
      <c r="E137" s="193">
        <v>1</v>
      </c>
      <c r="F137" s="193">
        <f>0</f>
        <v>0</v>
      </c>
      <c r="G137" s="194">
        <v>5</v>
      </c>
      <c r="H137" s="193">
        <v>15</v>
      </c>
      <c r="I137" s="195">
        <f>0</f>
        <v>0</v>
      </c>
      <c r="J137" s="194">
        <v>1.1000000000000001</v>
      </c>
      <c r="K137" s="193">
        <v>2</v>
      </c>
      <c r="L137" s="196">
        <v>1.7</v>
      </c>
      <c r="M137" s="197">
        <f>ROUND(C137*G137/1000,0)</f>
        <v>17</v>
      </c>
      <c r="N137" s="198">
        <f>0</f>
        <v>0</v>
      </c>
      <c r="O137" s="199">
        <f>ROUND(C137*H137/1000,0)</f>
        <v>50</v>
      </c>
      <c r="P137" s="200">
        <f>0</f>
        <v>0</v>
      </c>
      <c r="Q137" s="200"/>
      <c r="R137" s="200">
        <f>ROUND(C137*I137/1000,0)</f>
        <v>0</v>
      </c>
      <c r="S137" s="200"/>
      <c r="T137" s="201"/>
      <c r="U137" s="197">
        <f>ROUND(C137*J137,0)</f>
        <v>3666</v>
      </c>
      <c r="V137" s="198"/>
      <c r="W137" s="942" t="s">
        <v>116</v>
      </c>
      <c r="X137" s="943"/>
      <c r="Y137" s="944"/>
      <c r="Z137" s="197">
        <f>0</f>
        <v>0</v>
      </c>
      <c r="AA137" s="202"/>
      <c r="AB137" s="203"/>
      <c r="AC137" s="198">
        <f>ROUND(M137*95,0)</f>
        <v>1615</v>
      </c>
      <c r="AD137" s="198"/>
      <c r="AE137" s="197">
        <f>ROUND(O137*95,0)</f>
        <v>4750</v>
      </c>
      <c r="AF137" s="197">
        <f t="shared" ref="AF137:AF141" si="81">ROUND(P137*960,0)</f>
        <v>0</v>
      </c>
      <c r="AG137" s="200"/>
      <c r="AH137" s="197">
        <f>ROUND(R137*960,0)</f>
        <v>0</v>
      </c>
      <c r="AI137" s="200"/>
      <c r="AJ137" s="204"/>
      <c r="AK137" s="199"/>
      <c r="AL137" s="200"/>
      <c r="AM137" s="207" t="e">
        <f>W137+AE137</f>
        <v>#VALUE!</v>
      </c>
      <c r="AN137" s="200">
        <f t="shared" ref="AN137:AN141" si="82">X137+AF137</f>
        <v>0</v>
      </c>
      <c r="AO137" s="200"/>
      <c r="AP137" s="200">
        <f t="shared" ref="AP137:AP141" si="83">Z137+AH137</f>
        <v>0</v>
      </c>
      <c r="AQ137" s="200"/>
      <c r="AR137" s="204"/>
      <c r="AS137" s="205"/>
      <c r="AT137" s="205"/>
      <c r="AU137" s="205"/>
      <c r="AV137" s="205"/>
      <c r="AW137" s="205"/>
      <c r="AX137" s="205"/>
      <c r="AY137" s="205"/>
      <c r="AZ137" s="205"/>
      <c r="BA137" s="205"/>
      <c r="BB137" s="205"/>
      <c r="BC137" s="205"/>
      <c r="BD137" s="205"/>
      <c r="BE137" s="205"/>
      <c r="BF137" s="205"/>
      <c r="BG137" s="205"/>
      <c r="BH137" s="205"/>
      <c r="BI137" s="205"/>
      <c r="BJ137" s="205"/>
      <c r="BK137" s="205"/>
      <c r="BL137" s="205"/>
      <c r="BM137" s="205"/>
      <c r="BN137" s="205"/>
      <c r="BO137" s="205"/>
      <c r="BP137" s="205"/>
      <c r="BQ137" s="205"/>
      <c r="BR137" s="205"/>
      <c r="BS137" s="205"/>
      <c r="BT137" s="205"/>
      <c r="BU137" s="205"/>
      <c r="BV137" s="205"/>
      <c r="BW137" s="205"/>
      <c r="BX137" s="205"/>
      <c r="BY137" s="205"/>
      <c r="BZ137" s="205"/>
      <c r="CA137" s="205"/>
      <c r="CB137" s="205"/>
      <c r="CC137" s="205"/>
      <c r="CD137" s="205"/>
      <c r="CE137" s="205"/>
      <c r="CF137" s="205"/>
      <c r="CG137" s="205"/>
      <c r="CH137" s="205"/>
      <c r="CI137" s="205"/>
      <c r="CJ137" s="205"/>
      <c r="CK137" s="205"/>
      <c r="CL137" s="205"/>
      <c r="CM137" s="205"/>
      <c r="CN137" s="205"/>
      <c r="CO137" s="205"/>
      <c r="CP137" s="205"/>
      <c r="CQ137" s="205"/>
      <c r="CR137" s="205"/>
      <c r="CS137" s="205"/>
      <c r="CT137" s="205"/>
      <c r="CU137" s="205"/>
      <c r="CV137" s="205"/>
      <c r="CW137" s="205"/>
      <c r="CX137" s="205"/>
      <c r="CY137" s="205"/>
      <c r="CZ137" s="205"/>
      <c r="DA137" s="205"/>
      <c r="DB137" s="205"/>
      <c r="DC137" s="205"/>
      <c r="DD137" s="205"/>
      <c r="DE137" s="205"/>
      <c r="DF137" s="205"/>
      <c r="DG137" s="205"/>
      <c r="DH137" s="205"/>
      <c r="DI137" s="205"/>
      <c r="DJ137" s="205"/>
      <c r="DK137" s="205"/>
      <c r="DL137" s="205"/>
      <c r="DM137" s="205"/>
      <c r="DN137" s="205"/>
      <c r="DO137" s="205"/>
      <c r="DP137" s="205"/>
      <c r="DQ137" s="205"/>
      <c r="DR137" s="205"/>
      <c r="DS137" s="205"/>
      <c r="DT137" s="205"/>
      <c r="DU137" s="205"/>
      <c r="DV137" s="205"/>
      <c r="DW137" s="205"/>
      <c r="DX137" s="205"/>
      <c r="DY137" s="205"/>
      <c r="DZ137" s="205"/>
      <c r="EA137" s="205"/>
      <c r="EB137" s="205"/>
      <c r="EC137" s="205"/>
      <c r="ED137" s="205"/>
      <c r="EE137" s="205"/>
      <c r="EF137" s="205"/>
      <c r="EG137" s="205"/>
      <c r="EH137" s="205"/>
      <c r="EI137" s="205"/>
      <c r="EJ137" s="205"/>
      <c r="EK137" s="205"/>
    </row>
    <row r="138" spans="1:141" s="206" customFormat="1" x14ac:dyDescent="0.55000000000000004">
      <c r="A138" s="191" t="s">
        <v>120</v>
      </c>
      <c r="B138" s="94">
        <v>101</v>
      </c>
      <c r="C138" s="95">
        <v>2525</v>
      </c>
      <c r="D138" s="198">
        <v>1</v>
      </c>
      <c r="E138" s="200">
        <v>1</v>
      </c>
      <c r="F138" s="200">
        <f>0</f>
        <v>0</v>
      </c>
      <c r="G138" s="197">
        <v>5</v>
      </c>
      <c r="H138" s="200">
        <v>15</v>
      </c>
      <c r="I138" s="203">
        <f>0</f>
        <v>0</v>
      </c>
      <c r="J138" s="197">
        <v>1.1000000000000001</v>
      </c>
      <c r="K138" s="200">
        <v>2</v>
      </c>
      <c r="L138" s="202">
        <v>1.7</v>
      </c>
      <c r="M138" s="197">
        <f t="shared" ref="M138:M141" si="84">ROUND(C138*G138/1000,0)</f>
        <v>13</v>
      </c>
      <c r="N138" s="198">
        <f>0</f>
        <v>0</v>
      </c>
      <c r="O138" s="199">
        <f>ROUND(C138*H138/1000,0)</f>
        <v>38</v>
      </c>
      <c r="P138" s="200">
        <f>0</f>
        <v>0</v>
      </c>
      <c r="Q138" s="200"/>
      <c r="R138" s="200">
        <f>ROUND(C138*I138/1000,0)</f>
        <v>0</v>
      </c>
      <c r="S138" s="200"/>
      <c r="T138" s="201"/>
      <c r="U138" s="197">
        <f t="shared" ref="U138:U141" si="85">ROUND(C138*J138,0)</f>
        <v>2778</v>
      </c>
      <c r="V138" s="198"/>
      <c r="W138" s="945"/>
      <c r="X138" s="946"/>
      <c r="Y138" s="947"/>
      <c r="Z138" s="197">
        <f>0</f>
        <v>0</v>
      </c>
      <c r="AA138" s="202"/>
      <c r="AB138" s="203"/>
      <c r="AC138" s="198">
        <f t="shared" ref="AC138:AC140" si="86">ROUND(M138*95,0)</f>
        <v>1235</v>
      </c>
      <c r="AD138" s="198"/>
      <c r="AE138" s="197">
        <f t="shared" ref="AE138:AE141" si="87">ROUND(O138*95,0)</f>
        <v>3610</v>
      </c>
      <c r="AF138" s="197">
        <f t="shared" si="81"/>
        <v>0</v>
      </c>
      <c r="AG138" s="200"/>
      <c r="AH138" s="197">
        <f t="shared" ref="AH138:AH141" si="88">ROUND(R138*960,0)</f>
        <v>0</v>
      </c>
      <c r="AI138" s="200"/>
      <c r="AJ138" s="204"/>
      <c r="AK138" s="199"/>
      <c r="AL138" s="200"/>
      <c r="AM138" s="207" t="e">
        <f>W137+AE138</f>
        <v>#VALUE!</v>
      </c>
      <c r="AN138" s="200">
        <f t="shared" si="82"/>
        <v>0</v>
      </c>
      <c r="AO138" s="200"/>
      <c r="AP138" s="200">
        <f t="shared" si="83"/>
        <v>0</v>
      </c>
      <c r="AQ138" s="200"/>
      <c r="AR138" s="204"/>
      <c r="AS138" s="205"/>
      <c r="AT138" s="205"/>
      <c r="AU138" s="205"/>
      <c r="AV138" s="205"/>
      <c r="AW138" s="205"/>
      <c r="AX138" s="205"/>
      <c r="AY138" s="205"/>
      <c r="AZ138" s="205"/>
      <c r="BA138" s="205"/>
      <c r="BB138" s="205"/>
      <c r="BC138" s="205"/>
      <c r="BD138" s="205"/>
      <c r="BE138" s="205"/>
      <c r="BF138" s="205"/>
      <c r="BG138" s="205"/>
      <c r="BH138" s="205"/>
      <c r="BI138" s="205"/>
      <c r="BJ138" s="205"/>
      <c r="BK138" s="205"/>
      <c r="BL138" s="205"/>
      <c r="BM138" s="205"/>
      <c r="BN138" s="205"/>
      <c r="BO138" s="205"/>
      <c r="BP138" s="205"/>
      <c r="BQ138" s="205"/>
      <c r="BR138" s="205"/>
      <c r="BS138" s="205"/>
      <c r="BT138" s="205"/>
      <c r="BU138" s="205"/>
      <c r="BV138" s="205"/>
      <c r="BW138" s="205"/>
      <c r="BX138" s="205"/>
      <c r="BY138" s="205"/>
      <c r="BZ138" s="205"/>
      <c r="CA138" s="205"/>
      <c r="CB138" s="205"/>
      <c r="CC138" s="205"/>
      <c r="CD138" s="205"/>
      <c r="CE138" s="205"/>
      <c r="CF138" s="205"/>
      <c r="CG138" s="205"/>
      <c r="CH138" s="205"/>
      <c r="CI138" s="205"/>
      <c r="CJ138" s="205"/>
      <c r="CK138" s="205"/>
      <c r="CL138" s="205"/>
      <c r="CM138" s="205"/>
      <c r="CN138" s="205"/>
      <c r="CO138" s="205"/>
      <c r="CP138" s="205"/>
      <c r="CQ138" s="205"/>
      <c r="CR138" s="205"/>
      <c r="CS138" s="205"/>
      <c r="CT138" s="205"/>
      <c r="CU138" s="205"/>
      <c r="CV138" s="205"/>
      <c r="CW138" s="205"/>
      <c r="CX138" s="205"/>
      <c r="CY138" s="205"/>
      <c r="CZ138" s="205"/>
      <c r="DA138" s="205"/>
      <c r="DB138" s="205"/>
      <c r="DC138" s="205"/>
      <c r="DD138" s="205"/>
      <c r="DE138" s="205"/>
      <c r="DF138" s="205"/>
      <c r="DG138" s="205"/>
      <c r="DH138" s="205"/>
      <c r="DI138" s="205"/>
      <c r="DJ138" s="205"/>
      <c r="DK138" s="205"/>
      <c r="DL138" s="205"/>
      <c r="DM138" s="205"/>
      <c r="DN138" s="205"/>
      <c r="DO138" s="205"/>
      <c r="DP138" s="205"/>
      <c r="DQ138" s="205"/>
      <c r="DR138" s="205"/>
      <c r="DS138" s="205"/>
      <c r="DT138" s="205"/>
      <c r="DU138" s="205"/>
      <c r="DV138" s="205"/>
      <c r="DW138" s="205"/>
      <c r="DX138" s="205"/>
      <c r="DY138" s="205"/>
      <c r="DZ138" s="205"/>
      <c r="EA138" s="205"/>
      <c r="EB138" s="205"/>
      <c r="EC138" s="205"/>
      <c r="ED138" s="205"/>
      <c r="EE138" s="205"/>
      <c r="EF138" s="205"/>
      <c r="EG138" s="205"/>
      <c r="EH138" s="205"/>
      <c r="EI138" s="205"/>
      <c r="EJ138" s="205"/>
      <c r="EK138" s="205"/>
    </row>
    <row r="139" spans="1:141" s="206" customFormat="1" x14ac:dyDescent="0.55000000000000004">
      <c r="A139" s="191" t="s">
        <v>121</v>
      </c>
      <c r="B139" s="94">
        <v>116</v>
      </c>
      <c r="C139" s="95">
        <v>2888</v>
      </c>
      <c r="D139" s="198">
        <v>1</v>
      </c>
      <c r="E139" s="200">
        <v>1</v>
      </c>
      <c r="F139" s="200">
        <f>0</f>
        <v>0</v>
      </c>
      <c r="G139" s="197">
        <v>5</v>
      </c>
      <c r="H139" s="200">
        <v>15</v>
      </c>
      <c r="I139" s="203">
        <f>0</f>
        <v>0</v>
      </c>
      <c r="J139" s="197">
        <v>1.1000000000000001</v>
      </c>
      <c r="K139" s="200">
        <v>2</v>
      </c>
      <c r="L139" s="202">
        <v>1.7</v>
      </c>
      <c r="M139" s="197">
        <f t="shared" si="84"/>
        <v>14</v>
      </c>
      <c r="N139" s="198">
        <f>0</f>
        <v>0</v>
      </c>
      <c r="O139" s="199">
        <f>ROUND(C139*H139/1000,0)</f>
        <v>43</v>
      </c>
      <c r="P139" s="200">
        <f>0</f>
        <v>0</v>
      </c>
      <c r="Q139" s="200"/>
      <c r="R139" s="200">
        <f>ROUND(C139*I139/1000,0)</f>
        <v>0</v>
      </c>
      <c r="S139" s="200"/>
      <c r="T139" s="201"/>
      <c r="U139" s="197">
        <f t="shared" si="85"/>
        <v>3177</v>
      </c>
      <c r="V139" s="198"/>
      <c r="W139" s="945"/>
      <c r="X139" s="946"/>
      <c r="Y139" s="947"/>
      <c r="Z139" s="197">
        <f>0</f>
        <v>0</v>
      </c>
      <c r="AA139" s="202"/>
      <c r="AB139" s="203"/>
      <c r="AC139" s="198">
        <f t="shared" si="86"/>
        <v>1330</v>
      </c>
      <c r="AD139" s="198"/>
      <c r="AE139" s="197">
        <f t="shared" si="87"/>
        <v>4085</v>
      </c>
      <c r="AF139" s="197">
        <f t="shared" si="81"/>
        <v>0</v>
      </c>
      <c r="AG139" s="200"/>
      <c r="AH139" s="197">
        <f t="shared" si="88"/>
        <v>0</v>
      </c>
      <c r="AI139" s="200"/>
      <c r="AJ139" s="204"/>
      <c r="AK139" s="199"/>
      <c r="AL139" s="200"/>
      <c r="AM139" s="207" t="e">
        <f>W137+AE139</f>
        <v>#VALUE!</v>
      </c>
      <c r="AN139" s="200">
        <f t="shared" si="82"/>
        <v>0</v>
      </c>
      <c r="AO139" s="200"/>
      <c r="AP139" s="200">
        <f t="shared" si="83"/>
        <v>0</v>
      </c>
      <c r="AQ139" s="200"/>
      <c r="AR139" s="204"/>
      <c r="AS139" s="205"/>
      <c r="AT139" s="205"/>
      <c r="AU139" s="205"/>
      <c r="AV139" s="205"/>
      <c r="AW139" s="205"/>
      <c r="AX139" s="205"/>
      <c r="AY139" s="205"/>
      <c r="AZ139" s="205"/>
      <c r="BA139" s="205"/>
      <c r="BB139" s="205"/>
      <c r="BC139" s="205"/>
      <c r="BD139" s="205"/>
      <c r="BE139" s="205"/>
      <c r="BF139" s="205"/>
      <c r="BG139" s="205"/>
      <c r="BH139" s="205"/>
      <c r="BI139" s="205"/>
      <c r="BJ139" s="205"/>
      <c r="BK139" s="205"/>
      <c r="BL139" s="205"/>
      <c r="BM139" s="205"/>
      <c r="BN139" s="205"/>
      <c r="BO139" s="205"/>
      <c r="BP139" s="205"/>
      <c r="BQ139" s="205"/>
      <c r="BR139" s="205"/>
      <c r="BS139" s="205"/>
      <c r="BT139" s="205"/>
      <c r="BU139" s="205"/>
      <c r="BV139" s="205"/>
      <c r="BW139" s="205"/>
      <c r="BX139" s="205"/>
      <c r="BY139" s="205"/>
      <c r="BZ139" s="205"/>
      <c r="CA139" s="205"/>
      <c r="CB139" s="205"/>
      <c r="CC139" s="205"/>
      <c r="CD139" s="205"/>
      <c r="CE139" s="205"/>
      <c r="CF139" s="205"/>
      <c r="CG139" s="205"/>
      <c r="CH139" s="205"/>
      <c r="CI139" s="205"/>
      <c r="CJ139" s="205"/>
      <c r="CK139" s="205"/>
      <c r="CL139" s="205"/>
      <c r="CM139" s="205"/>
      <c r="CN139" s="205"/>
      <c r="CO139" s="205"/>
      <c r="CP139" s="205"/>
      <c r="CQ139" s="205"/>
      <c r="CR139" s="205"/>
      <c r="CS139" s="205"/>
      <c r="CT139" s="205"/>
      <c r="CU139" s="205"/>
      <c r="CV139" s="205"/>
      <c r="CW139" s="205"/>
      <c r="CX139" s="205"/>
      <c r="CY139" s="205"/>
      <c r="CZ139" s="205"/>
      <c r="DA139" s="205"/>
      <c r="DB139" s="205"/>
      <c r="DC139" s="205"/>
      <c r="DD139" s="205"/>
      <c r="DE139" s="205"/>
      <c r="DF139" s="205"/>
      <c r="DG139" s="205"/>
      <c r="DH139" s="205"/>
      <c r="DI139" s="205"/>
      <c r="DJ139" s="205"/>
      <c r="DK139" s="205"/>
      <c r="DL139" s="205"/>
      <c r="DM139" s="205"/>
      <c r="DN139" s="205"/>
      <c r="DO139" s="205"/>
      <c r="DP139" s="205"/>
      <c r="DQ139" s="205"/>
      <c r="DR139" s="205"/>
      <c r="DS139" s="205"/>
      <c r="DT139" s="205"/>
      <c r="DU139" s="205"/>
      <c r="DV139" s="205"/>
      <c r="DW139" s="205"/>
      <c r="DX139" s="205"/>
      <c r="DY139" s="205"/>
      <c r="DZ139" s="205"/>
      <c r="EA139" s="205"/>
      <c r="EB139" s="205"/>
      <c r="EC139" s="205"/>
      <c r="ED139" s="205"/>
      <c r="EE139" s="205"/>
      <c r="EF139" s="205"/>
      <c r="EG139" s="205"/>
      <c r="EH139" s="205"/>
      <c r="EI139" s="205"/>
      <c r="EJ139" s="205"/>
      <c r="EK139" s="205"/>
    </row>
    <row r="140" spans="1:141" s="206" customFormat="1" x14ac:dyDescent="0.55000000000000004">
      <c r="A140" s="191" t="s">
        <v>122</v>
      </c>
      <c r="B140" s="94">
        <v>76</v>
      </c>
      <c r="C140" s="95">
        <v>1905</v>
      </c>
      <c r="D140" s="198">
        <v>1</v>
      </c>
      <c r="E140" s="200">
        <v>1</v>
      </c>
      <c r="F140" s="200">
        <f>0</f>
        <v>0</v>
      </c>
      <c r="G140" s="197">
        <v>5</v>
      </c>
      <c r="H140" s="200">
        <v>15</v>
      </c>
      <c r="I140" s="203">
        <f>0</f>
        <v>0</v>
      </c>
      <c r="J140" s="197">
        <v>1.1000000000000001</v>
      </c>
      <c r="K140" s="200">
        <v>2</v>
      </c>
      <c r="L140" s="202">
        <v>1.7</v>
      </c>
      <c r="M140" s="197">
        <f t="shared" si="84"/>
        <v>10</v>
      </c>
      <c r="N140" s="198">
        <f>0</f>
        <v>0</v>
      </c>
      <c r="O140" s="199">
        <f>ROUND(C140*H140/1000,0)</f>
        <v>29</v>
      </c>
      <c r="P140" s="200">
        <f>0</f>
        <v>0</v>
      </c>
      <c r="Q140" s="200"/>
      <c r="R140" s="200">
        <f>ROUND(C140*I140/1000,0)</f>
        <v>0</v>
      </c>
      <c r="S140" s="200"/>
      <c r="T140" s="201"/>
      <c r="U140" s="197">
        <f t="shared" si="85"/>
        <v>2096</v>
      </c>
      <c r="V140" s="198"/>
      <c r="W140" s="945"/>
      <c r="X140" s="946"/>
      <c r="Y140" s="947"/>
      <c r="Z140" s="197">
        <f>0</f>
        <v>0</v>
      </c>
      <c r="AA140" s="202"/>
      <c r="AB140" s="203"/>
      <c r="AC140" s="198">
        <f t="shared" si="86"/>
        <v>950</v>
      </c>
      <c r="AD140" s="198"/>
      <c r="AE140" s="197">
        <f t="shared" si="87"/>
        <v>2755</v>
      </c>
      <c r="AF140" s="197">
        <f t="shared" si="81"/>
        <v>0</v>
      </c>
      <c r="AG140" s="200"/>
      <c r="AH140" s="197">
        <f t="shared" si="88"/>
        <v>0</v>
      </c>
      <c r="AI140" s="200"/>
      <c r="AJ140" s="204"/>
      <c r="AK140" s="199"/>
      <c r="AL140" s="200"/>
      <c r="AM140" s="207" t="e">
        <f>W137+AE140</f>
        <v>#VALUE!</v>
      </c>
      <c r="AN140" s="200">
        <f t="shared" si="82"/>
        <v>0</v>
      </c>
      <c r="AO140" s="200"/>
      <c r="AP140" s="200">
        <f t="shared" si="83"/>
        <v>0</v>
      </c>
      <c r="AQ140" s="200"/>
      <c r="AR140" s="204"/>
      <c r="AS140" s="205"/>
      <c r="AT140" s="205"/>
      <c r="AU140" s="205"/>
      <c r="AV140" s="205"/>
      <c r="AW140" s="205"/>
      <c r="AX140" s="205"/>
      <c r="AY140" s="205"/>
      <c r="AZ140" s="205"/>
      <c r="BA140" s="205"/>
      <c r="BB140" s="205"/>
      <c r="BC140" s="205"/>
      <c r="BD140" s="205"/>
      <c r="BE140" s="205"/>
      <c r="BF140" s="205"/>
      <c r="BG140" s="205"/>
      <c r="BH140" s="205"/>
      <c r="BI140" s="205"/>
      <c r="BJ140" s="205"/>
      <c r="BK140" s="205"/>
      <c r="BL140" s="205"/>
      <c r="BM140" s="205"/>
      <c r="BN140" s="205"/>
      <c r="BO140" s="205"/>
      <c r="BP140" s="205"/>
      <c r="BQ140" s="205"/>
      <c r="BR140" s="205"/>
      <c r="BS140" s="205"/>
      <c r="BT140" s="205"/>
      <c r="BU140" s="205"/>
      <c r="BV140" s="205"/>
      <c r="BW140" s="205"/>
      <c r="BX140" s="205"/>
      <c r="BY140" s="205"/>
      <c r="BZ140" s="205"/>
      <c r="CA140" s="205"/>
      <c r="CB140" s="205"/>
      <c r="CC140" s="205"/>
      <c r="CD140" s="205"/>
      <c r="CE140" s="205"/>
      <c r="CF140" s="205"/>
      <c r="CG140" s="205"/>
      <c r="CH140" s="205"/>
      <c r="CI140" s="205"/>
      <c r="CJ140" s="205"/>
      <c r="CK140" s="205"/>
      <c r="CL140" s="205"/>
      <c r="CM140" s="205"/>
      <c r="CN140" s="205"/>
      <c r="CO140" s="205"/>
      <c r="CP140" s="205"/>
      <c r="CQ140" s="205"/>
      <c r="CR140" s="205"/>
      <c r="CS140" s="205"/>
      <c r="CT140" s="205"/>
      <c r="CU140" s="205"/>
      <c r="CV140" s="205"/>
      <c r="CW140" s="205"/>
      <c r="CX140" s="205"/>
      <c r="CY140" s="205"/>
      <c r="CZ140" s="205"/>
      <c r="DA140" s="205"/>
      <c r="DB140" s="205"/>
      <c r="DC140" s="205"/>
      <c r="DD140" s="205"/>
      <c r="DE140" s="205"/>
      <c r="DF140" s="205"/>
      <c r="DG140" s="205"/>
      <c r="DH140" s="205"/>
      <c r="DI140" s="205"/>
      <c r="DJ140" s="205"/>
      <c r="DK140" s="205"/>
      <c r="DL140" s="205"/>
      <c r="DM140" s="205"/>
      <c r="DN140" s="205"/>
      <c r="DO140" s="205"/>
      <c r="DP140" s="205"/>
      <c r="DQ140" s="205"/>
      <c r="DR140" s="205"/>
      <c r="DS140" s="205"/>
      <c r="DT140" s="205"/>
      <c r="DU140" s="205"/>
      <c r="DV140" s="205"/>
      <c r="DW140" s="205"/>
      <c r="DX140" s="205"/>
      <c r="DY140" s="205"/>
      <c r="DZ140" s="205"/>
      <c r="EA140" s="205"/>
      <c r="EB140" s="205"/>
      <c r="EC140" s="205"/>
      <c r="ED140" s="205"/>
      <c r="EE140" s="205"/>
      <c r="EF140" s="205"/>
      <c r="EG140" s="205"/>
      <c r="EH140" s="205"/>
      <c r="EI140" s="205"/>
      <c r="EJ140" s="205"/>
      <c r="EK140" s="205"/>
    </row>
    <row r="141" spans="1:141" s="206" customFormat="1" ht="24.75" thickBot="1" x14ac:dyDescent="0.6">
      <c r="A141" s="191" t="s">
        <v>123</v>
      </c>
      <c r="B141" s="94">
        <v>92</v>
      </c>
      <c r="C141" s="95">
        <v>2291</v>
      </c>
      <c r="D141" s="198">
        <v>1</v>
      </c>
      <c r="E141" s="200">
        <v>1</v>
      </c>
      <c r="F141" s="200">
        <f>0</f>
        <v>0</v>
      </c>
      <c r="G141" s="197">
        <v>5</v>
      </c>
      <c r="H141" s="200">
        <v>15</v>
      </c>
      <c r="I141" s="203">
        <f>0</f>
        <v>0</v>
      </c>
      <c r="J141" s="197">
        <v>1.1000000000000001</v>
      </c>
      <c r="K141" s="200">
        <v>2</v>
      </c>
      <c r="L141" s="202">
        <v>1.7</v>
      </c>
      <c r="M141" s="197">
        <f t="shared" si="84"/>
        <v>11</v>
      </c>
      <c r="N141" s="198">
        <f>0</f>
        <v>0</v>
      </c>
      <c r="O141" s="199">
        <f>ROUND(C141*H141/1000,0)</f>
        <v>34</v>
      </c>
      <c r="P141" s="200">
        <f>0</f>
        <v>0</v>
      </c>
      <c r="Q141" s="200"/>
      <c r="R141" s="200">
        <f>ROUND(C141*I141/1000,0)</f>
        <v>0</v>
      </c>
      <c r="S141" s="200"/>
      <c r="T141" s="201"/>
      <c r="U141" s="197">
        <f t="shared" si="85"/>
        <v>2520</v>
      </c>
      <c r="V141" s="198"/>
      <c r="W141" s="948"/>
      <c r="X141" s="949"/>
      <c r="Y141" s="950"/>
      <c r="Z141" s="197">
        <f>0</f>
        <v>0</v>
      </c>
      <c r="AA141" s="202"/>
      <c r="AB141" s="203"/>
      <c r="AC141" s="198">
        <f>ROUND(M141*95,0)</f>
        <v>1045</v>
      </c>
      <c r="AD141" s="198"/>
      <c r="AE141" s="197">
        <f t="shared" si="87"/>
        <v>3230</v>
      </c>
      <c r="AF141" s="197">
        <f t="shared" si="81"/>
        <v>0</v>
      </c>
      <c r="AG141" s="200"/>
      <c r="AH141" s="197">
        <f t="shared" si="88"/>
        <v>0</v>
      </c>
      <c r="AI141" s="200"/>
      <c r="AJ141" s="204"/>
      <c r="AK141" s="199"/>
      <c r="AL141" s="200"/>
      <c r="AM141" s="207" t="e">
        <f>W137+AE141</f>
        <v>#VALUE!</v>
      </c>
      <c r="AN141" s="200">
        <f t="shared" si="82"/>
        <v>0</v>
      </c>
      <c r="AO141" s="200"/>
      <c r="AP141" s="200">
        <f t="shared" si="83"/>
        <v>0</v>
      </c>
      <c r="AQ141" s="200"/>
      <c r="AR141" s="204"/>
      <c r="AS141" s="205"/>
      <c r="AT141" s="205"/>
      <c r="AU141" s="205"/>
      <c r="AV141" s="205"/>
      <c r="AW141" s="205"/>
      <c r="AX141" s="205"/>
      <c r="AY141" s="205"/>
      <c r="AZ141" s="205"/>
      <c r="BA141" s="205"/>
      <c r="BB141" s="205"/>
      <c r="BC141" s="205"/>
      <c r="BD141" s="205"/>
      <c r="BE141" s="205"/>
      <c r="BF141" s="205"/>
      <c r="BG141" s="205"/>
      <c r="BH141" s="205"/>
      <c r="BI141" s="205"/>
      <c r="BJ141" s="205"/>
      <c r="BK141" s="205"/>
      <c r="BL141" s="205"/>
      <c r="BM141" s="205"/>
      <c r="BN141" s="205"/>
      <c r="BO141" s="205"/>
      <c r="BP141" s="205"/>
      <c r="BQ141" s="205"/>
      <c r="BR141" s="205"/>
      <c r="BS141" s="205"/>
      <c r="BT141" s="205"/>
      <c r="BU141" s="205"/>
      <c r="BV141" s="205"/>
      <c r="BW141" s="205"/>
      <c r="BX141" s="205"/>
      <c r="BY141" s="205"/>
      <c r="BZ141" s="205"/>
      <c r="CA141" s="205"/>
      <c r="CB141" s="205"/>
      <c r="CC141" s="205"/>
      <c r="CD141" s="205"/>
      <c r="CE141" s="205"/>
      <c r="CF141" s="205"/>
      <c r="CG141" s="205"/>
      <c r="CH141" s="205"/>
      <c r="CI141" s="205"/>
      <c r="CJ141" s="205"/>
      <c r="CK141" s="205"/>
      <c r="CL141" s="205"/>
      <c r="CM141" s="205"/>
      <c r="CN141" s="205"/>
      <c r="CO141" s="205"/>
      <c r="CP141" s="205"/>
      <c r="CQ141" s="205"/>
      <c r="CR141" s="205"/>
      <c r="CS141" s="205"/>
      <c r="CT141" s="205"/>
      <c r="CU141" s="205"/>
      <c r="CV141" s="205"/>
      <c r="CW141" s="205"/>
      <c r="CX141" s="205"/>
      <c r="CY141" s="205"/>
      <c r="CZ141" s="205"/>
      <c r="DA141" s="205"/>
      <c r="DB141" s="205"/>
      <c r="DC141" s="205"/>
      <c r="DD141" s="205"/>
      <c r="DE141" s="205"/>
      <c r="DF141" s="205"/>
      <c r="DG141" s="205"/>
      <c r="DH141" s="205"/>
      <c r="DI141" s="205"/>
      <c r="DJ141" s="205"/>
      <c r="DK141" s="205"/>
      <c r="DL141" s="205"/>
      <c r="DM141" s="205"/>
      <c r="DN141" s="205"/>
      <c r="DO141" s="205"/>
      <c r="DP141" s="205"/>
      <c r="DQ141" s="205"/>
      <c r="DR141" s="205"/>
      <c r="DS141" s="205"/>
      <c r="DT141" s="205"/>
      <c r="DU141" s="205"/>
      <c r="DV141" s="205"/>
      <c r="DW141" s="205"/>
      <c r="DX141" s="205"/>
      <c r="DY141" s="205"/>
      <c r="DZ141" s="205"/>
      <c r="EA141" s="205"/>
      <c r="EB141" s="205"/>
      <c r="EC141" s="205"/>
      <c r="ED141" s="205"/>
      <c r="EE141" s="205"/>
      <c r="EF141" s="205"/>
      <c r="EG141" s="205"/>
      <c r="EH141" s="205"/>
      <c r="EI141" s="205"/>
      <c r="EJ141" s="205"/>
      <c r="EK141" s="205"/>
    </row>
    <row r="142" spans="1:141" ht="24.75" thickBot="1" x14ac:dyDescent="0.6">
      <c r="A142" s="883" t="s">
        <v>131</v>
      </c>
      <c r="B142" s="1053">
        <f>SUM(B137:B141)</f>
        <v>518</v>
      </c>
      <c r="C142" s="931">
        <f>SUM(C137:C141)</f>
        <v>12942</v>
      </c>
      <c r="D142" s="887"/>
      <c r="E142" s="888"/>
      <c r="F142" s="888"/>
      <c r="G142" s="888"/>
      <c r="H142" s="888"/>
      <c r="I142" s="888"/>
      <c r="J142" s="888"/>
      <c r="K142" s="888"/>
      <c r="L142" s="889"/>
      <c r="M142" s="158">
        <f>M140+M141+M139+M138+M137</f>
        <v>65</v>
      </c>
      <c r="N142" s="158">
        <f>N140+N141+N139+N138+N137</f>
        <v>0</v>
      </c>
      <c r="O142" s="160">
        <f>SUM(O137:O141)</f>
        <v>194</v>
      </c>
      <c r="P142" s="160">
        <f>SUM(P137:P141)</f>
        <v>0</v>
      </c>
      <c r="Q142" s="160">
        <f>Q139+Q140</f>
        <v>0</v>
      </c>
      <c r="R142" s="161">
        <f>SUM(R137:R141)</f>
        <v>0</v>
      </c>
      <c r="S142" s="161">
        <f>SUM(S137:S141)</f>
        <v>0</v>
      </c>
      <c r="T142" s="163">
        <f>SUM(T137:T141)</f>
        <v>0</v>
      </c>
      <c r="U142" s="158">
        <f>SUM(U137:U141)</f>
        <v>14237</v>
      </c>
      <c r="V142" s="188">
        <f>V140+V139+V138</f>
        <v>0</v>
      </c>
      <c r="W142" s="157">
        <f>SUM(W137:W141)</f>
        <v>0</v>
      </c>
      <c r="X142" s="157">
        <f>SUM(X137:X141)</f>
        <v>0</v>
      </c>
      <c r="Y142" s="164"/>
      <c r="Z142" s="175">
        <f>SUM(Z137:Z141)</f>
        <v>0</v>
      </c>
      <c r="AA142" s="164"/>
      <c r="AB142" s="164"/>
      <c r="AC142" s="157">
        <f>SUM(AC137:AC141)</f>
        <v>6175</v>
      </c>
      <c r="AD142" s="157">
        <f>0</f>
        <v>0</v>
      </c>
      <c r="AE142" s="166">
        <f>SUM(AE137:AE141)</f>
        <v>18430</v>
      </c>
      <c r="AF142" s="166">
        <f t="shared" ref="AF142" si="89">SUM(AF137:AF141)</f>
        <v>0</v>
      </c>
      <c r="AG142" s="166">
        <f t="shared" ref="AG142" si="90">SUM(AG137:AG141)</f>
        <v>0</v>
      </c>
      <c r="AH142" s="175">
        <f t="shared" ref="AH142" si="91">SUM(AH137:AH141)</f>
        <v>0</v>
      </c>
      <c r="AI142" s="175">
        <f t="shared" ref="AI142" si="92">SUM(AI137:AI141)</f>
        <v>0</v>
      </c>
      <c r="AJ142" s="175">
        <f t="shared" ref="AJ142" si="93">SUM(AJ137:AJ141)</f>
        <v>0</v>
      </c>
      <c r="AK142" s="165">
        <f>SUM(AK140:AK141)</f>
        <v>0</v>
      </c>
      <c r="AL142" s="165">
        <f>0</f>
        <v>0</v>
      </c>
      <c r="AM142" s="166" t="e">
        <f>SUM(AM137:AM141)</f>
        <v>#VALUE!</v>
      </c>
      <c r="AN142" s="166">
        <f>AN139+AN140</f>
        <v>0</v>
      </c>
      <c r="AO142" s="164"/>
      <c r="AP142" s="175">
        <f>SUM(AP137:AP141)</f>
        <v>0</v>
      </c>
      <c r="AQ142" s="164"/>
      <c r="AR142" s="167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141" ht="27" thickBot="1" x14ac:dyDescent="0.75">
      <c r="A143" s="884"/>
      <c r="B143" s="1054"/>
      <c r="C143" s="932"/>
      <c r="D143" s="890"/>
      <c r="E143" s="891"/>
      <c r="F143" s="891"/>
      <c r="G143" s="891"/>
      <c r="H143" s="891"/>
      <c r="I143" s="891"/>
      <c r="J143" s="891"/>
      <c r="K143" s="891"/>
      <c r="L143" s="892"/>
      <c r="M143" s="895">
        <f>M142+N142</f>
        <v>65</v>
      </c>
      <c r="N143" s="897">
        <f>M142+N142</f>
        <v>65</v>
      </c>
      <c r="O143" s="895">
        <f>+O142+P142+Q142</f>
        <v>194</v>
      </c>
      <c r="P143" s="896"/>
      <c r="Q143" s="897"/>
      <c r="R143" s="898">
        <f>+R142+S142+T142</f>
        <v>0</v>
      </c>
      <c r="S143" s="899"/>
      <c r="T143" s="900"/>
      <c r="U143" s="1055">
        <f>U142+V142</f>
        <v>14237</v>
      </c>
      <c r="V143" s="1056"/>
      <c r="W143" s="896">
        <f>W142+X142+Y142</f>
        <v>0</v>
      </c>
      <c r="X143" s="896"/>
      <c r="Y143" s="897"/>
      <c r="Z143" s="906">
        <f>Z142+AA142+AB142</f>
        <v>0</v>
      </c>
      <c r="AA143" s="907"/>
      <c r="AB143" s="908"/>
      <c r="AC143" s="911">
        <f>AC142+AD142</f>
        <v>6175</v>
      </c>
      <c r="AD143" s="913">
        <f t="shared" ref="AD143" si="94">ROUND(N143*960,0)</f>
        <v>62400</v>
      </c>
      <c r="AE143" s="911">
        <f>AE142+AF142+AG142</f>
        <v>18430</v>
      </c>
      <c r="AF143" s="912"/>
      <c r="AG143" s="913"/>
      <c r="AH143" s="914">
        <f>AH142+AI142+AJ142</f>
        <v>0</v>
      </c>
      <c r="AI143" s="915"/>
      <c r="AJ143" s="916"/>
      <c r="AK143" s="917">
        <f>AK142+AL142</f>
        <v>0</v>
      </c>
      <c r="AL143" s="918">
        <f t="shared" ref="AL143" si="95">V143+AD143</f>
        <v>62400</v>
      </c>
      <c r="AM143" s="911" t="e">
        <f>AM142+AN142+AO142</f>
        <v>#VALUE!</v>
      </c>
      <c r="AN143" s="912"/>
      <c r="AO143" s="913"/>
      <c r="AP143" s="919">
        <f>AP142+AQ142+AR142</f>
        <v>0</v>
      </c>
      <c r="AQ143" s="920"/>
      <c r="AR143" s="92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141" s="180" customFormat="1" ht="39.950000000000003" customHeight="1" thickBot="1" x14ac:dyDescent="0.6">
      <c r="A144" s="922" t="s">
        <v>125</v>
      </c>
      <c r="B144" s="923"/>
      <c r="C144" s="923"/>
      <c r="D144" s="923"/>
      <c r="E144" s="923"/>
      <c r="F144" s="923"/>
      <c r="G144" s="923"/>
      <c r="H144" s="923"/>
      <c r="I144" s="923"/>
      <c r="J144" s="923"/>
      <c r="K144" s="923"/>
      <c r="L144" s="923"/>
      <c r="M144" s="923"/>
      <c r="N144" s="923"/>
      <c r="O144" s="923"/>
      <c r="P144" s="923"/>
      <c r="Q144" s="923"/>
      <c r="R144" s="923"/>
      <c r="S144" s="923"/>
      <c r="T144" s="923"/>
      <c r="U144" s="923"/>
      <c r="V144" s="923"/>
      <c r="W144" s="923"/>
      <c r="X144" s="923"/>
      <c r="Y144" s="923"/>
      <c r="Z144" s="923"/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4"/>
      <c r="AS144" s="176"/>
      <c r="AT144" s="176"/>
      <c r="AU144" s="176"/>
      <c r="AV144" s="176"/>
      <c r="AW144" s="176"/>
      <c r="AX144" s="176"/>
      <c r="AY144" s="176"/>
      <c r="AZ144" s="176"/>
      <c r="BA144" s="176"/>
      <c r="BB144" s="176"/>
      <c r="BC144" s="176"/>
      <c r="BD144" s="176"/>
      <c r="BE144" s="176"/>
      <c r="BF144" s="176"/>
      <c r="BG144" s="176"/>
      <c r="BH144" s="176"/>
      <c r="BI144" s="176"/>
      <c r="BJ144" s="176"/>
      <c r="BK144" s="176"/>
      <c r="BL144" s="176"/>
      <c r="BM144" s="176"/>
      <c r="BN144" s="176"/>
      <c r="BO144" s="176"/>
      <c r="BP144" s="176"/>
      <c r="BQ144" s="176"/>
      <c r="BR144" s="176"/>
      <c r="BS144" s="176"/>
      <c r="BT144" s="176"/>
      <c r="BU144" s="176"/>
      <c r="BV144" s="176"/>
      <c r="BW144" s="176"/>
      <c r="BX144" s="176"/>
      <c r="BY144" s="176"/>
      <c r="BZ144" s="176"/>
      <c r="CA144" s="176"/>
      <c r="CB144" s="176"/>
      <c r="CC144" s="176"/>
      <c r="CD144" s="176"/>
      <c r="CE144" s="176"/>
      <c r="CF144" s="176"/>
      <c r="CG144" s="176"/>
      <c r="CH144" s="176"/>
      <c r="CI144" s="176"/>
      <c r="CJ144" s="176"/>
      <c r="CK144" s="176"/>
      <c r="CL144" s="176"/>
      <c r="CM144" s="176"/>
      <c r="CN144" s="176"/>
      <c r="CO144" s="176"/>
      <c r="CP144" s="176"/>
      <c r="CQ144" s="176"/>
      <c r="CR144" s="176"/>
      <c r="CS144" s="176"/>
      <c r="CT144" s="176"/>
      <c r="CU144" s="176"/>
      <c r="CV144" s="176"/>
      <c r="CW144" s="176"/>
      <c r="CX144" s="176"/>
      <c r="CY144" s="176"/>
      <c r="CZ144" s="176"/>
      <c r="DA144" s="176"/>
      <c r="DB144" s="176"/>
      <c r="DC144" s="176"/>
      <c r="DD144" s="176"/>
      <c r="DE144" s="176"/>
      <c r="DF144" s="176"/>
      <c r="DG144" s="176"/>
      <c r="DH144" s="176"/>
      <c r="DI144" s="176"/>
      <c r="DJ144" s="176"/>
      <c r="DK144" s="176"/>
      <c r="DL144" s="176"/>
      <c r="DM144" s="176"/>
      <c r="DN144" s="176"/>
      <c r="DO144" s="176"/>
      <c r="DP144" s="176"/>
      <c r="DQ144" s="176"/>
      <c r="DR144" s="176"/>
      <c r="DS144" s="176"/>
      <c r="DT144" s="176"/>
      <c r="DU144" s="176"/>
      <c r="DV144" s="176"/>
      <c r="DW144" s="176"/>
      <c r="DX144" s="176"/>
      <c r="DY144" s="176"/>
      <c r="DZ144" s="176"/>
      <c r="EA144" s="176"/>
      <c r="EB144" s="176"/>
      <c r="EC144" s="176"/>
      <c r="ED144" s="176"/>
      <c r="EE144" s="176"/>
      <c r="EF144" s="176"/>
      <c r="EG144" s="176"/>
      <c r="EH144" s="176"/>
      <c r="EI144" s="176"/>
      <c r="EJ144" s="176"/>
      <c r="EK144" s="176"/>
    </row>
    <row r="145" spans="1:141" s="68" customFormat="1" ht="39.950000000000003" customHeight="1" thickBot="1" x14ac:dyDescent="0.6">
      <c r="A145" s="880" t="s">
        <v>124</v>
      </c>
      <c r="B145" s="881"/>
      <c r="C145" s="881"/>
      <c r="D145" s="881"/>
      <c r="E145" s="881"/>
      <c r="F145" s="881"/>
      <c r="G145" s="881"/>
      <c r="H145" s="881"/>
      <c r="I145" s="881"/>
      <c r="J145" s="881"/>
      <c r="K145" s="881"/>
      <c r="L145" s="881"/>
      <c r="M145" s="881"/>
      <c r="N145" s="881"/>
      <c r="O145" s="881"/>
      <c r="P145" s="881"/>
      <c r="Q145" s="881"/>
      <c r="R145" s="881"/>
      <c r="S145" s="881"/>
      <c r="T145" s="881"/>
      <c r="U145" s="881"/>
      <c r="V145" s="881"/>
      <c r="W145" s="881"/>
      <c r="X145" s="881"/>
      <c r="Y145" s="881"/>
      <c r="Z145" s="881"/>
      <c r="AA145" s="881"/>
      <c r="AB145" s="881"/>
      <c r="AC145" s="881"/>
      <c r="AD145" s="881"/>
      <c r="AE145" s="881"/>
      <c r="AF145" s="881"/>
      <c r="AG145" s="881"/>
      <c r="AH145" s="881"/>
      <c r="AI145" s="881"/>
      <c r="AJ145" s="881"/>
      <c r="AK145" s="881"/>
      <c r="AL145" s="881"/>
      <c r="AM145" s="881"/>
      <c r="AN145" s="881"/>
      <c r="AO145" s="881"/>
      <c r="AP145" s="881"/>
      <c r="AQ145" s="881"/>
      <c r="AR145" s="882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  <c r="BM145" s="69"/>
      <c r="BN145" s="69"/>
      <c r="BO145" s="69"/>
      <c r="BP145" s="69"/>
      <c r="BQ145" s="69"/>
      <c r="BR145" s="69"/>
      <c r="BS145" s="69"/>
      <c r="BT145" s="69"/>
      <c r="BU145" s="69"/>
      <c r="BV145" s="69"/>
      <c r="BW145" s="69"/>
      <c r="BX145" s="69"/>
      <c r="BY145" s="69"/>
      <c r="BZ145" s="69"/>
      <c r="CA145" s="69"/>
      <c r="CB145" s="69"/>
      <c r="CC145" s="69"/>
      <c r="CD145" s="69"/>
      <c r="CE145" s="69"/>
      <c r="CF145" s="69"/>
      <c r="CG145" s="69"/>
      <c r="CH145" s="69"/>
      <c r="CI145" s="69"/>
      <c r="CJ145" s="69"/>
      <c r="CK145" s="69"/>
      <c r="CL145" s="69"/>
      <c r="CM145" s="69"/>
      <c r="CN145" s="69"/>
      <c r="CO145" s="69"/>
      <c r="CP145" s="69"/>
      <c r="CQ145" s="69"/>
      <c r="CR145" s="69"/>
      <c r="CS145" s="69"/>
      <c r="CT145" s="69"/>
      <c r="CU145" s="69"/>
      <c r="CV145" s="69"/>
      <c r="CW145" s="69"/>
      <c r="CX145" s="69"/>
      <c r="CY145" s="69"/>
      <c r="CZ145" s="69"/>
      <c r="DA145" s="69"/>
      <c r="DB145" s="69"/>
      <c r="DC145" s="69"/>
      <c r="DD145" s="69"/>
      <c r="DE145" s="69"/>
      <c r="DF145" s="69"/>
      <c r="DG145" s="69"/>
      <c r="DH145" s="69"/>
      <c r="DI145" s="69"/>
      <c r="DJ145" s="69"/>
      <c r="DK145" s="69"/>
      <c r="DL145" s="69"/>
      <c r="DM145" s="69"/>
      <c r="DN145" s="69"/>
      <c r="DO145" s="69"/>
      <c r="DP145" s="69"/>
      <c r="DQ145" s="69"/>
      <c r="DR145" s="69"/>
      <c r="DS145" s="69"/>
      <c r="DT145" s="69"/>
      <c r="DU145" s="69"/>
      <c r="DV145" s="69"/>
      <c r="DW145" s="69"/>
      <c r="DX145" s="69"/>
      <c r="DY145" s="69"/>
      <c r="DZ145" s="69"/>
      <c r="EA145" s="69"/>
      <c r="EB145" s="69"/>
      <c r="EC145" s="69"/>
      <c r="ED145" s="69"/>
      <c r="EE145" s="69"/>
      <c r="EF145" s="69"/>
      <c r="EG145" s="69"/>
      <c r="EH145" s="69"/>
      <c r="EI145" s="69"/>
      <c r="EJ145" s="69"/>
      <c r="EK145" s="69"/>
    </row>
    <row r="146" spans="1:141" ht="24" customHeight="1" x14ac:dyDescent="0.55000000000000004">
      <c r="A146" s="107" t="s">
        <v>126</v>
      </c>
      <c r="B146" s="108">
        <v>108</v>
      </c>
      <c r="C146" s="109">
        <v>2710</v>
      </c>
      <c r="D146" s="17">
        <v>1</v>
      </c>
      <c r="E146" s="14">
        <v>1</v>
      </c>
      <c r="F146" s="14">
        <v>0</v>
      </c>
      <c r="G146" s="13">
        <v>5</v>
      </c>
      <c r="H146" s="14">
        <v>15</v>
      </c>
      <c r="I146" s="23">
        <f>0</f>
        <v>0</v>
      </c>
      <c r="J146" s="106">
        <v>1.1000000000000001</v>
      </c>
      <c r="K146" s="42">
        <v>2</v>
      </c>
      <c r="L146" s="30">
        <v>1.7</v>
      </c>
      <c r="M146" s="13">
        <f>ROUND(C146*G146/1000,0)</f>
        <v>14</v>
      </c>
      <c r="N146" s="17"/>
      <c r="O146" s="15">
        <f>ROUND(C146*H146/1000,0)</f>
        <v>41</v>
      </c>
      <c r="P146" s="14">
        <f>0</f>
        <v>0</v>
      </c>
      <c r="Q146" s="14">
        <v>0</v>
      </c>
      <c r="R146" s="14">
        <f>ROUND(C146*I146/1000,0)</f>
        <v>0</v>
      </c>
      <c r="S146" s="14"/>
      <c r="T146" s="18"/>
      <c r="U146" s="13">
        <f>ROUND(C146*J146,0)</f>
        <v>2981</v>
      </c>
      <c r="V146" s="17"/>
      <c r="W146" s="942" t="s">
        <v>116</v>
      </c>
      <c r="X146" s="1057"/>
      <c r="Y146" s="1058"/>
      <c r="Z146" s="82">
        <f>0</f>
        <v>0</v>
      </c>
      <c r="AA146" s="15"/>
      <c r="AB146" s="23"/>
      <c r="AC146" s="17">
        <f>ROUND(M146*95,0)</f>
        <v>1330</v>
      </c>
      <c r="AD146" s="17"/>
      <c r="AE146" s="13">
        <f>ROUND(O146*95,0)</f>
        <v>3895</v>
      </c>
      <c r="AF146" s="13">
        <f t="shared" ref="AF146:AF148" si="96">ROUND(P146*960,0)</f>
        <v>0</v>
      </c>
      <c r="AG146" s="14">
        <v>0</v>
      </c>
      <c r="AH146" s="13">
        <f t="shared" ref="AH146:AH148" si="97">ROUND(R146*960,0)</f>
        <v>0</v>
      </c>
      <c r="AI146" s="14"/>
      <c r="AJ146" s="16"/>
      <c r="AK146" s="100"/>
      <c r="AL146" s="14"/>
      <c r="AM146" s="208" t="e">
        <f>W146+AE146</f>
        <v>#VALUE!</v>
      </c>
      <c r="AN146" s="14">
        <f t="shared" ref="AN146:AP148" si="98">X146+AF146</f>
        <v>0</v>
      </c>
      <c r="AO146" s="14">
        <f t="shared" si="98"/>
        <v>0</v>
      </c>
      <c r="AP146" s="14">
        <f t="shared" si="98"/>
        <v>0</v>
      </c>
      <c r="AQ146" s="14"/>
      <c r="AR146" s="1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/>
      <c r="BP146" s="56"/>
      <c r="BQ146" s="56"/>
      <c r="BR146" s="56"/>
      <c r="BS146" s="56"/>
      <c r="BT146" s="56"/>
      <c r="BU146" s="56"/>
      <c r="BV146" s="56"/>
      <c r="BW146" s="56"/>
      <c r="BX146" s="56"/>
      <c r="BY146" s="56"/>
      <c r="BZ146" s="56"/>
      <c r="CA146" s="56"/>
      <c r="CB146" s="56"/>
      <c r="CC146" s="56"/>
      <c r="CD146" s="56"/>
      <c r="CE146" s="56"/>
      <c r="CF146" s="56"/>
      <c r="CG146" s="56"/>
      <c r="CH146" s="56"/>
      <c r="CI146" s="56"/>
      <c r="CJ146" s="56"/>
      <c r="CK146" s="56"/>
      <c r="CL146" s="56"/>
      <c r="CM146" s="56"/>
      <c r="CN146" s="56"/>
      <c r="CO146" s="56"/>
      <c r="CP146" s="56"/>
      <c r="CQ146" s="56"/>
      <c r="CR146" s="56"/>
      <c r="CS146" s="56"/>
      <c r="CT146" s="56"/>
      <c r="CU146" s="56"/>
      <c r="CV146" s="56"/>
      <c r="CW146" s="56"/>
      <c r="CX146" s="56"/>
      <c r="CY146" s="56"/>
      <c r="CZ146" s="56"/>
      <c r="DA146" s="56"/>
      <c r="DB146" s="56"/>
      <c r="DC146" s="56"/>
      <c r="DD146" s="56"/>
      <c r="DE146" s="56"/>
      <c r="DF146" s="56"/>
      <c r="DG146" s="56"/>
      <c r="DH146" s="56"/>
      <c r="DI146" s="56"/>
      <c r="DJ146" s="56"/>
      <c r="DK146" s="56"/>
      <c r="DL146" s="56"/>
      <c r="DM146" s="56"/>
      <c r="DN146" s="56"/>
      <c r="DO146" s="56"/>
      <c r="DP146" s="56"/>
      <c r="DQ146" s="56"/>
      <c r="DR146" s="56"/>
      <c r="DS146" s="56"/>
      <c r="DT146" s="56"/>
      <c r="DU146" s="56"/>
      <c r="DV146" s="56"/>
      <c r="DW146" s="56"/>
      <c r="DX146" s="56"/>
      <c r="DY146" s="56"/>
      <c r="DZ146" s="56"/>
      <c r="EA146" s="56"/>
      <c r="EB146" s="56"/>
      <c r="EC146" s="56"/>
      <c r="ED146" s="56"/>
      <c r="EE146" s="56"/>
      <c r="EF146" s="56"/>
      <c r="EG146" s="56"/>
      <c r="EH146" s="56"/>
      <c r="EI146" s="56"/>
      <c r="EJ146" s="56"/>
      <c r="EK146" s="56"/>
    </row>
    <row r="147" spans="1:141" x14ac:dyDescent="0.55000000000000004">
      <c r="A147" s="107" t="s">
        <v>127</v>
      </c>
      <c r="B147" s="108">
        <v>86</v>
      </c>
      <c r="C147" s="109">
        <v>2141</v>
      </c>
      <c r="D147" s="17">
        <v>1</v>
      </c>
      <c r="E147" s="14">
        <v>1</v>
      </c>
      <c r="F147" s="14">
        <v>0</v>
      </c>
      <c r="G147" s="13">
        <v>5</v>
      </c>
      <c r="H147" s="14">
        <v>15</v>
      </c>
      <c r="I147" s="23">
        <f>0</f>
        <v>0</v>
      </c>
      <c r="J147" s="32">
        <v>1.1000000000000001</v>
      </c>
      <c r="K147" s="32">
        <v>2</v>
      </c>
      <c r="L147" s="23">
        <v>1.7</v>
      </c>
      <c r="M147" s="13">
        <f t="shared" ref="M147:M148" si="99">ROUND(C147*G147/1000,0)</f>
        <v>11</v>
      </c>
      <c r="N147" s="17"/>
      <c r="O147" s="15">
        <f t="shared" ref="O147:O148" si="100">ROUND(C147*H147/1000,0)</f>
        <v>32</v>
      </c>
      <c r="P147" s="14">
        <f>0</f>
        <v>0</v>
      </c>
      <c r="Q147" s="14">
        <v>0</v>
      </c>
      <c r="R147" s="14">
        <f t="shared" ref="R147:R148" si="101">ROUND(C147*I147/1000,0)</f>
        <v>0</v>
      </c>
      <c r="S147" s="14"/>
      <c r="T147" s="18"/>
      <c r="U147" s="13">
        <f t="shared" ref="U147:U148" si="102">ROUND(C147*J147,0)</f>
        <v>2355</v>
      </c>
      <c r="V147" s="17"/>
      <c r="W147" s="1059"/>
      <c r="X147" s="1060"/>
      <c r="Y147" s="1061"/>
      <c r="Z147" s="82">
        <f>0</f>
        <v>0</v>
      </c>
      <c r="AA147" s="15"/>
      <c r="AB147" s="23"/>
      <c r="AC147" s="17">
        <f t="shared" ref="AC147:AC148" si="103">ROUND(M147*95,0)</f>
        <v>1045</v>
      </c>
      <c r="AD147" s="17"/>
      <c r="AE147" s="13">
        <f t="shared" ref="AE147:AE148" si="104">ROUND(O147*95,0)</f>
        <v>3040</v>
      </c>
      <c r="AF147" s="13">
        <f t="shared" si="96"/>
        <v>0</v>
      </c>
      <c r="AG147" s="14">
        <v>0</v>
      </c>
      <c r="AH147" s="13">
        <f t="shared" si="97"/>
        <v>0</v>
      </c>
      <c r="AI147" s="14"/>
      <c r="AJ147" s="16"/>
      <c r="AK147" s="100"/>
      <c r="AL147" s="14"/>
      <c r="AM147" s="208" t="e">
        <f>W146+AE147</f>
        <v>#VALUE!</v>
      </c>
      <c r="AN147" s="14">
        <f t="shared" si="98"/>
        <v>0</v>
      </c>
      <c r="AO147" s="14">
        <f t="shared" si="98"/>
        <v>0</v>
      </c>
      <c r="AP147" s="14">
        <f t="shared" si="98"/>
        <v>0</v>
      </c>
      <c r="AQ147" s="14"/>
      <c r="AR147" s="1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  <c r="BN147" s="56"/>
      <c r="BO147" s="56"/>
      <c r="BP147" s="56"/>
      <c r="BQ147" s="56"/>
      <c r="BR147" s="56"/>
      <c r="BS147" s="56"/>
      <c r="BT147" s="56"/>
      <c r="BU147" s="56"/>
      <c r="BV147" s="56"/>
      <c r="BW147" s="56"/>
      <c r="BX147" s="56"/>
      <c r="BY147" s="56"/>
      <c r="BZ147" s="56"/>
      <c r="CA147" s="56"/>
      <c r="CB147" s="56"/>
      <c r="CC147" s="56"/>
      <c r="CD147" s="56"/>
      <c r="CE147" s="56"/>
      <c r="CF147" s="56"/>
      <c r="CG147" s="56"/>
      <c r="CH147" s="56"/>
      <c r="CI147" s="56"/>
      <c r="CJ147" s="56"/>
      <c r="CK147" s="56"/>
      <c r="CL147" s="56"/>
      <c r="CM147" s="56"/>
      <c r="CN147" s="56"/>
      <c r="CO147" s="56"/>
      <c r="CP147" s="56"/>
      <c r="CQ147" s="56"/>
      <c r="CR147" s="56"/>
      <c r="CS147" s="56"/>
      <c r="CT147" s="56"/>
      <c r="CU147" s="56"/>
      <c r="CV147" s="56"/>
      <c r="CW147" s="56"/>
      <c r="CX147" s="56"/>
      <c r="CY147" s="56"/>
      <c r="CZ147" s="56"/>
      <c r="DA147" s="56"/>
      <c r="DB147" s="56"/>
      <c r="DC147" s="56"/>
      <c r="DD147" s="56"/>
      <c r="DE147" s="56"/>
      <c r="DF147" s="56"/>
      <c r="DG147" s="56"/>
      <c r="DH147" s="56"/>
      <c r="DI147" s="56"/>
      <c r="DJ147" s="56"/>
      <c r="DK147" s="56"/>
      <c r="DL147" s="56"/>
      <c r="DM147" s="56"/>
      <c r="DN147" s="56"/>
      <c r="DO147" s="56"/>
      <c r="DP147" s="56"/>
      <c r="DQ147" s="56"/>
      <c r="DR147" s="56"/>
      <c r="DS147" s="56"/>
      <c r="DT147" s="56"/>
      <c r="DU147" s="56"/>
      <c r="DV147" s="56"/>
      <c r="DW147" s="56"/>
      <c r="DX147" s="56"/>
      <c r="DY147" s="56"/>
      <c r="DZ147" s="56"/>
      <c r="EA147" s="56"/>
      <c r="EB147" s="56"/>
      <c r="EC147" s="56"/>
      <c r="ED147" s="56"/>
      <c r="EE147" s="56"/>
      <c r="EF147" s="56"/>
      <c r="EG147" s="56"/>
      <c r="EH147" s="56"/>
      <c r="EI147" s="56"/>
      <c r="EJ147" s="56"/>
      <c r="EK147" s="56"/>
    </row>
    <row r="148" spans="1:141" ht="24.75" thickBot="1" x14ac:dyDescent="0.6">
      <c r="A148" s="107" t="s">
        <v>128</v>
      </c>
      <c r="B148" s="110">
        <v>29</v>
      </c>
      <c r="C148" s="111">
        <v>721</v>
      </c>
      <c r="D148" s="31">
        <v>1</v>
      </c>
      <c r="E148" s="28">
        <v>1</v>
      </c>
      <c r="F148" s="28">
        <v>0</v>
      </c>
      <c r="G148" s="27">
        <v>5</v>
      </c>
      <c r="H148" s="28">
        <v>15</v>
      </c>
      <c r="I148" s="29">
        <f>0</f>
        <v>0</v>
      </c>
      <c r="J148" s="172">
        <v>1.1000000000000001</v>
      </c>
      <c r="K148" s="144">
        <v>2</v>
      </c>
      <c r="L148" s="30">
        <v>1.7</v>
      </c>
      <c r="M148" s="13">
        <f t="shared" si="99"/>
        <v>4</v>
      </c>
      <c r="N148" s="31"/>
      <c r="O148" s="15">
        <f t="shared" si="100"/>
        <v>11</v>
      </c>
      <c r="P148" s="28">
        <f>0</f>
        <v>0</v>
      </c>
      <c r="Q148" s="28">
        <v>0</v>
      </c>
      <c r="R148" s="28">
        <f t="shared" si="101"/>
        <v>0</v>
      </c>
      <c r="S148" s="28"/>
      <c r="T148" s="32"/>
      <c r="U148" s="13">
        <f t="shared" si="102"/>
        <v>793</v>
      </c>
      <c r="V148" s="31"/>
      <c r="W148" s="1062"/>
      <c r="X148" s="1063"/>
      <c r="Y148" s="1064"/>
      <c r="Z148" s="82">
        <f>0</f>
        <v>0</v>
      </c>
      <c r="AA148" s="15"/>
      <c r="AB148" s="23"/>
      <c r="AC148" s="17">
        <f t="shared" si="103"/>
        <v>380</v>
      </c>
      <c r="AD148" s="17"/>
      <c r="AE148" s="13">
        <f t="shared" si="104"/>
        <v>1045</v>
      </c>
      <c r="AF148" s="13">
        <f t="shared" si="96"/>
        <v>0</v>
      </c>
      <c r="AG148" s="14">
        <v>0</v>
      </c>
      <c r="AH148" s="13">
        <f t="shared" si="97"/>
        <v>0</v>
      </c>
      <c r="AI148" s="14"/>
      <c r="AJ148" s="16"/>
      <c r="AK148" s="100"/>
      <c r="AL148" s="14"/>
      <c r="AM148" s="208" t="e">
        <f>W146+AE148</f>
        <v>#VALUE!</v>
      </c>
      <c r="AN148" s="14">
        <f t="shared" si="98"/>
        <v>0</v>
      </c>
      <c r="AO148" s="14">
        <f t="shared" si="98"/>
        <v>0</v>
      </c>
      <c r="AP148" s="14">
        <f t="shared" si="98"/>
        <v>0</v>
      </c>
      <c r="AQ148" s="14"/>
      <c r="AR148" s="1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  <c r="BN148" s="56"/>
      <c r="BO148" s="56"/>
      <c r="BP148" s="56"/>
      <c r="BQ148" s="56"/>
      <c r="BR148" s="56"/>
      <c r="BS148" s="56"/>
      <c r="BT148" s="56"/>
      <c r="BU148" s="56"/>
      <c r="BV148" s="56"/>
      <c r="BW148" s="56"/>
      <c r="BX148" s="56"/>
      <c r="BY148" s="56"/>
      <c r="BZ148" s="56"/>
      <c r="CA148" s="56"/>
      <c r="CB148" s="56"/>
      <c r="CC148" s="56"/>
      <c r="CD148" s="56"/>
      <c r="CE148" s="56"/>
      <c r="CF148" s="56"/>
      <c r="CG148" s="56"/>
      <c r="CH148" s="56"/>
      <c r="CI148" s="56"/>
      <c r="CJ148" s="56"/>
      <c r="CK148" s="56"/>
      <c r="CL148" s="56"/>
      <c r="CM148" s="56"/>
      <c r="CN148" s="56"/>
      <c r="CO148" s="56"/>
      <c r="CP148" s="56"/>
      <c r="CQ148" s="56"/>
      <c r="CR148" s="56"/>
      <c r="CS148" s="56"/>
      <c r="CT148" s="56"/>
      <c r="CU148" s="56"/>
      <c r="CV148" s="56"/>
      <c r="CW148" s="56"/>
      <c r="CX148" s="56"/>
      <c r="CY148" s="56"/>
      <c r="CZ148" s="56"/>
      <c r="DA148" s="56"/>
      <c r="DB148" s="56"/>
      <c r="DC148" s="56"/>
      <c r="DD148" s="56"/>
      <c r="DE148" s="56"/>
      <c r="DF148" s="56"/>
      <c r="DG148" s="56"/>
      <c r="DH148" s="56"/>
      <c r="DI148" s="56"/>
      <c r="DJ148" s="56"/>
      <c r="DK148" s="56"/>
      <c r="DL148" s="56"/>
      <c r="DM148" s="56"/>
      <c r="DN148" s="56"/>
      <c r="DO148" s="56"/>
      <c r="DP148" s="56"/>
      <c r="DQ148" s="56"/>
      <c r="DR148" s="56"/>
      <c r="DS148" s="56"/>
      <c r="DT148" s="56"/>
      <c r="DU148" s="56"/>
      <c r="DV148" s="56"/>
      <c r="DW148" s="56"/>
      <c r="DX148" s="56"/>
      <c r="DY148" s="56"/>
      <c r="DZ148" s="56"/>
      <c r="EA148" s="56"/>
      <c r="EB148" s="56"/>
      <c r="EC148" s="56"/>
      <c r="ED148" s="56"/>
      <c r="EE148" s="56"/>
      <c r="EF148" s="56"/>
      <c r="EG148" s="56"/>
      <c r="EH148" s="56"/>
      <c r="EI148" s="56"/>
      <c r="EJ148" s="56"/>
      <c r="EK148" s="56"/>
    </row>
    <row r="149" spans="1:141" ht="24.75" thickBot="1" x14ac:dyDescent="0.6">
      <c r="A149" s="883" t="s">
        <v>130</v>
      </c>
      <c r="B149" s="885">
        <f>SUM(B146:B148)</f>
        <v>223</v>
      </c>
      <c r="C149" s="931">
        <f>SUM(C146:C148)</f>
        <v>5572</v>
      </c>
      <c r="D149" s="887"/>
      <c r="E149" s="888"/>
      <c r="F149" s="888"/>
      <c r="G149" s="888"/>
      <c r="H149" s="888"/>
      <c r="I149" s="888"/>
      <c r="J149" s="888"/>
      <c r="K149" s="888"/>
      <c r="L149" s="889"/>
      <c r="M149" s="158">
        <f t="shared" ref="M149:U149" si="105">SUM(M146:M148)</f>
        <v>29</v>
      </c>
      <c r="N149" s="158">
        <f t="shared" si="105"/>
        <v>0</v>
      </c>
      <c r="O149" s="160">
        <f t="shared" si="105"/>
        <v>84</v>
      </c>
      <c r="P149" s="160">
        <f t="shared" si="105"/>
        <v>0</v>
      </c>
      <c r="Q149" s="160">
        <f t="shared" si="105"/>
        <v>0</v>
      </c>
      <c r="R149" s="161">
        <f t="shared" si="105"/>
        <v>0</v>
      </c>
      <c r="S149" s="161">
        <f t="shared" si="105"/>
        <v>0</v>
      </c>
      <c r="T149" s="163">
        <f t="shared" si="105"/>
        <v>0</v>
      </c>
      <c r="U149" s="158">
        <f t="shared" si="105"/>
        <v>6129</v>
      </c>
      <c r="V149" s="188">
        <f>V147+V146+V145</f>
        <v>0</v>
      </c>
      <c r="W149" s="157">
        <f>SUM(W144:W148)</f>
        <v>0</v>
      </c>
      <c r="X149" s="157">
        <f>SUM(X144:X148)</f>
        <v>0</v>
      </c>
      <c r="Y149" s="164"/>
      <c r="Z149" s="175">
        <f>SUM(Z144:Z148)</f>
        <v>0</v>
      </c>
      <c r="AA149" s="164"/>
      <c r="AB149" s="164"/>
      <c r="AC149" s="157">
        <f>SUM(AC146:AC148)</f>
        <v>2755</v>
      </c>
      <c r="AD149" s="157">
        <f>SUM(AD146:AD148)</f>
        <v>0</v>
      </c>
      <c r="AE149" s="166">
        <f>SUM(AE146:AE148)</f>
        <v>7980</v>
      </c>
      <c r="AF149" s="166">
        <f t="shared" ref="AF149" si="106">SUM(AF144:AF148)</f>
        <v>0</v>
      </c>
      <c r="AG149" s="166">
        <f t="shared" ref="AG149" si="107">SUM(AG144:AG148)</f>
        <v>0</v>
      </c>
      <c r="AH149" s="175">
        <f t="shared" ref="AH149" si="108">SUM(AH144:AH148)</f>
        <v>0</v>
      </c>
      <c r="AI149" s="175">
        <f t="shared" ref="AI149" si="109">SUM(AI144:AI148)</f>
        <v>0</v>
      </c>
      <c r="AJ149" s="175">
        <f t="shared" ref="AJ149" si="110">SUM(AJ144:AJ148)</f>
        <v>0</v>
      </c>
      <c r="AK149" s="165">
        <f>SUM(AK147:AK148)</f>
        <v>0</v>
      </c>
      <c r="AL149" s="165">
        <f>0</f>
        <v>0</v>
      </c>
      <c r="AM149" s="166" t="e">
        <f>SUM(AM144:AM148)</f>
        <v>#VALUE!</v>
      </c>
      <c r="AN149" s="166">
        <f>AN146+AN147</f>
        <v>0</v>
      </c>
      <c r="AO149" s="164"/>
      <c r="AP149" s="175">
        <f>SUM(AP144:AP148)</f>
        <v>0</v>
      </c>
      <c r="AQ149" s="164"/>
      <c r="AR149" s="167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141" ht="27" thickBot="1" x14ac:dyDescent="0.75">
      <c r="A150" s="884"/>
      <c r="B150" s="886"/>
      <c r="C150" s="932"/>
      <c r="D150" s="890"/>
      <c r="E150" s="891"/>
      <c r="F150" s="891"/>
      <c r="G150" s="891"/>
      <c r="H150" s="891"/>
      <c r="I150" s="891"/>
      <c r="J150" s="891"/>
      <c r="K150" s="891"/>
      <c r="L150" s="892"/>
      <c r="M150" s="895">
        <f>M149+N149</f>
        <v>29</v>
      </c>
      <c r="N150" s="897">
        <f>M149+N149</f>
        <v>29</v>
      </c>
      <c r="O150" s="895">
        <f>+O149+P149+Q149</f>
        <v>84</v>
      </c>
      <c r="P150" s="896"/>
      <c r="Q150" s="897"/>
      <c r="R150" s="898">
        <f>+R149+S149+T149</f>
        <v>0</v>
      </c>
      <c r="S150" s="899"/>
      <c r="T150" s="900"/>
      <c r="U150" s="1055">
        <f>U149+V149</f>
        <v>6129</v>
      </c>
      <c r="V150" s="1056"/>
      <c r="W150" s="903">
        <f>W149+X149+Y149</f>
        <v>0</v>
      </c>
      <c r="X150" s="904"/>
      <c r="Y150" s="905"/>
      <c r="Z150" s="906">
        <f>Z149+AA149+AB149</f>
        <v>0</v>
      </c>
      <c r="AA150" s="907"/>
      <c r="AB150" s="908"/>
      <c r="AC150" s="911">
        <f>AC149+AD149</f>
        <v>2755</v>
      </c>
      <c r="AD150" s="913">
        <f t="shared" ref="AD150" si="111">ROUND(N150*960,0)</f>
        <v>27840</v>
      </c>
      <c r="AE150" s="911">
        <f>AE149+AF149+AG149</f>
        <v>7980</v>
      </c>
      <c r="AF150" s="912"/>
      <c r="AG150" s="913"/>
      <c r="AH150" s="914">
        <f>AH149+AI149+AJ149</f>
        <v>0</v>
      </c>
      <c r="AI150" s="915"/>
      <c r="AJ150" s="916"/>
      <c r="AK150" s="917">
        <f>AK149+AL149</f>
        <v>0</v>
      </c>
      <c r="AL150" s="918">
        <f t="shared" ref="AL150" si="112">V150+AD150</f>
        <v>27840</v>
      </c>
      <c r="AM150" s="911" t="e">
        <f>AM149+AN149+AO149</f>
        <v>#VALUE!</v>
      </c>
      <c r="AN150" s="912"/>
      <c r="AO150" s="913"/>
      <c r="AP150" s="919">
        <f>AP149+AQ149+AR149</f>
        <v>0</v>
      </c>
      <c r="AQ150" s="920"/>
      <c r="AR150" s="92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141" ht="24" customHeight="1" thickBot="1" x14ac:dyDescent="0.6">
      <c r="A151" s="107" t="s">
        <v>135</v>
      </c>
      <c r="B151" s="108">
        <v>142</v>
      </c>
      <c r="C151" s="109">
        <v>3259</v>
      </c>
      <c r="D151" s="17">
        <v>1</v>
      </c>
      <c r="E151" s="14">
        <v>2</v>
      </c>
      <c r="F151" s="14">
        <v>0</v>
      </c>
      <c r="G151" s="13">
        <v>5</v>
      </c>
      <c r="H151" s="14">
        <v>15</v>
      </c>
      <c r="I151" s="23">
        <f>0</f>
        <v>0</v>
      </c>
      <c r="J151" s="106">
        <v>1.1000000000000001</v>
      </c>
      <c r="K151" s="42">
        <v>2</v>
      </c>
      <c r="L151" s="30">
        <v>1.7</v>
      </c>
      <c r="M151" s="13">
        <f>ROUND(C151*G151/1000,0)</f>
        <v>16</v>
      </c>
      <c r="N151" s="17"/>
      <c r="O151" s="15">
        <f>ROUND(C151*H151/1000,0)</f>
        <v>49</v>
      </c>
      <c r="P151" s="15">
        <f>ROUND(C151*H151/1000,0)</f>
        <v>49</v>
      </c>
      <c r="Q151" s="14">
        <v>0</v>
      </c>
      <c r="R151" s="14">
        <f>ROUND(C151*I151/1000,0)</f>
        <v>0</v>
      </c>
      <c r="S151" s="14"/>
      <c r="T151" s="18"/>
      <c r="U151" s="13">
        <f>ROUND(C151*J151,0)</f>
        <v>3585</v>
      </c>
      <c r="V151" s="17"/>
      <c r="W151" s="1065" t="s">
        <v>116</v>
      </c>
      <c r="X151" s="1066"/>
      <c r="Y151" s="1067"/>
      <c r="Z151" s="82">
        <f>0</f>
        <v>0</v>
      </c>
      <c r="AA151" s="15"/>
      <c r="AB151" s="23"/>
      <c r="AC151" s="17">
        <f>ROUND(M151*95,0)</f>
        <v>1520</v>
      </c>
      <c r="AD151" s="17"/>
      <c r="AE151" s="13">
        <f>ROUND(O151*95,0)</f>
        <v>4655</v>
      </c>
      <c r="AF151" s="13">
        <f>ROUND(P151*95,0)</f>
        <v>4655</v>
      </c>
      <c r="AG151" s="14">
        <v>0</v>
      </c>
      <c r="AH151" s="13">
        <f t="shared" ref="AH151" si="113">ROUND(R151*960,0)</f>
        <v>0</v>
      </c>
      <c r="AI151" s="14"/>
      <c r="AJ151" s="16"/>
      <c r="AK151" s="100">
        <f>U151+AC151</f>
        <v>5105</v>
      </c>
      <c r="AL151" s="14"/>
      <c r="AM151" s="208" t="e">
        <f>W151+AE151</f>
        <v>#VALUE!</v>
      </c>
      <c r="AN151" s="208" t="e">
        <f>W151+AF151</f>
        <v>#VALUE!</v>
      </c>
      <c r="AO151" s="14">
        <f t="shared" ref="AO151" si="114">Y151+AG151</f>
        <v>0</v>
      </c>
      <c r="AP151" s="14">
        <f t="shared" ref="AP151" si="115">Z151+AH151</f>
        <v>0</v>
      </c>
      <c r="AQ151" s="14"/>
      <c r="AR151" s="1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  <c r="BQ151" s="56"/>
      <c r="BR151" s="56"/>
      <c r="BS151" s="56"/>
      <c r="BT151" s="56"/>
      <c r="BU151" s="56"/>
      <c r="BV151" s="56"/>
      <c r="BW151" s="56"/>
      <c r="BX151" s="56"/>
      <c r="BY151" s="56"/>
      <c r="BZ151" s="56"/>
      <c r="CA151" s="56"/>
      <c r="CB151" s="56"/>
      <c r="CC151" s="56"/>
      <c r="CD151" s="56"/>
      <c r="CE151" s="56"/>
      <c r="CF151" s="56"/>
      <c r="CG151" s="56"/>
      <c r="CH151" s="56"/>
      <c r="CI151" s="56"/>
      <c r="CJ151" s="56"/>
      <c r="CK151" s="56"/>
      <c r="CL151" s="56"/>
      <c r="CM151" s="56"/>
      <c r="CN151" s="56"/>
      <c r="CO151" s="56"/>
      <c r="CP151" s="56"/>
      <c r="CQ151" s="56"/>
      <c r="CR151" s="56"/>
      <c r="CS151" s="56"/>
      <c r="CT151" s="56"/>
      <c r="CU151" s="56"/>
      <c r="CV151" s="56"/>
      <c r="CW151" s="56"/>
      <c r="CX151" s="56"/>
      <c r="CY151" s="56"/>
      <c r="CZ151" s="56"/>
      <c r="DA151" s="56"/>
      <c r="DB151" s="56"/>
      <c r="DC151" s="56"/>
      <c r="DD151" s="56"/>
      <c r="DE151" s="56"/>
      <c r="DF151" s="56"/>
      <c r="DG151" s="56"/>
      <c r="DH151" s="56"/>
      <c r="DI151" s="56"/>
      <c r="DJ151" s="56"/>
      <c r="DK151" s="56"/>
      <c r="DL151" s="56"/>
      <c r="DM151" s="56"/>
      <c r="DN151" s="56"/>
      <c r="DO151" s="56"/>
      <c r="DP151" s="56"/>
      <c r="DQ151" s="56"/>
      <c r="DR151" s="56"/>
      <c r="DS151" s="56"/>
      <c r="DT151" s="56"/>
      <c r="DU151" s="56"/>
      <c r="DV151" s="56"/>
      <c r="DW151" s="56"/>
      <c r="DX151" s="56"/>
      <c r="DY151" s="56"/>
      <c r="DZ151" s="56"/>
      <c r="EA151" s="56"/>
      <c r="EB151" s="56"/>
      <c r="EC151" s="56"/>
      <c r="ED151" s="56"/>
      <c r="EE151" s="56"/>
      <c r="EF151" s="56"/>
      <c r="EG151" s="56"/>
      <c r="EH151" s="56"/>
      <c r="EI151" s="56"/>
      <c r="EJ151" s="56"/>
      <c r="EK151" s="56"/>
    </row>
    <row r="152" spans="1:141" ht="24.75" thickBot="1" x14ac:dyDescent="0.6">
      <c r="A152" s="883" t="s">
        <v>129</v>
      </c>
      <c r="B152" s="885">
        <f>SUM(B151:B151)</f>
        <v>142</v>
      </c>
      <c r="C152" s="931">
        <f>SUM(C151:C151)</f>
        <v>3259</v>
      </c>
      <c r="D152" s="887"/>
      <c r="E152" s="888"/>
      <c r="F152" s="888"/>
      <c r="G152" s="888"/>
      <c r="H152" s="888"/>
      <c r="I152" s="888"/>
      <c r="J152" s="888"/>
      <c r="K152" s="888"/>
      <c r="L152" s="889"/>
      <c r="M152" s="158">
        <f t="shared" ref="M152:U152" si="116">SUM(M151:M151)</f>
        <v>16</v>
      </c>
      <c r="N152" s="158">
        <f t="shared" si="116"/>
        <v>0</v>
      </c>
      <c r="O152" s="160">
        <f t="shared" si="116"/>
        <v>49</v>
      </c>
      <c r="P152" s="160">
        <f t="shared" si="116"/>
        <v>49</v>
      </c>
      <c r="Q152" s="160">
        <f t="shared" si="116"/>
        <v>0</v>
      </c>
      <c r="R152" s="161">
        <f t="shared" si="116"/>
        <v>0</v>
      </c>
      <c r="S152" s="161">
        <f t="shared" si="116"/>
        <v>0</v>
      </c>
      <c r="T152" s="163">
        <f t="shared" si="116"/>
        <v>0</v>
      </c>
      <c r="U152" s="158">
        <f t="shared" si="116"/>
        <v>3585</v>
      </c>
      <c r="V152" s="188">
        <f>0</f>
        <v>0</v>
      </c>
      <c r="W152" s="157">
        <f>SUM(W149:W151)</f>
        <v>0</v>
      </c>
      <c r="X152" s="157">
        <f>SUM(X149:X151)</f>
        <v>0</v>
      </c>
      <c r="Y152" s="164"/>
      <c r="Z152" s="175">
        <f>SUM(Z149:Z151)</f>
        <v>0</v>
      </c>
      <c r="AA152" s="164"/>
      <c r="AB152" s="164"/>
      <c r="AC152" s="157">
        <f>SUM(AC151:AC151)</f>
        <v>1520</v>
      </c>
      <c r="AD152" s="157">
        <f>SUM(AD151:AD151)</f>
        <v>0</v>
      </c>
      <c r="AE152" s="166">
        <f>SUM(AE151:AE151)</f>
        <v>4655</v>
      </c>
      <c r="AF152" s="166">
        <f>SUM(AF149:AF151)</f>
        <v>4655</v>
      </c>
      <c r="AG152" s="166">
        <f>SUM(AG149:AG151)</f>
        <v>0</v>
      </c>
      <c r="AH152" s="175">
        <f>SUM(AH149:AH151)</f>
        <v>0</v>
      </c>
      <c r="AI152" s="175">
        <f>SUM(AI149:AI151)</f>
        <v>0</v>
      </c>
      <c r="AJ152" s="175">
        <f>SUM(AJ149:AJ151)</f>
        <v>0</v>
      </c>
      <c r="AK152" s="165">
        <f>AK151</f>
        <v>5105</v>
      </c>
      <c r="AL152" s="165">
        <f>0</f>
        <v>0</v>
      </c>
      <c r="AM152" s="166" t="e">
        <f>SUM(AM149:AM151)</f>
        <v>#VALUE!</v>
      </c>
      <c r="AN152" s="166" t="e">
        <f>AN151+#REF!</f>
        <v>#VALUE!</v>
      </c>
      <c r="AO152" s="164"/>
      <c r="AP152" s="175">
        <f>SUM(AP149:AP151)</f>
        <v>0</v>
      </c>
      <c r="AQ152" s="164"/>
      <c r="AR152" s="167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141" ht="27" thickBot="1" x14ac:dyDescent="0.75">
      <c r="A153" s="884"/>
      <c r="B153" s="886"/>
      <c r="C153" s="932"/>
      <c r="D153" s="890"/>
      <c r="E153" s="891"/>
      <c r="F153" s="891"/>
      <c r="G153" s="891"/>
      <c r="H153" s="891"/>
      <c r="I153" s="891"/>
      <c r="J153" s="891"/>
      <c r="K153" s="891"/>
      <c r="L153" s="892"/>
      <c r="M153" s="895">
        <f>M152+N152</f>
        <v>16</v>
      </c>
      <c r="N153" s="897">
        <f>M152+N152</f>
        <v>16</v>
      </c>
      <c r="O153" s="895">
        <f>+O152+P152+Q152</f>
        <v>98</v>
      </c>
      <c r="P153" s="896"/>
      <c r="Q153" s="897"/>
      <c r="R153" s="898">
        <f>+R152+S152+T152</f>
        <v>0</v>
      </c>
      <c r="S153" s="899"/>
      <c r="T153" s="900"/>
      <c r="U153" s="1055">
        <f>U152+V152</f>
        <v>3585</v>
      </c>
      <c r="V153" s="1056"/>
      <c r="W153" s="903">
        <f>W152+X152+Y152</f>
        <v>0</v>
      </c>
      <c r="X153" s="904"/>
      <c r="Y153" s="905"/>
      <c r="Z153" s="906">
        <f>Z152+AA152+AB152</f>
        <v>0</v>
      </c>
      <c r="AA153" s="907"/>
      <c r="AB153" s="908"/>
      <c r="AC153" s="911">
        <f>AC152+AD152</f>
        <v>1520</v>
      </c>
      <c r="AD153" s="913">
        <f t="shared" ref="AD153" si="117">ROUND(N153*960,0)</f>
        <v>15360</v>
      </c>
      <c r="AE153" s="911">
        <f>AE152+AF152+AG152</f>
        <v>9310</v>
      </c>
      <c r="AF153" s="912"/>
      <c r="AG153" s="913"/>
      <c r="AH153" s="914">
        <f>AH152+AI152+AJ152</f>
        <v>0</v>
      </c>
      <c r="AI153" s="915"/>
      <c r="AJ153" s="916"/>
      <c r="AK153" s="1068">
        <f>AK152+AL152</f>
        <v>5105</v>
      </c>
      <c r="AL153" s="1069">
        <f t="shared" ref="AL153" si="118">V153+AD153</f>
        <v>15360</v>
      </c>
      <c r="AM153" s="911" t="e">
        <f>AM152+AN152+AO152</f>
        <v>#VALUE!</v>
      </c>
      <c r="AN153" s="912"/>
      <c r="AO153" s="913"/>
      <c r="AP153" s="919">
        <f>AP152+AQ152+AR152</f>
        <v>0</v>
      </c>
      <c r="AQ153" s="920"/>
      <c r="AR153" s="92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141" s="180" customFormat="1" ht="39.950000000000003" customHeight="1" thickBot="1" x14ac:dyDescent="0.6">
      <c r="A154" s="922" t="s">
        <v>136</v>
      </c>
      <c r="B154" s="923"/>
      <c r="C154" s="923"/>
      <c r="D154" s="923"/>
      <c r="E154" s="923"/>
      <c r="F154" s="923"/>
      <c r="G154" s="923"/>
      <c r="H154" s="923"/>
      <c r="I154" s="923"/>
      <c r="J154" s="923"/>
      <c r="K154" s="923"/>
      <c r="L154" s="923"/>
      <c r="M154" s="923"/>
      <c r="N154" s="923"/>
      <c r="O154" s="923"/>
      <c r="P154" s="923"/>
      <c r="Q154" s="923"/>
      <c r="R154" s="923"/>
      <c r="S154" s="923"/>
      <c r="T154" s="923"/>
      <c r="U154" s="923"/>
      <c r="V154" s="923"/>
      <c r="W154" s="923"/>
      <c r="X154" s="923"/>
      <c r="Y154" s="923"/>
      <c r="Z154" s="923"/>
      <c r="AA154" s="923"/>
      <c r="AB154" s="923"/>
      <c r="AC154" s="923"/>
      <c r="AD154" s="923"/>
      <c r="AE154" s="923"/>
      <c r="AF154" s="923"/>
      <c r="AG154" s="923"/>
      <c r="AH154" s="923"/>
      <c r="AI154" s="923"/>
      <c r="AJ154" s="923"/>
      <c r="AK154" s="923"/>
      <c r="AL154" s="923"/>
      <c r="AM154" s="923"/>
      <c r="AN154" s="923"/>
      <c r="AO154" s="923"/>
      <c r="AP154" s="923"/>
      <c r="AQ154" s="923"/>
      <c r="AR154" s="924"/>
      <c r="AS154" s="176"/>
      <c r="AT154" s="176"/>
      <c r="AU154" s="176"/>
      <c r="AV154" s="176"/>
      <c r="AW154" s="176"/>
      <c r="AX154" s="176"/>
      <c r="AY154" s="176"/>
      <c r="AZ154" s="176"/>
      <c r="BA154" s="176"/>
      <c r="BB154" s="176"/>
      <c r="BC154" s="176"/>
      <c r="BD154" s="176"/>
      <c r="BE154" s="176"/>
      <c r="BF154" s="176"/>
      <c r="BG154" s="176"/>
      <c r="BH154" s="176"/>
      <c r="BI154" s="176"/>
      <c r="BJ154" s="176"/>
      <c r="BK154" s="176"/>
      <c r="BL154" s="176"/>
      <c r="BM154" s="176"/>
      <c r="BN154" s="176"/>
      <c r="BO154" s="176"/>
      <c r="BP154" s="176"/>
      <c r="BQ154" s="176"/>
      <c r="BR154" s="176"/>
      <c r="BS154" s="176"/>
      <c r="BT154" s="176"/>
      <c r="BU154" s="176"/>
      <c r="BV154" s="176"/>
      <c r="BW154" s="176"/>
      <c r="BX154" s="176"/>
      <c r="BY154" s="176"/>
      <c r="BZ154" s="176"/>
      <c r="CA154" s="176"/>
      <c r="CB154" s="176"/>
      <c r="CC154" s="176"/>
      <c r="CD154" s="176"/>
      <c r="CE154" s="176"/>
      <c r="CF154" s="176"/>
      <c r="CG154" s="176"/>
      <c r="CH154" s="176"/>
      <c r="CI154" s="176"/>
      <c r="CJ154" s="176"/>
      <c r="CK154" s="176"/>
      <c r="CL154" s="176"/>
      <c r="CM154" s="176"/>
      <c r="CN154" s="176"/>
      <c r="CO154" s="176"/>
      <c r="CP154" s="176"/>
      <c r="CQ154" s="176"/>
      <c r="CR154" s="176"/>
      <c r="CS154" s="176"/>
      <c r="CT154" s="176"/>
      <c r="CU154" s="176"/>
      <c r="CV154" s="176"/>
      <c r="CW154" s="176"/>
      <c r="CX154" s="176"/>
      <c r="CY154" s="176"/>
      <c r="CZ154" s="176"/>
      <c r="DA154" s="176"/>
      <c r="DB154" s="176"/>
      <c r="DC154" s="176"/>
      <c r="DD154" s="176"/>
      <c r="DE154" s="176"/>
      <c r="DF154" s="176"/>
      <c r="DG154" s="176"/>
      <c r="DH154" s="176"/>
      <c r="DI154" s="176"/>
      <c r="DJ154" s="176"/>
      <c r="DK154" s="176"/>
      <c r="DL154" s="176"/>
      <c r="DM154" s="176"/>
      <c r="DN154" s="176"/>
      <c r="DO154" s="176"/>
      <c r="DP154" s="176"/>
      <c r="DQ154" s="176"/>
      <c r="DR154" s="176"/>
      <c r="DS154" s="176"/>
      <c r="DT154" s="176"/>
      <c r="DU154" s="176"/>
      <c r="DV154" s="176"/>
      <c r="DW154" s="176"/>
      <c r="DX154" s="176"/>
      <c r="DY154" s="176"/>
      <c r="DZ154" s="176"/>
      <c r="EA154" s="176"/>
      <c r="EB154" s="176"/>
      <c r="EC154" s="176"/>
      <c r="ED154" s="176"/>
      <c r="EE154" s="176"/>
      <c r="EF154" s="176"/>
      <c r="EG154" s="176"/>
      <c r="EH154" s="176"/>
      <c r="EI154" s="176"/>
      <c r="EJ154" s="176"/>
      <c r="EK154" s="176"/>
    </row>
    <row r="155" spans="1:141" s="177" customFormat="1" ht="39.950000000000003" customHeight="1" thickBot="1" x14ac:dyDescent="0.6">
      <c r="A155" s="928" t="s">
        <v>137</v>
      </c>
      <c r="B155" s="929"/>
      <c r="C155" s="929"/>
      <c r="D155" s="929"/>
      <c r="E155" s="929"/>
      <c r="F155" s="929"/>
      <c r="G155" s="929"/>
      <c r="H155" s="929"/>
      <c r="I155" s="929"/>
      <c r="J155" s="929"/>
      <c r="K155" s="929"/>
      <c r="L155" s="929"/>
      <c r="M155" s="929"/>
      <c r="N155" s="929"/>
      <c r="O155" s="929"/>
      <c r="P155" s="929"/>
      <c r="Q155" s="929"/>
      <c r="R155" s="929"/>
      <c r="S155" s="929"/>
      <c r="T155" s="929"/>
      <c r="U155" s="929"/>
      <c r="V155" s="929"/>
      <c r="W155" s="929"/>
      <c r="X155" s="929"/>
      <c r="Y155" s="929"/>
      <c r="Z155" s="929"/>
      <c r="AA155" s="929"/>
      <c r="AB155" s="929"/>
      <c r="AC155" s="929"/>
      <c r="AD155" s="929"/>
      <c r="AE155" s="929"/>
      <c r="AF155" s="929"/>
      <c r="AG155" s="929"/>
      <c r="AH155" s="929"/>
      <c r="AI155" s="929"/>
      <c r="AJ155" s="929"/>
      <c r="AK155" s="929"/>
      <c r="AL155" s="929"/>
      <c r="AM155" s="929"/>
      <c r="AN155" s="929"/>
      <c r="AO155" s="929"/>
      <c r="AP155" s="929"/>
      <c r="AQ155" s="929"/>
      <c r="AR155" s="930"/>
      <c r="AS155" s="176"/>
      <c r="AT155" s="176"/>
      <c r="AU155" s="176"/>
      <c r="AV155" s="176"/>
      <c r="AW155" s="176"/>
      <c r="AX155" s="176"/>
      <c r="AY155" s="176"/>
      <c r="AZ155" s="176"/>
      <c r="BA155" s="176"/>
      <c r="BB155" s="176"/>
      <c r="BC155" s="176"/>
      <c r="BD155" s="176"/>
      <c r="BE155" s="176"/>
      <c r="BF155" s="176"/>
      <c r="BG155" s="176"/>
      <c r="BH155" s="176"/>
      <c r="BI155" s="176"/>
      <c r="BJ155" s="176"/>
      <c r="BK155" s="176"/>
      <c r="BL155" s="176"/>
      <c r="BM155" s="176"/>
      <c r="BN155" s="176"/>
      <c r="BO155" s="176"/>
      <c r="BP155" s="176"/>
      <c r="BQ155" s="176"/>
      <c r="BR155" s="176"/>
      <c r="BS155" s="176"/>
      <c r="BT155" s="176"/>
      <c r="BU155" s="176"/>
      <c r="BV155" s="176"/>
      <c r="BW155" s="176"/>
      <c r="BX155" s="176"/>
      <c r="BY155" s="176"/>
      <c r="BZ155" s="176"/>
      <c r="CA155" s="176"/>
      <c r="CB155" s="176"/>
      <c r="CC155" s="176"/>
      <c r="CD155" s="176"/>
      <c r="CE155" s="176"/>
      <c r="CF155" s="176"/>
      <c r="CG155" s="176"/>
      <c r="CH155" s="176"/>
      <c r="CI155" s="176"/>
      <c r="CJ155" s="176"/>
      <c r="CK155" s="176"/>
      <c r="CL155" s="176"/>
      <c r="CM155" s="176"/>
      <c r="CN155" s="176"/>
      <c r="CO155" s="176"/>
      <c r="CP155" s="176"/>
      <c r="CQ155" s="176"/>
      <c r="CR155" s="176"/>
      <c r="CS155" s="176"/>
      <c r="CT155" s="176"/>
      <c r="CU155" s="176"/>
      <c r="CV155" s="176"/>
      <c r="CW155" s="176"/>
      <c r="CX155" s="176"/>
      <c r="CY155" s="176"/>
      <c r="CZ155" s="176"/>
      <c r="DA155" s="176"/>
      <c r="DB155" s="176"/>
      <c r="DC155" s="176"/>
      <c r="DD155" s="176"/>
      <c r="DE155" s="176"/>
      <c r="DF155" s="176"/>
      <c r="DG155" s="176"/>
      <c r="DH155" s="176"/>
      <c r="DI155" s="176"/>
      <c r="DJ155" s="176"/>
      <c r="DK155" s="176"/>
      <c r="DL155" s="176"/>
      <c r="DM155" s="176"/>
      <c r="DN155" s="176"/>
      <c r="DO155" s="176"/>
      <c r="DP155" s="176"/>
      <c r="DQ155" s="176"/>
      <c r="DR155" s="176"/>
      <c r="DS155" s="176"/>
      <c r="DT155" s="176"/>
      <c r="DU155" s="176"/>
      <c r="DV155" s="176"/>
      <c r="DW155" s="176"/>
      <c r="DX155" s="176"/>
      <c r="DY155" s="176"/>
      <c r="DZ155" s="176"/>
      <c r="EA155" s="176"/>
      <c r="EB155" s="176"/>
      <c r="EC155" s="176"/>
      <c r="ED155" s="176"/>
      <c r="EE155" s="176"/>
      <c r="EF155" s="176"/>
      <c r="EG155" s="176"/>
      <c r="EH155" s="176"/>
      <c r="EI155" s="176"/>
      <c r="EJ155" s="176"/>
      <c r="EK155" s="176"/>
    </row>
    <row r="156" spans="1:141" s="88" customFormat="1" x14ac:dyDescent="0.55000000000000004">
      <c r="A156" s="112" t="s">
        <v>139</v>
      </c>
      <c r="B156" s="113">
        <v>121</v>
      </c>
      <c r="C156" s="114">
        <v>3037</v>
      </c>
      <c r="D156" s="7">
        <v>0</v>
      </c>
      <c r="E156" s="8">
        <v>3</v>
      </c>
      <c r="F156" s="8">
        <f>0</f>
        <v>0</v>
      </c>
      <c r="G156" s="101">
        <f>0</f>
        <v>0</v>
      </c>
      <c r="H156" s="8">
        <v>15</v>
      </c>
      <c r="I156" s="102">
        <f>0</f>
        <v>0</v>
      </c>
      <c r="J156" s="101">
        <v>1.1000000000000001</v>
      </c>
      <c r="K156" s="8">
        <v>2</v>
      </c>
      <c r="L156" s="103">
        <v>1.7</v>
      </c>
      <c r="M156" s="82">
        <f>+C156*G156*D156/1000</f>
        <v>0</v>
      </c>
      <c r="N156" s="22"/>
      <c r="O156" s="202">
        <f>ROUND(C156*H156/1000,0)</f>
        <v>46</v>
      </c>
      <c r="P156" s="200">
        <f>ROUND(C156*H156/1000,0)</f>
        <v>46</v>
      </c>
      <c r="Q156" s="200">
        <f>ROUND(C156*H156/1000,0)</f>
        <v>46</v>
      </c>
      <c r="R156" s="52">
        <f>ROUND(C156*I156/1000,0)</f>
        <v>0</v>
      </c>
      <c r="S156" s="52"/>
      <c r="T156" s="86"/>
      <c r="U156" s="82"/>
      <c r="V156" s="22"/>
      <c r="W156" s="942" t="s">
        <v>116</v>
      </c>
      <c r="X156" s="1057"/>
      <c r="Y156" s="1058"/>
      <c r="Z156" s="82">
        <f>0</f>
        <v>0</v>
      </c>
      <c r="AA156" s="84"/>
      <c r="AB156" s="87"/>
      <c r="AC156" s="22" t="e">
        <f>+S156*W156*T156/1000</f>
        <v>#VALUE!</v>
      </c>
      <c r="AD156" s="22"/>
      <c r="AE156" s="210">
        <f t="shared" ref="AE156:AF158" si="119">ROUND(O156*490,0)</f>
        <v>22540</v>
      </c>
      <c r="AF156" s="210">
        <f t="shared" si="119"/>
        <v>22540</v>
      </c>
      <c r="AG156" s="52"/>
      <c r="AH156" s="13">
        <f t="shared" ref="AH156:AH158" si="120">ROUND(R156*960,0)</f>
        <v>0</v>
      </c>
      <c r="AI156" s="52"/>
      <c r="AJ156" s="85"/>
      <c r="AK156" s="170"/>
      <c r="AL156" s="52"/>
      <c r="AM156" s="104" t="e">
        <f t="shared" ref="AM156:AN158" si="121">W156+AE156</f>
        <v>#VALUE!</v>
      </c>
      <c r="AN156" s="104">
        <f>X156+AF156</f>
        <v>22540</v>
      </c>
      <c r="AO156" s="52"/>
      <c r="AP156" s="14">
        <f t="shared" ref="AP156:AP158" si="122">Z156+AH156</f>
        <v>0</v>
      </c>
      <c r="AQ156" s="52"/>
      <c r="AR156" s="85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  <c r="BN156" s="56"/>
      <c r="BO156" s="56"/>
      <c r="BP156" s="56"/>
      <c r="BQ156" s="56"/>
      <c r="BR156" s="56"/>
      <c r="BS156" s="56"/>
      <c r="BT156" s="56"/>
      <c r="BU156" s="56"/>
      <c r="BV156" s="56"/>
      <c r="BW156" s="56"/>
      <c r="BX156" s="56"/>
      <c r="BY156" s="56"/>
      <c r="BZ156" s="56"/>
      <c r="CA156" s="56"/>
      <c r="CB156" s="56"/>
      <c r="CC156" s="56"/>
      <c r="CD156" s="56"/>
      <c r="CE156" s="56"/>
      <c r="CF156" s="56"/>
      <c r="CG156" s="56"/>
      <c r="CH156" s="56"/>
      <c r="CI156" s="56"/>
      <c r="CJ156" s="56"/>
      <c r="CK156" s="56"/>
      <c r="CL156" s="56"/>
      <c r="CM156" s="56"/>
      <c r="CN156" s="56"/>
      <c r="CO156" s="56"/>
      <c r="CP156" s="56"/>
      <c r="CQ156" s="56"/>
      <c r="CR156" s="56"/>
      <c r="CS156" s="56"/>
      <c r="CT156" s="56"/>
      <c r="CU156" s="56"/>
      <c r="CV156" s="56"/>
      <c r="CW156" s="56"/>
      <c r="CX156" s="56"/>
      <c r="CY156" s="56"/>
      <c r="CZ156" s="56"/>
      <c r="DA156" s="56"/>
      <c r="DB156" s="56"/>
      <c r="DC156" s="56"/>
      <c r="DD156" s="56"/>
      <c r="DE156" s="56"/>
      <c r="DF156" s="56"/>
      <c r="DG156" s="56"/>
      <c r="DH156" s="56"/>
      <c r="DI156" s="56"/>
      <c r="DJ156" s="56"/>
      <c r="DK156" s="56"/>
      <c r="DL156" s="56"/>
      <c r="DM156" s="56"/>
      <c r="DN156" s="56"/>
      <c r="DO156" s="56"/>
      <c r="DP156" s="56"/>
      <c r="DQ156" s="56"/>
      <c r="DR156" s="56"/>
      <c r="DS156" s="56"/>
      <c r="DT156" s="56"/>
      <c r="DU156" s="56"/>
      <c r="DV156" s="56"/>
      <c r="DW156" s="56"/>
      <c r="DX156" s="56"/>
      <c r="DY156" s="56"/>
      <c r="DZ156" s="56"/>
      <c r="EA156" s="56"/>
      <c r="EB156" s="56"/>
      <c r="EC156" s="56"/>
      <c r="ED156" s="56"/>
      <c r="EE156" s="56"/>
      <c r="EF156" s="56"/>
      <c r="EG156" s="56"/>
      <c r="EH156" s="56"/>
      <c r="EI156" s="56"/>
      <c r="EJ156" s="56"/>
      <c r="EK156" s="56"/>
    </row>
    <row r="157" spans="1:141" s="88" customFormat="1" x14ac:dyDescent="0.55000000000000004">
      <c r="A157" s="112" t="s">
        <v>140</v>
      </c>
      <c r="B157" s="115">
        <v>38</v>
      </c>
      <c r="C157" s="116">
        <v>842</v>
      </c>
      <c r="D157" s="22">
        <v>0</v>
      </c>
      <c r="E157" s="52">
        <v>3</v>
      </c>
      <c r="F157" s="52">
        <f>0</f>
        <v>0</v>
      </c>
      <c r="G157" s="82">
        <f>0</f>
        <v>0</v>
      </c>
      <c r="H157" s="52">
        <v>15</v>
      </c>
      <c r="I157" s="87">
        <f>0</f>
        <v>0</v>
      </c>
      <c r="J157" s="82">
        <v>1.1000000000000001</v>
      </c>
      <c r="K157" s="52">
        <v>2</v>
      </c>
      <c r="L157" s="84">
        <v>1.7</v>
      </c>
      <c r="M157" s="82">
        <f>+C157*G157*D157/1000</f>
        <v>0</v>
      </c>
      <c r="N157" s="22"/>
      <c r="O157" s="202">
        <f>ROUND(C157*H157/1000,0)</f>
        <v>13</v>
      </c>
      <c r="P157" s="200">
        <f>ROUND(C157*H157/1000,0)</f>
        <v>13</v>
      </c>
      <c r="Q157" s="200">
        <f t="shared" ref="Q157:Q158" si="123">ROUND(C157*H157/1000,0)</f>
        <v>13</v>
      </c>
      <c r="R157" s="52">
        <f>ROUND(C157*I157/1000,0)</f>
        <v>0</v>
      </c>
      <c r="S157" s="52"/>
      <c r="T157" s="86"/>
      <c r="U157" s="82"/>
      <c r="V157" s="22"/>
      <c r="W157" s="1059"/>
      <c r="X157" s="1060"/>
      <c r="Y157" s="1061"/>
      <c r="Z157" s="82">
        <f>0</f>
        <v>0</v>
      </c>
      <c r="AA157" s="84"/>
      <c r="AB157" s="87"/>
      <c r="AC157" s="22">
        <f>+S157*W157*T157/1000</f>
        <v>0</v>
      </c>
      <c r="AD157" s="22"/>
      <c r="AE157" s="210">
        <f t="shared" si="119"/>
        <v>6370</v>
      </c>
      <c r="AF157" s="210">
        <f t="shared" si="119"/>
        <v>6370</v>
      </c>
      <c r="AG157" s="52"/>
      <c r="AH157" s="13">
        <f t="shared" si="120"/>
        <v>0</v>
      </c>
      <c r="AI157" s="52"/>
      <c r="AJ157" s="85"/>
      <c r="AK157" s="170"/>
      <c r="AL157" s="52"/>
      <c r="AM157" s="104">
        <f t="shared" si="121"/>
        <v>6370</v>
      </c>
      <c r="AN157" s="104">
        <f t="shared" si="121"/>
        <v>6370</v>
      </c>
      <c r="AO157" s="52"/>
      <c r="AP157" s="14">
        <f t="shared" si="122"/>
        <v>0</v>
      </c>
      <c r="AQ157" s="52"/>
      <c r="AR157" s="85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  <c r="BN157" s="56"/>
      <c r="BO157" s="56"/>
      <c r="BP157" s="56"/>
      <c r="BQ157" s="56"/>
      <c r="BR157" s="56"/>
      <c r="BS157" s="56"/>
      <c r="BT157" s="56"/>
      <c r="BU157" s="56"/>
      <c r="BV157" s="56"/>
      <c r="BW157" s="56"/>
      <c r="BX157" s="56"/>
      <c r="BY157" s="56"/>
      <c r="BZ157" s="56"/>
      <c r="CA157" s="56"/>
      <c r="CB157" s="56"/>
      <c r="CC157" s="56"/>
      <c r="CD157" s="56"/>
      <c r="CE157" s="56"/>
      <c r="CF157" s="56"/>
      <c r="CG157" s="56"/>
      <c r="CH157" s="56"/>
      <c r="CI157" s="56"/>
      <c r="CJ157" s="56"/>
      <c r="CK157" s="56"/>
      <c r="CL157" s="56"/>
      <c r="CM157" s="56"/>
      <c r="CN157" s="56"/>
      <c r="CO157" s="56"/>
      <c r="CP157" s="56"/>
      <c r="CQ157" s="56"/>
      <c r="CR157" s="56"/>
      <c r="CS157" s="56"/>
      <c r="CT157" s="56"/>
      <c r="CU157" s="56"/>
      <c r="CV157" s="56"/>
      <c r="CW157" s="56"/>
      <c r="CX157" s="56"/>
      <c r="CY157" s="56"/>
      <c r="CZ157" s="56"/>
      <c r="DA157" s="56"/>
      <c r="DB157" s="56"/>
      <c r="DC157" s="56"/>
      <c r="DD157" s="56"/>
      <c r="DE157" s="56"/>
      <c r="DF157" s="56"/>
      <c r="DG157" s="56"/>
      <c r="DH157" s="56"/>
      <c r="DI157" s="56"/>
      <c r="DJ157" s="56"/>
      <c r="DK157" s="56"/>
      <c r="DL157" s="56"/>
      <c r="DM157" s="56"/>
      <c r="DN157" s="56"/>
      <c r="DO157" s="56"/>
      <c r="DP157" s="56"/>
      <c r="DQ157" s="56"/>
      <c r="DR157" s="56"/>
      <c r="DS157" s="56"/>
      <c r="DT157" s="56"/>
      <c r="DU157" s="56"/>
      <c r="DV157" s="56"/>
      <c r="DW157" s="56"/>
      <c r="DX157" s="56"/>
      <c r="DY157" s="56"/>
      <c r="DZ157" s="56"/>
      <c r="EA157" s="56"/>
      <c r="EB157" s="56"/>
      <c r="EC157" s="56"/>
      <c r="ED157" s="56"/>
      <c r="EE157" s="56"/>
      <c r="EF157" s="56"/>
      <c r="EG157" s="56"/>
      <c r="EH157" s="56"/>
      <c r="EI157" s="56"/>
      <c r="EJ157" s="56"/>
      <c r="EK157" s="56"/>
    </row>
    <row r="158" spans="1:141" s="88" customFormat="1" ht="24.75" thickBot="1" x14ac:dyDescent="0.6">
      <c r="A158" s="112" t="s">
        <v>141</v>
      </c>
      <c r="B158" s="117">
        <v>38</v>
      </c>
      <c r="C158" s="118">
        <v>844</v>
      </c>
      <c r="D158" s="26">
        <v>0</v>
      </c>
      <c r="E158" s="90">
        <v>3</v>
      </c>
      <c r="F158" s="90">
        <f>0</f>
        <v>0</v>
      </c>
      <c r="G158" s="89">
        <f>0</f>
        <v>0</v>
      </c>
      <c r="H158" s="90">
        <v>15</v>
      </c>
      <c r="I158" s="91">
        <f>0</f>
        <v>0</v>
      </c>
      <c r="J158" s="89">
        <v>1.1000000000000001</v>
      </c>
      <c r="K158" s="90">
        <v>2</v>
      </c>
      <c r="L158" s="105">
        <v>1.7</v>
      </c>
      <c r="M158" s="82">
        <f>+C158*G158*D158/1000</f>
        <v>0</v>
      </c>
      <c r="N158" s="22"/>
      <c r="O158" s="202">
        <f>ROUND(C158*H158/1000,0)</f>
        <v>13</v>
      </c>
      <c r="P158" s="200">
        <f>ROUND(C158*H158/1000,0)</f>
        <v>13</v>
      </c>
      <c r="Q158" s="200">
        <f t="shared" si="123"/>
        <v>13</v>
      </c>
      <c r="R158" s="52">
        <f>ROUND(C158*I158/1000,0)</f>
        <v>0</v>
      </c>
      <c r="S158" s="52"/>
      <c r="T158" s="86"/>
      <c r="U158" s="82"/>
      <c r="V158" s="22"/>
      <c r="W158" s="1062"/>
      <c r="X158" s="1063"/>
      <c r="Y158" s="1064"/>
      <c r="Z158" s="82">
        <f>0</f>
        <v>0</v>
      </c>
      <c r="AA158" s="84"/>
      <c r="AB158" s="87"/>
      <c r="AC158" s="22">
        <f>+S158*W158*T158/1000</f>
        <v>0</v>
      </c>
      <c r="AD158" s="22"/>
      <c r="AE158" s="210">
        <f t="shared" si="119"/>
        <v>6370</v>
      </c>
      <c r="AF158" s="210">
        <f t="shared" si="119"/>
        <v>6370</v>
      </c>
      <c r="AG158" s="52"/>
      <c r="AH158" s="13">
        <f t="shared" si="120"/>
        <v>0</v>
      </c>
      <c r="AI158" s="52"/>
      <c r="AJ158" s="85"/>
      <c r="AK158" s="170"/>
      <c r="AL158" s="52"/>
      <c r="AM158" s="104">
        <f t="shared" si="121"/>
        <v>6370</v>
      </c>
      <c r="AN158" s="104">
        <f t="shared" si="121"/>
        <v>6370</v>
      </c>
      <c r="AO158" s="52"/>
      <c r="AP158" s="14">
        <f t="shared" si="122"/>
        <v>0</v>
      </c>
      <c r="AQ158" s="52"/>
      <c r="AR158" s="85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  <c r="BN158" s="56"/>
      <c r="BO158" s="56"/>
      <c r="BP158" s="56"/>
      <c r="BQ158" s="56"/>
      <c r="BR158" s="56"/>
      <c r="BS158" s="56"/>
      <c r="BT158" s="56"/>
      <c r="BU158" s="56"/>
      <c r="BV158" s="56"/>
      <c r="BW158" s="56"/>
      <c r="BX158" s="56"/>
      <c r="BY158" s="56"/>
      <c r="BZ158" s="56"/>
      <c r="CA158" s="56"/>
      <c r="CB158" s="56"/>
      <c r="CC158" s="56"/>
      <c r="CD158" s="56"/>
      <c r="CE158" s="56"/>
      <c r="CF158" s="56"/>
      <c r="CG158" s="56"/>
      <c r="CH158" s="56"/>
      <c r="CI158" s="56"/>
      <c r="CJ158" s="56"/>
      <c r="CK158" s="56"/>
      <c r="CL158" s="56"/>
      <c r="CM158" s="56"/>
      <c r="CN158" s="56"/>
      <c r="CO158" s="56"/>
      <c r="CP158" s="56"/>
      <c r="CQ158" s="56"/>
      <c r="CR158" s="56"/>
      <c r="CS158" s="56"/>
      <c r="CT158" s="56"/>
      <c r="CU158" s="56"/>
      <c r="CV158" s="56"/>
      <c r="CW158" s="56"/>
      <c r="CX158" s="56"/>
      <c r="CY158" s="56"/>
      <c r="CZ158" s="56"/>
      <c r="DA158" s="56"/>
      <c r="DB158" s="56"/>
      <c r="DC158" s="56"/>
      <c r="DD158" s="56"/>
      <c r="DE158" s="56"/>
      <c r="DF158" s="56"/>
      <c r="DG158" s="56"/>
      <c r="DH158" s="56"/>
      <c r="DI158" s="56"/>
      <c r="DJ158" s="56"/>
      <c r="DK158" s="56"/>
      <c r="DL158" s="56"/>
      <c r="DM158" s="56"/>
      <c r="DN158" s="56"/>
      <c r="DO158" s="56"/>
      <c r="DP158" s="56"/>
      <c r="DQ158" s="56"/>
      <c r="DR158" s="56"/>
      <c r="DS158" s="56"/>
      <c r="DT158" s="56"/>
      <c r="DU158" s="56"/>
      <c r="DV158" s="56"/>
      <c r="DW158" s="56"/>
      <c r="DX158" s="56"/>
      <c r="DY158" s="56"/>
      <c r="DZ158" s="56"/>
      <c r="EA158" s="56"/>
      <c r="EB158" s="56"/>
      <c r="EC158" s="56"/>
      <c r="ED158" s="56"/>
      <c r="EE158" s="56"/>
      <c r="EF158" s="56"/>
      <c r="EG158" s="56"/>
      <c r="EH158" s="56"/>
      <c r="EI158" s="56"/>
      <c r="EJ158" s="56"/>
      <c r="EK158" s="56"/>
    </row>
    <row r="159" spans="1:141" ht="24.75" thickBot="1" x14ac:dyDescent="0.6">
      <c r="A159" s="883" t="s">
        <v>138</v>
      </c>
      <c r="B159" s="885">
        <f>SUM(B156:B158)</f>
        <v>197</v>
      </c>
      <c r="C159" s="931">
        <f>SUM(C156:C158)</f>
        <v>4723</v>
      </c>
      <c r="D159" s="887"/>
      <c r="E159" s="888"/>
      <c r="F159" s="888"/>
      <c r="G159" s="888"/>
      <c r="H159" s="888"/>
      <c r="I159" s="888"/>
      <c r="J159" s="888"/>
      <c r="K159" s="888"/>
      <c r="L159" s="889"/>
      <c r="M159" s="158">
        <f t="shared" ref="M159:U159" si="124">SUM(M156:M158)</f>
        <v>0</v>
      </c>
      <c r="N159" s="158">
        <f t="shared" si="124"/>
        <v>0</v>
      </c>
      <c r="O159" s="160">
        <f t="shared" si="124"/>
        <v>72</v>
      </c>
      <c r="P159" s="160">
        <f t="shared" si="124"/>
        <v>72</v>
      </c>
      <c r="Q159" s="160">
        <f t="shared" si="124"/>
        <v>72</v>
      </c>
      <c r="R159" s="161">
        <f t="shared" si="124"/>
        <v>0</v>
      </c>
      <c r="S159" s="161">
        <f t="shared" si="124"/>
        <v>0</v>
      </c>
      <c r="T159" s="163">
        <f t="shared" si="124"/>
        <v>0</v>
      </c>
      <c r="U159" s="158">
        <f t="shared" si="124"/>
        <v>0</v>
      </c>
      <c r="V159" s="188">
        <f>V157+V156+V155</f>
        <v>0</v>
      </c>
      <c r="W159" s="157">
        <f>SUM(W156:W158)</f>
        <v>0</v>
      </c>
      <c r="X159" s="157">
        <f>SUM(X156:X158)</f>
        <v>0</v>
      </c>
      <c r="Y159" s="164"/>
      <c r="Z159" s="164"/>
      <c r="AA159" s="164"/>
      <c r="AB159" s="164"/>
      <c r="AC159" s="157" t="e">
        <f>SUM(AC156:AC158)</f>
        <v>#VALUE!</v>
      </c>
      <c r="AD159" s="157">
        <f>SUM(AD156:AD158)</f>
        <v>0</v>
      </c>
      <c r="AE159" s="166">
        <f>SUM(AE156:AE158)</f>
        <v>35280</v>
      </c>
      <c r="AF159" s="166">
        <f>SUM(AF154:AF158)</f>
        <v>35280</v>
      </c>
      <c r="AG159" s="166">
        <f>SUM(AG154:AG158)</f>
        <v>0</v>
      </c>
      <c r="AH159" s="175">
        <f>SUM(AH154:AH158)</f>
        <v>0</v>
      </c>
      <c r="AI159" s="175">
        <f>SUM(AI154:AI158)</f>
        <v>0</v>
      </c>
      <c r="AJ159" s="175">
        <f>SUM(AJ154:AJ158)</f>
        <v>0</v>
      </c>
      <c r="AK159" s="165">
        <f>SUM(AK157:AK158)</f>
        <v>0</v>
      </c>
      <c r="AL159" s="165">
        <f>0</f>
        <v>0</v>
      </c>
      <c r="AM159" s="166" t="e">
        <f>SUM(AM154:AM158)</f>
        <v>#VALUE!</v>
      </c>
      <c r="AN159" s="166">
        <f>AN156+AN157</f>
        <v>28910</v>
      </c>
      <c r="AO159" s="164"/>
      <c r="AP159" s="175">
        <f>SUM(AP154:AP158)</f>
        <v>0</v>
      </c>
      <c r="AQ159" s="164"/>
      <c r="AR159" s="167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141" ht="27" thickBot="1" x14ac:dyDescent="0.75">
      <c r="A160" s="884"/>
      <c r="B160" s="886"/>
      <c r="C160" s="932"/>
      <c r="D160" s="890"/>
      <c r="E160" s="891"/>
      <c r="F160" s="891"/>
      <c r="G160" s="891"/>
      <c r="H160" s="891"/>
      <c r="I160" s="891"/>
      <c r="J160" s="891"/>
      <c r="K160" s="891"/>
      <c r="L160" s="892"/>
      <c r="M160" s="893">
        <f>M159+N159</f>
        <v>0</v>
      </c>
      <c r="N160" s="894">
        <f>M159+N159</f>
        <v>0</v>
      </c>
      <c r="O160" s="895">
        <f>+O159+P159+Q159</f>
        <v>216</v>
      </c>
      <c r="P160" s="896"/>
      <c r="Q160" s="897"/>
      <c r="R160" s="898">
        <f>+R159+S159+T159</f>
        <v>0</v>
      </c>
      <c r="S160" s="899"/>
      <c r="T160" s="900"/>
      <c r="U160" s="1070">
        <f>U159+V159</f>
        <v>0</v>
      </c>
      <c r="V160" s="1071"/>
      <c r="W160" s="903">
        <f>W159+X159+Y159</f>
        <v>0</v>
      </c>
      <c r="X160" s="904"/>
      <c r="Y160" s="905"/>
      <c r="Z160" s="906">
        <f>Z159+AA159+AB159</f>
        <v>0</v>
      </c>
      <c r="AA160" s="907"/>
      <c r="AB160" s="908"/>
      <c r="AC160" s="911" t="e">
        <f>AC159+AD159</f>
        <v>#VALUE!</v>
      </c>
      <c r="AD160" s="913">
        <f t="shared" ref="AD160" si="125">ROUND(N160*960,0)</f>
        <v>0</v>
      </c>
      <c r="AE160" s="911">
        <f>AE159+AF159+AG159</f>
        <v>70560</v>
      </c>
      <c r="AF160" s="912"/>
      <c r="AG160" s="913"/>
      <c r="AH160" s="914">
        <f>AH159+AI159+AJ159</f>
        <v>0</v>
      </c>
      <c r="AI160" s="915"/>
      <c r="AJ160" s="916"/>
      <c r="AK160" s="917">
        <f>AK159+AL159</f>
        <v>0</v>
      </c>
      <c r="AL160" s="918">
        <f t="shared" ref="AL160" si="126">V160+AD160</f>
        <v>0</v>
      </c>
      <c r="AM160" s="911" t="e">
        <f>AM159+AN159+AO159</f>
        <v>#VALUE!</v>
      </c>
      <c r="AN160" s="912"/>
      <c r="AO160" s="913"/>
      <c r="AP160" s="919">
        <f>AP159+AQ159+AR159</f>
        <v>0</v>
      </c>
      <c r="AQ160" s="920"/>
      <c r="AR160" s="92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141" s="68" customFormat="1" ht="39.950000000000003" customHeight="1" thickBot="1" x14ac:dyDescent="0.6">
      <c r="A161" s="880" t="s">
        <v>142</v>
      </c>
      <c r="B161" s="881"/>
      <c r="C161" s="881"/>
      <c r="D161" s="881"/>
      <c r="E161" s="881"/>
      <c r="F161" s="881"/>
      <c r="G161" s="881"/>
      <c r="H161" s="881"/>
      <c r="I161" s="881"/>
      <c r="J161" s="881"/>
      <c r="K161" s="881"/>
      <c r="L161" s="881"/>
      <c r="M161" s="881"/>
      <c r="N161" s="881"/>
      <c r="O161" s="881"/>
      <c r="P161" s="881"/>
      <c r="Q161" s="881"/>
      <c r="R161" s="881"/>
      <c r="S161" s="881"/>
      <c r="T161" s="881"/>
      <c r="U161" s="881"/>
      <c r="V161" s="881"/>
      <c r="W161" s="881"/>
      <c r="X161" s="881"/>
      <c r="Y161" s="881"/>
      <c r="Z161" s="881"/>
      <c r="AA161" s="881"/>
      <c r="AB161" s="881"/>
      <c r="AC161" s="881"/>
      <c r="AD161" s="881"/>
      <c r="AE161" s="881"/>
      <c r="AF161" s="881"/>
      <c r="AG161" s="881"/>
      <c r="AH161" s="881"/>
      <c r="AI161" s="881"/>
      <c r="AJ161" s="881"/>
      <c r="AK161" s="881"/>
      <c r="AL161" s="881"/>
      <c r="AM161" s="881"/>
      <c r="AN161" s="881"/>
      <c r="AO161" s="881"/>
      <c r="AP161" s="881"/>
      <c r="AQ161" s="881"/>
      <c r="AR161" s="882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  <c r="BM161" s="69"/>
      <c r="BN161" s="69"/>
      <c r="BO161" s="69"/>
      <c r="BP161" s="69"/>
      <c r="BQ161" s="69"/>
      <c r="BR161" s="69"/>
      <c r="BS161" s="69"/>
      <c r="BT161" s="69"/>
      <c r="BU161" s="69"/>
      <c r="BV161" s="69"/>
      <c r="BW161" s="69"/>
      <c r="BX161" s="69"/>
      <c r="BY161" s="69"/>
      <c r="BZ161" s="69"/>
      <c r="CA161" s="69"/>
      <c r="CB161" s="69"/>
      <c r="CC161" s="69"/>
      <c r="CD161" s="69"/>
      <c r="CE161" s="69"/>
      <c r="CF161" s="69"/>
      <c r="CG161" s="69"/>
      <c r="CH161" s="69"/>
      <c r="CI161" s="69"/>
      <c r="CJ161" s="69"/>
      <c r="CK161" s="69"/>
      <c r="CL161" s="69"/>
      <c r="CM161" s="69"/>
      <c r="CN161" s="69"/>
      <c r="CO161" s="69"/>
      <c r="CP161" s="69"/>
      <c r="CQ161" s="69"/>
      <c r="CR161" s="69"/>
      <c r="CS161" s="69"/>
      <c r="CT161" s="69"/>
      <c r="CU161" s="69"/>
      <c r="CV161" s="69"/>
      <c r="CW161" s="69"/>
      <c r="CX161" s="69"/>
      <c r="CY161" s="69"/>
      <c r="CZ161" s="69"/>
      <c r="DA161" s="69"/>
      <c r="DB161" s="69"/>
      <c r="DC161" s="69"/>
      <c r="DD161" s="69"/>
      <c r="DE161" s="69"/>
      <c r="DF161" s="69"/>
      <c r="DG161" s="69"/>
      <c r="DH161" s="69"/>
      <c r="DI161" s="69"/>
      <c r="DJ161" s="69"/>
      <c r="DK161" s="69"/>
      <c r="DL161" s="69"/>
      <c r="DM161" s="69"/>
      <c r="DN161" s="69"/>
      <c r="DO161" s="69"/>
      <c r="DP161" s="69"/>
      <c r="DQ161" s="69"/>
      <c r="DR161" s="69"/>
      <c r="DS161" s="69"/>
      <c r="DT161" s="69"/>
      <c r="DU161" s="69"/>
      <c r="DV161" s="69"/>
      <c r="DW161" s="69"/>
      <c r="DX161" s="69"/>
      <c r="DY161" s="69"/>
      <c r="DZ161" s="69"/>
      <c r="EA161" s="69"/>
      <c r="EB161" s="69"/>
      <c r="EC161" s="69"/>
      <c r="ED161" s="69"/>
      <c r="EE161" s="69"/>
      <c r="EF161" s="69"/>
      <c r="EG161" s="69"/>
      <c r="EH161" s="69"/>
      <c r="EI161" s="69"/>
      <c r="EJ161" s="69"/>
      <c r="EK161" s="69"/>
    </row>
    <row r="162" spans="1:141" x14ac:dyDescent="0.55000000000000004">
      <c r="A162" s="119" t="s">
        <v>144</v>
      </c>
      <c r="B162" s="120">
        <v>24</v>
      </c>
      <c r="C162" s="121">
        <v>534</v>
      </c>
      <c r="D162" s="46">
        <v>0</v>
      </c>
      <c r="E162" s="10">
        <v>3</v>
      </c>
      <c r="F162" s="10">
        <v>0</v>
      </c>
      <c r="G162" s="9">
        <f>0</f>
        <v>0</v>
      </c>
      <c r="H162" s="10">
        <v>15</v>
      </c>
      <c r="I162" s="11"/>
      <c r="J162" s="9">
        <v>1.1000000000000001</v>
      </c>
      <c r="K162" s="10">
        <v>2</v>
      </c>
      <c r="L162" s="12">
        <v>1.7</v>
      </c>
      <c r="M162" s="13"/>
      <c r="N162" s="17"/>
      <c r="O162" s="15">
        <f>ROUND(C162*H162/1000,0)</f>
        <v>8</v>
      </c>
      <c r="P162" s="14">
        <f>ROUND(C162*H162/1000,0)</f>
        <v>8</v>
      </c>
      <c r="Q162" s="14">
        <f>ROUND(C162*H162/1000,0)</f>
        <v>8</v>
      </c>
      <c r="R162" s="14"/>
      <c r="S162" s="14"/>
      <c r="T162" s="18"/>
      <c r="U162" s="13"/>
      <c r="V162" s="17"/>
      <c r="W162" s="13">
        <f>ROUND(C162*K162,0)</f>
        <v>1068</v>
      </c>
      <c r="X162" s="13">
        <f t="shared" ref="X162:X168" si="127">ROUND(C162*K162,0)</f>
        <v>1068</v>
      </c>
      <c r="Y162" s="13">
        <f t="shared" ref="Y162:Y168" si="128">ROUND(C162*K162,0)</f>
        <v>1068</v>
      </c>
      <c r="Z162" s="14"/>
      <c r="AA162" s="15"/>
      <c r="AB162" s="23"/>
      <c r="AC162" s="17"/>
      <c r="AD162" s="17"/>
      <c r="AE162" s="13">
        <f>ROUND(O162*95,0)</f>
        <v>760</v>
      </c>
      <c r="AF162" s="13">
        <f>ROUND(P162*95,0)</f>
        <v>760</v>
      </c>
      <c r="AG162" s="13">
        <f>ROUND(Q162*95,0)</f>
        <v>760</v>
      </c>
      <c r="AH162" s="14"/>
      <c r="AI162" s="14"/>
      <c r="AJ162" s="16"/>
      <c r="AK162" s="100"/>
      <c r="AL162" s="14"/>
      <c r="AM162" s="14">
        <f>W162+AE162</f>
        <v>1828</v>
      </c>
      <c r="AN162" s="14">
        <f>X162+AF162</f>
        <v>1828</v>
      </c>
      <c r="AO162" s="14">
        <f>Y162+AG162</f>
        <v>1828</v>
      </c>
      <c r="AP162" s="14"/>
      <c r="AQ162" s="14"/>
      <c r="AR162" s="1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</row>
    <row r="163" spans="1:141" x14ac:dyDescent="0.55000000000000004">
      <c r="A163" s="119" t="s">
        <v>145</v>
      </c>
      <c r="B163" s="122">
        <v>39</v>
      </c>
      <c r="C163" s="123">
        <v>980</v>
      </c>
      <c r="D163" s="17">
        <v>0</v>
      </c>
      <c r="E163" s="14">
        <v>3</v>
      </c>
      <c r="F163" s="14">
        <v>0</v>
      </c>
      <c r="G163" s="13">
        <f>0</f>
        <v>0</v>
      </c>
      <c r="H163" s="14">
        <v>15</v>
      </c>
      <c r="I163" s="23"/>
      <c r="J163" s="13">
        <v>1.1000000000000001</v>
      </c>
      <c r="K163" s="14">
        <v>2</v>
      </c>
      <c r="L163" s="15">
        <v>1.7</v>
      </c>
      <c r="M163" s="13"/>
      <c r="N163" s="17"/>
      <c r="O163" s="15">
        <f>ROUND(C163*H163/1000,0)</f>
        <v>15</v>
      </c>
      <c r="P163" s="14">
        <f>ROUND(C163*H163/1000,0)</f>
        <v>15</v>
      </c>
      <c r="Q163" s="14">
        <f>ROUND(C163*H163/1000,0)</f>
        <v>15</v>
      </c>
      <c r="R163" s="14"/>
      <c r="S163" s="14"/>
      <c r="T163" s="18"/>
      <c r="U163" s="13"/>
      <c r="V163" s="17"/>
      <c r="W163" s="13">
        <f t="shared" ref="W163:W165" si="129">ROUND(C163*K163,0)</f>
        <v>1960</v>
      </c>
      <c r="X163" s="13">
        <f t="shared" si="127"/>
        <v>1960</v>
      </c>
      <c r="Y163" s="13">
        <f t="shared" si="128"/>
        <v>1960</v>
      </c>
      <c r="Z163" s="14"/>
      <c r="AA163" s="15"/>
      <c r="AB163" s="23"/>
      <c r="AC163" s="17"/>
      <c r="AD163" s="17"/>
      <c r="AE163" s="13">
        <f t="shared" ref="AE163:AE165" si="130">ROUND(O163*95,0)</f>
        <v>1425</v>
      </c>
      <c r="AF163" s="13">
        <f t="shared" ref="AF163:AF165" si="131">ROUND(P163*95,0)</f>
        <v>1425</v>
      </c>
      <c r="AG163" s="13">
        <f t="shared" ref="AG163:AG165" si="132">ROUND(Q163*95,0)</f>
        <v>1425</v>
      </c>
      <c r="AH163" s="14"/>
      <c r="AI163" s="14"/>
      <c r="AJ163" s="16"/>
      <c r="AK163" s="100"/>
      <c r="AL163" s="14"/>
      <c r="AM163" s="14">
        <f t="shared" ref="AM163:AM165" si="133">W163+AE163</f>
        <v>3385</v>
      </c>
      <c r="AN163" s="14">
        <f t="shared" ref="AN163:AN165" si="134">X163+AF163</f>
        <v>3385</v>
      </c>
      <c r="AO163" s="14">
        <f t="shared" ref="AO163:AO165" si="135">Y163+AG163</f>
        <v>3385</v>
      </c>
      <c r="AP163" s="14"/>
      <c r="AQ163" s="14"/>
      <c r="AR163" s="1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  <c r="BQ163" s="56"/>
      <c r="BR163" s="56"/>
      <c r="BS163" s="56"/>
      <c r="BT163" s="56"/>
      <c r="BU163" s="56"/>
      <c r="BV163" s="56"/>
      <c r="BW163" s="56"/>
      <c r="BX163" s="56"/>
      <c r="BY163" s="56"/>
      <c r="BZ163" s="56"/>
      <c r="CA163" s="56"/>
      <c r="CB163" s="56"/>
      <c r="CC163" s="56"/>
      <c r="CD163" s="56"/>
      <c r="CE163" s="56"/>
      <c r="CF163" s="56"/>
      <c r="CG163" s="56"/>
      <c r="CH163" s="56"/>
      <c r="CI163" s="56"/>
      <c r="CJ163" s="56"/>
      <c r="CK163" s="56"/>
      <c r="CL163" s="56"/>
      <c r="CM163" s="56"/>
      <c r="CN163" s="56"/>
      <c r="CO163" s="56"/>
      <c r="CP163" s="56"/>
      <c r="CQ163" s="56"/>
      <c r="CR163" s="56"/>
      <c r="CS163" s="56"/>
      <c r="CT163" s="56"/>
      <c r="CU163" s="56"/>
      <c r="CV163" s="56"/>
      <c r="CW163" s="56"/>
      <c r="CX163" s="56"/>
      <c r="CY163" s="56"/>
      <c r="CZ163" s="56"/>
      <c r="DA163" s="56"/>
      <c r="DB163" s="56"/>
      <c r="DC163" s="56"/>
      <c r="DD163" s="56"/>
      <c r="DE163" s="56"/>
      <c r="DF163" s="56"/>
      <c r="DG163" s="56"/>
      <c r="DH163" s="56"/>
      <c r="DI163" s="56"/>
      <c r="DJ163" s="56"/>
      <c r="DK163" s="56"/>
      <c r="DL163" s="56"/>
      <c r="DM163" s="56"/>
      <c r="DN163" s="56"/>
      <c r="DO163" s="56"/>
      <c r="DP163" s="56"/>
      <c r="DQ163" s="56"/>
      <c r="DR163" s="56"/>
      <c r="DS163" s="56"/>
      <c r="DT163" s="56"/>
      <c r="DU163" s="56"/>
      <c r="DV163" s="56"/>
      <c r="DW163" s="56"/>
      <c r="DX163" s="56"/>
      <c r="DY163" s="56"/>
      <c r="DZ163" s="56"/>
      <c r="EA163" s="56"/>
      <c r="EB163" s="56"/>
      <c r="EC163" s="56"/>
      <c r="ED163" s="56"/>
      <c r="EE163" s="56"/>
      <c r="EF163" s="56"/>
      <c r="EG163" s="56"/>
      <c r="EH163" s="56"/>
      <c r="EI163" s="56"/>
      <c r="EJ163" s="56"/>
      <c r="EK163" s="56"/>
    </row>
    <row r="164" spans="1:141" x14ac:dyDescent="0.55000000000000004">
      <c r="A164" s="119" t="s">
        <v>146</v>
      </c>
      <c r="B164" s="124">
        <v>14</v>
      </c>
      <c r="C164" s="125">
        <v>309</v>
      </c>
      <c r="D164" s="31">
        <v>0</v>
      </c>
      <c r="E164" s="28">
        <v>3</v>
      </c>
      <c r="F164" s="28">
        <v>0</v>
      </c>
      <c r="G164" s="27">
        <f>0</f>
        <v>0</v>
      </c>
      <c r="H164" s="28">
        <v>15</v>
      </c>
      <c r="I164" s="29"/>
      <c r="J164" s="27">
        <v>1.1000000000000001</v>
      </c>
      <c r="K164" s="28">
        <v>2</v>
      </c>
      <c r="L164" s="30">
        <v>1.7</v>
      </c>
      <c r="M164" s="27" t="s">
        <v>39</v>
      </c>
      <c r="N164" s="31"/>
      <c r="O164" s="30">
        <f>ROUND(C164*H164/1000,0)</f>
        <v>5</v>
      </c>
      <c r="P164" s="28">
        <f>ROUND(C164*H164/1000,0)</f>
        <v>5</v>
      </c>
      <c r="Q164" s="28">
        <f>ROUND(C164*H164/1000,0)</f>
        <v>5</v>
      </c>
      <c r="R164" s="28"/>
      <c r="S164" s="28"/>
      <c r="T164" s="32"/>
      <c r="U164" s="27"/>
      <c r="V164" s="31"/>
      <c r="W164" s="13">
        <f t="shared" si="129"/>
        <v>618</v>
      </c>
      <c r="X164" s="13">
        <f t="shared" si="127"/>
        <v>618</v>
      </c>
      <c r="Y164" s="13">
        <f t="shared" si="128"/>
        <v>618</v>
      </c>
      <c r="Z164" s="28"/>
      <c r="AA164" s="30"/>
      <c r="AB164" s="29"/>
      <c r="AC164" s="31" t="s">
        <v>39</v>
      </c>
      <c r="AD164" s="31"/>
      <c r="AE164" s="13">
        <f>ROUND(O164*95,0)</f>
        <v>475</v>
      </c>
      <c r="AF164" s="13">
        <f t="shared" si="131"/>
        <v>475</v>
      </c>
      <c r="AG164" s="13">
        <f t="shared" si="132"/>
        <v>475</v>
      </c>
      <c r="AH164" s="28"/>
      <c r="AI164" s="28"/>
      <c r="AJ164" s="181"/>
      <c r="AK164" s="171"/>
      <c r="AL164" s="28"/>
      <c r="AM164" s="14">
        <f t="shared" si="133"/>
        <v>1093</v>
      </c>
      <c r="AN164" s="14">
        <f t="shared" si="134"/>
        <v>1093</v>
      </c>
      <c r="AO164" s="14">
        <f t="shared" si="135"/>
        <v>1093</v>
      </c>
      <c r="AP164" s="28"/>
      <c r="AQ164" s="28"/>
      <c r="AR164" s="181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  <c r="BN164" s="56"/>
      <c r="BO164" s="56"/>
      <c r="BP164" s="56"/>
      <c r="BQ164" s="56"/>
      <c r="BR164" s="56"/>
      <c r="BS164" s="56"/>
      <c r="BT164" s="56"/>
      <c r="BU164" s="56"/>
      <c r="BV164" s="56"/>
      <c r="BW164" s="56"/>
      <c r="BX164" s="56"/>
      <c r="BY164" s="56"/>
      <c r="BZ164" s="56"/>
      <c r="CA164" s="56"/>
      <c r="CB164" s="56"/>
      <c r="CC164" s="56"/>
      <c r="CD164" s="56"/>
      <c r="CE164" s="56"/>
      <c r="CF164" s="56"/>
      <c r="CG164" s="56"/>
      <c r="CH164" s="56"/>
      <c r="CI164" s="56"/>
      <c r="CJ164" s="56"/>
      <c r="CK164" s="56"/>
      <c r="CL164" s="56"/>
      <c r="CM164" s="56"/>
      <c r="CN164" s="56"/>
      <c r="CO164" s="56"/>
      <c r="CP164" s="56"/>
      <c r="CQ164" s="56"/>
      <c r="CR164" s="56"/>
      <c r="CS164" s="56"/>
      <c r="CT164" s="56"/>
      <c r="CU164" s="56"/>
      <c r="CV164" s="56"/>
      <c r="CW164" s="56"/>
      <c r="CX164" s="56"/>
      <c r="CY164" s="56"/>
      <c r="CZ164" s="56"/>
      <c r="DA164" s="56"/>
      <c r="DB164" s="56"/>
      <c r="DC164" s="56"/>
      <c r="DD164" s="56"/>
      <c r="DE164" s="56"/>
      <c r="DF164" s="56"/>
      <c r="DG164" s="56"/>
      <c r="DH164" s="56"/>
      <c r="DI164" s="56"/>
      <c r="DJ164" s="56"/>
      <c r="DK164" s="56"/>
      <c r="DL164" s="56"/>
      <c r="DM164" s="56"/>
      <c r="DN164" s="56"/>
      <c r="DO164" s="56"/>
      <c r="DP164" s="56"/>
      <c r="DQ164" s="56"/>
      <c r="DR164" s="56"/>
      <c r="DS164" s="56"/>
      <c r="DT164" s="56"/>
      <c r="DU164" s="56"/>
      <c r="DV164" s="56"/>
      <c r="DW164" s="56"/>
      <c r="DX164" s="56"/>
      <c r="DY164" s="56"/>
      <c r="DZ164" s="56"/>
      <c r="EA164" s="56"/>
      <c r="EB164" s="56"/>
      <c r="EC164" s="56"/>
      <c r="ED164" s="56"/>
      <c r="EE164" s="56"/>
      <c r="EF164" s="56"/>
      <c r="EG164" s="56"/>
      <c r="EH164" s="56"/>
      <c r="EI164" s="56"/>
      <c r="EJ164" s="56"/>
      <c r="EK164" s="56"/>
    </row>
    <row r="165" spans="1:141" ht="24.75" thickBot="1" x14ac:dyDescent="0.6">
      <c r="A165" s="119" t="s">
        <v>147</v>
      </c>
      <c r="B165" s="124">
        <v>109</v>
      </c>
      <c r="C165" s="125">
        <v>2388</v>
      </c>
      <c r="D165" s="31">
        <f>0</f>
        <v>0</v>
      </c>
      <c r="E165" s="28">
        <v>3</v>
      </c>
      <c r="F165" s="147"/>
      <c r="G165" s="31">
        <f>0</f>
        <v>0</v>
      </c>
      <c r="H165" s="28">
        <v>15</v>
      </c>
      <c r="I165" s="147"/>
      <c r="J165" s="27">
        <v>1.1000000000000001</v>
      </c>
      <c r="K165" s="28">
        <v>2</v>
      </c>
      <c r="L165" s="147">
        <v>1.7</v>
      </c>
      <c r="M165" s="17"/>
      <c r="N165" s="17"/>
      <c r="O165" s="30">
        <f>ROUND(C165*H165/1000,0)</f>
        <v>36</v>
      </c>
      <c r="P165" s="28">
        <f>ROUND(C165*H165/1000,0)</f>
        <v>36</v>
      </c>
      <c r="Q165" s="28">
        <f>ROUND(C165*H165/1000,0)</f>
        <v>36</v>
      </c>
      <c r="R165" s="15"/>
      <c r="S165" s="15"/>
      <c r="T165" s="209"/>
      <c r="U165" s="17"/>
      <c r="V165" s="18"/>
      <c r="W165" s="13">
        <f t="shared" si="129"/>
        <v>4776</v>
      </c>
      <c r="X165" s="13">
        <f t="shared" si="127"/>
        <v>4776</v>
      </c>
      <c r="Y165" s="13">
        <f t="shared" si="128"/>
        <v>4776</v>
      </c>
      <c r="Z165" s="17"/>
      <c r="AA165" s="30"/>
      <c r="AB165" s="147"/>
      <c r="AC165" s="31"/>
      <c r="AD165" s="147"/>
      <c r="AE165" s="13">
        <f t="shared" si="130"/>
        <v>3420</v>
      </c>
      <c r="AF165" s="13">
        <f t="shared" si="131"/>
        <v>3420</v>
      </c>
      <c r="AG165" s="13">
        <f t="shared" si="132"/>
        <v>3420</v>
      </c>
      <c r="AH165" s="28"/>
      <c r="AI165" s="28"/>
      <c r="AJ165" s="32"/>
      <c r="AK165" s="171"/>
      <c r="AL165" s="31"/>
      <c r="AM165" s="14">
        <f t="shared" si="133"/>
        <v>8196</v>
      </c>
      <c r="AN165" s="14">
        <f t="shared" si="134"/>
        <v>8196</v>
      </c>
      <c r="AO165" s="14">
        <f t="shared" si="135"/>
        <v>8196</v>
      </c>
      <c r="AP165" s="28"/>
      <c r="AQ165" s="28"/>
      <c r="AR165" s="181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  <c r="BN165" s="56"/>
      <c r="BO165" s="56"/>
      <c r="BP165" s="56"/>
      <c r="BQ165" s="56"/>
      <c r="BR165" s="56"/>
      <c r="BS165" s="56"/>
      <c r="BT165" s="56"/>
      <c r="BU165" s="56"/>
      <c r="BV165" s="56"/>
      <c r="BW165" s="56"/>
      <c r="BX165" s="56"/>
      <c r="BY165" s="56"/>
      <c r="BZ165" s="56"/>
      <c r="CA165" s="56"/>
      <c r="CB165" s="56"/>
      <c r="CC165" s="56"/>
      <c r="CD165" s="56"/>
      <c r="CE165" s="56"/>
      <c r="CF165" s="56"/>
      <c r="CG165" s="56"/>
      <c r="CH165" s="56"/>
      <c r="CI165" s="56"/>
      <c r="CJ165" s="56"/>
      <c r="CK165" s="56"/>
      <c r="CL165" s="56"/>
      <c r="CM165" s="56"/>
      <c r="CN165" s="56"/>
      <c r="CO165" s="56"/>
      <c r="CP165" s="56"/>
      <c r="CQ165" s="56"/>
      <c r="CR165" s="56"/>
      <c r="CS165" s="56"/>
      <c r="CT165" s="56"/>
      <c r="CU165" s="56"/>
      <c r="CV165" s="56"/>
      <c r="CW165" s="56"/>
      <c r="CX165" s="56"/>
      <c r="CY165" s="56"/>
      <c r="CZ165" s="56"/>
      <c r="DA165" s="56"/>
      <c r="DB165" s="56"/>
      <c r="DC165" s="56"/>
      <c r="DD165" s="56"/>
      <c r="DE165" s="56"/>
      <c r="DF165" s="56"/>
      <c r="DG165" s="56"/>
      <c r="DH165" s="56"/>
      <c r="DI165" s="56"/>
      <c r="DJ165" s="56"/>
      <c r="DK165" s="56"/>
      <c r="DL165" s="56"/>
      <c r="DM165" s="56"/>
      <c r="DN165" s="56"/>
      <c r="DO165" s="56"/>
      <c r="DP165" s="56"/>
      <c r="DQ165" s="56"/>
      <c r="DR165" s="56"/>
      <c r="DS165" s="56"/>
      <c r="DT165" s="56"/>
      <c r="DU165" s="56"/>
      <c r="DV165" s="56"/>
      <c r="DW165" s="56"/>
      <c r="DX165" s="56"/>
      <c r="DY165" s="56"/>
      <c r="DZ165" s="56"/>
      <c r="EA165" s="56"/>
      <c r="EB165" s="56"/>
      <c r="EC165" s="56"/>
      <c r="ED165" s="56"/>
      <c r="EE165" s="56"/>
      <c r="EF165" s="56"/>
      <c r="EG165" s="56"/>
      <c r="EH165" s="56"/>
      <c r="EI165" s="56"/>
      <c r="EJ165" s="56"/>
      <c r="EK165" s="56"/>
    </row>
    <row r="166" spans="1:141" ht="24.75" thickBot="1" x14ac:dyDescent="0.6">
      <c r="A166" s="883" t="s">
        <v>143</v>
      </c>
      <c r="B166" s="885">
        <f>SUM(B162:B165)</f>
        <v>186</v>
      </c>
      <c r="C166" s="931">
        <f>SUM(C162:C165)</f>
        <v>4211</v>
      </c>
      <c r="D166" s="887"/>
      <c r="E166" s="888"/>
      <c r="F166" s="888"/>
      <c r="G166" s="888"/>
      <c r="H166" s="888"/>
      <c r="I166" s="888"/>
      <c r="J166" s="888"/>
      <c r="K166" s="888"/>
      <c r="L166" s="889"/>
      <c r="M166" s="158">
        <f>SUM(M162:M164)</f>
        <v>0</v>
      </c>
      <c r="N166" s="158">
        <f>SUM(N162:N164)</f>
        <v>0</v>
      </c>
      <c r="O166" s="160">
        <f>SUM(O162:O165)</f>
        <v>64</v>
      </c>
      <c r="P166" s="160">
        <f>SUM(P162:P165)</f>
        <v>64</v>
      </c>
      <c r="Q166" s="160">
        <f>SUM(Q162:Q165)</f>
        <v>64</v>
      </c>
      <c r="R166" s="161">
        <f>SUM(R162:R164)</f>
        <v>0</v>
      </c>
      <c r="S166" s="161">
        <f>SUM(S162:S164)</f>
        <v>0</v>
      </c>
      <c r="T166" s="163">
        <f>SUM(T162:T164)</f>
        <v>0</v>
      </c>
      <c r="U166" s="158">
        <f>SUM(U162:U164)</f>
        <v>0</v>
      </c>
      <c r="V166" s="188">
        <f>V163+V162+V161</f>
        <v>0</v>
      </c>
      <c r="W166" s="157">
        <f>SUM(W162:W165)</f>
        <v>8422</v>
      </c>
      <c r="X166" s="157">
        <f>SUM(X162:X165)</f>
        <v>8422</v>
      </c>
      <c r="Y166" s="157">
        <f>SUM(Y162:Y165)</f>
        <v>8422</v>
      </c>
      <c r="Z166" s="164"/>
      <c r="AA166" s="164"/>
      <c r="AB166" s="164"/>
      <c r="AC166" s="157">
        <f>SUM(AC162:AC164)</f>
        <v>0</v>
      </c>
      <c r="AD166" s="157">
        <f>SUM(AD162:AD164)</f>
        <v>0</v>
      </c>
      <c r="AE166" s="166">
        <f>SUM(AE162:AE165)</f>
        <v>6080</v>
      </c>
      <c r="AF166" s="166">
        <f>SUM(AF162:AF165)</f>
        <v>6080</v>
      </c>
      <c r="AG166" s="166">
        <f>SUM(AG162:AG165)</f>
        <v>6080</v>
      </c>
      <c r="AH166" s="175">
        <f t="shared" ref="AH166" si="136">SUM(AH160:AH164)</f>
        <v>0</v>
      </c>
      <c r="AI166" s="175">
        <f t="shared" ref="AI166" si="137">SUM(AI160:AI164)</f>
        <v>0</v>
      </c>
      <c r="AJ166" s="175">
        <f t="shared" ref="AJ166" si="138">SUM(AJ160:AJ164)</f>
        <v>0</v>
      </c>
      <c r="AK166" s="165">
        <f>SUM(AK163:AK164)</f>
        <v>0</v>
      </c>
      <c r="AL166" s="165">
        <f>0</f>
        <v>0</v>
      </c>
      <c r="AM166" s="166">
        <f>SUM(AM162:AM165)</f>
        <v>14502</v>
      </c>
      <c r="AN166" s="166">
        <f t="shared" ref="AN166:AO166" si="139">SUM(AN162:AN165)</f>
        <v>14502</v>
      </c>
      <c r="AO166" s="166">
        <f t="shared" si="139"/>
        <v>14502</v>
      </c>
      <c r="AP166" s="175">
        <f>SUM(AP160:AP164)</f>
        <v>0</v>
      </c>
      <c r="AQ166" s="164"/>
      <c r="AR166" s="167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141" ht="27" thickBot="1" x14ac:dyDescent="0.75">
      <c r="A167" s="884"/>
      <c r="B167" s="886"/>
      <c r="C167" s="932"/>
      <c r="D167" s="890"/>
      <c r="E167" s="891"/>
      <c r="F167" s="891"/>
      <c r="G167" s="891"/>
      <c r="H167" s="891"/>
      <c r="I167" s="891"/>
      <c r="J167" s="891"/>
      <c r="K167" s="891"/>
      <c r="L167" s="892"/>
      <c r="M167" s="893">
        <f>M166+N166</f>
        <v>0</v>
      </c>
      <c r="N167" s="894">
        <f>M166+N166</f>
        <v>0</v>
      </c>
      <c r="O167" s="895">
        <f>+O166+P166+Q166</f>
        <v>192</v>
      </c>
      <c r="P167" s="896"/>
      <c r="Q167" s="897"/>
      <c r="R167" s="898">
        <f>+R166+S166+T166</f>
        <v>0</v>
      </c>
      <c r="S167" s="899"/>
      <c r="T167" s="900"/>
      <c r="U167" s="1070">
        <f>U166+V166</f>
        <v>0</v>
      </c>
      <c r="V167" s="1071"/>
      <c r="W167" s="903">
        <f>W166+X166+Y166</f>
        <v>25266</v>
      </c>
      <c r="X167" s="904"/>
      <c r="Y167" s="905"/>
      <c r="Z167" s="906">
        <f>Z166+AA166+AB166</f>
        <v>0</v>
      </c>
      <c r="AA167" s="907"/>
      <c r="AB167" s="908"/>
      <c r="AC167" s="909">
        <f>AC166+AD166</f>
        <v>0</v>
      </c>
      <c r="AD167" s="910">
        <f t="shared" ref="AD167" si="140">ROUND(N167*960,0)</f>
        <v>0</v>
      </c>
      <c r="AE167" s="911">
        <f>AE166+AF166+AG166</f>
        <v>18240</v>
      </c>
      <c r="AF167" s="912"/>
      <c r="AG167" s="913"/>
      <c r="AH167" s="914">
        <f>AH166+AI166+AJ166</f>
        <v>0</v>
      </c>
      <c r="AI167" s="915"/>
      <c r="AJ167" s="916"/>
      <c r="AK167" s="917">
        <f>AK166+AL166</f>
        <v>0</v>
      </c>
      <c r="AL167" s="918">
        <f t="shared" ref="AL167" si="141">V167+AD167</f>
        <v>0</v>
      </c>
      <c r="AM167" s="911">
        <f>AM166+AN166+AO166</f>
        <v>43506</v>
      </c>
      <c r="AN167" s="912"/>
      <c r="AO167" s="913"/>
      <c r="AP167" s="919">
        <f>AP166+AQ166+AR166</f>
        <v>0</v>
      </c>
      <c r="AQ167" s="920"/>
      <c r="AR167" s="92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141" ht="24.75" thickBot="1" x14ac:dyDescent="0.6">
      <c r="A168" s="126" t="s">
        <v>149</v>
      </c>
      <c r="B168" s="127">
        <v>108</v>
      </c>
      <c r="C168" s="128">
        <v>2365</v>
      </c>
      <c r="D168" s="31">
        <v>0</v>
      </c>
      <c r="E168" s="28">
        <v>3</v>
      </c>
      <c r="F168" s="28">
        <v>0</v>
      </c>
      <c r="G168" s="27">
        <v>5</v>
      </c>
      <c r="H168" s="28">
        <v>15</v>
      </c>
      <c r="I168" s="29">
        <v>8</v>
      </c>
      <c r="J168" s="27">
        <v>1.1000000000000001</v>
      </c>
      <c r="K168" s="28">
        <v>2</v>
      </c>
      <c r="L168" s="30">
        <v>1.7</v>
      </c>
      <c r="M168" s="13"/>
      <c r="N168" s="17"/>
      <c r="O168" s="15">
        <f>ROUND(C168*H168/1000,0)</f>
        <v>35</v>
      </c>
      <c r="P168" s="14">
        <f>ROUND(C168*H168/1000,0)</f>
        <v>35</v>
      </c>
      <c r="Q168" s="14">
        <f>ROUND(C168*H168/1000,0)</f>
        <v>35</v>
      </c>
      <c r="R168" s="14"/>
      <c r="S168" s="14"/>
      <c r="T168" s="18"/>
      <c r="U168" s="13"/>
      <c r="V168" s="17"/>
      <c r="W168" s="13">
        <f>ROUND(C168*K168,0)</f>
        <v>4730</v>
      </c>
      <c r="X168" s="13">
        <f t="shared" si="127"/>
        <v>4730</v>
      </c>
      <c r="Y168" s="13">
        <f t="shared" si="128"/>
        <v>4730</v>
      </c>
      <c r="Z168" s="14"/>
      <c r="AA168" s="15"/>
      <c r="AB168" s="23"/>
      <c r="AC168" s="17"/>
      <c r="AD168" s="17"/>
      <c r="AE168" s="13">
        <f>ROUND(O168*95,0)</f>
        <v>3325</v>
      </c>
      <c r="AF168" s="13">
        <f>ROUND(P168*95,0)</f>
        <v>3325</v>
      </c>
      <c r="AG168" s="13">
        <f>ROUND(Q168*95,0)</f>
        <v>3325</v>
      </c>
      <c r="AH168" s="14"/>
      <c r="AI168" s="14"/>
      <c r="AJ168" s="16"/>
      <c r="AK168" s="100"/>
      <c r="AL168" s="14"/>
      <c r="AM168" s="14">
        <f>W168+AE168</f>
        <v>8055</v>
      </c>
      <c r="AN168" s="14">
        <f>X168+AF168</f>
        <v>8055</v>
      </c>
      <c r="AO168" s="14">
        <f>Y168+AG168</f>
        <v>8055</v>
      </c>
      <c r="AP168" s="14"/>
      <c r="AQ168" s="14"/>
      <c r="AR168" s="1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  <c r="CL168" s="56"/>
      <c r="CM168" s="56"/>
      <c r="CN168" s="56"/>
      <c r="CO168" s="56"/>
      <c r="CP168" s="56"/>
      <c r="CQ168" s="56"/>
      <c r="CR168" s="56"/>
      <c r="CS168" s="56"/>
      <c r="CT168" s="56"/>
      <c r="CU168" s="56"/>
      <c r="CV168" s="56"/>
      <c r="CW168" s="56"/>
      <c r="CX168" s="56"/>
      <c r="CY168" s="56"/>
      <c r="CZ168" s="56"/>
      <c r="DA168" s="56"/>
      <c r="DB168" s="56"/>
      <c r="DC168" s="56"/>
      <c r="DD168" s="56"/>
      <c r="DE168" s="56"/>
      <c r="DF168" s="56"/>
      <c r="DG168" s="56"/>
      <c r="DH168" s="56"/>
      <c r="DI168" s="56"/>
      <c r="DJ168" s="56"/>
      <c r="DK168" s="56"/>
      <c r="DL168" s="56"/>
      <c r="DM168" s="56"/>
      <c r="DN168" s="56"/>
      <c r="DO168" s="56"/>
      <c r="DP168" s="56"/>
      <c r="DQ168" s="56"/>
      <c r="DR168" s="56"/>
      <c r="DS168" s="56"/>
      <c r="DT168" s="56"/>
      <c r="DU168" s="56"/>
      <c r="DV168" s="56"/>
      <c r="DW168" s="56"/>
      <c r="DX168" s="56"/>
      <c r="DY168" s="56"/>
      <c r="DZ168" s="56"/>
      <c r="EA168" s="56"/>
      <c r="EB168" s="56"/>
      <c r="EC168" s="56"/>
      <c r="ED168" s="56"/>
      <c r="EE168" s="56"/>
      <c r="EF168" s="56"/>
      <c r="EG168" s="56"/>
      <c r="EH168" s="56"/>
      <c r="EI168" s="56"/>
      <c r="EJ168" s="56"/>
      <c r="EK168" s="56"/>
    </row>
    <row r="169" spans="1:141" ht="24.75" thickBot="1" x14ac:dyDescent="0.6">
      <c r="A169" s="883" t="s">
        <v>148</v>
      </c>
      <c r="B169" s="885">
        <f>SUM(B168)</f>
        <v>108</v>
      </c>
      <c r="C169" s="931">
        <f>SUM(C168)</f>
        <v>2365</v>
      </c>
      <c r="D169" s="887"/>
      <c r="E169" s="888"/>
      <c r="F169" s="888"/>
      <c r="G169" s="888"/>
      <c r="H169" s="888"/>
      <c r="I169" s="888"/>
      <c r="J169" s="888"/>
      <c r="K169" s="888"/>
      <c r="L169" s="889"/>
      <c r="M169" s="158">
        <f>SUM(M165:M167)</f>
        <v>0</v>
      </c>
      <c r="N169" s="158">
        <f>SUM(N165:N167)</f>
        <v>0</v>
      </c>
      <c r="O169" s="160">
        <f>SUM(O168)</f>
        <v>35</v>
      </c>
      <c r="P169" s="160">
        <f>SUM(P168)</f>
        <v>35</v>
      </c>
      <c r="Q169" s="160">
        <f>SUM(Q168)</f>
        <v>35</v>
      </c>
      <c r="R169" s="161">
        <f>SUM(R165:R167)</f>
        <v>0</v>
      </c>
      <c r="S169" s="161">
        <f>SUM(S165:S167)</f>
        <v>0</v>
      </c>
      <c r="T169" s="163">
        <f>SUM(T165:T167)</f>
        <v>0</v>
      </c>
      <c r="U169" s="158">
        <f>SUM(U165:U167)</f>
        <v>0</v>
      </c>
      <c r="V169" s="188">
        <f>V166+V165+V164</f>
        <v>0</v>
      </c>
      <c r="W169" s="157">
        <f>SUM(W168)</f>
        <v>4730</v>
      </c>
      <c r="X169" s="157">
        <f t="shared" ref="X169:Y169" si="142">SUM(X168)</f>
        <v>4730</v>
      </c>
      <c r="Y169" s="157">
        <f t="shared" si="142"/>
        <v>4730</v>
      </c>
      <c r="Z169" s="164"/>
      <c r="AA169" s="164"/>
      <c r="AB169" s="164"/>
      <c r="AC169" s="157">
        <f>SUM(AC165:AC167)</f>
        <v>0</v>
      </c>
      <c r="AD169" s="157">
        <f>SUM(AD165:AD167)</f>
        <v>0</v>
      </c>
      <c r="AE169" s="166">
        <f>SUM(AE168)</f>
        <v>3325</v>
      </c>
      <c r="AF169" s="166">
        <f>SUM(AF168)</f>
        <v>3325</v>
      </c>
      <c r="AG169" s="166">
        <f>SUM(AG168)</f>
        <v>3325</v>
      </c>
      <c r="AH169" s="175">
        <f t="shared" ref="AH169" si="143">SUM(AH163:AH167)</f>
        <v>0</v>
      </c>
      <c r="AI169" s="175">
        <f t="shared" ref="AI169" si="144">SUM(AI163:AI167)</f>
        <v>0</v>
      </c>
      <c r="AJ169" s="175">
        <f t="shared" ref="AJ169" si="145">SUM(AJ163:AJ167)</f>
        <v>0</v>
      </c>
      <c r="AK169" s="165">
        <f>SUM(AK166:AK167)</f>
        <v>0</v>
      </c>
      <c r="AL169" s="165">
        <f>0</f>
        <v>0</v>
      </c>
      <c r="AM169" s="166">
        <f>SUM(AM168)</f>
        <v>8055</v>
      </c>
      <c r="AN169" s="166">
        <f t="shared" ref="AN169:AO169" si="146">SUM(AN168)</f>
        <v>8055</v>
      </c>
      <c r="AO169" s="166">
        <f t="shared" si="146"/>
        <v>8055</v>
      </c>
      <c r="AP169" s="175">
        <f>SUM(AP163:AP167)</f>
        <v>0</v>
      </c>
      <c r="AQ169" s="164"/>
      <c r="AR169" s="167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141" ht="27" thickBot="1" x14ac:dyDescent="0.75">
      <c r="A170" s="884"/>
      <c r="B170" s="886"/>
      <c r="C170" s="932"/>
      <c r="D170" s="890"/>
      <c r="E170" s="891"/>
      <c r="F170" s="891"/>
      <c r="G170" s="891"/>
      <c r="H170" s="891"/>
      <c r="I170" s="891"/>
      <c r="J170" s="891"/>
      <c r="K170" s="891"/>
      <c r="L170" s="892"/>
      <c r="M170" s="893">
        <f>M169+N169</f>
        <v>0</v>
      </c>
      <c r="N170" s="894">
        <f>M169+N169</f>
        <v>0</v>
      </c>
      <c r="O170" s="895">
        <f>+O169+P169+Q169</f>
        <v>105</v>
      </c>
      <c r="P170" s="896"/>
      <c r="Q170" s="897"/>
      <c r="R170" s="898">
        <f>+R169+S169+T169</f>
        <v>0</v>
      </c>
      <c r="S170" s="899"/>
      <c r="T170" s="900"/>
      <c r="U170" s="1070">
        <f>U169+V169</f>
        <v>0</v>
      </c>
      <c r="V170" s="1071"/>
      <c r="W170" s="903">
        <f>W169+X169+Y169</f>
        <v>14190</v>
      </c>
      <c r="X170" s="904"/>
      <c r="Y170" s="905"/>
      <c r="Z170" s="906">
        <f>Z169+AA169+AB169</f>
        <v>0</v>
      </c>
      <c r="AA170" s="907"/>
      <c r="AB170" s="908"/>
      <c r="AC170" s="909">
        <f>AC169+AD169</f>
        <v>0</v>
      </c>
      <c r="AD170" s="910">
        <f t="shared" ref="AD170" si="147">ROUND(N170*960,0)</f>
        <v>0</v>
      </c>
      <c r="AE170" s="911">
        <f>AE169+AF169+AG169</f>
        <v>9975</v>
      </c>
      <c r="AF170" s="912"/>
      <c r="AG170" s="913"/>
      <c r="AH170" s="914">
        <f>AH169+AI169+AJ169</f>
        <v>0</v>
      </c>
      <c r="AI170" s="915"/>
      <c r="AJ170" s="916"/>
      <c r="AK170" s="917">
        <f>AK169+AL169</f>
        <v>0</v>
      </c>
      <c r="AL170" s="918">
        <f t="shared" ref="AL170" si="148">V170+AD170</f>
        <v>0</v>
      </c>
      <c r="AM170" s="911">
        <f>AM169+AN169+AO169</f>
        <v>24165</v>
      </c>
      <c r="AN170" s="912"/>
      <c r="AO170" s="913"/>
      <c r="AP170" s="919">
        <f>AP169+AQ169+AR169</f>
        <v>0</v>
      </c>
      <c r="AQ170" s="920"/>
      <c r="AR170" s="92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141" s="180" customFormat="1" ht="39.950000000000003" customHeight="1" thickBot="1" x14ac:dyDescent="0.6">
      <c r="A171" s="922" t="s">
        <v>150</v>
      </c>
      <c r="B171" s="923"/>
      <c r="C171" s="923"/>
      <c r="D171" s="923"/>
      <c r="E171" s="923"/>
      <c r="F171" s="923"/>
      <c r="G171" s="923"/>
      <c r="H171" s="923"/>
      <c r="I171" s="923"/>
      <c r="J171" s="923"/>
      <c r="K171" s="923"/>
      <c r="L171" s="923"/>
      <c r="M171" s="923"/>
      <c r="N171" s="923"/>
      <c r="O171" s="923"/>
      <c r="P171" s="923"/>
      <c r="Q171" s="923"/>
      <c r="R171" s="923"/>
      <c r="S171" s="923"/>
      <c r="T171" s="923"/>
      <c r="U171" s="923"/>
      <c r="V171" s="923"/>
      <c r="W171" s="923"/>
      <c r="X171" s="923"/>
      <c r="Y171" s="923"/>
      <c r="Z171" s="923"/>
      <c r="AA171" s="923"/>
      <c r="AB171" s="923"/>
      <c r="AC171" s="923"/>
      <c r="AD171" s="923"/>
      <c r="AE171" s="923"/>
      <c r="AF171" s="923"/>
      <c r="AG171" s="923"/>
      <c r="AH171" s="923"/>
      <c r="AI171" s="923"/>
      <c r="AJ171" s="923"/>
      <c r="AK171" s="923"/>
      <c r="AL171" s="923"/>
      <c r="AM171" s="923"/>
      <c r="AN171" s="923"/>
      <c r="AO171" s="923"/>
      <c r="AP171" s="923"/>
      <c r="AQ171" s="923"/>
      <c r="AR171" s="924"/>
      <c r="AS171" s="176"/>
      <c r="AT171" s="176"/>
      <c r="AU171" s="176"/>
      <c r="AV171" s="176"/>
      <c r="AW171" s="176"/>
      <c r="AX171" s="176"/>
      <c r="AY171" s="176"/>
      <c r="AZ171" s="176"/>
      <c r="BA171" s="176"/>
      <c r="BB171" s="176"/>
      <c r="BC171" s="176"/>
      <c r="BD171" s="176"/>
      <c r="BE171" s="176"/>
      <c r="BF171" s="176"/>
      <c r="BG171" s="176"/>
      <c r="BH171" s="176"/>
      <c r="BI171" s="176"/>
      <c r="BJ171" s="176"/>
      <c r="BK171" s="176"/>
      <c r="BL171" s="176"/>
      <c r="BM171" s="176"/>
      <c r="BN171" s="176"/>
      <c r="BO171" s="176"/>
      <c r="BP171" s="176"/>
      <c r="BQ171" s="176"/>
      <c r="BR171" s="176"/>
      <c r="BS171" s="176"/>
      <c r="BT171" s="176"/>
      <c r="BU171" s="176"/>
      <c r="BV171" s="176"/>
      <c r="BW171" s="176"/>
      <c r="BX171" s="176"/>
      <c r="BY171" s="176"/>
      <c r="BZ171" s="176"/>
      <c r="CA171" s="176"/>
      <c r="CB171" s="176"/>
      <c r="CC171" s="176"/>
      <c r="CD171" s="176"/>
      <c r="CE171" s="176"/>
      <c r="CF171" s="176"/>
      <c r="CG171" s="176"/>
      <c r="CH171" s="176"/>
      <c r="CI171" s="176"/>
      <c r="CJ171" s="176"/>
      <c r="CK171" s="176"/>
      <c r="CL171" s="176"/>
      <c r="CM171" s="176"/>
      <c r="CN171" s="176"/>
      <c r="CO171" s="176"/>
      <c r="CP171" s="176"/>
      <c r="CQ171" s="176"/>
      <c r="CR171" s="176"/>
      <c r="CS171" s="176"/>
      <c r="CT171" s="176"/>
      <c r="CU171" s="176"/>
      <c r="CV171" s="176"/>
      <c r="CW171" s="176"/>
      <c r="CX171" s="176"/>
      <c r="CY171" s="176"/>
      <c r="CZ171" s="176"/>
      <c r="DA171" s="176"/>
      <c r="DB171" s="176"/>
      <c r="DC171" s="176"/>
      <c r="DD171" s="176"/>
      <c r="DE171" s="176"/>
      <c r="DF171" s="176"/>
      <c r="DG171" s="176"/>
      <c r="DH171" s="176"/>
      <c r="DI171" s="176"/>
      <c r="DJ171" s="176"/>
      <c r="DK171" s="176"/>
      <c r="DL171" s="176"/>
      <c r="DM171" s="176"/>
      <c r="DN171" s="176"/>
      <c r="DO171" s="176"/>
      <c r="DP171" s="176"/>
      <c r="DQ171" s="176"/>
      <c r="DR171" s="176"/>
      <c r="DS171" s="176"/>
      <c r="DT171" s="176"/>
      <c r="DU171" s="176"/>
      <c r="DV171" s="176"/>
      <c r="DW171" s="176"/>
      <c r="DX171" s="176"/>
      <c r="DY171" s="176"/>
      <c r="DZ171" s="176"/>
      <c r="EA171" s="176"/>
      <c r="EB171" s="176"/>
      <c r="EC171" s="176"/>
      <c r="ED171" s="176"/>
      <c r="EE171" s="176"/>
      <c r="EF171" s="176"/>
      <c r="EG171" s="176"/>
      <c r="EH171" s="176"/>
      <c r="EI171" s="176"/>
      <c r="EJ171" s="176"/>
      <c r="EK171" s="176"/>
    </row>
    <row r="172" spans="1:141" s="177" customFormat="1" ht="39.950000000000003" hidden="1" customHeight="1" thickBot="1" x14ac:dyDescent="0.6">
      <c r="A172" s="928" t="s">
        <v>151</v>
      </c>
      <c r="B172" s="929"/>
      <c r="C172" s="929"/>
      <c r="D172" s="929"/>
      <c r="E172" s="929"/>
      <c r="F172" s="929"/>
      <c r="G172" s="929"/>
      <c r="H172" s="929"/>
      <c r="I172" s="929"/>
      <c r="J172" s="929"/>
      <c r="K172" s="929"/>
      <c r="L172" s="929"/>
      <c r="M172" s="929"/>
      <c r="N172" s="929"/>
      <c r="O172" s="929"/>
      <c r="P172" s="929"/>
      <c r="Q172" s="929"/>
      <c r="R172" s="929"/>
      <c r="S172" s="929"/>
      <c r="T172" s="929"/>
      <c r="U172" s="929"/>
      <c r="V172" s="929"/>
      <c r="W172" s="929"/>
      <c r="X172" s="929"/>
      <c r="Y172" s="929"/>
      <c r="Z172" s="929"/>
      <c r="AA172" s="929"/>
      <c r="AB172" s="929"/>
      <c r="AC172" s="929"/>
      <c r="AD172" s="929"/>
      <c r="AE172" s="929"/>
      <c r="AF172" s="929"/>
      <c r="AG172" s="929"/>
      <c r="AH172" s="929"/>
      <c r="AI172" s="929"/>
      <c r="AJ172" s="929"/>
      <c r="AK172" s="929"/>
      <c r="AL172" s="929"/>
      <c r="AM172" s="929"/>
      <c r="AN172" s="929"/>
      <c r="AO172" s="929"/>
      <c r="AP172" s="929"/>
      <c r="AQ172" s="929"/>
      <c r="AR172" s="930"/>
      <c r="AS172" s="176"/>
      <c r="AT172" s="176"/>
      <c r="AU172" s="176"/>
      <c r="AV172" s="176"/>
      <c r="AW172" s="176"/>
      <c r="AX172" s="176"/>
      <c r="AY172" s="176"/>
      <c r="AZ172" s="176"/>
      <c r="BA172" s="176"/>
      <c r="BB172" s="176"/>
      <c r="BC172" s="176"/>
      <c r="BD172" s="176"/>
      <c r="BE172" s="176"/>
      <c r="BF172" s="176"/>
      <c r="BG172" s="176"/>
      <c r="BH172" s="176"/>
      <c r="BI172" s="176"/>
      <c r="BJ172" s="176"/>
      <c r="BK172" s="176"/>
      <c r="BL172" s="176"/>
      <c r="BM172" s="176"/>
      <c r="BN172" s="176"/>
      <c r="BO172" s="176"/>
      <c r="BP172" s="176"/>
      <c r="BQ172" s="176"/>
      <c r="BR172" s="176"/>
      <c r="BS172" s="176"/>
      <c r="BT172" s="176"/>
      <c r="BU172" s="176"/>
      <c r="BV172" s="176"/>
      <c r="BW172" s="176"/>
      <c r="BX172" s="176"/>
      <c r="BY172" s="176"/>
      <c r="BZ172" s="176"/>
      <c r="CA172" s="176"/>
      <c r="CB172" s="176"/>
      <c r="CC172" s="176"/>
      <c r="CD172" s="176"/>
      <c r="CE172" s="176"/>
      <c r="CF172" s="176"/>
      <c r="CG172" s="176"/>
      <c r="CH172" s="176"/>
      <c r="CI172" s="176"/>
      <c r="CJ172" s="176"/>
      <c r="CK172" s="176"/>
      <c r="CL172" s="176"/>
      <c r="CM172" s="176"/>
      <c r="CN172" s="176"/>
      <c r="CO172" s="176"/>
      <c r="CP172" s="176"/>
      <c r="CQ172" s="176"/>
      <c r="CR172" s="176"/>
      <c r="CS172" s="176"/>
      <c r="CT172" s="176"/>
      <c r="CU172" s="176"/>
      <c r="CV172" s="176"/>
      <c r="CW172" s="176"/>
      <c r="CX172" s="176"/>
      <c r="CY172" s="176"/>
      <c r="CZ172" s="176"/>
      <c r="DA172" s="176"/>
      <c r="DB172" s="176"/>
      <c r="DC172" s="176"/>
      <c r="DD172" s="176"/>
      <c r="DE172" s="176"/>
      <c r="DF172" s="176"/>
      <c r="DG172" s="176"/>
      <c r="DH172" s="176"/>
      <c r="DI172" s="176"/>
      <c r="DJ172" s="176"/>
      <c r="DK172" s="176"/>
      <c r="DL172" s="176"/>
      <c r="DM172" s="176"/>
      <c r="DN172" s="176"/>
      <c r="DO172" s="176"/>
      <c r="DP172" s="176"/>
      <c r="DQ172" s="176"/>
      <c r="DR172" s="176"/>
      <c r="DS172" s="176"/>
      <c r="DT172" s="176"/>
      <c r="DU172" s="176"/>
      <c r="DV172" s="176"/>
      <c r="DW172" s="176"/>
      <c r="DX172" s="176"/>
      <c r="DY172" s="176"/>
      <c r="DZ172" s="176"/>
      <c r="EA172" s="176"/>
      <c r="EB172" s="176"/>
      <c r="EC172" s="176"/>
      <c r="ED172" s="176"/>
      <c r="EE172" s="176"/>
      <c r="EF172" s="176"/>
      <c r="EG172" s="176"/>
      <c r="EH172" s="176"/>
      <c r="EI172" s="176"/>
      <c r="EJ172" s="176"/>
      <c r="EK172" s="176"/>
    </row>
    <row r="173" spans="1:141" hidden="1" x14ac:dyDescent="0.55000000000000004">
      <c r="A173" s="129" t="s">
        <v>40</v>
      </c>
      <c r="B173" s="130">
        <v>159</v>
      </c>
      <c r="C173" s="121">
        <v>3500</v>
      </c>
      <c r="D173" s="46">
        <v>0</v>
      </c>
      <c r="E173" s="10">
        <v>3</v>
      </c>
      <c r="F173" s="10">
        <v>0</v>
      </c>
      <c r="G173" s="9">
        <v>5</v>
      </c>
      <c r="H173" s="10">
        <v>15</v>
      </c>
      <c r="I173" s="11">
        <v>8</v>
      </c>
      <c r="J173" s="9">
        <v>1.1000000000000001</v>
      </c>
      <c r="K173" s="10">
        <v>2</v>
      </c>
      <c r="L173" s="12">
        <v>1.7</v>
      </c>
      <c r="M173" s="13"/>
      <c r="N173" s="17"/>
      <c r="O173" s="15">
        <f>ROUND(C173*H173/1000,0)</f>
        <v>53</v>
      </c>
      <c r="P173" s="14">
        <f>ROUND(C173*H173/1000,0)</f>
        <v>53</v>
      </c>
      <c r="Q173" s="14">
        <f>ROUND(C173*H173/1000,0)</f>
        <v>53</v>
      </c>
      <c r="R173" s="14"/>
      <c r="S173" s="14"/>
      <c r="T173" s="18"/>
      <c r="U173" s="13"/>
      <c r="V173" s="17"/>
      <c r="W173" s="13">
        <f t="shared" ref="W173:W175" si="149">ROUND(C173*K173,0)</f>
        <v>7000</v>
      </c>
      <c r="X173" s="13">
        <f t="shared" ref="X173:X175" si="150">ROUND(C173*K173,0)</f>
        <v>7000</v>
      </c>
      <c r="Y173" s="13">
        <f t="shared" ref="Y173:Y175" si="151">ROUND(C173*K173,0)</f>
        <v>7000</v>
      </c>
      <c r="Z173" s="14"/>
      <c r="AA173" s="15"/>
      <c r="AB173" s="23"/>
      <c r="AC173" s="17"/>
      <c r="AD173" s="17"/>
      <c r="AE173" s="13">
        <f t="shared" ref="AE173:AG175" si="152">ROUND(O173*960,0)</f>
        <v>50880</v>
      </c>
      <c r="AF173" s="13">
        <f t="shared" si="152"/>
        <v>50880</v>
      </c>
      <c r="AG173" s="13">
        <f t="shared" si="152"/>
        <v>50880</v>
      </c>
      <c r="AH173" s="14"/>
      <c r="AI173" s="14"/>
      <c r="AJ173" s="16"/>
      <c r="AK173" s="100"/>
      <c r="AL173" s="14"/>
      <c r="AM173" s="14">
        <f t="shared" ref="AM173:AO175" si="153">W173+AE173</f>
        <v>57880</v>
      </c>
      <c r="AN173" s="14">
        <f t="shared" si="153"/>
        <v>57880</v>
      </c>
      <c r="AO173" s="14">
        <f t="shared" si="153"/>
        <v>57880</v>
      </c>
      <c r="AP173" s="14"/>
      <c r="AQ173" s="14"/>
      <c r="AR173" s="1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  <c r="BN173" s="56"/>
      <c r="BO173" s="56"/>
      <c r="BP173" s="56"/>
      <c r="BQ173" s="56"/>
      <c r="BR173" s="56"/>
      <c r="BS173" s="56"/>
      <c r="BT173" s="56"/>
      <c r="BU173" s="56"/>
      <c r="BV173" s="56"/>
      <c r="BW173" s="56"/>
      <c r="BX173" s="56"/>
      <c r="BY173" s="56"/>
      <c r="BZ173" s="56"/>
      <c r="CA173" s="56"/>
      <c r="CB173" s="56"/>
      <c r="CC173" s="56"/>
      <c r="CD173" s="56"/>
      <c r="CE173" s="56"/>
      <c r="CF173" s="56"/>
      <c r="CG173" s="56"/>
      <c r="CH173" s="56"/>
      <c r="CI173" s="56"/>
      <c r="CJ173" s="56"/>
      <c r="CK173" s="56"/>
      <c r="CL173" s="56"/>
      <c r="CM173" s="56"/>
      <c r="CN173" s="56"/>
      <c r="CO173" s="56"/>
      <c r="CP173" s="56"/>
      <c r="CQ173" s="56"/>
      <c r="CR173" s="56"/>
      <c r="CS173" s="56"/>
      <c r="CT173" s="56"/>
      <c r="CU173" s="56"/>
      <c r="CV173" s="56"/>
      <c r="CW173" s="56"/>
      <c r="CX173" s="56"/>
      <c r="CY173" s="56"/>
      <c r="CZ173" s="56"/>
      <c r="DA173" s="56"/>
      <c r="DB173" s="56"/>
      <c r="DC173" s="56"/>
      <c r="DD173" s="56"/>
      <c r="DE173" s="56"/>
      <c r="DF173" s="56"/>
      <c r="DG173" s="56"/>
      <c r="DH173" s="56"/>
      <c r="DI173" s="56"/>
      <c r="DJ173" s="56"/>
      <c r="DK173" s="56"/>
      <c r="DL173" s="56"/>
      <c r="DM173" s="56"/>
      <c r="DN173" s="56"/>
      <c r="DO173" s="56"/>
      <c r="DP173" s="56"/>
      <c r="DQ173" s="56"/>
      <c r="DR173" s="56"/>
      <c r="DS173" s="56"/>
      <c r="DT173" s="56"/>
      <c r="DU173" s="56"/>
      <c r="DV173" s="56"/>
      <c r="DW173" s="56"/>
      <c r="DX173" s="56"/>
      <c r="DY173" s="56"/>
      <c r="DZ173" s="56"/>
      <c r="EA173" s="56"/>
      <c r="EB173" s="56"/>
      <c r="EC173" s="56"/>
      <c r="ED173" s="56"/>
      <c r="EE173" s="56"/>
      <c r="EF173" s="56"/>
      <c r="EG173" s="56"/>
      <c r="EH173" s="56"/>
      <c r="EI173" s="56"/>
      <c r="EJ173" s="56"/>
      <c r="EK173" s="56"/>
    </row>
    <row r="174" spans="1:141" hidden="1" x14ac:dyDescent="0.55000000000000004">
      <c r="A174" s="131" t="s">
        <v>41</v>
      </c>
      <c r="B174" s="122">
        <v>143</v>
      </c>
      <c r="C174" s="132">
        <v>3143</v>
      </c>
      <c r="D174" s="17">
        <v>0</v>
      </c>
      <c r="E174" s="14">
        <v>3</v>
      </c>
      <c r="F174" s="14">
        <v>0</v>
      </c>
      <c r="G174" s="13">
        <v>5</v>
      </c>
      <c r="H174" s="14">
        <v>15</v>
      </c>
      <c r="I174" s="23">
        <v>8</v>
      </c>
      <c r="J174" s="13">
        <v>1.1000000000000001</v>
      </c>
      <c r="K174" s="14">
        <v>2</v>
      </c>
      <c r="L174" s="15">
        <v>1.7</v>
      </c>
      <c r="M174" s="13"/>
      <c r="N174" s="17"/>
      <c r="O174" s="15">
        <f>ROUND(C174*H174/1000,0)</f>
        <v>47</v>
      </c>
      <c r="P174" s="14">
        <f>ROUND(C174*H174/1000,0)</f>
        <v>47</v>
      </c>
      <c r="Q174" s="14">
        <f>ROUND(C174*H174/1000,0)</f>
        <v>47</v>
      </c>
      <c r="R174" s="14"/>
      <c r="S174" s="14"/>
      <c r="T174" s="18"/>
      <c r="U174" s="13"/>
      <c r="V174" s="17"/>
      <c r="W174" s="13">
        <f t="shared" si="149"/>
        <v>6286</v>
      </c>
      <c r="X174" s="13">
        <f t="shared" si="150"/>
        <v>6286</v>
      </c>
      <c r="Y174" s="13">
        <f t="shared" si="151"/>
        <v>6286</v>
      </c>
      <c r="Z174" s="14"/>
      <c r="AA174" s="15"/>
      <c r="AB174" s="23"/>
      <c r="AC174" s="17"/>
      <c r="AD174" s="17"/>
      <c r="AE174" s="13">
        <f t="shared" si="152"/>
        <v>45120</v>
      </c>
      <c r="AF174" s="13">
        <f t="shared" si="152"/>
        <v>45120</v>
      </c>
      <c r="AG174" s="13">
        <f t="shared" si="152"/>
        <v>45120</v>
      </c>
      <c r="AH174" s="14"/>
      <c r="AI174" s="14"/>
      <c r="AJ174" s="16"/>
      <c r="AK174" s="100"/>
      <c r="AL174" s="14"/>
      <c r="AM174" s="14">
        <f t="shared" si="153"/>
        <v>51406</v>
      </c>
      <c r="AN174" s="14">
        <f t="shared" si="153"/>
        <v>51406</v>
      </c>
      <c r="AO174" s="14">
        <f t="shared" si="153"/>
        <v>51406</v>
      </c>
      <c r="AP174" s="14"/>
      <c r="AQ174" s="14"/>
      <c r="AR174" s="1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</row>
    <row r="175" spans="1:141" hidden="1" x14ac:dyDescent="0.55000000000000004">
      <c r="A175" s="133" t="s">
        <v>42</v>
      </c>
      <c r="B175" s="124">
        <v>167</v>
      </c>
      <c r="C175" s="134">
        <v>3684</v>
      </c>
      <c r="D175" s="31">
        <v>0</v>
      </c>
      <c r="E175" s="28">
        <v>3</v>
      </c>
      <c r="F175" s="28">
        <v>0</v>
      </c>
      <c r="G175" s="27">
        <v>5</v>
      </c>
      <c r="H175" s="28">
        <v>15</v>
      </c>
      <c r="I175" s="29">
        <v>8</v>
      </c>
      <c r="J175" s="27">
        <v>1.1000000000000001</v>
      </c>
      <c r="K175" s="28">
        <v>2</v>
      </c>
      <c r="L175" s="30">
        <v>1.7</v>
      </c>
      <c r="M175" s="13"/>
      <c r="N175" s="17"/>
      <c r="O175" s="15">
        <f>ROUND(C175*H175/1000,0)</f>
        <v>55</v>
      </c>
      <c r="P175" s="14">
        <f>ROUND(C175*H175/1000,0)</f>
        <v>55</v>
      </c>
      <c r="Q175" s="14">
        <f>ROUND(C175*H175/1000,0)</f>
        <v>55</v>
      </c>
      <c r="R175" s="14"/>
      <c r="S175" s="14"/>
      <c r="T175" s="18"/>
      <c r="U175" s="13"/>
      <c r="V175" s="17"/>
      <c r="W175" s="13">
        <f t="shared" si="149"/>
        <v>7368</v>
      </c>
      <c r="X175" s="13">
        <f t="shared" si="150"/>
        <v>7368</v>
      </c>
      <c r="Y175" s="13">
        <f t="shared" si="151"/>
        <v>7368</v>
      </c>
      <c r="Z175" s="14"/>
      <c r="AA175" s="15"/>
      <c r="AB175" s="23"/>
      <c r="AC175" s="17"/>
      <c r="AD175" s="17"/>
      <c r="AE175" s="13">
        <f t="shared" si="152"/>
        <v>52800</v>
      </c>
      <c r="AF175" s="13">
        <f t="shared" si="152"/>
        <v>52800</v>
      </c>
      <c r="AG175" s="13">
        <f t="shared" si="152"/>
        <v>52800</v>
      </c>
      <c r="AH175" s="14"/>
      <c r="AI175" s="14"/>
      <c r="AJ175" s="16"/>
      <c r="AK175" s="100"/>
      <c r="AL175" s="14"/>
      <c r="AM175" s="14">
        <f t="shared" si="153"/>
        <v>60168</v>
      </c>
      <c r="AN175" s="14">
        <f t="shared" si="153"/>
        <v>60168</v>
      </c>
      <c r="AO175" s="14">
        <f t="shared" si="153"/>
        <v>60168</v>
      </c>
      <c r="AP175" s="14"/>
      <c r="AQ175" s="14"/>
      <c r="AR175" s="1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  <c r="BQ175" s="56"/>
      <c r="BR175" s="56"/>
      <c r="BS175" s="56"/>
      <c r="BT175" s="56"/>
      <c r="BU175" s="56"/>
      <c r="BV175" s="56"/>
      <c r="BW175" s="56"/>
      <c r="BX175" s="56"/>
      <c r="BY175" s="56"/>
      <c r="BZ175" s="56"/>
      <c r="CA175" s="56"/>
      <c r="CB175" s="56"/>
      <c r="CC175" s="56"/>
      <c r="CD175" s="56"/>
      <c r="CE175" s="56"/>
      <c r="CF175" s="56"/>
      <c r="CG175" s="56"/>
      <c r="CH175" s="56"/>
      <c r="CI175" s="56"/>
      <c r="CJ175" s="56"/>
      <c r="CK175" s="56"/>
      <c r="CL175" s="56"/>
      <c r="CM175" s="56"/>
      <c r="CN175" s="56"/>
      <c r="CO175" s="56"/>
      <c r="CP175" s="56"/>
      <c r="CQ175" s="56"/>
      <c r="CR175" s="56"/>
      <c r="CS175" s="56"/>
      <c r="CT175" s="56"/>
      <c r="CU175" s="56"/>
      <c r="CV175" s="56"/>
      <c r="CW175" s="56"/>
      <c r="CX175" s="56"/>
      <c r="CY175" s="56"/>
      <c r="CZ175" s="56"/>
      <c r="DA175" s="56"/>
      <c r="DB175" s="56"/>
      <c r="DC175" s="56"/>
      <c r="DD175" s="56"/>
      <c r="DE175" s="56"/>
      <c r="DF175" s="56"/>
      <c r="DG175" s="56"/>
      <c r="DH175" s="56"/>
      <c r="DI175" s="56"/>
      <c r="DJ175" s="56"/>
      <c r="DK175" s="56"/>
      <c r="DL175" s="56"/>
      <c r="DM175" s="56"/>
      <c r="DN175" s="56"/>
      <c r="DO175" s="56"/>
      <c r="DP175" s="56"/>
      <c r="DQ175" s="56"/>
      <c r="DR175" s="56"/>
      <c r="DS175" s="56"/>
      <c r="DT175" s="56"/>
      <c r="DU175" s="56"/>
      <c r="DV175" s="56"/>
      <c r="DW175" s="56"/>
      <c r="DX175" s="56"/>
      <c r="DY175" s="56"/>
      <c r="DZ175" s="56"/>
      <c r="EA175" s="56"/>
      <c r="EB175" s="56"/>
      <c r="EC175" s="56"/>
      <c r="ED175" s="56"/>
      <c r="EE175" s="56"/>
      <c r="EF175" s="56"/>
      <c r="EG175" s="56"/>
      <c r="EH175" s="56"/>
      <c r="EI175" s="56"/>
      <c r="EJ175" s="56"/>
      <c r="EK175" s="56"/>
    </row>
    <row r="176" spans="1:141" hidden="1" x14ac:dyDescent="0.55000000000000004">
      <c r="A176" s="975" t="s">
        <v>34</v>
      </c>
      <c r="B176" s="976"/>
      <c r="C176" s="977"/>
      <c r="D176" s="57"/>
      <c r="E176" s="57"/>
      <c r="F176" s="57"/>
      <c r="G176" s="58"/>
      <c r="H176" s="57"/>
      <c r="I176" s="59"/>
      <c r="J176" s="58"/>
      <c r="K176" s="57"/>
      <c r="L176" s="57"/>
      <c r="M176" s="60"/>
      <c r="N176" s="70"/>
      <c r="O176" s="62">
        <f>SUM(O173:O175)</f>
        <v>155</v>
      </c>
      <c r="P176" s="61">
        <f>SUM(P173:P175)</f>
        <v>155</v>
      </c>
      <c r="Q176" s="61">
        <f>SUM(Q173:Q175)</f>
        <v>155</v>
      </c>
      <c r="R176" s="61"/>
      <c r="S176" s="61"/>
      <c r="T176" s="64"/>
      <c r="U176" s="60"/>
      <c r="V176" s="70"/>
      <c r="W176" s="61">
        <f>SUM(W173:W175)</f>
        <v>20654</v>
      </c>
      <c r="X176" s="61">
        <f>SUM(X173:X175)</f>
        <v>20654</v>
      </c>
      <c r="Y176" s="61">
        <f>SUM(Y173:Y175)</f>
        <v>20654</v>
      </c>
      <c r="Z176" s="61"/>
      <c r="AA176" s="62"/>
      <c r="AB176" s="151"/>
      <c r="AC176" s="70"/>
      <c r="AD176" s="70"/>
      <c r="AE176" s="62">
        <f>SUM(AE173:AE175)</f>
        <v>148800</v>
      </c>
      <c r="AF176" s="61">
        <f>SUM(AF173:AF175)</f>
        <v>148800</v>
      </c>
      <c r="AG176" s="61">
        <f>SUM(AG173:AG175)</f>
        <v>148800</v>
      </c>
      <c r="AH176" s="61"/>
      <c r="AI176" s="61"/>
      <c r="AJ176" s="63"/>
      <c r="AK176" s="169"/>
      <c r="AL176" s="61"/>
      <c r="AM176" s="61">
        <f>SUM(AM173:AM175)</f>
        <v>169454</v>
      </c>
      <c r="AN176" s="61">
        <f>SUM(AN173:AN175)</f>
        <v>169454</v>
      </c>
      <c r="AO176" s="61">
        <f>SUM(AO173:AO175)</f>
        <v>169454</v>
      </c>
      <c r="AP176" s="61"/>
      <c r="AQ176" s="61"/>
      <c r="AR176" s="63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  <c r="BN176" s="56"/>
      <c r="BO176" s="56"/>
      <c r="BP176" s="56"/>
      <c r="BQ176" s="56"/>
      <c r="BR176" s="56"/>
      <c r="BS176" s="56"/>
      <c r="BT176" s="56"/>
      <c r="BU176" s="56"/>
      <c r="BV176" s="56"/>
      <c r="BW176" s="56"/>
      <c r="BX176" s="56"/>
      <c r="BY176" s="56"/>
      <c r="BZ176" s="56"/>
      <c r="CA176" s="56"/>
      <c r="CB176" s="56"/>
      <c r="CC176" s="56"/>
      <c r="CD176" s="56"/>
      <c r="CE176" s="56"/>
      <c r="CF176" s="56"/>
      <c r="CG176" s="56"/>
      <c r="CH176" s="56"/>
      <c r="CI176" s="56"/>
      <c r="CJ176" s="56"/>
      <c r="CK176" s="56"/>
      <c r="CL176" s="56"/>
      <c r="CM176" s="56"/>
      <c r="CN176" s="56"/>
      <c r="CO176" s="56"/>
      <c r="CP176" s="56"/>
      <c r="CQ176" s="56"/>
      <c r="CR176" s="56"/>
      <c r="CS176" s="56"/>
      <c r="CT176" s="56"/>
      <c r="CU176" s="56"/>
      <c r="CV176" s="56"/>
      <c r="CW176" s="56"/>
      <c r="CX176" s="56"/>
      <c r="CY176" s="56"/>
      <c r="CZ176" s="56"/>
      <c r="DA176" s="56"/>
      <c r="DB176" s="56"/>
      <c r="DC176" s="56"/>
      <c r="DD176" s="56"/>
      <c r="DE176" s="56"/>
      <c r="DF176" s="56"/>
      <c r="DG176" s="56"/>
      <c r="DH176" s="56"/>
      <c r="DI176" s="56"/>
      <c r="DJ176" s="56"/>
      <c r="DK176" s="56"/>
      <c r="DL176" s="56"/>
      <c r="DM176" s="56"/>
      <c r="DN176" s="56"/>
      <c r="DO176" s="56"/>
      <c r="DP176" s="56"/>
      <c r="DQ176" s="56"/>
      <c r="DR176" s="56"/>
      <c r="DS176" s="56"/>
      <c r="DT176" s="56"/>
      <c r="DU176" s="56"/>
      <c r="DV176" s="56"/>
      <c r="DW176" s="56"/>
      <c r="DX176" s="56"/>
      <c r="DY176" s="56"/>
      <c r="DZ176" s="56"/>
      <c r="EA176" s="56"/>
      <c r="EB176" s="56"/>
      <c r="EC176" s="56"/>
      <c r="ED176" s="56"/>
      <c r="EE176" s="56"/>
      <c r="EF176" s="56"/>
      <c r="EG176" s="56"/>
      <c r="EH176" s="56"/>
      <c r="EI176" s="56"/>
      <c r="EJ176" s="56"/>
      <c r="EK176" s="56"/>
    </row>
    <row r="177" spans="1:141" ht="27" hidden="1" thickBot="1" x14ac:dyDescent="0.75">
      <c r="A177" s="978"/>
      <c r="B177" s="979"/>
      <c r="C177" s="980"/>
      <c r="D177" s="57"/>
      <c r="E177" s="57"/>
      <c r="F177" s="57"/>
      <c r="G177" s="58"/>
      <c r="H177" s="57"/>
      <c r="I177" s="59"/>
      <c r="J177" s="58"/>
      <c r="K177" s="57"/>
      <c r="L177" s="57"/>
      <c r="M177" s="60"/>
      <c r="N177" s="70"/>
      <c r="O177" s="62"/>
      <c r="P177" s="61"/>
      <c r="Q177" s="83">
        <f>O23+P176+Q176</f>
        <v>310</v>
      </c>
      <c r="R177" s="61"/>
      <c r="S177" s="61"/>
      <c r="T177" s="64"/>
      <c r="U177" s="60"/>
      <c r="V177" s="70"/>
      <c r="W177" s="61"/>
      <c r="X177" s="61"/>
      <c r="Y177" s="83">
        <f>W176+X176+Y176</f>
        <v>61962</v>
      </c>
      <c r="Z177" s="61"/>
      <c r="AA177" s="62"/>
      <c r="AB177" s="151"/>
      <c r="AC177" s="70"/>
      <c r="AD177" s="70"/>
      <c r="AE177" s="62"/>
      <c r="AF177" s="61"/>
      <c r="AG177" s="61"/>
      <c r="AH177" s="61"/>
      <c r="AI177" s="61"/>
      <c r="AJ177" s="63"/>
      <c r="AK177" s="169"/>
      <c r="AL177" s="61"/>
      <c r="AM177" s="61"/>
      <c r="AN177" s="61"/>
      <c r="AO177" s="61"/>
      <c r="AP177" s="61"/>
      <c r="AQ177" s="61"/>
      <c r="AR177" s="63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  <c r="BN177" s="56"/>
      <c r="BO177" s="56"/>
      <c r="BP177" s="56"/>
      <c r="BQ177" s="56"/>
      <c r="BR177" s="56"/>
      <c r="BS177" s="56"/>
      <c r="BT177" s="56"/>
      <c r="BU177" s="56"/>
      <c r="BV177" s="56"/>
      <c r="BW177" s="56"/>
      <c r="BX177" s="56"/>
      <c r="BY177" s="56"/>
      <c r="BZ177" s="56"/>
      <c r="CA177" s="56"/>
      <c r="CB177" s="56"/>
      <c r="CC177" s="56"/>
      <c r="CD177" s="56"/>
      <c r="CE177" s="56"/>
      <c r="CF177" s="56"/>
      <c r="CG177" s="56"/>
      <c r="CH177" s="56"/>
      <c r="CI177" s="56"/>
      <c r="CJ177" s="56"/>
      <c r="CK177" s="56"/>
      <c r="CL177" s="56"/>
      <c r="CM177" s="56"/>
      <c r="CN177" s="56"/>
      <c r="CO177" s="56"/>
      <c r="CP177" s="56"/>
      <c r="CQ177" s="56"/>
      <c r="CR177" s="56"/>
      <c r="CS177" s="56"/>
      <c r="CT177" s="56"/>
      <c r="CU177" s="56"/>
      <c r="CV177" s="56"/>
      <c r="CW177" s="56"/>
      <c r="CX177" s="56"/>
      <c r="CY177" s="56"/>
      <c r="CZ177" s="56"/>
      <c r="DA177" s="56"/>
      <c r="DB177" s="56"/>
      <c r="DC177" s="56"/>
      <c r="DD177" s="56"/>
      <c r="DE177" s="56"/>
      <c r="DF177" s="56"/>
      <c r="DG177" s="56"/>
      <c r="DH177" s="56"/>
      <c r="DI177" s="56"/>
      <c r="DJ177" s="56"/>
      <c r="DK177" s="56"/>
      <c r="DL177" s="56"/>
      <c r="DM177" s="56"/>
      <c r="DN177" s="56"/>
      <c r="DO177" s="56"/>
      <c r="DP177" s="56"/>
      <c r="DQ177" s="56"/>
      <c r="DR177" s="56"/>
      <c r="DS177" s="56"/>
      <c r="DT177" s="56"/>
      <c r="DU177" s="56"/>
      <c r="DV177" s="56"/>
      <c r="DW177" s="56"/>
      <c r="DX177" s="56"/>
      <c r="DY177" s="56"/>
      <c r="DZ177" s="56"/>
      <c r="EA177" s="56"/>
      <c r="EB177" s="56"/>
      <c r="EC177" s="56"/>
      <c r="ED177" s="56"/>
      <c r="EE177" s="56"/>
      <c r="EF177" s="56"/>
      <c r="EG177" s="56"/>
      <c r="EH177" s="56"/>
      <c r="EI177" s="56"/>
      <c r="EJ177" s="56"/>
      <c r="EK177" s="56"/>
    </row>
    <row r="178" spans="1:141" s="68" customFormat="1" ht="39.950000000000003" customHeight="1" thickBot="1" x14ac:dyDescent="0.6">
      <c r="A178" s="880" t="s">
        <v>194</v>
      </c>
      <c r="B178" s="881"/>
      <c r="C178" s="881"/>
      <c r="D178" s="881"/>
      <c r="E178" s="881"/>
      <c r="F178" s="881"/>
      <c r="G178" s="881"/>
      <c r="H178" s="881"/>
      <c r="I178" s="881"/>
      <c r="J178" s="881"/>
      <c r="K178" s="881"/>
      <c r="L178" s="881"/>
      <c r="M178" s="881"/>
      <c r="N178" s="881"/>
      <c r="O178" s="881"/>
      <c r="P178" s="881"/>
      <c r="Q178" s="881"/>
      <c r="R178" s="881"/>
      <c r="S178" s="881"/>
      <c r="T178" s="881"/>
      <c r="U178" s="881"/>
      <c r="V178" s="881"/>
      <c r="W178" s="881"/>
      <c r="X178" s="881"/>
      <c r="Y178" s="881"/>
      <c r="Z178" s="881"/>
      <c r="AA178" s="881"/>
      <c r="AB178" s="881"/>
      <c r="AC178" s="881"/>
      <c r="AD178" s="881"/>
      <c r="AE178" s="881"/>
      <c r="AF178" s="881"/>
      <c r="AG178" s="881"/>
      <c r="AH178" s="881"/>
      <c r="AI178" s="881"/>
      <c r="AJ178" s="881"/>
      <c r="AK178" s="881"/>
      <c r="AL178" s="881"/>
      <c r="AM178" s="881"/>
      <c r="AN178" s="881"/>
      <c r="AO178" s="881"/>
      <c r="AP178" s="881"/>
      <c r="AQ178" s="881"/>
      <c r="AR178" s="882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  <c r="BM178" s="69"/>
      <c r="BN178" s="69"/>
      <c r="BO178" s="69"/>
      <c r="BP178" s="69"/>
      <c r="BQ178" s="69"/>
      <c r="BR178" s="69"/>
      <c r="BS178" s="69"/>
      <c r="BT178" s="69"/>
      <c r="BU178" s="69"/>
      <c r="BV178" s="69"/>
      <c r="BW178" s="69"/>
      <c r="BX178" s="69"/>
      <c r="BY178" s="69"/>
      <c r="BZ178" s="69"/>
      <c r="CA178" s="69"/>
      <c r="CB178" s="69"/>
      <c r="CC178" s="69"/>
      <c r="CD178" s="69"/>
      <c r="CE178" s="69"/>
      <c r="CF178" s="69"/>
      <c r="CG178" s="69"/>
      <c r="CH178" s="69"/>
      <c r="CI178" s="69"/>
      <c r="CJ178" s="69"/>
      <c r="CK178" s="69"/>
      <c r="CL178" s="69"/>
      <c r="CM178" s="69"/>
      <c r="CN178" s="69"/>
      <c r="CO178" s="69"/>
      <c r="CP178" s="69"/>
      <c r="CQ178" s="69"/>
      <c r="CR178" s="69"/>
      <c r="CS178" s="69"/>
      <c r="CT178" s="69"/>
      <c r="CU178" s="69"/>
      <c r="CV178" s="69"/>
      <c r="CW178" s="69"/>
      <c r="CX178" s="69"/>
      <c r="CY178" s="69"/>
      <c r="CZ178" s="69"/>
      <c r="DA178" s="69"/>
      <c r="DB178" s="69"/>
      <c r="DC178" s="69"/>
      <c r="DD178" s="69"/>
      <c r="DE178" s="69"/>
      <c r="DF178" s="69"/>
      <c r="DG178" s="69"/>
      <c r="DH178" s="69"/>
      <c r="DI178" s="69"/>
      <c r="DJ178" s="69"/>
      <c r="DK178" s="69"/>
      <c r="DL178" s="69"/>
      <c r="DM178" s="69"/>
      <c r="DN178" s="69"/>
      <c r="DO178" s="69"/>
      <c r="DP178" s="69"/>
      <c r="DQ178" s="69"/>
      <c r="DR178" s="69"/>
      <c r="DS178" s="69"/>
      <c r="DT178" s="69"/>
      <c r="DU178" s="69"/>
      <c r="DV178" s="69"/>
      <c r="DW178" s="69"/>
      <c r="DX178" s="69"/>
      <c r="DY178" s="69"/>
      <c r="DZ178" s="69"/>
      <c r="EA178" s="69"/>
      <c r="EB178" s="69"/>
      <c r="EC178" s="69"/>
      <c r="ED178" s="69"/>
      <c r="EE178" s="69"/>
      <c r="EF178" s="69"/>
      <c r="EG178" s="69"/>
      <c r="EH178" s="69"/>
      <c r="EI178" s="69"/>
      <c r="EJ178" s="69"/>
      <c r="EK178" s="69"/>
    </row>
    <row r="179" spans="1:141" x14ac:dyDescent="0.55000000000000004">
      <c r="A179" s="135" t="s">
        <v>152</v>
      </c>
      <c r="B179" s="136">
        <v>131</v>
      </c>
      <c r="C179" s="123">
        <v>2886</v>
      </c>
      <c r="D179" s="17">
        <v>0</v>
      </c>
      <c r="E179" s="14">
        <v>3</v>
      </c>
      <c r="F179" s="14">
        <v>0</v>
      </c>
      <c r="G179" s="13">
        <f>0</f>
        <v>0</v>
      </c>
      <c r="H179" s="14">
        <v>15</v>
      </c>
      <c r="I179" s="23">
        <f>0</f>
        <v>0</v>
      </c>
      <c r="J179" s="13">
        <v>1.1000000000000001</v>
      </c>
      <c r="K179" s="14">
        <v>2</v>
      </c>
      <c r="L179" s="15">
        <v>1.7</v>
      </c>
      <c r="M179" s="13"/>
      <c r="N179" s="17"/>
      <c r="O179" s="15">
        <f>ROUND(C179*H179/1000,0)</f>
        <v>43</v>
      </c>
      <c r="P179" s="14">
        <f>ROUND(C179*H179/1000,0)</f>
        <v>43</v>
      </c>
      <c r="Q179" s="14">
        <f>ROUND(C179*H179/1000,0)</f>
        <v>43</v>
      </c>
      <c r="R179" s="14"/>
      <c r="S179" s="14"/>
      <c r="T179" s="18"/>
      <c r="U179" s="13"/>
      <c r="V179" s="17"/>
      <c r="W179" s="13">
        <f>ROUND(C179*K179,0)</f>
        <v>5772</v>
      </c>
      <c r="X179" s="13">
        <f>ROUND(C179*K179,0)</f>
        <v>5772</v>
      </c>
      <c r="Y179" s="13">
        <f>ROUND(C179*K179,0)</f>
        <v>5772</v>
      </c>
      <c r="Z179" s="14"/>
      <c r="AA179" s="15"/>
      <c r="AB179" s="23"/>
      <c r="AC179" s="17"/>
      <c r="AD179" s="17"/>
      <c r="AE179" s="13">
        <f>ROUND(O179*95,0)</f>
        <v>4085</v>
      </c>
      <c r="AF179" s="13">
        <f>ROUND(P179*95,0)</f>
        <v>4085</v>
      </c>
      <c r="AG179" s="13">
        <f>ROUND(Q179*95,0)</f>
        <v>4085</v>
      </c>
      <c r="AH179" s="14"/>
      <c r="AI179" s="14"/>
      <c r="AJ179" s="16"/>
      <c r="AK179" s="100"/>
      <c r="AL179" s="14"/>
      <c r="AM179" s="14">
        <f t="shared" ref="AM179:AO182" si="154">W179+AE179</f>
        <v>9857</v>
      </c>
      <c r="AN179" s="14">
        <f t="shared" si="154"/>
        <v>9857</v>
      </c>
      <c r="AO179" s="14">
        <f t="shared" si="154"/>
        <v>9857</v>
      </c>
      <c r="AP179" s="14"/>
      <c r="AQ179" s="14"/>
      <c r="AR179" s="1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  <c r="BN179" s="56"/>
      <c r="BO179" s="56"/>
      <c r="BP179" s="56"/>
      <c r="BQ179" s="56"/>
      <c r="BR179" s="56"/>
      <c r="BS179" s="56"/>
      <c r="BT179" s="56"/>
      <c r="BU179" s="56"/>
      <c r="BV179" s="56"/>
      <c r="BW179" s="56"/>
      <c r="BX179" s="56"/>
      <c r="BY179" s="56"/>
      <c r="BZ179" s="56"/>
      <c r="CA179" s="56"/>
      <c r="CB179" s="56"/>
      <c r="CC179" s="56"/>
      <c r="CD179" s="56"/>
      <c r="CE179" s="56"/>
      <c r="CF179" s="56"/>
      <c r="CG179" s="56"/>
      <c r="CH179" s="56"/>
      <c r="CI179" s="56"/>
      <c r="CJ179" s="56"/>
      <c r="CK179" s="56"/>
      <c r="CL179" s="56"/>
      <c r="CM179" s="56"/>
      <c r="CN179" s="56"/>
      <c r="CO179" s="56"/>
      <c r="CP179" s="56"/>
      <c r="CQ179" s="56"/>
      <c r="CR179" s="56"/>
      <c r="CS179" s="56"/>
      <c r="CT179" s="56"/>
      <c r="CU179" s="56"/>
      <c r="CV179" s="56"/>
      <c r="CW179" s="56"/>
      <c r="CX179" s="56"/>
      <c r="CY179" s="56"/>
      <c r="CZ179" s="56"/>
      <c r="DA179" s="56"/>
      <c r="DB179" s="56"/>
      <c r="DC179" s="56"/>
      <c r="DD179" s="56"/>
      <c r="DE179" s="56"/>
      <c r="DF179" s="56"/>
      <c r="DG179" s="56"/>
      <c r="DH179" s="56"/>
      <c r="DI179" s="56"/>
      <c r="DJ179" s="56"/>
      <c r="DK179" s="56"/>
      <c r="DL179" s="56"/>
      <c r="DM179" s="56"/>
      <c r="DN179" s="56"/>
      <c r="DO179" s="56"/>
      <c r="DP179" s="56"/>
      <c r="DQ179" s="56"/>
      <c r="DR179" s="56"/>
      <c r="DS179" s="56"/>
      <c r="DT179" s="56"/>
      <c r="DU179" s="56"/>
      <c r="DV179" s="56"/>
      <c r="DW179" s="56"/>
      <c r="DX179" s="56"/>
      <c r="DY179" s="56"/>
      <c r="DZ179" s="56"/>
      <c r="EA179" s="56"/>
      <c r="EB179" s="56"/>
      <c r="EC179" s="56"/>
      <c r="ED179" s="56"/>
      <c r="EE179" s="56"/>
      <c r="EF179" s="56"/>
      <c r="EG179" s="56"/>
      <c r="EH179" s="56"/>
      <c r="EI179" s="56"/>
      <c r="EJ179" s="56"/>
      <c r="EK179" s="56"/>
    </row>
    <row r="180" spans="1:141" x14ac:dyDescent="0.55000000000000004">
      <c r="A180" s="135" t="s">
        <v>153</v>
      </c>
      <c r="B180" s="138">
        <v>117</v>
      </c>
      <c r="C180" s="123">
        <v>2579</v>
      </c>
      <c r="D180" s="17">
        <v>0</v>
      </c>
      <c r="E180" s="14">
        <v>3</v>
      </c>
      <c r="F180" s="14">
        <v>0</v>
      </c>
      <c r="G180" s="13">
        <f>0</f>
        <v>0</v>
      </c>
      <c r="H180" s="14">
        <v>15</v>
      </c>
      <c r="I180" s="23">
        <f>0</f>
        <v>0</v>
      </c>
      <c r="J180" s="13">
        <v>1.1000000000000001</v>
      </c>
      <c r="K180" s="14">
        <v>2</v>
      </c>
      <c r="L180" s="15">
        <v>1.7</v>
      </c>
      <c r="M180" s="13"/>
      <c r="N180" s="17"/>
      <c r="O180" s="15">
        <f>ROUND(C180*H180/1000,0)</f>
        <v>39</v>
      </c>
      <c r="P180" s="14">
        <f>ROUND(C180*H180/1000,0)</f>
        <v>39</v>
      </c>
      <c r="Q180" s="14">
        <f>ROUND(C180*H180/1000,0)</f>
        <v>39</v>
      </c>
      <c r="R180" s="14"/>
      <c r="S180" s="14"/>
      <c r="T180" s="18"/>
      <c r="U180" s="13"/>
      <c r="V180" s="17"/>
      <c r="W180" s="13">
        <f t="shared" ref="W180:W182" si="155">ROUND(C180*K180,0)</f>
        <v>5158</v>
      </c>
      <c r="X180" s="13">
        <f t="shared" ref="X180:X182" si="156">ROUND(C180*K180,0)</f>
        <v>5158</v>
      </c>
      <c r="Y180" s="13">
        <f t="shared" ref="Y180:Y182" si="157">ROUND(C180*K180,0)</f>
        <v>5158</v>
      </c>
      <c r="Z180" s="14"/>
      <c r="AA180" s="15"/>
      <c r="AB180" s="23"/>
      <c r="AC180" s="17"/>
      <c r="AD180" s="17"/>
      <c r="AE180" s="13">
        <f t="shared" ref="AE180:AE182" si="158">ROUND(O180*95,0)</f>
        <v>3705</v>
      </c>
      <c r="AF180" s="13">
        <f t="shared" ref="AF180:AF182" si="159">ROUND(P180*95,0)</f>
        <v>3705</v>
      </c>
      <c r="AG180" s="13">
        <f t="shared" ref="AG180:AG182" si="160">ROUND(Q180*95,0)</f>
        <v>3705</v>
      </c>
      <c r="AH180" s="14"/>
      <c r="AI180" s="14"/>
      <c r="AJ180" s="16"/>
      <c r="AK180" s="100"/>
      <c r="AL180" s="14"/>
      <c r="AM180" s="14">
        <f t="shared" si="154"/>
        <v>8863</v>
      </c>
      <c r="AN180" s="14">
        <f t="shared" si="154"/>
        <v>8863</v>
      </c>
      <c r="AO180" s="14">
        <f t="shared" si="154"/>
        <v>8863</v>
      </c>
      <c r="AP180" s="14"/>
      <c r="AQ180" s="14"/>
      <c r="AR180" s="1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  <c r="BN180" s="56"/>
      <c r="BO180" s="56"/>
      <c r="BP180" s="56"/>
      <c r="BQ180" s="56"/>
      <c r="BR180" s="56"/>
      <c r="BS180" s="56"/>
      <c r="BT180" s="56"/>
      <c r="BU180" s="56"/>
      <c r="BV180" s="56"/>
      <c r="BW180" s="56"/>
      <c r="BX180" s="56"/>
      <c r="BY180" s="56"/>
      <c r="BZ180" s="56"/>
      <c r="CA180" s="56"/>
      <c r="CB180" s="56"/>
      <c r="CC180" s="56"/>
      <c r="CD180" s="56"/>
      <c r="CE180" s="56"/>
      <c r="CF180" s="56"/>
      <c r="CG180" s="56"/>
      <c r="CH180" s="56"/>
      <c r="CI180" s="56"/>
      <c r="CJ180" s="56"/>
      <c r="CK180" s="56"/>
      <c r="CL180" s="56"/>
      <c r="CM180" s="56"/>
      <c r="CN180" s="56"/>
      <c r="CO180" s="56"/>
      <c r="CP180" s="56"/>
      <c r="CQ180" s="56"/>
      <c r="CR180" s="56"/>
      <c r="CS180" s="56"/>
      <c r="CT180" s="56"/>
      <c r="CU180" s="56"/>
      <c r="CV180" s="56"/>
      <c r="CW180" s="56"/>
      <c r="CX180" s="56"/>
      <c r="CY180" s="56"/>
      <c r="CZ180" s="56"/>
      <c r="DA180" s="56"/>
      <c r="DB180" s="56"/>
      <c r="DC180" s="56"/>
      <c r="DD180" s="56"/>
      <c r="DE180" s="56"/>
      <c r="DF180" s="56"/>
      <c r="DG180" s="56"/>
      <c r="DH180" s="56"/>
      <c r="DI180" s="56"/>
      <c r="DJ180" s="56"/>
      <c r="DK180" s="56"/>
      <c r="DL180" s="56"/>
      <c r="DM180" s="56"/>
      <c r="DN180" s="56"/>
      <c r="DO180" s="56"/>
      <c r="DP180" s="56"/>
      <c r="DQ180" s="56"/>
      <c r="DR180" s="56"/>
      <c r="DS180" s="56"/>
      <c r="DT180" s="56"/>
      <c r="DU180" s="56"/>
      <c r="DV180" s="56"/>
      <c r="DW180" s="56"/>
      <c r="DX180" s="56"/>
      <c r="DY180" s="56"/>
      <c r="DZ180" s="56"/>
      <c r="EA180" s="56"/>
      <c r="EB180" s="56"/>
      <c r="EC180" s="56"/>
      <c r="ED180" s="56"/>
      <c r="EE180" s="56"/>
      <c r="EF180" s="56"/>
      <c r="EG180" s="56"/>
      <c r="EH180" s="56"/>
      <c r="EI180" s="56"/>
      <c r="EJ180" s="56"/>
      <c r="EK180" s="56"/>
    </row>
    <row r="181" spans="1:141" x14ac:dyDescent="0.55000000000000004">
      <c r="A181" s="135" t="s">
        <v>154</v>
      </c>
      <c r="B181" s="138">
        <v>155</v>
      </c>
      <c r="C181" s="123">
        <v>3402</v>
      </c>
      <c r="D181" s="17">
        <v>0</v>
      </c>
      <c r="E181" s="14">
        <v>3</v>
      </c>
      <c r="F181" s="14">
        <v>0</v>
      </c>
      <c r="G181" s="13">
        <f>0</f>
        <v>0</v>
      </c>
      <c r="H181" s="14">
        <v>15</v>
      </c>
      <c r="I181" s="23">
        <f>0</f>
        <v>0</v>
      </c>
      <c r="J181" s="13">
        <v>1.1000000000000001</v>
      </c>
      <c r="K181" s="14">
        <v>2</v>
      </c>
      <c r="L181" s="15">
        <v>1.7</v>
      </c>
      <c r="M181" s="13"/>
      <c r="N181" s="17"/>
      <c r="O181" s="15">
        <f>ROUND(C181*H181/1000,0)</f>
        <v>51</v>
      </c>
      <c r="P181" s="14">
        <f>ROUND(C181*H181/1000,0)</f>
        <v>51</v>
      </c>
      <c r="Q181" s="14">
        <f>ROUND(C181*H181/1000,0)</f>
        <v>51</v>
      </c>
      <c r="R181" s="14"/>
      <c r="S181" s="14"/>
      <c r="T181" s="18"/>
      <c r="U181" s="13"/>
      <c r="V181" s="17"/>
      <c r="W181" s="13">
        <f t="shared" si="155"/>
        <v>6804</v>
      </c>
      <c r="X181" s="13">
        <f t="shared" si="156"/>
        <v>6804</v>
      </c>
      <c r="Y181" s="13">
        <f t="shared" si="157"/>
        <v>6804</v>
      </c>
      <c r="Z181" s="14"/>
      <c r="AA181" s="15"/>
      <c r="AB181" s="23"/>
      <c r="AC181" s="17"/>
      <c r="AD181" s="17"/>
      <c r="AE181" s="13">
        <f t="shared" si="158"/>
        <v>4845</v>
      </c>
      <c r="AF181" s="13">
        <f t="shared" si="159"/>
        <v>4845</v>
      </c>
      <c r="AG181" s="13">
        <f t="shared" si="160"/>
        <v>4845</v>
      </c>
      <c r="AH181" s="14"/>
      <c r="AI181" s="14"/>
      <c r="AJ181" s="16"/>
      <c r="AK181" s="100"/>
      <c r="AL181" s="14"/>
      <c r="AM181" s="14">
        <f t="shared" si="154"/>
        <v>11649</v>
      </c>
      <c r="AN181" s="14">
        <f t="shared" si="154"/>
        <v>11649</v>
      </c>
      <c r="AO181" s="14">
        <f t="shared" si="154"/>
        <v>11649</v>
      </c>
      <c r="AP181" s="14"/>
      <c r="AQ181" s="14"/>
      <c r="AR181" s="1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  <c r="BN181" s="56"/>
      <c r="BO181" s="56"/>
      <c r="BP181" s="56"/>
      <c r="BQ181" s="56"/>
      <c r="BR181" s="56"/>
      <c r="BS181" s="56"/>
      <c r="BT181" s="56"/>
      <c r="BU181" s="56"/>
      <c r="BV181" s="56"/>
      <c r="BW181" s="56"/>
      <c r="BX181" s="56"/>
      <c r="BY181" s="56"/>
      <c r="BZ181" s="56"/>
      <c r="CA181" s="56"/>
      <c r="CB181" s="56"/>
      <c r="CC181" s="56"/>
      <c r="CD181" s="56"/>
      <c r="CE181" s="56"/>
      <c r="CF181" s="56"/>
      <c r="CG181" s="56"/>
      <c r="CH181" s="56"/>
      <c r="CI181" s="56"/>
      <c r="CJ181" s="56"/>
      <c r="CK181" s="56"/>
      <c r="CL181" s="56"/>
      <c r="CM181" s="56"/>
      <c r="CN181" s="56"/>
      <c r="CO181" s="56"/>
      <c r="CP181" s="56"/>
      <c r="CQ181" s="56"/>
      <c r="CR181" s="56"/>
      <c r="CS181" s="56"/>
      <c r="CT181" s="56"/>
      <c r="CU181" s="56"/>
      <c r="CV181" s="56"/>
      <c r="CW181" s="56"/>
      <c r="CX181" s="56"/>
      <c r="CY181" s="56"/>
      <c r="CZ181" s="56"/>
      <c r="DA181" s="56"/>
      <c r="DB181" s="56"/>
      <c r="DC181" s="56"/>
      <c r="DD181" s="56"/>
      <c r="DE181" s="56"/>
      <c r="DF181" s="56"/>
      <c r="DG181" s="56"/>
      <c r="DH181" s="56"/>
      <c r="DI181" s="56"/>
      <c r="DJ181" s="56"/>
      <c r="DK181" s="56"/>
      <c r="DL181" s="56"/>
      <c r="DM181" s="56"/>
      <c r="DN181" s="56"/>
      <c r="DO181" s="56"/>
      <c r="DP181" s="56"/>
      <c r="DQ181" s="56"/>
      <c r="DR181" s="56"/>
      <c r="DS181" s="56"/>
      <c r="DT181" s="56"/>
      <c r="DU181" s="56"/>
      <c r="DV181" s="56"/>
      <c r="DW181" s="56"/>
      <c r="DX181" s="56"/>
      <c r="DY181" s="56"/>
      <c r="DZ181" s="56"/>
      <c r="EA181" s="56"/>
      <c r="EB181" s="56"/>
      <c r="EC181" s="56"/>
      <c r="ED181" s="56"/>
      <c r="EE181" s="56"/>
      <c r="EF181" s="56"/>
      <c r="EG181" s="56"/>
      <c r="EH181" s="56"/>
      <c r="EI181" s="56"/>
      <c r="EJ181" s="56"/>
      <c r="EK181" s="56"/>
    </row>
    <row r="182" spans="1:141" ht="24.75" thickBot="1" x14ac:dyDescent="0.6">
      <c r="A182" s="135" t="s">
        <v>155</v>
      </c>
      <c r="B182" s="139">
        <v>100</v>
      </c>
      <c r="C182" s="125">
        <v>2192</v>
      </c>
      <c r="D182" s="31">
        <v>0</v>
      </c>
      <c r="E182" s="28">
        <v>3</v>
      </c>
      <c r="F182" s="28">
        <v>0</v>
      </c>
      <c r="G182" s="27">
        <f>0</f>
        <v>0</v>
      </c>
      <c r="H182" s="28">
        <v>15</v>
      </c>
      <c r="I182" s="29">
        <f>0</f>
        <v>0</v>
      </c>
      <c r="J182" s="27">
        <v>1.1000000000000001</v>
      </c>
      <c r="K182" s="28">
        <v>2</v>
      </c>
      <c r="L182" s="30">
        <v>1.7</v>
      </c>
      <c r="M182" s="13"/>
      <c r="N182" s="17"/>
      <c r="O182" s="15">
        <f>ROUND(C182*H182/1000,0)</f>
        <v>33</v>
      </c>
      <c r="P182" s="14">
        <f>ROUND(C182*H182/1000,0)</f>
        <v>33</v>
      </c>
      <c r="Q182" s="14">
        <f>ROUND(C182*H182/1000,0)</f>
        <v>33</v>
      </c>
      <c r="R182" s="14"/>
      <c r="S182" s="14"/>
      <c r="T182" s="18"/>
      <c r="U182" s="13"/>
      <c r="V182" s="17"/>
      <c r="W182" s="13">
        <f t="shared" si="155"/>
        <v>4384</v>
      </c>
      <c r="X182" s="13">
        <f t="shared" si="156"/>
        <v>4384</v>
      </c>
      <c r="Y182" s="13">
        <f t="shared" si="157"/>
        <v>4384</v>
      </c>
      <c r="Z182" s="14"/>
      <c r="AA182" s="15"/>
      <c r="AB182" s="23"/>
      <c r="AC182" s="17"/>
      <c r="AD182" s="17"/>
      <c r="AE182" s="13">
        <f t="shared" si="158"/>
        <v>3135</v>
      </c>
      <c r="AF182" s="13">
        <f t="shared" si="159"/>
        <v>3135</v>
      </c>
      <c r="AG182" s="13">
        <f t="shared" si="160"/>
        <v>3135</v>
      </c>
      <c r="AH182" s="14"/>
      <c r="AI182" s="14"/>
      <c r="AJ182" s="16"/>
      <c r="AK182" s="100"/>
      <c r="AL182" s="14"/>
      <c r="AM182" s="14">
        <f t="shared" si="154"/>
        <v>7519</v>
      </c>
      <c r="AN182" s="14">
        <f t="shared" si="154"/>
        <v>7519</v>
      </c>
      <c r="AO182" s="14">
        <f t="shared" si="154"/>
        <v>7519</v>
      </c>
      <c r="AP182" s="14"/>
      <c r="AQ182" s="14"/>
      <c r="AR182" s="1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  <c r="BN182" s="56"/>
      <c r="BO182" s="56"/>
      <c r="BP182" s="56"/>
      <c r="BQ182" s="56"/>
      <c r="BR182" s="56"/>
      <c r="BS182" s="56"/>
      <c r="BT182" s="56"/>
      <c r="BU182" s="56"/>
      <c r="BV182" s="56"/>
      <c r="BW182" s="56"/>
      <c r="BX182" s="56"/>
      <c r="BY182" s="56"/>
      <c r="BZ182" s="56"/>
      <c r="CA182" s="56"/>
      <c r="CB182" s="56"/>
      <c r="CC182" s="56"/>
      <c r="CD182" s="56"/>
      <c r="CE182" s="56"/>
      <c r="CF182" s="56"/>
      <c r="CG182" s="56"/>
      <c r="CH182" s="56"/>
      <c r="CI182" s="56"/>
      <c r="CJ182" s="56"/>
      <c r="CK182" s="56"/>
      <c r="CL182" s="56"/>
      <c r="CM182" s="56"/>
      <c r="CN182" s="56"/>
      <c r="CO182" s="56"/>
      <c r="CP182" s="56"/>
      <c r="CQ182" s="56"/>
      <c r="CR182" s="56"/>
      <c r="CS182" s="56"/>
      <c r="CT182" s="56"/>
      <c r="CU182" s="56"/>
      <c r="CV182" s="56"/>
      <c r="CW182" s="56"/>
      <c r="CX182" s="56"/>
      <c r="CY182" s="56"/>
      <c r="CZ182" s="56"/>
      <c r="DA182" s="56"/>
      <c r="DB182" s="56"/>
      <c r="DC182" s="56"/>
      <c r="DD182" s="56"/>
      <c r="DE182" s="56"/>
      <c r="DF182" s="56"/>
      <c r="DG182" s="56"/>
      <c r="DH182" s="56"/>
      <c r="DI182" s="56"/>
      <c r="DJ182" s="56"/>
      <c r="DK182" s="56"/>
      <c r="DL182" s="56"/>
      <c r="DM182" s="56"/>
      <c r="DN182" s="56"/>
      <c r="DO182" s="56"/>
      <c r="DP182" s="56"/>
      <c r="DQ182" s="56"/>
      <c r="DR182" s="56"/>
      <c r="DS182" s="56"/>
      <c r="DT182" s="56"/>
      <c r="DU182" s="56"/>
      <c r="DV182" s="56"/>
      <c r="DW182" s="56"/>
      <c r="DX182" s="56"/>
      <c r="DY182" s="56"/>
      <c r="DZ182" s="56"/>
      <c r="EA182" s="56"/>
      <c r="EB182" s="56"/>
      <c r="EC182" s="56"/>
      <c r="ED182" s="56"/>
      <c r="EE182" s="56"/>
      <c r="EF182" s="56"/>
      <c r="EG182" s="56"/>
      <c r="EH182" s="56"/>
      <c r="EI182" s="56"/>
      <c r="EJ182" s="56"/>
      <c r="EK182" s="56"/>
    </row>
    <row r="183" spans="1:141" ht="24.75" thickBot="1" x14ac:dyDescent="0.6">
      <c r="A183" s="883" t="s">
        <v>157</v>
      </c>
      <c r="B183" s="885">
        <f>SUM(B179:B182)</f>
        <v>503</v>
      </c>
      <c r="C183" s="885">
        <f>SUM(C179:C182)</f>
        <v>11059</v>
      </c>
      <c r="D183" s="887"/>
      <c r="E183" s="888"/>
      <c r="F183" s="888"/>
      <c r="G183" s="888"/>
      <c r="H183" s="888"/>
      <c r="I183" s="888"/>
      <c r="J183" s="888"/>
      <c r="K183" s="888"/>
      <c r="L183" s="889"/>
      <c r="M183" s="158">
        <f>SUM(M180:M182)</f>
        <v>0</v>
      </c>
      <c r="N183" s="158">
        <f>SUM(N180:N182)</f>
        <v>0</v>
      </c>
      <c r="O183" s="160">
        <f>SUM(O179:O182)</f>
        <v>166</v>
      </c>
      <c r="P183" s="160">
        <f t="shared" ref="P183:Q183" si="161">SUM(P179:P182)</f>
        <v>166</v>
      </c>
      <c r="Q183" s="160">
        <f t="shared" si="161"/>
        <v>166</v>
      </c>
      <c r="R183" s="161">
        <f>SUM(R180:R182)</f>
        <v>0</v>
      </c>
      <c r="S183" s="161">
        <f>SUM(S180:S182)</f>
        <v>0</v>
      </c>
      <c r="T183" s="163">
        <f>SUM(T180:T182)</f>
        <v>0</v>
      </c>
      <c r="U183" s="158">
        <f>SUM(U180:U182)</f>
        <v>0</v>
      </c>
      <c r="V183" s="188">
        <f>V181+V180+V179</f>
        <v>0</v>
      </c>
      <c r="W183" s="157">
        <f>SUM(W179:W182)</f>
        <v>22118</v>
      </c>
      <c r="X183" s="157">
        <f t="shared" ref="X183:Y183" si="162">SUM(X179:X182)</f>
        <v>22118</v>
      </c>
      <c r="Y183" s="157">
        <f t="shared" si="162"/>
        <v>22118</v>
      </c>
      <c r="Z183" s="164"/>
      <c r="AA183" s="164"/>
      <c r="AB183" s="164"/>
      <c r="AC183" s="157">
        <f>SUM(AC180:AC182)</f>
        <v>0</v>
      </c>
      <c r="AD183" s="157">
        <f>SUM(AD180:AD182)</f>
        <v>0</v>
      </c>
      <c r="AE183" s="166">
        <f>SUM(AE179:AE182)</f>
        <v>15770</v>
      </c>
      <c r="AF183" s="166">
        <f t="shared" ref="AF183:AG183" si="163">SUM(AF179:AF182)</f>
        <v>15770</v>
      </c>
      <c r="AG183" s="166">
        <f t="shared" si="163"/>
        <v>15770</v>
      </c>
      <c r="AH183" s="175">
        <f>SUM(AH178:AH182)</f>
        <v>0</v>
      </c>
      <c r="AI183" s="175">
        <f>SUM(AI178:AI182)</f>
        <v>0</v>
      </c>
      <c r="AJ183" s="175">
        <f>SUM(AJ178:AJ182)</f>
        <v>0</v>
      </c>
      <c r="AK183" s="165">
        <f>SUM(AK181:AK182)</f>
        <v>0</v>
      </c>
      <c r="AL183" s="165">
        <f>0</f>
        <v>0</v>
      </c>
      <c r="AM183" s="166">
        <f>SUM(AM179:AM182)</f>
        <v>37888</v>
      </c>
      <c r="AN183" s="166">
        <f>SUM(AN179:AN182)</f>
        <v>37888</v>
      </c>
      <c r="AO183" s="166">
        <f>SUM(AO179:AO182)</f>
        <v>37888</v>
      </c>
      <c r="AP183" s="175">
        <f>SUM(AP178:AP182)</f>
        <v>0</v>
      </c>
      <c r="AQ183" s="164"/>
      <c r="AR183" s="167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141" ht="27" thickBot="1" x14ac:dyDescent="0.75">
      <c r="A184" s="884"/>
      <c r="B184" s="886"/>
      <c r="C184" s="886"/>
      <c r="D184" s="890"/>
      <c r="E184" s="891"/>
      <c r="F184" s="891"/>
      <c r="G184" s="891"/>
      <c r="H184" s="891"/>
      <c r="I184" s="891"/>
      <c r="J184" s="891"/>
      <c r="K184" s="891"/>
      <c r="L184" s="892"/>
      <c r="M184" s="893">
        <f>M183+N183</f>
        <v>0</v>
      </c>
      <c r="N184" s="894">
        <f>M183+N183</f>
        <v>0</v>
      </c>
      <c r="O184" s="895">
        <f>+O183+P183+Q183</f>
        <v>498</v>
      </c>
      <c r="P184" s="896"/>
      <c r="Q184" s="897"/>
      <c r="R184" s="898">
        <f>+R183+S183+T183</f>
        <v>0</v>
      </c>
      <c r="S184" s="899"/>
      <c r="T184" s="900"/>
      <c r="U184" s="901">
        <f>U183+V183</f>
        <v>0</v>
      </c>
      <c r="V184" s="902"/>
      <c r="W184" s="903">
        <f>W183+X183+Y183</f>
        <v>66354</v>
      </c>
      <c r="X184" s="904"/>
      <c r="Y184" s="905"/>
      <c r="Z184" s="906">
        <f>Z183+AA183+AB183</f>
        <v>0</v>
      </c>
      <c r="AA184" s="907"/>
      <c r="AB184" s="908"/>
      <c r="AC184" s="909">
        <f>AC183+AD183</f>
        <v>0</v>
      </c>
      <c r="AD184" s="910">
        <f t="shared" ref="AD184" si="164">ROUND(N184*960,0)</f>
        <v>0</v>
      </c>
      <c r="AE184" s="911">
        <f>AE183+AF183+AG183</f>
        <v>47310</v>
      </c>
      <c r="AF184" s="912"/>
      <c r="AG184" s="913"/>
      <c r="AH184" s="914">
        <f>AH183+AI183+AJ183</f>
        <v>0</v>
      </c>
      <c r="AI184" s="915"/>
      <c r="AJ184" s="916"/>
      <c r="AK184" s="917">
        <f>AK183+AL183</f>
        <v>0</v>
      </c>
      <c r="AL184" s="918">
        <f t="shared" ref="AL184" si="165">V184+AD184</f>
        <v>0</v>
      </c>
      <c r="AM184" s="911">
        <f>AM183+AN183+AO183</f>
        <v>113664</v>
      </c>
      <c r="AN184" s="912"/>
      <c r="AO184" s="913"/>
      <c r="AP184" s="919">
        <f>AP183+AQ183+AR183</f>
        <v>0</v>
      </c>
      <c r="AQ184" s="920"/>
      <c r="AR184" s="92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141" ht="24.75" thickBot="1" x14ac:dyDescent="0.6">
      <c r="A185" s="126" t="s">
        <v>158</v>
      </c>
      <c r="B185" s="127">
        <v>130</v>
      </c>
      <c r="C185" s="128">
        <v>2853</v>
      </c>
      <c r="D185" s="31">
        <v>0</v>
      </c>
      <c r="E185" s="28">
        <v>3</v>
      </c>
      <c r="F185" s="28">
        <v>0</v>
      </c>
      <c r="G185" s="13">
        <f>0</f>
        <v>0</v>
      </c>
      <c r="H185" s="14">
        <v>15</v>
      </c>
      <c r="I185" s="23">
        <f>0</f>
        <v>0</v>
      </c>
      <c r="J185" s="13">
        <v>1.1000000000000001</v>
      </c>
      <c r="K185" s="14">
        <v>2</v>
      </c>
      <c r="L185" s="15">
        <v>1.7</v>
      </c>
      <c r="M185" s="13"/>
      <c r="N185" s="17"/>
      <c r="O185" s="15">
        <f>ROUND(C185*H185/1000,0)</f>
        <v>43</v>
      </c>
      <c r="P185" s="14">
        <f>ROUND(C185*H185/1000,0)</f>
        <v>43</v>
      </c>
      <c r="Q185" s="14">
        <f>ROUND(C185*H185/1000,0)</f>
        <v>43</v>
      </c>
      <c r="R185" s="14"/>
      <c r="S185" s="14"/>
      <c r="T185" s="18"/>
      <c r="U185" s="13"/>
      <c r="V185" s="17"/>
      <c r="W185" s="13">
        <f>ROUND(C185*K185,0)</f>
        <v>5706</v>
      </c>
      <c r="X185" s="13">
        <f t="shared" ref="X185" si="166">ROUND(C185*K185,0)</f>
        <v>5706</v>
      </c>
      <c r="Y185" s="13">
        <f>ROUND(C185*K185,0)</f>
        <v>5706</v>
      </c>
      <c r="Z185" s="14"/>
      <c r="AA185" s="15"/>
      <c r="AB185" s="23"/>
      <c r="AC185" s="17"/>
      <c r="AD185" s="17"/>
      <c r="AE185" s="13">
        <f>ROUND(O185*95,0)</f>
        <v>4085</v>
      </c>
      <c r="AF185" s="13">
        <f>ROUND(P185*95,0)</f>
        <v>4085</v>
      </c>
      <c r="AG185" s="13">
        <f>ROUND(Q185*95,0)</f>
        <v>4085</v>
      </c>
      <c r="AH185" s="14"/>
      <c r="AI185" s="14"/>
      <c r="AJ185" s="16"/>
      <c r="AK185" s="100"/>
      <c r="AL185" s="14"/>
      <c r="AM185" s="14">
        <f>W185+AE185</f>
        <v>9791</v>
      </c>
      <c r="AN185" s="14">
        <f>X185+AF185</f>
        <v>9791</v>
      </c>
      <c r="AO185" s="14">
        <f>Y185+AG185</f>
        <v>9791</v>
      </c>
      <c r="AP185" s="14"/>
      <c r="AQ185" s="14"/>
      <c r="AR185" s="1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  <c r="EF185" s="56"/>
      <c r="EG185" s="56"/>
      <c r="EH185" s="56"/>
      <c r="EI185" s="56"/>
      <c r="EJ185" s="56"/>
      <c r="EK185" s="56"/>
    </row>
    <row r="186" spans="1:141" ht="24.75" thickBot="1" x14ac:dyDescent="0.6">
      <c r="A186" s="883" t="s">
        <v>156</v>
      </c>
      <c r="B186" s="885">
        <f>SUM(B185)</f>
        <v>130</v>
      </c>
      <c r="C186" s="931">
        <f>SUM(C185)</f>
        <v>2853</v>
      </c>
      <c r="D186" s="887"/>
      <c r="E186" s="888"/>
      <c r="F186" s="888"/>
      <c r="G186" s="888"/>
      <c r="H186" s="888"/>
      <c r="I186" s="888"/>
      <c r="J186" s="888"/>
      <c r="K186" s="888"/>
      <c r="L186" s="889"/>
      <c r="M186" s="158">
        <f>SUM(M182:M184)</f>
        <v>0</v>
      </c>
      <c r="N186" s="158">
        <f>SUM(N182:N184)</f>
        <v>0</v>
      </c>
      <c r="O186" s="160">
        <f>SUM(O185)</f>
        <v>43</v>
      </c>
      <c r="P186" s="160">
        <f>SUM(P185)</f>
        <v>43</v>
      </c>
      <c r="Q186" s="160">
        <f>SUM(Q185)</f>
        <v>43</v>
      </c>
      <c r="R186" s="161">
        <f>SUM(R182:R184)</f>
        <v>0</v>
      </c>
      <c r="S186" s="161">
        <f>SUM(S182:S184)</f>
        <v>0</v>
      </c>
      <c r="T186" s="163">
        <f>SUM(T182:T184)</f>
        <v>0</v>
      </c>
      <c r="U186" s="158">
        <f>SUM(U182:U184)</f>
        <v>0</v>
      </c>
      <c r="V186" s="188">
        <f>V183+V182+V181</f>
        <v>0</v>
      </c>
      <c r="W186" s="157">
        <f>SUM(W185)</f>
        <v>5706</v>
      </c>
      <c r="X186" s="157">
        <f>SUM(X185)</f>
        <v>5706</v>
      </c>
      <c r="Y186" s="157">
        <f>SUM(Y185)</f>
        <v>5706</v>
      </c>
      <c r="Z186" s="164"/>
      <c r="AA186" s="164"/>
      <c r="AB186" s="164"/>
      <c r="AC186" s="157">
        <f>SUM(AC182:AC184)</f>
        <v>0</v>
      </c>
      <c r="AD186" s="157">
        <f>SUM(AD182:AD184)</f>
        <v>0</v>
      </c>
      <c r="AE186" s="166">
        <f>SUM(AE185)</f>
        <v>4085</v>
      </c>
      <c r="AF186" s="166">
        <f>SUM(AF185)</f>
        <v>4085</v>
      </c>
      <c r="AG186" s="166">
        <f>SUM(AG185)</f>
        <v>4085</v>
      </c>
      <c r="AH186" s="175">
        <f t="shared" ref="AH186" si="167">SUM(AH180:AH184)</f>
        <v>0</v>
      </c>
      <c r="AI186" s="175">
        <f t="shared" ref="AI186" si="168">SUM(AI180:AI184)</f>
        <v>0</v>
      </c>
      <c r="AJ186" s="175">
        <f t="shared" ref="AJ186" si="169">SUM(AJ180:AJ184)</f>
        <v>0</v>
      </c>
      <c r="AK186" s="165">
        <f>SUM(AK183:AK184)</f>
        <v>0</v>
      </c>
      <c r="AL186" s="165">
        <f>0</f>
        <v>0</v>
      </c>
      <c r="AM186" s="166">
        <f>SUM(AM185)</f>
        <v>9791</v>
      </c>
      <c r="AN186" s="166">
        <f t="shared" ref="AN186" si="170">SUM(AN185)</f>
        <v>9791</v>
      </c>
      <c r="AO186" s="166">
        <f t="shared" ref="AO186" si="171">SUM(AO185)</f>
        <v>9791</v>
      </c>
      <c r="AP186" s="175">
        <f>SUM(AP180:AP184)</f>
        <v>0</v>
      </c>
      <c r="AQ186" s="164"/>
      <c r="AR186" s="167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141" ht="27" thickBot="1" x14ac:dyDescent="0.75">
      <c r="A187" s="884"/>
      <c r="B187" s="886"/>
      <c r="C187" s="932"/>
      <c r="D187" s="890"/>
      <c r="E187" s="891"/>
      <c r="F187" s="891"/>
      <c r="G187" s="891"/>
      <c r="H187" s="891"/>
      <c r="I187" s="891"/>
      <c r="J187" s="891"/>
      <c r="K187" s="891"/>
      <c r="L187" s="892"/>
      <c r="M187" s="893">
        <f>M186+N186</f>
        <v>0</v>
      </c>
      <c r="N187" s="894">
        <f>M186+N186</f>
        <v>0</v>
      </c>
      <c r="O187" s="895">
        <f>+O186+P186+Q186</f>
        <v>129</v>
      </c>
      <c r="P187" s="896"/>
      <c r="Q187" s="897"/>
      <c r="R187" s="898">
        <f>+R186+S186+T186</f>
        <v>0</v>
      </c>
      <c r="S187" s="899"/>
      <c r="T187" s="900"/>
      <c r="U187" s="901">
        <f>U186+V186</f>
        <v>0</v>
      </c>
      <c r="V187" s="902"/>
      <c r="W187" s="903">
        <f>W186+X186+Y186</f>
        <v>17118</v>
      </c>
      <c r="X187" s="904"/>
      <c r="Y187" s="905"/>
      <c r="Z187" s="906">
        <f>Z186+AA186+AB186</f>
        <v>0</v>
      </c>
      <c r="AA187" s="907"/>
      <c r="AB187" s="908"/>
      <c r="AC187" s="909">
        <f>AC186+AD186</f>
        <v>0</v>
      </c>
      <c r="AD187" s="910">
        <f t="shared" ref="AD187" si="172">ROUND(N187*960,0)</f>
        <v>0</v>
      </c>
      <c r="AE187" s="911">
        <f>AE186+AF186+AG186</f>
        <v>12255</v>
      </c>
      <c r="AF187" s="912"/>
      <c r="AG187" s="913"/>
      <c r="AH187" s="914">
        <f>AH186+AI186+AJ186</f>
        <v>0</v>
      </c>
      <c r="AI187" s="915"/>
      <c r="AJ187" s="916"/>
      <c r="AK187" s="917">
        <f>AK186+AL186</f>
        <v>0</v>
      </c>
      <c r="AL187" s="918">
        <f t="shared" ref="AL187" si="173">V187+AD187</f>
        <v>0</v>
      </c>
      <c r="AM187" s="911">
        <f>AM186+AN186+AO186</f>
        <v>29373</v>
      </c>
      <c r="AN187" s="912"/>
      <c r="AO187" s="913"/>
      <c r="AP187" s="919">
        <f>AP186+AQ186+AR186</f>
        <v>0</v>
      </c>
      <c r="AQ187" s="920"/>
      <c r="AR187" s="92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141" s="180" customFormat="1" ht="39.950000000000003" customHeight="1" thickBot="1" x14ac:dyDescent="0.6">
      <c r="A188" s="922" t="s">
        <v>165</v>
      </c>
      <c r="B188" s="923"/>
      <c r="C188" s="923"/>
      <c r="D188" s="923"/>
      <c r="E188" s="923"/>
      <c r="F188" s="923"/>
      <c r="G188" s="923"/>
      <c r="H188" s="923"/>
      <c r="I188" s="923"/>
      <c r="J188" s="923"/>
      <c r="K188" s="923"/>
      <c r="L188" s="923"/>
      <c r="M188" s="923"/>
      <c r="N188" s="923"/>
      <c r="O188" s="923"/>
      <c r="P188" s="923"/>
      <c r="Q188" s="923"/>
      <c r="R188" s="923"/>
      <c r="S188" s="923"/>
      <c r="T188" s="923"/>
      <c r="U188" s="923"/>
      <c r="V188" s="923"/>
      <c r="W188" s="923"/>
      <c r="X188" s="923"/>
      <c r="Y188" s="923"/>
      <c r="Z188" s="923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923"/>
      <c r="AO188" s="923"/>
      <c r="AP188" s="923"/>
      <c r="AQ188" s="923"/>
      <c r="AR188" s="924"/>
      <c r="AS188" s="176"/>
      <c r="AT188" s="176"/>
      <c r="AU188" s="176"/>
      <c r="AV188" s="176"/>
      <c r="AW188" s="176"/>
      <c r="AX188" s="176"/>
      <c r="AY188" s="176"/>
      <c r="AZ188" s="176"/>
      <c r="BA188" s="176"/>
      <c r="BB188" s="176"/>
      <c r="BC188" s="176"/>
      <c r="BD188" s="176"/>
      <c r="BE188" s="176"/>
      <c r="BF188" s="176"/>
      <c r="BG188" s="176"/>
      <c r="BH188" s="176"/>
      <c r="BI188" s="176"/>
      <c r="BJ188" s="176"/>
      <c r="BK188" s="176"/>
      <c r="BL188" s="176"/>
      <c r="BM188" s="176"/>
      <c r="BN188" s="176"/>
      <c r="BO188" s="176"/>
      <c r="BP188" s="176"/>
      <c r="BQ188" s="176"/>
      <c r="BR188" s="176"/>
      <c r="BS188" s="176"/>
      <c r="BT188" s="176"/>
      <c r="BU188" s="176"/>
      <c r="BV188" s="176"/>
      <c r="BW188" s="176"/>
      <c r="BX188" s="176"/>
      <c r="BY188" s="176"/>
      <c r="BZ188" s="176"/>
      <c r="CA188" s="176"/>
      <c r="CB188" s="176"/>
      <c r="CC188" s="176"/>
      <c r="CD188" s="176"/>
      <c r="CE188" s="176"/>
      <c r="CF188" s="176"/>
      <c r="CG188" s="176"/>
      <c r="CH188" s="176"/>
      <c r="CI188" s="176"/>
      <c r="CJ188" s="176"/>
      <c r="CK188" s="176"/>
      <c r="CL188" s="176"/>
      <c r="CM188" s="176"/>
      <c r="CN188" s="176"/>
      <c r="CO188" s="176"/>
      <c r="CP188" s="176"/>
      <c r="CQ188" s="176"/>
      <c r="CR188" s="176"/>
      <c r="CS188" s="176"/>
      <c r="CT188" s="176"/>
      <c r="CU188" s="176"/>
      <c r="CV188" s="176"/>
      <c r="CW188" s="176"/>
      <c r="CX188" s="176"/>
      <c r="CY188" s="176"/>
      <c r="CZ188" s="176"/>
      <c r="DA188" s="176"/>
      <c r="DB188" s="176"/>
      <c r="DC188" s="176"/>
      <c r="DD188" s="176"/>
      <c r="DE188" s="176"/>
      <c r="DF188" s="176"/>
      <c r="DG188" s="176"/>
      <c r="DH188" s="176"/>
      <c r="DI188" s="176"/>
      <c r="DJ188" s="176"/>
      <c r="DK188" s="176"/>
      <c r="DL188" s="176"/>
      <c r="DM188" s="176"/>
      <c r="DN188" s="176"/>
      <c r="DO188" s="176"/>
      <c r="DP188" s="176"/>
      <c r="DQ188" s="176"/>
      <c r="DR188" s="176"/>
      <c r="DS188" s="176"/>
      <c r="DT188" s="176"/>
      <c r="DU188" s="176"/>
      <c r="DV188" s="176"/>
      <c r="DW188" s="176"/>
      <c r="DX188" s="176"/>
      <c r="DY188" s="176"/>
      <c r="DZ188" s="176"/>
      <c r="EA188" s="176"/>
      <c r="EB188" s="176"/>
      <c r="EC188" s="176"/>
      <c r="ED188" s="176"/>
      <c r="EE188" s="176"/>
      <c r="EF188" s="176"/>
      <c r="EG188" s="176"/>
      <c r="EH188" s="176"/>
      <c r="EI188" s="176"/>
      <c r="EJ188" s="176"/>
      <c r="EK188" s="176"/>
    </row>
    <row r="189" spans="1:141" s="213" customFormat="1" ht="39.950000000000003" customHeight="1" thickBot="1" x14ac:dyDescent="0.6">
      <c r="A189" s="1073" t="s">
        <v>27</v>
      </c>
      <c r="B189" s="1074"/>
      <c r="C189" s="1074"/>
      <c r="D189" s="1074"/>
      <c r="E189" s="1074"/>
      <c r="F189" s="1074"/>
      <c r="G189" s="1074"/>
      <c r="H189" s="1074"/>
      <c r="I189" s="1074"/>
      <c r="J189" s="1074"/>
      <c r="K189" s="1074"/>
      <c r="L189" s="1074"/>
      <c r="M189" s="1074"/>
      <c r="N189" s="1074"/>
      <c r="O189" s="1074"/>
      <c r="P189" s="1074"/>
      <c r="Q189" s="1074"/>
      <c r="R189" s="1074"/>
      <c r="S189" s="1074"/>
      <c r="T189" s="1074"/>
      <c r="U189" s="1074"/>
      <c r="V189" s="1074"/>
      <c r="W189" s="1074"/>
      <c r="X189" s="1074"/>
      <c r="Y189" s="1074"/>
      <c r="Z189" s="1074"/>
      <c r="AA189" s="1074"/>
      <c r="AB189" s="1074"/>
      <c r="AC189" s="1074"/>
      <c r="AD189" s="1074"/>
      <c r="AE189" s="1074"/>
      <c r="AF189" s="1074"/>
      <c r="AG189" s="1074"/>
      <c r="AH189" s="1074"/>
      <c r="AI189" s="1074"/>
      <c r="AJ189" s="1074"/>
      <c r="AK189" s="1074"/>
      <c r="AL189" s="1074"/>
      <c r="AM189" s="1074"/>
      <c r="AN189" s="1074"/>
      <c r="AO189" s="1074"/>
      <c r="AP189" s="1074"/>
      <c r="AQ189" s="1074"/>
      <c r="AR189" s="1074"/>
      <c r="AS189" s="212"/>
      <c r="AT189" s="212"/>
      <c r="AU189" s="212"/>
      <c r="AV189" s="212"/>
      <c r="AW189" s="212"/>
      <c r="AX189" s="212"/>
      <c r="AY189" s="212"/>
      <c r="AZ189" s="212"/>
      <c r="BA189" s="212"/>
      <c r="BB189" s="212"/>
      <c r="BC189" s="212"/>
      <c r="BD189" s="212"/>
      <c r="BE189" s="212"/>
      <c r="BF189" s="212"/>
      <c r="BG189" s="212"/>
      <c r="BH189" s="212"/>
      <c r="BI189" s="212"/>
      <c r="BJ189" s="212"/>
      <c r="BK189" s="212"/>
      <c r="BL189" s="212"/>
      <c r="BM189" s="212"/>
      <c r="BN189" s="212"/>
      <c r="BO189" s="212"/>
      <c r="BP189" s="212"/>
      <c r="BQ189" s="212"/>
      <c r="BR189" s="212"/>
      <c r="BS189" s="212"/>
      <c r="BT189" s="212"/>
      <c r="BU189" s="212"/>
      <c r="BV189" s="212"/>
      <c r="BW189" s="212"/>
      <c r="BX189" s="212"/>
      <c r="BY189" s="212"/>
      <c r="BZ189" s="212"/>
      <c r="CA189" s="212"/>
      <c r="CB189" s="212"/>
      <c r="CC189" s="212"/>
      <c r="CD189" s="212"/>
      <c r="CE189" s="212"/>
      <c r="CF189" s="212"/>
      <c r="CG189" s="212"/>
      <c r="CH189" s="212"/>
      <c r="CI189" s="212"/>
      <c r="CJ189" s="212"/>
      <c r="CK189" s="212"/>
      <c r="CL189" s="212"/>
      <c r="CM189" s="212"/>
      <c r="CN189" s="212"/>
      <c r="CO189" s="212"/>
      <c r="CP189" s="212"/>
      <c r="CQ189" s="212"/>
      <c r="CR189" s="212"/>
      <c r="CS189" s="212"/>
      <c r="CT189" s="212"/>
      <c r="CU189" s="212"/>
      <c r="CV189" s="212"/>
      <c r="CW189" s="212"/>
      <c r="CX189" s="212"/>
      <c r="CY189" s="212"/>
      <c r="CZ189" s="212"/>
      <c r="DA189" s="212"/>
      <c r="DB189" s="212"/>
      <c r="DC189" s="212"/>
      <c r="DD189" s="212"/>
      <c r="DE189" s="212"/>
      <c r="DF189" s="212"/>
      <c r="DG189" s="212"/>
      <c r="DH189" s="212"/>
      <c r="DI189" s="212"/>
      <c r="DJ189" s="212"/>
      <c r="DK189" s="212"/>
      <c r="DL189" s="212"/>
      <c r="DM189" s="212"/>
      <c r="DN189" s="212"/>
      <c r="DO189" s="212"/>
      <c r="DP189" s="212"/>
      <c r="DQ189" s="212"/>
      <c r="DR189" s="212"/>
      <c r="DS189" s="212"/>
      <c r="DT189" s="212"/>
      <c r="DU189" s="212"/>
      <c r="DV189" s="212"/>
      <c r="DW189" s="212"/>
      <c r="DX189" s="212"/>
      <c r="DY189" s="212"/>
      <c r="DZ189" s="212"/>
      <c r="EA189" s="212"/>
      <c r="EB189" s="212"/>
      <c r="EC189" s="212"/>
      <c r="ED189" s="212"/>
      <c r="EE189" s="212"/>
      <c r="EF189" s="212"/>
      <c r="EG189" s="212"/>
      <c r="EH189" s="212"/>
      <c r="EI189" s="212"/>
      <c r="EJ189" s="212"/>
      <c r="EK189" s="212"/>
    </row>
    <row r="190" spans="1:141" s="88" customFormat="1" x14ac:dyDescent="0.55000000000000004">
      <c r="A190" s="112" t="s">
        <v>160</v>
      </c>
      <c r="B190" s="113">
        <v>115</v>
      </c>
      <c r="C190" s="114">
        <v>2531</v>
      </c>
      <c r="D190" s="7">
        <v>0</v>
      </c>
      <c r="E190" s="8">
        <v>3</v>
      </c>
      <c r="F190" s="8">
        <v>0</v>
      </c>
      <c r="G190" s="101">
        <f>0</f>
        <v>0</v>
      </c>
      <c r="H190" s="8">
        <v>15</v>
      </c>
      <c r="I190" s="102">
        <f>0</f>
        <v>0</v>
      </c>
      <c r="J190" s="101">
        <v>1.1000000000000001</v>
      </c>
      <c r="K190" s="8">
        <v>2</v>
      </c>
      <c r="L190" s="103">
        <v>1.7</v>
      </c>
      <c r="M190" s="82"/>
      <c r="N190" s="22"/>
      <c r="O190" s="202">
        <f>ROUND(C190*H190/1000,0)</f>
        <v>38</v>
      </c>
      <c r="P190" s="52">
        <f>ROUND(C190*H190/1000,0)</f>
        <v>38</v>
      </c>
      <c r="Q190" s="52">
        <f>ROUND(C190*H190/1000,0)</f>
        <v>38</v>
      </c>
      <c r="R190" s="52"/>
      <c r="S190" s="52"/>
      <c r="T190" s="86"/>
      <c r="U190" s="82"/>
      <c r="V190" s="22"/>
      <c r="W190" s="197">
        <f>ROUND(C190*K190,0)</f>
        <v>5062</v>
      </c>
      <c r="X190" s="52">
        <f t="shared" ref="X190:X193" si="174">ROUND(C190*K190,0)</f>
        <v>5062</v>
      </c>
      <c r="Y190" s="52">
        <f t="shared" ref="Y190:Y193" si="175">ROUND(C190*K190,0)</f>
        <v>5062</v>
      </c>
      <c r="Z190" s="82"/>
      <c r="AA190" s="82"/>
      <c r="AB190" s="140"/>
      <c r="AC190" s="22"/>
      <c r="AD190" s="22"/>
      <c r="AE190" s="197">
        <f>ROUND(O190*95,0)</f>
        <v>3610</v>
      </c>
      <c r="AF190" s="52">
        <f>ROUND(P190*95,0)</f>
        <v>3610</v>
      </c>
      <c r="AG190" s="52">
        <f t="shared" ref="AG190:AG193" si="176">ROUND(Q190*95,0)</f>
        <v>3610</v>
      </c>
      <c r="AH190" s="13"/>
      <c r="AI190" s="13"/>
      <c r="AJ190" s="71"/>
      <c r="AK190" s="170"/>
      <c r="AL190" s="52"/>
      <c r="AM190" s="200">
        <f>W190+AE190</f>
        <v>8672</v>
      </c>
      <c r="AN190" s="52">
        <f t="shared" ref="AN190:AN193" si="177">X190+AF190</f>
        <v>8672</v>
      </c>
      <c r="AO190" s="52">
        <f t="shared" ref="AO190:AO193" si="178">Y190+AG190</f>
        <v>8672</v>
      </c>
      <c r="AP190" s="14"/>
      <c r="AQ190" s="14"/>
      <c r="AR190" s="40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  <c r="BN190" s="56"/>
      <c r="BO190" s="56"/>
      <c r="BP190" s="56"/>
      <c r="BQ190" s="56"/>
      <c r="BR190" s="56"/>
      <c r="BS190" s="56"/>
      <c r="BT190" s="56"/>
      <c r="BU190" s="56"/>
      <c r="BV190" s="56"/>
      <c r="BW190" s="56"/>
      <c r="BX190" s="56"/>
      <c r="BY190" s="56"/>
      <c r="BZ190" s="56"/>
      <c r="CA190" s="56"/>
      <c r="CB190" s="56"/>
      <c r="CC190" s="56"/>
      <c r="CD190" s="56"/>
      <c r="CE190" s="56"/>
      <c r="CF190" s="56"/>
      <c r="CG190" s="56"/>
      <c r="CH190" s="56"/>
      <c r="CI190" s="56"/>
      <c r="CJ190" s="56"/>
      <c r="CK190" s="56"/>
      <c r="CL190" s="56"/>
      <c r="CM190" s="56"/>
      <c r="CN190" s="56"/>
      <c r="CO190" s="56"/>
      <c r="CP190" s="56"/>
      <c r="CQ190" s="56"/>
      <c r="CR190" s="56"/>
      <c r="CS190" s="56"/>
      <c r="CT190" s="56"/>
      <c r="CU190" s="56"/>
      <c r="CV190" s="56"/>
      <c r="CW190" s="56"/>
      <c r="CX190" s="56"/>
      <c r="CY190" s="56"/>
      <c r="CZ190" s="56"/>
      <c r="DA190" s="56"/>
      <c r="DB190" s="56"/>
      <c r="DC190" s="56"/>
      <c r="DD190" s="56"/>
      <c r="DE190" s="56"/>
      <c r="DF190" s="56"/>
      <c r="DG190" s="56"/>
      <c r="DH190" s="56"/>
      <c r="DI190" s="56"/>
      <c r="DJ190" s="56"/>
      <c r="DK190" s="56"/>
      <c r="DL190" s="56"/>
      <c r="DM190" s="56"/>
      <c r="DN190" s="56"/>
      <c r="DO190" s="56"/>
      <c r="DP190" s="56"/>
      <c r="DQ190" s="56"/>
      <c r="DR190" s="56"/>
      <c r="DS190" s="56"/>
      <c r="DT190" s="56"/>
      <c r="DU190" s="56"/>
      <c r="DV190" s="56"/>
      <c r="DW190" s="56"/>
      <c r="DX190" s="56"/>
      <c r="DY190" s="56"/>
      <c r="DZ190" s="56"/>
      <c r="EA190" s="56"/>
      <c r="EB190" s="56"/>
      <c r="EC190" s="56"/>
      <c r="ED190" s="56"/>
      <c r="EE190" s="56"/>
      <c r="EF190" s="56"/>
      <c r="EG190" s="56"/>
      <c r="EH190" s="56"/>
      <c r="EI190" s="56"/>
      <c r="EJ190" s="56"/>
      <c r="EK190" s="56"/>
    </row>
    <row r="191" spans="1:141" s="88" customFormat="1" x14ac:dyDescent="0.55000000000000004">
      <c r="A191" s="112" t="s">
        <v>161</v>
      </c>
      <c r="B191" s="115">
        <v>127</v>
      </c>
      <c r="C191" s="116">
        <v>2803</v>
      </c>
      <c r="D191" s="22">
        <v>0</v>
      </c>
      <c r="E191" s="52">
        <v>3</v>
      </c>
      <c r="F191" s="52">
        <v>0</v>
      </c>
      <c r="G191" s="82">
        <f>0</f>
        <v>0</v>
      </c>
      <c r="H191" s="52">
        <v>15</v>
      </c>
      <c r="I191" s="87">
        <f>0</f>
        <v>0</v>
      </c>
      <c r="J191" s="82">
        <v>1.1000000000000001</v>
      </c>
      <c r="K191" s="52">
        <v>2</v>
      </c>
      <c r="L191" s="84">
        <v>1.7</v>
      </c>
      <c r="M191" s="82"/>
      <c r="N191" s="22"/>
      <c r="O191" s="202">
        <f>ROUND(C191*H191/1000,0)</f>
        <v>42</v>
      </c>
      <c r="P191" s="52">
        <f t="shared" ref="P191:P193" si="179">ROUND(C191*H191/1000,0)</f>
        <v>42</v>
      </c>
      <c r="Q191" s="52">
        <f t="shared" ref="Q191:Q193" si="180">ROUND(C191*H191/1000,0)</f>
        <v>42</v>
      </c>
      <c r="R191" s="52"/>
      <c r="S191" s="52"/>
      <c r="T191" s="86"/>
      <c r="U191" s="82"/>
      <c r="V191" s="22"/>
      <c r="W191" s="197">
        <f>ROUND(C191*K191,0)</f>
        <v>5606</v>
      </c>
      <c r="X191" s="52">
        <f t="shared" si="174"/>
        <v>5606</v>
      </c>
      <c r="Y191" s="52">
        <f t="shared" si="175"/>
        <v>5606</v>
      </c>
      <c r="Z191" s="82"/>
      <c r="AA191" s="82"/>
      <c r="AB191" s="140"/>
      <c r="AC191" s="22"/>
      <c r="AD191" s="22"/>
      <c r="AE191" s="197">
        <f t="shared" ref="AE191:AE193" si="181">ROUND(O191*95,0)</f>
        <v>3990</v>
      </c>
      <c r="AF191" s="52">
        <f t="shared" ref="AF191:AF193" si="182">ROUND(P191*95,0)</f>
        <v>3990</v>
      </c>
      <c r="AG191" s="52">
        <f t="shared" si="176"/>
        <v>3990</v>
      </c>
      <c r="AH191" s="13"/>
      <c r="AI191" s="13"/>
      <c r="AJ191" s="71"/>
      <c r="AK191" s="170"/>
      <c r="AL191" s="52"/>
      <c r="AM191" s="200">
        <f>W191+AE191</f>
        <v>9596</v>
      </c>
      <c r="AN191" s="52">
        <f t="shared" si="177"/>
        <v>9596</v>
      </c>
      <c r="AO191" s="52">
        <f t="shared" si="178"/>
        <v>9596</v>
      </c>
      <c r="AP191" s="14"/>
      <c r="AQ191" s="14"/>
      <c r="AR191" s="40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  <c r="BN191" s="56"/>
      <c r="BO191" s="56"/>
      <c r="BP191" s="56"/>
      <c r="BQ191" s="56"/>
      <c r="BR191" s="56"/>
      <c r="BS191" s="56"/>
      <c r="BT191" s="56"/>
      <c r="BU191" s="56"/>
      <c r="BV191" s="56"/>
      <c r="BW191" s="56"/>
      <c r="BX191" s="56"/>
      <c r="BY191" s="56"/>
      <c r="BZ191" s="56"/>
      <c r="CA191" s="56"/>
      <c r="CB191" s="56"/>
      <c r="CC191" s="56"/>
      <c r="CD191" s="56"/>
      <c r="CE191" s="56"/>
      <c r="CF191" s="56"/>
      <c r="CG191" s="56"/>
      <c r="CH191" s="56"/>
      <c r="CI191" s="56"/>
      <c r="CJ191" s="56"/>
      <c r="CK191" s="56"/>
      <c r="CL191" s="56"/>
      <c r="CM191" s="56"/>
      <c r="CN191" s="56"/>
      <c r="CO191" s="56"/>
      <c r="CP191" s="56"/>
      <c r="CQ191" s="56"/>
      <c r="CR191" s="56"/>
      <c r="CS191" s="56"/>
      <c r="CT191" s="56"/>
      <c r="CU191" s="56"/>
      <c r="CV191" s="56"/>
      <c r="CW191" s="56"/>
      <c r="CX191" s="56"/>
      <c r="CY191" s="56"/>
      <c r="CZ191" s="56"/>
      <c r="DA191" s="56"/>
      <c r="DB191" s="56"/>
      <c r="DC191" s="56"/>
      <c r="DD191" s="56"/>
      <c r="DE191" s="56"/>
      <c r="DF191" s="56"/>
      <c r="DG191" s="56"/>
      <c r="DH191" s="56"/>
      <c r="DI191" s="56"/>
      <c r="DJ191" s="56"/>
      <c r="DK191" s="56"/>
      <c r="DL191" s="56"/>
      <c r="DM191" s="56"/>
      <c r="DN191" s="56"/>
      <c r="DO191" s="56"/>
      <c r="DP191" s="56"/>
      <c r="DQ191" s="56"/>
      <c r="DR191" s="56"/>
      <c r="DS191" s="56"/>
      <c r="DT191" s="56"/>
      <c r="DU191" s="56"/>
      <c r="DV191" s="56"/>
      <c r="DW191" s="56"/>
      <c r="DX191" s="56"/>
      <c r="DY191" s="56"/>
      <c r="DZ191" s="56"/>
      <c r="EA191" s="56"/>
      <c r="EB191" s="56"/>
      <c r="EC191" s="56"/>
      <c r="ED191" s="56"/>
      <c r="EE191" s="56"/>
      <c r="EF191" s="56"/>
      <c r="EG191" s="56"/>
      <c r="EH191" s="56"/>
      <c r="EI191" s="56"/>
      <c r="EJ191" s="56"/>
      <c r="EK191" s="56"/>
    </row>
    <row r="192" spans="1:141" s="88" customFormat="1" x14ac:dyDescent="0.55000000000000004">
      <c r="A192" s="112" t="s">
        <v>162</v>
      </c>
      <c r="B192" s="115">
        <v>128</v>
      </c>
      <c r="C192" s="116">
        <v>2819</v>
      </c>
      <c r="D192" s="22">
        <v>0</v>
      </c>
      <c r="E192" s="52">
        <v>3</v>
      </c>
      <c r="F192" s="52">
        <v>0</v>
      </c>
      <c r="G192" s="82">
        <f>0</f>
        <v>0</v>
      </c>
      <c r="H192" s="52">
        <v>15</v>
      </c>
      <c r="I192" s="87">
        <f>0</f>
        <v>0</v>
      </c>
      <c r="J192" s="82">
        <v>1.1000000000000001</v>
      </c>
      <c r="K192" s="52">
        <v>2</v>
      </c>
      <c r="L192" s="84">
        <v>1.7</v>
      </c>
      <c r="M192" s="82"/>
      <c r="N192" s="22"/>
      <c r="O192" s="202">
        <f>ROUND(C192*H192/1000,0)</f>
        <v>42</v>
      </c>
      <c r="P192" s="52">
        <f t="shared" si="179"/>
        <v>42</v>
      </c>
      <c r="Q192" s="52">
        <f t="shared" si="180"/>
        <v>42</v>
      </c>
      <c r="R192" s="52"/>
      <c r="S192" s="52"/>
      <c r="T192" s="86"/>
      <c r="U192" s="82"/>
      <c r="V192" s="22"/>
      <c r="W192" s="197">
        <f>ROUND(C192*K192,0)</f>
        <v>5638</v>
      </c>
      <c r="X192" s="52">
        <f t="shared" si="174"/>
        <v>5638</v>
      </c>
      <c r="Y192" s="52">
        <f>ROUND(C192*K192,0)</f>
        <v>5638</v>
      </c>
      <c r="Z192" s="82"/>
      <c r="AA192" s="82"/>
      <c r="AB192" s="140"/>
      <c r="AC192" s="22"/>
      <c r="AD192" s="22"/>
      <c r="AE192" s="197">
        <f t="shared" si="181"/>
        <v>3990</v>
      </c>
      <c r="AF192" s="52">
        <f t="shared" si="182"/>
        <v>3990</v>
      </c>
      <c r="AG192" s="52">
        <f>ROUND(Q192*95,0)</f>
        <v>3990</v>
      </c>
      <c r="AH192" s="13"/>
      <c r="AI192" s="13"/>
      <c r="AJ192" s="71"/>
      <c r="AK192" s="170"/>
      <c r="AL192" s="52"/>
      <c r="AM192" s="200">
        <f t="shared" ref="AM192:AM193" si="183">W192+AE192</f>
        <v>9628</v>
      </c>
      <c r="AN192" s="52">
        <f t="shared" si="177"/>
        <v>9628</v>
      </c>
      <c r="AO192" s="52">
        <f t="shared" si="178"/>
        <v>9628</v>
      </c>
      <c r="AP192" s="14"/>
      <c r="AQ192" s="14"/>
      <c r="AR192" s="40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  <c r="BN192" s="56"/>
      <c r="BO192" s="56"/>
      <c r="BP192" s="56"/>
      <c r="BQ192" s="56"/>
      <c r="BR192" s="56"/>
      <c r="BS192" s="56"/>
      <c r="BT192" s="56"/>
      <c r="BU192" s="56"/>
      <c r="BV192" s="56"/>
      <c r="BW192" s="56"/>
      <c r="BX192" s="56"/>
      <c r="BY192" s="56"/>
      <c r="BZ192" s="56"/>
      <c r="CA192" s="56"/>
      <c r="CB192" s="56"/>
      <c r="CC192" s="56"/>
      <c r="CD192" s="56"/>
      <c r="CE192" s="56"/>
      <c r="CF192" s="56"/>
      <c r="CG192" s="56"/>
      <c r="CH192" s="56"/>
      <c r="CI192" s="56"/>
      <c r="CJ192" s="56"/>
      <c r="CK192" s="56"/>
      <c r="CL192" s="56"/>
      <c r="CM192" s="56"/>
      <c r="CN192" s="56"/>
      <c r="CO192" s="56"/>
      <c r="CP192" s="56"/>
      <c r="CQ192" s="56"/>
      <c r="CR192" s="56"/>
      <c r="CS192" s="56"/>
      <c r="CT192" s="56"/>
      <c r="CU192" s="56"/>
      <c r="CV192" s="56"/>
      <c r="CW192" s="56"/>
      <c r="CX192" s="56"/>
      <c r="CY192" s="56"/>
      <c r="CZ192" s="56"/>
      <c r="DA192" s="56"/>
      <c r="DB192" s="56"/>
      <c r="DC192" s="56"/>
      <c r="DD192" s="56"/>
      <c r="DE192" s="56"/>
      <c r="DF192" s="56"/>
      <c r="DG192" s="56"/>
      <c r="DH192" s="56"/>
      <c r="DI192" s="56"/>
      <c r="DJ192" s="56"/>
      <c r="DK192" s="56"/>
      <c r="DL192" s="56"/>
      <c r="DM192" s="56"/>
      <c r="DN192" s="56"/>
      <c r="DO192" s="56"/>
      <c r="DP192" s="56"/>
      <c r="DQ192" s="56"/>
      <c r="DR192" s="56"/>
      <c r="DS192" s="56"/>
      <c r="DT192" s="56"/>
      <c r="DU192" s="56"/>
      <c r="DV192" s="56"/>
      <c r="DW192" s="56"/>
      <c r="DX192" s="56"/>
      <c r="DY192" s="56"/>
      <c r="DZ192" s="56"/>
      <c r="EA192" s="56"/>
      <c r="EB192" s="56"/>
      <c r="EC192" s="56"/>
      <c r="ED192" s="56"/>
      <c r="EE192" s="56"/>
      <c r="EF192" s="56"/>
      <c r="EG192" s="56"/>
      <c r="EH192" s="56"/>
      <c r="EI192" s="56"/>
      <c r="EJ192" s="56"/>
      <c r="EK192" s="56"/>
    </row>
    <row r="193" spans="1:16384" s="88" customFormat="1" ht="24.75" thickBot="1" x14ac:dyDescent="0.6">
      <c r="A193" s="112" t="s">
        <v>163</v>
      </c>
      <c r="B193" s="115">
        <v>122</v>
      </c>
      <c r="C193" s="116">
        <v>2687</v>
      </c>
      <c r="D193" s="22">
        <v>0</v>
      </c>
      <c r="E193" s="52">
        <v>3</v>
      </c>
      <c r="F193" s="52">
        <v>0</v>
      </c>
      <c r="G193" s="82">
        <f>0</f>
        <v>0</v>
      </c>
      <c r="H193" s="52">
        <v>15</v>
      </c>
      <c r="I193" s="87">
        <f>0</f>
        <v>0</v>
      </c>
      <c r="J193" s="82">
        <v>1.1000000000000001</v>
      </c>
      <c r="K193" s="52">
        <v>2</v>
      </c>
      <c r="L193" s="84">
        <v>1.7</v>
      </c>
      <c r="M193" s="82"/>
      <c r="N193" s="22"/>
      <c r="O193" s="202">
        <f>ROUND(C193*H193/1000,0)</f>
        <v>40</v>
      </c>
      <c r="P193" s="52">
        <f t="shared" si="179"/>
        <v>40</v>
      </c>
      <c r="Q193" s="52">
        <f t="shared" si="180"/>
        <v>40</v>
      </c>
      <c r="R193" s="52"/>
      <c r="S193" s="52"/>
      <c r="T193" s="86"/>
      <c r="U193" s="82"/>
      <c r="V193" s="22"/>
      <c r="W193" s="197">
        <f>ROUND(C193*K193,0)</f>
        <v>5374</v>
      </c>
      <c r="X193" s="52">
        <f t="shared" si="174"/>
        <v>5374</v>
      </c>
      <c r="Y193" s="52">
        <f t="shared" si="175"/>
        <v>5374</v>
      </c>
      <c r="Z193" s="82"/>
      <c r="AA193" s="82"/>
      <c r="AB193" s="140"/>
      <c r="AC193" s="22"/>
      <c r="AD193" s="22"/>
      <c r="AE193" s="197">
        <f t="shared" si="181"/>
        <v>3800</v>
      </c>
      <c r="AF193" s="52">
        <f t="shared" si="182"/>
        <v>3800</v>
      </c>
      <c r="AG193" s="52">
        <f t="shared" si="176"/>
        <v>3800</v>
      </c>
      <c r="AH193" s="13"/>
      <c r="AI193" s="13"/>
      <c r="AJ193" s="71"/>
      <c r="AK193" s="170"/>
      <c r="AL193" s="52"/>
      <c r="AM193" s="200">
        <f t="shared" si="183"/>
        <v>9174</v>
      </c>
      <c r="AN193" s="52">
        <f t="shared" si="177"/>
        <v>9174</v>
      </c>
      <c r="AO193" s="52">
        <f t="shared" si="178"/>
        <v>9174</v>
      </c>
      <c r="AP193" s="14"/>
      <c r="AQ193" s="14"/>
      <c r="AR193" s="40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  <c r="BN193" s="56"/>
      <c r="BO193" s="56"/>
      <c r="BP193" s="56"/>
      <c r="BQ193" s="56"/>
      <c r="BR193" s="56"/>
      <c r="BS193" s="56"/>
      <c r="BT193" s="56"/>
      <c r="BU193" s="56"/>
      <c r="BV193" s="56"/>
      <c r="BW193" s="56"/>
      <c r="BX193" s="56"/>
      <c r="BY193" s="56"/>
      <c r="BZ193" s="56"/>
      <c r="CA193" s="56"/>
      <c r="CB193" s="56"/>
      <c r="CC193" s="56"/>
      <c r="CD193" s="56"/>
      <c r="CE193" s="56"/>
      <c r="CF193" s="56"/>
      <c r="CG193" s="56"/>
      <c r="CH193" s="56"/>
      <c r="CI193" s="56"/>
      <c r="CJ193" s="56"/>
      <c r="CK193" s="56"/>
      <c r="CL193" s="56"/>
      <c r="CM193" s="56"/>
      <c r="CN193" s="56"/>
      <c r="CO193" s="56"/>
      <c r="CP193" s="56"/>
      <c r="CQ193" s="56"/>
      <c r="CR193" s="56"/>
      <c r="CS193" s="56"/>
      <c r="CT193" s="56"/>
      <c r="CU193" s="56"/>
      <c r="CV193" s="56"/>
      <c r="CW193" s="56"/>
      <c r="CX193" s="56"/>
      <c r="CY193" s="56"/>
      <c r="CZ193" s="56"/>
      <c r="DA193" s="56"/>
      <c r="DB193" s="56"/>
      <c r="DC193" s="56"/>
      <c r="DD193" s="56"/>
      <c r="DE193" s="56"/>
      <c r="DF193" s="56"/>
      <c r="DG193" s="56"/>
      <c r="DH193" s="56"/>
      <c r="DI193" s="56"/>
      <c r="DJ193" s="56"/>
      <c r="DK193" s="56"/>
      <c r="DL193" s="56"/>
      <c r="DM193" s="56"/>
      <c r="DN193" s="56"/>
      <c r="DO193" s="56"/>
      <c r="DP193" s="56"/>
      <c r="DQ193" s="56"/>
      <c r="DR193" s="56"/>
      <c r="DS193" s="56"/>
      <c r="DT193" s="56"/>
      <c r="DU193" s="56"/>
      <c r="DV193" s="56"/>
      <c r="DW193" s="56"/>
      <c r="DX193" s="56"/>
      <c r="DY193" s="56"/>
      <c r="DZ193" s="56"/>
      <c r="EA193" s="56"/>
      <c r="EB193" s="56"/>
      <c r="EC193" s="56"/>
      <c r="ED193" s="56"/>
      <c r="EE193" s="56"/>
      <c r="EF193" s="56"/>
      <c r="EG193" s="56"/>
      <c r="EH193" s="56"/>
      <c r="EI193" s="56"/>
      <c r="EJ193" s="56"/>
      <c r="EK193" s="56"/>
    </row>
    <row r="194" spans="1:16384" ht="24.75" thickBot="1" x14ac:dyDescent="0.6">
      <c r="A194" s="883" t="s">
        <v>159</v>
      </c>
      <c r="B194" s="885">
        <f>SUM(B190:B193)</f>
        <v>492</v>
      </c>
      <c r="C194" s="885">
        <f>SUM(C190:C193)</f>
        <v>10840</v>
      </c>
      <c r="D194" s="887"/>
      <c r="E194" s="888"/>
      <c r="F194" s="888"/>
      <c r="G194" s="888"/>
      <c r="H194" s="888"/>
      <c r="I194" s="888"/>
      <c r="J194" s="888"/>
      <c r="K194" s="888"/>
      <c r="L194" s="889"/>
      <c r="M194" s="158">
        <f>SUM(M190:M192)</f>
        <v>0</v>
      </c>
      <c r="N194" s="158">
        <f>SUM(N190:N192)</f>
        <v>0</v>
      </c>
      <c r="O194" s="160">
        <f>SUM(O190:O193)</f>
        <v>162</v>
      </c>
      <c r="P194" s="160">
        <f t="shared" ref="P194:Q194" si="184">SUM(P190:P193)</f>
        <v>162</v>
      </c>
      <c r="Q194" s="160">
        <f t="shared" si="184"/>
        <v>162</v>
      </c>
      <c r="R194" s="161">
        <f>SUM(R190:R192)</f>
        <v>0</v>
      </c>
      <c r="S194" s="161">
        <f>SUM(S190:S192)</f>
        <v>0</v>
      </c>
      <c r="T194" s="163">
        <f>SUM(T190:T192)</f>
        <v>0</v>
      </c>
      <c r="U194" s="158">
        <f>SUM(U190:U192)</f>
        <v>0</v>
      </c>
      <c r="V194" s="188">
        <f>V191+V190+V189</f>
        <v>0</v>
      </c>
      <c r="W194" s="157">
        <f>SUM(W190:W193)</f>
        <v>21680</v>
      </c>
      <c r="X194" s="157">
        <f>SUM(X190:X193)</f>
        <v>21680</v>
      </c>
      <c r="Y194" s="157">
        <f>SUM(Y190:Y193)</f>
        <v>21680</v>
      </c>
      <c r="Z194" s="164" t="s">
        <v>164</v>
      </c>
      <c r="AA194" s="164"/>
      <c r="AB194" s="164"/>
      <c r="AC194" s="157">
        <f>SUM(AC190:AC192)</f>
        <v>0</v>
      </c>
      <c r="AD194" s="157">
        <f>SUM(AD190:AD192)</f>
        <v>0</v>
      </c>
      <c r="AE194" s="166">
        <f>SUM(AE193)</f>
        <v>3800</v>
      </c>
      <c r="AF194" s="166">
        <f>SUM(AF193)</f>
        <v>3800</v>
      </c>
      <c r="AG194" s="166">
        <f>SUM(AG193)</f>
        <v>3800</v>
      </c>
      <c r="AH194" s="175">
        <f>SUM(AH189:AH192)</f>
        <v>0</v>
      </c>
      <c r="AI194" s="175">
        <f>SUM(AI189:AI192)</f>
        <v>0</v>
      </c>
      <c r="AJ194" s="175">
        <f>SUM(AJ189:AJ192)</f>
        <v>0</v>
      </c>
      <c r="AK194" s="165">
        <f>SUM(AK191:AK192)</f>
        <v>0</v>
      </c>
      <c r="AL194" s="165">
        <f>0</f>
        <v>0</v>
      </c>
      <c r="AM194" s="166">
        <f>SUM(AM190:AM193)</f>
        <v>37070</v>
      </c>
      <c r="AN194" s="166">
        <f>SUM(AN190:AN193)</f>
        <v>37070</v>
      </c>
      <c r="AO194" s="166">
        <f>SUM(AO190:AO193)</f>
        <v>37070</v>
      </c>
      <c r="AP194" s="175">
        <f>SUM(AP189:AP192)</f>
        <v>0</v>
      </c>
      <c r="AQ194" s="164"/>
      <c r="AR194" s="167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16384" ht="27" thickBot="1" x14ac:dyDescent="0.75">
      <c r="A195" s="884"/>
      <c r="B195" s="886"/>
      <c r="C195" s="886"/>
      <c r="D195" s="890"/>
      <c r="E195" s="891"/>
      <c r="F195" s="891"/>
      <c r="G195" s="891"/>
      <c r="H195" s="891"/>
      <c r="I195" s="891"/>
      <c r="J195" s="891"/>
      <c r="K195" s="891"/>
      <c r="L195" s="892"/>
      <c r="M195" s="893">
        <f>M194+N194</f>
        <v>0</v>
      </c>
      <c r="N195" s="894">
        <f>M194+N194</f>
        <v>0</v>
      </c>
      <c r="O195" s="895">
        <f>+O194+P194+Q194</f>
        <v>486</v>
      </c>
      <c r="P195" s="896"/>
      <c r="Q195" s="897"/>
      <c r="R195" s="898">
        <f>+R194+S194+T194</f>
        <v>0</v>
      </c>
      <c r="S195" s="899"/>
      <c r="T195" s="900"/>
      <c r="U195" s="901">
        <f>U194+V194</f>
        <v>0</v>
      </c>
      <c r="V195" s="902"/>
      <c r="W195" s="903">
        <f>W194+X194+Y194</f>
        <v>65040</v>
      </c>
      <c r="X195" s="904"/>
      <c r="Y195" s="905"/>
      <c r="Z195" s="906">
        <f>0</f>
        <v>0</v>
      </c>
      <c r="AA195" s="907"/>
      <c r="AB195" s="908"/>
      <c r="AC195" s="909">
        <f>AC194+AD194</f>
        <v>0</v>
      </c>
      <c r="AD195" s="910">
        <f t="shared" ref="AD195" si="185">ROUND(N195*960,0)</f>
        <v>0</v>
      </c>
      <c r="AE195" s="911">
        <f>AE194+AF194+AG194</f>
        <v>11400</v>
      </c>
      <c r="AF195" s="912"/>
      <c r="AG195" s="913"/>
      <c r="AH195" s="914">
        <f>AH194+AI194+AJ194</f>
        <v>0</v>
      </c>
      <c r="AI195" s="915"/>
      <c r="AJ195" s="916"/>
      <c r="AK195" s="917">
        <f>AK194+AL194</f>
        <v>0</v>
      </c>
      <c r="AL195" s="918">
        <f t="shared" ref="AL195" si="186">V195+AD195</f>
        <v>0</v>
      </c>
      <c r="AM195" s="911">
        <f>AM194+AN194+AO194</f>
        <v>111210</v>
      </c>
      <c r="AN195" s="912"/>
      <c r="AO195" s="913"/>
      <c r="AP195" s="919">
        <f>AP194+AQ194+AR194</f>
        <v>0</v>
      </c>
      <c r="AQ195" s="920"/>
      <c r="AR195" s="92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16384" s="180" customFormat="1" ht="39.950000000000003" customHeight="1" thickBot="1" x14ac:dyDescent="0.6">
      <c r="A196" s="922" t="s">
        <v>166</v>
      </c>
      <c r="B196" s="923"/>
      <c r="C196" s="923"/>
      <c r="D196" s="923"/>
      <c r="E196" s="923"/>
      <c r="F196" s="923"/>
      <c r="G196" s="923"/>
      <c r="H196" s="923"/>
      <c r="I196" s="923"/>
      <c r="J196" s="923"/>
      <c r="K196" s="923"/>
      <c r="L196" s="923"/>
      <c r="M196" s="923"/>
      <c r="N196" s="923"/>
      <c r="O196" s="923"/>
      <c r="P196" s="923"/>
      <c r="Q196" s="923"/>
      <c r="R196" s="923"/>
      <c r="S196" s="923"/>
      <c r="T196" s="923"/>
      <c r="U196" s="923"/>
      <c r="V196" s="923"/>
      <c r="W196" s="923"/>
      <c r="X196" s="923"/>
      <c r="Y196" s="923"/>
      <c r="Z196" s="923"/>
      <c r="AA196" s="923"/>
      <c r="AB196" s="923"/>
      <c r="AC196" s="923"/>
      <c r="AD196" s="923"/>
      <c r="AE196" s="923"/>
      <c r="AF196" s="923"/>
      <c r="AG196" s="923"/>
      <c r="AH196" s="923"/>
      <c r="AI196" s="923"/>
      <c r="AJ196" s="923"/>
      <c r="AK196" s="923"/>
      <c r="AL196" s="923"/>
      <c r="AM196" s="923"/>
      <c r="AN196" s="923"/>
      <c r="AO196" s="923"/>
      <c r="AP196" s="923"/>
      <c r="AQ196" s="923"/>
      <c r="AR196" s="924"/>
      <c r="AS196" s="176"/>
      <c r="AT196" s="176"/>
      <c r="AU196" s="176"/>
      <c r="AV196" s="176"/>
      <c r="AW196" s="176"/>
      <c r="AX196" s="176"/>
      <c r="AY196" s="176"/>
      <c r="AZ196" s="176"/>
      <c r="BA196" s="176"/>
      <c r="BB196" s="176"/>
      <c r="BC196" s="176"/>
      <c r="BD196" s="176"/>
      <c r="BE196" s="176"/>
      <c r="BF196" s="176"/>
      <c r="BG196" s="176"/>
      <c r="BH196" s="176"/>
      <c r="BI196" s="176"/>
      <c r="BJ196" s="176"/>
      <c r="BK196" s="176"/>
      <c r="BL196" s="176"/>
      <c r="BM196" s="176"/>
      <c r="BN196" s="176"/>
      <c r="BO196" s="176"/>
      <c r="BP196" s="176"/>
      <c r="BQ196" s="176"/>
      <c r="BR196" s="176"/>
      <c r="BS196" s="176"/>
      <c r="BT196" s="176"/>
      <c r="BU196" s="176"/>
      <c r="BV196" s="176"/>
      <c r="BW196" s="176"/>
      <c r="BX196" s="176"/>
      <c r="BY196" s="176"/>
      <c r="BZ196" s="176"/>
      <c r="CA196" s="176"/>
      <c r="CB196" s="176"/>
      <c r="CC196" s="176"/>
      <c r="CD196" s="176"/>
      <c r="CE196" s="176"/>
      <c r="CF196" s="176"/>
      <c r="CG196" s="176"/>
      <c r="CH196" s="176"/>
      <c r="CI196" s="176"/>
      <c r="CJ196" s="176"/>
      <c r="CK196" s="176"/>
      <c r="CL196" s="176"/>
      <c r="CM196" s="176"/>
      <c r="CN196" s="176"/>
      <c r="CO196" s="176"/>
      <c r="CP196" s="176"/>
      <c r="CQ196" s="176"/>
      <c r="CR196" s="176"/>
      <c r="CS196" s="176"/>
      <c r="CT196" s="176"/>
      <c r="CU196" s="176"/>
      <c r="CV196" s="176"/>
      <c r="CW196" s="176"/>
      <c r="CX196" s="176"/>
      <c r="CY196" s="176"/>
      <c r="CZ196" s="176"/>
      <c r="DA196" s="176"/>
      <c r="DB196" s="176"/>
      <c r="DC196" s="176"/>
      <c r="DD196" s="176"/>
      <c r="DE196" s="176"/>
      <c r="DF196" s="176"/>
      <c r="DG196" s="176"/>
      <c r="DH196" s="176"/>
      <c r="DI196" s="176"/>
      <c r="DJ196" s="176"/>
      <c r="DK196" s="176"/>
      <c r="DL196" s="176"/>
      <c r="DM196" s="176"/>
      <c r="DN196" s="176"/>
      <c r="DO196" s="176"/>
      <c r="DP196" s="176"/>
      <c r="DQ196" s="176"/>
      <c r="DR196" s="176"/>
      <c r="DS196" s="176"/>
      <c r="DT196" s="176"/>
      <c r="DU196" s="176"/>
      <c r="DV196" s="176"/>
      <c r="DW196" s="176"/>
      <c r="DX196" s="176"/>
      <c r="DY196" s="176"/>
      <c r="DZ196" s="176"/>
      <c r="EA196" s="176"/>
      <c r="EB196" s="176"/>
      <c r="EC196" s="176"/>
      <c r="ED196" s="176"/>
      <c r="EE196" s="176"/>
      <c r="EF196" s="176"/>
      <c r="EG196" s="176"/>
      <c r="EH196" s="176"/>
      <c r="EI196" s="176"/>
      <c r="EJ196" s="176"/>
      <c r="EK196" s="176"/>
    </row>
    <row r="197" spans="1:16384" s="215" customFormat="1" ht="39.950000000000003" customHeight="1" thickBot="1" x14ac:dyDescent="0.6">
      <c r="A197" s="925" t="s">
        <v>27</v>
      </c>
      <c r="B197" s="926"/>
      <c r="C197" s="926"/>
      <c r="D197" s="926"/>
      <c r="E197" s="926"/>
      <c r="F197" s="926"/>
      <c r="G197" s="926"/>
      <c r="H197" s="926"/>
      <c r="I197" s="926"/>
      <c r="J197" s="926"/>
      <c r="K197" s="926"/>
      <c r="L197" s="926"/>
      <c r="M197" s="926"/>
      <c r="N197" s="926"/>
      <c r="O197" s="926"/>
      <c r="P197" s="926"/>
      <c r="Q197" s="926"/>
      <c r="R197" s="926"/>
      <c r="S197" s="926"/>
      <c r="T197" s="926"/>
      <c r="U197" s="926"/>
      <c r="V197" s="926"/>
      <c r="W197" s="926"/>
      <c r="X197" s="926"/>
      <c r="Y197" s="926"/>
      <c r="Z197" s="926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926"/>
      <c r="AO197" s="926"/>
      <c r="AP197" s="926"/>
      <c r="AQ197" s="926"/>
      <c r="AR197" s="927"/>
      <c r="AS197" s="211"/>
      <c r="AT197" s="212"/>
      <c r="AU197" s="212"/>
      <c r="AV197" s="212"/>
      <c r="AW197" s="212"/>
      <c r="AX197" s="212"/>
      <c r="AY197" s="212"/>
      <c r="AZ197" s="212"/>
      <c r="BA197" s="212"/>
      <c r="BB197" s="212"/>
      <c r="BC197" s="212"/>
      <c r="BD197" s="212"/>
      <c r="BE197" s="212"/>
      <c r="BF197" s="212"/>
      <c r="BG197" s="212"/>
      <c r="BH197" s="212"/>
      <c r="BI197" s="212"/>
      <c r="BJ197" s="212"/>
      <c r="BK197" s="212"/>
      <c r="BL197" s="212"/>
      <c r="BM197" s="212"/>
      <c r="BN197" s="212"/>
      <c r="BO197" s="212"/>
      <c r="BP197" s="212"/>
      <c r="BQ197" s="212"/>
      <c r="BR197" s="212"/>
      <c r="BS197" s="212"/>
      <c r="BT197" s="212"/>
      <c r="BU197" s="212"/>
      <c r="BV197" s="212"/>
      <c r="BW197" s="212"/>
      <c r="BX197" s="212"/>
      <c r="BY197" s="212"/>
      <c r="BZ197" s="212"/>
      <c r="CA197" s="212"/>
      <c r="CB197" s="212"/>
      <c r="CC197" s="212"/>
      <c r="CD197" s="212"/>
      <c r="CE197" s="212"/>
      <c r="CF197" s="212"/>
      <c r="CG197" s="212"/>
      <c r="CH197" s="212"/>
      <c r="CI197" s="212"/>
      <c r="CJ197" s="214"/>
      <c r="CK197" s="211"/>
      <c r="CL197" s="212"/>
      <c r="CM197" s="212"/>
      <c r="CN197" s="212"/>
      <c r="CO197" s="212"/>
      <c r="CP197" s="212"/>
      <c r="CQ197" s="212"/>
      <c r="CR197" s="212"/>
      <c r="CS197" s="212"/>
      <c r="CT197" s="212"/>
      <c r="CU197" s="212"/>
      <c r="CV197" s="212"/>
      <c r="CW197" s="212"/>
      <c r="CX197" s="212"/>
      <c r="CY197" s="212"/>
      <c r="CZ197" s="212"/>
      <c r="DA197" s="212"/>
      <c r="DB197" s="212"/>
      <c r="DC197" s="212"/>
      <c r="DD197" s="212"/>
      <c r="DE197" s="212"/>
      <c r="DF197" s="212"/>
      <c r="DG197" s="212"/>
      <c r="DH197" s="212"/>
      <c r="DI197" s="212"/>
      <c r="DJ197" s="212"/>
      <c r="DK197" s="212"/>
      <c r="DL197" s="212"/>
      <c r="DM197" s="212"/>
      <c r="DN197" s="212"/>
      <c r="DO197" s="212"/>
      <c r="DP197" s="212"/>
      <c r="DQ197" s="212"/>
      <c r="DR197" s="212"/>
      <c r="DS197" s="212"/>
      <c r="DT197" s="212"/>
      <c r="DU197" s="212"/>
      <c r="DV197" s="212"/>
      <c r="DW197" s="212"/>
      <c r="DX197" s="212"/>
      <c r="DY197" s="212"/>
      <c r="DZ197" s="212"/>
      <c r="EA197" s="212"/>
      <c r="EB197" s="214"/>
      <c r="EC197" s="211"/>
      <c r="ED197" s="212"/>
      <c r="EE197" s="212"/>
      <c r="EF197" s="212"/>
      <c r="EG197" s="212"/>
      <c r="EH197" s="212"/>
      <c r="EI197" s="212"/>
      <c r="EJ197" s="212"/>
      <c r="EK197" s="212"/>
      <c r="EL197" s="212"/>
      <c r="EM197" s="212"/>
      <c r="EN197" s="212"/>
      <c r="EO197" s="212"/>
      <c r="EP197" s="212"/>
      <c r="EQ197" s="212"/>
      <c r="ER197" s="212"/>
      <c r="ES197" s="212"/>
      <c r="ET197" s="212"/>
      <c r="EU197" s="212"/>
      <c r="EV197" s="212"/>
      <c r="EW197" s="212"/>
      <c r="EX197" s="212"/>
      <c r="EY197" s="212"/>
      <c r="EZ197" s="212"/>
      <c r="FA197" s="212"/>
      <c r="FB197" s="212"/>
      <c r="FC197" s="212"/>
      <c r="FD197" s="212"/>
      <c r="FE197" s="212"/>
      <c r="FF197" s="212"/>
      <c r="FG197" s="212"/>
      <c r="FH197" s="212"/>
      <c r="FI197" s="212"/>
      <c r="FJ197" s="212"/>
      <c r="FK197" s="212"/>
      <c r="FL197" s="212"/>
      <c r="FM197" s="212"/>
      <c r="FN197" s="212"/>
      <c r="FO197" s="212"/>
      <c r="FP197" s="212"/>
      <c r="FQ197" s="212"/>
      <c r="FR197" s="212"/>
      <c r="FS197" s="212"/>
      <c r="FT197" s="214"/>
      <c r="FU197" s="211"/>
      <c r="FV197" s="212"/>
      <c r="FW197" s="212"/>
      <c r="FX197" s="212"/>
      <c r="FY197" s="212"/>
      <c r="FZ197" s="212"/>
      <c r="GA197" s="212"/>
      <c r="GB197" s="212"/>
      <c r="GC197" s="212"/>
      <c r="GD197" s="212"/>
      <c r="GE197" s="212"/>
      <c r="GF197" s="212"/>
      <c r="GG197" s="212"/>
      <c r="GH197" s="212"/>
      <c r="GI197" s="212"/>
      <c r="GJ197" s="212"/>
      <c r="GK197" s="212"/>
      <c r="GL197" s="212"/>
      <c r="GM197" s="212"/>
      <c r="GN197" s="212"/>
      <c r="GO197" s="212"/>
      <c r="GP197" s="212"/>
      <c r="GQ197" s="212"/>
      <c r="GR197" s="212"/>
      <c r="GS197" s="212"/>
      <c r="GT197" s="212"/>
      <c r="GU197" s="212"/>
      <c r="GV197" s="212"/>
      <c r="GW197" s="212"/>
      <c r="GX197" s="212"/>
      <c r="GY197" s="212"/>
      <c r="GZ197" s="212"/>
      <c r="HA197" s="212"/>
      <c r="HB197" s="212"/>
      <c r="HC197" s="212"/>
      <c r="HD197" s="212"/>
      <c r="HE197" s="212"/>
      <c r="HF197" s="212"/>
      <c r="HG197" s="212"/>
      <c r="HH197" s="212"/>
      <c r="HI197" s="212"/>
      <c r="HJ197" s="212"/>
      <c r="HK197" s="212"/>
      <c r="HL197" s="214"/>
      <c r="HM197" s="211"/>
      <c r="HN197" s="212"/>
      <c r="HO197" s="212"/>
      <c r="HP197" s="212"/>
      <c r="HQ197" s="212"/>
      <c r="HR197" s="212"/>
      <c r="HS197" s="212"/>
      <c r="HT197" s="212"/>
      <c r="HU197" s="212"/>
      <c r="HV197" s="212"/>
      <c r="HW197" s="212"/>
      <c r="HX197" s="212"/>
      <c r="HY197" s="212"/>
      <c r="HZ197" s="212"/>
      <c r="IA197" s="212"/>
      <c r="IB197" s="212"/>
      <c r="IC197" s="212"/>
      <c r="ID197" s="212"/>
      <c r="IE197" s="212"/>
      <c r="IF197" s="212"/>
      <c r="IG197" s="212"/>
      <c r="IH197" s="212"/>
      <c r="II197" s="212"/>
      <c r="IJ197" s="212"/>
      <c r="IK197" s="212"/>
      <c r="IL197" s="212"/>
      <c r="IM197" s="212"/>
      <c r="IN197" s="212"/>
      <c r="IO197" s="212"/>
      <c r="IP197" s="212"/>
      <c r="IQ197" s="212"/>
      <c r="IR197" s="212"/>
      <c r="IS197" s="212"/>
      <c r="IT197" s="212"/>
      <c r="IU197" s="212"/>
      <c r="IV197" s="212"/>
      <c r="IW197" s="212"/>
      <c r="IX197" s="212"/>
      <c r="IY197" s="212"/>
      <c r="IZ197" s="212"/>
      <c r="JA197" s="212"/>
      <c r="JB197" s="212"/>
      <c r="JC197" s="212"/>
      <c r="JD197" s="214"/>
      <c r="JE197" s="211"/>
      <c r="JF197" s="212"/>
      <c r="JG197" s="212"/>
      <c r="JH197" s="212"/>
      <c r="JI197" s="212"/>
      <c r="JJ197" s="212"/>
      <c r="JK197" s="212"/>
      <c r="JL197" s="212"/>
      <c r="JM197" s="212"/>
      <c r="JN197" s="212"/>
      <c r="JO197" s="212"/>
      <c r="JP197" s="212"/>
      <c r="JQ197" s="212"/>
      <c r="JR197" s="212"/>
      <c r="JS197" s="212"/>
      <c r="JT197" s="212"/>
      <c r="JU197" s="212"/>
      <c r="JV197" s="212"/>
      <c r="JW197" s="212"/>
      <c r="JX197" s="212"/>
      <c r="JY197" s="212"/>
      <c r="JZ197" s="212"/>
      <c r="KA197" s="212"/>
      <c r="KB197" s="212"/>
      <c r="KC197" s="212"/>
      <c r="KD197" s="212"/>
      <c r="KE197" s="212"/>
      <c r="KF197" s="212"/>
      <c r="KG197" s="212"/>
      <c r="KH197" s="212"/>
      <c r="KI197" s="212"/>
      <c r="KJ197" s="212"/>
      <c r="KK197" s="212"/>
      <c r="KL197" s="212"/>
      <c r="KM197" s="212"/>
      <c r="KN197" s="212"/>
      <c r="KO197" s="212"/>
      <c r="KP197" s="212"/>
      <c r="KQ197" s="212"/>
      <c r="KR197" s="212"/>
      <c r="KS197" s="212"/>
      <c r="KT197" s="212"/>
      <c r="KU197" s="212"/>
      <c r="KV197" s="214"/>
      <c r="KW197" s="211"/>
      <c r="KX197" s="212"/>
      <c r="KY197" s="212"/>
      <c r="KZ197" s="212"/>
      <c r="LA197" s="212"/>
      <c r="LB197" s="212"/>
      <c r="LC197" s="212"/>
      <c r="LD197" s="212"/>
      <c r="LE197" s="212"/>
      <c r="LF197" s="212"/>
      <c r="LG197" s="212"/>
      <c r="LH197" s="212"/>
      <c r="LI197" s="212"/>
      <c r="LJ197" s="212"/>
      <c r="LK197" s="212"/>
      <c r="LL197" s="212"/>
      <c r="LM197" s="212"/>
      <c r="LN197" s="212"/>
      <c r="LO197" s="212"/>
      <c r="LP197" s="212"/>
      <c r="LQ197" s="212"/>
      <c r="LR197" s="212"/>
      <c r="LS197" s="212"/>
      <c r="LT197" s="212"/>
      <c r="LU197" s="212"/>
      <c r="LV197" s="212"/>
      <c r="LW197" s="212"/>
      <c r="LX197" s="212"/>
      <c r="LY197" s="212"/>
      <c r="LZ197" s="212"/>
      <c r="MA197" s="212"/>
      <c r="MB197" s="212"/>
      <c r="MC197" s="212"/>
      <c r="MD197" s="212"/>
      <c r="ME197" s="212"/>
      <c r="MF197" s="212"/>
      <c r="MG197" s="212"/>
      <c r="MH197" s="212"/>
      <c r="MI197" s="212"/>
      <c r="MJ197" s="212"/>
      <c r="MK197" s="212"/>
      <c r="ML197" s="212"/>
      <c r="MM197" s="212"/>
      <c r="MN197" s="214"/>
      <c r="MO197" s="211"/>
      <c r="MP197" s="212"/>
      <c r="MQ197" s="212"/>
      <c r="MR197" s="212"/>
      <c r="MS197" s="212"/>
      <c r="MT197" s="212"/>
      <c r="MU197" s="212"/>
      <c r="MV197" s="212"/>
      <c r="MW197" s="212"/>
      <c r="MX197" s="212"/>
      <c r="MY197" s="212"/>
      <c r="MZ197" s="212"/>
      <c r="NA197" s="212"/>
      <c r="NB197" s="212"/>
      <c r="NC197" s="212"/>
      <c r="ND197" s="212"/>
      <c r="NE197" s="212"/>
      <c r="NF197" s="212"/>
      <c r="NG197" s="212"/>
      <c r="NH197" s="212"/>
      <c r="NI197" s="212"/>
      <c r="NJ197" s="212"/>
      <c r="NK197" s="212"/>
      <c r="NL197" s="212"/>
      <c r="NM197" s="212"/>
      <c r="NN197" s="212"/>
      <c r="NO197" s="212"/>
      <c r="NP197" s="212"/>
      <c r="NQ197" s="212"/>
      <c r="NR197" s="212"/>
      <c r="NS197" s="212"/>
      <c r="NT197" s="212"/>
      <c r="NU197" s="212"/>
      <c r="NV197" s="212"/>
      <c r="NW197" s="212"/>
      <c r="NX197" s="212"/>
      <c r="NY197" s="212"/>
      <c r="NZ197" s="212"/>
      <c r="OA197" s="212"/>
      <c r="OB197" s="212"/>
      <c r="OC197" s="212"/>
      <c r="OD197" s="212"/>
      <c r="OE197" s="212"/>
      <c r="OF197" s="214"/>
      <c r="OG197" s="211"/>
      <c r="OH197" s="212"/>
      <c r="OI197" s="212"/>
      <c r="OJ197" s="212"/>
      <c r="OK197" s="212"/>
      <c r="OL197" s="212"/>
      <c r="OM197" s="212"/>
      <c r="ON197" s="212"/>
      <c r="OO197" s="212"/>
      <c r="OP197" s="212"/>
      <c r="OQ197" s="212"/>
      <c r="OR197" s="212"/>
      <c r="OS197" s="212"/>
      <c r="OT197" s="212"/>
      <c r="OU197" s="212"/>
      <c r="OV197" s="212"/>
      <c r="OW197" s="212"/>
      <c r="OX197" s="212"/>
      <c r="OY197" s="212"/>
      <c r="OZ197" s="212"/>
      <c r="PA197" s="212"/>
      <c r="PB197" s="212"/>
      <c r="PC197" s="212"/>
      <c r="PD197" s="212"/>
      <c r="PE197" s="212"/>
      <c r="PF197" s="212"/>
      <c r="PG197" s="212"/>
      <c r="PH197" s="212"/>
      <c r="PI197" s="212"/>
      <c r="PJ197" s="212"/>
      <c r="PK197" s="212"/>
      <c r="PL197" s="212"/>
      <c r="PM197" s="212"/>
      <c r="PN197" s="212"/>
      <c r="PO197" s="212"/>
      <c r="PP197" s="212"/>
      <c r="PQ197" s="212"/>
      <c r="PR197" s="212"/>
      <c r="PS197" s="212"/>
      <c r="PT197" s="212"/>
      <c r="PU197" s="212"/>
      <c r="PV197" s="212"/>
      <c r="PW197" s="212"/>
      <c r="PX197" s="214"/>
      <c r="PY197" s="211"/>
      <c r="PZ197" s="212"/>
      <c r="QA197" s="212"/>
      <c r="QB197" s="212"/>
      <c r="QC197" s="212"/>
      <c r="QD197" s="212"/>
      <c r="QE197" s="212"/>
      <c r="QF197" s="212"/>
      <c r="QG197" s="212"/>
      <c r="QH197" s="212"/>
      <c r="QI197" s="212"/>
      <c r="QJ197" s="212"/>
      <c r="QK197" s="212"/>
      <c r="QL197" s="212"/>
      <c r="QM197" s="212"/>
      <c r="QN197" s="212"/>
      <c r="QO197" s="212"/>
      <c r="QP197" s="212"/>
      <c r="QQ197" s="212"/>
      <c r="QR197" s="212"/>
      <c r="QS197" s="212"/>
      <c r="QT197" s="212"/>
      <c r="QU197" s="212"/>
      <c r="QV197" s="212"/>
      <c r="QW197" s="212"/>
      <c r="QX197" s="212"/>
      <c r="QY197" s="212"/>
      <c r="QZ197" s="212"/>
      <c r="RA197" s="212"/>
      <c r="RB197" s="212"/>
      <c r="RC197" s="212"/>
      <c r="RD197" s="212"/>
      <c r="RE197" s="212"/>
      <c r="RF197" s="212"/>
      <c r="RG197" s="212"/>
      <c r="RH197" s="212"/>
      <c r="RI197" s="212"/>
      <c r="RJ197" s="212"/>
      <c r="RK197" s="212"/>
      <c r="RL197" s="212"/>
      <c r="RM197" s="212"/>
      <c r="RN197" s="212"/>
      <c r="RO197" s="212"/>
      <c r="RP197" s="214"/>
      <c r="RQ197" s="211"/>
      <c r="RR197" s="212"/>
      <c r="RS197" s="212"/>
      <c r="RT197" s="212"/>
      <c r="RU197" s="212"/>
      <c r="RV197" s="212"/>
      <c r="RW197" s="212"/>
      <c r="RX197" s="212"/>
      <c r="RY197" s="212"/>
      <c r="RZ197" s="212"/>
      <c r="SA197" s="212"/>
      <c r="SB197" s="212"/>
      <c r="SC197" s="212"/>
      <c r="SD197" s="212"/>
      <c r="SE197" s="212"/>
      <c r="SF197" s="212"/>
      <c r="SG197" s="212"/>
      <c r="SH197" s="212"/>
      <c r="SI197" s="212"/>
      <c r="SJ197" s="212"/>
      <c r="SK197" s="212"/>
      <c r="SL197" s="212"/>
      <c r="SM197" s="212"/>
      <c r="SN197" s="212"/>
      <c r="SO197" s="212"/>
      <c r="SP197" s="212"/>
      <c r="SQ197" s="212"/>
      <c r="SR197" s="212"/>
      <c r="SS197" s="212"/>
      <c r="ST197" s="212"/>
      <c r="SU197" s="212"/>
      <c r="SV197" s="212"/>
      <c r="SW197" s="212"/>
      <c r="SX197" s="212"/>
      <c r="SY197" s="212"/>
      <c r="SZ197" s="212"/>
      <c r="TA197" s="212"/>
      <c r="TB197" s="212"/>
      <c r="TC197" s="212"/>
      <c r="TD197" s="212"/>
      <c r="TE197" s="212"/>
      <c r="TF197" s="212"/>
      <c r="TG197" s="212"/>
      <c r="TH197" s="214"/>
      <c r="TI197" s="211"/>
      <c r="TJ197" s="212"/>
      <c r="TK197" s="212"/>
      <c r="TL197" s="212"/>
      <c r="TM197" s="212"/>
      <c r="TN197" s="212"/>
      <c r="TO197" s="212"/>
      <c r="TP197" s="212"/>
      <c r="TQ197" s="212"/>
      <c r="TR197" s="212"/>
      <c r="TS197" s="212"/>
      <c r="TT197" s="212"/>
      <c r="TU197" s="212"/>
      <c r="TV197" s="212"/>
      <c r="TW197" s="212"/>
      <c r="TX197" s="212"/>
      <c r="TY197" s="212"/>
      <c r="TZ197" s="212"/>
      <c r="UA197" s="212"/>
      <c r="UB197" s="212"/>
      <c r="UC197" s="212"/>
      <c r="UD197" s="212"/>
      <c r="UE197" s="212"/>
      <c r="UF197" s="212"/>
      <c r="UG197" s="212"/>
      <c r="UH197" s="212"/>
      <c r="UI197" s="212"/>
      <c r="UJ197" s="212"/>
      <c r="UK197" s="212"/>
      <c r="UL197" s="212"/>
      <c r="UM197" s="212"/>
      <c r="UN197" s="212"/>
      <c r="UO197" s="212"/>
      <c r="UP197" s="212"/>
      <c r="UQ197" s="212"/>
      <c r="UR197" s="212"/>
      <c r="US197" s="212"/>
      <c r="UT197" s="212"/>
      <c r="UU197" s="212"/>
      <c r="UV197" s="212"/>
      <c r="UW197" s="212"/>
      <c r="UX197" s="212"/>
      <c r="UY197" s="212"/>
      <c r="UZ197" s="214"/>
      <c r="VA197" s="211"/>
      <c r="VB197" s="212"/>
      <c r="VC197" s="212"/>
      <c r="VD197" s="212"/>
      <c r="VE197" s="212"/>
      <c r="VF197" s="212"/>
      <c r="VG197" s="212"/>
      <c r="VH197" s="212"/>
      <c r="VI197" s="212"/>
      <c r="VJ197" s="212"/>
      <c r="VK197" s="212"/>
      <c r="VL197" s="212"/>
      <c r="VM197" s="212"/>
      <c r="VN197" s="212"/>
      <c r="VO197" s="212"/>
      <c r="VP197" s="212"/>
      <c r="VQ197" s="212"/>
      <c r="VR197" s="212"/>
      <c r="VS197" s="212"/>
      <c r="VT197" s="212"/>
      <c r="VU197" s="212"/>
      <c r="VV197" s="212"/>
      <c r="VW197" s="212"/>
      <c r="VX197" s="212"/>
      <c r="VY197" s="212"/>
      <c r="VZ197" s="212"/>
      <c r="WA197" s="212"/>
      <c r="WB197" s="212"/>
      <c r="WC197" s="212"/>
      <c r="WD197" s="212"/>
      <c r="WE197" s="212"/>
      <c r="WF197" s="212"/>
      <c r="WG197" s="212"/>
      <c r="WH197" s="212"/>
      <c r="WI197" s="212"/>
      <c r="WJ197" s="212"/>
      <c r="WK197" s="212"/>
      <c r="WL197" s="212"/>
      <c r="WM197" s="212"/>
      <c r="WN197" s="212"/>
      <c r="WO197" s="212"/>
      <c r="WP197" s="212"/>
      <c r="WQ197" s="212"/>
      <c r="WR197" s="214"/>
      <c r="WS197" s="211"/>
      <c r="WT197" s="212"/>
      <c r="WU197" s="212"/>
      <c r="WV197" s="212"/>
      <c r="WW197" s="212"/>
      <c r="WX197" s="212"/>
      <c r="WY197" s="212"/>
      <c r="WZ197" s="212"/>
      <c r="XA197" s="212"/>
      <c r="XB197" s="212"/>
      <c r="XC197" s="212"/>
      <c r="XD197" s="212"/>
      <c r="XE197" s="212"/>
      <c r="XF197" s="212"/>
      <c r="XG197" s="212"/>
      <c r="XH197" s="212"/>
      <c r="XI197" s="212"/>
      <c r="XJ197" s="212"/>
      <c r="XK197" s="212"/>
      <c r="XL197" s="212"/>
      <c r="XM197" s="212"/>
      <c r="XN197" s="212"/>
      <c r="XO197" s="212"/>
      <c r="XP197" s="212"/>
      <c r="XQ197" s="212"/>
      <c r="XR197" s="212"/>
      <c r="XS197" s="212"/>
      <c r="XT197" s="212"/>
      <c r="XU197" s="212"/>
      <c r="XV197" s="212"/>
      <c r="XW197" s="212"/>
      <c r="XX197" s="212"/>
      <c r="XY197" s="212"/>
      <c r="XZ197" s="212"/>
      <c r="YA197" s="212"/>
      <c r="YB197" s="212"/>
      <c r="YC197" s="212"/>
      <c r="YD197" s="212"/>
      <c r="YE197" s="212"/>
      <c r="YF197" s="212"/>
      <c r="YG197" s="212"/>
      <c r="YH197" s="212"/>
      <c r="YI197" s="212"/>
      <c r="YJ197" s="214"/>
      <c r="YK197" s="211"/>
      <c r="YL197" s="212"/>
      <c r="YM197" s="212"/>
      <c r="YN197" s="212"/>
      <c r="YO197" s="212"/>
      <c r="YP197" s="212"/>
      <c r="YQ197" s="212"/>
      <c r="YR197" s="212"/>
      <c r="YS197" s="212"/>
      <c r="YT197" s="212"/>
      <c r="YU197" s="212"/>
      <c r="YV197" s="212"/>
      <c r="YW197" s="212"/>
      <c r="YX197" s="212"/>
      <c r="YY197" s="212"/>
      <c r="YZ197" s="212"/>
      <c r="ZA197" s="212"/>
      <c r="ZB197" s="212"/>
      <c r="ZC197" s="212"/>
      <c r="ZD197" s="212"/>
      <c r="ZE197" s="212"/>
      <c r="ZF197" s="212"/>
      <c r="ZG197" s="212"/>
      <c r="ZH197" s="212"/>
      <c r="ZI197" s="212"/>
      <c r="ZJ197" s="212"/>
      <c r="ZK197" s="212"/>
      <c r="ZL197" s="212"/>
      <c r="ZM197" s="212"/>
      <c r="ZN197" s="212"/>
      <c r="ZO197" s="212"/>
      <c r="ZP197" s="212"/>
      <c r="ZQ197" s="212"/>
      <c r="ZR197" s="212"/>
      <c r="ZS197" s="212"/>
      <c r="ZT197" s="212"/>
      <c r="ZU197" s="212"/>
      <c r="ZV197" s="212"/>
      <c r="ZW197" s="212"/>
      <c r="ZX197" s="212"/>
      <c r="ZY197" s="212"/>
      <c r="ZZ197" s="212"/>
      <c r="AAA197" s="212"/>
      <c r="AAB197" s="214"/>
      <c r="AAC197" s="211"/>
      <c r="AAD197" s="212"/>
      <c r="AAE197" s="212"/>
      <c r="AAF197" s="212"/>
      <c r="AAG197" s="212"/>
      <c r="AAH197" s="212"/>
      <c r="AAI197" s="212"/>
      <c r="AAJ197" s="212"/>
      <c r="AAK197" s="212"/>
      <c r="AAL197" s="212"/>
      <c r="AAM197" s="212"/>
      <c r="AAN197" s="212"/>
      <c r="AAO197" s="212"/>
      <c r="AAP197" s="212"/>
      <c r="AAQ197" s="212"/>
      <c r="AAR197" s="212"/>
      <c r="AAS197" s="212"/>
      <c r="AAT197" s="212"/>
      <c r="AAU197" s="212"/>
      <c r="AAV197" s="212"/>
      <c r="AAW197" s="212"/>
      <c r="AAX197" s="212"/>
      <c r="AAY197" s="212"/>
      <c r="AAZ197" s="212"/>
      <c r="ABA197" s="212"/>
      <c r="ABB197" s="212"/>
      <c r="ABC197" s="212"/>
      <c r="ABD197" s="212"/>
      <c r="ABE197" s="212"/>
      <c r="ABF197" s="212"/>
      <c r="ABG197" s="212"/>
      <c r="ABH197" s="212"/>
      <c r="ABI197" s="212"/>
      <c r="ABJ197" s="212"/>
      <c r="ABK197" s="212"/>
      <c r="ABL197" s="212"/>
      <c r="ABM197" s="212"/>
      <c r="ABN197" s="212"/>
      <c r="ABO197" s="212"/>
      <c r="ABP197" s="212"/>
      <c r="ABQ197" s="212"/>
      <c r="ABR197" s="212"/>
      <c r="ABS197" s="212"/>
      <c r="ABT197" s="214"/>
      <c r="ABU197" s="211"/>
      <c r="ABV197" s="212"/>
      <c r="ABW197" s="212"/>
      <c r="ABX197" s="212"/>
      <c r="ABY197" s="212"/>
      <c r="ABZ197" s="212"/>
      <c r="ACA197" s="212"/>
      <c r="ACB197" s="212"/>
      <c r="ACC197" s="212"/>
      <c r="ACD197" s="212"/>
      <c r="ACE197" s="212"/>
      <c r="ACF197" s="212"/>
      <c r="ACG197" s="212"/>
      <c r="ACH197" s="212"/>
      <c r="ACI197" s="212"/>
      <c r="ACJ197" s="212"/>
      <c r="ACK197" s="212"/>
      <c r="ACL197" s="212"/>
      <c r="ACM197" s="212"/>
      <c r="ACN197" s="212"/>
      <c r="ACO197" s="212"/>
      <c r="ACP197" s="212"/>
      <c r="ACQ197" s="212"/>
      <c r="ACR197" s="212"/>
      <c r="ACS197" s="212"/>
      <c r="ACT197" s="212"/>
      <c r="ACU197" s="212"/>
      <c r="ACV197" s="212"/>
      <c r="ACW197" s="212"/>
      <c r="ACX197" s="212"/>
      <c r="ACY197" s="212"/>
      <c r="ACZ197" s="212"/>
      <c r="ADA197" s="212"/>
      <c r="ADB197" s="212"/>
      <c r="ADC197" s="212"/>
      <c r="ADD197" s="212"/>
      <c r="ADE197" s="212"/>
      <c r="ADF197" s="212"/>
      <c r="ADG197" s="212"/>
      <c r="ADH197" s="212"/>
      <c r="ADI197" s="212"/>
      <c r="ADJ197" s="212"/>
      <c r="ADK197" s="212"/>
      <c r="ADL197" s="214"/>
      <c r="ADM197" s="211"/>
      <c r="ADN197" s="212"/>
      <c r="ADO197" s="212"/>
      <c r="ADP197" s="212"/>
      <c r="ADQ197" s="212"/>
      <c r="ADR197" s="212"/>
      <c r="ADS197" s="212"/>
      <c r="ADT197" s="212"/>
      <c r="ADU197" s="212"/>
      <c r="ADV197" s="212"/>
      <c r="ADW197" s="212"/>
      <c r="ADX197" s="212"/>
      <c r="ADY197" s="212"/>
      <c r="ADZ197" s="212"/>
      <c r="AEA197" s="212"/>
      <c r="AEB197" s="212"/>
      <c r="AEC197" s="212"/>
      <c r="AED197" s="212"/>
      <c r="AEE197" s="212"/>
      <c r="AEF197" s="212"/>
      <c r="AEG197" s="212"/>
      <c r="AEH197" s="212"/>
      <c r="AEI197" s="212"/>
      <c r="AEJ197" s="212"/>
      <c r="AEK197" s="212"/>
      <c r="AEL197" s="212"/>
      <c r="AEM197" s="212"/>
      <c r="AEN197" s="212"/>
      <c r="AEO197" s="212"/>
      <c r="AEP197" s="212"/>
      <c r="AEQ197" s="212"/>
      <c r="AER197" s="212"/>
      <c r="AES197" s="212"/>
      <c r="AET197" s="212"/>
      <c r="AEU197" s="212"/>
      <c r="AEV197" s="212"/>
      <c r="AEW197" s="212"/>
      <c r="AEX197" s="212"/>
      <c r="AEY197" s="212"/>
      <c r="AEZ197" s="212"/>
      <c r="AFA197" s="212"/>
      <c r="AFB197" s="212"/>
      <c r="AFC197" s="212"/>
      <c r="AFD197" s="214"/>
      <c r="AFE197" s="211"/>
      <c r="AFF197" s="212"/>
      <c r="AFG197" s="212"/>
      <c r="AFH197" s="212"/>
      <c r="AFI197" s="212"/>
      <c r="AFJ197" s="212"/>
      <c r="AFK197" s="212"/>
      <c r="AFL197" s="212"/>
      <c r="AFM197" s="212"/>
      <c r="AFN197" s="212"/>
      <c r="AFO197" s="212"/>
      <c r="AFP197" s="212"/>
      <c r="AFQ197" s="212"/>
      <c r="AFR197" s="212"/>
      <c r="AFS197" s="212"/>
      <c r="AFT197" s="212"/>
      <c r="AFU197" s="212"/>
      <c r="AFV197" s="212"/>
      <c r="AFW197" s="212"/>
      <c r="AFX197" s="212"/>
      <c r="AFY197" s="212"/>
      <c r="AFZ197" s="212"/>
      <c r="AGA197" s="212"/>
      <c r="AGB197" s="212"/>
      <c r="AGC197" s="212"/>
      <c r="AGD197" s="212"/>
      <c r="AGE197" s="212"/>
      <c r="AGF197" s="212"/>
      <c r="AGG197" s="212"/>
      <c r="AGH197" s="212"/>
      <c r="AGI197" s="212"/>
      <c r="AGJ197" s="212"/>
      <c r="AGK197" s="212"/>
      <c r="AGL197" s="212"/>
      <c r="AGM197" s="212"/>
      <c r="AGN197" s="212"/>
      <c r="AGO197" s="212"/>
      <c r="AGP197" s="212"/>
      <c r="AGQ197" s="212"/>
      <c r="AGR197" s="212"/>
      <c r="AGS197" s="212"/>
      <c r="AGT197" s="212"/>
      <c r="AGU197" s="212"/>
      <c r="AGV197" s="214"/>
      <c r="AGW197" s="211"/>
      <c r="AGX197" s="212"/>
      <c r="AGY197" s="212"/>
      <c r="AGZ197" s="212"/>
      <c r="AHA197" s="212"/>
      <c r="AHB197" s="212"/>
      <c r="AHC197" s="212"/>
      <c r="AHD197" s="212"/>
      <c r="AHE197" s="212"/>
      <c r="AHF197" s="212"/>
      <c r="AHG197" s="212"/>
      <c r="AHH197" s="212"/>
      <c r="AHI197" s="212"/>
      <c r="AHJ197" s="212"/>
      <c r="AHK197" s="212"/>
      <c r="AHL197" s="212"/>
      <c r="AHM197" s="212"/>
      <c r="AHN197" s="212"/>
      <c r="AHO197" s="212"/>
      <c r="AHP197" s="212"/>
      <c r="AHQ197" s="212"/>
      <c r="AHR197" s="212"/>
      <c r="AHS197" s="212"/>
      <c r="AHT197" s="212"/>
      <c r="AHU197" s="212"/>
      <c r="AHV197" s="212"/>
      <c r="AHW197" s="212"/>
      <c r="AHX197" s="212"/>
      <c r="AHY197" s="212"/>
      <c r="AHZ197" s="212"/>
      <c r="AIA197" s="212"/>
      <c r="AIB197" s="212"/>
      <c r="AIC197" s="212"/>
      <c r="AID197" s="212"/>
      <c r="AIE197" s="212"/>
      <c r="AIF197" s="212"/>
      <c r="AIG197" s="212"/>
      <c r="AIH197" s="212"/>
      <c r="AII197" s="212"/>
      <c r="AIJ197" s="212"/>
      <c r="AIK197" s="212"/>
      <c r="AIL197" s="212"/>
      <c r="AIM197" s="212"/>
      <c r="AIN197" s="214"/>
      <c r="AIO197" s="211"/>
      <c r="AIP197" s="212"/>
      <c r="AIQ197" s="212"/>
      <c r="AIR197" s="212"/>
      <c r="AIS197" s="212"/>
      <c r="AIT197" s="212"/>
      <c r="AIU197" s="212"/>
      <c r="AIV197" s="212"/>
      <c r="AIW197" s="212"/>
      <c r="AIX197" s="212"/>
      <c r="AIY197" s="212"/>
      <c r="AIZ197" s="212"/>
      <c r="AJA197" s="212"/>
      <c r="AJB197" s="212"/>
      <c r="AJC197" s="212"/>
      <c r="AJD197" s="212"/>
      <c r="AJE197" s="212"/>
      <c r="AJF197" s="212"/>
      <c r="AJG197" s="212"/>
      <c r="AJH197" s="212"/>
      <c r="AJI197" s="212"/>
      <c r="AJJ197" s="212"/>
      <c r="AJK197" s="212"/>
      <c r="AJL197" s="212"/>
      <c r="AJM197" s="212"/>
      <c r="AJN197" s="212"/>
      <c r="AJO197" s="212"/>
      <c r="AJP197" s="212"/>
      <c r="AJQ197" s="212"/>
      <c r="AJR197" s="212"/>
      <c r="AJS197" s="212"/>
      <c r="AJT197" s="212"/>
      <c r="AJU197" s="212"/>
      <c r="AJV197" s="212"/>
      <c r="AJW197" s="212"/>
      <c r="AJX197" s="212"/>
      <c r="AJY197" s="212"/>
      <c r="AJZ197" s="212"/>
      <c r="AKA197" s="212"/>
      <c r="AKB197" s="212"/>
      <c r="AKC197" s="212"/>
      <c r="AKD197" s="212"/>
      <c r="AKE197" s="212"/>
      <c r="AKF197" s="214"/>
      <c r="AKG197" s="211"/>
      <c r="AKH197" s="212"/>
      <c r="AKI197" s="212"/>
      <c r="AKJ197" s="212"/>
      <c r="AKK197" s="212"/>
      <c r="AKL197" s="212"/>
      <c r="AKM197" s="212"/>
      <c r="AKN197" s="212"/>
      <c r="AKO197" s="212"/>
      <c r="AKP197" s="212"/>
      <c r="AKQ197" s="212"/>
      <c r="AKR197" s="212"/>
      <c r="AKS197" s="212"/>
      <c r="AKT197" s="212"/>
      <c r="AKU197" s="212"/>
      <c r="AKV197" s="212"/>
      <c r="AKW197" s="212"/>
      <c r="AKX197" s="212"/>
      <c r="AKY197" s="212"/>
      <c r="AKZ197" s="212"/>
      <c r="ALA197" s="212"/>
      <c r="ALB197" s="212"/>
      <c r="ALC197" s="212"/>
      <c r="ALD197" s="212"/>
      <c r="ALE197" s="212"/>
      <c r="ALF197" s="212"/>
      <c r="ALG197" s="212"/>
      <c r="ALH197" s="212"/>
      <c r="ALI197" s="212"/>
      <c r="ALJ197" s="212"/>
      <c r="ALK197" s="212"/>
      <c r="ALL197" s="212"/>
      <c r="ALM197" s="212"/>
      <c r="ALN197" s="212"/>
      <c r="ALO197" s="212"/>
      <c r="ALP197" s="212"/>
      <c r="ALQ197" s="212"/>
      <c r="ALR197" s="212"/>
      <c r="ALS197" s="212"/>
      <c r="ALT197" s="212"/>
      <c r="ALU197" s="212"/>
      <c r="ALV197" s="212"/>
      <c r="ALW197" s="212"/>
      <c r="ALX197" s="214"/>
      <c r="ALY197" s="211"/>
      <c r="ALZ197" s="212"/>
      <c r="AMA197" s="212"/>
      <c r="AMB197" s="212"/>
      <c r="AMC197" s="212"/>
      <c r="AMD197" s="212"/>
      <c r="AME197" s="212"/>
      <c r="AMF197" s="212"/>
      <c r="AMG197" s="212"/>
      <c r="AMH197" s="212"/>
      <c r="AMI197" s="212"/>
      <c r="AMJ197" s="212"/>
      <c r="AMK197" s="212"/>
      <c r="AML197" s="212"/>
      <c r="AMM197" s="212"/>
      <c r="AMN197" s="212"/>
      <c r="AMO197" s="212"/>
      <c r="AMP197" s="212"/>
      <c r="AMQ197" s="212"/>
      <c r="AMR197" s="212"/>
      <c r="AMS197" s="212"/>
      <c r="AMT197" s="212"/>
      <c r="AMU197" s="212"/>
      <c r="AMV197" s="212"/>
      <c r="AMW197" s="212"/>
      <c r="AMX197" s="212"/>
      <c r="AMY197" s="212"/>
      <c r="AMZ197" s="212"/>
      <c r="ANA197" s="212"/>
      <c r="ANB197" s="212"/>
      <c r="ANC197" s="212"/>
      <c r="AND197" s="212"/>
      <c r="ANE197" s="212"/>
      <c r="ANF197" s="212"/>
      <c r="ANG197" s="212"/>
      <c r="ANH197" s="212"/>
      <c r="ANI197" s="212"/>
      <c r="ANJ197" s="212"/>
      <c r="ANK197" s="212"/>
      <c r="ANL197" s="212"/>
      <c r="ANM197" s="212"/>
      <c r="ANN197" s="212"/>
      <c r="ANO197" s="212"/>
      <c r="ANP197" s="214"/>
      <c r="ANQ197" s="211"/>
      <c r="ANR197" s="212"/>
      <c r="ANS197" s="212"/>
      <c r="ANT197" s="212"/>
      <c r="ANU197" s="212"/>
      <c r="ANV197" s="212"/>
      <c r="ANW197" s="212"/>
      <c r="ANX197" s="212"/>
      <c r="ANY197" s="212"/>
      <c r="ANZ197" s="212"/>
      <c r="AOA197" s="212"/>
      <c r="AOB197" s="212"/>
      <c r="AOC197" s="212"/>
      <c r="AOD197" s="212"/>
      <c r="AOE197" s="212"/>
      <c r="AOF197" s="212"/>
      <c r="AOG197" s="212"/>
      <c r="AOH197" s="212"/>
      <c r="AOI197" s="212"/>
      <c r="AOJ197" s="212"/>
      <c r="AOK197" s="212"/>
      <c r="AOL197" s="212"/>
      <c r="AOM197" s="212"/>
      <c r="AON197" s="212"/>
      <c r="AOO197" s="212"/>
      <c r="AOP197" s="212"/>
      <c r="AOQ197" s="212"/>
      <c r="AOR197" s="212"/>
      <c r="AOS197" s="212"/>
      <c r="AOT197" s="212"/>
      <c r="AOU197" s="212"/>
      <c r="AOV197" s="212"/>
      <c r="AOW197" s="212"/>
      <c r="AOX197" s="212"/>
      <c r="AOY197" s="212"/>
      <c r="AOZ197" s="212"/>
      <c r="APA197" s="212"/>
      <c r="APB197" s="212"/>
      <c r="APC197" s="212"/>
      <c r="APD197" s="212"/>
      <c r="APE197" s="212"/>
      <c r="APF197" s="212"/>
      <c r="APG197" s="212"/>
      <c r="APH197" s="214"/>
      <c r="API197" s="211"/>
      <c r="APJ197" s="212"/>
      <c r="APK197" s="212"/>
      <c r="APL197" s="212"/>
      <c r="APM197" s="212"/>
      <c r="APN197" s="212"/>
      <c r="APO197" s="212"/>
      <c r="APP197" s="212"/>
      <c r="APQ197" s="212"/>
      <c r="APR197" s="212"/>
      <c r="APS197" s="212"/>
      <c r="APT197" s="212"/>
      <c r="APU197" s="212"/>
      <c r="APV197" s="212"/>
      <c r="APW197" s="212"/>
      <c r="APX197" s="212"/>
      <c r="APY197" s="212"/>
      <c r="APZ197" s="212"/>
      <c r="AQA197" s="212"/>
      <c r="AQB197" s="212"/>
      <c r="AQC197" s="212"/>
      <c r="AQD197" s="212"/>
      <c r="AQE197" s="212"/>
      <c r="AQF197" s="212"/>
      <c r="AQG197" s="212"/>
      <c r="AQH197" s="212"/>
      <c r="AQI197" s="212"/>
      <c r="AQJ197" s="212"/>
      <c r="AQK197" s="212"/>
      <c r="AQL197" s="212"/>
      <c r="AQM197" s="212"/>
      <c r="AQN197" s="212"/>
      <c r="AQO197" s="212"/>
      <c r="AQP197" s="212"/>
      <c r="AQQ197" s="212"/>
      <c r="AQR197" s="212"/>
      <c r="AQS197" s="212"/>
      <c r="AQT197" s="212"/>
      <c r="AQU197" s="212"/>
      <c r="AQV197" s="212"/>
      <c r="AQW197" s="212"/>
      <c r="AQX197" s="212"/>
      <c r="AQY197" s="212"/>
      <c r="AQZ197" s="214"/>
      <c r="ARA197" s="211"/>
      <c r="ARB197" s="212"/>
      <c r="ARC197" s="212"/>
      <c r="ARD197" s="212"/>
      <c r="ARE197" s="212"/>
      <c r="ARF197" s="212"/>
      <c r="ARG197" s="212"/>
      <c r="ARH197" s="212"/>
      <c r="ARI197" s="212"/>
      <c r="ARJ197" s="212"/>
      <c r="ARK197" s="212"/>
      <c r="ARL197" s="212"/>
      <c r="ARM197" s="212"/>
      <c r="ARN197" s="212"/>
      <c r="ARO197" s="212"/>
      <c r="ARP197" s="212"/>
      <c r="ARQ197" s="212"/>
      <c r="ARR197" s="212"/>
      <c r="ARS197" s="212"/>
      <c r="ART197" s="212"/>
      <c r="ARU197" s="212"/>
      <c r="ARV197" s="212"/>
      <c r="ARW197" s="212"/>
      <c r="ARX197" s="212"/>
      <c r="ARY197" s="212"/>
      <c r="ARZ197" s="212"/>
      <c r="ASA197" s="212"/>
      <c r="ASB197" s="212"/>
      <c r="ASC197" s="212"/>
      <c r="ASD197" s="212"/>
      <c r="ASE197" s="212"/>
      <c r="ASF197" s="212"/>
      <c r="ASG197" s="212"/>
      <c r="ASH197" s="212"/>
      <c r="ASI197" s="212"/>
      <c r="ASJ197" s="212"/>
      <c r="ASK197" s="212"/>
      <c r="ASL197" s="212"/>
      <c r="ASM197" s="212"/>
      <c r="ASN197" s="212"/>
      <c r="ASO197" s="212"/>
      <c r="ASP197" s="212"/>
      <c r="ASQ197" s="212"/>
      <c r="ASR197" s="214"/>
      <c r="ASS197" s="211"/>
      <c r="AST197" s="212"/>
      <c r="ASU197" s="212"/>
      <c r="ASV197" s="212"/>
      <c r="ASW197" s="212"/>
      <c r="ASX197" s="212"/>
      <c r="ASY197" s="212"/>
      <c r="ASZ197" s="212"/>
      <c r="ATA197" s="212"/>
      <c r="ATB197" s="212"/>
      <c r="ATC197" s="212"/>
      <c r="ATD197" s="212"/>
      <c r="ATE197" s="212"/>
      <c r="ATF197" s="212"/>
      <c r="ATG197" s="212"/>
      <c r="ATH197" s="212"/>
      <c r="ATI197" s="212"/>
      <c r="ATJ197" s="212"/>
      <c r="ATK197" s="212"/>
      <c r="ATL197" s="212"/>
      <c r="ATM197" s="212"/>
      <c r="ATN197" s="212"/>
      <c r="ATO197" s="212"/>
      <c r="ATP197" s="212"/>
      <c r="ATQ197" s="212"/>
      <c r="ATR197" s="212"/>
      <c r="ATS197" s="212"/>
      <c r="ATT197" s="212"/>
      <c r="ATU197" s="212"/>
      <c r="ATV197" s="212"/>
      <c r="ATW197" s="212"/>
      <c r="ATX197" s="212"/>
      <c r="ATY197" s="212"/>
      <c r="ATZ197" s="212"/>
      <c r="AUA197" s="212"/>
      <c r="AUB197" s="212"/>
      <c r="AUC197" s="212"/>
      <c r="AUD197" s="212"/>
      <c r="AUE197" s="212"/>
      <c r="AUF197" s="212"/>
      <c r="AUG197" s="212"/>
      <c r="AUH197" s="212"/>
      <c r="AUI197" s="212"/>
      <c r="AUJ197" s="214"/>
      <c r="AUK197" s="211"/>
      <c r="AUL197" s="212"/>
      <c r="AUM197" s="212"/>
      <c r="AUN197" s="212"/>
      <c r="AUO197" s="212"/>
      <c r="AUP197" s="212"/>
      <c r="AUQ197" s="212"/>
      <c r="AUR197" s="212"/>
      <c r="AUS197" s="212"/>
      <c r="AUT197" s="212"/>
      <c r="AUU197" s="212"/>
      <c r="AUV197" s="212"/>
      <c r="AUW197" s="212"/>
      <c r="AUX197" s="212"/>
      <c r="AUY197" s="212"/>
      <c r="AUZ197" s="212"/>
      <c r="AVA197" s="212"/>
      <c r="AVB197" s="212"/>
      <c r="AVC197" s="212"/>
      <c r="AVD197" s="212"/>
      <c r="AVE197" s="212"/>
      <c r="AVF197" s="212"/>
      <c r="AVG197" s="212"/>
      <c r="AVH197" s="212"/>
      <c r="AVI197" s="212"/>
      <c r="AVJ197" s="212"/>
      <c r="AVK197" s="212"/>
      <c r="AVL197" s="212"/>
      <c r="AVM197" s="212"/>
      <c r="AVN197" s="212"/>
      <c r="AVO197" s="212"/>
      <c r="AVP197" s="212"/>
      <c r="AVQ197" s="212"/>
      <c r="AVR197" s="212"/>
      <c r="AVS197" s="212"/>
      <c r="AVT197" s="212"/>
      <c r="AVU197" s="212"/>
      <c r="AVV197" s="212"/>
      <c r="AVW197" s="212"/>
      <c r="AVX197" s="212"/>
      <c r="AVY197" s="212"/>
      <c r="AVZ197" s="212"/>
      <c r="AWA197" s="212"/>
      <c r="AWB197" s="214"/>
      <c r="AWC197" s="211"/>
      <c r="AWD197" s="212"/>
      <c r="AWE197" s="212"/>
      <c r="AWF197" s="212"/>
      <c r="AWG197" s="212"/>
      <c r="AWH197" s="212"/>
      <c r="AWI197" s="212"/>
      <c r="AWJ197" s="212"/>
      <c r="AWK197" s="212"/>
      <c r="AWL197" s="212"/>
      <c r="AWM197" s="212"/>
      <c r="AWN197" s="212"/>
      <c r="AWO197" s="212"/>
      <c r="AWP197" s="212"/>
      <c r="AWQ197" s="212"/>
      <c r="AWR197" s="212"/>
      <c r="AWS197" s="212"/>
      <c r="AWT197" s="212"/>
      <c r="AWU197" s="212"/>
      <c r="AWV197" s="212"/>
      <c r="AWW197" s="212"/>
      <c r="AWX197" s="212"/>
      <c r="AWY197" s="212"/>
      <c r="AWZ197" s="212"/>
      <c r="AXA197" s="212"/>
      <c r="AXB197" s="212"/>
      <c r="AXC197" s="212"/>
      <c r="AXD197" s="212"/>
      <c r="AXE197" s="212"/>
      <c r="AXF197" s="212"/>
      <c r="AXG197" s="212"/>
      <c r="AXH197" s="212"/>
      <c r="AXI197" s="212"/>
      <c r="AXJ197" s="212"/>
      <c r="AXK197" s="212"/>
      <c r="AXL197" s="212"/>
      <c r="AXM197" s="212"/>
      <c r="AXN197" s="212"/>
      <c r="AXO197" s="212"/>
      <c r="AXP197" s="212"/>
      <c r="AXQ197" s="212"/>
      <c r="AXR197" s="212"/>
      <c r="AXS197" s="212"/>
      <c r="AXT197" s="214"/>
      <c r="AXU197" s="211"/>
      <c r="AXV197" s="212"/>
      <c r="AXW197" s="212"/>
      <c r="AXX197" s="212"/>
      <c r="AXY197" s="212"/>
      <c r="AXZ197" s="212"/>
      <c r="AYA197" s="212"/>
      <c r="AYB197" s="212"/>
      <c r="AYC197" s="212"/>
      <c r="AYD197" s="212"/>
      <c r="AYE197" s="212"/>
      <c r="AYF197" s="212"/>
      <c r="AYG197" s="212"/>
      <c r="AYH197" s="212"/>
      <c r="AYI197" s="212"/>
      <c r="AYJ197" s="212"/>
      <c r="AYK197" s="212"/>
      <c r="AYL197" s="212"/>
      <c r="AYM197" s="212"/>
      <c r="AYN197" s="212"/>
      <c r="AYO197" s="212"/>
      <c r="AYP197" s="212"/>
      <c r="AYQ197" s="212"/>
      <c r="AYR197" s="212"/>
      <c r="AYS197" s="212"/>
      <c r="AYT197" s="212"/>
      <c r="AYU197" s="212"/>
      <c r="AYV197" s="212"/>
      <c r="AYW197" s="212"/>
      <c r="AYX197" s="212"/>
      <c r="AYY197" s="212"/>
      <c r="AYZ197" s="212"/>
      <c r="AZA197" s="212"/>
      <c r="AZB197" s="212"/>
      <c r="AZC197" s="212"/>
      <c r="AZD197" s="212"/>
      <c r="AZE197" s="212"/>
      <c r="AZF197" s="212"/>
      <c r="AZG197" s="212"/>
      <c r="AZH197" s="212"/>
      <c r="AZI197" s="212"/>
      <c r="AZJ197" s="212"/>
      <c r="AZK197" s="212"/>
      <c r="AZL197" s="214"/>
      <c r="AZM197" s="211"/>
      <c r="AZN197" s="212"/>
      <c r="AZO197" s="212"/>
      <c r="AZP197" s="212"/>
      <c r="AZQ197" s="212"/>
      <c r="AZR197" s="212"/>
      <c r="AZS197" s="212"/>
      <c r="AZT197" s="212"/>
      <c r="AZU197" s="212"/>
      <c r="AZV197" s="212"/>
      <c r="AZW197" s="212"/>
      <c r="AZX197" s="212"/>
      <c r="AZY197" s="212"/>
      <c r="AZZ197" s="212"/>
      <c r="BAA197" s="212"/>
      <c r="BAB197" s="212"/>
      <c r="BAC197" s="212"/>
      <c r="BAD197" s="212"/>
      <c r="BAE197" s="212"/>
      <c r="BAF197" s="212"/>
      <c r="BAG197" s="212"/>
      <c r="BAH197" s="212"/>
      <c r="BAI197" s="212"/>
      <c r="BAJ197" s="212"/>
      <c r="BAK197" s="212"/>
      <c r="BAL197" s="212"/>
      <c r="BAM197" s="212"/>
      <c r="BAN197" s="212"/>
      <c r="BAO197" s="212"/>
      <c r="BAP197" s="212"/>
      <c r="BAQ197" s="212"/>
      <c r="BAR197" s="212"/>
      <c r="BAS197" s="212"/>
      <c r="BAT197" s="212"/>
      <c r="BAU197" s="212"/>
      <c r="BAV197" s="212"/>
      <c r="BAW197" s="212"/>
      <c r="BAX197" s="212"/>
      <c r="BAY197" s="212"/>
      <c r="BAZ197" s="212"/>
      <c r="BBA197" s="212"/>
      <c r="BBB197" s="212"/>
      <c r="BBC197" s="212"/>
      <c r="BBD197" s="214"/>
      <c r="BBE197" s="211"/>
      <c r="BBF197" s="212"/>
      <c r="BBG197" s="212"/>
      <c r="BBH197" s="212"/>
      <c r="BBI197" s="212"/>
      <c r="BBJ197" s="212"/>
      <c r="BBK197" s="212"/>
      <c r="BBL197" s="212"/>
      <c r="BBM197" s="212"/>
      <c r="BBN197" s="212"/>
      <c r="BBO197" s="212"/>
      <c r="BBP197" s="212"/>
      <c r="BBQ197" s="212"/>
      <c r="BBR197" s="212"/>
      <c r="BBS197" s="212"/>
      <c r="BBT197" s="212"/>
      <c r="BBU197" s="212"/>
      <c r="BBV197" s="212"/>
      <c r="BBW197" s="212"/>
      <c r="BBX197" s="212"/>
      <c r="BBY197" s="212"/>
      <c r="BBZ197" s="212"/>
      <c r="BCA197" s="212"/>
      <c r="BCB197" s="212"/>
      <c r="BCC197" s="212"/>
      <c r="BCD197" s="212"/>
      <c r="BCE197" s="212"/>
      <c r="BCF197" s="212"/>
      <c r="BCG197" s="212"/>
      <c r="BCH197" s="212"/>
      <c r="BCI197" s="212"/>
      <c r="BCJ197" s="212"/>
      <c r="BCK197" s="212"/>
      <c r="BCL197" s="212"/>
      <c r="BCM197" s="212"/>
      <c r="BCN197" s="212"/>
      <c r="BCO197" s="212"/>
      <c r="BCP197" s="212"/>
      <c r="BCQ197" s="212"/>
      <c r="BCR197" s="212"/>
      <c r="BCS197" s="212"/>
      <c r="BCT197" s="212"/>
      <c r="BCU197" s="212"/>
      <c r="BCV197" s="214"/>
      <c r="BCW197" s="211"/>
      <c r="BCX197" s="212"/>
      <c r="BCY197" s="212"/>
      <c r="BCZ197" s="212"/>
      <c r="BDA197" s="212"/>
      <c r="BDB197" s="212"/>
      <c r="BDC197" s="212"/>
      <c r="BDD197" s="212"/>
      <c r="BDE197" s="212"/>
      <c r="BDF197" s="212"/>
      <c r="BDG197" s="212"/>
      <c r="BDH197" s="212"/>
      <c r="BDI197" s="212"/>
      <c r="BDJ197" s="212"/>
      <c r="BDK197" s="212"/>
      <c r="BDL197" s="212"/>
      <c r="BDM197" s="212"/>
      <c r="BDN197" s="212"/>
      <c r="BDO197" s="212"/>
      <c r="BDP197" s="212"/>
      <c r="BDQ197" s="212"/>
      <c r="BDR197" s="212"/>
      <c r="BDS197" s="212"/>
      <c r="BDT197" s="212"/>
      <c r="BDU197" s="212"/>
      <c r="BDV197" s="212"/>
      <c r="BDW197" s="212"/>
      <c r="BDX197" s="212"/>
      <c r="BDY197" s="212"/>
      <c r="BDZ197" s="212"/>
      <c r="BEA197" s="212"/>
      <c r="BEB197" s="212"/>
      <c r="BEC197" s="212"/>
      <c r="BED197" s="212"/>
      <c r="BEE197" s="212"/>
      <c r="BEF197" s="212"/>
      <c r="BEG197" s="212"/>
      <c r="BEH197" s="212"/>
      <c r="BEI197" s="212"/>
      <c r="BEJ197" s="212"/>
      <c r="BEK197" s="212"/>
      <c r="BEL197" s="212"/>
      <c r="BEM197" s="212"/>
      <c r="BEN197" s="214"/>
      <c r="BEO197" s="211"/>
      <c r="BEP197" s="212"/>
      <c r="BEQ197" s="212"/>
      <c r="BER197" s="212"/>
      <c r="BES197" s="212"/>
      <c r="BET197" s="212"/>
      <c r="BEU197" s="212"/>
      <c r="BEV197" s="212"/>
      <c r="BEW197" s="212"/>
      <c r="BEX197" s="212"/>
      <c r="BEY197" s="212"/>
      <c r="BEZ197" s="212"/>
      <c r="BFA197" s="212"/>
      <c r="BFB197" s="212"/>
      <c r="BFC197" s="212"/>
      <c r="BFD197" s="212"/>
      <c r="BFE197" s="212"/>
      <c r="BFF197" s="212"/>
      <c r="BFG197" s="212"/>
      <c r="BFH197" s="212"/>
      <c r="BFI197" s="212"/>
      <c r="BFJ197" s="212"/>
      <c r="BFK197" s="212"/>
      <c r="BFL197" s="212"/>
      <c r="BFM197" s="212"/>
      <c r="BFN197" s="212"/>
      <c r="BFO197" s="212"/>
      <c r="BFP197" s="212"/>
      <c r="BFQ197" s="212"/>
      <c r="BFR197" s="212"/>
      <c r="BFS197" s="212"/>
      <c r="BFT197" s="212"/>
      <c r="BFU197" s="212"/>
      <c r="BFV197" s="212"/>
      <c r="BFW197" s="212"/>
      <c r="BFX197" s="212"/>
      <c r="BFY197" s="212"/>
      <c r="BFZ197" s="212"/>
      <c r="BGA197" s="212"/>
      <c r="BGB197" s="212"/>
      <c r="BGC197" s="212"/>
      <c r="BGD197" s="212"/>
      <c r="BGE197" s="212"/>
      <c r="BGF197" s="214"/>
      <c r="BGG197" s="211"/>
      <c r="BGH197" s="212"/>
      <c r="BGI197" s="212"/>
      <c r="BGJ197" s="212"/>
      <c r="BGK197" s="212"/>
      <c r="BGL197" s="212"/>
      <c r="BGM197" s="212"/>
      <c r="BGN197" s="212"/>
      <c r="BGO197" s="212"/>
      <c r="BGP197" s="212"/>
      <c r="BGQ197" s="212"/>
      <c r="BGR197" s="212"/>
      <c r="BGS197" s="212"/>
      <c r="BGT197" s="212"/>
      <c r="BGU197" s="212"/>
      <c r="BGV197" s="212"/>
      <c r="BGW197" s="212"/>
      <c r="BGX197" s="212"/>
      <c r="BGY197" s="212"/>
      <c r="BGZ197" s="212"/>
      <c r="BHA197" s="212"/>
      <c r="BHB197" s="212"/>
      <c r="BHC197" s="212"/>
      <c r="BHD197" s="212"/>
      <c r="BHE197" s="212"/>
      <c r="BHF197" s="212"/>
      <c r="BHG197" s="212"/>
      <c r="BHH197" s="212"/>
      <c r="BHI197" s="212"/>
      <c r="BHJ197" s="212"/>
      <c r="BHK197" s="212"/>
      <c r="BHL197" s="212"/>
      <c r="BHM197" s="212"/>
      <c r="BHN197" s="212"/>
      <c r="BHO197" s="212"/>
      <c r="BHP197" s="212"/>
      <c r="BHQ197" s="212"/>
      <c r="BHR197" s="212"/>
      <c r="BHS197" s="212"/>
      <c r="BHT197" s="212"/>
      <c r="BHU197" s="212"/>
      <c r="BHV197" s="212"/>
      <c r="BHW197" s="212"/>
      <c r="BHX197" s="214"/>
      <c r="BHY197" s="211"/>
      <c r="BHZ197" s="212"/>
      <c r="BIA197" s="212"/>
      <c r="BIB197" s="212"/>
      <c r="BIC197" s="212"/>
      <c r="BID197" s="212"/>
      <c r="BIE197" s="212"/>
      <c r="BIF197" s="212"/>
      <c r="BIG197" s="212"/>
      <c r="BIH197" s="212"/>
      <c r="BII197" s="212"/>
      <c r="BIJ197" s="212"/>
      <c r="BIK197" s="212"/>
      <c r="BIL197" s="212"/>
      <c r="BIM197" s="212"/>
      <c r="BIN197" s="212"/>
      <c r="BIO197" s="212"/>
      <c r="BIP197" s="212"/>
      <c r="BIQ197" s="212"/>
      <c r="BIR197" s="212"/>
      <c r="BIS197" s="212"/>
      <c r="BIT197" s="212"/>
      <c r="BIU197" s="212"/>
      <c r="BIV197" s="212"/>
      <c r="BIW197" s="212"/>
      <c r="BIX197" s="212"/>
      <c r="BIY197" s="212"/>
      <c r="BIZ197" s="212"/>
      <c r="BJA197" s="212"/>
      <c r="BJB197" s="212"/>
      <c r="BJC197" s="212"/>
      <c r="BJD197" s="212"/>
      <c r="BJE197" s="212"/>
      <c r="BJF197" s="212"/>
      <c r="BJG197" s="212"/>
      <c r="BJH197" s="212"/>
      <c r="BJI197" s="212"/>
      <c r="BJJ197" s="212"/>
      <c r="BJK197" s="212"/>
      <c r="BJL197" s="212"/>
      <c r="BJM197" s="212"/>
      <c r="BJN197" s="212"/>
      <c r="BJO197" s="212"/>
      <c r="BJP197" s="214"/>
      <c r="BJQ197" s="211"/>
      <c r="BJR197" s="212"/>
      <c r="BJS197" s="212"/>
      <c r="BJT197" s="212"/>
      <c r="BJU197" s="212"/>
      <c r="BJV197" s="212"/>
      <c r="BJW197" s="212"/>
      <c r="BJX197" s="212"/>
      <c r="BJY197" s="212"/>
      <c r="BJZ197" s="212"/>
      <c r="BKA197" s="212"/>
      <c r="BKB197" s="212"/>
      <c r="BKC197" s="212"/>
      <c r="BKD197" s="212"/>
      <c r="BKE197" s="212"/>
      <c r="BKF197" s="212"/>
      <c r="BKG197" s="212"/>
      <c r="BKH197" s="212"/>
      <c r="BKI197" s="212"/>
      <c r="BKJ197" s="212"/>
      <c r="BKK197" s="212"/>
      <c r="BKL197" s="212"/>
      <c r="BKM197" s="212"/>
      <c r="BKN197" s="212"/>
      <c r="BKO197" s="212"/>
      <c r="BKP197" s="212"/>
      <c r="BKQ197" s="212"/>
      <c r="BKR197" s="212"/>
      <c r="BKS197" s="212"/>
      <c r="BKT197" s="212"/>
      <c r="BKU197" s="212"/>
      <c r="BKV197" s="212"/>
      <c r="BKW197" s="212"/>
      <c r="BKX197" s="212"/>
      <c r="BKY197" s="212"/>
      <c r="BKZ197" s="212"/>
      <c r="BLA197" s="212"/>
      <c r="BLB197" s="212"/>
      <c r="BLC197" s="212"/>
      <c r="BLD197" s="212"/>
      <c r="BLE197" s="212"/>
      <c r="BLF197" s="212"/>
      <c r="BLG197" s="212"/>
      <c r="BLH197" s="214"/>
      <c r="BLI197" s="211"/>
      <c r="BLJ197" s="212"/>
      <c r="BLK197" s="212"/>
      <c r="BLL197" s="212"/>
      <c r="BLM197" s="212"/>
      <c r="BLN197" s="212"/>
      <c r="BLO197" s="212"/>
      <c r="BLP197" s="212"/>
      <c r="BLQ197" s="212"/>
      <c r="BLR197" s="212"/>
      <c r="BLS197" s="212"/>
      <c r="BLT197" s="212"/>
      <c r="BLU197" s="212"/>
      <c r="BLV197" s="212"/>
      <c r="BLW197" s="212"/>
      <c r="BLX197" s="212"/>
      <c r="BLY197" s="212"/>
      <c r="BLZ197" s="212"/>
      <c r="BMA197" s="212"/>
      <c r="BMB197" s="212"/>
      <c r="BMC197" s="212"/>
      <c r="BMD197" s="212"/>
      <c r="BME197" s="212"/>
      <c r="BMF197" s="212"/>
      <c r="BMG197" s="212"/>
      <c r="BMH197" s="212"/>
      <c r="BMI197" s="212"/>
      <c r="BMJ197" s="212"/>
      <c r="BMK197" s="212"/>
      <c r="BML197" s="212"/>
      <c r="BMM197" s="212"/>
      <c r="BMN197" s="212"/>
      <c r="BMO197" s="212"/>
      <c r="BMP197" s="212"/>
      <c r="BMQ197" s="212"/>
      <c r="BMR197" s="212"/>
      <c r="BMS197" s="212"/>
      <c r="BMT197" s="212"/>
      <c r="BMU197" s="212"/>
      <c r="BMV197" s="212"/>
      <c r="BMW197" s="212"/>
      <c r="BMX197" s="212"/>
      <c r="BMY197" s="212"/>
      <c r="BMZ197" s="214"/>
      <c r="BNA197" s="211"/>
      <c r="BNB197" s="212"/>
      <c r="BNC197" s="212"/>
      <c r="BND197" s="212"/>
      <c r="BNE197" s="212"/>
      <c r="BNF197" s="212"/>
      <c r="BNG197" s="212"/>
      <c r="BNH197" s="212"/>
      <c r="BNI197" s="212"/>
      <c r="BNJ197" s="212"/>
      <c r="BNK197" s="212"/>
      <c r="BNL197" s="212"/>
      <c r="BNM197" s="212"/>
      <c r="BNN197" s="212"/>
      <c r="BNO197" s="212"/>
      <c r="BNP197" s="212"/>
      <c r="BNQ197" s="212"/>
      <c r="BNR197" s="212"/>
      <c r="BNS197" s="212"/>
      <c r="BNT197" s="212"/>
      <c r="BNU197" s="212"/>
      <c r="BNV197" s="212"/>
      <c r="BNW197" s="212"/>
      <c r="BNX197" s="212"/>
      <c r="BNY197" s="212"/>
      <c r="BNZ197" s="212"/>
      <c r="BOA197" s="212"/>
      <c r="BOB197" s="212"/>
      <c r="BOC197" s="212"/>
      <c r="BOD197" s="212"/>
      <c r="BOE197" s="212"/>
      <c r="BOF197" s="212"/>
      <c r="BOG197" s="212"/>
      <c r="BOH197" s="212"/>
      <c r="BOI197" s="212"/>
      <c r="BOJ197" s="212"/>
      <c r="BOK197" s="212"/>
      <c r="BOL197" s="212"/>
      <c r="BOM197" s="212"/>
      <c r="BON197" s="212"/>
      <c r="BOO197" s="212"/>
      <c r="BOP197" s="212"/>
      <c r="BOQ197" s="212"/>
      <c r="BOR197" s="214"/>
      <c r="BOS197" s="211"/>
      <c r="BOT197" s="212"/>
      <c r="BOU197" s="212"/>
      <c r="BOV197" s="212"/>
      <c r="BOW197" s="212"/>
      <c r="BOX197" s="212"/>
      <c r="BOY197" s="212"/>
      <c r="BOZ197" s="212"/>
      <c r="BPA197" s="212"/>
      <c r="BPB197" s="212"/>
      <c r="BPC197" s="212"/>
      <c r="BPD197" s="212"/>
      <c r="BPE197" s="212"/>
      <c r="BPF197" s="212"/>
      <c r="BPG197" s="212"/>
      <c r="BPH197" s="212"/>
      <c r="BPI197" s="212"/>
      <c r="BPJ197" s="212"/>
      <c r="BPK197" s="212"/>
      <c r="BPL197" s="212"/>
      <c r="BPM197" s="212"/>
      <c r="BPN197" s="212"/>
      <c r="BPO197" s="212"/>
      <c r="BPP197" s="212"/>
      <c r="BPQ197" s="212"/>
      <c r="BPR197" s="212"/>
      <c r="BPS197" s="212"/>
      <c r="BPT197" s="212"/>
      <c r="BPU197" s="212"/>
      <c r="BPV197" s="212"/>
      <c r="BPW197" s="212"/>
      <c r="BPX197" s="212"/>
      <c r="BPY197" s="212"/>
      <c r="BPZ197" s="212"/>
      <c r="BQA197" s="212"/>
      <c r="BQB197" s="212"/>
      <c r="BQC197" s="212"/>
      <c r="BQD197" s="212"/>
      <c r="BQE197" s="212"/>
      <c r="BQF197" s="212"/>
      <c r="BQG197" s="212"/>
      <c r="BQH197" s="212"/>
      <c r="BQI197" s="212"/>
      <c r="BQJ197" s="214"/>
      <c r="BQK197" s="211"/>
      <c r="BQL197" s="212"/>
      <c r="BQM197" s="212"/>
      <c r="BQN197" s="212"/>
      <c r="BQO197" s="212"/>
      <c r="BQP197" s="212"/>
      <c r="BQQ197" s="212"/>
      <c r="BQR197" s="212"/>
      <c r="BQS197" s="212"/>
      <c r="BQT197" s="212"/>
      <c r="BQU197" s="212"/>
      <c r="BQV197" s="212"/>
      <c r="BQW197" s="212"/>
      <c r="BQX197" s="212"/>
      <c r="BQY197" s="212"/>
      <c r="BQZ197" s="212"/>
      <c r="BRA197" s="212"/>
      <c r="BRB197" s="212"/>
      <c r="BRC197" s="212"/>
      <c r="BRD197" s="212"/>
      <c r="BRE197" s="212"/>
      <c r="BRF197" s="212"/>
      <c r="BRG197" s="212"/>
      <c r="BRH197" s="212"/>
      <c r="BRI197" s="212"/>
      <c r="BRJ197" s="212"/>
      <c r="BRK197" s="212"/>
      <c r="BRL197" s="212"/>
      <c r="BRM197" s="212"/>
      <c r="BRN197" s="212"/>
      <c r="BRO197" s="212"/>
      <c r="BRP197" s="212"/>
      <c r="BRQ197" s="212"/>
      <c r="BRR197" s="212"/>
      <c r="BRS197" s="212"/>
      <c r="BRT197" s="212"/>
      <c r="BRU197" s="212"/>
      <c r="BRV197" s="212"/>
      <c r="BRW197" s="212"/>
      <c r="BRX197" s="212"/>
      <c r="BRY197" s="212"/>
      <c r="BRZ197" s="212"/>
      <c r="BSA197" s="212"/>
      <c r="BSB197" s="214"/>
      <c r="BSC197" s="211"/>
      <c r="BSD197" s="212"/>
      <c r="BSE197" s="212"/>
      <c r="BSF197" s="212"/>
      <c r="BSG197" s="212"/>
      <c r="BSH197" s="212"/>
      <c r="BSI197" s="212"/>
      <c r="BSJ197" s="212"/>
      <c r="BSK197" s="212"/>
      <c r="BSL197" s="212"/>
      <c r="BSM197" s="212"/>
      <c r="BSN197" s="212"/>
      <c r="BSO197" s="212"/>
      <c r="BSP197" s="212"/>
      <c r="BSQ197" s="212"/>
      <c r="BSR197" s="212"/>
      <c r="BSS197" s="212"/>
      <c r="BST197" s="212"/>
      <c r="BSU197" s="212"/>
      <c r="BSV197" s="212"/>
      <c r="BSW197" s="212"/>
      <c r="BSX197" s="212"/>
      <c r="BSY197" s="212"/>
      <c r="BSZ197" s="212"/>
      <c r="BTA197" s="212"/>
      <c r="BTB197" s="212"/>
      <c r="BTC197" s="212"/>
      <c r="BTD197" s="212"/>
      <c r="BTE197" s="212"/>
      <c r="BTF197" s="212"/>
      <c r="BTG197" s="212"/>
      <c r="BTH197" s="212"/>
      <c r="BTI197" s="212"/>
      <c r="BTJ197" s="212"/>
      <c r="BTK197" s="212"/>
      <c r="BTL197" s="212"/>
      <c r="BTM197" s="212"/>
      <c r="BTN197" s="212"/>
      <c r="BTO197" s="212"/>
      <c r="BTP197" s="212"/>
      <c r="BTQ197" s="212"/>
      <c r="BTR197" s="212"/>
      <c r="BTS197" s="212"/>
      <c r="BTT197" s="214"/>
      <c r="BTU197" s="211"/>
      <c r="BTV197" s="212"/>
      <c r="BTW197" s="212"/>
      <c r="BTX197" s="212"/>
      <c r="BTY197" s="212"/>
      <c r="BTZ197" s="212"/>
      <c r="BUA197" s="212"/>
      <c r="BUB197" s="212"/>
      <c r="BUC197" s="212"/>
      <c r="BUD197" s="212"/>
      <c r="BUE197" s="212"/>
      <c r="BUF197" s="212"/>
      <c r="BUG197" s="212"/>
      <c r="BUH197" s="212"/>
      <c r="BUI197" s="212"/>
      <c r="BUJ197" s="212"/>
      <c r="BUK197" s="212"/>
      <c r="BUL197" s="212"/>
      <c r="BUM197" s="212"/>
      <c r="BUN197" s="212"/>
      <c r="BUO197" s="212"/>
      <c r="BUP197" s="212"/>
      <c r="BUQ197" s="212"/>
      <c r="BUR197" s="212"/>
      <c r="BUS197" s="212"/>
      <c r="BUT197" s="212"/>
      <c r="BUU197" s="212"/>
      <c r="BUV197" s="212"/>
      <c r="BUW197" s="212"/>
      <c r="BUX197" s="212"/>
      <c r="BUY197" s="212"/>
      <c r="BUZ197" s="212"/>
      <c r="BVA197" s="212"/>
      <c r="BVB197" s="212"/>
      <c r="BVC197" s="212"/>
      <c r="BVD197" s="212"/>
      <c r="BVE197" s="212"/>
      <c r="BVF197" s="212"/>
      <c r="BVG197" s="212"/>
      <c r="BVH197" s="212"/>
      <c r="BVI197" s="212"/>
      <c r="BVJ197" s="212"/>
      <c r="BVK197" s="212"/>
      <c r="BVL197" s="214"/>
      <c r="BVM197" s="211"/>
      <c r="BVN197" s="212"/>
      <c r="BVO197" s="212"/>
      <c r="BVP197" s="212"/>
      <c r="BVQ197" s="212"/>
      <c r="BVR197" s="212"/>
      <c r="BVS197" s="212"/>
      <c r="BVT197" s="212"/>
      <c r="BVU197" s="212"/>
      <c r="BVV197" s="212"/>
      <c r="BVW197" s="212"/>
      <c r="BVX197" s="212"/>
      <c r="BVY197" s="212"/>
      <c r="BVZ197" s="212"/>
      <c r="BWA197" s="212"/>
      <c r="BWB197" s="212"/>
      <c r="BWC197" s="212"/>
      <c r="BWD197" s="212"/>
      <c r="BWE197" s="212"/>
      <c r="BWF197" s="212"/>
      <c r="BWG197" s="212"/>
      <c r="BWH197" s="212"/>
      <c r="BWI197" s="212"/>
      <c r="BWJ197" s="212"/>
      <c r="BWK197" s="212"/>
      <c r="BWL197" s="212"/>
      <c r="BWM197" s="212"/>
      <c r="BWN197" s="212"/>
      <c r="BWO197" s="212"/>
      <c r="BWP197" s="212"/>
      <c r="BWQ197" s="212"/>
      <c r="BWR197" s="212"/>
      <c r="BWS197" s="212"/>
      <c r="BWT197" s="212"/>
      <c r="BWU197" s="212"/>
      <c r="BWV197" s="212"/>
      <c r="BWW197" s="212"/>
      <c r="BWX197" s="212"/>
      <c r="BWY197" s="212"/>
      <c r="BWZ197" s="212"/>
      <c r="BXA197" s="212"/>
      <c r="BXB197" s="212"/>
      <c r="BXC197" s="212"/>
      <c r="BXD197" s="214"/>
      <c r="BXE197" s="211"/>
      <c r="BXF197" s="212"/>
      <c r="BXG197" s="212"/>
      <c r="BXH197" s="212"/>
      <c r="BXI197" s="212"/>
      <c r="BXJ197" s="212"/>
      <c r="BXK197" s="212"/>
      <c r="BXL197" s="212"/>
      <c r="BXM197" s="212"/>
      <c r="BXN197" s="212"/>
      <c r="BXO197" s="212"/>
      <c r="BXP197" s="212"/>
      <c r="BXQ197" s="212"/>
      <c r="BXR197" s="212"/>
      <c r="BXS197" s="212"/>
      <c r="BXT197" s="212"/>
      <c r="BXU197" s="212"/>
      <c r="BXV197" s="212"/>
      <c r="BXW197" s="212"/>
      <c r="BXX197" s="212"/>
      <c r="BXY197" s="212"/>
      <c r="BXZ197" s="212"/>
      <c r="BYA197" s="212"/>
      <c r="BYB197" s="212"/>
      <c r="BYC197" s="212"/>
      <c r="BYD197" s="212"/>
      <c r="BYE197" s="212"/>
      <c r="BYF197" s="212"/>
      <c r="BYG197" s="212"/>
      <c r="BYH197" s="212"/>
      <c r="BYI197" s="212"/>
      <c r="BYJ197" s="212"/>
      <c r="BYK197" s="212"/>
      <c r="BYL197" s="212"/>
      <c r="BYM197" s="212"/>
      <c r="BYN197" s="212"/>
      <c r="BYO197" s="212"/>
      <c r="BYP197" s="212"/>
      <c r="BYQ197" s="212"/>
      <c r="BYR197" s="212"/>
      <c r="BYS197" s="212"/>
      <c r="BYT197" s="212"/>
      <c r="BYU197" s="212"/>
      <c r="BYV197" s="214"/>
      <c r="BYW197" s="211"/>
      <c r="BYX197" s="212"/>
      <c r="BYY197" s="212"/>
      <c r="BYZ197" s="212"/>
      <c r="BZA197" s="212"/>
      <c r="BZB197" s="212"/>
      <c r="BZC197" s="212"/>
      <c r="BZD197" s="212"/>
      <c r="BZE197" s="212"/>
      <c r="BZF197" s="212"/>
      <c r="BZG197" s="212"/>
      <c r="BZH197" s="212"/>
      <c r="BZI197" s="212"/>
      <c r="BZJ197" s="212"/>
      <c r="BZK197" s="212"/>
      <c r="BZL197" s="212"/>
      <c r="BZM197" s="212"/>
      <c r="BZN197" s="212"/>
      <c r="BZO197" s="212"/>
      <c r="BZP197" s="212"/>
      <c r="BZQ197" s="212"/>
      <c r="BZR197" s="212"/>
      <c r="BZS197" s="212"/>
      <c r="BZT197" s="212"/>
      <c r="BZU197" s="212"/>
      <c r="BZV197" s="212"/>
      <c r="BZW197" s="212"/>
      <c r="BZX197" s="212"/>
      <c r="BZY197" s="212"/>
      <c r="BZZ197" s="212"/>
      <c r="CAA197" s="212"/>
      <c r="CAB197" s="212"/>
      <c r="CAC197" s="212"/>
      <c r="CAD197" s="212"/>
      <c r="CAE197" s="212"/>
      <c r="CAF197" s="212"/>
      <c r="CAG197" s="212"/>
      <c r="CAH197" s="212"/>
      <c r="CAI197" s="212"/>
      <c r="CAJ197" s="212"/>
      <c r="CAK197" s="212"/>
      <c r="CAL197" s="212"/>
      <c r="CAM197" s="212"/>
      <c r="CAN197" s="214"/>
      <c r="CAO197" s="211"/>
      <c r="CAP197" s="212"/>
      <c r="CAQ197" s="212"/>
      <c r="CAR197" s="212"/>
      <c r="CAS197" s="212"/>
      <c r="CAT197" s="212"/>
      <c r="CAU197" s="212"/>
      <c r="CAV197" s="212"/>
      <c r="CAW197" s="212"/>
      <c r="CAX197" s="212"/>
      <c r="CAY197" s="212"/>
      <c r="CAZ197" s="212"/>
      <c r="CBA197" s="212"/>
      <c r="CBB197" s="212"/>
      <c r="CBC197" s="212"/>
      <c r="CBD197" s="212"/>
      <c r="CBE197" s="212"/>
      <c r="CBF197" s="212"/>
      <c r="CBG197" s="212"/>
      <c r="CBH197" s="212"/>
      <c r="CBI197" s="212"/>
      <c r="CBJ197" s="212"/>
      <c r="CBK197" s="212"/>
      <c r="CBL197" s="212"/>
      <c r="CBM197" s="212"/>
      <c r="CBN197" s="212"/>
      <c r="CBO197" s="212"/>
      <c r="CBP197" s="212"/>
      <c r="CBQ197" s="212"/>
      <c r="CBR197" s="212"/>
      <c r="CBS197" s="212"/>
      <c r="CBT197" s="212"/>
      <c r="CBU197" s="212"/>
      <c r="CBV197" s="212"/>
      <c r="CBW197" s="212"/>
      <c r="CBX197" s="212"/>
      <c r="CBY197" s="212"/>
      <c r="CBZ197" s="212"/>
      <c r="CCA197" s="212"/>
      <c r="CCB197" s="212"/>
      <c r="CCC197" s="212"/>
      <c r="CCD197" s="212"/>
      <c r="CCE197" s="212"/>
      <c r="CCF197" s="214"/>
      <c r="CCG197" s="211"/>
      <c r="CCH197" s="212"/>
      <c r="CCI197" s="212"/>
      <c r="CCJ197" s="212"/>
      <c r="CCK197" s="212"/>
      <c r="CCL197" s="212"/>
      <c r="CCM197" s="212"/>
      <c r="CCN197" s="212"/>
      <c r="CCO197" s="212"/>
      <c r="CCP197" s="212"/>
      <c r="CCQ197" s="212"/>
      <c r="CCR197" s="212"/>
      <c r="CCS197" s="212"/>
      <c r="CCT197" s="212"/>
      <c r="CCU197" s="212"/>
      <c r="CCV197" s="212"/>
      <c r="CCW197" s="212"/>
      <c r="CCX197" s="212"/>
      <c r="CCY197" s="212"/>
      <c r="CCZ197" s="212"/>
      <c r="CDA197" s="212"/>
      <c r="CDB197" s="212"/>
      <c r="CDC197" s="212"/>
      <c r="CDD197" s="212"/>
      <c r="CDE197" s="212"/>
      <c r="CDF197" s="212"/>
      <c r="CDG197" s="212"/>
      <c r="CDH197" s="212"/>
      <c r="CDI197" s="212"/>
      <c r="CDJ197" s="212"/>
      <c r="CDK197" s="212"/>
      <c r="CDL197" s="212"/>
      <c r="CDM197" s="212"/>
      <c r="CDN197" s="212"/>
      <c r="CDO197" s="212"/>
      <c r="CDP197" s="212"/>
      <c r="CDQ197" s="212"/>
      <c r="CDR197" s="212"/>
      <c r="CDS197" s="212"/>
      <c r="CDT197" s="212"/>
      <c r="CDU197" s="212"/>
      <c r="CDV197" s="212"/>
      <c r="CDW197" s="212"/>
      <c r="CDX197" s="214"/>
      <c r="CDY197" s="211"/>
      <c r="CDZ197" s="212"/>
      <c r="CEA197" s="212"/>
      <c r="CEB197" s="212"/>
      <c r="CEC197" s="212"/>
      <c r="CED197" s="212"/>
      <c r="CEE197" s="212"/>
      <c r="CEF197" s="212"/>
      <c r="CEG197" s="212"/>
      <c r="CEH197" s="212"/>
      <c r="CEI197" s="212"/>
      <c r="CEJ197" s="212"/>
      <c r="CEK197" s="212"/>
      <c r="CEL197" s="212"/>
      <c r="CEM197" s="212"/>
      <c r="CEN197" s="212"/>
      <c r="CEO197" s="212"/>
      <c r="CEP197" s="212"/>
      <c r="CEQ197" s="212"/>
      <c r="CER197" s="212"/>
      <c r="CES197" s="212"/>
      <c r="CET197" s="212"/>
      <c r="CEU197" s="212"/>
      <c r="CEV197" s="212"/>
      <c r="CEW197" s="212"/>
      <c r="CEX197" s="212"/>
      <c r="CEY197" s="212"/>
      <c r="CEZ197" s="212"/>
      <c r="CFA197" s="212"/>
      <c r="CFB197" s="212"/>
      <c r="CFC197" s="212"/>
      <c r="CFD197" s="212"/>
      <c r="CFE197" s="212"/>
      <c r="CFF197" s="212"/>
      <c r="CFG197" s="212"/>
      <c r="CFH197" s="212"/>
      <c r="CFI197" s="212"/>
      <c r="CFJ197" s="212"/>
      <c r="CFK197" s="212"/>
      <c r="CFL197" s="212"/>
      <c r="CFM197" s="212"/>
      <c r="CFN197" s="212"/>
      <c r="CFO197" s="212"/>
      <c r="CFP197" s="214"/>
      <c r="CFQ197" s="211"/>
      <c r="CFR197" s="212"/>
      <c r="CFS197" s="212"/>
      <c r="CFT197" s="212"/>
      <c r="CFU197" s="212"/>
      <c r="CFV197" s="212"/>
      <c r="CFW197" s="212"/>
      <c r="CFX197" s="212"/>
      <c r="CFY197" s="212"/>
      <c r="CFZ197" s="212"/>
      <c r="CGA197" s="212"/>
      <c r="CGB197" s="212"/>
      <c r="CGC197" s="212"/>
      <c r="CGD197" s="212"/>
      <c r="CGE197" s="212"/>
      <c r="CGF197" s="212"/>
      <c r="CGG197" s="212"/>
      <c r="CGH197" s="212"/>
      <c r="CGI197" s="212"/>
      <c r="CGJ197" s="212"/>
      <c r="CGK197" s="212"/>
      <c r="CGL197" s="212"/>
      <c r="CGM197" s="212"/>
      <c r="CGN197" s="212"/>
      <c r="CGO197" s="212"/>
      <c r="CGP197" s="212"/>
      <c r="CGQ197" s="212"/>
      <c r="CGR197" s="212"/>
      <c r="CGS197" s="212"/>
      <c r="CGT197" s="212"/>
      <c r="CGU197" s="212"/>
      <c r="CGV197" s="212"/>
      <c r="CGW197" s="212"/>
      <c r="CGX197" s="212"/>
      <c r="CGY197" s="212"/>
      <c r="CGZ197" s="212"/>
      <c r="CHA197" s="212"/>
      <c r="CHB197" s="212"/>
      <c r="CHC197" s="212"/>
      <c r="CHD197" s="212"/>
      <c r="CHE197" s="212"/>
      <c r="CHF197" s="212"/>
      <c r="CHG197" s="212"/>
      <c r="CHH197" s="214"/>
      <c r="CHI197" s="211"/>
      <c r="CHJ197" s="212"/>
      <c r="CHK197" s="212"/>
      <c r="CHL197" s="212"/>
      <c r="CHM197" s="212"/>
      <c r="CHN197" s="212"/>
      <c r="CHO197" s="212"/>
      <c r="CHP197" s="212"/>
      <c r="CHQ197" s="212"/>
      <c r="CHR197" s="212"/>
      <c r="CHS197" s="212"/>
      <c r="CHT197" s="212"/>
      <c r="CHU197" s="212"/>
      <c r="CHV197" s="212"/>
      <c r="CHW197" s="212"/>
      <c r="CHX197" s="212"/>
      <c r="CHY197" s="212"/>
      <c r="CHZ197" s="212"/>
      <c r="CIA197" s="212"/>
      <c r="CIB197" s="212"/>
      <c r="CIC197" s="212"/>
      <c r="CID197" s="212"/>
      <c r="CIE197" s="212"/>
      <c r="CIF197" s="212"/>
      <c r="CIG197" s="212"/>
      <c r="CIH197" s="212"/>
      <c r="CII197" s="212"/>
      <c r="CIJ197" s="212"/>
      <c r="CIK197" s="212"/>
      <c r="CIL197" s="212"/>
      <c r="CIM197" s="212"/>
      <c r="CIN197" s="212"/>
      <c r="CIO197" s="212"/>
      <c r="CIP197" s="212"/>
      <c r="CIQ197" s="212"/>
      <c r="CIR197" s="212"/>
      <c r="CIS197" s="212"/>
      <c r="CIT197" s="212"/>
      <c r="CIU197" s="212"/>
      <c r="CIV197" s="212"/>
      <c r="CIW197" s="212"/>
      <c r="CIX197" s="212"/>
      <c r="CIY197" s="212"/>
      <c r="CIZ197" s="214"/>
      <c r="CJA197" s="211"/>
      <c r="CJB197" s="212"/>
      <c r="CJC197" s="212"/>
      <c r="CJD197" s="212"/>
      <c r="CJE197" s="212"/>
      <c r="CJF197" s="212"/>
      <c r="CJG197" s="212"/>
      <c r="CJH197" s="212"/>
      <c r="CJI197" s="212"/>
      <c r="CJJ197" s="212"/>
      <c r="CJK197" s="212"/>
      <c r="CJL197" s="212"/>
      <c r="CJM197" s="212"/>
      <c r="CJN197" s="212"/>
      <c r="CJO197" s="212"/>
      <c r="CJP197" s="212"/>
      <c r="CJQ197" s="212"/>
      <c r="CJR197" s="212"/>
      <c r="CJS197" s="212"/>
      <c r="CJT197" s="212"/>
      <c r="CJU197" s="212"/>
      <c r="CJV197" s="212"/>
      <c r="CJW197" s="212"/>
      <c r="CJX197" s="212"/>
      <c r="CJY197" s="212"/>
      <c r="CJZ197" s="212"/>
      <c r="CKA197" s="212"/>
      <c r="CKB197" s="212"/>
      <c r="CKC197" s="212"/>
      <c r="CKD197" s="212"/>
      <c r="CKE197" s="212"/>
      <c r="CKF197" s="212"/>
      <c r="CKG197" s="212"/>
      <c r="CKH197" s="212"/>
      <c r="CKI197" s="212"/>
      <c r="CKJ197" s="212"/>
      <c r="CKK197" s="212"/>
      <c r="CKL197" s="212"/>
      <c r="CKM197" s="212"/>
      <c r="CKN197" s="212"/>
      <c r="CKO197" s="212"/>
      <c r="CKP197" s="212"/>
      <c r="CKQ197" s="212"/>
      <c r="CKR197" s="214"/>
      <c r="CKS197" s="211"/>
      <c r="CKT197" s="212"/>
      <c r="CKU197" s="212"/>
      <c r="CKV197" s="212"/>
      <c r="CKW197" s="212"/>
      <c r="CKX197" s="212"/>
      <c r="CKY197" s="212"/>
      <c r="CKZ197" s="212"/>
      <c r="CLA197" s="212"/>
      <c r="CLB197" s="212"/>
      <c r="CLC197" s="212"/>
      <c r="CLD197" s="212"/>
      <c r="CLE197" s="212"/>
      <c r="CLF197" s="212"/>
      <c r="CLG197" s="212"/>
      <c r="CLH197" s="212"/>
      <c r="CLI197" s="212"/>
      <c r="CLJ197" s="212"/>
      <c r="CLK197" s="212"/>
      <c r="CLL197" s="212"/>
      <c r="CLM197" s="212"/>
      <c r="CLN197" s="212"/>
      <c r="CLO197" s="212"/>
      <c r="CLP197" s="212"/>
      <c r="CLQ197" s="212"/>
      <c r="CLR197" s="212"/>
      <c r="CLS197" s="212"/>
      <c r="CLT197" s="212"/>
      <c r="CLU197" s="212"/>
      <c r="CLV197" s="212"/>
      <c r="CLW197" s="212"/>
      <c r="CLX197" s="212"/>
      <c r="CLY197" s="212"/>
      <c r="CLZ197" s="212"/>
      <c r="CMA197" s="212"/>
      <c r="CMB197" s="212"/>
      <c r="CMC197" s="212"/>
      <c r="CMD197" s="212"/>
      <c r="CME197" s="212"/>
      <c r="CMF197" s="212"/>
      <c r="CMG197" s="212"/>
      <c r="CMH197" s="212"/>
      <c r="CMI197" s="212"/>
      <c r="CMJ197" s="214"/>
      <c r="CMK197" s="211"/>
      <c r="CML197" s="212"/>
      <c r="CMM197" s="212"/>
      <c r="CMN197" s="212"/>
      <c r="CMO197" s="212"/>
      <c r="CMP197" s="212"/>
      <c r="CMQ197" s="212"/>
      <c r="CMR197" s="212"/>
      <c r="CMS197" s="212"/>
      <c r="CMT197" s="212"/>
      <c r="CMU197" s="212"/>
      <c r="CMV197" s="212"/>
      <c r="CMW197" s="212"/>
      <c r="CMX197" s="212"/>
      <c r="CMY197" s="212"/>
      <c r="CMZ197" s="212"/>
      <c r="CNA197" s="212"/>
      <c r="CNB197" s="212"/>
      <c r="CNC197" s="212"/>
      <c r="CND197" s="212"/>
      <c r="CNE197" s="212"/>
      <c r="CNF197" s="212"/>
      <c r="CNG197" s="212"/>
      <c r="CNH197" s="212"/>
      <c r="CNI197" s="212"/>
      <c r="CNJ197" s="212"/>
      <c r="CNK197" s="212"/>
      <c r="CNL197" s="212"/>
      <c r="CNM197" s="212"/>
      <c r="CNN197" s="212"/>
      <c r="CNO197" s="212"/>
      <c r="CNP197" s="212"/>
      <c r="CNQ197" s="212"/>
      <c r="CNR197" s="212"/>
      <c r="CNS197" s="212"/>
      <c r="CNT197" s="212"/>
      <c r="CNU197" s="212"/>
      <c r="CNV197" s="212"/>
      <c r="CNW197" s="212"/>
      <c r="CNX197" s="212"/>
      <c r="CNY197" s="212"/>
      <c r="CNZ197" s="212"/>
      <c r="COA197" s="212"/>
      <c r="COB197" s="214"/>
      <c r="COC197" s="211"/>
      <c r="COD197" s="212"/>
      <c r="COE197" s="212"/>
      <c r="COF197" s="212"/>
      <c r="COG197" s="212"/>
      <c r="COH197" s="212"/>
      <c r="COI197" s="212"/>
      <c r="COJ197" s="212"/>
      <c r="COK197" s="212"/>
      <c r="COL197" s="212"/>
      <c r="COM197" s="212"/>
      <c r="CON197" s="212"/>
      <c r="COO197" s="212"/>
      <c r="COP197" s="212"/>
      <c r="COQ197" s="212"/>
      <c r="COR197" s="212"/>
      <c r="COS197" s="212"/>
      <c r="COT197" s="212"/>
      <c r="COU197" s="212"/>
      <c r="COV197" s="212"/>
      <c r="COW197" s="212"/>
      <c r="COX197" s="212"/>
      <c r="COY197" s="212"/>
      <c r="COZ197" s="212"/>
      <c r="CPA197" s="212"/>
      <c r="CPB197" s="212"/>
      <c r="CPC197" s="212"/>
      <c r="CPD197" s="212"/>
      <c r="CPE197" s="212"/>
      <c r="CPF197" s="212"/>
      <c r="CPG197" s="212"/>
      <c r="CPH197" s="212"/>
      <c r="CPI197" s="212"/>
      <c r="CPJ197" s="212"/>
      <c r="CPK197" s="212"/>
      <c r="CPL197" s="212"/>
      <c r="CPM197" s="212"/>
      <c r="CPN197" s="212"/>
      <c r="CPO197" s="212"/>
      <c r="CPP197" s="212"/>
      <c r="CPQ197" s="212"/>
      <c r="CPR197" s="212"/>
      <c r="CPS197" s="212"/>
      <c r="CPT197" s="214"/>
      <c r="CPU197" s="211"/>
      <c r="CPV197" s="212"/>
      <c r="CPW197" s="212"/>
      <c r="CPX197" s="212"/>
      <c r="CPY197" s="212"/>
      <c r="CPZ197" s="212"/>
      <c r="CQA197" s="212"/>
      <c r="CQB197" s="212"/>
      <c r="CQC197" s="212"/>
      <c r="CQD197" s="212"/>
      <c r="CQE197" s="212"/>
      <c r="CQF197" s="212"/>
      <c r="CQG197" s="212"/>
      <c r="CQH197" s="212"/>
      <c r="CQI197" s="212"/>
      <c r="CQJ197" s="212"/>
      <c r="CQK197" s="212"/>
      <c r="CQL197" s="212"/>
      <c r="CQM197" s="212"/>
      <c r="CQN197" s="212"/>
      <c r="CQO197" s="212"/>
      <c r="CQP197" s="212"/>
      <c r="CQQ197" s="212"/>
      <c r="CQR197" s="212"/>
      <c r="CQS197" s="212"/>
      <c r="CQT197" s="212"/>
      <c r="CQU197" s="212"/>
      <c r="CQV197" s="212"/>
      <c r="CQW197" s="212"/>
      <c r="CQX197" s="212"/>
      <c r="CQY197" s="212"/>
      <c r="CQZ197" s="212"/>
      <c r="CRA197" s="212"/>
      <c r="CRB197" s="212"/>
      <c r="CRC197" s="212"/>
      <c r="CRD197" s="212"/>
      <c r="CRE197" s="212"/>
      <c r="CRF197" s="212"/>
      <c r="CRG197" s="212"/>
      <c r="CRH197" s="212"/>
      <c r="CRI197" s="212"/>
      <c r="CRJ197" s="212"/>
      <c r="CRK197" s="212"/>
      <c r="CRL197" s="214"/>
      <c r="CRM197" s="211"/>
      <c r="CRN197" s="212"/>
      <c r="CRO197" s="212"/>
      <c r="CRP197" s="212"/>
      <c r="CRQ197" s="212"/>
      <c r="CRR197" s="212"/>
      <c r="CRS197" s="212"/>
      <c r="CRT197" s="212"/>
      <c r="CRU197" s="212"/>
      <c r="CRV197" s="212"/>
      <c r="CRW197" s="212"/>
      <c r="CRX197" s="212"/>
      <c r="CRY197" s="212"/>
      <c r="CRZ197" s="212"/>
      <c r="CSA197" s="212"/>
      <c r="CSB197" s="212"/>
      <c r="CSC197" s="212"/>
      <c r="CSD197" s="212"/>
      <c r="CSE197" s="212"/>
      <c r="CSF197" s="212"/>
      <c r="CSG197" s="212"/>
      <c r="CSH197" s="212"/>
      <c r="CSI197" s="212"/>
      <c r="CSJ197" s="212"/>
      <c r="CSK197" s="212"/>
      <c r="CSL197" s="212"/>
      <c r="CSM197" s="212"/>
      <c r="CSN197" s="212"/>
      <c r="CSO197" s="212"/>
      <c r="CSP197" s="212"/>
      <c r="CSQ197" s="212"/>
      <c r="CSR197" s="212"/>
      <c r="CSS197" s="212"/>
      <c r="CST197" s="212"/>
      <c r="CSU197" s="212"/>
      <c r="CSV197" s="212"/>
      <c r="CSW197" s="212"/>
      <c r="CSX197" s="212"/>
      <c r="CSY197" s="212"/>
      <c r="CSZ197" s="212"/>
      <c r="CTA197" s="212"/>
      <c r="CTB197" s="212"/>
      <c r="CTC197" s="212"/>
      <c r="CTD197" s="214"/>
      <c r="CTE197" s="211"/>
      <c r="CTF197" s="212"/>
      <c r="CTG197" s="212"/>
      <c r="CTH197" s="212"/>
      <c r="CTI197" s="212"/>
      <c r="CTJ197" s="212"/>
      <c r="CTK197" s="212"/>
      <c r="CTL197" s="212"/>
      <c r="CTM197" s="212"/>
      <c r="CTN197" s="212"/>
      <c r="CTO197" s="212"/>
      <c r="CTP197" s="212"/>
      <c r="CTQ197" s="212"/>
      <c r="CTR197" s="212"/>
      <c r="CTS197" s="212"/>
      <c r="CTT197" s="212"/>
      <c r="CTU197" s="212"/>
      <c r="CTV197" s="212"/>
      <c r="CTW197" s="212"/>
      <c r="CTX197" s="212"/>
      <c r="CTY197" s="212"/>
      <c r="CTZ197" s="212"/>
      <c r="CUA197" s="212"/>
      <c r="CUB197" s="212"/>
      <c r="CUC197" s="212"/>
      <c r="CUD197" s="212"/>
      <c r="CUE197" s="212"/>
      <c r="CUF197" s="212"/>
      <c r="CUG197" s="212"/>
      <c r="CUH197" s="212"/>
      <c r="CUI197" s="212"/>
      <c r="CUJ197" s="212"/>
      <c r="CUK197" s="212"/>
      <c r="CUL197" s="212"/>
      <c r="CUM197" s="212"/>
      <c r="CUN197" s="212"/>
      <c r="CUO197" s="212"/>
      <c r="CUP197" s="212"/>
      <c r="CUQ197" s="212"/>
      <c r="CUR197" s="212"/>
      <c r="CUS197" s="212"/>
      <c r="CUT197" s="212"/>
      <c r="CUU197" s="212"/>
      <c r="CUV197" s="214"/>
      <c r="CUW197" s="211"/>
      <c r="CUX197" s="212"/>
      <c r="CUY197" s="212"/>
      <c r="CUZ197" s="212"/>
      <c r="CVA197" s="212"/>
      <c r="CVB197" s="212"/>
      <c r="CVC197" s="212"/>
      <c r="CVD197" s="212"/>
      <c r="CVE197" s="212"/>
      <c r="CVF197" s="212"/>
      <c r="CVG197" s="212"/>
      <c r="CVH197" s="212"/>
      <c r="CVI197" s="212"/>
      <c r="CVJ197" s="212"/>
      <c r="CVK197" s="212"/>
      <c r="CVL197" s="212"/>
      <c r="CVM197" s="212"/>
      <c r="CVN197" s="212"/>
      <c r="CVO197" s="212"/>
      <c r="CVP197" s="212"/>
      <c r="CVQ197" s="212"/>
      <c r="CVR197" s="212"/>
      <c r="CVS197" s="212"/>
      <c r="CVT197" s="212"/>
      <c r="CVU197" s="212"/>
      <c r="CVV197" s="212"/>
      <c r="CVW197" s="212"/>
      <c r="CVX197" s="212"/>
      <c r="CVY197" s="212"/>
      <c r="CVZ197" s="212"/>
      <c r="CWA197" s="212"/>
      <c r="CWB197" s="212"/>
      <c r="CWC197" s="212"/>
      <c r="CWD197" s="212"/>
      <c r="CWE197" s="212"/>
      <c r="CWF197" s="212"/>
      <c r="CWG197" s="212"/>
      <c r="CWH197" s="212"/>
      <c r="CWI197" s="212"/>
      <c r="CWJ197" s="212"/>
      <c r="CWK197" s="212"/>
      <c r="CWL197" s="212"/>
      <c r="CWM197" s="212"/>
      <c r="CWN197" s="214"/>
      <c r="CWO197" s="211"/>
      <c r="CWP197" s="212"/>
      <c r="CWQ197" s="212"/>
      <c r="CWR197" s="212"/>
      <c r="CWS197" s="212"/>
      <c r="CWT197" s="212"/>
      <c r="CWU197" s="212"/>
      <c r="CWV197" s="212"/>
      <c r="CWW197" s="212"/>
      <c r="CWX197" s="212"/>
      <c r="CWY197" s="212"/>
      <c r="CWZ197" s="212"/>
      <c r="CXA197" s="212"/>
      <c r="CXB197" s="212"/>
      <c r="CXC197" s="212"/>
      <c r="CXD197" s="212"/>
      <c r="CXE197" s="212"/>
      <c r="CXF197" s="212"/>
      <c r="CXG197" s="212"/>
      <c r="CXH197" s="212"/>
      <c r="CXI197" s="212"/>
      <c r="CXJ197" s="212"/>
      <c r="CXK197" s="212"/>
      <c r="CXL197" s="212"/>
      <c r="CXM197" s="212"/>
      <c r="CXN197" s="212"/>
      <c r="CXO197" s="212"/>
      <c r="CXP197" s="212"/>
      <c r="CXQ197" s="212"/>
      <c r="CXR197" s="212"/>
      <c r="CXS197" s="212"/>
      <c r="CXT197" s="212"/>
      <c r="CXU197" s="212"/>
      <c r="CXV197" s="212"/>
      <c r="CXW197" s="212"/>
      <c r="CXX197" s="212"/>
      <c r="CXY197" s="212"/>
      <c r="CXZ197" s="212"/>
      <c r="CYA197" s="212"/>
      <c r="CYB197" s="212"/>
      <c r="CYC197" s="212"/>
      <c r="CYD197" s="212"/>
      <c r="CYE197" s="212"/>
      <c r="CYF197" s="214"/>
      <c r="CYG197" s="211"/>
      <c r="CYH197" s="212"/>
      <c r="CYI197" s="212"/>
      <c r="CYJ197" s="212"/>
      <c r="CYK197" s="212"/>
      <c r="CYL197" s="212"/>
      <c r="CYM197" s="212"/>
      <c r="CYN197" s="212"/>
      <c r="CYO197" s="212"/>
      <c r="CYP197" s="212"/>
      <c r="CYQ197" s="212"/>
      <c r="CYR197" s="212"/>
      <c r="CYS197" s="212"/>
      <c r="CYT197" s="212"/>
      <c r="CYU197" s="212"/>
      <c r="CYV197" s="212"/>
      <c r="CYW197" s="212"/>
      <c r="CYX197" s="212"/>
      <c r="CYY197" s="212"/>
      <c r="CYZ197" s="212"/>
      <c r="CZA197" s="212"/>
      <c r="CZB197" s="212"/>
      <c r="CZC197" s="212"/>
      <c r="CZD197" s="212"/>
      <c r="CZE197" s="212"/>
      <c r="CZF197" s="212"/>
      <c r="CZG197" s="212"/>
      <c r="CZH197" s="212"/>
      <c r="CZI197" s="212"/>
      <c r="CZJ197" s="212"/>
      <c r="CZK197" s="212"/>
      <c r="CZL197" s="212"/>
      <c r="CZM197" s="212"/>
      <c r="CZN197" s="212"/>
      <c r="CZO197" s="212"/>
      <c r="CZP197" s="212"/>
      <c r="CZQ197" s="212"/>
      <c r="CZR197" s="212"/>
      <c r="CZS197" s="212"/>
      <c r="CZT197" s="212"/>
      <c r="CZU197" s="212"/>
      <c r="CZV197" s="212"/>
      <c r="CZW197" s="212"/>
      <c r="CZX197" s="214"/>
      <c r="CZY197" s="211"/>
      <c r="CZZ197" s="212"/>
      <c r="DAA197" s="212"/>
      <c r="DAB197" s="212"/>
      <c r="DAC197" s="212"/>
      <c r="DAD197" s="212"/>
      <c r="DAE197" s="212"/>
      <c r="DAF197" s="212"/>
      <c r="DAG197" s="212"/>
      <c r="DAH197" s="212"/>
      <c r="DAI197" s="212"/>
      <c r="DAJ197" s="212"/>
      <c r="DAK197" s="212"/>
      <c r="DAL197" s="212"/>
      <c r="DAM197" s="212"/>
      <c r="DAN197" s="212"/>
      <c r="DAO197" s="212"/>
      <c r="DAP197" s="212"/>
      <c r="DAQ197" s="212"/>
      <c r="DAR197" s="212"/>
      <c r="DAS197" s="212"/>
      <c r="DAT197" s="212"/>
      <c r="DAU197" s="212"/>
      <c r="DAV197" s="212"/>
      <c r="DAW197" s="212"/>
      <c r="DAX197" s="212"/>
      <c r="DAY197" s="212"/>
      <c r="DAZ197" s="212"/>
      <c r="DBA197" s="212"/>
      <c r="DBB197" s="212"/>
      <c r="DBC197" s="212"/>
      <c r="DBD197" s="212"/>
      <c r="DBE197" s="212"/>
      <c r="DBF197" s="212"/>
      <c r="DBG197" s="212"/>
      <c r="DBH197" s="212"/>
      <c r="DBI197" s="212"/>
      <c r="DBJ197" s="212"/>
      <c r="DBK197" s="212"/>
      <c r="DBL197" s="212"/>
      <c r="DBM197" s="212"/>
      <c r="DBN197" s="212"/>
      <c r="DBO197" s="212"/>
      <c r="DBP197" s="214"/>
      <c r="DBQ197" s="211"/>
      <c r="DBR197" s="212"/>
      <c r="DBS197" s="212"/>
      <c r="DBT197" s="212"/>
      <c r="DBU197" s="212"/>
      <c r="DBV197" s="212"/>
      <c r="DBW197" s="212"/>
      <c r="DBX197" s="212"/>
      <c r="DBY197" s="212"/>
      <c r="DBZ197" s="212"/>
      <c r="DCA197" s="212"/>
      <c r="DCB197" s="212"/>
      <c r="DCC197" s="212"/>
      <c r="DCD197" s="212"/>
      <c r="DCE197" s="212"/>
      <c r="DCF197" s="212"/>
      <c r="DCG197" s="212"/>
      <c r="DCH197" s="212"/>
      <c r="DCI197" s="212"/>
      <c r="DCJ197" s="212"/>
      <c r="DCK197" s="212"/>
      <c r="DCL197" s="212"/>
      <c r="DCM197" s="212"/>
      <c r="DCN197" s="212"/>
      <c r="DCO197" s="212"/>
      <c r="DCP197" s="212"/>
      <c r="DCQ197" s="212"/>
      <c r="DCR197" s="212"/>
      <c r="DCS197" s="212"/>
      <c r="DCT197" s="212"/>
      <c r="DCU197" s="212"/>
      <c r="DCV197" s="212"/>
      <c r="DCW197" s="212"/>
      <c r="DCX197" s="212"/>
      <c r="DCY197" s="212"/>
      <c r="DCZ197" s="212"/>
      <c r="DDA197" s="212"/>
      <c r="DDB197" s="212"/>
      <c r="DDC197" s="212"/>
      <c r="DDD197" s="212"/>
      <c r="DDE197" s="212"/>
      <c r="DDF197" s="212"/>
      <c r="DDG197" s="212"/>
      <c r="DDH197" s="214"/>
      <c r="DDI197" s="211"/>
      <c r="DDJ197" s="212"/>
      <c r="DDK197" s="212"/>
      <c r="DDL197" s="212"/>
      <c r="DDM197" s="212"/>
      <c r="DDN197" s="212"/>
      <c r="DDO197" s="212"/>
      <c r="DDP197" s="212"/>
      <c r="DDQ197" s="212"/>
      <c r="DDR197" s="212"/>
      <c r="DDS197" s="212"/>
      <c r="DDT197" s="212"/>
      <c r="DDU197" s="212"/>
      <c r="DDV197" s="212"/>
      <c r="DDW197" s="212"/>
      <c r="DDX197" s="212"/>
      <c r="DDY197" s="212"/>
      <c r="DDZ197" s="212"/>
      <c r="DEA197" s="212"/>
      <c r="DEB197" s="212"/>
      <c r="DEC197" s="212"/>
      <c r="DED197" s="212"/>
      <c r="DEE197" s="212"/>
      <c r="DEF197" s="212"/>
      <c r="DEG197" s="212"/>
      <c r="DEH197" s="212"/>
      <c r="DEI197" s="212"/>
      <c r="DEJ197" s="212"/>
      <c r="DEK197" s="212"/>
      <c r="DEL197" s="212"/>
      <c r="DEM197" s="212"/>
      <c r="DEN197" s="212"/>
      <c r="DEO197" s="212"/>
      <c r="DEP197" s="212"/>
      <c r="DEQ197" s="212"/>
      <c r="DER197" s="212"/>
      <c r="DES197" s="212"/>
      <c r="DET197" s="212"/>
      <c r="DEU197" s="212"/>
      <c r="DEV197" s="212"/>
      <c r="DEW197" s="212"/>
      <c r="DEX197" s="212"/>
      <c r="DEY197" s="212"/>
      <c r="DEZ197" s="214"/>
      <c r="DFA197" s="211"/>
      <c r="DFB197" s="212"/>
      <c r="DFC197" s="212"/>
      <c r="DFD197" s="212"/>
      <c r="DFE197" s="212"/>
      <c r="DFF197" s="212"/>
      <c r="DFG197" s="212"/>
      <c r="DFH197" s="212"/>
      <c r="DFI197" s="212"/>
      <c r="DFJ197" s="212"/>
      <c r="DFK197" s="212"/>
      <c r="DFL197" s="212"/>
      <c r="DFM197" s="212"/>
      <c r="DFN197" s="212"/>
      <c r="DFO197" s="212"/>
      <c r="DFP197" s="212"/>
      <c r="DFQ197" s="212"/>
      <c r="DFR197" s="212"/>
      <c r="DFS197" s="212"/>
      <c r="DFT197" s="212"/>
      <c r="DFU197" s="212"/>
      <c r="DFV197" s="212"/>
      <c r="DFW197" s="212"/>
      <c r="DFX197" s="212"/>
      <c r="DFY197" s="212"/>
      <c r="DFZ197" s="212"/>
      <c r="DGA197" s="212"/>
      <c r="DGB197" s="212"/>
      <c r="DGC197" s="212"/>
      <c r="DGD197" s="212"/>
      <c r="DGE197" s="212"/>
      <c r="DGF197" s="212"/>
      <c r="DGG197" s="212"/>
      <c r="DGH197" s="212"/>
      <c r="DGI197" s="212"/>
      <c r="DGJ197" s="212"/>
      <c r="DGK197" s="212"/>
      <c r="DGL197" s="212"/>
      <c r="DGM197" s="212"/>
      <c r="DGN197" s="212"/>
      <c r="DGO197" s="212"/>
      <c r="DGP197" s="212"/>
      <c r="DGQ197" s="212"/>
      <c r="DGR197" s="214"/>
      <c r="DGS197" s="211"/>
      <c r="DGT197" s="212"/>
      <c r="DGU197" s="212"/>
      <c r="DGV197" s="212"/>
      <c r="DGW197" s="212"/>
      <c r="DGX197" s="212"/>
      <c r="DGY197" s="212"/>
      <c r="DGZ197" s="212"/>
      <c r="DHA197" s="212"/>
      <c r="DHB197" s="212"/>
      <c r="DHC197" s="212"/>
      <c r="DHD197" s="212"/>
      <c r="DHE197" s="212"/>
      <c r="DHF197" s="212"/>
      <c r="DHG197" s="212"/>
      <c r="DHH197" s="212"/>
      <c r="DHI197" s="212"/>
      <c r="DHJ197" s="212"/>
      <c r="DHK197" s="212"/>
      <c r="DHL197" s="212"/>
      <c r="DHM197" s="212"/>
      <c r="DHN197" s="212"/>
      <c r="DHO197" s="212"/>
      <c r="DHP197" s="212"/>
      <c r="DHQ197" s="212"/>
      <c r="DHR197" s="212"/>
      <c r="DHS197" s="212"/>
      <c r="DHT197" s="212"/>
      <c r="DHU197" s="212"/>
      <c r="DHV197" s="212"/>
      <c r="DHW197" s="212"/>
      <c r="DHX197" s="212"/>
      <c r="DHY197" s="212"/>
      <c r="DHZ197" s="212"/>
      <c r="DIA197" s="212"/>
      <c r="DIB197" s="212"/>
      <c r="DIC197" s="212"/>
      <c r="DID197" s="212"/>
      <c r="DIE197" s="212"/>
      <c r="DIF197" s="212"/>
      <c r="DIG197" s="212"/>
      <c r="DIH197" s="212"/>
      <c r="DII197" s="212"/>
      <c r="DIJ197" s="214"/>
      <c r="DIK197" s="211"/>
      <c r="DIL197" s="212"/>
      <c r="DIM197" s="212"/>
      <c r="DIN197" s="212"/>
      <c r="DIO197" s="212"/>
      <c r="DIP197" s="212"/>
      <c r="DIQ197" s="212"/>
      <c r="DIR197" s="212"/>
      <c r="DIS197" s="212"/>
      <c r="DIT197" s="212"/>
      <c r="DIU197" s="212"/>
      <c r="DIV197" s="212"/>
      <c r="DIW197" s="212"/>
      <c r="DIX197" s="212"/>
      <c r="DIY197" s="212"/>
      <c r="DIZ197" s="212"/>
      <c r="DJA197" s="212"/>
      <c r="DJB197" s="212"/>
      <c r="DJC197" s="212"/>
      <c r="DJD197" s="212"/>
      <c r="DJE197" s="212"/>
      <c r="DJF197" s="212"/>
      <c r="DJG197" s="212"/>
      <c r="DJH197" s="212"/>
      <c r="DJI197" s="212"/>
      <c r="DJJ197" s="212"/>
      <c r="DJK197" s="212"/>
      <c r="DJL197" s="212"/>
      <c r="DJM197" s="212"/>
      <c r="DJN197" s="212"/>
      <c r="DJO197" s="212"/>
      <c r="DJP197" s="212"/>
      <c r="DJQ197" s="212"/>
      <c r="DJR197" s="212"/>
      <c r="DJS197" s="212"/>
      <c r="DJT197" s="212"/>
      <c r="DJU197" s="212"/>
      <c r="DJV197" s="212"/>
      <c r="DJW197" s="212"/>
      <c r="DJX197" s="212"/>
      <c r="DJY197" s="212"/>
      <c r="DJZ197" s="212"/>
      <c r="DKA197" s="212"/>
      <c r="DKB197" s="214"/>
      <c r="DKC197" s="211"/>
      <c r="DKD197" s="212"/>
      <c r="DKE197" s="212"/>
      <c r="DKF197" s="212"/>
      <c r="DKG197" s="212"/>
      <c r="DKH197" s="212"/>
      <c r="DKI197" s="212"/>
      <c r="DKJ197" s="212"/>
      <c r="DKK197" s="212"/>
      <c r="DKL197" s="212"/>
      <c r="DKM197" s="212"/>
      <c r="DKN197" s="212"/>
      <c r="DKO197" s="212"/>
      <c r="DKP197" s="212"/>
      <c r="DKQ197" s="212"/>
      <c r="DKR197" s="212"/>
      <c r="DKS197" s="212"/>
      <c r="DKT197" s="212"/>
      <c r="DKU197" s="212"/>
      <c r="DKV197" s="212"/>
      <c r="DKW197" s="212"/>
      <c r="DKX197" s="212"/>
      <c r="DKY197" s="212"/>
      <c r="DKZ197" s="212"/>
      <c r="DLA197" s="212"/>
      <c r="DLB197" s="212"/>
      <c r="DLC197" s="212"/>
      <c r="DLD197" s="212"/>
      <c r="DLE197" s="212"/>
      <c r="DLF197" s="212"/>
      <c r="DLG197" s="212"/>
      <c r="DLH197" s="212"/>
      <c r="DLI197" s="212"/>
      <c r="DLJ197" s="212"/>
      <c r="DLK197" s="212"/>
      <c r="DLL197" s="212"/>
      <c r="DLM197" s="212"/>
      <c r="DLN197" s="212"/>
      <c r="DLO197" s="212"/>
      <c r="DLP197" s="212"/>
      <c r="DLQ197" s="212"/>
      <c r="DLR197" s="212"/>
      <c r="DLS197" s="212"/>
      <c r="DLT197" s="214"/>
      <c r="DLU197" s="211"/>
      <c r="DLV197" s="212"/>
      <c r="DLW197" s="212"/>
      <c r="DLX197" s="212"/>
      <c r="DLY197" s="212"/>
      <c r="DLZ197" s="212"/>
      <c r="DMA197" s="212"/>
      <c r="DMB197" s="212"/>
      <c r="DMC197" s="212"/>
      <c r="DMD197" s="212"/>
      <c r="DME197" s="212"/>
      <c r="DMF197" s="212"/>
      <c r="DMG197" s="212"/>
      <c r="DMH197" s="212"/>
      <c r="DMI197" s="212"/>
      <c r="DMJ197" s="212"/>
      <c r="DMK197" s="212"/>
      <c r="DML197" s="212"/>
      <c r="DMM197" s="212"/>
      <c r="DMN197" s="212"/>
      <c r="DMO197" s="212"/>
      <c r="DMP197" s="212"/>
      <c r="DMQ197" s="212"/>
      <c r="DMR197" s="212"/>
      <c r="DMS197" s="212"/>
      <c r="DMT197" s="212"/>
      <c r="DMU197" s="212"/>
      <c r="DMV197" s="212"/>
      <c r="DMW197" s="212"/>
      <c r="DMX197" s="212"/>
      <c r="DMY197" s="212"/>
      <c r="DMZ197" s="212"/>
      <c r="DNA197" s="212"/>
      <c r="DNB197" s="212"/>
      <c r="DNC197" s="212"/>
      <c r="DND197" s="212"/>
      <c r="DNE197" s="212"/>
      <c r="DNF197" s="212"/>
      <c r="DNG197" s="212"/>
      <c r="DNH197" s="212"/>
      <c r="DNI197" s="212"/>
      <c r="DNJ197" s="212"/>
      <c r="DNK197" s="212"/>
      <c r="DNL197" s="214"/>
      <c r="DNM197" s="211"/>
      <c r="DNN197" s="212"/>
      <c r="DNO197" s="212"/>
      <c r="DNP197" s="212"/>
      <c r="DNQ197" s="212"/>
      <c r="DNR197" s="212"/>
      <c r="DNS197" s="212"/>
      <c r="DNT197" s="212"/>
      <c r="DNU197" s="212"/>
      <c r="DNV197" s="212"/>
      <c r="DNW197" s="212"/>
      <c r="DNX197" s="212"/>
      <c r="DNY197" s="212"/>
      <c r="DNZ197" s="212"/>
      <c r="DOA197" s="212"/>
      <c r="DOB197" s="212"/>
      <c r="DOC197" s="212"/>
      <c r="DOD197" s="212"/>
      <c r="DOE197" s="212"/>
      <c r="DOF197" s="212"/>
      <c r="DOG197" s="212"/>
      <c r="DOH197" s="212"/>
      <c r="DOI197" s="212"/>
      <c r="DOJ197" s="212"/>
      <c r="DOK197" s="212"/>
      <c r="DOL197" s="212"/>
      <c r="DOM197" s="212"/>
      <c r="DON197" s="212"/>
      <c r="DOO197" s="212"/>
      <c r="DOP197" s="212"/>
      <c r="DOQ197" s="212"/>
      <c r="DOR197" s="212"/>
      <c r="DOS197" s="212"/>
      <c r="DOT197" s="212"/>
      <c r="DOU197" s="212"/>
      <c r="DOV197" s="212"/>
      <c r="DOW197" s="212"/>
      <c r="DOX197" s="212"/>
      <c r="DOY197" s="212"/>
      <c r="DOZ197" s="212"/>
      <c r="DPA197" s="212"/>
      <c r="DPB197" s="212"/>
      <c r="DPC197" s="212"/>
      <c r="DPD197" s="214"/>
      <c r="DPE197" s="211"/>
      <c r="DPF197" s="212"/>
      <c r="DPG197" s="212"/>
      <c r="DPH197" s="212"/>
      <c r="DPI197" s="212"/>
      <c r="DPJ197" s="212"/>
      <c r="DPK197" s="212"/>
      <c r="DPL197" s="212"/>
      <c r="DPM197" s="212"/>
      <c r="DPN197" s="212"/>
      <c r="DPO197" s="212"/>
      <c r="DPP197" s="212"/>
      <c r="DPQ197" s="212"/>
      <c r="DPR197" s="212"/>
      <c r="DPS197" s="212"/>
      <c r="DPT197" s="212"/>
      <c r="DPU197" s="212"/>
      <c r="DPV197" s="212"/>
      <c r="DPW197" s="212"/>
      <c r="DPX197" s="212"/>
      <c r="DPY197" s="212"/>
      <c r="DPZ197" s="212"/>
      <c r="DQA197" s="212"/>
      <c r="DQB197" s="212"/>
      <c r="DQC197" s="212"/>
      <c r="DQD197" s="212"/>
      <c r="DQE197" s="212"/>
      <c r="DQF197" s="212"/>
      <c r="DQG197" s="212"/>
      <c r="DQH197" s="212"/>
      <c r="DQI197" s="212"/>
      <c r="DQJ197" s="212"/>
      <c r="DQK197" s="212"/>
      <c r="DQL197" s="212"/>
      <c r="DQM197" s="212"/>
      <c r="DQN197" s="212"/>
      <c r="DQO197" s="212"/>
      <c r="DQP197" s="212"/>
      <c r="DQQ197" s="212"/>
      <c r="DQR197" s="212"/>
      <c r="DQS197" s="212"/>
      <c r="DQT197" s="212"/>
      <c r="DQU197" s="212"/>
      <c r="DQV197" s="214"/>
      <c r="DQW197" s="211"/>
      <c r="DQX197" s="212"/>
      <c r="DQY197" s="212"/>
      <c r="DQZ197" s="212"/>
      <c r="DRA197" s="212"/>
      <c r="DRB197" s="212"/>
      <c r="DRC197" s="212"/>
      <c r="DRD197" s="212"/>
      <c r="DRE197" s="212"/>
      <c r="DRF197" s="212"/>
      <c r="DRG197" s="212"/>
      <c r="DRH197" s="212"/>
      <c r="DRI197" s="212"/>
      <c r="DRJ197" s="212"/>
      <c r="DRK197" s="212"/>
      <c r="DRL197" s="212"/>
      <c r="DRM197" s="212"/>
      <c r="DRN197" s="212"/>
      <c r="DRO197" s="212"/>
      <c r="DRP197" s="212"/>
      <c r="DRQ197" s="212"/>
      <c r="DRR197" s="212"/>
      <c r="DRS197" s="212"/>
      <c r="DRT197" s="212"/>
      <c r="DRU197" s="212"/>
      <c r="DRV197" s="212"/>
      <c r="DRW197" s="212"/>
      <c r="DRX197" s="212"/>
      <c r="DRY197" s="212"/>
      <c r="DRZ197" s="212"/>
      <c r="DSA197" s="212"/>
      <c r="DSB197" s="212"/>
      <c r="DSC197" s="212"/>
      <c r="DSD197" s="212"/>
      <c r="DSE197" s="212"/>
      <c r="DSF197" s="212"/>
      <c r="DSG197" s="212"/>
      <c r="DSH197" s="212"/>
      <c r="DSI197" s="212"/>
      <c r="DSJ197" s="212"/>
      <c r="DSK197" s="212"/>
      <c r="DSL197" s="212"/>
      <c r="DSM197" s="212"/>
      <c r="DSN197" s="214"/>
      <c r="DSO197" s="211"/>
      <c r="DSP197" s="212"/>
      <c r="DSQ197" s="212"/>
      <c r="DSR197" s="212"/>
      <c r="DSS197" s="212"/>
      <c r="DST197" s="212"/>
      <c r="DSU197" s="212"/>
      <c r="DSV197" s="212"/>
      <c r="DSW197" s="212"/>
      <c r="DSX197" s="212"/>
      <c r="DSY197" s="212"/>
      <c r="DSZ197" s="212"/>
      <c r="DTA197" s="212"/>
      <c r="DTB197" s="212"/>
      <c r="DTC197" s="212"/>
      <c r="DTD197" s="212"/>
      <c r="DTE197" s="212"/>
      <c r="DTF197" s="212"/>
      <c r="DTG197" s="212"/>
      <c r="DTH197" s="212"/>
      <c r="DTI197" s="212"/>
      <c r="DTJ197" s="212"/>
      <c r="DTK197" s="212"/>
      <c r="DTL197" s="212"/>
      <c r="DTM197" s="212"/>
      <c r="DTN197" s="212"/>
      <c r="DTO197" s="212"/>
      <c r="DTP197" s="212"/>
      <c r="DTQ197" s="212"/>
      <c r="DTR197" s="212"/>
      <c r="DTS197" s="212"/>
      <c r="DTT197" s="212"/>
      <c r="DTU197" s="212"/>
      <c r="DTV197" s="212"/>
      <c r="DTW197" s="212"/>
      <c r="DTX197" s="212"/>
      <c r="DTY197" s="212"/>
      <c r="DTZ197" s="212"/>
      <c r="DUA197" s="212"/>
      <c r="DUB197" s="212"/>
      <c r="DUC197" s="212"/>
      <c r="DUD197" s="212"/>
      <c r="DUE197" s="212"/>
      <c r="DUF197" s="214"/>
      <c r="DUG197" s="211"/>
      <c r="DUH197" s="212"/>
      <c r="DUI197" s="212"/>
      <c r="DUJ197" s="212"/>
      <c r="DUK197" s="212"/>
      <c r="DUL197" s="212"/>
      <c r="DUM197" s="212"/>
      <c r="DUN197" s="212"/>
      <c r="DUO197" s="212"/>
      <c r="DUP197" s="212"/>
      <c r="DUQ197" s="212"/>
      <c r="DUR197" s="212"/>
      <c r="DUS197" s="212"/>
      <c r="DUT197" s="212"/>
      <c r="DUU197" s="212"/>
      <c r="DUV197" s="212"/>
      <c r="DUW197" s="212"/>
      <c r="DUX197" s="212"/>
      <c r="DUY197" s="212"/>
      <c r="DUZ197" s="212"/>
      <c r="DVA197" s="212"/>
      <c r="DVB197" s="212"/>
      <c r="DVC197" s="212"/>
      <c r="DVD197" s="212"/>
      <c r="DVE197" s="212"/>
      <c r="DVF197" s="212"/>
      <c r="DVG197" s="212"/>
      <c r="DVH197" s="212"/>
      <c r="DVI197" s="212"/>
      <c r="DVJ197" s="212"/>
      <c r="DVK197" s="212"/>
      <c r="DVL197" s="212"/>
      <c r="DVM197" s="212"/>
      <c r="DVN197" s="212"/>
      <c r="DVO197" s="212"/>
      <c r="DVP197" s="212"/>
      <c r="DVQ197" s="212"/>
      <c r="DVR197" s="212"/>
      <c r="DVS197" s="212"/>
      <c r="DVT197" s="212"/>
      <c r="DVU197" s="212"/>
      <c r="DVV197" s="212"/>
      <c r="DVW197" s="212"/>
      <c r="DVX197" s="214"/>
      <c r="DVY197" s="211"/>
      <c r="DVZ197" s="212"/>
      <c r="DWA197" s="212"/>
      <c r="DWB197" s="212"/>
      <c r="DWC197" s="212"/>
      <c r="DWD197" s="212"/>
      <c r="DWE197" s="212"/>
      <c r="DWF197" s="212"/>
      <c r="DWG197" s="212"/>
      <c r="DWH197" s="212"/>
      <c r="DWI197" s="212"/>
      <c r="DWJ197" s="212"/>
      <c r="DWK197" s="212"/>
      <c r="DWL197" s="212"/>
      <c r="DWM197" s="212"/>
      <c r="DWN197" s="212"/>
      <c r="DWO197" s="212"/>
      <c r="DWP197" s="212"/>
      <c r="DWQ197" s="212"/>
      <c r="DWR197" s="212"/>
      <c r="DWS197" s="212"/>
      <c r="DWT197" s="212"/>
      <c r="DWU197" s="212"/>
      <c r="DWV197" s="212"/>
      <c r="DWW197" s="212"/>
      <c r="DWX197" s="212"/>
      <c r="DWY197" s="212"/>
      <c r="DWZ197" s="212"/>
      <c r="DXA197" s="212"/>
      <c r="DXB197" s="212"/>
      <c r="DXC197" s="212"/>
      <c r="DXD197" s="212"/>
      <c r="DXE197" s="212"/>
      <c r="DXF197" s="212"/>
      <c r="DXG197" s="212"/>
      <c r="DXH197" s="212"/>
      <c r="DXI197" s="212"/>
      <c r="DXJ197" s="212"/>
      <c r="DXK197" s="212"/>
      <c r="DXL197" s="212"/>
      <c r="DXM197" s="212"/>
      <c r="DXN197" s="212"/>
      <c r="DXO197" s="212"/>
      <c r="DXP197" s="214"/>
      <c r="DXQ197" s="211"/>
      <c r="DXR197" s="212"/>
      <c r="DXS197" s="212"/>
      <c r="DXT197" s="212"/>
      <c r="DXU197" s="212"/>
      <c r="DXV197" s="212"/>
      <c r="DXW197" s="212"/>
      <c r="DXX197" s="212"/>
      <c r="DXY197" s="212"/>
      <c r="DXZ197" s="212"/>
      <c r="DYA197" s="212"/>
      <c r="DYB197" s="212"/>
      <c r="DYC197" s="212"/>
      <c r="DYD197" s="212"/>
      <c r="DYE197" s="212"/>
      <c r="DYF197" s="212"/>
      <c r="DYG197" s="212"/>
      <c r="DYH197" s="212"/>
      <c r="DYI197" s="212"/>
      <c r="DYJ197" s="212"/>
      <c r="DYK197" s="212"/>
      <c r="DYL197" s="212"/>
      <c r="DYM197" s="212"/>
      <c r="DYN197" s="212"/>
      <c r="DYO197" s="212"/>
      <c r="DYP197" s="212"/>
      <c r="DYQ197" s="212"/>
      <c r="DYR197" s="212"/>
      <c r="DYS197" s="212"/>
      <c r="DYT197" s="212"/>
      <c r="DYU197" s="212"/>
      <c r="DYV197" s="212"/>
      <c r="DYW197" s="212"/>
      <c r="DYX197" s="212"/>
      <c r="DYY197" s="212"/>
      <c r="DYZ197" s="212"/>
      <c r="DZA197" s="212"/>
      <c r="DZB197" s="212"/>
      <c r="DZC197" s="212"/>
      <c r="DZD197" s="212"/>
      <c r="DZE197" s="212"/>
      <c r="DZF197" s="212"/>
      <c r="DZG197" s="212"/>
      <c r="DZH197" s="214"/>
      <c r="DZI197" s="211"/>
      <c r="DZJ197" s="212"/>
      <c r="DZK197" s="212"/>
      <c r="DZL197" s="212"/>
      <c r="DZM197" s="212"/>
      <c r="DZN197" s="212"/>
      <c r="DZO197" s="212"/>
      <c r="DZP197" s="212"/>
      <c r="DZQ197" s="212"/>
      <c r="DZR197" s="212"/>
      <c r="DZS197" s="212"/>
      <c r="DZT197" s="212"/>
      <c r="DZU197" s="212"/>
      <c r="DZV197" s="212"/>
      <c r="DZW197" s="212"/>
      <c r="DZX197" s="212"/>
      <c r="DZY197" s="212"/>
      <c r="DZZ197" s="212"/>
      <c r="EAA197" s="212"/>
      <c r="EAB197" s="212"/>
      <c r="EAC197" s="212"/>
      <c r="EAD197" s="212"/>
      <c r="EAE197" s="212"/>
      <c r="EAF197" s="212"/>
      <c r="EAG197" s="212"/>
      <c r="EAH197" s="212"/>
      <c r="EAI197" s="212"/>
      <c r="EAJ197" s="212"/>
      <c r="EAK197" s="212"/>
      <c r="EAL197" s="212"/>
      <c r="EAM197" s="212"/>
      <c r="EAN197" s="212"/>
      <c r="EAO197" s="212"/>
      <c r="EAP197" s="212"/>
      <c r="EAQ197" s="212"/>
      <c r="EAR197" s="212"/>
      <c r="EAS197" s="212"/>
      <c r="EAT197" s="212"/>
      <c r="EAU197" s="212"/>
      <c r="EAV197" s="212"/>
      <c r="EAW197" s="212"/>
      <c r="EAX197" s="212"/>
      <c r="EAY197" s="212"/>
      <c r="EAZ197" s="214"/>
      <c r="EBA197" s="211"/>
      <c r="EBB197" s="212"/>
      <c r="EBC197" s="212"/>
      <c r="EBD197" s="212"/>
      <c r="EBE197" s="212"/>
      <c r="EBF197" s="212"/>
      <c r="EBG197" s="212"/>
      <c r="EBH197" s="212"/>
      <c r="EBI197" s="212"/>
      <c r="EBJ197" s="212"/>
      <c r="EBK197" s="212"/>
      <c r="EBL197" s="212"/>
      <c r="EBM197" s="212"/>
      <c r="EBN197" s="212"/>
      <c r="EBO197" s="212"/>
      <c r="EBP197" s="212"/>
      <c r="EBQ197" s="212"/>
      <c r="EBR197" s="212"/>
      <c r="EBS197" s="212"/>
      <c r="EBT197" s="212"/>
      <c r="EBU197" s="212"/>
      <c r="EBV197" s="212"/>
      <c r="EBW197" s="212"/>
      <c r="EBX197" s="212"/>
      <c r="EBY197" s="212"/>
      <c r="EBZ197" s="212"/>
      <c r="ECA197" s="212"/>
      <c r="ECB197" s="212"/>
      <c r="ECC197" s="212"/>
      <c r="ECD197" s="212"/>
      <c r="ECE197" s="212"/>
      <c r="ECF197" s="212"/>
      <c r="ECG197" s="212"/>
      <c r="ECH197" s="212"/>
      <c r="ECI197" s="212"/>
      <c r="ECJ197" s="212"/>
      <c r="ECK197" s="212"/>
      <c r="ECL197" s="212"/>
      <c r="ECM197" s="212"/>
      <c r="ECN197" s="212"/>
      <c r="ECO197" s="212"/>
      <c r="ECP197" s="212"/>
      <c r="ECQ197" s="212"/>
      <c r="ECR197" s="214"/>
      <c r="ECS197" s="211"/>
      <c r="ECT197" s="212"/>
      <c r="ECU197" s="212"/>
      <c r="ECV197" s="212"/>
      <c r="ECW197" s="212"/>
      <c r="ECX197" s="212"/>
      <c r="ECY197" s="212"/>
      <c r="ECZ197" s="212"/>
      <c r="EDA197" s="212"/>
      <c r="EDB197" s="212"/>
      <c r="EDC197" s="212"/>
      <c r="EDD197" s="212"/>
      <c r="EDE197" s="212"/>
      <c r="EDF197" s="212"/>
      <c r="EDG197" s="212"/>
      <c r="EDH197" s="212"/>
      <c r="EDI197" s="212"/>
      <c r="EDJ197" s="212"/>
      <c r="EDK197" s="212"/>
      <c r="EDL197" s="212"/>
      <c r="EDM197" s="212"/>
      <c r="EDN197" s="212"/>
      <c r="EDO197" s="212"/>
      <c r="EDP197" s="212"/>
      <c r="EDQ197" s="212"/>
      <c r="EDR197" s="212"/>
      <c r="EDS197" s="212"/>
      <c r="EDT197" s="212"/>
      <c r="EDU197" s="212"/>
      <c r="EDV197" s="212"/>
      <c r="EDW197" s="212"/>
      <c r="EDX197" s="212"/>
      <c r="EDY197" s="212"/>
      <c r="EDZ197" s="212"/>
      <c r="EEA197" s="212"/>
      <c r="EEB197" s="212"/>
      <c r="EEC197" s="212"/>
      <c r="EED197" s="212"/>
      <c r="EEE197" s="212"/>
      <c r="EEF197" s="212"/>
      <c r="EEG197" s="212"/>
      <c r="EEH197" s="212"/>
      <c r="EEI197" s="212"/>
      <c r="EEJ197" s="214"/>
      <c r="EEK197" s="211"/>
      <c r="EEL197" s="212"/>
      <c r="EEM197" s="212"/>
      <c r="EEN197" s="212"/>
      <c r="EEO197" s="212"/>
      <c r="EEP197" s="212"/>
      <c r="EEQ197" s="212"/>
      <c r="EER197" s="212"/>
      <c r="EES197" s="212"/>
      <c r="EET197" s="212"/>
      <c r="EEU197" s="212"/>
      <c r="EEV197" s="212"/>
      <c r="EEW197" s="212"/>
      <c r="EEX197" s="212"/>
      <c r="EEY197" s="212"/>
      <c r="EEZ197" s="212"/>
      <c r="EFA197" s="212"/>
      <c r="EFB197" s="212"/>
      <c r="EFC197" s="212"/>
      <c r="EFD197" s="212"/>
      <c r="EFE197" s="212"/>
      <c r="EFF197" s="212"/>
      <c r="EFG197" s="212"/>
      <c r="EFH197" s="212"/>
      <c r="EFI197" s="212"/>
      <c r="EFJ197" s="212"/>
      <c r="EFK197" s="212"/>
      <c r="EFL197" s="212"/>
      <c r="EFM197" s="212"/>
      <c r="EFN197" s="212"/>
      <c r="EFO197" s="212"/>
      <c r="EFP197" s="212"/>
      <c r="EFQ197" s="212"/>
      <c r="EFR197" s="212"/>
      <c r="EFS197" s="212"/>
      <c r="EFT197" s="212"/>
      <c r="EFU197" s="212"/>
      <c r="EFV197" s="212"/>
      <c r="EFW197" s="212"/>
      <c r="EFX197" s="212"/>
      <c r="EFY197" s="212"/>
      <c r="EFZ197" s="212"/>
      <c r="EGA197" s="212"/>
      <c r="EGB197" s="214"/>
      <c r="EGC197" s="211"/>
      <c r="EGD197" s="212"/>
      <c r="EGE197" s="212"/>
      <c r="EGF197" s="212"/>
      <c r="EGG197" s="212"/>
      <c r="EGH197" s="212"/>
      <c r="EGI197" s="212"/>
      <c r="EGJ197" s="212"/>
      <c r="EGK197" s="212"/>
      <c r="EGL197" s="212"/>
      <c r="EGM197" s="212"/>
      <c r="EGN197" s="212"/>
      <c r="EGO197" s="212"/>
      <c r="EGP197" s="212"/>
      <c r="EGQ197" s="212"/>
      <c r="EGR197" s="212"/>
      <c r="EGS197" s="212"/>
      <c r="EGT197" s="212"/>
      <c r="EGU197" s="212"/>
      <c r="EGV197" s="212"/>
      <c r="EGW197" s="212"/>
      <c r="EGX197" s="212"/>
      <c r="EGY197" s="212"/>
      <c r="EGZ197" s="212"/>
      <c r="EHA197" s="212"/>
      <c r="EHB197" s="212"/>
      <c r="EHC197" s="212"/>
      <c r="EHD197" s="212"/>
      <c r="EHE197" s="212"/>
      <c r="EHF197" s="212"/>
      <c r="EHG197" s="212"/>
      <c r="EHH197" s="212"/>
      <c r="EHI197" s="212"/>
      <c r="EHJ197" s="212"/>
      <c r="EHK197" s="212"/>
      <c r="EHL197" s="212"/>
      <c r="EHM197" s="212"/>
      <c r="EHN197" s="212"/>
      <c r="EHO197" s="212"/>
      <c r="EHP197" s="212"/>
      <c r="EHQ197" s="212"/>
      <c r="EHR197" s="212"/>
      <c r="EHS197" s="212"/>
      <c r="EHT197" s="214"/>
      <c r="EHU197" s="211"/>
      <c r="EHV197" s="212"/>
      <c r="EHW197" s="212"/>
      <c r="EHX197" s="212"/>
      <c r="EHY197" s="212"/>
      <c r="EHZ197" s="212"/>
      <c r="EIA197" s="212"/>
      <c r="EIB197" s="212"/>
      <c r="EIC197" s="212"/>
      <c r="EID197" s="212"/>
      <c r="EIE197" s="212"/>
      <c r="EIF197" s="212"/>
      <c r="EIG197" s="212"/>
      <c r="EIH197" s="212"/>
      <c r="EII197" s="212"/>
      <c r="EIJ197" s="212"/>
      <c r="EIK197" s="212"/>
      <c r="EIL197" s="212"/>
      <c r="EIM197" s="212"/>
      <c r="EIN197" s="212"/>
      <c r="EIO197" s="212"/>
      <c r="EIP197" s="212"/>
      <c r="EIQ197" s="212"/>
      <c r="EIR197" s="212"/>
      <c r="EIS197" s="212"/>
      <c r="EIT197" s="212"/>
      <c r="EIU197" s="212"/>
      <c r="EIV197" s="212"/>
      <c r="EIW197" s="212"/>
      <c r="EIX197" s="212"/>
      <c r="EIY197" s="212"/>
      <c r="EIZ197" s="212"/>
      <c r="EJA197" s="212"/>
      <c r="EJB197" s="212"/>
      <c r="EJC197" s="212"/>
      <c r="EJD197" s="212"/>
      <c r="EJE197" s="212"/>
      <c r="EJF197" s="212"/>
      <c r="EJG197" s="212"/>
      <c r="EJH197" s="212"/>
      <c r="EJI197" s="212"/>
      <c r="EJJ197" s="212"/>
      <c r="EJK197" s="212"/>
      <c r="EJL197" s="214"/>
      <c r="EJM197" s="211"/>
      <c r="EJN197" s="212"/>
      <c r="EJO197" s="212"/>
      <c r="EJP197" s="212"/>
      <c r="EJQ197" s="212"/>
      <c r="EJR197" s="212"/>
      <c r="EJS197" s="212"/>
      <c r="EJT197" s="212"/>
      <c r="EJU197" s="212"/>
      <c r="EJV197" s="212"/>
      <c r="EJW197" s="212"/>
      <c r="EJX197" s="212"/>
      <c r="EJY197" s="212"/>
      <c r="EJZ197" s="212"/>
      <c r="EKA197" s="212"/>
      <c r="EKB197" s="212"/>
      <c r="EKC197" s="212"/>
      <c r="EKD197" s="212"/>
      <c r="EKE197" s="212"/>
      <c r="EKF197" s="212"/>
      <c r="EKG197" s="212"/>
      <c r="EKH197" s="212"/>
      <c r="EKI197" s="212"/>
      <c r="EKJ197" s="212"/>
      <c r="EKK197" s="212"/>
      <c r="EKL197" s="212"/>
      <c r="EKM197" s="212"/>
      <c r="EKN197" s="212"/>
      <c r="EKO197" s="212"/>
      <c r="EKP197" s="212"/>
      <c r="EKQ197" s="212"/>
      <c r="EKR197" s="212"/>
      <c r="EKS197" s="212"/>
      <c r="EKT197" s="212"/>
      <c r="EKU197" s="212"/>
      <c r="EKV197" s="212"/>
      <c r="EKW197" s="212"/>
      <c r="EKX197" s="212"/>
      <c r="EKY197" s="212"/>
      <c r="EKZ197" s="212"/>
      <c r="ELA197" s="212"/>
      <c r="ELB197" s="212"/>
      <c r="ELC197" s="212"/>
      <c r="ELD197" s="214"/>
      <c r="ELE197" s="211"/>
      <c r="ELF197" s="212"/>
      <c r="ELG197" s="212"/>
      <c r="ELH197" s="212"/>
      <c r="ELI197" s="212"/>
      <c r="ELJ197" s="212"/>
      <c r="ELK197" s="212"/>
      <c r="ELL197" s="212"/>
      <c r="ELM197" s="212"/>
      <c r="ELN197" s="212"/>
      <c r="ELO197" s="212"/>
      <c r="ELP197" s="212"/>
      <c r="ELQ197" s="212"/>
      <c r="ELR197" s="212"/>
      <c r="ELS197" s="212"/>
      <c r="ELT197" s="212"/>
      <c r="ELU197" s="212"/>
      <c r="ELV197" s="212"/>
      <c r="ELW197" s="212"/>
      <c r="ELX197" s="212"/>
      <c r="ELY197" s="212"/>
      <c r="ELZ197" s="212"/>
      <c r="EMA197" s="212"/>
      <c r="EMB197" s="212"/>
      <c r="EMC197" s="212"/>
      <c r="EMD197" s="212"/>
      <c r="EME197" s="212"/>
      <c r="EMF197" s="212"/>
      <c r="EMG197" s="212"/>
      <c r="EMH197" s="212"/>
      <c r="EMI197" s="212"/>
      <c r="EMJ197" s="212"/>
      <c r="EMK197" s="212"/>
      <c r="EML197" s="212"/>
      <c r="EMM197" s="212"/>
      <c r="EMN197" s="212"/>
      <c r="EMO197" s="212"/>
      <c r="EMP197" s="212"/>
      <c r="EMQ197" s="212"/>
      <c r="EMR197" s="212"/>
      <c r="EMS197" s="212"/>
      <c r="EMT197" s="212"/>
      <c r="EMU197" s="212"/>
      <c r="EMV197" s="214"/>
      <c r="EMW197" s="211"/>
      <c r="EMX197" s="212"/>
      <c r="EMY197" s="212"/>
      <c r="EMZ197" s="212"/>
      <c r="ENA197" s="212"/>
      <c r="ENB197" s="212"/>
      <c r="ENC197" s="212"/>
      <c r="END197" s="212"/>
      <c r="ENE197" s="212"/>
      <c r="ENF197" s="212"/>
      <c r="ENG197" s="212"/>
      <c r="ENH197" s="212"/>
      <c r="ENI197" s="212"/>
      <c r="ENJ197" s="212"/>
      <c r="ENK197" s="212"/>
      <c r="ENL197" s="212"/>
      <c r="ENM197" s="212"/>
      <c r="ENN197" s="212"/>
      <c r="ENO197" s="212"/>
      <c r="ENP197" s="212"/>
      <c r="ENQ197" s="212"/>
      <c r="ENR197" s="212"/>
      <c r="ENS197" s="212"/>
      <c r="ENT197" s="212"/>
      <c r="ENU197" s="212"/>
      <c r="ENV197" s="212"/>
      <c r="ENW197" s="212"/>
      <c r="ENX197" s="212"/>
      <c r="ENY197" s="212"/>
      <c r="ENZ197" s="212"/>
      <c r="EOA197" s="212"/>
      <c r="EOB197" s="212"/>
      <c r="EOC197" s="212"/>
      <c r="EOD197" s="212"/>
      <c r="EOE197" s="212"/>
      <c r="EOF197" s="212"/>
      <c r="EOG197" s="212"/>
      <c r="EOH197" s="212"/>
      <c r="EOI197" s="212"/>
      <c r="EOJ197" s="212"/>
      <c r="EOK197" s="212"/>
      <c r="EOL197" s="212"/>
      <c r="EOM197" s="212"/>
      <c r="EON197" s="214"/>
      <c r="EOO197" s="211"/>
      <c r="EOP197" s="212"/>
      <c r="EOQ197" s="212"/>
      <c r="EOR197" s="212"/>
      <c r="EOS197" s="212"/>
      <c r="EOT197" s="212"/>
      <c r="EOU197" s="212"/>
      <c r="EOV197" s="212"/>
      <c r="EOW197" s="212"/>
      <c r="EOX197" s="212"/>
      <c r="EOY197" s="212"/>
      <c r="EOZ197" s="212"/>
      <c r="EPA197" s="212"/>
      <c r="EPB197" s="212"/>
      <c r="EPC197" s="212"/>
      <c r="EPD197" s="212"/>
      <c r="EPE197" s="212"/>
      <c r="EPF197" s="212"/>
      <c r="EPG197" s="212"/>
      <c r="EPH197" s="212"/>
      <c r="EPI197" s="212"/>
      <c r="EPJ197" s="212"/>
      <c r="EPK197" s="212"/>
      <c r="EPL197" s="212"/>
      <c r="EPM197" s="212"/>
      <c r="EPN197" s="212"/>
      <c r="EPO197" s="212"/>
      <c r="EPP197" s="212"/>
      <c r="EPQ197" s="212"/>
      <c r="EPR197" s="212"/>
      <c r="EPS197" s="212"/>
      <c r="EPT197" s="212"/>
      <c r="EPU197" s="212"/>
      <c r="EPV197" s="212"/>
      <c r="EPW197" s="212"/>
      <c r="EPX197" s="212"/>
      <c r="EPY197" s="212"/>
      <c r="EPZ197" s="212"/>
      <c r="EQA197" s="212"/>
      <c r="EQB197" s="212"/>
      <c r="EQC197" s="212"/>
      <c r="EQD197" s="212"/>
      <c r="EQE197" s="212"/>
      <c r="EQF197" s="214"/>
      <c r="EQG197" s="211"/>
      <c r="EQH197" s="212"/>
      <c r="EQI197" s="212"/>
      <c r="EQJ197" s="212"/>
      <c r="EQK197" s="212"/>
      <c r="EQL197" s="212"/>
      <c r="EQM197" s="212"/>
      <c r="EQN197" s="212"/>
      <c r="EQO197" s="212"/>
      <c r="EQP197" s="212"/>
      <c r="EQQ197" s="212"/>
      <c r="EQR197" s="212"/>
      <c r="EQS197" s="212"/>
      <c r="EQT197" s="212"/>
      <c r="EQU197" s="212"/>
      <c r="EQV197" s="212"/>
      <c r="EQW197" s="212"/>
      <c r="EQX197" s="212"/>
      <c r="EQY197" s="212"/>
      <c r="EQZ197" s="212"/>
      <c r="ERA197" s="212"/>
      <c r="ERB197" s="212"/>
      <c r="ERC197" s="212"/>
      <c r="ERD197" s="212"/>
      <c r="ERE197" s="212"/>
      <c r="ERF197" s="212"/>
      <c r="ERG197" s="212"/>
      <c r="ERH197" s="212"/>
      <c r="ERI197" s="212"/>
      <c r="ERJ197" s="212"/>
      <c r="ERK197" s="212"/>
      <c r="ERL197" s="212"/>
      <c r="ERM197" s="212"/>
      <c r="ERN197" s="212"/>
      <c r="ERO197" s="212"/>
      <c r="ERP197" s="212"/>
      <c r="ERQ197" s="212"/>
      <c r="ERR197" s="212"/>
      <c r="ERS197" s="212"/>
      <c r="ERT197" s="212"/>
      <c r="ERU197" s="212"/>
      <c r="ERV197" s="212"/>
      <c r="ERW197" s="212"/>
      <c r="ERX197" s="214"/>
      <c r="ERY197" s="211"/>
      <c r="ERZ197" s="212"/>
      <c r="ESA197" s="212"/>
      <c r="ESB197" s="212"/>
      <c r="ESC197" s="212"/>
      <c r="ESD197" s="212"/>
      <c r="ESE197" s="212"/>
      <c r="ESF197" s="212"/>
      <c r="ESG197" s="212"/>
      <c r="ESH197" s="212"/>
      <c r="ESI197" s="212"/>
      <c r="ESJ197" s="212"/>
      <c r="ESK197" s="212"/>
      <c r="ESL197" s="212"/>
      <c r="ESM197" s="212"/>
      <c r="ESN197" s="212"/>
      <c r="ESO197" s="212"/>
      <c r="ESP197" s="212"/>
      <c r="ESQ197" s="212"/>
      <c r="ESR197" s="212"/>
      <c r="ESS197" s="212"/>
      <c r="EST197" s="212"/>
      <c r="ESU197" s="212"/>
      <c r="ESV197" s="212"/>
      <c r="ESW197" s="212"/>
      <c r="ESX197" s="212"/>
      <c r="ESY197" s="212"/>
      <c r="ESZ197" s="212"/>
      <c r="ETA197" s="212"/>
      <c r="ETB197" s="212"/>
      <c r="ETC197" s="212"/>
      <c r="ETD197" s="212"/>
      <c r="ETE197" s="212"/>
      <c r="ETF197" s="212"/>
      <c r="ETG197" s="212"/>
      <c r="ETH197" s="212"/>
      <c r="ETI197" s="212"/>
      <c r="ETJ197" s="212"/>
      <c r="ETK197" s="212"/>
      <c r="ETL197" s="212"/>
      <c r="ETM197" s="212"/>
      <c r="ETN197" s="212"/>
      <c r="ETO197" s="212"/>
      <c r="ETP197" s="214"/>
      <c r="ETQ197" s="211"/>
      <c r="ETR197" s="212"/>
      <c r="ETS197" s="212"/>
      <c r="ETT197" s="212"/>
      <c r="ETU197" s="212"/>
      <c r="ETV197" s="212"/>
      <c r="ETW197" s="212"/>
      <c r="ETX197" s="212"/>
      <c r="ETY197" s="212"/>
      <c r="ETZ197" s="212"/>
      <c r="EUA197" s="212"/>
      <c r="EUB197" s="212"/>
      <c r="EUC197" s="212"/>
      <c r="EUD197" s="212"/>
      <c r="EUE197" s="212"/>
      <c r="EUF197" s="212"/>
      <c r="EUG197" s="212"/>
      <c r="EUH197" s="212"/>
      <c r="EUI197" s="212"/>
      <c r="EUJ197" s="212"/>
      <c r="EUK197" s="212"/>
      <c r="EUL197" s="212"/>
      <c r="EUM197" s="212"/>
      <c r="EUN197" s="212"/>
      <c r="EUO197" s="212"/>
      <c r="EUP197" s="212"/>
      <c r="EUQ197" s="212"/>
      <c r="EUR197" s="212"/>
      <c r="EUS197" s="212"/>
      <c r="EUT197" s="212"/>
      <c r="EUU197" s="212"/>
      <c r="EUV197" s="212"/>
      <c r="EUW197" s="212"/>
      <c r="EUX197" s="212"/>
      <c r="EUY197" s="212"/>
      <c r="EUZ197" s="212"/>
      <c r="EVA197" s="212"/>
      <c r="EVB197" s="212"/>
      <c r="EVC197" s="212"/>
      <c r="EVD197" s="212"/>
      <c r="EVE197" s="212"/>
      <c r="EVF197" s="212"/>
      <c r="EVG197" s="212"/>
      <c r="EVH197" s="214"/>
      <c r="EVI197" s="211"/>
      <c r="EVJ197" s="212"/>
      <c r="EVK197" s="212"/>
      <c r="EVL197" s="212"/>
      <c r="EVM197" s="212"/>
      <c r="EVN197" s="212"/>
      <c r="EVO197" s="212"/>
      <c r="EVP197" s="212"/>
      <c r="EVQ197" s="212"/>
      <c r="EVR197" s="212"/>
      <c r="EVS197" s="212"/>
      <c r="EVT197" s="212"/>
      <c r="EVU197" s="212"/>
      <c r="EVV197" s="212"/>
      <c r="EVW197" s="212"/>
      <c r="EVX197" s="212"/>
      <c r="EVY197" s="212"/>
      <c r="EVZ197" s="212"/>
      <c r="EWA197" s="212"/>
      <c r="EWB197" s="212"/>
      <c r="EWC197" s="212"/>
      <c r="EWD197" s="212"/>
      <c r="EWE197" s="212"/>
      <c r="EWF197" s="212"/>
      <c r="EWG197" s="212"/>
      <c r="EWH197" s="212"/>
      <c r="EWI197" s="212"/>
      <c r="EWJ197" s="212"/>
      <c r="EWK197" s="212"/>
      <c r="EWL197" s="212"/>
      <c r="EWM197" s="212"/>
      <c r="EWN197" s="212"/>
      <c r="EWO197" s="212"/>
      <c r="EWP197" s="212"/>
      <c r="EWQ197" s="212"/>
      <c r="EWR197" s="212"/>
      <c r="EWS197" s="212"/>
      <c r="EWT197" s="212"/>
      <c r="EWU197" s="212"/>
      <c r="EWV197" s="212"/>
      <c r="EWW197" s="212"/>
      <c r="EWX197" s="212"/>
      <c r="EWY197" s="212"/>
      <c r="EWZ197" s="214"/>
      <c r="EXA197" s="211"/>
      <c r="EXB197" s="212"/>
      <c r="EXC197" s="212"/>
      <c r="EXD197" s="212"/>
      <c r="EXE197" s="212"/>
      <c r="EXF197" s="212"/>
      <c r="EXG197" s="212"/>
      <c r="EXH197" s="212"/>
      <c r="EXI197" s="212"/>
      <c r="EXJ197" s="212"/>
      <c r="EXK197" s="212"/>
      <c r="EXL197" s="212"/>
      <c r="EXM197" s="212"/>
      <c r="EXN197" s="212"/>
      <c r="EXO197" s="212"/>
      <c r="EXP197" s="212"/>
      <c r="EXQ197" s="212"/>
      <c r="EXR197" s="212"/>
      <c r="EXS197" s="212"/>
      <c r="EXT197" s="212"/>
      <c r="EXU197" s="212"/>
      <c r="EXV197" s="212"/>
      <c r="EXW197" s="212"/>
      <c r="EXX197" s="212"/>
      <c r="EXY197" s="212"/>
      <c r="EXZ197" s="212"/>
      <c r="EYA197" s="212"/>
      <c r="EYB197" s="212"/>
      <c r="EYC197" s="212"/>
      <c r="EYD197" s="212"/>
      <c r="EYE197" s="212"/>
      <c r="EYF197" s="212"/>
      <c r="EYG197" s="212"/>
      <c r="EYH197" s="212"/>
      <c r="EYI197" s="212"/>
      <c r="EYJ197" s="212"/>
      <c r="EYK197" s="212"/>
      <c r="EYL197" s="212"/>
      <c r="EYM197" s="212"/>
      <c r="EYN197" s="212"/>
      <c r="EYO197" s="212"/>
      <c r="EYP197" s="212"/>
      <c r="EYQ197" s="212"/>
      <c r="EYR197" s="214"/>
      <c r="EYS197" s="211"/>
      <c r="EYT197" s="212"/>
      <c r="EYU197" s="212"/>
      <c r="EYV197" s="212"/>
      <c r="EYW197" s="212"/>
      <c r="EYX197" s="212"/>
      <c r="EYY197" s="212"/>
      <c r="EYZ197" s="212"/>
      <c r="EZA197" s="212"/>
      <c r="EZB197" s="212"/>
      <c r="EZC197" s="212"/>
      <c r="EZD197" s="212"/>
      <c r="EZE197" s="212"/>
      <c r="EZF197" s="212"/>
      <c r="EZG197" s="212"/>
      <c r="EZH197" s="212"/>
      <c r="EZI197" s="212"/>
      <c r="EZJ197" s="212"/>
      <c r="EZK197" s="212"/>
      <c r="EZL197" s="212"/>
      <c r="EZM197" s="212"/>
      <c r="EZN197" s="212"/>
      <c r="EZO197" s="212"/>
      <c r="EZP197" s="212"/>
      <c r="EZQ197" s="212"/>
      <c r="EZR197" s="212"/>
      <c r="EZS197" s="212"/>
      <c r="EZT197" s="212"/>
      <c r="EZU197" s="212"/>
      <c r="EZV197" s="212"/>
      <c r="EZW197" s="212"/>
      <c r="EZX197" s="212"/>
      <c r="EZY197" s="212"/>
      <c r="EZZ197" s="212"/>
      <c r="FAA197" s="212"/>
      <c r="FAB197" s="212"/>
      <c r="FAC197" s="212"/>
      <c r="FAD197" s="212"/>
      <c r="FAE197" s="212"/>
      <c r="FAF197" s="212"/>
      <c r="FAG197" s="212"/>
      <c r="FAH197" s="212"/>
      <c r="FAI197" s="212"/>
      <c r="FAJ197" s="214"/>
      <c r="FAK197" s="211"/>
      <c r="FAL197" s="212"/>
      <c r="FAM197" s="212"/>
      <c r="FAN197" s="212"/>
      <c r="FAO197" s="212"/>
      <c r="FAP197" s="212"/>
      <c r="FAQ197" s="212"/>
      <c r="FAR197" s="212"/>
      <c r="FAS197" s="212"/>
      <c r="FAT197" s="212"/>
      <c r="FAU197" s="212"/>
      <c r="FAV197" s="212"/>
      <c r="FAW197" s="212"/>
      <c r="FAX197" s="212"/>
      <c r="FAY197" s="212"/>
      <c r="FAZ197" s="212"/>
      <c r="FBA197" s="212"/>
      <c r="FBB197" s="212"/>
      <c r="FBC197" s="212"/>
      <c r="FBD197" s="212"/>
      <c r="FBE197" s="212"/>
      <c r="FBF197" s="212"/>
      <c r="FBG197" s="212"/>
      <c r="FBH197" s="212"/>
      <c r="FBI197" s="212"/>
      <c r="FBJ197" s="212"/>
      <c r="FBK197" s="212"/>
      <c r="FBL197" s="212"/>
      <c r="FBM197" s="212"/>
      <c r="FBN197" s="212"/>
      <c r="FBO197" s="212"/>
      <c r="FBP197" s="212"/>
      <c r="FBQ197" s="212"/>
      <c r="FBR197" s="212"/>
      <c r="FBS197" s="212"/>
      <c r="FBT197" s="212"/>
      <c r="FBU197" s="212"/>
      <c r="FBV197" s="212"/>
      <c r="FBW197" s="212"/>
      <c r="FBX197" s="212"/>
      <c r="FBY197" s="212"/>
      <c r="FBZ197" s="212"/>
      <c r="FCA197" s="212"/>
      <c r="FCB197" s="214"/>
      <c r="FCC197" s="211"/>
      <c r="FCD197" s="212"/>
      <c r="FCE197" s="212"/>
      <c r="FCF197" s="212"/>
      <c r="FCG197" s="212"/>
      <c r="FCH197" s="212"/>
      <c r="FCI197" s="212"/>
      <c r="FCJ197" s="212"/>
      <c r="FCK197" s="212"/>
      <c r="FCL197" s="212"/>
      <c r="FCM197" s="212"/>
      <c r="FCN197" s="212"/>
      <c r="FCO197" s="212"/>
      <c r="FCP197" s="212"/>
      <c r="FCQ197" s="212"/>
      <c r="FCR197" s="212"/>
      <c r="FCS197" s="212"/>
      <c r="FCT197" s="212"/>
      <c r="FCU197" s="212"/>
      <c r="FCV197" s="212"/>
      <c r="FCW197" s="212"/>
      <c r="FCX197" s="212"/>
      <c r="FCY197" s="212"/>
      <c r="FCZ197" s="212"/>
      <c r="FDA197" s="212"/>
      <c r="FDB197" s="212"/>
      <c r="FDC197" s="212"/>
      <c r="FDD197" s="212"/>
      <c r="FDE197" s="212"/>
      <c r="FDF197" s="212"/>
      <c r="FDG197" s="212"/>
      <c r="FDH197" s="212"/>
      <c r="FDI197" s="212"/>
      <c r="FDJ197" s="212"/>
      <c r="FDK197" s="212"/>
      <c r="FDL197" s="212"/>
      <c r="FDM197" s="212"/>
      <c r="FDN197" s="212"/>
      <c r="FDO197" s="212"/>
      <c r="FDP197" s="212"/>
      <c r="FDQ197" s="212"/>
      <c r="FDR197" s="212"/>
      <c r="FDS197" s="212"/>
      <c r="FDT197" s="214"/>
      <c r="FDU197" s="211"/>
      <c r="FDV197" s="212"/>
      <c r="FDW197" s="212"/>
      <c r="FDX197" s="212"/>
      <c r="FDY197" s="212"/>
      <c r="FDZ197" s="212"/>
      <c r="FEA197" s="212"/>
      <c r="FEB197" s="212"/>
      <c r="FEC197" s="212"/>
      <c r="FED197" s="212"/>
      <c r="FEE197" s="212"/>
      <c r="FEF197" s="212"/>
      <c r="FEG197" s="212"/>
      <c r="FEH197" s="212"/>
      <c r="FEI197" s="212"/>
      <c r="FEJ197" s="212"/>
      <c r="FEK197" s="212"/>
      <c r="FEL197" s="212"/>
      <c r="FEM197" s="212"/>
      <c r="FEN197" s="212"/>
      <c r="FEO197" s="212"/>
      <c r="FEP197" s="212"/>
      <c r="FEQ197" s="212"/>
      <c r="FER197" s="212"/>
      <c r="FES197" s="212"/>
      <c r="FET197" s="212"/>
      <c r="FEU197" s="212"/>
      <c r="FEV197" s="212"/>
      <c r="FEW197" s="212"/>
      <c r="FEX197" s="212"/>
      <c r="FEY197" s="212"/>
      <c r="FEZ197" s="212"/>
      <c r="FFA197" s="212"/>
      <c r="FFB197" s="212"/>
      <c r="FFC197" s="212"/>
      <c r="FFD197" s="212"/>
      <c r="FFE197" s="212"/>
      <c r="FFF197" s="212"/>
      <c r="FFG197" s="212"/>
      <c r="FFH197" s="212"/>
      <c r="FFI197" s="212"/>
      <c r="FFJ197" s="212"/>
      <c r="FFK197" s="212"/>
      <c r="FFL197" s="214"/>
      <c r="FFM197" s="211"/>
      <c r="FFN197" s="212"/>
      <c r="FFO197" s="212"/>
      <c r="FFP197" s="212"/>
      <c r="FFQ197" s="212"/>
      <c r="FFR197" s="212"/>
      <c r="FFS197" s="212"/>
      <c r="FFT197" s="212"/>
      <c r="FFU197" s="212"/>
      <c r="FFV197" s="212"/>
      <c r="FFW197" s="212"/>
      <c r="FFX197" s="212"/>
      <c r="FFY197" s="212"/>
      <c r="FFZ197" s="212"/>
      <c r="FGA197" s="212"/>
      <c r="FGB197" s="212"/>
      <c r="FGC197" s="212"/>
      <c r="FGD197" s="212"/>
      <c r="FGE197" s="212"/>
      <c r="FGF197" s="212"/>
      <c r="FGG197" s="212"/>
      <c r="FGH197" s="212"/>
      <c r="FGI197" s="212"/>
      <c r="FGJ197" s="212"/>
      <c r="FGK197" s="212"/>
      <c r="FGL197" s="212"/>
      <c r="FGM197" s="212"/>
      <c r="FGN197" s="212"/>
      <c r="FGO197" s="212"/>
      <c r="FGP197" s="212"/>
      <c r="FGQ197" s="212"/>
      <c r="FGR197" s="212"/>
      <c r="FGS197" s="212"/>
      <c r="FGT197" s="212"/>
      <c r="FGU197" s="212"/>
      <c r="FGV197" s="212"/>
      <c r="FGW197" s="212"/>
      <c r="FGX197" s="212"/>
      <c r="FGY197" s="212"/>
      <c r="FGZ197" s="212"/>
      <c r="FHA197" s="212"/>
      <c r="FHB197" s="212"/>
      <c r="FHC197" s="212"/>
      <c r="FHD197" s="214"/>
      <c r="FHE197" s="211"/>
      <c r="FHF197" s="212"/>
      <c r="FHG197" s="212"/>
      <c r="FHH197" s="212"/>
      <c r="FHI197" s="212"/>
      <c r="FHJ197" s="212"/>
      <c r="FHK197" s="212"/>
      <c r="FHL197" s="212"/>
      <c r="FHM197" s="212"/>
      <c r="FHN197" s="212"/>
      <c r="FHO197" s="212"/>
      <c r="FHP197" s="212"/>
      <c r="FHQ197" s="212"/>
      <c r="FHR197" s="212"/>
      <c r="FHS197" s="212"/>
      <c r="FHT197" s="212"/>
      <c r="FHU197" s="212"/>
      <c r="FHV197" s="212"/>
      <c r="FHW197" s="212"/>
      <c r="FHX197" s="212"/>
      <c r="FHY197" s="212"/>
      <c r="FHZ197" s="212"/>
      <c r="FIA197" s="212"/>
      <c r="FIB197" s="212"/>
      <c r="FIC197" s="212"/>
      <c r="FID197" s="212"/>
      <c r="FIE197" s="212"/>
      <c r="FIF197" s="212"/>
      <c r="FIG197" s="212"/>
      <c r="FIH197" s="212"/>
      <c r="FII197" s="212"/>
      <c r="FIJ197" s="212"/>
      <c r="FIK197" s="212"/>
      <c r="FIL197" s="212"/>
      <c r="FIM197" s="212"/>
      <c r="FIN197" s="212"/>
      <c r="FIO197" s="212"/>
      <c r="FIP197" s="212"/>
      <c r="FIQ197" s="212"/>
      <c r="FIR197" s="212"/>
      <c r="FIS197" s="212"/>
      <c r="FIT197" s="212"/>
      <c r="FIU197" s="212"/>
      <c r="FIV197" s="214"/>
      <c r="FIW197" s="211"/>
      <c r="FIX197" s="212"/>
      <c r="FIY197" s="212"/>
      <c r="FIZ197" s="212"/>
      <c r="FJA197" s="212"/>
      <c r="FJB197" s="212"/>
      <c r="FJC197" s="212"/>
      <c r="FJD197" s="212"/>
      <c r="FJE197" s="212"/>
      <c r="FJF197" s="212"/>
      <c r="FJG197" s="212"/>
      <c r="FJH197" s="212"/>
      <c r="FJI197" s="212"/>
      <c r="FJJ197" s="212"/>
      <c r="FJK197" s="212"/>
      <c r="FJL197" s="212"/>
      <c r="FJM197" s="212"/>
      <c r="FJN197" s="212"/>
      <c r="FJO197" s="212"/>
      <c r="FJP197" s="212"/>
      <c r="FJQ197" s="212"/>
      <c r="FJR197" s="212"/>
      <c r="FJS197" s="212"/>
      <c r="FJT197" s="212"/>
      <c r="FJU197" s="212"/>
      <c r="FJV197" s="212"/>
      <c r="FJW197" s="212"/>
      <c r="FJX197" s="212"/>
      <c r="FJY197" s="212"/>
      <c r="FJZ197" s="212"/>
      <c r="FKA197" s="212"/>
      <c r="FKB197" s="212"/>
      <c r="FKC197" s="212"/>
      <c r="FKD197" s="212"/>
      <c r="FKE197" s="212"/>
      <c r="FKF197" s="212"/>
      <c r="FKG197" s="212"/>
      <c r="FKH197" s="212"/>
      <c r="FKI197" s="212"/>
      <c r="FKJ197" s="212"/>
      <c r="FKK197" s="212"/>
      <c r="FKL197" s="212"/>
      <c r="FKM197" s="212"/>
      <c r="FKN197" s="214"/>
      <c r="FKO197" s="211"/>
      <c r="FKP197" s="212"/>
      <c r="FKQ197" s="212"/>
      <c r="FKR197" s="212"/>
      <c r="FKS197" s="212"/>
      <c r="FKT197" s="212"/>
      <c r="FKU197" s="212"/>
      <c r="FKV197" s="212"/>
      <c r="FKW197" s="212"/>
      <c r="FKX197" s="212"/>
      <c r="FKY197" s="212"/>
      <c r="FKZ197" s="212"/>
      <c r="FLA197" s="212"/>
      <c r="FLB197" s="212"/>
      <c r="FLC197" s="212"/>
      <c r="FLD197" s="212"/>
      <c r="FLE197" s="212"/>
      <c r="FLF197" s="212"/>
      <c r="FLG197" s="212"/>
      <c r="FLH197" s="212"/>
      <c r="FLI197" s="212"/>
      <c r="FLJ197" s="212"/>
      <c r="FLK197" s="212"/>
      <c r="FLL197" s="212"/>
      <c r="FLM197" s="212"/>
      <c r="FLN197" s="212"/>
      <c r="FLO197" s="212"/>
      <c r="FLP197" s="212"/>
      <c r="FLQ197" s="212"/>
      <c r="FLR197" s="212"/>
      <c r="FLS197" s="212"/>
      <c r="FLT197" s="212"/>
      <c r="FLU197" s="212"/>
      <c r="FLV197" s="212"/>
      <c r="FLW197" s="212"/>
      <c r="FLX197" s="212"/>
      <c r="FLY197" s="212"/>
      <c r="FLZ197" s="212"/>
      <c r="FMA197" s="212"/>
      <c r="FMB197" s="212"/>
      <c r="FMC197" s="212"/>
      <c r="FMD197" s="212"/>
      <c r="FME197" s="212"/>
      <c r="FMF197" s="214"/>
      <c r="FMG197" s="211"/>
      <c r="FMH197" s="212"/>
      <c r="FMI197" s="212"/>
      <c r="FMJ197" s="212"/>
      <c r="FMK197" s="212"/>
      <c r="FML197" s="212"/>
      <c r="FMM197" s="212"/>
      <c r="FMN197" s="212"/>
      <c r="FMO197" s="212"/>
      <c r="FMP197" s="212"/>
      <c r="FMQ197" s="212"/>
      <c r="FMR197" s="212"/>
      <c r="FMS197" s="212"/>
      <c r="FMT197" s="212"/>
      <c r="FMU197" s="212"/>
      <c r="FMV197" s="212"/>
      <c r="FMW197" s="212"/>
      <c r="FMX197" s="212"/>
      <c r="FMY197" s="212"/>
      <c r="FMZ197" s="212"/>
      <c r="FNA197" s="212"/>
      <c r="FNB197" s="212"/>
      <c r="FNC197" s="212"/>
      <c r="FND197" s="212"/>
      <c r="FNE197" s="212"/>
      <c r="FNF197" s="212"/>
      <c r="FNG197" s="212"/>
      <c r="FNH197" s="212"/>
      <c r="FNI197" s="212"/>
      <c r="FNJ197" s="212"/>
      <c r="FNK197" s="212"/>
      <c r="FNL197" s="212"/>
      <c r="FNM197" s="212"/>
      <c r="FNN197" s="212"/>
      <c r="FNO197" s="212"/>
      <c r="FNP197" s="212"/>
      <c r="FNQ197" s="212"/>
      <c r="FNR197" s="212"/>
      <c r="FNS197" s="212"/>
      <c r="FNT197" s="212"/>
      <c r="FNU197" s="212"/>
      <c r="FNV197" s="212"/>
      <c r="FNW197" s="212"/>
      <c r="FNX197" s="214"/>
      <c r="FNY197" s="211"/>
      <c r="FNZ197" s="212"/>
      <c r="FOA197" s="212"/>
      <c r="FOB197" s="212"/>
      <c r="FOC197" s="212"/>
      <c r="FOD197" s="212"/>
      <c r="FOE197" s="212"/>
      <c r="FOF197" s="212"/>
      <c r="FOG197" s="212"/>
      <c r="FOH197" s="212"/>
      <c r="FOI197" s="212"/>
      <c r="FOJ197" s="212"/>
      <c r="FOK197" s="212"/>
      <c r="FOL197" s="212"/>
      <c r="FOM197" s="212"/>
      <c r="FON197" s="212"/>
      <c r="FOO197" s="212"/>
      <c r="FOP197" s="212"/>
      <c r="FOQ197" s="212"/>
      <c r="FOR197" s="212"/>
      <c r="FOS197" s="212"/>
      <c r="FOT197" s="212"/>
      <c r="FOU197" s="212"/>
      <c r="FOV197" s="212"/>
      <c r="FOW197" s="212"/>
      <c r="FOX197" s="212"/>
      <c r="FOY197" s="212"/>
      <c r="FOZ197" s="212"/>
      <c r="FPA197" s="212"/>
      <c r="FPB197" s="212"/>
      <c r="FPC197" s="212"/>
      <c r="FPD197" s="212"/>
      <c r="FPE197" s="212"/>
      <c r="FPF197" s="212"/>
      <c r="FPG197" s="212"/>
      <c r="FPH197" s="212"/>
      <c r="FPI197" s="212"/>
      <c r="FPJ197" s="212"/>
      <c r="FPK197" s="212"/>
      <c r="FPL197" s="212"/>
      <c r="FPM197" s="212"/>
      <c r="FPN197" s="212"/>
      <c r="FPO197" s="212"/>
      <c r="FPP197" s="214"/>
      <c r="FPQ197" s="211"/>
      <c r="FPR197" s="212"/>
      <c r="FPS197" s="212"/>
      <c r="FPT197" s="212"/>
      <c r="FPU197" s="212"/>
      <c r="FPV197" s="212"/>
      <c r="FPW197" s="212"/>
      <c r="FPX197" s="212"/>
      <c r="FPY197" s="212"/>
      <c r="FPZ197" s="212"/>
      <c r="FQA197" s="212"/>
      <c r="FQB197" s="212"/>
      <c r="FQC197" s="212"/>
      <c r="FQD197" s="212"/>
      <c r="FQE197" s="212"/>
      <c r="FQF197" s="212"/>
      <c r="FQG197" s="212"/>
      <c r="FQH197" s="212"/>
      <c r="FQI197" s="212"/>
      <c r="FQJ197" s="212"/>
      <c r="FQK197" s="212"/>
      <c r="FQL197" s="212"/>
      <c r="FQM197" s="212"/>
      <c r="FQN197" s="212"/>
      <c r="FQO197" s="212"/>
      <c r="FQP197" s="212"/>
      <c r="FQQ197" s="212"/>
      <c r="FQR197" s="212"/>
      <c r="FQS197" s="212"/>
      <c r="FQT197" s="212"/>
      <c r="FQU197" s="212"/>
      <c r="FQV197" s="212"/>
      <c r="FQW197" s="212"/>
      <c r="FQX197" s="212"/>
      <c r="FQY197" s="212"/>
      <c r="FQZ197" s="212"/>
      <c r="FRA197" s="212"/>
      <c r="FRB197" s="212"/>
      <c r="FRC197" s="212"/>
      <c r="FRD197" s="212"/>
      <c r="FRE197" s="212"/>
      <c r="FRF197" s="212"/>
      <c r="FRG197" s="212"/>
      <c r="FRH197" s="214"/>
      <c r="FRI197" s="211"/>
      <c r="FRJ197" s="212"/>
      <c r="FRK197" s="212"/>
      <c r="FRL197" s="212"/>
      <c r="FRM197" s="212"/>
      <c r="FRN197" s="212"/>
      <c r="FRO197" s="212"/>
      <c r="FRP197" s="212"/>
      <c r="FRQ197" s="212"/>
      <c r="FRR197" s="212"/>
      <c r="FRS197" s="212"/>
      <c r="FRT197" s="212"/>
      <c r="FRU197" s="212"/>
      <c r="FRV197" s="212"/>
      <c r="FRW197" s="212"/>
      <c r="FRX197" s="212"/>
      <c r="FRY197" s="212"/>
      <c r="FRZ197" s="212"/>
      <c r="FSA197" s="212"/>
      <c r="FSB197" s="212"/>
      <c r="FSC197" s="212"/>
      <c r="FSD197" s="212"/>
      <c r="FSE197" s="212"/>
      <c r="FSF197" s="212"/>
      <c r="FSG197" s="212"/>
      <c r="FSH197" s="212"/>
      <c r="FSI197" s="212"/>
      <c r="FSJ197" s="212"/>
      <c r="FSK197" s="212"/>
      <c r="FSL197" s="212"/>
      <c r="FSM197" s="212"/>
      <c r="FSN197" s="212"/>
      <c r="FSO197" s="212"/>
      <c r="FSP197" s="212"/>
      <c r="FSQ197" s="212"/>
      <c r="FSR197" s="212"/>
      <c r="FSS197" s="212"/>
      <c r="FST197" s="212"/>
      <c r="FSU197" s="212"/>
      <c r="FSV197" s="212"/>
      <c r="FSW197" s="212"/>
      <c r="FSX197" s="212"/>
      <c r="FSY197" s="212"/>
      <c r="FSZ197" s="214"/>
      <c r="FTA197" s="211"/>
      <c r="FTB197" s="212"/>
      <c r="FTC197" s="212"/>
      <c r="FTD197" s="212"/>
      <c r="FTE197" s="212"/>
      <c r="FTF197" s="212"/>
      <c r="FTG197" s="212"/>
      <c r="FTH197" s="212"/>
      <c r="FTI197" s="212"/>
      <c r="FTJ197" s="212"/>
      <c r="FTK197" s="212"/>
      <c r="FTL197" s="212"/>
      <c r="FTM197" s="212"/>
      <c r="FTN197" s="212"/>
      <c r="FTO197" s="212"/>
      <c r="FTP197" s="212"/>
      <c r="FTQ197" s="212"/>
      <c r="FTR197" s="212"/>
      <c r="FTS197" s="212"/>
      <c r="FTT197" s="212"/>
      <c r="FTU197" s="212"/>
      <c r="FTV197" s="212"/>
      <c r="FTW197" s="212"/>
      <c r="FTX197" s="212"/>
      <c r="FTY197" s="212"/>
      <c r="FTZ197" s="212"/>
      <c r="FUA197" s="212"/>
      <c r="FUB197" s="212"/>
      <c r="FUC197" s="212"/>
      <c r="FUD197" s="212"/>
      <c r="FUE197" s="212"/>
      <c r="FUF197" s="212"/>
      <c r="FUG197" s="212"/>
      <c r="FUH197" s="212"/>
      <c r="FUI197" s="212"/>
      <c r="FUJ197" s="212"/>
      <c r="FUK197" s="212"/>
      <c r="FUL197" s="212"/>
      <c r="FUM197" s="212"/>
      <c r="FUN197" s="212"/>
      <c r="FUO197" s="212"/>
      <c r="FUP197" s="212"/>
      <c r="FUQ197" s="212"/>
      <c r="FUR197" s="214"/>
      <c r="FUS197" s="211"/>
      <c r="FUT197" s="212"/>
      <c r="FUU197" s="212"/>
      <c r="FUV197" s="212"/>
      <c r="FUW197" s="212"/>
      <c r="FUX197" s="212"/>
      <c r="FUY197" s="212"/>
      <c r="FUZ197" s="212"/>
      <c r="FVA197" s="212"/>
      <c r="FVB197" s="212"/>
      <c r="FVC197" s="212"/>
      <c r="FVD197" s="212"/>
      <c r="FVE197" s="212"/>
      <c r="FVF197" s="212"/>
      <c r="FVG197" s="212"/>
      <c r="FVH197" s="212"/>
      <c r="FVI197" s="212"/>
      <c r="FVJ197" s="212"/>
      <c r="FVK197" s="212"/>
      <c r="FVL197" s="212"/>
      <c r="FVM197" s="212"/>
      <c r="FVN197" s="212"/>
      <c r="FVO197" s="212"/>
      <c r="FVP197" s="212"/>
      <c r="FVQ197" s="212"/>
      <c r="FVR197" s="212"/>
      <c r="FVS197" s="212"/>
      <c r="FVT197" s="212"/>
      <c r="FVU197" s="212"/>
      <c r="FVV197" s="212"/>
      <c r="FVW197" s="212"/>
      <c r="FVX197" s="212"/>
      <c r="FVY197" s="212"/>
      <c r="FVZ197" s="212"/>
      <c r="FWA197" s="212"/>
      <c r="FWB197" s="212"/>
      <c r="FWC197" s="212"/>
      <c r="FWD197" s="212"/>
      <c r="FWE197" s="212"/>
      <c r="FWF197" s="212"/>
      <c r="FWG197" s="212"/>
      <c r="FWH197" s="212"/>
      <c r="FWI197" s="212"/>
      <c r="FWJ197" s="214"/>
      <c r="FWK197" s="211"/>
      <c r="FWL197" s="212"/>
      <c r="FWM197" s="212"/>
      <c r="FWN197" s="212"/>
      <c r="FWO197" s="212"/>
      <c r="FWP197" s="212"/>
      <c r="FWQ197" s="212"/>
      <c r="FWR197" s="212"/>
      <c r="FWS197" s="212"/>
      <c r="FWT197" s="212"/>
      <c r="FWU197" s="212"/>
      <c r="FWV197" s="212"/>
      <c r="FWW197" s="212"/>
      <c r="FWX197" s="212"/>
      <c r="FWY197" s="212"/>
      <c r="FWZ197" s="212"/>
      <c r="FXA197" s="212"/>
      <c r="FXB197" s="212"/>
      <c r="FXC197" s="212"/>
      <c r="FXD197" s="212"/>
      <c r="FXE197" s="212"/>
      <c r="FXF197" s="212"/>
      <c r="FXG197" s="212"/>
      <c r="FXH197" s="212"/>
      <c r="FXI197" s="212"/>
      <c r="FXJ197" s="212"/>
      <c r="FXK197" s="212"/>
      <c r="FXL197" s="212"/>
      <c r="FXM197" s="212"/>
      <c r="FXN197" s="212"/>
      <c r="FXO197" s="212"/>
      <c r="FXP197" s="212"/>
      <c r="FXQ197" s="212"/>
      <c r="FXR197" s="212"/>
      <c r="FXS197" s="212"/>
      <c r="FXT197" s="212"/>
      <c r="FXU197" s="212"/>
      <c r="FXV197" s="212"/>
      <c r="FXW197" s="212"/>
      <c r="FXX197" s="212"/>
      <c r="FXY197" s="212"/>
      <c r="FXZ197" s="212"/>
      <c r="FYA197" s="212"/>
      <c r="FYB197" s="214"/>
      <c r="FYC197" s="211"/>
      <c r="FYD197" s="212"/>
      <c r="FYE197" s="212"/>
      <c r="FYF197" s="212"/>
      <c r="FYG197" s="212"/>
      <c r="FYH197" s="212"/>
      <c r="FYI197" s="212"/>
      <c r="FYJ197" s="212"/>
      <c r="FYK197" s="212"/>
      <c r="FYL197" s="212"/>
      <c r="FYM197" s="212"/>
      <c r="FYN197" s="212"/>
      <c r="FYO197" s="212"/>
      <c r="FYP197" s="212"/>
      <c r="FYQ197" s="212"/>
      <c r="FYR197" s="212"/>
      <c r="FYS197" s="212"/>
      <c r="FYT197" s="212"/>
      <c r="FYU197" s="212"/>
      <c r="FYV197" s="212"/>
      <c r="FYW197" s="212"/>
      <c r="FYX197" s="212"/>
      <c r="FYY197" s="212"/>
      <c r="FYZ197" s="212"/>
      <c r="FZA197" s="212"/>
      <c r="FZB197" s="212"/>
      <c r="FZC197" s="212"/>
      <c r="FZD197" s="212"/>
      <c r="FZE197" s="212"/>
      <c r="FZF197" s="212"/>
      <c r="FZG197" s="212"/>
      <c r="FZH197" s="212"/>
      <c r="FZI197" s="212"/>
      <c r="FZJ197" s="212"/>
      <c r="FZK197" s="212"/>
      <c r="FZL197" s="212"/>
      <c r="FZM197" s="212"/>
      <c r="FZN197" s="212"/>
      <c r="FZO197" s="212"/>
      <c r="FZP197" s="212"/>
      <c r="FZQ197" s="212"/>
      <c r="FZR197" s="212"/>
      <c r="FZS197" s="212"/>
      <c r="FZT197" s="214"/>
      <c r="FZU197" s="211"/>
      <c r="FZV197" s="212"/>
      <c r="FZW197" s="212"/>
      <c r="FZX197" s="212"/>
      <c r="FZY197" s="212"/>
      <c r="FZZ197" s="212"/>
      <c r="GAA197" s="212"/>
      <c r="GAB197" s="212"/>
      <c r="GAC197" s="212"/>
      <c r="GAD197" s="212"/>
      <c r="GAE197" s="212"/>
      <c r="GAF197" s="212"/>
      <c r="GAG197" s="212"/>
      <c r="GAH197" s="212"/>
      <c r="GAI197" s="212"/>
      <c r="GAJ197" s="212"/>
      <c r="GAK197" s="212"/>
      <c r="GAL197" s="212"/>
      <c r="GAM197" s="212"/>
      <c r="GAN197" s="212"/>
      <c r="GAO197" s="212"/>
      <c r="GAP197" s="212"/>
      <c r="GAQ197" s="212"/>
      <c r="GAR197" s="212"/>
      <c r="GAS197" s="212"/>
      <c r="GAT197" s="212"/>
      <c r="GAU197" s="212"/>
      <c r="GAV197" s="212"/>
      <c r="GAW197" s="212"/>
      <c r="GAX197" s="212"/>
      <c r="GAY197" s="212"/>
      <c r="GAZ197" s="212"/>
      <c r="GBA197" s="212"/>
      <c r="GBB197" s="212"/>
      <c r="GBC197" s="212"/>
      <c r="GBD197" s="212"/>
      <c r="GBE197" s="212"/>
      <c r="GBF197" s="212"/>
      <c r="GBG197" s="212"/>
      <c r="GBH197" s="212"/>
      <c r="GBI197" s="212"/>
      <c r="GBJ197" s="212"/>
      <c r="GBK197" s="212"/>
      <c r="GBL197" s="214"/>
      <c r="GBM197" s="211"/>
      <c r="GBN197" s="212"/>
      <c r="GBO197" s="212"/>
      <c r="GBP197" s="212"/>
      <c r="GBQ197" s="212"/>
      <c r="GBR197" s="212"/>
      <c r="GBS197" s="212"/>
      <c r="GBT197" s="212"/>
      <c r="GBU197" s="212"/>
      <c r="GBV197" s="212"/>
      <c r="GBW197" s="212"/>
      <c r="GBX197" s="212"/>
      <c r="GBY197" s="212"/>
      <c r="GBZ197" s="212"/>
      <c r="GCA197" s="212"/>
      <c r="GCB197" s="212"/>
      <c r="GCC197" s="212"/>
      <c r="GCD197" s="212"/>
      <c r="GCE197" s="212"/>
      <c r="GCF197" s="212"/>
      <c r="GCG197" s="212"/>
      <c r="GCH197" s="212"/>
      <c r="GCI197" s="212"/>
      <c r="GCJ197" s="212"/>
      <c r="GCK197" s="212"/>
      <c r="GCL197" s="212"/>
      <c r="GCM197" s="212"/>
      <c r="GCN197" s="212"/>
      <c r="GCO197" s="212"/>
      <c r="GCP197" s="212"/>
      <c r="GCQ197" s="212"/>
      <c r="GCR197" s="212"/>
      <c r="GCS197" s="212"/>
      <c r="GCT197" s="212"/>
      <c r="GCU197" s="212"/>
      <c r="GCV197" s="212"/>
      <c r="GCW197" s="212"/>
      <c r="GCX197" s="212"/>
      <c r="GCY197" s="212"/>
      <c r="GCZ197" s="212"/>
      <c r="GDA197" s="212"/>
      <c r="GDB197" s="212"/>
      <c r="GDC197" s="212"/>
      <c r="GDD197" s="214"/>
      <c r="GDE197" s="211"/>
      <c r="GDF197" s="212"/>
      <c r="GDG197" s="212"/>
      <c r="GDH197" s="212"/>
      <c r="GDI197" s="212"/>
      <c r="GDJ197" s="212"/>
      <c r="GDK197" s="212"/>
      <c r="GDL197" s="212"/>
      <c r="GDM197" s="212"/>
      <c r="GDN197" s="212"/>
      <c r="GDO197" s="212"/>
      <c r="GDP197" s="212"/>
      <c r="GDQ197" s="212"/>
      <c r="GDR197" s="212"/>
      <c r="GDS197" s="212"/>
      <c r="GDT197" s="212"/>
      <c r="GDU197" s="212"/>
      <c r="GDV197" s="212"/>
      <c r="GDW197" s="212"/>
      <c r="GDX197" s="212"/>
      <c r="GDY197" s="212"/>
      <c r="GDZ197" s="212"/>
      <c r="GEA197" s="212"/>
      <c r="GEB197" s="212"/>
      <c r="GEC197" s="212"/>
      <c r="GED197" s="212"/>
      <c r="GEE197" s="212"/>
      <c r="GEF197" s="212"/>
      <c r="GEG197" s="212"/>
      <c r="GEH197" s="212"/>
      <c r="GEI197" s="212"/>
      <c r="GEJ197" s="212"/>
      <c r="GEK197" s="212"/>
      <c r="GEL197" s="212"/>
      <c r="GEM197" s="212"/>
      <c r="GEN197" s="212"/>
      <c r="GEO197" s="212"/>
      <c r="GEP197" s="212"/>
      <c r="GEQ197" s="212"/>
      <c r="GER197" s="212"/>
      <c r="GES197" s="212"/>
      <c r="GET197" s="212"/>
      <c r="GEU197" s="212"/>
      <c r="GEV197" s="214"/>
      <c r="GEW197" s="211"/>
      <c r="GEX197" s="212"/>
      <c r="GEY197" s="212"/>
      <c r="GEZ197" s="212"/>
      <c r="GFA197" s="212"/>
      <c r="GFB197" s="212"/>
      <c r="GFC197" s="212"/>
      <c r="GFD197" s="212"/>
      <c r="GFE197" s="212"/>
      <c r="GFF197" s="212"/>
      <c r="GFG197" s="212"/>
      <c r="GFH197" s="212"/>
      <c r="GFI197" s="212"/>
      <c r="GFJ197" s="212"/>
      <c r="GFK197" s="212"/>
      <c r="GFL197" s="212"/>
      <c r="GFM197" s="212"/>
      <c r="GFN197" s="212"/>
      <c r="GFO197" s="212"/>
      <c r="GFP197" s="212"/>
      <c r="GFQ197" s="212"/>
      <c r="GFR197" s="212"/>
      <c r="GFS197" s="212"/>
      <c r="GFT197" s="212"/>
      <c r="GFU197" s="212"/>
      <c r="GFV197" s="212"/>
      <c r="GFW197" s="212"/>
      <c r="GFX197" s="212"/>
      <c r="GFY197" s="212"/>
      <c r="GFZ197" s="212"/>
      <c r="GGA197" s="212"/>
      <c r="GGB197" s="212"/>
      <c r="GGC197" s="212"/>
      <c r="GGD197" s="212"/>
      <c r="GGE197" s="212"/>
      <c r="GGF197" s="212"/>
      <c r="GGG197" s="212"/>
      <c r="GGH197" s="212"/>
      <c r="GGI197" s="212"/>
      <c r="GGJ197" s="212"/>
      <c r="GGK197" s="212"/>
      <c r="GGL197" s="212"/>
      <c r="GGM197" s="212"/>
      <c r="GGN197" s="214"/>
      <c r="GGO197" s="211"/>
      <c r="GGP197" s="212"/>
      <c r="GGQ197" s="212"/>
      <c r="GGR197" s="212"/>
      <c r="GGS197" s="212"/>
      <c r="GGT197" s="212"/>
      <c r="GGU197" s="212"/>
      <c r="GGV197" s="212"/>
      <c r="GGW197" s="212"/>
      <c r="GGX197" s="212"/>
      <c r="GGY197" s="212"/>
      <c r="GGZ197" s="212"/>
      <c r="GHA197" s="212"/>
      <c r="GHB197" s="212"/>
      <c r="GHC197" s="212"/>
      <c r="GHD197" s="212"/>
      <c r="GHE197" s="212"/>
      <c r="GHF197" s="212"/>
      <c r="GHG197" s="212"/>
      <c r="GHH197" s="212"/>
      <c r="GHI197" s="212"/>
      <c r="GHJ197" s="212"/>
      <c r="GHK197" s="212"/>
      <c r="GHL197" s="212"/>
      <c r="GHM197" s="212"/>
      <c r="GHN197" s="212"/>
      <c r="GHO197" s="212"/>
      <c r="GHP197" s="212"/>
      <c r="GHQ197" s="212"/>
      <c r="GHR197" s="212"/>
      <c r="GHS197" s="212"/>
      <c r="GHT197" s="212"/>
      <c r="GHU197" s="212"/>
      <c r="GHV197" s="212"/>
      <c r="GHW197" s="212"/>
      <c r="GHX197" s="212"/>
      <c r="GHY197" s="212"/>
      <c r="GHZ197" s="212"/>
      <c r="GIA197" s="212"/>
      <c r="GIB197" s="212"/>
      <c r="GIC197" s="212"/>
      <c r="GID197" s="212"/>
      <c r="GIE197" s="212"/>
      <c r="GIF197" s="214"/>
      <c r="GIG197" s="211"/>
      <c r="GIH197" s="212"/>
      <c r="GII197" s="212"/>
      <c r="GIJ197" s="212"/>
      <c r="GIK197" s="212"/>
      <c r="GIL197" s="212"/>
      <c r="GIM197" s="212"/>
      <c r="GIN197" s="212"/>
      <c r="GIO197" s="212"/>
      <c r="GIP197" s="212"/>
      <c r="GIQ197" s="212"/>
      <c r="GIR197" s="212"/>
      <c r="GIS197" s="212"/>
      <c r="GIT197" s="212"/>
      <c r="GIU197" s="212"/>
      <c r="GIV197" s="212"/>
      <c r="GIW197" s="212"/>
      <c r="GIX197" s="212"/>
      <c r="GIY197" s="212"/>
      <c r="GIZ197" s="212"/>
      <c r="GJA197" s="212"/>
      <c r="GJB197" s="212"/>
      <c r="GJC197" s="212"/>
      <c r="GJD197" s="212"/>
      <c r="GJE197" s="212"/>
      <c r="GJF197" s="212"/>
      <c r="GJG197" s="212"/>
      <c r="GJH197" s="212"/>
      <c r="GJI197" s="212"/>
      <c r="GJJ197" s="212"/>
      <c r="GJK197" s="212"/>
      <c r="GJL197" s="212"/>
      <c r="GJM197" s="212"/>
      <c r="GJN197" s="212"/>
      <c r="GJO197" s="212"/>
      <c r="GJP197" s="212"/>
      <c r="GJQ197" s="212"/>
      <c r="GJR197" s="212"/>
      <c r="GJS197" s="212"/>
      <c r="GJT197" s="212"/>
      <c r="GJU197" s="212"/>
      <c r="GJV197" s="212"/>
      <c r="GJW197" s="212"/>
      <c r="GJX197" s="214"/>
      <c r="GJY197" s="211"/>
      <c r="GJZ197" s="212"/>
      <c r="GKA197" s="212"/>
      <c r="GKB197" s="212"/>
      <c r="GKC197" s="212"/>
      <c r="GKD197" s="212"/>
      <c r="GKE197" s="212"/>
      <c r="GKF197" s="212"/>
      <c r="GKG197" s="212"/>
      <c r="GKH197" s="212"/>
      <c r="GKI197" s="212"/>
      <c r="GKJ197" s="212"/>
      <c r="GKK197" s="212"/>
      <c r="GKL197" s="212"/>
      <c r="GKM197" s="212"/>
      <c r="GKN197" s="212"/>
      <c r="GKO197" s="212"/>
      <c r="GKP197" s="212"/>
      <c r="GKQ197" s="212"/>
      <c r="GKR197" s="212"/>
      <c r="GKS197" s="212"/>
      <c r="GKT197" s="212"/>
      <c r="GKU197" s="212"/>
      <c r="GKV197" s="212"/>
      <c r="GKW197" s="212"/>
      <c r="GKX197" s="212"/>
      <c r="GKY197" s="212"/>
      <c r="GKZ197" s="212"/>
      <c r="GLA197" s="212"/>
      <c r="GLB197" s="212"/>
      <c r="GLC197" s="212"/>
      <c r="GLD197" s="212"/>
      <c r="GLE197" s="212"/>
      <c r="GLF197" s="212"/>
      <c r="GLG197" s="212"/>
      <c r="GLH197" s="212"/>
      <c r="GLI197" s="212"/>
      <c r="GLJ197" s="212"/>
      <c r="GLK197" s="212"/>
      <c r="GLL197" s="212"/>
      <c r="GLM197" s="212"/>
      <c r="GLN197" s="212"/>
      <c r="GLO197" s="212"/>
      <c r="GLP197" s="214"/>
      <c r="GLQ197" s="211"/>
      <c r="GLR197" s="212"/>
      <c r="GLS197" s="212"/>
      <c r="GLT197" s="212"/>
      <c r="GLU197" s="212"/>
      <c r="GLV197" s="212"/>
      <c r="GLW197" s="212"/>
      <c r="GLX197" s="212"/>
      <c r="GLY197" s="212"/>
      <c r="GLZ197" s="212"/>
      <c r="GMA197" s="212"/>
      <c r="GMB197" s="212"/>
      <c r="GMC197" s="212"/>
      <c r="GMD197" s="212"/>
      <c r="GME197" s="212"/>
      <c r="GMF197" s="212"/>
      <c r="GMG197" s="212"/>
      <c r="GMH197" s="212"/>
      <c r="GMI197" s="212"/>
      <c r="GMJ197" s="212"/>
      <c r="GMK197" s="212"/>
      <c r="GML197" s="212"/>
      <c r="GMM197" s="212"/>
      <c r="GMN197" s="212"/>
      <c r="GMO197" s="212"/>
      <c r="GMP197" s="212"/>
      <c r="GMQ197" s="212"/>
      <c r="GMR197" s="212"/>
      <c r="GMS197" s="212"/>
      <c r="GMT197" s="212"/>
      <c r="GMU197" s="212"/>
      <c r="GMV197" s="212"/>
      <c r="GMW197" s="212"/>
      <c r="GMX197" s="212"/>
      <c r="GMY197" s="212"/>
      <c r="GMZ197" s="212"/>
      <c r="GNA197" s="212"/>
      <c r="GNB197" s="212"/>
      <c r="GNC197" s="212"/>
      <c r="GND197" s="212"/>
      <c r="GNE197" s="212"/>
      <c r="GNF197" s="212"/>
      <c r="GNG197" s="212"/>
      <c r="GNH197" s="214"/>
      <c r="GNI197" s="211"/>
      <c r="GNJ197" s="212"/>
      <c r="GNK197" s="212"/>
      <c r="GNL197" s="212"/>
      <c r="GNM197" s="212"/>
      <c r="GNN197" s="212"/>
      <c r="GNO197" s="212"/>
      <c r="GNP197" s="212"/>
      <c r="GNQ197" s="212"/>
      <c r="GNR197" s="212"/>
      <c r="GNS197" s="212"/>
      <c r="GNT197" s="212"/>
      <c r="GNU197" s="212"/>
      <c r="GNV197" s="212"/>
      <c r="GNW197" s="212"/>
      <c r="GNX197" s="212"/>
      <c r="GNY197" s="212"/>
      <c r="GNZ197" s="212"/>
      <c r="GOA197" s="212"/>
      <c r="GOB197" s="212"/>
      <c r="GOC197" s="212"/>
      <c r="GOD197" s="212"/>
      <c r="GOE197" s="212"/>
      <c r="GOF197" s="212"/>
      <c r="GOG197" s="212"/>
      <c r="GOH197" s="212"/>
      <c r="GOI197" s="212"/>
      <c r="GOJ197" s="212"/>
      <c r="GOK197" s="212"/>
      <c r="GOL197" s="212"/>
      <c r="GOM197" s="212"/>
      <c r="GON197" s="212"/>
      <c r="GOO197" s="212"/>
      <c r="GOP197" s="212"/>
      <c r="GOQ197" s="212"/>
      <c r="GOR197" s="212"/>
      <c r="GOS197" s="212"/>
      <c r="GOT197" s="212"/>
      <c r="GOU197" s="212"/>
      <c r="GOV197" s="212"/>
      <c r="GOW197" s="212"/>
      <c r="GOX197" s="212"/>
      <c r="GOY197" s="212"/>
      <c r="GOZ197" s="214"/>
      <c r="GPA197" s="211"/>
      <c r="GPB197" s="212"/>
      <c r="GPC197" s="212"/>
      <c r="GPD197" s="212"/>
      <c r="GPE197" s="212"/>
      <c r="GPF197" s="212"/>
      <c r="GPG197" s="212"/>
      <c r="GPH197" s="212"/>
      <c r="GPI197" s="212"/>
      <c r="GPJ197" s="212"/>
      <c r="GPK197" s="212"/>
      <c r="GPL197" s="212"/>
      <c r="GPM197" s="212"/>
      <c r="GPN197" s="212"/>
      <c r="GPO197" s="212"/>
      <c r="GPP197" s="212"/>
      <c r="GPQ197" s="212"/>
      <c r="GPR197" s="212"/>
      <c r="GPS197" s="212"/>
      <c r="GPT197" s="212"/>
      <c r="GPU197" s="212"/>
      <c r="GPV197" s="212"/>
      <c r="GPW197" s="212"/>
      <c r="GPX197" s="212"/>
      <c r="GPY197" s="212"/>
      <c r="GPZ197" s="212"/>
      <c r="GQA197" s="212"/>
      <c r="GQB197" s="212"/>
      <c r="GQC197" s="212"/>
      <c r="GQD197" s="212"/>
      <c r="GQE197" s="212"/>
      <c r="GQF197" s="212"/>
      <c r="GQG197" s="212"/>
      <c r="GQH197" s="212"/>
      <c r="GQI197" s="212"/>
      <c r="GQJ197" s="212"/>
      <c r="GQK197" s="212"/>
      <c r="GQL197" s="212"/>
      <c r="GQM197" s="212"/>
      <c r="GQN197" s="212"/>
      <c r="GQO197" s="212"/>
      <c r="GQP197" s="212"/>
      <c r="GQQ197" s="212"/>
      <c r="GQR197" s="214"/>
      <c r="GQS197" s="211"/>
      <c r="GQT197" s="212"/>
      <c r="GQU197" s="212"/>
      <c r="GQV197" s="212"/>
      <c r="GQW197" s="212"/>
      <c r="GQX197" s="212"/>
      <c r="GQY197" s="212"/>
      <c r="GQZ197" s="212"/>
      <c r="GRA197" s="212"/>
      <c r="GRB197" s="212"/>
      <c r="GRC197" s="212"/>
      <c r="GRD197" s="212"/>
      <c r="GRE197" s="212"/>
      <c r="GRF197" s="212"/>
      <c r="GRG197" s="212"/>
      <c r="GRH197" s="212"/>
      <c r="GRI197" s="212"/>
      <c r="GRJ197" s="212"/>
      <c r="GRK197" s="212"/>
      <c r="GRL197" s="212"/>
      <c r="GRM197" s="212"/>
      <c r="GRN197" s="212"/>
      <c r="GRO197" s="212"/>
      <c r="GRP197" s="212"/>
      <c r="GRQ197" s="212"/>
      <c r="GRR197" s="212"/>
      <c r="GRS197" s="212"/>
      <c r="GRT197" s="212"/>
      <c r="GRU197" s="212"/>
      <c r="GRV197" s="212"/>
      <c r="GRW197" s="212"/>
      <c r="GRX197" s="212"/>
      <c r="GRY197" s="212"/>
      <c r="GRZ197" s="212"/>
      <c r="GSA197" s="212"/>
      <c r="GSB197" s="212"/>
      <c r="GSC197" s="212"/>
      <c r="GSD197" s="212"/>
      <c r="GSE197" s="212"/>
      <c r="GSF197" s="212"/>
      <c r="GSG197" s="212"/>
      <c r="GSH197" s="212"/>
      <c r="GSI197" s="212"/>
      <c r="GSJ197" s="214"/>
      <c r="GSK197" s="211"/>
      <c r="GSL197" s="212"/>
      <c r="GSM197" s="212"/>
      <c r="GSN197" s="212"/>
      <c r="GSO197" s="212"/>
      <c r="GSP197" s="212"/>
      <c r="GSQ197" s="212"/>
      <c r="GSR197" s="212"/>
      <c r="GSS197" s="212"/>
      <c r="GST197" s="212"/>
      <c r="GSU197" s="212"/>
      <c r="GSV197" s="212"/>
      <c r="GSW197" s="212"/>
      <c r="GSX197" s="212"/>
      <c r="GSY197" s="212"/>
      <c r="GSZ197" s="212"/>
      <c r="GTA197" s="212"/>
      <c r="GTB197" s="212"/>
      <c r="GTC197" s="212"/>
      <c r="GTD197" s="212"/>
      <c r="GTE197" s="212"/>
      <c r="GTF197" s="212"/>
      <c r="GTG197" s="212"/>
      <c r="GTH197" s="212"/>
      <c r="GTI197" s="212"/>
      <c r="GTJ197" s="212"/>
      <c r="GTK197" s="212"/>
      <c r="GTL197" s="212"/>
      <c r="GTM197" s="212"/>
      <c r="GTN197" s="212"/>
      <c r="GTO197" s="212"/>
      <c r="GTP197" s="212"/>
      <c r="GTQ197" s="212"/>
      <c r="GTR197" s="212"/>
      <c r="GTS197" s="212"/>
      <c r="GTT197" s="212"/>
      <c r="GTU197" s="212"/>
      <c r="GTV197" s="212"/>
      <c r="GTW197" s="212"/>
      <c r="GTX197" s="212"/>
      <c r="GTY197" s="212"/>
      <c r="GTZ197" s="212"/>
      <c r="GUA197" s="212"/>
      <c r="GUB197" s="214"/>
      <c r="GUC197" s="211"/>
      <c r="GUD197" s="212"/>
      <c r="GUE197" s="212"/>
      <c r="GUF197" s="212"/>
      <c r="GUG197" s="212"/>
      <c r="GUH197" s="212"/>
      <c r="GUI197" s="212"/>
      <c r="GUJ197" s="212"/>
      <c r="GUK197" s="212"/>
      <c r="GUL197" s="212"/>
      <c r="GUM197" s="212"/>
      <c r="GUN197" s="212"/>
      <c r="GUO197" s="212"/>
      <c r="GUP197" s="212"/>
      <c r="GUQ197" s="212"/>
      <c r="GUR197" s="212"/>
      <c r="GUS197" s="212"/>
      <c r="GUT197" s="212"/>
      <c r="GUU197" s="212"/>
      <c r="GUV197" s="212"/>
      <c r="GUW197" s="212"/>
      <c r="GUX197" s="212"/>
      <c r="GUY197" s="212"/>
      <c r="GUZ197" s="212"/>
      <c r="GVA197" s="212"/>
      <c r="GVB197" s="212"/>
      <c r="GVC197" s="212"/>
      <c r="GVD197" s="212"/>
      <c r="GVE197" s="212"/>
      <c r="GVF197" s="212"/>
      <c r="GVG197" s="212"/>
      <c r="GVH197" s="212"/>
      <c r="GVI197" s="212"/>
      <c r="GVJ197" s="212"/>
      <c r="GVK197" s="212"/>
      <c r="GVL197" s="212"/>
      <c r="GVM197" s="212"/>
      <c r="GVN197" s="212"/>
      <c r="GVO197" s="212"/>
      <c r="GVP197" s="212"/>
      <c r="GVQ197" s="212"/>
      <c r="GVR197" s="212"/>
      <c r="GVS197" s="212"/>
      <c r="GVT197" s="214"/>
      <c r="GVU197" s="211"/>
      <c r="GVV197" s="212"/>
      <c r="GVW197" s="212"/>
      <c r="GVX197" s="212"/>
      <c r="GVY197" s="212"/>
      <c r="GVZ197" s="212"/>
      <c r="GWA197" s="212"/>
      <c r="GWB197" s="212"/>
      <c r="GWC197" s="212"/>
      <c r="GWD197" s="212"/>
      <c r="GWE197" s="212"/>
      <c r="GWF197" s="212"/>
      <c r="GWG197" s="212"/>
      <c r="GWH197" s="212"/>
      <c r="GWI197" s="212"/>
      <c r="GWJ197" s="212"/>
      <c r="GWK197" s="212"/>
      <c r="GWL197" s="212"/>
      <c r="GWM197" s="212"/>
      <c r="GWN197" s="212"/>
      <c r="GWO197" s="212"/>
      <c r="GWP197" s="212"/>
      <c r="GWQ197" s="212"/>
      <c r="GWR197" s="212"/>
      <c r="GWS197" s="212"/>
      <c r="GWT197" s="212"/>
      <c r="GWU197" s="212"/>
      <c r="GWV197" s="212"/>
      <c r="GWW197" s="212"/>
      <c r="GWX197" s="212"/>
      <c r="GWY197" s="212"/>
      <c r="GWZ197" s="212"/>
      <c r="GXA197" s="212"/>
      <c r="GXB197" s="212"/>
      <c r="GXC197" s="212"/>
      <c r="GXD197" s="212"/>
      <c r="GXE197" s="212"/>
      <c r="GXF197" s="212"/>
      <c r="GXG197" s="212"/>
      <c r="GXH197" s="212"/>
      <c r="GXI197" s="212"/>
      <c r="GXJ197" s="212"/>
      <c r="GXK197" s="212"/>
      <c r="GXL197" s="214"/>
      <c r="GXM197" s="211"/>
      <c r="GXN197" s="212"/>
      <c r="GXO197" s="212"/>
      <c r="GXP197" s="212"/>
      <c r="GXQ197" s="212"/>
      <c r="GXR197" s="212"/>
      <c r="GXS197" s="212"/>
      <c r="GXT197" s="212"/>
      <c r="GXU197" s="212"/>
      <c r="GXV197" s="212"/>
      <c r="GXW197" s="212"/>
      <c r="GXX197" s="212"/>
      <c r="GXY197" s="212"/>
      <c r="GXZ197" s="212"/>
      <c r="GYA197" s="212"/>
      <c r="GYB197" s="212"/>
      <c r="GYC197" s="212"/>
      <c r="GYD197" s="212"/>
      <c r="GYE197" s="212"/>
      <c r="GYF197" s="212"/>
      <c r="GYG197" s="212"/>
      <c r="GYH197" s="212"/>
      <c r="GYI197" s="212"/>
      <c r="GYJ197" s="212"/>
      <c r="GYK197" s="212"/>
      <c r="GYL197" s="212"/>
      <c r="GYM197" s="212"/>
      <c r="GYN197" s="212"/>
      <c r="GYO197" s="212"/>
      <c r="GYP197" s="212"/>
      <c r="GYQ197" s="212"/>
      <c r="GYR197" s="212"/>
      <c r="GYS197" s="212"/>
      <c r="GYT197" s="212"/>
      <c r="GYU197" s="212"/>
      <c r="GYV197" s="212"/>
      <c r="GYW197" s="212"/>
      <c r="GYX197" s="212"/>
      <c r="GYY197" s="212"/>
      <c r="GYZ197" s="212"/>
      <c r="GZA197" s="212"/>
      <c r="GZB197" s="212"/>
      <c r="GZC197" s="212"/>
      <c r="GZD197" s="214"/>
      <c r="GZE197" s="211"/>
      <c r="GZF197" s="212"/>
      <c r="GZG197" s="212"/>
      <c r="GZH197" s="212"/>
      <c r="GZI197" s="212"/>
      <c r="GZJ197" s="212"/>
      <c r="GZK197" s="212"/>
      <c r="GZL197" s="212"/>
      <c r="GZM197" s="212"/>
      <c r="GZN197" s="212"/>
      <c r="GZO197" s="212"/>
      <c r="GZP197" s="212"/>
      <c r="GZQ197" s="212"/>
      <c r="GZR197" s="212"/>
      <c r="GZS197" s="212"/>
      <c r="GZT197" s="212"/>
      <c r="GZU197" s="212"/>
      <c r="GZV197" s="212"/>
      <c r="GZW197" s="212"/>
      <c r="GZX197" s="212"/>
      <c r="GZY197" s="212"/>
      <c r="GZZ197" s="212"/>
      <c r="HAA197" s="212"/>
      <c r="HAB197" s="212"/>
      <c r="HAC197" s="212"/>
      <c r="HAD197" s="212"/>
      <c r="HAE197" s="212"/>
      <c r="HAF197" s="212"/>
      <c r="HAG197" s="212"/>
      <c r="HAH197" s="212"/>
      <c r="HAI197" s="212"/>
      <c r="HAJ197" s="212"/>
      <c r="HAK197" s="212"/>
      <c r="HAL197" s="212"/>
      <c r="HAM197" s="212"/>
      <c r="HAN197" s="212"/>
      <c r="HAO197" s="212"/>
      <c r="HAP197" s="212"/>
      <c r="HAQ197" s="212"/>
      <c r="HAR197" s="212"/>
      <c r="HAS197" s="212"/>
      <c r="HAT197" s="212"/>
      <c r="HAU197" s="212"/>
      <c r="HAV197" s="214"/>
      <c r="HAW197" s="211"/>
      <c r="HAX197" s="212"/>
      <c r="HAY197" s="212"/>
      <c r="HAZ197" s="212"/>
      <c r="HBA197" s="212"/>
      <c r="HBB197" s="212"/>
      <c r="HBC197" s="212"/>
      <c r="HBD197" s="212"/>
      <c r="HBE197" s="212"/>
      <c r="HBF197" s="212"/>
      <c r="HBG197" s="212"/>
      <c r="HBH197" s="212"/>
      <c r="HBI197" s="212"/>
      <c r="HBJ197" s="212"/>
      <c r="HBK197" s="212"/>
      <c r="HBL197" s="212"/>
      <c r="HBM197" s="212"/>
      <c r="HBN197" s="212"/>
      <c r="HBO197" s="212"/>
      <c r="HBP197" s="212"/>
      <c r="HBQ197" s="212"/>
      <c r="HBR197" s="212"/>
      <c r="HBS197" s="212"/>
      <c r="HBT197" s="212"/>
      <c r="HBU197" s="212"/>
      <c r="HBV197" s="212"/>
      <c r="HBW197" s="212"/>
      <c r="HBX197" s="212"/>
      <c r="HBY197" s="212"/>
      <c r="HBZ197" s="212"/>
      <c r="HCA197" s="212"/>
      <c r="HCB197" s="212"/>
      <c r="HCC197" s="212"/>
      <c r="HCD197" s="212"/>
      <c r="HCE197" s="212"/>
      <c r="HCF197" s="212"/>
      <c r="HCG197" s="212"/>
      <c r="HCH197" s="212"/>
      <c r="HCI197" s="212"/>
      <c r="HCJ197" s="212"/>
      <c r="HCK197" s="212"/>
      <c r="HCL197" s="212"/>
      <c r="HCM197" s="212"/>
      <c r="HCN197" s="214"/>
      <c r="HCO197" s="211"/>
      <c r="HCP197" s="212"/>
      <c r="HCQ197" s="212"/>
      <c r="HCR197" s="212"/>
      <c r="HCS197" s="212"/>
      <c r="HCT197" s="212"/>
      <c r="HCU197" s="212"/>
      <c r="HCV197" s="212"/>
      <c r="HCW197" s="212"/>
      <c r="HCX197" s="212"/>
      <c r="HCY197" s="212"/>
      <c r="HCZ197" s="212"/>
      <c r="HDA197" s="212"/>
      <c r="HDB197" s="212"/>
      <c r="HDC197" s="212"/>
      <c r="HDD197" s="212"/>
      <c r="HDE197" s="212"/>
      <c r="HDF197" s="212"/>
      <c r="HDG197" s="212"/>
      <c r="HDH197" s="212"/>
      <c r="HDI197" s="212"/>
      <c r="HDJ197" s="212"/>
      <c r="HDK197" s="212"/>
      <c r="HDL197" s="212"/>
      <c r="HDM197" s="212"/>
      <c r="HDN197" s="212"/>
      <c r="HDO197" s="212"/>
      <c r="HDP197" s="212"/>
      <c r="HDQ197" s="212"/>
      <c r="HDR197" s="212"/>
      <c r="HDS197" s="212"/>
      <c r="HDT197" s="212"/>
      <c r="HDU197" s="212"/>
      <c r="HDV197" s="212"/>
      <c r="HDW197" s="212"/>
      <c r="HDX197" s="212"/>
      <c r="HDY197" s="212"/>
      <c r="HDZ197" s="212"/>
      <c r="HEA197" s="212"/>
      <c r="HEB197" s="212"/>
      <c r="HEC197" s="212"/>
      <c r="HED197" s="212"/>
      <c r="HEE197" s="212"/>
      <c r="HEF197" s="214"/>
      <c r="HEG197" s="211"/>
      <c r="HEH197" s="212"/>
      <c r="HEI197" s="212"/>
      <c r="HEJ197" s="212"/>
      <c r="HEK197" s="212"/>
      <c r="HEL197" s="212"/>
      <c r="HEM197" s="212"/>
      <c r="HEN197" s="212"/>
      <c r="HEO197" s="212"/>
      <c r="HEP197" s="212"/>
      <c r="HEQ197" s="212"/>
      <c r="HER197" s="212"/>
      <c r="HES197" s="212"/>
      <c r="HET197" s="212"/>
      <c r="HEU197" s="212"/>
      <c r="HEV197" s="212"/>
      <c r="HEW197" s="212"/>
      <c r="HEX197" s="212"/>
      <c r="HEY197" s="212"/>
      <c r="HEZ197" s="212"/>
      <c r="HFA197" s="212"/>
      <c r="HFB197" s="212"/>
      <c r="HFC197" s="212"/>
      <c r="HFD197" s="212"/>
      <c r="HFE197" s="212"/>
      <c r="HFF197" s="212"/>
      <c r="HFG197" s="212"/>
      <c r="HFH197" s="212"/>
      <c r="HFI197" s="212"/>
      <c r="HFJ197" s="212"/>
      <c r="HFK197" s="212"/>
      <c r="HFL197" s="212"/>
      <c r="HFM197" s="212"/>
      <c r="HFN197" s="212"/>
      <c r="HFO197" s="212"/>
      <c r="HFP197" s="212"/>
      <c r="HFQ197" s="212"/>
      <c r="HFR197" s="212"/>
      <c r="HFS197" s="212"/>
      <c r="HFT197" s="212"/>
      <c r="HFU197" s="212"/>
      <c r="HFV197" s="212"/>
      <c r="HFW197" s="212"/>
      <c r="HFX197" s="214"/>
      <c r="HFY197" s="211"/>
      <c r="HFZ197" s="212"/>
      <c r="HGA197" s="212"/>
      <c r="HGB197" s="212"/>
      <c r="HGC197" s="212"/>
      <c r="HGD197" s="212"/>
      <c r="HGE197" s="212"/>
      <c r="HGF197" s="212"/>
      <c r="HGG197" s="212"/>
      <c r="HGH197" s="212"/>
      <c r="HGI197" s="212"/>
      <c r="HGJ197" s="212"/>
      <c r="HGK197" s="212"/>
      <c r="HGL197" s="212"/>
      <c r="HGM197" s="212"/>
      <c r="HGN197" s="212"/>
      <c r="HGO197" s="212"/>
      <c r="HGP197" s="212"/>
      <c r="HGQ197" s="212"/>
      <c r="HGR197" s="212"/>
      <c r="HGS197" s="212"/>
      <c r="HGT197" s="212"/>
      <c r="HGU197" s="212"/>
      <c r="HGV197" s="212"/>
      <c r="HGW197" s="212"/>
      <c r="HGX197" s="212"/>
      <c r="HGY197" s="212"/>
      <c r="HGZ197" s="212"/>
      <c r="HHA197" s="212"/>
      <c r="HHB197" s="212"/>
      <c r="HHC197" s="212"/>
      <c r="HHD197" s="212"/>
      <c r="HHE197" s="212"/>
      <c r="HHF197" s="212"/>
      <c r="HHG197" s="212"/>
      <c r="HHH197" s="212"/>
      <c r="HHI197" s="212"/>
      <c r="HHJ197" s="212"/>
      <c r="HHK197" s="212"/>
      <c r="HHL197" s="212"/>
      <c r="HHM197" s="212"/>
      <c r="HHN197" s="212"/>
      <c r="HHO197" s="212"/>
      <c r="HHP197" s="214"/>
      <c r="HHQ197" s="211"/>
      <c r="HHR197" s="212"/>
      <c r="HHS197" s="212"/>
      <c r="HHT197" s="212"/>
      <c r="HHU197" s="212"/>
      <c r="HHV197" s="212"/>
      <c r="HHW197" s="212"/>
      <c r="HHX197" s="212"/>
      <c r="HHY197" s="212"/>
      <c r="HHZ197" s="212"/>
      <c r="HIA197" s="212"/>
      <c r="HIB197" s="212"/>
      <c r="HIC197" s="212"/>
      <c r="HID197" s="212"/>
      <c r="HIE197" s="212"/>
      <c r="HIF197" s="212"/>
      <c r="HIG197" s="212"/>
      <c r="HIH197" s="212"/>
      <c r="HII197" s="212"/>
      <c r="HIJ197" s="212"/>
      <c r="HIK197" s="212"/>
      <c r="HIL197" s="212"/>
      <c r="HIM197" s="212"/>
      <c r="HIN197" s="212"/>
      <c r="HIO197" s="212"/>
      <c r="HIP197" s="212"/>
      <c r="HIQ197" s="212"/>
      <c r="HIR197" s="212"/>
      <c r="HIS197" s="212"/>
      <c r="HIT197" s="212"/>
      <c r="HIU197" s="212"/>
      <c r="HIV197" s="212"/>
      <c r="HIW197" s="212"/>
      <c r="HIX197" s="212"/>
      <c r="HIY197" s="212"/>
      <c r="HIZ197" s="212"/>
      <c r="HJA197" s="212"/>
      <c r="HJB197" s="212"/>
      <c r="HJC197" s="212"/>
      <c r="HJD197" s="212"/>
      <c r="HJE197" s="212"/>
      <c r="HJF197" s="212"/>
      <c r="HJG197" s="212"/>
      <c r="HJH197" s="214"/>
      <c r="HJI197" s="211"/>
      <c r="HJJ197" s="212"/>
      <c r="HJK197" s="212"/>
      <c r="HJL197" s="212"/>
      <c r="HJM197" s="212"/>
      <c r="HJN197" s="212"/>
      <c r="HJO197" s="212"/>
      <c r="HJP197" s="212"/>
      <c r="HJQ197" s="212"/>
      <c r="HJR197" s="212"/>
      <c r="HJS197" s="212"/>
      <c r="HJT197" s="212"/>
      <c r="HJU197" s="212"/>
      <c r="HJV197" s="212"/>
      <c r="HJW197" s="212"/>
      <c r="HJX197" s="212"/>
      <c r="HJY197" s="212"/>
      <c r="HJZ197" s="212"/>
      <c r="HKA197" s="212"/>
      <c r="HKB197" s="212"/>
      <c r="HKC197" s="212"/>
      <c r="HKD197" s="212"/>
      <c r="HKE197" s="212"/>
      <c r="HKF197" s="212"/>
      <c r="HKG197" s="212"/>
      <c r="HKH197" s="212"/>
      <c r="HKI197" s="212"/>
      <c r="HKJ197" s="212"/>
      <c r="HKK197" s="212"/>
      <c r="HKL197" s="212"/>
      <c r="HKM197" s="212"/>
      <c r="HKN197" s="212"/>
      <c r="HKO197" s="212"/>
      <c r="HKP197" s="212"/>
      <c r="HKQ197" s="212"/>
      <c r="HKR197" s="212"/>
      <c r="HKS197" s="212"/>
      <c r="HKT197" s="212"/>
      <c r="HKU197" s="212"/>
      <c r="HKV197" s="212"/>
      <c r="HKW197" s="212"/>
      <c r="HKX197" s="212"/>
      <c r="HKY197" s="212"/>
      <c r="HKZ197" s="214"/>
      <c r="HLA197" s="211"/>
      <c r="HLB197" s="212"/>
      <c r="HLC197" s="212"/>
      <c r="HLD197" s="212"/>
      <c r="HLE197" s="212"/>
      <c r="HLF197" s="212"/>
      <c r="HLG197" s="212"/>
      <c r="HLH197" s="212"/>
      <c r="HLI197" s="212"/>
      <c r="HLJ197" s="212"/>
      <c r="HLK197" s="212"/>
      <c r="HLL197" s="212"/>
      <c r="HLM197" s="212"/>
      <c r="HLN197" s="212"/>
      <c r="HLO197" s="212"/>
      <c r="HLP197" s="212"/>
      <c r="HLQ197" s="212"/>
      <c r="HLR197" s="212"/>
      <c r="HLS197" s="212"/>
      <c r="HLT197" s="212"/>
      <c r="HLU197" s="212"/>
      <c r="HLV197" s="212"/>
      <c r="HLW197" s="212"/>
      <c r="HLX197" s="212"/>
      <c r="HLY197" s="212"/>
      <c r="HLZ197" s="212"/>
      <c r="HMA197" s="212"/>
      <c r="HMB197" s="212"/>
      <c r="HMC197" s="212"/>
      <c r="HMD197" s="212"/>
      <c r="HME197" s="212"/>
      <c r="HMF197" s="212"/>
      <c r="HMG197" s="212"/>
      <c r="HMH197" s="212"/>
      <c r="HMI197" s="212"/>
      <c r="HMJ197" s="212"/>
      <c r="HMK197" s="212"/>
      <c r="HML197" s="212"/>
      <c r="HMM197" s="212"/>
      <c r="HMN197" s="212"/>
      <c r="HMO197" s="212"/>
      <c r="HMP197" s="212"/>
      <c r="HMQ197" s="212"/>
      <c r="HMR197" s="214"/>
      <c r="HMS197" s="211"/>
      <c r="HMT197" s="212"/>
      <c r="HMU197" s="212"/>
      <c r="HMV197" s="212"/>
      <c r="HMW197" s="212"/>
      <c r="HMX197" s="212"/>
      <c r="HMY197" s="212"/>
      <c r="HMZ197" s="212"/>
      <c r="HNA197" s="212"/>
      <c r="HNB197" s="212"/>
      <c r="HNC197" s="212"/>
      <c r="HND197" s="212"/>
      <c r="HNE197" s="212"/>
      <c r="HNF197" s="212"/>
      <c r="HNG197" s="212"/>
      <c r="HNH197" s="212"/>
      <c r="HNI197" s="212"/>
      <c r="HNJ197" s="212"/>
      <c r="HNK197" s="212"/>
      <c r="HNL197" s="212"/>
      <c r="HNM197" s="212"/>
      <c r="HNN197" s="212"/>
      <c r="HNO197" s="212"/>
      <c r="HNP197" s="212"/>
      <c r="HNQ197" s="212"/>
      <c r="HNR197" s="212"/>
      <c r="HNS197" s="212"/>
      <c r="HNT197" s="212"/>
      <c r="HNU197" s="212"/>
      <c r="HNV197" s="212"/>
      <c r="HNW197" s="212"/>
      <c r="HNX197" s="212"/>
      <c r="HNY197" s="212"/>
      <c r="HNZ197" s="212"/>
      <c r="HOA197" s="212"/>
      <c r="HOB197" s="212"/>
      <c r="HOC197" s="212"/>
      <c r="HOD197" s="212"/>
      <c r="HOE197" s="212"/>
      <c r="HOF197" s="212"/>
      <c r="HOG197" s="212"/>
      <c r="HOH197" s="212"/>
      <c r="HOI197" s="212"/>
      <c r="HOJ197" s="214"/>
      <c r="HOK197" s="211"/>
      <c r="HOL197" s="212"/>
      <c r="HOM197" s="212"/>
      <c r="HON197" s="212"/>
      <c r="HOO197" s="212"/>
      <c r="HOP197" s="212"/>
      <c r="HOQ197" s="212"/>
      <c r="HOR197" s="212"/>
      <c r="HOS197" s="212"/>
      <c r="HOT197" s="212"/>
      <c r="HOU197" s="212"/>
      <c r="HOV197" s="212"/>
      <c r="HOW197" s="212"/>
      <c r="HOX197" s="212"/>
      <c r="HOY197" s="212"/>
      <c r="HOZ197" s="212"/>
      <c r="HPA197" s="212"/>
      <c r="HPB197" s="212"/>
      <c r="HPC197" s="212"/>
      <c r="HPD197" s="212"/>
      <c r="HPE197" s="212"/>
      <c r="HPF197" s="212"/>
      <c r="HPG197" s="212"/>
      <c r="HPH197" s="212"/>
      <c r="HPI197" s="212"/>
      <c r="HPJ197" s="212"/>
      <c r="HPK197" s="212"/>
      <c r="HPL197" s="212"/>
      <c r="HPM197" s="212"/>
      <c r="HPN197" s="212"/>
      <c r="HPO197" s="212"/>
      <c r="HPP197" s="212"/>
      <c r="HPQ197" s="212"/>
      <c r="HPR197" s="212"/>
      <c r="HPS197" s="212"/>
      <c r="HPT197" s="212"/>
      <c r="HPU197" s="212"/>
      <c r="HPV197" s="212"/>
      <c r="HPW197" s="212"/>
      <c r="HPX197" s="212"/>
      <c r="HPY197" s="212"/>
      <c r="HPZ197" s="212"/>
      <c r="HQA197" s="212"/>
      <c r="HQB197" s="214"/>
      <c r="HQC197" s="211"/>
      <c r="HQD197" s="212"/>
      <c r="HQE197" s="212"/>
      <c r="HQF197" s="212"/>
      <c r="HQG197" s="212"/>
      <c r="HQH197" s="212"/>
      <c r="HQI197" s="212"/>
      <c r="HQJ197" s="212"/>
      <c r="HQK197" s="212"/>
      <c r="HQL197" s="212"/>
      <c r="HQM197" s="212"/>
      <c r="HQN197" s="212"/>
      <c r="HQO197" s="212"/>
      <c r="HQP197" s="212"/>
      <c r="HQQ197" s="212"/>
      <c r="HQR197" s="212"/>
      <c r="HQS197" s="212"/>
      <c r="HQT197" s="212"/>
      <c r="HQU197" s="212"/>
      <c r="HQV197" s="212"/>
      <c r="HQW197" s="212"/>
      <c r="HQX197" s="212"/>
      <c r="HQY197" s="212"/>
      <c r="HQZ197" s="212"/>
      <c r="HRA197" s="212"/>
      <c r="HRB197" s="212"/>
      <c r="HRC197" s="212"/>
      <c r="HRD197" s="212"/>
      <c r="HRE197" s="212"/>
      <c r="HRF197" s="212"/>
      <c r="HRG197" s="212"/>
      <c r="HRH197" s="212"/>
      <c r="HRI197" s="212"/>
      <c r="HRJ197" s="212"/>
      <c r="HRK197" s="212"/>
      <c r="HRL197" s="212"/>
      <c r="HRM197" s="212"/>
      <c r="HRN197" s="212"/>
      <c r="HRO197" s="212"/>
      <c r="HRP197" s="212"/>
      <c r="HRQ197" s="212"/>
      <c r="HRR197" s="212"/>
      <c r="HRS197" s="212"/>
      <c r="HRT197" s="214"/>
      <c r="HRU197" s="211"/>
      <c r="HRV197" s="212"/>
      <c r="HRW197" s="212"/>
      <c r="HRX197" s="212"/>
      <c r="HRY197" s="212"/>
      <c r="HRZ197" s="212"/>
      <c r="HSA197" s="212"/>
      <c r="HSB197" s="212"/>
      <c r="HSC197" s="212"/>
      <c r="HSD197" s="212"/>
      <c r="HSE197" s="212"/>
      <c r="HSF197" s="212"/>
      <c r="HSG197" s="212"/>
      <c r="HSH197" s="212"/>
      <c r="HSI197" s="212"/>
      <c r="HSJ197" s="212"/>
      <c r="HSK197" s="212"/>
      <c r="HSL197" s="212"/>
      <c r="HSM197" s="212"/>
      <c r="HSN197" s="212"/>
      <c r="HSO197" s="212"/>
      <c r="HSP197" s="212"/>
      <c r="HSQ197" s="212"/>
      <c r="HSR197" s="212"/>
      <c r="HSS197" s="212"/>
      <c r="HST197" s="212"/>
      <c r="HSU197" s="212"/>
      <c r="HSV197" s="212"/>
      <c r="HSW197" s="212"/>
      <c r="HSX197" s="212"/>
      <c r="HSY197" s="212"/>
      <c r="HSZ197" s="212"/>
      <c r="HTA197" s="212"/>
      <c r="HTB197" s="212"/>
      <c r="HTC197" s="212"/>
      <c r="HTD197" s="212"/>
      <c r="HTE197" s="212"/>
      <c r="HTF197" s="212"/>
      <c r="HTG197" s="212"/>
      <c r="HTH197" s="212"/>
      <c r="HTI197" s="212"/>
      <c r="HTJ197" s="212"/>
      <c r="HTK197" s="212"/>
      <c r="HTL197" s="214"/>
      <c r="HTM197" s="211"/>
      <c r="HTN197" s="212"/>
      <c r="HTO197" s="212"/>
      <c r="HTP197" s="212"/>
      <c r="HTQ197" s="212"/>
      <c r="HTR197" s="212"/>
      <c r="HTS197" s="212"/>
      <c r="HTT197" s="212"/>
      <c r="HTU197" s="212"/>
      <c r="HTV197" s="212"/>
      <c r="HTW197" s="212"/>
      <c r="HTX197" s="212"/>
      <c r="HTY197" s="212"/>
      <c r="HTZ197" s="212"/>
      <c r="HUA197" s="212"/>
      <c r="HUB197" s="212"/>
      <c r="HUC197" s="212"/>
      <c r="HUD197" s="212"/>
      <c r="HUE197" s="212"/>
      <c r="HUF197" s="212"/>
      <c r="HUG197" s="212"/>
      <c r="HUH197" s="212"/>
      <c r="HUI197" s="212"/>
      <c r="HUJ197" s="212"/>
      <c r="HUK197" s="212"/>
      <c r="HUL197" s="212"/>
      <c r="HUM197" s="212"/>
      <c r="HUN197" s="212"/>
      <c r="HUO197" s="212"/>
      <c r="HUP197" s="212"/>
      <c r="HUQ197" s="212"/>
      <c r="HUR197" s="212"/>
      <c r="HUS197" s="212"/>
      <c r="HUT197" s="212"/>
      <c r="HUU197" s="212"/>
      <c r="HUV197" s="212"/>
      <c r="HUW197" s="212"/>
      <c r="HUX197" s="212"/>
      <c r="HUY197" s="212"/>
      <c r="HUZ197" s="212"/>
      <c r="HVA197" s="212"/>
      <c r="HVB197" s="212"/>
      <c r="HVC197" s="212"/>
      <c r="HVD197" s="214"/>
      <c r="HVE197" s="211"/>
      <c r="HVF197" s="212"/>
      <c r="HVG197" s="212"/>
      <c r="HVH197" s="212"/>
      <c r="HVI197" s="212"/>
      <c r="HVJ197" s="212"/>
      <c r="HVK197" s="212"/>
      <c r="HVL197" s="212"/>
      <c r="HVM197" s="212"/>
      <c r="HVN197" s="212"/>
      <c r="HVO197" s="212"/>
      <c r="HVP197" s="212"/>
      <c r="HVQ197" s="212"/>
      <c r="HVR197" s="212"/>
      <c r="HVS197" s="212"/>
      <c r="HVT197" s="212"/>
      <c r="HVU197" s="212"/>
      <c r="HVV197" s="212"/>
      <c r="HVW197" s="212"/>
      <c r="HVX197" s="212"/>
      <c r="HVY197" s="212"/>
      <c r="HVZ197" s="212"/>
      <c r="HWA197" s="212"/>
      <c r="HWB197" s="212"/>
      <c r="HWC197" s="212"/>
      <c r="HWD197" s="212"/>
      <c r="HWE197" s="212"/>
      <c r="HWF197" s="212"/>
      <c r="HWG197" s="212"/>
      <c r="HWH197" s="212"/>
      <c r="HWI197" s="212"/>
      <c r="HWJ197" s="212"/>
      <c r="HWK197" s="212"/>
      <c r="HWL197" s="212"/>
      <c r="HWM197" s="212"/>
      <c r="HWN197" s="212"/>
      <c r="HWO197" s="212"/>
      <c r="HWP197" s="212"/>
      <c r="HWQ197" s="212"/>
      <c r="HWR197" s="212"/>
      <c r="HWS197" s="212"/>
      <c r="HWT197" s="212"/>
      <c r="HWU197" s="212"/>
      <c r="HWV197" s="214"/>
      <c r="HWW197" s="211"/>
      <c r="HWX197" s="212"/>
      <c r="HWY197" s="212"/>
      <c r="HWZ197" s="212"/>
      <c r="HXA197" s="212"/>
      <c r="HXB197" s="212"/>
      <c r="HXC197" s="212"/>
      <c r="HXD197" s="212"/>
      <c r="HXE197" s="212"/>
      <c r="HXF197" s="212"/>
      <c r="HXG197" s="212"/>
      <c r="HXH197" s="212"/>
      <c r="HXI197" s="212"/>
      <c r="HXJ197" s="212"/>
      <c r="HXK197" s="212"/>
      <c r="HXL197" s="212"/>
      <c r="HXM197" s="212"/>
      <c r="HXN197" s="212"/>
      <c r="HXO197" s="212"/>
      <c r="HXP197" s="212"/>
      <c r="HXQ197" s="212"/>
      <c r="HXR197" s="212"/>
      <c r="HXS197" s="212"/>
      <c r="HXT197" s="212"/>
      <c r="HXU197" s="212"/>
      <c r="HXV197" s="212"/>
      <c r="HXW197" s="212"/>
      <c r="HXX197" s="212"/>
      <c r="HXY197" s="212"/>
      <c r="HXZ197" s="212"/>
      <c r="HYA197" s="212"/>
      <c r="HYB197" s="212"/>
      <c r="HYC197" s="212"/>
      <c r="HYD197" s="212"/>
      <c r="HYE197" s="212"/>
      <c r="HYF197" s="212"/>
      <c r="HYG197" s="212"/>
      <c r="HYH197" s="212"/>
      <c r="HYI197" s="212"/>
      <c r="HYJ197" s="212"/>
      <c r="HYK197" s="212"/>
      <c r="HYL197" s="212"/>
      <c r="HYM197" s="212"/>
      <c r="HYN197" s="214"/>
      <c r="HYO197" s="211"/>
      <c r="HYP197" s="212"/>
      <c r="HYQ197" s="212"/>
      <c r="HYR197" s="212"/>
      <c r="HYS197" s="212"/>
      <c r="HYT197" s="212"/>
      <c r="HYU197" s="212"/>
      <c r="HYV197" s="212"/>
      <c r="HYW197" s="212"/>
      <c r="HYX197" s="212"/>
      <c r="HYY197" s="212"/>
      <c r="HYZ197" s="212"/>
      <c r="HZA197" s="212"/>
      <c r="HZB197" s="212"/>
      <c r="HZC197" s="212"/>
      <c r="HZD197" s="212"/>
      <c r="HZE197" s="212"/>
      <c r="HZF197" s="212"/>
      <c r="HZG197" s="212"/>
      <c r="HZH197" s="212"/>
      <c r="HZI197" s="212"/>
      <c r="HZJ197" s="212"/>
      <c r="HZK197" s="212"/>
      <c r="HZL197" s="212"/>
      <c r="HZM197" s="212"/>
      <c r="HZN197" s="212"/>
      <c r="HZO197" s="212"/>
      <c r="HZP197" s="212"/>
      <c r="HZQ197" s="212"/>
      <c r="HZR197" s="212"/>
      <c r="HZS197" s="212"/>
      <c r="HZT197" s="212"/>
      <c r="HZU197" s="212"/>
      <c r="HZV197" s="212"/>
      <c r="HZW197" s="212"/>
      <c r="HZX197" s="212"/>
      <c r="HZY197" s="212"/>
      <c r="HZZ197" s="212"/>
      <c r="IAA197" s="212"/>
      <c r="IAB197" s="212"/>
      <c r="IAC197" s="212"/>
      <c r="IAD197" s="212"/>
      <c r="IAE197" s="212"/>
      <c r="IAF197" s="214"/>
      <c r="IAG197" s="211"/>
      <c r="IAH197" s="212"/>
      <c r="IAI197" s="212"/>
      <c r="IAJ197" s="212"/>
      <c r="IAK197" s="212"/>
      <c r="IAL197" s="212"/>
      <c r="IAM197" s="212"/>
      <c r="IAN197" s="212"/>
      <c r="IAO197" s="212"/>
      <c r="IAP197" s="212"/>
      <c r="IAQ197" s="212"/>
      <c r="IAR197" s="212"/>
      <c r="IAS197" s="212"/>
      <c r="IAT197" s="212"/>
      <c r="IAU197" s="212"/>
      <c r="IAV197" s="212"/>
      <c r="IAW197" s="212"/>
      <c r="IAX197" s="212"/>
      <c r="IAY197" s="212"/>
      <c r="IAZ197" s="212"/>
      <c r="IBA197" s="212"/>
      <c r="IBB197" s="212"/>
      <c r="IBC197" s="212"/>
      <c r="IBD197" s="212"/>
      <c r="IBE197" s="212"/>
      <c r="IBF197" s="212"/>
      <c r="IBG197" s="212"/>
      <c r="IBH197" s="212"/>
      <c r="IBI197" s="212"/>
      <c r="IBJ197" s="212"/>
      <c r="IBK197" s="212"/>
      <c r="IBL197" s="212"/>
      <c r="IBM197" s="212"/>
      <c r="IBN197" s="212"/>
      <c r="IBO197" s="212"/>
      <c r="IBP197" s="212"/>
      <c r="IBQ197" s="212"/>
      <c r="IBR197" s="212"/>
      <c r="IBS197" s="212"/>
      <c r="IBT197" s="212"/>
      <c r="IBU197" s="212"/>
      <c r="IBV197" s="212"/>
      <c r="IBW197" s="212"/>
      <c r="IBX197" s="214"/>
      <c r="IBY197" s="211"/>
      <c r="IBZ197" s="212"/>
      <c r="ICA197" s="212"/>
      <c r="ICB197" s="212"/>
      <c r="ICC197" s="212"/>
      <c r="ICD197" s="212"/>
      <c r="ICE197" s="212"/>
      <c r="ICF197" s="212"/>
      <c r="ICG197" s="212"/>
      <c r="ICH197" s="212"/>
      <c r="ICI197" s="212"/>
      <c r="ICJ197" s="212"/>
      <c r="ICK197" s="212"/>
      <c r="ICL197" s="212"/>
      <c r="ICM197" s="212"/>
      <c r="ICN197" s="212"/>
      <c r="ICO197" s="212"/>
      <c r="ICP197" s="212"/>
      <c r="ICQ197" s="212"/>
      <c r="ICR197" s="212"/>
      <c r="ICS197" s="212"/>
      <c r="ICT197" s="212"/>
      <c r="ICU197" s="212"/>
      <c r="ICV197" s="212"/>
      <c r="ICW197" s="212"/>
      <c r="ICX197" s="212"/>
      <c r="ICY197" s="212"/>
      <c r="ICZ197" s="212"/>
      <c r="IDA197" s="212"/>
      <c r="IDB197" s="212"/>
      <c r="IDC197" s="212"/>
      <c r="IDD197" s="212"/>
      <c r="IDE197" s="212"/>
      <c r="IDF197" s="212"/>
      <c r="IDG197" s="212"/>
      <c r="IDH197" s="212"/>
      <c r="IDI197" s="212"/>
      <c r="IDJ197" s="212"/>
      <c r="IDK197" s="212"/>
      <c r="IDL197" s="212"/>
      <c r="IDM197" s="212"/>
      <c r="IDN197" s="212"/>
      <c r="IDO197" s="212"/>
      <c r="IDP197" s="214"/>
      <c r="IDQ197" s="211"/>
      <c r="IDR197" s="212"/>
      <c r="IDS197" s="212"/>
      <c r="IDT197" s="212"/>
      <c r="IDU197" s="212"/>
      <c r="IDV197" s="212"/>
      <c r="IDW197" s="212"/>
      <c r="IDX197" s="212"/>
      <c r="IDY197" s="212"/>
      <c r="IDZ197" s="212"/>
      <c r="IEA197" s="212"/>
      <c r="IEB197" s="212"/>
      <c r="IEC197" s="212"/>
      <c r="IED197" s="212"/>
      <c r="IEE197" s="212"/>
      <c r="IEF197" s="212"/>
      <c r="IEG197" s="212"/>
      <c r="IEH197" s="212"/>
      <c r="IEI197" s="212"/>
      <c r="IEJ197" s="212"/>
      <c r="IEK197" s="212"/>
      <c r="IEL197" s="212"/>
      <c r="IEM197" s="212"/>
      <c r="IEN197" s="212"/>
      <c r="IEO197" s="212"/>
      <c r="IEP197" s="212"/>
      <c r="IEQ197" s="212"/>
      <c r="IER197" s="212"/>
      <c r="IES197" s="212"/>
      <c r="IET197" s="212"/>
      <c r="IEU197" s="212"/>
      <c r="IEV197" s="212"/>
      <c r="IEW197" s="212"/>
      <c r="IEX197" s="212"/>
      <c r="IEY197" s="212"/>
      <c r="IEZ197" s="212"/>
      <c r="IFA197" s="212"/>
      <c r="IFB197" s="212"/>
      <c r="IFC197" s="212"/>
      <c r="IFD197" s="212"/>
      <c r="IFE197" s="212"/>
      <c r="IFF197" s="212"/>
      <c r="IFG197" s="212"/>
      <c r="IFH197" s="214"/>
      <c r="IFI197" s="211"/>
      <c r="IFJ197" s="212"/>
      <c r="IFK197" s="212"/>
      <c r="IFL197" s="212"/>
      <c r="IFM197" s="212"/>
      <c r="IFN197" s="212"/>
      <c r="IFO197" s="212"/>
      <c r="IFP197" s="212"/>
      <c r="IFQ197" s="212"/>
      <c r="IFR197" s="212"/>
      <c r="IFS197" s="212"/>
      <c r="IFT197" s="212"/>
      <c r="IFU197" s="212"/>
      <c r="IFV197" s="212"/>
      <c r="IFW197" s="212"/>
      <c r="IFX197" s="212"/>
      <c r="IFY197" s="212"/>
      <c r="IFZ197" s="212"/>
      <c r="IGA197" s="212"/>
      <c r="IGB197" s="212"/>
      <c r="IGC197" s="212"/>
      <c r="IGD197" s="212"/>
      <c r="IGE197" s="212"/>
      <c r="IGF197" s="212"/>
      <c r="IGG197" s="212"/>
      <c r="IGH197" s="212"/>
      <c r="IGI197" s="212"/>
      <c r="IGJ197" s="212"/>
      <c r="IGK197" s="212"/>
      <c r="IGL197" s="212"/>
      <c r="IGM197" s="212"/>
      <c r="IGN197" s="212"/>
      <c r="IGO197" s="212"/>
      <c r="IGP197" s="212"/>
      <c r="IGQ197" s="212"/>
      <c r="IGR197" s="212"/>
      <c r="IGS197" s="212"/>
      <c r="IGT197" s="212"/>
      <c r="IGU197" s="212"/>
      <c r="IGV197" s="212"/>
      <c r="IGW197" s="212"/>
      <c r="IGX197" s="212"/>
      <c r="IGY197" s="212"/>
      <c r="IGZ197" s="214"/>
      <c r="IHA197" s="211"/>
      <c r="IHB197" s="212"/>
      <c r="IHC197" s="212"/>
      <c r="IHD197" s="212"/>
      <c r="IHE197" s="212"/>
      <c r="IHF197" s="212"/>
      <c r="IHG197" s="212"/>
      <c r="IHH197" s="212"/>
      <c r="IHI197" s="212"/>
      <c r="IHJ197" s="212"/>
      <c r="IHK197" s="212"/>
      <c r="IHL197" s="212"/>
      <c r="IHM197" s="212"/>
      <c r="IHN197" s="212"/>
      <c r="IHO197" s="212"/>
      <c r="IHP197" s="212"/>
      <c r="IHQ197" s="212"/>
      <c r="IHR197" s="212"/>
      <c r="IHS197" s="212"/>
      <c r="IHT197" s="212"/>
      <c r="IHU197" s="212"/>
      <c r="IHV197" s="212"/>
      <c r="IHW197" s="212"/>
      <c r="IHX197" s="212"/>
      <c r="IHY197" s="212"/>
      <c r="IHZ197" s="212"/>
      <c r="IIA197" s="212"/>
      <c r="IIB197" s="212"/>
      <c r="IIC197" s="212"/>
      <c r="IID197" s="212"/>
      <c r="IIE197" s="212"/>
      <c r="IIF197" s="212"/>
      <c r="IIG197" s="212"/>
      <c r="IIH197" s="212"/>
      <c r="III197" s="212"/>
      <c r="IIJ197" s="212"/>
      <c r="IIK197" s="212"/>
      <c r="IIL197" s="212"/>
      <c r="IIM197" s="212"/>
      <c r="IIN197" s="212"/>
      <c r="IIO197" s="212"/>
      <c r="IIP197" s="212"/>
      <c r="IIQ197" s="212"/>
      <c r="IIR197" s="214"/>
      <c r="IIS197" s="211"/>
      <c r="IIT197" s="212"/>
      <c r="IIU197" s="212"/>
      <c r="IIV197" s="212"/>
      <c r="IIW197" s="212"/>
      <c r="IIX197" s="212"/>
      <c r="IIY197" s="212"/>
      <c r="IIZ197" s="212"/>
      <c r="IJA197" s="212"/>
      <c r="IJB197" s="212"/>
      <c r="IJC197" s="212"/>
      <c r="IJD197" s="212"/>
      <c r="IJE197" s="212"/>
      <c r="IJF197" s="212"/>
      <c r="IJG197" s="212"/>
      <c r="IJH197" s="212"/>
      <c r="IJI197" s="212"/>
      <c r="IJJ197" s="212"/>
      <c r="IJK197" s="212"/>
      <c r="IJL197" s="212"/>
      <c r="IJM197" s="212"/>
      <c r="IJN197" s="212"/>
      <c r="IJO197" s="212"/>
      <c r="IJP197" s="212"/>
      <c r="IJQ197" s="212"/>
      <c r="IJR197" s="212"/>
      <c r="IJS197" s="212"/>
      <c r="IJT197" s="212"/>
      <c r="IJU197" s="212"/>
      <c r="IJV197" s="212"/>
      <c r="IJW197" s="212"/>
      <c r="IJX197" s="212"/>
      <c r="IJY197" s="212"/>
      <c r="IJZ197" s="212"/>
      <c r="IKA197" s="212"/>
      <c r="IKB197" s="212"/>
      <c r="IKC197" s="212"/>
      <c r="IKD197" s="212"/>
      <c r="IKE197" s="212"/>
      <c r="IKF197" s="212"/>
      <c r="IKG197" s="212"/>
      <c r="IKH197" s="212"/>
      <c r="IKI197" s="212"/>
      <c r="IKJ197" s="214"/>
      <c r="IKK197" s="211"/>
      <c r="IKL197" s="212"/>
      <c r="IKM197" s="212"/>
      <c r="IKN197" s="212"/>
      <c r="IKO197" s="212"/>
      <c r="IKP197" s="212"/>
      <c r="IKQ197" s="212"/>
      <c r="IKR197" s="212"/>
      <c r="IKS197" s="212"/>
      <c r="IKT197" s="212"/>
      <c r="IKU197" s="212"/>
      <c r="IKV197" s="212"/>
      <c r="IKW197" s="212"/>
      <c r="IKX197" s="212"/>
      <c r="IKY197" s="212"/>
      <c r="IKZ197" s="212"/>
      <c r="ILA197" s="212"/>
      <c r="ILB197" s="212"/>
      <c r="ILC197" s="212"/>
      <c r="ILD197" s="212"/>
      <c r="ILE197" s="212"/>
      <c r="ILF197" s="212"/>
      <c r="ILG197" s="212"/>
      <c r="ILH197" s="212"/>
      <c r="ILI197" s="212"/>
      <c r="ILJ197" s="212"/>
      <c r="ILK197" s="212"/>
      <c r="ILL197" s="212"/>
      <c r="ILM197" s="212"/>
      <c r="ILN197" s="212"/>
      <c r="ILO197" s="212"/>
      <c r="ILP197" s="212"/>
      <c r="ILQ197" s="212"/>
      <c r="ILR197" s="212"/>
      <c r="ILS197" s="212"/>
      <c r="ILT197" s="212"/>
      <c r="ILU197" s="212"/>
      <c r="ILV197" s="212"/>
      <c r="ILW197" s="212"/>
      <c r="ILX197" s="212"/>
      <c r="ILY197" s="212"/>
      <c r="ILZ197" s="212"/>
      <c r="IMA197" s="212"/>
      <c r="IMB197" s="214"/>
      <c r="IMC197" s="211"/>
      <c r="IMD197" s="212"/>
      <c r="IME197" s="212"/>
      <c r="IMF197" s="212"/>
      <c r="IMG197" s="212"/>
      <c r="IMH197" s="212"/>
      <c r="IMI197" s="212"/>
      <c r="IMJ197" s="212"/>
      <c r="IMK197" s="212"/>
      <c r="IML197" s="212"/>
      <c r="IMM197" s="212"/>
      <c r="IMN197" s="212"/>
      <c r="IMO197" s="212"/>
      <c r="IMP197" s="212"/>
      <c r="IMQ197" s="212"/>
      <c r="IMR197" s="212"/>
      <c r="IMS197" s="212"/>
      <c r="IMT197" s="212"/>
      <c r="IMU197" s="212"/>
      <c r="IMV197" s="212"/>
      <c r="IMW197" s="212"/>
      <c r="IMX197" s="212"/>
      <c r="IMY197" s="212"/>
      <c r="IMZ197" s="212"/>
      <c r="INA197" s="212"/>
      <c r="INB197" s="212"/>
      <c r="INC197" s="212"/>
      <c r="IND197" s="212"/>
      <c r="INE197" s="212"/>
      <c r="INF197" s="212"/>
      <c r="ING197" s="212"/>
      <c r="INH197" s="212"/>
      <c r="INI197" s="212"/>
      <c r="INJ197" s="212"/>
      <c r="INK197" s="212"/>
      <c r="INL197" s="212"/>
      <c r="INM197" s="212"/>
      <c r="INN197" s="212"/>
      <c r="INO197" s="212"/>
      <c r="INP197" s="212"/>
      <c r="INQ197" s="212"/>
      <c r="INR197" s="212"/>
      <c r="INS197" s="212"/>
      <c r="INT197" s="214"/>
      <c r="INU197" s="211"/>
      <c r="INV197" s="212"/>
      <c r="INW197" s="212"/>
      <c r="INX197" s="212"/>
      <c r="INY197" s="212"/>
      <c r="INZ197" s="212"/>
      <c r="IOA197" s="212"/>
      <c r="IOB197" s="212"/>
      <c r="IOC197" s="212"/>
      <c r="IOD197" s="212"/>
      <c r="IOE197" s="212"/>
      <c r="IOF197" s="212"/>
      <c r="IOG197" s="212"/>
      <c r="IOH197" s="212"/>
      <c r="IOI197" s="212"/>
      <c r="IOJ197" s="212"/>
      <c r="IOK197" s="212"/>
      <c r="IOL197" s="212"/>
      <c r="IOM197" s="212"/>
      <c r="ION197" s="212"/>
      <c r="IOO197" s="212"/>
      <c r="IOP197" s="212"/>
      <c r="IOQ197" s="212"/>
      <c r="IOR197" s="212"/>
      <c r="IOS197" s="212"/>
      <c r="IOT197" s="212"/>
      <c r="IOU197" s="212"/>
      <c r="IOV197" s="212"/>
      <c r="IOW197" s="212"/>
      <c r="IOX197" s="212"/>
      <c r="IOY197" s="212"/>
      <c r="IOZ197" s="212"/>
      <c r="IPA197" s="212"/>
      <c r="IPB197" s="212"/>
      <c r="IPC197" s="212"/>
      <c r="IPD197" s="212"/>
      <c r="IPE197" s="212"/>
      <c r="IPF197" s="212"/>
      <c r="IPG197" s="212"/>
      <c r="IPH197" s="212"/>
      <c r="IPI197" s="212"/>
      <c r="IPJ197" s="212"/>
      <c r="IPK197" s="212"/>
      <c r="IPL197" s="214"/>
      <c r="IPM197" s="211"/>
      <c r="IPN197" s="212"/>
      <c r="IPO197" s="212"/>
      <c r="IPP197" s="212"/>
      <c r="IPQ197" s="212"/>
      <c r="IPR197" s="212"/>
      <c r="IPS197" s="212"/>
      <c r="IPT197" s="212"/>
      <c r="IPU197" s="212"/>
      <c r="IPV197" s="212"/>
      <c r="IPW197" s="212"/>
      <c r="IPX197" s="212"/>
      <c r="IPY197" s="212"/>
      <c r="IPZ197" s="212"/>
      <c r="IQA197" s="212"/>
      <c r="IQB197" s="212"/>
      <c r="IQC197" s="212"/>
      <c r="IQD197" s="212"/>
      <c r="IQE197" s="212"/>
      <c r="IQF197" s="212"/>
      <c r="IQG197" s="212"/>
      <c r="IQH197" s="212"/>
      <c r="IQI197" s="212"/>
      <c r="IQJ197" s="212"/>
      <c r="IQK197" s="212"/>
      <c r="IQL197" s="212"/>
      <c r="IQM197" s="212"/>
      <c r="IQN197" s="212"/>
      <c r="IQO197" s="212"/>
      <c r="IQP197" s="212"/>
      <c r="IQQ197" s="212"/>
      <c r="IQR197" s="212"/>
      <c r="IQS197" s="212"/>
      <c r="IQT197" s="212"/>
      <c r="IQU197" s="212"/>
      <c r="IQV197" s="212"/>
      <c r="IQW197" s="212"/>
      <c r="IQX197" s="212"/>
      <c r="IQY197" s="212"/>
      <c r="IQZ197" s="212"/>
      <c r="IRA197" s="212"/>
      <c r="IRB197" s="212"/>
      <c r="IRC197" s="212"/>
      <c r="IRD197" s="214"/>
      <c r="IRE197" s="211"/>
      <c r="IRF197" s="212"/>
      <c r="IRG197" s="212"/>
      <c r="IRH197" s="212"/>
      <c r="IRI197" s="212"/>
      <c r="IRJ197" s="212"/>
      <c r="IRK197" s="212"/>
      <c r="IRL197" s="212"/>
      <c r="IRM197" s="212"/>
      <c r="IRN197" s="212"/>
      <c r="IRO197" s="212"/>
      <c r="IRP197" s="212"/>
      <c r="IRQ197" s="212"/>
      <c r="IRR197" s="212"/>
      <c r="IRS197" s="212"/>
      <c r="IRT197" s="212"/>
      <c r="IRU197" s="212"/>
      <c r="IRV197" s="212"/>
      <c r="IRW197" s="212"/>
      <c r="IRX197" s="212"/>
      <c r="IRY197" s="212"/>
      <c r="IRZ197" s="212"/>
      <c r="ISA197" s="212"/>
      <c r="ISB197" s="212"/>
      <c r="ISC197" s="212"/>
      <c r="ISD197" s="212"/>
      <c r="ISE197" s="212"/>
      <c r="ISF197" s="212"/>
      <c r="ISG197" s="212"/>
      <c r="ISH197" s="212"/>
      <c r="ISI197" s="212"/>
      <c r="ISJ197" s="212"/>
      <c r="ISK197" s="212"/>
      <c r="ISL197" s="212"/>
      <c r="ISM197" s="212"/>
      <c r="ISN197" s="212"/>
      <c r="ISO197" s="212"/>
      <c r="ISP197" s="212"/>
      <c r="ISQ197" s="212"/>
      <c r="ISR197" s="212"/>
      <c r="ISS197" s="212"/>
      <c r="IST197" s="212"/>
      <c r="ISU197" s="212"/>
      <c r="ISV197" s="214"/>
      <c r="ISW197" s="211"/>
      <c r="ISX197" s="212"/>
      <c r="ISY197" s="212"/>
      <c r="ISZ197" s="212"/>
      <c r="ITA197" s="212"/>
      <c r="ITB197" s="212"/>
      <c r="ITC197" s="212"/>
      <c r="ITD197" s="212"/>
      <c r="ITE197" s="212"/>
      <c r="ITF197" s="212"/>
      <c r="ITG197" s="212"/>
      <c r="ITH197" s="212"/>
      <c r="ITI197" s="212"/>
      <c r="ITJ197" s="212"/>
      <c r="ITK197" s="212"/>
      <c r="ITL197" s="212"/>
      <c r="ITM197" s="212"/>
      <c r="ITN197" s="212"/>
      <c r="ITO197" s="212"/>
      <c r="ITP197" s="212"/>
      <c r="ITQ197" s="212"/>
      <c r="ITR197" s="212"/>
      <c r="ITS197" s="212"/>
      <c r="ITT197" s="212"/>
      <c r="ITU197" s="212"/>
      <c r="ITV197" s="212"/>
      <c r="ITW197" s="212"/>
      <c r="ITX197" s="212"/>
      <c r="ITY197" s="212"/>
      <c r="ITZ197" s="212"/>
      <c r="IUA197" s="212"/>
      <c r="IUB197" s="212"/>
      <c r="IUC197" s="212"/>
      <c r="IUD197" s="212"/>
      <c r="IUE197" s="212"/>
      <c r="IUF197" s="212"/>
      <c r="IUG197" s="212"/>
      <c r="IUH197" s="212"/>
      <c r="IUI197" s="212"/>
      <c r="IUJ197" s="212"/>
      <c r="IUK197" s="212"/>
      <c r="IUL197" s="212"/>
      <c r="IUM197" s="212"/>
      <c r="IUN197" s="214"/>
      <c r="IUO197" s="211"/>
      <c r="IUP197" s="212"/>
      <c r="IUQ197" s="212"/>
      <c r="IUR197" s="212"/>
      <c r="IUS197" s="212"/>
      <c r="IUT197" s="212"/>
      <c r="IUU197" s="212"/>
      <c r="IUV197" s="212"/>
      <c r="IUW197" s="212"/>
      <c r="IUX197" s="212"/>
      <c r="IUY197" s="212"/>
      <c r="IUZ197" s="212"/>
      <c r="IVA197" s="212"/>
      <c r="IVB197" s="212"/>
      <c r="IVC197" s="212"/>
      <c r="IVD197" s="212"/>
      <c r="IVE197" s="212"/>
      <c r="IVF197" s="212"/>
      <c r="IVG197" s="212"/>
      <c r="IVH197" s="212"/>
      <c r="IVI197" s="212"/>
      <c r="IVJ197" s="212"/>
      <c r="IVK197" s="212"/>
      <c r="IVL197" s="212"/>
      <c r="IVM197" s="212"/>
      <c r="IVN197" s="212"/>
      <c r="IVO197" s="212"/>
      <c r="IVP197" s="212"/>
      <c r="IVQ197" s="212"/>
      <c r="IVR197" s="212"/>
      <c r="IVS197" s="212"/>
      <c r="IVT197" s="212"/>
      <c r="IVU197" s="212"/>
      <c r="IVV197" s="212"/>
      <c r="IVW197" s="212"/>
      <c r="IVX197" s="212"/>
      <c r="IVY197" s="212"/>
      <c r="IVZ197" s="212"/>
      <c r="IWA197" s="212"/>
      <c r="IWB197" s="212"/>
      <c r="IWC197" s="212"/>
      <c r="IWD197" s="212"/>
      <c r="IWE197" s="212"/>
      <c r="IWF197" s="214"/>
      <c r="IWG197" s="211"/>
      <c r="IWH197" s="212"/>
      <c r="IWI197" s="212"/>
      <c r="IWJ197" s="212"/>
      <c r="IWK197" s="212"/>
      <c r="IWL197" s="212"/>
      <c r="IWM197" s="212"/>
      <c r="IWN197" s="212"/>
      <c r="IWO197" s="212"/>
      <c r="IWP197" s="212"/>
      <c r="IWQ197" s="212"/>
      <c r="IWR197" s="212"/>
      <c r="IWS197" s="212"/>
      <c r="IWT197" s="212"/>
      <c r="IWU197" s="212"/>
      <c r="IWV197" s="212"/>
      <c r="IWW197" s="212"/>
      <c r="IWX197" s="212"/>
      <c r="IWY197" s="212"/>
      <c r="IWZ197" s="212"/>
      <c r="IXA197" s="212"/>
      <c r="IXB197" s="212"/>
      <c r="IXC197" s="212"/>
      <c r="IXD197" s="212"/>
      <c r="IXE197" s="212"/>
      <c r="IXF197" s="212"/>
      <c r="IXG197" s="212"/>
      <c r="IXH197" s="212"/>
      <c r="IXI197" s="212"/>
      <c r="IXJ197" s="212"/>
      <c r="IXK197" s="212"/>
      <c r="IXL197" s="212"/>
      <c r="IXM197" s="212"/>
      <c r="IXN197" s="212"/>
      <c r="IXO197" s="212"/>
      <c r="IXP197" s="212"/>
      <c r="IXQ197" s="212"/>
      <c r="IXR197" s="212"/>
      <c r="IXS197" s="212"/>
      <c r="IXT197" s="212"/>
      <c r="IXU197" s="212"/>
      <c r="IXV197" s="212"/>
      <c r="IXW197" s="212"/>
      <c r="IXX197" s="214"/>
      <c r="IXY197" s="211"/>
      <c r="IXZ197" s="212"/>
      <c r="IYA197" s="212"/>
      <c r="IYB197" s="212"/>
      <c r="IYC197" s="212"/>
      <c r="IYD197" s="212"/>
      <c r="IYE197" s="212"/>
      <c r="IYF197" s="212"/>
      <c r="IYG197" s="212"/>
      <c r="IYH197" s="212"/>
      <c r="IYI197" s="212"/>
      <c r="IYJ197" s="212"/>
      <c r="IYK197" s="212"/>
      <c r="IYL197" s="212"/>
      <c r="IYM197" s="212"/>
      <c r="IYN197" s="212"/>
      <c r="IYO197" s="212"/>
      <c r="IYP197" s="212"/>
      <c r="IYQ197" s="212"/>
      <c r="IYR197" s="212"/>
      <c r="IYS197" s="212"/>
      <c r="IYT197" s="212"/>
      <c r="IYU197" s="212"/>
      <c r="IYV197" s="212"/>
      <c r="IYW197" s="212"/>
      <c r="IYX197" s="212"/>
      <c r="IYY197" s="212"/>
      <c r="IYZ197" s="212"/>
      <c r="IZA197" s="212"/>
      <c r="IZB197" s="212"/>
      <c r="IZC197" s="212"/>
      <c r="IZD197" s="212"/>
      <c r="IZE197" s="212"/>
      <c r="IZF197" s="212"/>
      <c r="IZG197" s="212"/>
      <c r="IZH197" s="212"/>
      <c r="IZI197" s="212"/>
      <c r="IZJ197" s="212"/>
      <c r="IZK197" s="212"/>
      <c r="IZL197" s="212"/>
      <c r="IZM197" s="212"/>
      <c r="IZN197" s="212"/>
      <c r="IZO197" s="212"/>
      <c r="IZP197" s="214"/>
      <c r="IZQ197" s="211"/>
      <c r="IZR197" s="212"/>
      <c r="IZS197" s="212"/>
      <c r="IZT197" s="212"/>
      <c r="IZU197" s="212"/>
      <c r="IZV197" s="212"/>
      <c r="IZW197" s="212"/>
      <c r="IZX197" s="212"/>
      <c r="IZY197" s="212"/>
      <c r="IZZ197" s="212"/>
      <c r="JAA197" s="212"/>
      <c r="JAB197" s="212"/>
      <c r="JAC197" s="212"/>
      <c r="JAD197" s="212"/>
      <c r="JAE197" s="212"/>
      <c r="JAF197" s="212"/>
      <c r="JAG197" s="212"/>
      <c r="JAH197" s="212"/>
      <c r="JAI197" s="212"/>
      <c r="JAJ197" s="212"/>
      <c r="JAK197" s="212"/>
      <c r="JAL197" s="212"/>
      <c r="JAM197" s="212"/>
      <c r="JAN197" s="212"/>
      <c r="JAO197" s="212"/>
      <c r="JAP197" s="212"/>
      <c r="JAQ197" s="212"/>
      <c r="JAR197" s="212"/>
      <c r="JAS197" s="212"/>
      <c r="JAT197" s="212"/>
      <c r="JAU197" s="212"/>
      <c r="JAV197" s="212"/>
      <c r="JAW197" s="212"/>
      <c r="JAX197" s="212"/>
      <c r="JAY197" s="212"/>
      <c r="JAZ197" s="212"/>
      <c r="JBA197" s="212"/>
      <c r="JBB197" s="212"/>
      <c r="JBC197" s="212"/>
      <c r="JBD197" s="212"/>
      <c r="JBE197" s="212"/>
      <c r="JBF197" s="212"/>
      <c r="JBG197" s="212"/>
      <c r="JBH197" s="214"/>
      <c r="JBI197" s="211"/>
      <c r="JBJ197" s="212"/>
      <c r="JBK197" s="212"/>
      <c r="JBL197" s="212"/>
      <c r="JBM197" s="212"/>
      <c r="JBN197" s="212"/>
      <c r="JBO197" s="212"/>
      <c r="JBP197" s="212"/>
      <c r="JBQ197" s="212"/>
      <c r="JBR197" s="212"/>
      <c r="JBS197" s="212"/>
      <c r="JBT197" s="212"/>
      <c r="JBU197" s="212"/>
      <c r="JBV197" s="212"/>
      <c r="JBW197" s="212"/>
      <c r="JBX197" s="212"/>
      <c r="JBY197" s="212"/>
      <c r="JBZ197" s="212"/>
      <c r="JCA197" s="212"/>
      <c r="JCB197" s="212"/>
      <c r="JCC197" s="212"/>
      <c r="JCD197" s="212"/>
      <c r="JCE197" s="212"/>
      <c r="JCF197" s="212"/>
      <c r="JCG197" s="212"/>
      <c r="JCH197" s="212"/>
      <c r="JCI197" s="212"/>
      <c r="JCJ197" s="212"/>
      <c r="JCK197" s="212"/>
      <c r="JCL197" s="212"/>
      <c r="JCM197" s="212"/>
      <c r="JCN197" s="212"/>
      <c r="JCO197" s="212"/>
      <c r="JCP197" s="212"/>
      <c r="JCQ197" s="212"/>
      <c r="JCR197" s="212"/>
      <c r="JCS197" s="212"/>
      <c r="JCT197" s="212"/>
      <c r="JCU197" s="212"/>
      <c r="JCV197" s="212"/>
      <c r="JCW197" s="212"/>
      <c r="JCX197" s="212"/>
      <c r="JCY197" s="212"/>
      <c r="JCZ197" s="214"/>
      <c r="JDA197" s="211"/>
      <c r="JDB197" s="212"/>
      <c r="JDC197" s="212"/>
      <c r="JDD197" s="212"/>
      <c r="JDE197" s="212"/>
      <c r="JDF197" s="212"/>
      <c r="JDG197" s="212"/>
      <c r="JDH197" s="212"/>
      <c r="JDI197" s="212"/>
      <c r="JDJ197" s="212"/>
      <c r="JDK197" s="212"/>
      <c r="JDL197" s="212"/>
      <c r="JDM197" s="212"/>
      <c r="JDN197" s="212"/>
      <c r="JDO197" s="212"/>
      <c r="JDP197" s="212"/>
      <c r="JDQ197" s="212"/>
      <c r="JDR197" s="212"/>
      <c r="JDS197" s="212"/>
      <c r="JDT197" s="212"/>
      <c r="JDU197" s="212"/>
      <c r="JDV197" s="212"/>
      <c r="JDW197" s="212"/>
      <c r="JDX197" s="212"/>
      <c r="JDY197" s="212"/>
      <c r="JDZ197" s="212"/>
      <c r="JEA197" s="212"/>
      <c r="JEB197" s="212"/>
      <c r="JEC197" s="212"/>
      <c r="JED197" s="212"/>
      <c r="JEE197" s="212"/>
      <c r="JEF197" s="212"/>
      <c r="JEG197" s="212"/>
      <c r="JEH197" s="212"/>
      <c r="JEI197" s="212"/>
      <c r="JEJ197" s="212"/>
      <c r="JEK197" s="212"/>
      <c r="JEL197" s="212"/>
      <c r="JEM197" s="212"/>
      <c r="JEN197" s="212"/>
      <c r="JEO197" s="212"/>
      <c r="JEP197" s="212"/>
      <c r="JEQ197" s="212"/>
      <c r="JER197" s="214"/>
      <c r="JES197" s="211"/>
      <c r="JET197" s="212"/>
      <c r="JEU197" s="212"/>
      <c r="JEV197" s="212"/>
      <c r="JEW197" s="212"/>
      <c r="JEX197" s="212"/>
      <c r="JEY197" s="212"/>
      <c r="JEZ197" s="212"/>
      <c r="JFA197" s="212"/>
      <c r="JFB197" s="212"/>
      <c r="JFC197" s="212"/>
      <c r="JFD197" s="212"/>
      <c r="JFE197" s="212"/>
      <c r="JFF197" s="212"/>
      <c r="JFG197" s="212"/>
      <c r="JFH197" s="212"/>
      <c r="JFI197" s="212"/>
      <c r="JFJ197" s="212"/>
      <c r="JFK197" s="212"/>
      <c r="JFL197" s="212"/>
      <c r="JFM197" s="212"/>
      <c r="JFN197" s="212"/>
      <c r="JFO197" s="212"/>
      <c r="JFP197" s="212"/>
      <c r="JFQ197" s="212"/>
      <c r="JFR197" s="212"/>
      <c r="JFS197" s="212"/>
      <c r="JFT197" s="212"/>
      <c r="JFU197" s="212"/>
      <c r="JFV197" s="212"/>
      <c r="JFW197" s="212"/>
      <c r="JFX197" s="212"/>
      <c r="JFY197" s="212"/>
      <c r="JFZ197" s="212"/>
      <c r="JGA197" s="212"/>
      <c r="JGB197" s="212"/>
      <c r="JGC197" s="212"/>
      <c r="JGD197" s="212"/>
      <c r="JGE197" s="212"/>
      <c r="JGF197" s="212"/>
      <c r="JGG197" s="212"/>
      <c r="JGH197" s="212"/>
      <c r="JGI197" s="212"/>
      <c r="JGJ197" s="214"/>
      <c r="JGK197" s="211"/>
      <c r="JGL197" s="212"/>
      <c r="JGM197" s="212"/>
      <c r="JGN197" s="212"/>
      <c r="JGO197" s="212"/>
      <c r="JGP197" s="212"/>
      <c r="JGQ197" s="212"/>
      <c r="JGR197" s="212"/>
      <c r="JGS197" s="212"/>
      <c r="JGT197" s="212"/>
      <c r="JGU197" s="212"/>
      <c r="JGV197" s="212"/>
      <c r="JGW197" s="212"/>
      <c r="JGX197" s="212"/>
      <c r="JGY197" s="212"/>
      <c r="JGZ197" s="212"/>
      <c r="JHA197" s="212"/>
      <c r="JHB197" s="212"/>
      <c r="JHC197" s="212"/>
      <c r="JHD197" s="212"/>
      <c r="JHE197" s="212"/>
      <c r="JHF197" s="212"/>
      <c r="JHG197" s="212"/>
      <c r="JHH197" s="212"/>
      <c r="JHI197" s="212"/>
      <c r="JHJ197" s="212"/>
      <c r="JHK197" s="212"/>
      <c r="JHL197" s="212"/>
      <c r="JHM197" s="212"/>
      <c r="JHN197" s="212"/>
      <c r="JHO197" s="212"/>
      <c r="JHP197" s="212"/>
      <c r="JHQ197" s="212"/>
      <c r="JHR197" s="212"/>
      <c r="JHS197" s="212"/>
      <c r="JHT197" s="212"/>
      <c r="JHU197" s="212"/>
      <c r="JHV197" s="212"/>
      <c r="JHW197" s="212"/>
      <c r="JHX197" s="212"/>
      <c r="JHY197" s="212"/>
      <c r="JHZ197" s="212"/>
      <c r="JIA197" s="212"/>
      <c r="JIB197" s="214"/>
      <c r="JIC197" s="211"/>
      <c r="JID197" s="212"/>
      <c r="JIE197" s="212"/>
      <c r="JIF197" s="212"/>
      <c r="JIG197" s="212"/>
      <c r="JIH197" s="212"/>
      <c r="JII197" s="212"/>
      <c r="JIJ197" s="212"/>
      <c r="JIK197" s="212"/>
      <c r="JIL197" s="212"/>
      <c r="JIM197" s="212"/>
      <c r="JIN197" s="212"/>
      <c r="JIO197" s="212"/>
      <c r="JIP197" s="212"/>
      <c r="JIQ197" s="212"/>
      <c r="JIR197" s="212"/>
      <c r="JIS197" s="212"/>
      <c r="JIT197" s="212"/>
      <c r="JIU197" s="212"/>
      <c r="JIV197" s="212"/>
      <c r="JIW197" s="212"/>
      <c r="JIX197" s="212"/>
      <c r="JIY197" s="212"/>
      <c r="JIZ197" s="212"/>
      <c r="JJA197" s="212"/>
      <c r="JJB197" s="212"/>
      <c r="JJC197" s="212"/>
      <c r="JJD197" s="212"/>
      <c r="JJE197" s="212"/>
      <c r="JJF197" s="212"/>
      <c r="JJG197" s="212"/>
      <c r="JJH197" s="212"/>
      <c r="JJI197" s="212"/>
      <c r="JJJ197" s="212"/>
      <c r="JJK197" s="212"/>
      <c r="JJL197" s="212"/>
      <c r="JJM197" s="212"/>
      <c r="JJN197" s="212"/>
      <c r="JJO197" s="212"/>
      <c r="JJP197" s="212"/>
      <c r="JJQ197" s="212"/>
      <c r="JJR197" s="212"/>
      <c r="JJS197" s="212"/>
      <c r="JJT197" s="214"/>
      <c r="JJU197" s="211"/>
      <c r="JJV197" s="212"/>
      <c r="JJW197" s="212"/>
      <c r="JJX197" s="212"/>
      <c r="JJY197" s="212"/>
      <c r="JJZ197" s="212"/>
      <c r="JKA197" s="212"/>
      <c r="JKB197" s="212"/>
      <c r="JKC197" s="212"/>
      <c r="JKD197" s="212"/>
      <c r="JKE197" s="212"/>
      <c r="JKF197" s="212"/>
      <c r="JKG197" s="212"/>
      <c r="JKH197" s="212"/>
      <c r="JKI197" s="212"/>
      <c r="JKJ197" s="212"/>
      <c r="JKK197" s="212"/>
      <c r="JKL197" s="212"/>
      <c r="JKM197" s="212"/>
      <c r="JKN197" s="212"/>
      <c r="JKO197" s="212"/>
      <c r="JKP197" s="212"/>
      <c r="JKQ197" s="212"/>
      <c r="JKR197" s="212"/>
      <c r="JKS197" s="212"/>
      <c r="JKT197" s="212"/>
      <c r="JKU197" s="212"/>
      <c r="JKV197" s="212"/>
      <c r="JKW197" s="212"/>
      <c r="JKX197" s="212"/>
      <c r="JKY197" s="212"/>
      <c r="JKZ197" s="212"/>
      <c r="JLA197" s="212"/>
      <c r="JLB197" s="212"/>
      <c r="JLC197" s="212"/>
      <c r="JLD197" s="212"/>
      <c r="JLE197" s="212"/>
      <c r="JLF197" s="212"/>
      <c r="JLG197" s="212"/>
      <c r="JLH197" s="212"/>
      <c r="JLI197" s="212"/>
      <c r="JLJ197" s="212"/>
      <c r="JLK197" s="212"/>
      <c r="JLL197" s="214"/>
      <c r="JLM197" s="211"/>
      <c r="JLN197" s="212"/>
      <c r="JLO197" s="212"/>
      <c r="JLP197" s="212"/>
      <c r="JLQ197" s="212"/>
      <c r="JLR197" s="212"/>
      <c r="JLS197" s="212"/>
      <c r="JLT197" s="212"/>
      <c r="JLU197" s="212"/>
      <c r="JLV197" s="212"/>
      <c r="JLW197" s="212"/>
      <c r="JLX197" s="212"/>
      <c r="JLY197" s="212"/>
      <c r="JLZ197" s="212"/>
      <c r="JMA197" s="212"/>
      <c r="JMB197" s="212"/>
      <c r="JMC197" s="212"/>
      <c r="JMD197" s="212"/>
      <c r="JME197" s="212"/>
      <c r="JMF197" s="212"/>
      <c r="JMG197" s="212"/>
      <c r="JMH197" s="212"/>
      <c r="JMI197" s="212"/>
      <c r="JMJ197" s="212"/>
      <c r="JMK197" s="212"/>
      <c r="JML197" s="212"/>
      <c r="JMM197" s="212"/>
      <c r="JMN197" s="212"/>
      <c r="JMO197" s="212"/>
      <c r="JMP197" s="212"/>
      <c r="JMQ197" s="212"/>
      <c r="JMR197" s="212"/>
      <c r="JMS197" s="212"/>
      <c r="JMT197" s="212"/>
      <c r="JMU197" s="212"/>
      <c r="JMV197" s="212"/>
      <c r="JMW197" s="212"/>
      <c r="JMX197" s="212"/>
      <c r="JMY197" s="212"/>
      <c r="JMZ197" s="212"/>
      <c r="JNA197" s="212"/>
      <c r="JNB197" s="212"/>
      <c r="JNC197" s="212"/>
      <c r="JND197" s="214"/>
      <c r="JNE197" s="211"/>
      <c r="JNF197" s="212"/>
      <c r="JNG197" s="212"/>
      <c r="JNH197" s="212"/>
      <c r="JNI197" s="212"/>
      <c r="JNJ197" s="212"/>
      <c r="JNK197" s="212"/>
      <c r="JNL197" s="212"/>
      <c r="JNM197" s="212"/>
      <c r="JNN197" s="212"/>
      <c r="JNO197" s="212"/>
      <c r="JNP197" s="212"/>
      <c r="JNQ197" s="212"/>
      <c r="JNR197" s="212"/>
      <c r="JNS197" s="212"/>
      <c r="JNT197" s="212"/>
      <c r="JNU197" s="212"/>
      <c r="JNV197" s="212"/>
      <c r="JNW197" s="212"/>
      <c r="JNX197" s="212"/>
      <c r="JNY197" s="212"/>
      <c r="JNZ197" s="212"/>
      <c r="JOA197" s="212"/>
      <c r="JOB197" s="212"/>
      <c r="JOC197" s="212"/>
      <c r="JOD197" s="212"/>
      <c r="JOE197" s="212"/>
      <c r="JOF197" s="212"/>
      <c r="JOG197" s="212"/>
      <c r="JOH197" s="212"/>
      <c r="JOI197" s="212"/>
      <c r="JOJ197" s="212"/>
      <c r="JOK197" s="212"/>
      <c r="JOL197" s="212"/>
      <c r="JOM197" s="212"/>
      <c r="JON197" s="212"/>
      <c r="JOO197" s="212"/>
      <c r="JOP197" s="212"/>
      <c r="JOQ197" s="212"/>
      <c r="JOR197" s="212"/>
      <c r="JOS197" s="212"/>
      <c r="JOT197" s="212"/>
      <c r="JOU197" s="212"/>
      <c r="JOV197" s="214"/>
      <c r="JOW197" s="211"/>
      <c r="JOX197" s="212"/>
      <c r="JOY197" s="212"/>
      <c r="JOZ197" s="212"/>
      <c r="JPA197" s="212"/>
      <c r="JPB197" s="212"/>
      <c r="JPC197" s="212"/>
      <c r="JPD197" s="212"/>
      <c r="JPE197" s="212"/>
      <c r="JPF197" s="212"/>
      <c r="JPG197" s="212"/>
      <c r="JPH197" s="212"/>
      <c r="JPI197" s="212"/>
      <c r="JPJ197" s="212"/>
      <c r="JPK197" s="212"/>
      <c r="JPL197" s="212"/>
      <c r="JPM197" s="212"/>
      <c r="JPN197" s="212"/>
      <c r="JPO197" s="212"/>
      <c r="JPP197" s="212"/>
      <c r="JPQ197" s="212"/>
      <c r="JPR197" s="212"/>
      <c r="JPS197" s="212"/>
      <c r="JPT197" s="212"/>
      <c r="JPU197" s="212"/>
      <c r="JPV197" s="212"/>
      <c r="JPW197" s="212"/>
      <c r="JPX197" s="212"/>
      <c r="JPY197" s="212"/>
      <c r="JPZ197" s="212"/>
      <c r="JQA197" s="212"/>
      <c r="JQB197" s="212"/>
      <c r="JQC197" s="212"/>
      <c r="JQD197" s="212"/>
      <c r="JQE197" s="212"/>
      <c r="JQF197" s="212"/>
      <c r="JQG197" s="212"/>
      <c r="JQH197" s="212"/>
      <c r="JQI197" s="212"/>
      <c r="JQJ197" s="212"/>
      <c r="JQK197" s="212"/>
      <c r="JQL197" s="212"/>
      <c r="JQM197" s="212"/>
      <c r="JQN197" s="214"/>
      <c r="JQO197" s="211"/>
      <c r="JQP197" s="212"/>
      <c r="JQQ197" s="212"/>
      <c r="JQR197" s="212"/>
      <c r="JQS197" s="212"/>
      <c r="JQT197" s="212"/>
      <c r="JQU197" s="212"/>
      <c r="JQV197" s="212"/>
      <c r="JQW197" s="212"/>
      <c r="JQX197" s="212"/>
      <c r="JQY197" s="212"/>
      <c r="JQZ197" s="212"/>
      <c r="JRA197" s="212"/>
      <c r="JRB197" s="212"/>
      <c r="JRC197" s="212"/>
      <c r="JRD197" s="212"/>
      <c r="JRE197" s="212"/>
      <c r="JRF197" s="212"/>
      <c r="JRG197" s="212"/>
      <c r="JRH197" s="212"/>
      <c r="JRI197" s="212"/>
      <c r="JRJ197" s="212"/>
      <c r="JRK197" s="212"/>
      <c r="JRL197" s="212"/>
      <c r="JRM197" s="212"/>
      <c r="JRN197" s="212"/>
      <c r="JRO197" s="212"/>
      <c r="JRP197" s="212"/>
      <c r="JRQ197" s="212"/>
      <c r="JRR197" s="212"/>
      <c r="JRS197" s="212"/>
      <c r="JRT197" s="212"/>
      <c r="JRU197" s="212"/>
      <c r="JRV197" s="212"/>
      <c r="JRW197" s="212"/>
      <c r="JRX197" s="212"/>
      <c r="JRY197" s="212"/>
      <c r="JRZ197" s="212"/>
      <c r="JSA197" s="212"/>
      <c r="JSB197" s="212"/>
      <c r="JSC197" s="212"/>
      <c r="JSD197" s="212"/>
      <c r="JSE197" s="212"/>
      <c r="JSF197" s="214"/>
      <c r="JSG197" s="211"/>
      <c r="JSH197" s="212"/>
      <c r="JSI197" s="212"/>
      <c r="JSJ197" s="212"/>
      <c r="JSK197" s="212"/>
      <c r="JSL197" s="212"/>
      <c r="JSM197" s="212"/>
      <c r="JSN197" s="212"/>
      <c r="JSO197" s="212"/>
      <c r="JSP197" s="212"/>
      <c r="JSQ197" s="212"/>
      <c r="JSR197" s="212"/>
      <c r="JSS197" s="212"/>
      <c r="JST197" s="212"/>
      <c r="JSU197" s="212"/>
      <c r="JSV197" s="212"/>
      <c r="JSW197" s="212"/>
      <c r="JSX197" s="212"/>
      <c r="JSY197" s="212"/>
      <c r="JSZ197" s="212"/>
      <c r="JTA197" s="212"/>
      <c r="JTB197" s="212"/>
      <c r="JTC197" s="212"/>
      <c r="JTD197" s="212"/>
      <c r="JTE197" s="212"/>
      <c r="JTF197" s="212"/>
      <c r="JTG197" s="212"/>
      <c r="JTH197" s="212"/>
      <c r="JTI197" s="212"/>
      <c r="JTJ197" s="212"/>
      <c r="JTK197" s="212"/>
      <c r="JTL197" s="212"/>
      <c r="JTM197" s="212"/>
      <c r="JTN197" s="212"/>
      <c r="JTO197" s="212"/>
      <c r="JTP197" s="212"/>
      <c r="JTQ197" s="212"/>
      <c r="JTR197" s="212"/>
      <c r="JTS197" s="212"/>
      <c r="JTT197" s="212"/>
      <c r="JTU197" s="212"/>
      <c r="JTV197" s="212"/>
      <c r="JTW197" s="212"/>
      <c r="JTX197" s="214"/>
      <c r="JTY197" s="211"/>
      <c r="JTZ197" s="212"/>
      <c r="JUA197" s="212"/>
      <c r="JUB197" s="212"/>
      <c r="JUC197" s="212"/>
      <c r="JUD197" s="212"/>
      <c r="JUE197" s="212"/>
      <c r="JUF197" s="212"/>
      <c r="JUG197" s="212"/>
      <c r="JUH197" s="212"/>
      <c r="JUI197" s="212"/>
      <c r="JUJ197" s="212"/>
      <c r="JUK197" s="212"/>
      <c r="JUL197" s="212"/>
      <c r="JUM197" s="212"/>
      <c r="JUN197" s="212"/>
      <c r="JUO197" s="212"/>
      <c r="JUP197" s="212"/>
      <c r="JUQ197" s="212"/>
      <c r="JUR197" s="212"/>
      <c r="JUS197" s="212"/>
      <c r="JUT197" s="212"/>
      <c r="JUU197" s="212"/>
      <c r="JUV197" s="212"/>
      <c r="JUW197" s="212"/>
      <c r="JUX197" s="212"/>
      <c r="JUY197" s="212"/>
      <c r="JUZ197" s="212"/>
      <c r="JVA197" s="212"/>
      <c r="JVB197" s="212"/>
      <c r="JVC197" s="212"/>
      <c r="JVD197" s="212"/>
      <c r="JVE197" s="212"/>
      <c r="JVF197" s="212"/>
      <c r="JVG197" s="212"/>
      <c r="JVH197" s="212"/>
      <c r="JVI197" s="212"/>
      <c r="JVJ197" s="212"/>
      <c r="JVK197" s="212"/>
      <c r="JVL197" s="212"/>
      <c r="JVM197" s="212"/>
      <c r="JVN197" s="212"/>
      <c r="JVO197" s="212"/>
      <c r="JVP197" s="214"/>
      <c r="JVQ197" s="211"/>
      <c r="JVR197" s="212"/>
      <c r="JVS197" s="212"/>
      <c r="JVT197" s="212"/>
      <c r="JVU197" s="212"/>
      <c r="JVV197" s="212"/>
      <c r="JVW197" s="212"/>
      <c r="JVX197" s="212"/>
      <c r="JVY197" s="212"/>
      <c r="JVZ197" s="212"/>
      <c r="JWA197" s="212"/>
      <c r="JWB197" s="212"/>
      <c r="JWC197" s="212"/>
      <c r="JWD197" s="212"/>
      <c r="JWE197" s="212"/>
      <c r="JWF197" s="212"/>
      <c r="JWG197" s="212"/>
      <c r="JWH197" s="212"/>
      <c r="JWI197" s="212"/>
      <c r="JWJ197" s="212"/>
      <c r="JWK197" s="212"/>
      <c r="JWL197" s="212"/>
      <c r="JWM197" s="212"/>
      <c r="JWN197" s="212"/>
      <c r="JWO197" s="212"/>
      <c r="JWP197" s="212"/>
      <c r="JWQ197" s="212"/>
      <c r="JWR197" s="212"/>
      <c r="JWS197" s="212"/>
      <c r="JWT197" s="212"/>
      <c r="JWU197" s="212"/>
      <c r="JWV197" s="212"/>
      <c r="JWW197" s="212"/>
      <c r="JWX197" s="212"/>
      <c r="JWY197" s="212"/>
      <c r="JWZ197" s="212"/>
      <c r="JXA197" s="212"/>
      <c r="JXB197" s="212"/>
      <c r="JXC197" s="212"/>
      <c r="JXD197" s="212"/>
      <c r="JXE197" s="212"/>
      <c r="JXF197" s="212"/>
      <c r="JXG197" s="212"/>
      <c r="JXH197" s="214"/>
      <c r="JXI197" s="211"/>
      <c r="JXJ197" s="212"/>
      <c r="JXK197" s="212"/>
      <c r="JXL197" s="212"/>
      <c r="JXM197" s="212"/>
      <c r="JXN197" s="212"/>
      <c r="JXO197" s="212"/>
      <c r="JXP197" s="212"/>
      <c r="JXQ197" s="212"/>
      <c r="JXR197" s="212"/>
      <c r="JXS197" s="212"/>
      <c r="JXT197" s="212"/>
      <c r="JXU197" s="212"/>
      <c r="JXV197" s="212"/>
      <c r="JXW197" s="212"/>
      <c r="JXX197" s="212"/>
      <c r="JXY197" s="212"/>
      <c r="JXZ197" s="212"/>
      <c r="JYA197" s="212"/>
      <c r="JYB197" s="212"/>
      <c r="JYC197" s="212"/>
      <c r="JYD197" s="212"/>
      <c r="JYE197" s="212"/>
      <c r="JYF197" s="212"/>
      <c r="JYG197" s="212"/>
      <c r="JYH197" s="212"/>
      <c r="JYI197" s="212"/>
      <c r="JYJ197" s="212"/>
      <c r="JYK197" s="212"/>
      <c r="JYL197" s="212"/>
      <c r="JYM197" s="212"/>
      <c r="JYN197" s="212"/>
      <c r="JYO197" s="212"/>
      <c r="JYP197" s="212"/>
      <c r="JYQ197" s="212"/>
      <c r="JYR197" s="212"/>
      <c r="JYS197" s="212"/>
      <c r="JYT197" s="212"/>
      <c r="JYU197" s="212"/>
      <c r="JYV197" s="212"/>
      <c r="JYW197" s="212"/>
      <c r="JYX197" s="212"/>
      <c r="JYY197" s="212"/>
      <c r="JYZ197" s="214"/>
      <c r="JZA197" s="211"/>
      <c r="JZB197" s="212"/>
      <c r="JZC197" s="212"/>
      <c r="JZD197" s="212"/>
      <c r="JZE197" s="212"/>
      <c r="JZF197" s="212"/>
      <c r="JZG197" s="212"/>
      <c r="JZH197" s="212"/>
      <c r="JZI197" s="212"/>
      <c r="JZJ197" s="212"/>
      <c r="JZK197" s="212"/>
      <c r="JZL197" s="212"/>
      <c r="JZM197" s="212"/>
      <c r="JZN197" s="212"/>
      <c r="JZO197" s="212"/>
      <c r="JZP197" s="212"/>
      <c r="JZQ197" s="212"/>
      <c r="JZR197" s="212"/>
      <c r="JZS197" s="212"/>
      <c r="JZT197" s="212"/>
      <c r="JZU197" s="212"/>
      <c r="JZV197" s="212"/>
      <c r="JZW197" s="212"/>
      <c r="JZX197" s="212"/>
      <c r="JZY197" s="212"/>
      <c r="JZZ197" s="212"/>
      <c r="KAA197" s="212"/>
      <c r="KAB197" s="212"/>
      <c r="KAC197" s="212"/>
      <c r="KAD197" s="212"/>
      <c r="KAE197" s="212"/>
      <c r="KAF197" s="212"/>
      <c r="KAG197" s="212"/>
      <c r="KAH197" s="212"/>
      <c r="KAI197" s="212"/>
      <c r="KAJ197" s="212"/>
      <c r="KAK197" s="212"/>
      <c r="KAL197" s="212"/>
      <c r="KAM197" s="212"/>
      <c r="KAN197" s="212"/>
      <c r="KAO197" s="212"/>
      <c r="KAP197" s="212"/>
      <c r="KAQ197" s="212"/>
      <c r="KAR197" s="214"/>
      <c r="KAS197" s="211"/>
      <c r="KAT197" s="212"/>
      <c r="KAU197" s="212"/>
      <c r="KAV197" s="212"/>
      <c r="KAW197" s="212"/>
      <c r="KAX197" s="212"/>
      <c r="KAY197" s="212"/>
      <c r="KAZ197" s="212"/>
      <c r="KBA197" s="212"/>
      <c r="KBB197" s="212"/>
      <c r="KBC197" s="212"/>
      <c r="KBD197" s="212"/>
      <c r="KBE197" s="212"/>
      <c r="KBF197" s="212"/>
      <c r="KBG197" s="212"/>
      <c r="KBH197" s="212"/>
      <c r="KBI197" s="212"/>
      <c r="KBJ197" s="212"/>
      <c r="KBK197" s="212"/>
      <c r="KBL197" s="212"/>
      <c r="KBM197" s="212"/>
      <c r="KBN197" s="212"/>
      <c r="KBO197" s="212"/>
      <c r="KBP197" s="212"/>
      <c r="KBQ197" s="212"/>
      <c r="KBR197" s="212"/>
      <c r="KBS197" s="212"/>
      <c r="KBT197" s="212"/>
      <c r="KBU197" s="212"/>
      <c r="KBV197" s="212"/>
      <c r="KBW197" s="212"/>
      <c r="KBX197" s="212"/>
      <c r="KBY197" s="212"/>
      <c r="KBZ197" s="212"/>
      <c r="KCA197" s="212"/>
      <c r="KCB197" s="212"/>
      <c r="KCC197" s="212"/>
      <c r="KCD197" s="212"/>
      <c r="KCE197" s="212"/>
      <c r="KCF197" s="212"/>
      <c r="KCG197" s="212"/>
      <c r="KCH197" s="212"/>
      <c r="KCI197" s="212"/>
      <c r="KCJ197" s="214"/>
      <c r="KCK197" s="211"/>
      <c r="KCL197" s="212"/>
      <c r="KCM197" s="212"/>
      <c r="KCN197" s="212"/>
      <c r="KCO197" s="212"/>
      <c r="KCP197" s="212"/>
      <c r="KCQ197" s="212"/>
      <c r="KCR197" s="212"/>
      <c r="KCS197" s="212"/>
      <c r="KCT197" s="212"/>
      <c r="KCU197" s="212"/>
      <c r="KCV197" s="212"/>
      <c r="KCW197" s="212"/>
      <c r="KCX197" s="212"/>
      <c r="KCY197" s="212"/>
      <c r="KCZ197" s="212"/>
      <c r="KDA197" s="212"/>
      <c r="KDB197" s="212"/>
      <c r="KDC197" s="212"/>
      <c r="KDD197" s="212"/>
      <c r="KDE197" s="212"/>
      <c r="KDF197" s="212"/>
      <c r="KDG197" s="212"/>
      <c r="KDH197" s="212"/>
      <c r="KDI197" s="212"/>
      <c r="KDJ197" s="212"/>
      <c r="KDK197" s="212"/>
      <c r="KDL197" s="212"/>
      <c r="KDM197" s="212"/>
      <c r="KDN197" s="212"/>
      <c r="KDO197" s="212"/>
      <c r="KDP197" s="212"/>
      <c r="KDQ197" s="212"/>
      <c r="KDR197" s="212"/>
      <c r="KDS197" s="212"/>
      <c r="KDT197" s="212"/>
      <c r="KDU197" s="212"/>
      <c r="KDV197" s="212"/>
      <c r="KDW197" s="212"/>
      <c r="KDX197" s="212"/>
      <c r="KDY197" s="212"/>
      <c r="KDZ197" s="212"/>
      <c r="KEA197" s="212"/>
      <c r="KEB197" s="214"/>
      <c r="KEC197" s="211"/>
      <c r="KED197" s="212"/>
      <c r="KEE197" s="212"/>
      <c r="KEF197" s="212"/>
      <c r="KEG197" s="212"/>
      <c r="KEH197" s="212"/>
      <c r="KEI197" s="212"/>
      <c r="KEJ197" s="212"/>
      <c r="KEK197" s="212"/>
      <c r="KEL197" s="212"/>
      <c r="KEM197" s="212"/>
      <c r="KEN197" s="212"/>
      <c r="KEO197" s="212"/>
      <c r="KEP197" s="212"/>
      <c r="KEQ197" s="212"/>
      <c r="KER197" s="212"/>
      <c r="KES197" s="212"/>
      <c r="KET197" s="212"/>
      <c r="KEU197" s="212"/>
      <c r="KEV197" s="212"/>
      <c r="KEW197" s="212"/>
      <c r="KEX197" s="212"/>
      <c r="KEY197" s="212"/>
      <c r="KEZ197" s="212"/>
      <c r="KFA197" s="212"/>
      <c r="KFB197" s="212"/>
      <c r="KFC197" s="212"/>
      <c r="KFD197" s="212"/>
      <c r="KFE197" s="212"/>
      <c r="KFF197" s="212"/>
      <c r="KFG197" s="212"/>
      <c r="KFH197" s="212"/>
      <c r="KFI197" s="212"/>
      <c r="KFJ197" s="212"/>
      <c r="KFK197" s="212"/>
      <c r="KFL197" s="212"/>
      <c r="KFM197" s="212"/>
      <c r="KFN197" s="212"/>
      <c r="KFO197" s="212"/>
      <c r="KFP197" s="212"/>
      <c r="KFQ197" s="212"/>
      <c r="KFR197" s="212"/>
      <c r="KFS197" s="212"/>
      <c r="KFT197" s="214"/>
      <c r="KFU197" s="211"/>
      <c r="KFV197" s="212"/>
      <c r="KFW197" s="212"/>
      <c r="KFX197" s="212"/>
      <c r="KFY197" s="212"/>
      <c r="KFZ197" s="212"/>
      <c r="KGA197" s="212"/>
      <c r="KGB197" s="212"/>
      <c r="KGC197" s="212"/>
      <c r="KGD197" s="212"/>
      <c r="KGE197" s="212"/>
      <c r="KGF197" s="212"/>
      <c r="KGG197" s="212"/>
      <c r="KGH197" s="212"/>
      <c r="KGI197" s="212"/>
      <c r="KGJ197" s="212"/>
      <c r="KGK197" s="212"/>
      <c r="KGL197" s="212"/>
      <c r="KGM197" s="212"/>
      <c r="KGN197" s="212"/>
      <c r="KGO197" s="212"/>
      <c r="KGP197" s="212"/>
      <c r="KGQ197" s="212"/>
      <c r="KGR197" s="212"/>
      <c r="KGS197" s="212"/>
      <c r="KGT197" s="212"/>
      <c r="KGU197" s="212"/>
      <c r="KGV197" s="212"/>
      <c r="KGW197" s="212"/>
      <c r="KGX197" s="212"/>
      <c r="KGY197" s="212"/>
      <c r="KGZ197" s="212"/>
      <c r="KHA197" s="212"/>
      <c r="KHB197" s="212"/>
      <c r="KHC197" s="212"/>
      <c r="KHD197" s="212"/>
      <c r="KHE197" s="212"/>
      <c r="KHF197" s="212"/>
      <c r="KHG197" s="212"/>
      <c r="KHH197" s="212"/>
      <c r="KHI197" s="212"/>
      <c r="KHJ197" s="212"/>
      <c r="KHK197" s="212"/>
      <c r="KHL197" s="214"/>
      <c r="KHM197" s="211"/>
      <c r="KHN197" s="212"/>
      <c r="KHO197" s="212"/>
      <c r="KHP197" s="212"/>
      <c r="KHQ197" s="212"/>
      <c r="KHR197" s="212"/>
      <c r="KHS197" s="212"/>
      <c r="KHT197" s="212"/>
      <c r="KHU197" s="212"/>
      <c r="KHV197" s="212"/>
      <c r="KHW197" s="212"/>
      <c r="KHX197" s="212"/>
      <c r="KHY197" s="212"/>
      <c r="KHZ197" s="212"/>
      <c r="KIA197" s="212"/>
      <c r="KIB197" s="212"/>
      <c r="KIC197" s="212"/>
      <c r="KID197" s="212"/>
      <c r="KIE197" s="212"/>
      <c r="KIF197" s="212"/>
      <c r="KIG197" s="212"/>
      <c r="KIH197" s="212"/>
      <c r="KII197" s="212"/>
      <c r="KIJ197" s="212"/>
      <c r="KIK197" s="212"/>
      <c r="KIL197" s="212"/>
      <c r="KIM197" s="212"/>
      <c r="KIN197" s="212"/>
      <c r="KIO197" s="212"/>
      <c r="KIP197" s="212"/>
      <c r="KIQ197" s="212"/>
      <c r="KIR197" s="212"/>
      <c r="KIS197" s="212"/>
      <c r="KIT197" s="212"/>
      <c r="KIU197" s="212"/>
      <c r="KIV197" s="212"/>
      <c r="KIW197" s="212"/>
      <c r="KIX197" s="212"/>
      <c r="KIY197" s="212"/>
      <c r="KIZ197" s="212"/>
      <c r="KJA197" s="212"/>
      <c r="KJB197" s="212"/>
      <c r="KJC197" s="212"/>
      <c r="KJD197" s="214"/>
      <c r="KJE197" s="211"/>
      <c r="KJF197" s="212"/>
      <c r="KJG197" s="212"/>
      <c r="KJH197" s="212"/>
      <c r="KJI197" s="212"/>
      <c r="KJJ197" s="212"/>
      <c r="KJK197" s="212"/>
      <c r="KJL197" s="212"/>
      <c r="KJM197" s="212"/>
      <c r="KJN197" s="212"/>
      <c r="KJO197" s="212"/>
      <c r="KJP197" s="212"/>
      <c r="KJQ197" s="212"/>
      <c r="KJR197" s="212"/>
      <c r="KJS197" s="212"/>
      <c r="KJT197" s="212"/>
      <c r="KJU197" s="212"/>
      <c r="KJV197" s="212"/>
      <c r="KJW197" s="212"/>
      <c r="KJX197" s="212"/>
      <c r="KJY197" s="212"/>
      <c r="KJZ197" s="212"/>
      <c r="KKA197" s="212"/>
      <c r="KKB197" s="212"/>
      <c r="KKC197" s="212"/>
      <c r="KKD197" s="212"/>
      <c r="KKE197" s="212"/>
      <c r="KKF197" s="212"/>
      <c r="KKG197" s="212"/>
      <c r="KKH197" s="212"/>
      <c r="KKI197" s="212"/>
      <c r="KKJ197" s="212"/>
      <c r="KKK197" s="212"/>
      <c r="KKL197" s="212"/>
      <c r="KKM197" s="212"/>
      <c r="KKN197" s="212"/>
      <c r="KKO197" s="212"/>
      <c r="KKP197" s="212"/>
      <c r="KKQ197" s="212"/>
      <c r="KKR197" s="212"/>
      <c r="KKS197" s="212"/>
      <c r="KKT197" s="212"/>
      <c r="KKU197" s="212"/>
      <c r="KKV197" s="214"/>
      <c r="KKW197" s="211"/>
      <c r="KKX197" s="212"/>
      <c r="KKY197" s="212"/>
      <c r="KKZ197" s="212"/>
      <c r="KLA197" s="212"/>
      <c r="KLB197" s="212"/>
      <c r="KLC197" s="212"/>
      <c r="KLD197" s="212"/>
      <c r="KLE197" s="212"/>
      <c r="KLF197" s="212"/>
      <c r="KLG197" s="212"/>
      <c r="KLH197" s="212"/>
      <c r="KLI197" s="212"/>
      <c r="KLJ197" s="212"/>
      <c r="KLK197" s="212"/>
      <c r="KLL197" s="212"/>
      <c r="KLM197" s="212"/>
      <c r="KLN197" s="212"/>
      <c r="KLO197" s="212"/>
      <c r="KLP197" s="212"/>
      <c r="KLQ197" s="212"/>
      <c r="KLR197" s="212"/>
      <c r="KLS197" s="212"/>
      <c r="KLT197" s="212"/>
      <c r="KLU197" s="212"/>
      <c r="KLV197" s="212"/>
      <c r="KLW197" s="212"/>
      <c r="KLX197" s="212"/>
      <c r="KLY197" s="212"/>
      <c r="KLZ197" s="212"/>
      <c r="KMA197" s="212"/>
      <c r="KMB197" s="212"/>
      <c r="KMC197" s="212"/>
      <c r="KMD197" s="212"/>
      <c r="KME197" s="212"/>
      <c r="KMF197" s="212"/>
      <c r="KMG197" s="212"/>
      <c r="KMH197" s="212"/>
      <c r="KMI197" s="212"/>
      <c r="KMJ197" s="212"/>
      <c r="KMK197" s="212"/>
      <c r="KML197" s="212"/>
      <c r="KMM197" s="212"/>
      <c r="KMN197" s="214"/>
      <c r="KMO197" s="211"/>
      <c r="KMP197" s="212"/>
      <c r="KMQ197" s="212"/>
      <c r="KMR197" s="212"/>
      <c r="KMS197" s="212"/>
      <c r="KMT197" s="212"/>
      <c r="KMU197" s="212"/>
      <c r="KMV197" s="212"/>
      <c r="KMW197" s="212"/>
      <c r="KMX197" s="212"/>
      <c r="KMY197" s="212"/>
      <c r="KMZ197" s="212"/>
      <c r="KNA197" s="212"/>
      <c r="KNB197" s="212"/>
      <c r="KNC197" s="212"/>
      <c r="KND197" s="212"/>
      <c r="KNE197" s="212"/>
      <c r="KNF197" s="212"/>
      <c r="KNG197" s="212"/>
      <c r="KNH197" s="212"/>
      <c r="KNI197" s="212"/>
      <c r="KNJ197" s="212"/>
      <c r="KNK197" s="212"/>
      <c r="KNL197" s="212"/>
      <c r="KNM197" s="212"/>
      <c r="KNN197" s="212"/>
      <c r="KNO197" s="212"/>
      <c r="KNP197" s="212"/>
      <c r="KNQ197" s="212"/>
      <c r="KNR197" s="212"/>
      <c r="KNS197" s="212"/>
      <c r="KNT197" s="212"/>
      <c r="KNU197" s="212"/>
      <c r="KNV197" s="212"/>
      <c r="KNW197" s="212"/>
      <c r="KNX197" s="212"/>
      <c r="KNY197" s="212"/>
      <c r="KNZ197" s="212"/>
      <c r="KOA197" s="212"/>
      <c r="KOB197" s="212"/>
      <c r="KOC197" s="212"/>
      <c r="KOD197" s="212"/>
      <c r="KOE197" s="212"/>
      <c r="KOF197" s="214"/>
      <c r="KOG197" s="211"/>
      <c r="KOH197" s="212"/>
      <c r="KOI197" s="212"/>
      <c r="KOJ197" s="212"/>
      <c r="KOK197" s="212"/>
      <c r="KOL197" s="212"/>
      <c r="KOM197" s="212"/>
      <c r="KON197" s="212"/>
      <c r="KOO197" s="212"/>
      <c r="KOP197" s="212"/>
      <c r="KOQ197" s="212"/>
      <c r="KOR197" s="212"/>
      <c r="KOS197" s="212"/>
      <c r="KOT197" s="212"/>
      <c r="KOU197" s="212"/>
      <c r="KOV197" s="212"/>
      <c r="KOW197" s="212"/>
      <c r="KOX197" s="212"/>
      <c r="KOY197" s="212"/>
      <c r="KOZ197" s="212"/>
      <c r="KPA197" s="212"/>
      <c r="KPB197" s="212"/>
      <c r="KPC197" s="212"/>
      <c r="KPD197" s="212"/>
      <c r="KPE197" s="212"/>
      <c r="KPF197" s="212"/>
      <c r="KPG197" s="212"/>
      <c r="KPH197" s="212"/>
      <c r="KPI197" s="212"/>
      <c r="KPJ197" s="212"/>
      <c r="KPK197" s="212"/>
      <c r="KPL197" s="212"/>
      <c r="KPM197" s="212"/>
      <c r="KPN197" s="212"/>
      <c r="KPO197" s="212"/>
      <c r="KPP197" s="212"/>
      <c r="KPQ197" s="212"/>
      <c r="KPR197" s="212"/>
      <c r="KPS197" s="212"/>
      <c r="KPT197" s="212"/>
      <c r="KPU197" s="212"/>
      <c r="KPV197" s="212"/>
      <c r="KPW197" s="212"/>
      <c r="KPX197" s="214"/>
      <c r="KPY197" s="211"/>
      <c r="KPZ197" s="212"/>
      <c r="KQA197" s="212"/>
      <c r="KQB197" s="212"/>
      <c r="KQC197" s="212"/>
      <c r="KQD197" s="212"/>
      <c r="KQE197" s="212"/>
      <c r="KQF197" s="212"/>
      <c r="KQG197" s="212"/>
      <c r="KQH197" s="212"/>
      <c r="KQI197" s="212"/>
      <c r="KQJ197" s="212"/>
      <c r="KQK197" s="212"/>
      <c r="KQL197" s="212"/>
      <c r="KQM197" s="212"/>
      <c r="KQN197" s="212"/>
      <c r="KQO197" s="212"/>
      <c r="KQP197" s="212"/>
      <c r="KQQ197" s="212"/>
      <c r="KQR197" s="212"/>
      <c r="KQS197" s="212"/>
      <c r="KQT197" s="212"/>
      <c r="KQU197" s="212"/>
      <c r="KQV197" s="212"/>
      <c r="KQW197" s="212"/>
      <c r="KQX197" s="212"/>
      <c r="KQY197" s="212"/>
      <c r="KQZ197" s="212"/>
      <c r="KRA197" s="212"/>
      <c r="KRB197" s="212"/>
      <c r="KRC197" s="212"/>
      <c r="KRD197" s="212"/>
      <c r="KRE197" s="212"/>
      <c r="KRF197" s="212"/>
      <c r="KRG197" s="212"/>
      <c r="KRH197" s="212"/>
      <c r="KRI197" s="212"/>
      <c r="KRJ197" s="212"/>
      <c r="KRK197" s="212"/>
      <c r="KRL197" s="212"/>
      <c r="KRM197" s="212"/>
      <c r="KRN197" s="212"/>
      <c r="KRO197" s="212"/>
      <c r="KRP197" s="214"/>
      <c r="KRQ197" s="211"/>
      <c r="KRR197" s="212"/>
      <c r="KRS197" s="212"/>
      <c r="KRT197" s="212"/>
      <c r="KRU197" s="212"/>
      <c r="KRV197" s="212"/>
      <c r="KRW197" s="212"/>
      <c r="KRX197" s="212"/>
      <c r="KRY197" s="212"/>
      <c r="KRZ197" s="212"/>
      <c r="KSA197" s="212"/>
      <c r="KSB197" s="212"/>
      <c r="KSC197" s="212"/>
      <c r="KSD197" s="212"/>
      <c r="KSE197" s="212"/>
      <c r="KSF197" s="212"/>
      <c r="KSG197" s="212"/>
      <c r="KSH197" s="212"/>
      <c r="KSI197" s="212"/>
      <c r="KSJ197" s="212"/>
      <c r="KSK197" s="212"/>
      <c r="KSL197" s="212"/>
      <c r="KSM197" s="212"/>
      <c r="KSN197" s="212"/>
      <c r="KSO197" s="212"/>
      <c r="KSP197" s="212"/>
      <c r="KSQ197" s="212"/>
      <c r="KSR197" s="212"/>
      <c r="KSS197" s="212"/>
      <c r="KST197" s="212"/>
      <c r="KSU197" s="212"/>
      <c r="KSV197" s="212"/>
      <c r="KSW197" s="212"/>
      <c r="KSX197" s="212"/>
      <c r="KSY197" s="212"/>
      <c r="KSZ197" s="212"/>
      <c r="KTA197" s="212"/>
      <c r="KTB197" s="212"/>
      <c r="KTC197" s="212"/>
      <c r="KTD197" s="212"/>
      <c r="KTE197" s="212"/>
      <c r="KTF197" s="212"/>
      <c r="KTG197" s="212"/>
      <c r="KTH197" s="214"/>
      <c r="KTI197" s="211"/>
      <c r="KTJ197" s="212"/>
      <c r="KTK197" s="212"/>
      <c r="KTL197" s="212"/>
      <c r="KTM197" s="212"/>
      <c r="KTN197" s="212"/>
      <c r="KTO197" s="212"/>
      <c r="KTP197" s="212"/>
      <c r="KTQ197" s="212"/>
      <c r="KTR197" s="212"/>
      <c r="KTS197" s="212"/>
      <c r="KTT197" s="212"/>
      <c r="KTU197" s="212"/>
      <c r="KTV197" s="212"/>
      <c r="KTW197" s="212"/>
      <c r="KTX197" s="212"/>
      <c r="KTY197" s="212"/>
      <c r="KTZ197" s="212"/>
      <c r="KUA197" s="212"/>
      <c r="KUB197" s="212"/>
      <c r="KUC197" s="212"/>
      <c r="KUD197" s="212"/>
      <c r="KUE197" s="212"/>
      <c r="KUF197" s="212"/>
      <c r="KUG197" s="212"/>
      <c r="KUH197" s="212"/>
      <c r="KUI197" s="212"/>
      <c r="KUJ197" s="212"/>
      <c r="KUK197" s="212"/>
      <c r="KUL197" s="212"/>
      <c r="KUM197" s="212"/>
      <c r="KUN197" s="212"/>
      <c r="KUO197" s="212"/>
      <c r="KUP197" s="212"/>
      <c r="KUQ197" s="212"/>
      <c r="KUR197" s="212"/>
      <c r="KUS197" s="212"/>
      <c r="KUT197" s="212"/>
      <c r="KUU197" s="212"/>
      <c r="KUV197" s="212"/>
      <c r="KUW197" s="212"/>
      <c r="KUX197" s="212"/>
      <c r="KUY197" s="212"/>
      <c r="KUZ197" s="214"/>
      <c r="KVA197" s="211"/>
      <c r="KVB197" s="212"/>
      <c r="KVC197" s="212"/>
      <c r="KVD197" s="212"/>
      <c r="KVE197" s="212"/>
      <c r="KVF197" s="212"/>
      <c r="KVG197" s="212"/>
      <c r="KVH197" s="212"/>
      <c r="KVI197" s="212"/>
      <c r="KVJ197" s="212"/>
      <c r="KVK197" s="212"/>
      <c r="KVL197" s="212"/>
      <c r="KVM197" s="212"/>
      <c r="KVN197" s="212"/>
      <c r="KVO197" s="212"/>
      <c r="KVP197" s="212"/>
      <c r="KVQ197" s="212"/>
      <c r="KVR197" s="212"/>
      <c r="KVS197" s="212"/>
      <c r="KVT197" s="212"/>
      <c r="KVU197" s="212"/>
      <c r="KVV197" s="212"/>
      <c r="KVW197" s="212"/>
      <c r="KVX197" s="212"/>
      <c r="KVY197" s="212"/>
      <c r="KVZ197" s="212"/>
      <c r="KWA197" s="212"/>
      <c r="KWB197" s="212"/>
      <c r="KWC197" s="212"/>
      <c r="KWD197" s="212"/>
      <c r="KWE197" s="212"/>
      <c r="KWF197" s="212"/>
      <c r="KWG197" s="212"/>
      <c r="KWH197" s="212"/>
      <c r="KWI197" s="212"/>
      <c r="KWJ197" s="212"/>
      <c r="KWK197" s="212"/>
      <c r="KWL197" s="212"/>
      <c r="KWM197" s="212"/>
      <c r="KWN197" s="212"/>
      <c r="KWO197" s="212"/>
      <c r="KWP197" s="212"/>
      <c r="KWQ197" s="212"/>
      <c r="KWR197" s="214"/>
      <c r="KWS197" s="211"/>
      <c r="KWT197" s="212"/>
      <c r="KWU197" s="212"/>
      <c r="KWV197" s="212"/>
      <c r="KWW197" s="212"/>
      <c r="KWX197" s="212"/>
      <c r="KWY197" s="212"/>
      <c r="KWZ197" s="212"/>
      <c r="KXA197" s="212"/>
      <c r="KXB197" s="212"/>
      <c r="KXC197" s="212"/>
      <c r="KXD197" s="212"/>
      <c r="KXE197" s="212"/>
      <c r="KXF197" s="212"/>
      <c r="KXG197" s="212"/>
      <c r="KXH197" s="212"/>
      <c r="KXI197" s="212"/>
      <c r="KXJ197" s="212"/>
      <c r="KXK197" s="212"/>
      <c r="KXL197" s="212"/>
      <c r="KXM197" s="212"/>
      <c r="KXN197" s="212"/>
      <c r="KXO197" s="212"/>
      <c r="KXP197" s="212"/>
      <c r="KXQ197" s="212"/>
      <c r="KXR197" s="212"/>
      <c r="KXS197" s="212"/>
      <c r="KXT197" s="212"/>
      <c r="KXU197" s="212"/>
      <c r="KXV197" s="212"/>
      <c r="KXW197" s="212"/>
      <c r="KXX197" s="212"/>
      <c r="KXY197" s="212"/>
      <c r="KXZ197" s="212"/>
      <c r="KYA197" s="212"/>
      <c r="KYB197" s="212"/>
      <c r="KYC197" s="212"/>
      <c r="KYD197" s="212"/>
      <c r="KYE197" s="212"/>
      <c r="KYF197" s="212"/>
      <c r="KYG197" s="212"/>
      <c r="KYH197" s="212"/>
      <c r="KYI197" s="212"/>
      <c r="KYJ197" s="214"/>
      <c r="KYK197" s="211"/>
      <c r="KYL197" s="212"/>
      <c r="KYM197" s="212"/>
      <c r="KYN197" s="212"/>
      <c r="KYO197" s="212"/>
      <c r="KYP197" s="212"/>
      <c r="KYQ197" s="212"/>
      <c r="KYR197" s="212"/>
      <c r="KYS197" s="212"/>
      <c r="KYT197" s="212"/>
      <c r="KYU197" s="212"/>
      <c r="KYV197" s="212"/>
      <c r="KYW197" s="212"/>
      <c r="KYX197" s="212"/>
      <c r="KYY197" s="212"/>
      <c r="KYZ197" s="212"/>
      <c r="KZA197" s="212"/>
      <c r="KZB197" s="212"/>
      <c r="KZC197" s="212"/>
      <c r="KZD197" s="212"/>
      <c r="KZE197" s="212"/>
      <c r="KZF197" s="212"/>
      <c r="KZG197" s="212"/>
      <c r="KZH197" s="212"/>
      <c r="KZI197" s="212"/>
      <c r="KZJ197" s="212"/>
      <c r="KZK197" s="212"/>
      <c r="KZL197" s="212"/>
      <c r="KZM197" s="212"/>
      <c r="KZN197" s="212"/>
      <c r="KZO197" s="212"/>
      <c r="KZP197" s="212"/>
      <c r="KZQ197" s="212"/>
      <c r="KZR197" s="212"/>
      <c r="KZS197" s="212"/>
      <c r="KZT197" s="212"/>
      <c r="KZU197" s="212"/>
      <c r="KZV197" s="212"/>
      <c r="KZW197" s="212"/>
      <c r="KZX197" s="212"/>
      <c r="KZY197" s="212"/>
      <c r="KZZ197" s="212"/>
      <c r="LAA197" s="212"/>
      <c r="LAB197" s="214"/>
      <c r="LAC197" s="211"/>
      <c r="LAD197" s="212"/>
      <c r="LAE197" s="212"/>
      <c r="LAF197" s="212"/>
      <c r="LAG197" s="212"/>
      <c r="LAH197" s="212"/>
      <c r="LAI197" s="212"/>
      <c r="LAJ197" s="212"/>
      <c r="LAK197" s="212"/>
      <c r="LAL197" s="212"/>
      <c r="LAM197" s="212"/>
      <c r="LAN197" s="212"/>
      <c r="LAO197" s="212"/>
      <c r="LAP197" s="212"/>
      <c r="LAQ197" s="212"/>
      <c r="LAR197" s="212"/>
      <c r="LAS197" s="212"/>
      <c r="LAT197" s="212"/>
      <c r="LAU197" s="212"/>
      <c r="LAV197" s="212"/>
      <c r="LAW197" s="212"/>
      <c r="LAX197" s="212"/>
      <c r="LAY197" s="212"/>
      <c r="LAZ197" s="212"/>
      <c r="LBA197" s="212"/>
      <c r="LBB197" s="212"/>
      <c r="LBC197" s="212"/>
      <c r="LBD197" s="212"/>
      <c r="LBE197" s="212"/>
      <c r="LBF197" s="212"/>
      <c r="LBG197" s="212"/>
      <c r="LBH197" s="212"/>
      <c r="LBI197" s="212"/>
      <c r="LBJ197" s="212"/>
      <c r="LBK197" s="212"/>
      <c r="LBL197" s="212"/>
      <c r="LBM197" s="212"/>
      <c r="LBN197" s="212"/>
      <c r="LBO197" s="212"/>
      <c r="LBP197" s="212"/>
      <c r="LBQ197" s="212"/>
      <c r="LBR197" s="212"/>
      <c r="LBS197" s="212"/>
      <c r="LBT197" s="214"/>
      <c r="LBU197" s="211"/>
      <c r="LBV197" s="212"/>
      <c r="LBW197" s="212"/>
      <c r="LBX197" s="212"/>
      <c r="LBY197" s="212"/>
      <c r="LBZ197" s="212"/>
      <c r="LCA197" s="212"/>
      <c r="LCB197" s="212"/>
      <c r="LCC197" s="212"/>
      <c r="LCD197" s="212"/>
      <c r="LCE197" s="212"/>
      <c r="LCF197" s="212"/>
      <c r="LCG197" s="212"/>
      <c r="LCH197" s="212"/>
      <c r="LCI197" s="212"/>
      <c r="LCJ197" s="212"/>
      <c r="LCK197" s="212"/>
      <c r="LCL197" s="212"/>
      <c r="LCM197" s="212"/>
      <c r="LCN197" s="212"/>
      <c r="LCO197" s="212"/>
      <c r="LCP197" s="212"/>
      <c r="LCQ197" s="212"/>
      <c r="LCR197" s="212"/>
      <c r="LCS197" s="212"/>
      <c r="LCT197" s="212"/>
      <c r="LCU197" s="212"/>
      <c r="LCV197" s="212"/>
      <c r="LCW197" s="212"/>
      <c r="LCX197" s="212"/>
      <c r="LCY197" s="212"/>
      <c r="LCZ197" s="212"/>
      <c r="LDA197" s="212"/>
      <c r="LDB197" s="212"/>
      <c r="LDC197" s="212"/>
      <c r="LDD197" s="212"/>
      <c r="LDE197" s="212"/>
      <c r="LDF197" s="212"/>
      <c r="LDG197" s="212"/>
      <c r="LDH197" s="212"/>
      <c r="LDI197" s="212"/>
      <c r="LDJ197" s="212"/>
      <c r="LDK197" s="212"/>
      <c r="LDL197" s="214"/>
      <c r="LDM197" s="211"/>
      <c r="LDN197" s="212"/>
      <c r="LDO197" s="212"/>
      <c r="LDP197" s="212"/>
      <c r="LDQ197" s="212"/>
      <c r="LDR197" s="212"/>
      <c r="LDS197" s="212"/>
      <c r="LDT197" s="212"/>
      <c r="LDU197" s="212"/>
      <c r="LDV197" s="212"/>
      <c r="LDW197" s="212"/>
      <c r="LDX197" s="212"/>
      <c r="LDY197" s="212"/>
      <c r="LDZ197" s="212"/>
      <c r="LEA197" s="212"/>
      <c r="LEB197" s="212"/>
      <c r="LEC197" s="212"/>
      <c r="LED197" s="212"/>
      <c r="LEE197" s="212"/>
      <c r="LEF197" s="212"/>
      <c r="LEG197" s="212"/>
      <c r="LEH197" s="212"/>
      <c r="LEI197" s="212"/>
      <c r="LEJ197" s="212"/>
      <c r="LEK197" s="212"/>
      <c r="LEL197" s="212"/>
      <c r="LEM197" s="212"/>
      <c r="LEN197" s="212"/>
      <c r="LEO197" s="212"/>
      <c r="LEP197" s="212"/>
      <c r="LEQ197" s="212"/>
      <c r="LER197" s="212"/>
      <c r="LES197" s="212"/>
      <c r="LET197" s="212"/>
      <c r="LEU197" s="212"/>
      <c r="LEV197" s="212"/>
      <c r="LEW197" s="212"/>
      <c r="LEX197" s="212"/>
      <c r="LEY197" s="212"/>
      <c r="LEZ197" s="212"/>
      <c r="LFA197" s="212"/>
      <c r="LFB197" s="212"/>
      <c r="LFC197" s="212"/>
      <c r="LFD197" s="214"/>
      <c r="LFE197" s="211"/>
      <c r="LFF197" s="212"/>
      <c r="LFG197" s="212"/>
      <c r="LFH197" s="212"/>
      <c r="LFI197" s="212"/>
      <c r="LFJ197" s="212"/>
      <c r="LFK197" s="212"/>
      <c r="LFL197" s="212"/>
      <c r="LFM197" s="212"/>
      <c r="LFN197" s="212"/>
      <c r="LFO197" s="212"/>
      <c r="LFP197" s="212"/>
      <c r="LFQ197" s="212"/>
      <c r="LFR197" s="212"/>
      <c r="LFS197" s="212"/>
      <c r="LFT197" s="212"/>
      <c r="LFU197" s="212"/>
      <c r="LFV197" s="212"/>
      <c r="LFW197" s="212"/>
      <c r="LFX197" s="212"/>
      <c r="LFY197" s="212"/>
      <c r="LFZ197" s="212"/>
      <c r="LGA197" s="212"/>
      <c r="LGB197" s="212"/>
      <c r="LGC197" s="212"/>
      <c r="LGD197" s="212"/>
      <c r="LGE197" s="212"/>
      <c r="LGF197" s="212"/>
      <c r="LGG197" s="212"/>
      <c r="LGH197" s="212"/>
      <c r="LGI197" s="212"/>
      <c r="LGJ197" s="212"/>
      <c r="LGK197" s="212"/>
      <c r="LGL197" s="212"/>
      <c r="LGM197" s="212"/>
      <c r="LGN197" s="212"/>
      <c r="LGO197" s="212"/>
      <c r="LGP197" s="212"/>
      <c r="LGQ197" s="212"/>
      <c r="LGR197" s="212"/>
      <c r="LGS197" s="212"/>
      <c r="LGT197" s="212"/>
      <c r="LGU197" s="212"/>
      <c r="LGV197" s="214"/>
      <c r="LGW197" s="211"/>
      <c r="LGX197" s="212"/>
      <c r="LGY197" s="212"/>
      <c r="LGZ197" s="212"/>
      <c r="LHA197" s="212"/>
      <c r="LHB197" s="212"/>
      <c r="LHC197" s="212"/>
      <c r="LHD197" s="212"/>
      <c r="LHE197" s="212"/>
      <c r="LHF197" s="212"/>
      <c r="LHG197" s="212"/>
      <c r="LHH197" s="212"/>
      <c r="LHI197" s="212"/>
      <c r="LHJ197" s="212"/>
      <c r="LHK197" s="212"/>
      <c r="LHL197" s="212"/>
      <c r="LHM197" s="212"/>
      <c r="LHN197" s="212"/>
      <c r="LHO197" s="212"/>
      <c r="LHP197" s="212"/>
      <c r="LHQ197" s="212"/>
      <c r="LHR197" s="212"/>
      <c r="LHS197" s="212"/>
      <c r="LHT197" s="212"/>
      <c r="LHU197" s="212"/>
      <c r="LHV197" s="212"/>
      <c r="LHW197" s="212"/>
      <c r="LHX197" s="212"/>
      <c r="LHY197" s="212"/>
      <c r="LHZ197" s="212"/>
      <c r="LIA197" s="212"/>
      <c r="LIB197" s="212"/>
      <c r="LIC197" s="212"/>
      <c r="LID197" s="212"/>
      <c r="LIE197" s="212"/>
      <c r="LIF197" s="212"/>
      <c r="LIG197" s="212"/>
      <c r="LIH197" s="212"/>
      <c r="LII197" s="212"/>
      <c r="LIJ197" s="212"/>
      <c r="LIK197" s="212"/>
      <c r="LIL197" s="212"/>
      <c r="LIM197" s="212"/>
      <c r="LIN197" s="214"/>
      <c r="LIO197" s="211"/>
      <c r="LIP197" s="212"/>
      <c r="LIQ197" s="212"/>
      <c r="LIR197" s="212"/>
      <c r="LIS197" s="212"/>
      <c r="LIT197" s="212"/>
      <c r="LIU197" s="212"/>
      <c r="LIV197" s="212"/>
      <c r="LIW197" s="212"/>
      <c r="LIX197" s="212"/>
      <c r="LIY197" s="212"/>
      <c r="LIZ197" s="212"/>
      <c r="LJA197" s="212"/>
      <c r="LJB197" s="212"/>
      <c r="LJC197" s="212"/>
      <c r="LJD197" s="212"/>
      <c r="LJE197" s="212"/>
      <c r="LJF197" s="212"/>
      <c r="LJG197" s="212"/>
      <c r="LJH197" s="212"/>
      <c r="LJI197" s="212"/>
      <c r="LJJ197" s="212"/>
      <c r="LJK197" s="212"/>
      <c r="LJL197" s="212"/>
      <c r="LJM197" s="212"/>
      <c r="LJN197" s="212"/>
      <c r="LJO197" s="212"/>
      <c r="LJP197" s="212"/>
      <c r="LJQ197" s="212"/>
      <c r="LJR197" s="212"/>
      <c r="LJS197" s="212"/>
      <c r="LJT197" s="212"/>
      <c r="LJU197" s="212"/>
      <c r="LJV197" s="212"/>
      <c r="LJW197" s="212"/>
      <c r="LJX197" s="212"/>
      <c r="LJY197" s="212"/>
      <c r="LJZ197" s="212"/>
      <c r="LKA197" s="212"/>
      <c r="LKB197" s="212"/>
      <c r="LKC197" s="212"/>
      <c r="LKD197" s="212"/>
      <c r="LKE197" s="212"/>
      <c r="LKF197" s="214"/>
      <c r="LKG197" s="211"/>
      <c r="LKH197" s="212"/>
      <c r="LKI197" s="212"/>
      <c r="LKJ197" s="212"/>
      <c r="LKK197" s="212"/>
      <c r="LKL197" s="212"/>
      <c r="LKM197" s="212"/>
      <c r="LKN197" s="212"/>
      <c r="LKO197" s="212"/>
      <c r="LKP197" s="212"/>
      <c r="LKQ197" s="212"/>
      <c r="LKR197" s="212"/>
      <c r="LKS197" s="212"/>
      <c r="LKT197" s="212"/>
      <c r="LKU197" s="212"/>
      <c r="LKV197" s="212"/>
      <c r="LKW197" s="212"/>
      <c r="LKX197" s="212"/>
      <c r="LKY197" s="212"/>
      <c r="LKZ197" s="212"/>
      <c r="LLA197" s="212"/>
      <c r="LLB197" s="212"/>
      <c r="LLC197" s="212"/>
      <c r="LLD197" s="212"/>
      <c r="LLE197" s="212"/>
      <c r="LLF197" s="212"/>
      <c r="LLG197" s="212"/>
      <c r="LLH197" s="212"/>
      <c r="LLI197" s="212"/>
      <c r="LLJ197" s="212"/>
      <c r="LLK197" s="212"/>
      <c r="LLL197" s="212"/>
      <c r="LLM197" s="212"/>
      <c r="LLN197" s="212"/>
      <c r="LLO197" s="212"/>
      <c r="LLP197" s="212"/>
      <c r="LLQ197" s="212"/>
      <c r="LLR197" s="212"/>
      <c r="LLS197" s="212"/>
      <c r="LLT197" s="212"/>
      <c r="LLU197" s="212"/>
      <c r="LLV197" s="212"/>
      <c r="LLW197" s="212"/>
      <c r="LLX197" s="214"/>
      <c r="LLY197" s="211"/>
      <c r="LLZ197" s="212"/>
      <c r="LMA197" s="212"/>
      <c r="LMB197" s="212"/>
      <c r="LMC197" s="212"/>
      <c r="LMD197" s="212"/>
      <c r="LME197" s="212"/>
      <c r="LMF197" s="212"/>
      <c r="LMG197" s="212"/>
      <c r="LMH197" s="212"/>
      <c r="LMI197" s="212"/>
      <c r="LMJ197" s="212"/>
      <c r="LMK197" s="212"/>
      <c r="LML197" s="212"/>
      <c r="LMM197" s="212"/>
      <c r="LMN197" s="212"/>
      <c r="LMO197" s="212"/>
      <c r="LMP197" s="212"/>
      <c r="LMQ197" s="212"/>
      <c r="LMR197" s="212"/>
      <c r="LMS197" s="212"/>
      <c r="LMT197" s="212"/>
      <c r="LMU197" s="212"/>
      <c r="LMV197" s="212"/>
      <c r="LMW197" s="212"/>
      <c r="LMX197" s="212"/>
      <c r="LMY197" s="212"/>
      <c r="LMZ197" s="212"/>
      <c r="LNA197" s="212"/>
      <c r="LNB197" s="212"/>
      <c r="LNC197" s="212"/>
      <c r="LND197" s="212"/>
      <c r="LNE197" s="212"/>
      <c r="LNF197" s="212"/>
      <c r="LNG197" s="212"/>
      <c r="LNH197" s="212"/>
      <c r="LNI197" s="212"/>
      <c r="LNJ197" s="212"/>
      <c r="LNK197" s="212"/>
      <c r="LNL197" s="212"/>
      <c r="LNM197" s="212"/>
      <c r="LNN197" s="212"/>
      <c r="LNO197" s="212"/>
      <c r="LNP197" s="214"/>
      <c r="LNQ197" s="211"/>
      <c r="LNR197" s="212"/>
      <c r="LNS197" s="212"/>
      <c r="LNT197" s="212"/>
      <c r="LNU197" s="212"/>
      <c r="LNV197" s="212"/>
      <c r="LNW197" s="212"/>
      <c r="LNX197" s="212"/>
      <c r="LNY197" s="212"/>
      <c r="LNZ197" s="212"/>
      <c r="LOA197" s="212"/>
      <c r="LOB197" s="212"/>
      <c r="LOC197" s="212"/>
      <c r="LOD197" s="212"/>
      <c r="LOE197" s="212"/>
      <c r="LOF197" s="212"/>
      <c r="LOG197" s="212"/>
      <c r="LOH197" s="212"/>
      <c r="LOI197" s="212"/>
      <c r="LOJ197" s="212"/>
      <c r="LOK197" s="212"/>
      <c r="LOL197" s="212"/>
      <c r="LOM197" s="212"/>
      <c r="LON197" s="212"/>
      <c r="LOO197" s="212"/>
      <c r="LOP197" s="212"/>
      <c r="LOQ197" s="212"/>
      <c r="LOR197" s="212"/>
      <c r="LOS197" s="212"/>
      <c r="LOT197" s="212"/>
      <c r="LOU197" s="212"/>
      <c r="LOV197" s="212"/>
      <c r="LOW197" s="212"/>
      <c r="LOX197" s="212"/>
      <c r="LOY197" s="212"/>
      <c r="LOZ197" s="212"/>
      <c r="LPA197" s="212"/>
      <c r="LPB197" s="212"/>
      <c r="LPC197" s="212"/>
      <c r="LPD197" s="212"/>
      <c r="LPE197" s="212"/>
      <c r="LPF197" s="212"/>
      <c r="LPG197" s="212"/>
      <c r="LPH197" s="214"/>
      <c r="LPI197" s="211"/>
      <c r="LPJ197" s="212"/>
      <c r="LPK197" s="212"/>
      <c r="LPL197" s="212"/>
      <c r="LPM197" s="212"/>
      <c r="LPN197" s="212"/>
      <c r="LPO197" s="212"/>
      <c r="LPP197" s="212"/>
      <c r="LPQ197" s="212"/>
      <c r="LPR197" s="212"/>
      <c r="LPS197" s="212"/>
      <c r="LPT197" s="212"/>
      <c r="LPU197" s="212"/>
      <c r="LPV197" s="212"/>
      <c r="LPW197" s="212"/>
      <c r="LPX197" s="212"/>
      <c r="LPY197" s="212"/>
      <c r="LPZ197" s="212"/>
      <c r="LQA197" s="212"/>
      <c r="LQB197" s="212"/>
      <c r="LQC197" s="212"/>
      <c r="LQD197" s="212"/>
      <c r="LQE197" s="212"/>
      <c r="LQF197" s="212"/>
      <c r="LQG197" s="212"/>
      <c r="LQH197" s="212"/>
      <c r="LQI197" s="212"/>
      <c r="LQJ197" s="212"/>
      <c r="LQK197" s="212"/>
      <c r="LQL197" s="212"/>
      <c r="LQM197" s="212"/>
      <c r="LQN197" s="212"/>
      <c r="LQO197" s="212"/>
      <c r="LQP197" s="212"/>
      <c r="LQQ197" s="212"/>
      <c r="LQR197" s="212"/>
      <c r="LQS197" s="212"/>
      <c r="LQT197" s="212"/>
      <c r="LQU197" s="212"/>
      <c r="LQV197" s="212"/>
      <c r="LQW197" s="212"/>
      <c r="LQX197" s="212"/>
      <c r="LQY197" s="212"/>
      <c r="LQZ197" s="214"/>
      <c r="LRA197" s="211"/>
      <c r="LRB197" s="212"/>
      <c r="LRC197" s="212"/>
      <c r="LRD197" s="212"/>
      <c r="LRE197" s="212"/>
      <c r="LRF197" s="212"/>
      <c r="LRG197" s="212"/>
      <c r="LRH197" s="212"/>
      <c r="LRI197" s="212"/>
      <c r="LRJ197" s="212"/>
      <c r="LRK197" s="212"/>
      <c r="LRL197" s="212"/>
      <c r="LRM197" s="212"/>
      <c r="LRN197" s="212"/>
      <c r="LRO197" s="212"/>
      <c r="LRP197" s="212"/>
      <c r="LRQ197" s="212"/>
      <c r="LRR197" s="212"/>
      <c r="LRS197" s="212"/>
      <c r="LRT197" s="212"/>
      <c r="LRU197" s="212"/>
      <c r="LRV197" s="212"/>
      <c r="LRW197" s="212"/>
      <c r="LRX197" s="212"/>
      <c r="LRY197" s="212"/>
      <c r="LRZ197" s="212"/>
      <c r="LSA197" s="212"/>
      <c r="LSB197" s="212"/>
      <c r="LSC197" s="212"/>
      <c r="LSD197" s="212"/>
      <c r="LSE197" s="212"/>
      <c r="LSF197" s="212"/>
      <c r="LSG197" s="212"/>
      <c r="LSH197" s="212"/>
      <c r="LSI197" s="212"/>
      <c r="LSJ197" s="212"/>
      <c r="LSK197" s="212"/>
      <c r="LSL197" s="212"/>
      <c r="LSM197" s="212"/>
      <c r="LSN197" s="212"/>
      <c r="LSO197" s="212"/>
      <c r="LSP197" s="212"/>
      <c r="LSQ197" s="212"/>
      <c r="LSR197" s="214"/>
      <c r="LSS197" s="211"/>
      <c r="LST197" s="212"/>
      <c r="LSU197" s="212"/>
      <c r="LSV197" s="212"/>
      <c r="LSW197" s="212"/>
      <c r="LSX197" s="212"/>
      <c r="LSY197" s="212"/>
      <c r="LSZ197" s="212"/>
      <c r="LTA197" s="212"/>
      <c r="LTB197" s="212"/>
      <c r="LTC197" s="212"/>
      <c r="LTD197" s="212"/>
      <c r="LTE197" s="212"/>
      <c r="LTF197" s="212"/>
      <c r="LTG197" s="212"/>
      <c r="LTH197" s="212"/>
      <c r="LTI197" s="212"/>
      <c r="LTJ197" s="212"/>
      <c r="LTK197" s="212"/>
      <c r="LTL197" s="212"/>
      <c r="LTM197" s="212"/>
      <c r="LTN197" s="212"/>
      <c r="LTO197" s="212"/>
      <c r="LTP197" s="212"/>
      <c r="LTQ197" s="212"/>
      <c r="LTR197" s="212"/>
      <c r="LTS197" s="212"/>
      <c r="LTT197" s="212"/>
      <c r="LTU197" s="212"/>
      <c r="LTV197" s="212"/>
      <c r="LTW197" s="212"/>
      <c r="LTX197" s="212"/>
      <c r="LTY197" s="212"/>
      <c r="LTZ197" s="212"/>
      <c r="LUA197" s="212"/>
      <c r="LUB197" s="212"/>
      <c r="LUC197" s="212"/>
      <c r="LUD197" s="212"/>
      <c r="LUE197" s="212"/>
      <c r="LUF197" s="212"/>
      <c r="LUG197" s="212"/>
      <c r="LUH197" s="212"/>
      <c r="LUI197" s="212"/>
      <c r="LUJ197" s="214"/>
      <c r="LUK197" s="211"/>
      <c r="LUL197" s="212"/>
      <c r="LUM197" s="212"/>
      <c r="LUN197" s="212"/>
      <c r="LUO197" s="212"/>
      <c r="LUP197" s="212"/>
      <c r="LUQ197" s="212"/>
      <c r="LUR197" s="212"/>
      <c r="LUS197" s="212"/>
      <c r="LUT197" s="212"/>
      <c r="LUU197" s="212"/>
      <c r="LUV197" s="212"/>
      <c r="LUW197" s="212"/>
      <c r="LUX197" s="212"/>
      <c r="LUY197" s="212"/>
      <c r="LUZ197" s="212"/>
      <c r="LVA197" s="212"/>
      <c r="LVB197" s="212"/>
      <c r="LVC197" s="212"/>
      <c r="LVD197" s="212"/>
      <c r="LVE197" s="212"/>
      <c r="LVF197" s="212"/>
      <c r="LVG197" s="212"/>
      <c r="LVH197" s="212"/>
      <c r="LVI197" s="212"/>
      <c r="LVJ197" s="212"/>
      <c r="LVK197" s="212"/>
      <c r="LVL197" s="212"/>
      <c r="LVM197" s="212"/>
      <c r="LVN197" s="212"/>
      <c r="LVO197" s="212"/>
      <c r="LVP197" s="212"/>
      <c r="LVQ197" s="212"/>
      <c r="LVR197" s="212"/>
      <c r="LVS197" s="212"/>
      <c r="LVT197" s="212"/>
      <c r="LVU197" s="212"/>
      <c r="LVV197" s="212"/>
      <c r="LVW197" s="212"/>
      <c r="LVX197" s="212"/>
      <c r="LVY197" s="212"/>
      <c r="LVZ197" s="212"/>
      <c r="LWA197" s="212"/>
      <c r="LWB197" s="214"/>
      <c r="LWC197" s="211"/>
      <c r="LWD197" s="212"/>
      <c r="LWE197" s="212"/>
      <c r="LWF197" s="212"/>
      <c r="LWG197" s="212"/>
      <c r="LWH197" s="212"/>
      <c r="LWI197" s="212"/>
      <c r="LWJ197" s="212"/>
      <c r="LWK197" s="212"/>
      <c r="LWL197" s="212"/>
      <c r="LWM197" s="212"/>
      <c r="LWN197" s="212"/>
      <c r="LWO197" s="212"/>
      <c r="LWP197" s="212"/>
      <c r="LWQ197" s="212"/>
      <c r="LWR197" s="212"/>
      <c r="LWS197" s="212"/>
      <c r="LWT197" s="212"/>
      <c r="LWU197" s="212"/>
      <c r="LWV197" s="212"/>
      <c r="LWW197" s="212"/>
      <c r="LWX197" s="212"/>
      <c r="LWY197" s="212"/>
      <c r="LWZ197" s="212"/>
      <c r="LXA197" s="212"/>
      <c r="LXB197" s="212"/>
      <c r="LXC197" s="212"/>
      <c r="LXD197" s="212"/>
      <c r="LXE197" s="212"/>
      <c r="LXF197" s="212"/>
      <c r="LXG197" s="212"/>
      <c r="LXH197" s="212"/>
      <c r="LXI197" s="212"/>
      <c r="LXJ197" s="212"/>
      <c r="LXK197" s="212"/>
      <c r="LXL197" s="212"/>
      <c r="LXM197" s="212"/>
      <c r="LXN197" s="212"/>
      <c r="LXO197" s="212"/>
      <c r="LXP197" s="212"/>
      <c r="LXQ197" s="212"/>
      <c r="LXR197" s="212"/>
      <c r="LXS197" s="212"/>
      <c r="LXT197" s="214"/>
      <c r="LXU197" s="211"/>
      <c r="LXV197" s="212"/>
      <c r="LXW197" s="212"/>
      <c r="LXX197" s="212"/>
      <c r="LXY197" s="212"/>
      <c r="LXZ197" s="212"/>
      <c r="LYA197" s="212"/>
      <c r="LYB197" s="212"/>
      <c r="LYC197" s="212"/>
      <c r="LYD197" s="212"/>
      <c r="LYE197" s="212"/>
      <c r="LYF197" s="212"/>
      <c r="LYG197" s="212"/>
      <c r="LYH197" s="212"/>
      <c r="LYI197" s="212"/>
      <c r="LYJ197" s="212"/>
      <c r="LYK197" s="212"/>
      <c r="LYL197" s="212"/>
      <c r="LYM197" s="212"/>
      <c r="LYN197" s="212"/>
      <c r="LYO197" s="212"/>
      <c r="LYP197" s="212"/>
      <c r="LYQ197" s="212"/>
      <c r="LYR197" s="212"/>
      <c r="LYS197" s="212"/>
      <c r="LYT197" s="212"/>
      <c r="LYU197" s="212"/>
      <c r="LYV197" s="212"/>
      <c r="LYW197" s="212"/>
      <c r="LYX197" s="212"/>
      <c r="LYY197" s="212"/>
      <c r="LYZ197" s="212"/>
      <c r="LZA197" s="212"/>
      <c r="LZB197" s="212"/>
      <c r="LZC197" s="212"/>
      <c r="LZD197" s="212"/>
      <c r="LZE197" s="212"/>
      <c r="LZF197" s="212"/>
      <c r="LZG197" s="212"/>
      <c r="LZH197" s="212"/>
      <c r="LZI197" s="212"/>
      <c r="LZJ197" s="212"/>
      <c r="LZK197" s="212"/>
      <c r="LZL197" s="214"/>
      <c r="LZM197" s="211"/>
      <c r="LZN197" s="212"/>
      <c r="LZO197" s="212"/>
      <c r="LZP197" s="212"/>
      <c r="LZQ197" s="212"/>
      <c r="LZR197" s="212"/>
      <c r="LZS197" s="212"/>
      <c r="LZT197" s="212"/>
      <c r="LZU197" s="212"/>
      <c r="LZV197" s="212"/>
      <c r="LZW197" s="212"/>
      <c r="LZX197" s="212"/>
      <c r="LZY197" s="212"/>
      <c r="LZZ197" s="212"/>
      <c r="MAA197" s="212"/>
      <c r="MAB197" s="212"/>
      <c r="MAC197" s="212"/>
      <c r="MAD197" s="212"/>
      <c r="MAE197" s="212"/>
      <c r="MAF197" s="212"/>
      <c r="MAG197" s="212"/>
      <c r="MAH197" s="212"/>
      <c r="MAI197" s="212"/>
      <c r="MAJ197" s="212"/>
      <c r="MAK197" s="212"/>
      <c r="MAL197" s="212"/>
      <c r="MAM197" s="212"/>
      <c r="MAN197" s="212"/>
      <c r="MAO197" s="212"/>
      <c r="MAP197" s="212"/>
      <c r="MAQ197" s="212"/>
      <c r="MAR197" s="212"/>
      <c r="MAS197" s="212"/>
      <c r="MAT197" s="212"/>
      <c r="MAU197" s="212"/>
      <c r="MAV197" s="212"/>
      <c r="MAW197" s="212"/>
      <c r="MAX197" s="212"/>
      <c r="MAY197" s="212"/>
      <c r="MAZ197" s="212"/>
      <c r="MBA197" s="212"/>
      <c r="MBB197" s="212"/>
      <c r="MBC197" s="212"/>
      <c r="MBD197" s="214"/>
      <c r="MBE197" s="211"/>
      <c r="MBF197" s="212"/>
      <c r="MBG197" s="212"/>
      <c r="MBH197" s="212"/>
      <c r="MBI197" s="212"/>
      <c r="MBJ197" s="212"/>
      <c r="MBK197" s="212"/>
      <c r="MBL197" s="212"/>
      <c r="MBM197" s="212"/>
      <c r="MBN197" s="212"/>
      <c r="MBO197" s="212"/>
      <c r="MBP197" s="212"/>
      <c r="MBQ197" s="212"/>
      <c r="MBR197" s="212"/>
      <c r="MBS197" s="212"/>
      <c r="MBT197" s="212"/>
      <c r="MBU197" s="212"/>
      <c r="MBV197" s="212"/>
      <c r="MBW197" s="212"/>
      <c r="MBX197" s="212"/>
      <c r="MBY197" s="212"/>
      <c r="MBZ197" s="212"/>
      <c r="MCA197" s="212"/>
      <c r="MCB197" s="212"/>
      <c r="MCC197" s="212"/>
      <c r="MCD197" s="212"/>
      <c r="MCE197" s="212"/>
      <c r="MCF197" s="212"/>
      <c r="MCG197" s="212"/>
      <c r="MCH197" s="212"/>
      <c r="MCI197" s="212"/>
      <c r="MCJ197" s="212"/>
      <c r="MCK197" s="212"/>
      <c r="MCL197" s="212"/>
      <c r="MCM197" s="212"/>
      <c r="MCN197" s="212"/>
      <c r="MCO197" s="212"/>
      <c r="MCP197" s="212"/>
      <c r="MCQ197" s="212"/>
      <c r="MCR197" s="212"/>
      <c r="MCS197" s="212"/>
      <c r="MCT197" s="212"/>
      <c r="MCU197" s="212"/>
      <c r="MCV197" s="214"/>
      <c r="MCW197" s="211"/>
      <c r="MCX197" s="212"/>
      <c r="MCY197" s="212"/>
      <c r="MCZ197" s="212"/>
      <c r="MDA197" s="212"/>
      <c r="MDB197" s="212"/>
      <c r="MDC197" s="212"/>
      <c r="MDD197" s="212"/>
      <c r="MDE197" s="212"/>
      <c r="MDF197" s="212"/>
      <c r="MDG197" s="212"/>
      <c r="MDH197" s="212"/>
      <c r="MDI197" s="212"/>
      <c r="MDJ197" s="212"/>
      <c r="MDK197" s="212"/>
      <c r="MDL197" s="212"/>
      <c r="MDM197" s="212"/>
      <c r="MDN197" s="212"/>
      <c r="MDO197" s="212"/>
      <c r="MDP197" s="212"/>
      <c r="MDQ197" s="212"/>
      <c r="MDR197" s="212"/>
      <c r="MDS197" s="212"/>
      <c r="MDT197" s="212"/>
      <c r="MDU197" s="212"/>
      <c r="MDV197" s="212"/>
      <c r="MDW197" s="212"/>
      <c r="MDX197" s="212"/>
      <c r="MDY197" s="212"/>
      <c r="MDZ197" s="212"/>
      <c r="MEA197" s="212"/>
      <c r="MEB197" s="212"/>
      <c r="MEC197" s="212"/>
      <c r="MED197" s="212"/>
      <c r="MEE197" s="212"/>
      <c r="MEF197" s="212"/>
      <c r="MEG197" s="212"/>
      <c r="MEH197" s="212"/>
      <c r="MEI197" s="212"/>
      <c r="MEJ197" s="212"/>
      <c r="MEK197" s="212"/>
      <c r="MEL197" s="212"/>
      <c r="MEM197" s="212"/>
      <c r="MEN197" s="214"/>
      <c r="MEO197" s="211"/>
      <c r="MEP197" s="212"/>
      <c r="MEQ197" s="212"/>
      <c r="MER197" s="212"/>
      <c r="MES197" s="212"/>
      <c r="MET197" s="212"/>
      <c r="MEU197" s="212"/>
      <c r="MEV197" s="212"/>
      <c r="MEW197" s="212"/>
      <c r="MEX197" s="212"/>
      <c r="MEY197" s="212"/>
      <c r="MEZ197" s="212"/>
      <c r="MFA197" s="212"/>
      <c r="MFB197" s="212"/>
      <c r="MFC197" s="212"/>
      <c r="MFD197" s="212"/>
      <c r="MFE197" s="212"/>
      <c r="MFF197" s="212"/>
      <c r="MFG197" s="212"/>
      <c r="MFH197" s="212"/>
      <c r="MFI197" s="212"/>
      <c r="MFJ197" s="212"/>
      <c r="MFK197" s="212"/>
      <c r="MFL197" s="212"/>
      <c r="MFM197" s="212"/>
      <c r="MFN197" s="212"/>
      <c r="MFO197" s="212"/>
      <c r="MFP197" s="212"/>
      <c r="MFQ197" s="212"/>
      <c r="MFR197" s="212"/>
      <c r="MFS197" s="212"/>
      <c r="MFT197" s="212"/>
      <c r="MFU197" s="212"/>
      <c r="MFV197" s="212"/>
      <c r="MFW197" s="212"/>
      <c r="MFX197" s="212"/>
      <c r="MFY197" s="212"/>
      <c r="MFZ197" s="212"/>
      <c r="MGA197" s="212"/>
      <c r="MGB197" s="212"/>
      <c r="MGC197" s="212"/>
      <c r="MGD197" s="212"/>
      <c r="MGE197" s="212"/>
      <c r="MGF197" s="214"/>
      <c r="MGG197" s="211"/>
      <c r="MGH197" s="212"/>
      <c r="MGI197" s="212"/>
      <c r="MGJ197" s="212"/>
      <c r="MGK197" s="212"/>
      <c r="MGL197" s="212"/>
      <c r="MGM197" s="212"/>
      <c r="MGN197" s="212"/>
      <c r="MGO197" s="212"/>
      <c r="MGP197" s="212"/>
      <c r="MGQ197" s="212"/>
      <c r="MGR197" s="212"/>
      <c r="MGS197" s="212"/>
      <c r="MGT197" s="212"/>
      <c r="MGU197" s="212"/>
      <c r="MGV197" s="212"/>
      <c r="MGW197" s="212"/>
      <c r="MGX197" s="212"/>
      <c r="MGY197" s="212"/>
      <c r="MGZ197" s="212"/>
      <c r="MHA197" s="212"/>
      <c r="MHB197" s="212"/>
      <c r="MHC197" s="212"/>
      <c r="MHD197" s="212"/>
      <c r="MHE197" s="212"/>
      <c r="MHF197" s="212"/>
      <c r="MHG197" s="212"/>
      <c r="MHH197" s="212"/>
      <c r="MHI197" s="212"/>
      <c r="MHJ197" s="212"/>
      <c r="MHK197" s="212"/>
      <c r="MHL197" s="212"/>
      <c r="MHM197" s="212"/>
      <c r="MHN197" s="212"/>
      <c r="MHO197" s="212"/>
      <c r="MHP197" s="212"/>
      <c r="MHQ197" s="212"/>
      <c r="MHR197" s="212"/>
      <c r="MHS197" s="212"/>
      <c r="MHT197" s="212"/>
      <c r="MHU197" s="212"/>
      <c r="MHV197" s="212"/>
      <c r="MHW197" s="212"/>
      <c r="MHX197" s="214"/>
      <c r="MHY197" s="211"/>
      <c r="MHZ197" s="212"/>
      <c r="MIA197" s="212"/>
      <c r="MIB197" s="212"/>
      <c r="MIC197" s="212"/>
      <c r="MID197" s="212"/>
      <c r="MIE197" s="212"/>
      <c r="MIF197" s="212"/>
      <c r="MIG197" s="212"/>
      <c r="MIH197" s="212"/>
      <c r="MII197" s="212"/>
      <c r="MIJ197" s="212"/>
      <c r="MIK197" s="212"/>
      <c r="MIL197" s="212"/>
      <c r="MIM197" s="212"/>
      <c r="MIN197" s="212"/>
      <c r="MIO197" s="212"/>
      <c r="MIP197" s="212"/>
      <c r="MIQ197" s="212"/>
      <c r="MIR197" s="212"/>
      <c r="MIS197" s="212"/>
      <c r="MIT197" s="212"/>
      <c r="MIU197" s="212"/>
      <c r="MIV197" s="212"/>
      <c r="MIW197" s="212"/>
      <c r="MIX197" s="212"/>
      <c r="MIY197" s="212"/>
      <c r="MIZ197" s="212"/>
      <c r="MJA197" s="212"/>
      <c r="MJB197" s="212"/>
      <c r="MJC197" s="212"/>
      <c r="MJD197" s="212"/>
      <c r="MJE197" s="212"/>
      <c r="MJF197" s="212"/>
      <c r="MJG197" s="212"/>
      <c r="MJH197" s="212"/>
      <c r="MJI197" s="212"/>
      <c r="MJJ197" s="212"/>
      <c r="MJK197" s="212"/>
      <c r="MJL197" s="212"/>
      <c r="MJM197" s="212"/>
      <c r="MJN197" s="212"/>
      <c r="MJO197" s="212"/>
      <c r="MJP197" s="214"/>
      <c r="MJQ197" s="211"/>
      <c r="MJR197" s="212"/>
      <c r="MJS197" s="212"/>
      <c r="MJT197" s="212"/>
      <c r="MJU197" s="212"/>
      <c r="MJV197" s="212"/>
      <c r="MJW197" s="212"/>
      <c r="MJX197" s="212"/>
      <c r="MJY197" s="212"/>
      <c r="MJZ197" s="212"/>
      <c r="MKA197" s="212"/>
      <c r="MKB197" s="212"/>
      <c r="MKC197" s="212"/>
      <c r="MKD197" s="212"/>
      <c r="MKE197" s="212"/>
      <c r="MKF197" s="212"/>
      <c r="MKG197" s="212"/>
      <c r="MKH197" s="212"/>
      <c r="MKI197" s="212"/>
      <c r="MKJ197" s="212"/>
      <c r="MKK197" s="212"/>
      <c r="MKL197" s="212"/>
      <c r="MKM197" s="212"/>
      <c r="MKN197" s="212"/>
      <c r="MKO197" s="212"/>
      <c r="MKP197" s="212"/>
      <c r="MKQ197" s="212"/>
      <c r="MKR197" s="212"/>
      <c r="MKS197" s="212"/>
      <c r="MKT197" s="212"/>
      <c r="MKU197" s="212"/>
      <c r="MKV197" s="212"/>
      <c r="MKW197" s="212"/>
      <c r="MKX197" s="212"/>
      <c r="MKY197" s="212"/>
      <c r="MKZ197" s="212"/>
      <c r="MLA197" s="212"/>
      <c r="MLB197" s="212"/>
      <c r="MLC197" s="212"/>
      <c r="MLD197" s="212"/>
      <c r="MLE197" s="212"/>
      <c r="MLF197" s="212"/>
      <c r="MLG197" s="212"/>
      <c r="MLH197" s="214"/>
      <c r="MLI197" s="211"/>
      <c r="MLJ197" s="212"/>
      <c r="MLK197" s="212"/>
      <c r="MLL197" s="212"/>
      <c r="MLM197" s="212"/>
      <c r="MLN197" s="212"/>
      <c r="MLO197" s="212"/>
      <c r="MLP197" s="212"/>
      <c r="MLQ197" s="212"/>
      <c r="MLR197" s="212"/>
      <c r="MLS197" s="212"/>
      <c r="MLT197" s="212"/>
      <c r="MLU197" s="212"/>
      <c r="MLV197" s="212"/>
      <c r="MLW197" s="212"/>
      <c r="MLX197" s="212"/>
      <c r="MLY197" s="212"/>
      <c r="MLZ197" s="212"/>
      <c r="MMA197" s="212"/>
      <c r="MMB197" s="212"/>
      <c r="MMC197" s="212"/>
      <c r="MMD197" s="212"/>
      <c r="MME197" s="212"/>
      <c r="MMF197" s="212"/>
      <c r="MMG197" s="212"/>
      <c r="MMH197" s="212"/>
      <c r="MMI197" s="212"/>
      <c r="MMJ197" s="212"/>
      <c r="MMK197" s="212"/>
      <c r="MML197" s="212"/>
      <c r="MMM197" s="212"/>
      <c r="MMN197" s="212"/>
      <c r="MMO197" s="212"/>
      <c r="MMP197" s="212"/>
      <c r="MMQ197" s="212"/>
      <c r="MMR197" s="212"/>
      <c r="MMS197" s="212"/>
      <c r="MMT197" s="212"/>
      <c r="MMU197" s="212"/>
      <c r="MMV197" s="212"/>
      <c r="MMW197" s="212"/>
      <c r="MMX197" s="212"/>
      <c r="MMY197" s="212"/>
      <c r="MMZ197" s="214"/>
      <c r="MNA197" s="211"/>
      <c r="MNB197" s="212"/>
      <c r="MNC197" s="212"/>
      <c r="MND197" s="212"/>
      <c r="MNE197" s="212"/>
      <c r="MNF197" s="212"/>
      <c r="MNG197" s="212"/>
      <c r="MNH197" s="212"/>
      <c r="MNI197" s="212"/>
      <c r="MNJ197" s="212"/>
      <c r="MNK197" s="212"/>
      <c r="MNL197" s="212"/>
      <c r="MNM197" s="212"/>
      <c r="MNN197" s="212"/>
      <c r="MNO197" s="212"/>
      <c r="MNP197" s="212"/>
      <c r="MNQ197" s="212"/>
      <c r="MNR197" s="212"/>
      <c r="MNS197" s="212"/>
      <c r="MNT197" s="212"/>
      <c r="MNU197" s="212"/>
      <c r="MNV197" s="212"/>
      <c r="MNW197" s="212"/>
      <c r="MNX197" s="212"/>
      <c r="MNY197" s="212"/>
      <c r="MNZ197" s="212"/>
      <c r="MOA197" s="212"/>
      <c r="MOB197" s="212"/>
      <c r="MOC197" s="212"/>
      <c r="MOD197" s="212"/>
      <c r="MOE197" s="212"/>
      <c r="MOF197" s="212"/>
      <c r="MOG197" s="212"/>
      <c r="MOH197" s="212"/>
      <c r="MOI197" s="212"/>
      <c r="MOJ197" s="212"/>
      <c r="MOK197" s="212"/>
      <c r="MOL197" s="212"/>
      <c r="MOM197" s="212"/>
      <c r="MON197" s="212"/>
      <c r="MOO197" s="212"/>
      <c r="MOP197" s="212"/>
      <c r="MOQ197" s="212"/>
      <c r="MOR197" s="214"/>
      <c r="MOS197" s="211"/>
      <c r="MOT197" s="212"/>
      <c r="MOU197" s="212"/>
      <c r="MOV197" s="212"/>
      <c r="MOW197" s="212"/>
      <c r="MOX197" s="212"/>
      <c r="MOY197" s="212"/>
      <c r="MOZ197" s="212"/>
      <c r="MPA197" s="212"/>
      <c r="MPB197" s="212"/>
      <c r="MPC197" s="212"/>
      <c r="MPD197" s="212"/>
      <c r="MPE197" s="212"/>
      <c r="MPF197" s="212"/>
      <c r="MPG197" s="212"/>
      <c r="MPH197" s="212"/>
      <c r="MPI197" s="212"/>
      <c r="MPJ197" s="212"/>
      <c r="MPK197" s="212"/>
      <c r="MPL197" s="212"/>
      <c r="MPM197" s="212"/>
      <c r="MPN197" s="212"/>
      <c r="MPO197" s="212"/>
      <c r="MPP197" s="212"/>
      <c r="MPQ197" s="212"/>
      <c r="MPR197" s="212"/>
      <c r="MPS197" s="212"/>
      <c r="MPT197" s="212"/>
      <c r="MPU197" s="212"/>
      <c r="MPV197" s="212"/>
      <c r="MPW197" s="212"/>
      <c r="MPX197" s="212"/>
      <c r="MPY197" s="212"/>
      <c r="MPZ197" s="212"/>
      <c r="MQA197" s="212"/>
      <c r="MQB197" s="212"/>
      <c r="MQC197" s="212"/>
      <c r="MQD197" s="212"/>
      <c r="MQE197" s="212"/>
      <c r="MQF197" s="212"/>
      <c r="MQG197" s="212"/>
      <c r="MQH197" s="212"/>
      <c r="MQI197" s="212"/>
      <c r="MQJ197" s="214"/>
      <c r="MQK197" s="211"/>
      <c r="MQL197" s="212"/>
      <c r="MQM197" s="212"/>
      <c r="MQN197" s="212"/>
      <c r="MQO197" s="212"/>
      <c r="MQP197" s="212"/>
      <c r="MQQ197" s="212"/>
      <c r="MQR197" s="212"/>
      <c r="MQS197" s="212"/>
      <c r="MQT197" s="212"/>
      <c r="MQU197" s="212"/>
      <c r="MQV197" s="212"/>
      <c r="MQW197" s="212"/>
      <c r="MQX197" s="212"/>
      <c r="MQY197" s="212"/>
      <c r="MQZ197" s="212"/>
      <c r="MRA197" s="212"/>
      <c r="MRB197" s="212"/>
      <c r="MRC197" s="212"/>
      <c r="MRD197" s="212"/>
      <c r="MRE197" s="212"/>
      <c r="MRF197" s="212"/>
      <c r="MRG197" s="212"/>
      <c r="MRH197" s="212"/>
      <c r="MRI197" s="212"/>
      <c r="MRJ197" s="212"/>
      <c r="MRK197" s="212"/>
      <c r="MRL197" s="212"/>
      <c r="MRM197" s="212"/>
      <c r="MRN197" s="212"/>
      <c r="MRO197" s="212"/>
      <c r="MRP197" s="212"/>
      <c r="MRQ197" s="212"/>
      <c r="MRR197" s="212"/>
      <c r="MRS197" s="212"/>
      <c r="MRT197" s="212"/>
      <c r="MRU197" s="212"/>
      <c r="MRV197" s="212"/>
      <c r="MRW197" s="212"/>
      <c r="MRX197" s="212"/>
      <c r="MRY197" s="212"/>
      <c r="MRZ197" s="212"/>
      <c r="MSA197" s="212"/>
      <c r="MSB197" s="214"/>
      <c r="MSC197" s="211"/>
      <c r="MSD197" s="212"/>
      <c r="MSE197" s="212"/>
      <c r="MSF197" s="212"/>
      <c r="MSG197" s="212"/>
      <c r="MSH197" s="212"/>
      <c r="MSI197" s="212"/>
      <c r="MSJ197" s="212"/>
      <c r="MSK197" s="212"/>
      <c r="MSL197" s="212"/>
      <c r="MSM197" s="212"/>
      <c r="MSN197" s="212"/>
      <c r="MSO197" s="212"/>
      <c r="MSP197" s="212"/>
      <c r="MSQ197" s="212"/>
      <c r="MSR197" s="212"/>
      <c r="MSS197" s="212"/>
      <c r="MST197" s="212"/>
      <c r="MSU197" s="212"/>
      <c r="MSV197" s="212"/>
      <c r="MSW197" s="212"/>
      <c r="MSX197" s="212"/>
      <c r="MSY197" s="212"/>
      <c r="MSZ197" s="212"/>
      <c r="MTA197" s="212"/>
      <c r="MTB197" s="212"/>
      <c r="MTC197" s="212"/>
      <c r="MTD197" s="212"/>
      <c r="MTE197" s="212"/>
      <c r="MTF197" s="212"/>
      <c r="MTG197" s="212"/>
      <c r="MTH197" s="212"/>
      <c r="MTI197" s="212"/>
      <c r="MTJ197" s="212"/>
      <c r="MTK197" s="212"/>
      <c r="MTL197" s="212"/>
      <c r="MTM197" s="212"/>
      <c r="MTN197" s="212"/>
      <c r="MTO197" s="212"/>
      <c r="MTP197" s="212"/>
      <c r="MTQ197" s="212"/>
      <c r="MTR197" s="212"/>
      <c r="MTS197" s="212"/>
      <c r="MTT197" s="214"/>
      <c r="MTU197" s="211"/>
      <c r="MTV197" s="212"/>
      <c r="MTW197" s="212"/>
      <c r="MTX197" s="212"/>
      <c r="MTY197" s="212"/>
      <c r="MTZ197" s="212"/>
      <c r="MUA197" s="212"/>
      <c r="MUB197" s="212"/>
      <c r="MUC197" s="212"/>
      <c r="MUD197" s="212"/>
      <c r="MUE197" s="212"/>
      <c r="MUF197" s="212"/>
      <c r="MUG197" s="212"/>
      <c r="MUH197" s="212"/>
      <c r="MUI197" s="212"/>
      <c r="MUJ197" s="212"/>
      <c r="MUK197" s="212"/>
      <c r="MUL197" s="212"/>
      <c r="MUM197" s="212"/>
      <c r="MUN197" s="212"/>
      <c r="MUO197" s="212"/>
      <c r="MUP197" s="212"/>
      <c r="MUQ197" s="212"/>
      <c r="MUR197" s="212"/>
      <c r="MUS197" s="212"/>
      <c r="MUT197" s="212"/>
      <c r="MUU197" s="212"/>
      <c r="MUV197" s="212"/>
      <c r="MUW197" s="212"/>
      <c r="MUX197" s="212"/>
      <c r="MUY197" s="212"/>
      <c r="MUZ197" s="212"/>
      <c r="MVA197" s="212"/>
      <c r="MVB197" s="212"/>
      <c r="MVC197" s="212"/>
      <c r="MVD197" s="212"/>
      <c r="MVE197" s="212"/>
      <c r="MVF197" s="212"/>
      <c r="MVG197" s="212"/>
      <c r="MVH197" s="212"/>
      <c r="MVI197" s="212"/>
      <c r="MVJ197" s="212"/>
      <c r="MVK197" s="212"/>
      <c r="MVL197" s="214"/>
      <c r="MVM197" s="211"/>
      <c r="MVN197" s="212"/>
      <c r="MVO197" s="212"/>
      <c r="MVP197" s="212"/>
      <c r="MVQ197" s="212"/>
      <c r="MVR197" s="212"/>
      <c r="MVS197" s="212"/>
      <c r="MVT197" s="212"/>
      <c r="MVU197" s="212"/>
      <c r="MVV197" s="212"/>
      <c r="MVW197" s="212"/>
      <c r="MVX197" s="212"/>
      <c r="MVY197" s="212"/>
      <c r="MVZ197" s="212"/>
      <c r="MWA197" s="212"/>
      <c r="MWB197" s="212"/>
      <c r="MWC197" s="212"/>
      <c r="MWD197" s="212"/>
      <c r="MWE197" s="212"/>
      <c r="MWF197" s="212"/>
      <c r="MWG197" s="212"/>
      <c r="MWH197" s="212"/>
      <c r="MWI197" s="212"/>
      <c r="MWJ197" s="212"/>
      <c r="MWK197" s="212"/>
      <c r="MWL197" s="212"/>
      <c r="MWM197" s="212"/>
      <c r="MWN197" s="212"/>
      <c r="MWO197" s="212"/>
      <c r="MWP197" s="212"/>
      <c r="MWQ197" s="212"/>
      <c r="MWR197" s="212"/>
      <c r="MWS197" s="212"/>
      <c r="MWT197" s="212"/>
      <c r="MWU197" s="212"/>
      <c r="MWV197" s="212"/>
      <c r="MWW197" s="212"/>
      <c r="MWX197" s="212"/>
      <c r="MWY197" s="212"/>
      <c r="MWZ197" s="212"/>
      <c r="MXA197" s="212"/>
      <c r="MXB197" s="212"/>
      <c r="MXC197" s="212"/>
      <c r="MXD197" s="214"/>
      <c r="MXE197" s="211"/>
      <c r="MXF197" s="212"/>
      <c r="MXG197" s="212"/>
      <c r="MXH197" s="212"/>
      <c r="MXI197" s="212"/>
      <c r="MXJ197" s="212"/>
      <c r="MXK197" s="212"/>
      <c r="MXL197" s="212"/>
      <c r="MXM197" s="212"/>
      <c r="MXN197" s="212"/>
      <c r="MXO197" s="212"/>
      <c r="MXP197" s="212"/>
      <c r="MXQ197" s="212"/>
      <c r="MXR197" s="212"/>
      <c r="MXS197" s="212"/>
      <c r="MXT197" s="212"/>
      <c r="MXU197" s="212"/>
      <c r="MXV197" s="212"/>
      <c r="MXW197" s="212"/>
      <c r="MXX197" s="212"/>
      <c r="MXY197" s="212"/>
      <c r="MXZ197" s="212"/>
      <c r="MYA197" s="212"/>
      <c r="MYB197" s="212"/>
      <c r="MYC197" s="212"/>
      <c r="MYD197" s="212"/>
      <c r="MYE197" s="212"/>
      <c r="MYF197" s="212"/>
      <c r="MYG197" s="212"/>
      <c r="MYH197" s="212"/>
      <c r="MYI197" s="212"/>
      <c r="MYJ197" s="212"/>
      <c r="MYK197" s="212"/>
      <c r="MYL197" s="212"/>
      <c r="MYM197" s="212"/>
      <c r="MYN197" s="212"/>
      <c r="MYO197" s="212"/>
      <c r="MYP197" s="212"/>
      <c r="MYQ197" s="212"/>
      <c r="MYR197" s="212"/>
      <c r="MYS197" s="212"/>
      <c r="MYT197" s="212"/>
      <c r="MYU197" s="212"/>
      <c r="MYV197" s="214"/>
      <c r="MYW197" s="211"/>
      <c r="MYX197" s="212"/>
      <c r="MYY197" s="212"/>
      <c r="MYZ197" s="212"/>
      <c r="MZA197" s="212"/>
      <c r="MZB197" s="212"/>
      <c r="MZC197" s="212"/>
      <c r="MZD197" s="212"/>
      <c r="MZE197" s="212"/>
      <c r="MZF197" s="212"/>
      <c r="MZG197" s="212"/>
      <c r="MZH197" s="212"/>
      <c r="MZI197" s="212"/>
      <c r="MZJ197" s="212"/>
      <c r="MZK197" s="212"/>
      <c r="MZL197" s="212"/>
      <c r="MZM197" s="212"/>
      <c r="MZN197" s="212"/>
      <c r="MZO197" s="212"/>
      <c r="MZP197" s="212"/>
      <c r="MZQ197" s="212"/>
      <c r="MZR197" s="212"/>
      <c r="MZS197" s="212"/>
      <c r="MZT197" s="212"/>
      <c r="MZU197" s="212"/>
      <c r="MZV197" s="212"/>
      <c r="MZW197" s="212"/>
      <c r="MZX197" s="212"/>
      <c r="MZY197" s="212"/>
      <c r="MZZ197" s="212"/>
      <c r="NAA197" s="212"/>
      <c r="NAB197" s="212"/>
      <c r="NAC197" s="212"/>
      <c r="NAD197" s="212"/>
      <c r="NAE197" s="212"/>
      <c r="NAF197" s="212"/>
      <c r="NAG197" s="212"/>
      <c r="NAH197" s="212"/>
      <c r="NAI197" s="212"/>
      <c r="NAJ197" s="212"/>
      <c r="NAK197" s="212"/>
      <c r="NAL197" s="212"/>
      <c r="NAM197" s="212"/>
      <c r="NAN197" s="214"/>
      <c r="NAO197" s="211"/>
      <c r="NAP197" s="212"/>
      <c r="NAQ197" s="212"/>
      <c r="NAR197" s="212"/>
      <c r="NAS197" s="212"/>
      <c r="NAT197" s="212"/>
      <c r="NAU197" s="212"/>
      <c r="NAV197" s="212"/>
      <c r="NAW197" s="212"/>
      <c r="NAX197" s="212"/>
      <c r="NAY197" s="212"/>
      <c r="NAZ197" s="212"/>
      <c r="NBA197" s="212"/>
      <c r="NBB197" s="212"/>
      <c r="NBC197" s="212"/>
      <c r="NBD197" s="212"/>
      <c r="NBE197" s="212"/>
      <c r="NBF197" s="212"/>
      <c r="NBG197" s="212"/>
      <c r="NBH197" s="212"/>
      <c r="NBI197" s="212"/>
      <c r="NBJ197" s="212"/>
      <c r="NBK197" s="212"/>
      <c r="NBL197" s="212"/>
      <c r="NBM197" s="212"/>
      <c r="NBN197" s="212"/>
      <c r="NBO197" s="212"/>
      <c r="NBP197" s="212"/>
      <c r="NBQ197" s="212"/>
      <c r="NBR197" s="212"/>
      <c r="NBS197" s="212"/>
      <c r="NBT197" s="212"/>
      <c r="NBU197" s="212"/>
      <c r="NBV197" s="212"/>
      <c r="NBW197" s="212"/>
      <c r="NBX197" s="212"/>
      <c r="NBY197" s="212"/>
      <c r="NBZ197" s="212"/>
      <c r="NCA197" s="212"/>
      <c r="NCB197" s="212"/>
      <c r="NCC197" s="212"/>
      <c r="NCD197" s="212"/>
      <c r="NCE197" s="212"/>
      <c r="NCF197" s="214"/>
      <c r="NCG197" s="211"/>
      <c r="NCH197" s="212"/>
      <c r="NCI197" s="212"/>
      <c r="NCJ197" s="212"/>
      <c r="NCK197" s="212"/>
      <c r="NCL197" s="212"/>
      <c r="NCM197" s="212"/>
      <c r="NCN197" s="212"/>
      <c r="NCO197" s="212"/>
      <c r="NCP197" s="212"/>
      <c r="NCQ197" s="212"/>
      <c r="NCR197" s="212"/>
      <c r="NCS197" s="212"/>
      <c r="NCT197" s="212"/>
      <c r="NCU197" s="212"/>
      <c r="NCV197" s="212"/>
      <c r="NCW197" s="212"/>
      <c r="NCX197" s="212"/>
      <c r="NCY197" s="212"/>
      <c r="NCZ197" s="212"/>
      <c r="NDA197" s="212"/>
      <c r="NDB197" s="212"/>
      <c r="NDC197" s="212"/>
      <c r="NDD197" s="212"/>
      <c r="NDE197" s="212"/>
      <c r="NDF197" s="212"/>
      <c r="NDG197" s="212"/>
      <c r="NDH197" s="212"/>
      <c r="NDI197" s="212"/>
      <c r="NDJ197" s="212"/>
      <c r="NDK197" s="212"/>
      <c r="NDL197" s="212"/>
      <c r="NDM197" s="212"/>
      <c r="NDN197" s="212"/>
      <c r="NDO197" s="212"/>
      <c r="NDP197" s="212"/>
      <c r="NDQ197" s="212"/>
      <c r="NDR197" s="212"/>
      <c r="NDS197" s="212"/>
      <c r="NDT197" s="212"/>
      <c r="NDU197" s="212"/>
      <c r="NDV197" s="212"/>
      <c r="NDW197" s="212"/>
      <c r="NDX197" s="214"/>
      <c r="NDY197" s="211"/>
      <c r="NDZ197" s="212"/>
      <c r="NEA197" s="212"/>
      <c r="NEB197" s="212"/>
      <c r="NEC197" s="212"/>
      <c r="NED197" s="212"/>
      <c r="NEE197" s="212"/>
      <c r="NEF197" s="212"/>
      <c r="NEG197" s="212"/>
      <c r="NEH197" s="212"/>
      <c r="NEI197" s="212"/>
      <c r="NEJ197" s="212"/>
      <c r="NEK197" s="212"/>
      <c r="NEL197" s="212"/>
      <c r="NEM197" s="212"/>
      <c r="NEN197" s="212"/>
      <c r="NEO197" s="212"/>
      <c r="NEP197" s="212"/>
      <c r="NEQ197" s="212"/>
      <c r="NER197" s="212"/>
      <c r="NES197" s="212"/>
      <c r="NET197" s="212"/>
      <c r="NEU197" s="212"/>
      <c r="NEV197" s="212"/>
      <c r="NEW197" s="212"/>
      <c r="NEX197" s="212"/>
      <c r="NEY197" s="212"/>
      <c r="NEZ197" s="212"/>
      <c r="NFA197" s="212"/>
      <c r="NFB197" s="212"/>
      <c r="NFC197" s="212"/>
      <c r="NFD197" s="212"/>
      <c r="NFE197" s="212"/>
      <c r="NFF197" s="212"/>
      <c r="NFG197" s="212"/>
      <c r="NFH197" s="212"/>
      <c r="NFI197" s="212"/>
      <c r="NFJ197" s="212"/>
      <c r="NFK197" s="212"/>
      <c r="NFL197" s="212"/>
      <c r="NFM197" s="212"/>
      <c r="NFN197" s="212"/>
      <c r="NFO197" s="212"/>
      <c r="NFP197" s="214"/>
      <c r="NFQ197" s="211"/>
      <c r="NFR197" s="212"/>
      <c r="NFS197" s="212"/>
      <c r="NFT197" s="212"/>
      <c r="NFU197" s="212"/>
      <c r="NFV197" s="212"/>
      <c r="NFW197" s="212"/>
      <c r="NFX197" s="212"/>
      <c r="NFY197" s="212"/>
      <c r="NFZ197" s="212"/>
      <c r="NGA197" s="212"/>
      <c r="NGB197" s="212"/>
      <c r="NGC197" s="212"/>
      <c r="NGD197" s="212"/>
      <c r="NGE197" s="212"/>
      <c r="NGF197" s="212"/>
      <c r="NGG197" s="212"/>
      <c r="NGH197" s="212"/>
      <c r="NGI197" s="212"/>
      <c r="NGJ197" s="212"/>
      <c r="NGK197" s="212"/>
      <c r="NGL197" s="212"/>
      <c r="NGM197" s="212"/>
      <c r="NGN197" s="212"/>
      <c r="NGO197" s="212"/>
      <c r="NGP197" s="212"/>
      <c r="NGQ197" s="212"/>
      <c r="NGR197" s="212"/>
      <c r="NGS197" s="212"/>
      <c r="NGT197" s="212"/>
      <c r="NGU197" s="212"/>
      <c r="NGV197" s="212"/>
      <c r="NGW197" s="212"/>
      <c r="NGX197" s="212"/>
      <c r="NGY197" s="212"/>
      <c r="NGZ197" s="212"/>
      <c r="NHA197" s="212"/>
      <c r="NHB197" s="212"/>
      <c r="NHC197" s="212"/>
      <c r="NHD197" s="212"/>
      <c r="NHE197" s="212"/>
      <c r="NHF197" s="212"/>
      <c r="NHG197" s="212"/>
      <c r="NHH197" s="214"/>
      <c r="NHI197" s="211"/>
      <c r="NHJ197" s="212"/>
      <c r="NHK197" s="212"/>
      <c r="NHL197" s="212"/>
      <c r="NHM197" s="212"/>
      <c r="NHN197" s="212"/>
      <c r="NHO197" s="212"/>
      <c r="NHP197" s="212"/>
      <c r="NHQ197" s="212"/>
      <c r="NHR197" s="212"/>
      <c r="NHS197" s="212"/>
      <c r="NHT197" s="212"/>
      <c r="NHU197" s="212"/>
      <c r="NHV197" s="212"/>
      <c r="NHW197" s="212"/>
      <c r="NHX197" s="212"/>
      <c r="NHY197" s="212"/>
      <c r="NHZ197" s="212"/>
      <c r="NIA197" s="212"/>
      <c r="NIB197" s="212"/>
      <c r="NIC197" s="212"/>
      <c r="NID197" s="212"/>
      <c r="NIE197" s="212"/>
      <c r="NIF197" s="212"/>
      <c r="NIG197" s="212"/>
      <c r="NIH197" s="212"/>
      <c r="NII197" s="212"/>
      <c r="NIJ197" s="212"/>
      <c r="NIK197" s="212"/>
      <c r="NIL197" s="212"/>
      <c r="NIM197" s="212"/>
      <c r="NIN197" s="212"/>
      <c r="NIO197" s="212"/>
      <c r="NIP197" s="212"/>
      <c r="NIQ197" s="212"/>
      <c r="NIR197" s="212"/>
      <c r="NIS197" s="212"/>
      <c r="NIT197" s="212"/>
      <c r="NIU197" s="212"/>
      <c r="NIV197" s="212"/>
      <c r="NIW197" s="212"/>
      <c r="NIX197" s="212"/>
      <c r="NIY197" s="212"/>
      <c r="NIZ197" s="214"/>
      <c r="NJA197" s="211"/>
      <c r="NJB197" s="212"/>
      <c r="NJC197" s="212"/>
      <c r="NJD197" s="212"/>
      <c r="NJE197" s="212"/>
      <c r="NJF197" s="212"/>
      <c r="NJG197" s="212"/>
      <c r="NJH197" s="212"/>
      <c r="NJI197" s="212"/>
      <c r="NJJ197" s="212"/>
      <c r="NJK197" s="212"/>
      <c r="NJL197" s="212"/>
      <c r="NJM197" s="212"/>
      <c r="NJN197" s="212"/>
      <c r="NJO197" s="212"/>
      <c r="NJP197" s="212"/>
      <c r="NJQ197" s="212"/>
      <c r="NJR197" s="212"/>
      <c r="NJS197" s="212"/>
      <c r="NJT197" s="212"/>
      <c r="NJU197" s="212"/>
      <c r="NJV197" s="212"/>
      <c r="NJW197" s="212"/>
      <c r="NJX197" s="212"/>
      <c r="NJY197" s="212"/>
      <c r="NJZ197" s="212"/>
      <c r="NKA197" s="212"/>
      <c r="NKB197" s="212"/>
      <c r="NKC197" s="212"/>
      <c r="NKD197" s="212"/>
      <c r="NKE197" s="212"/>
      <c r="NKF197" s="212"/>
      <c r="NKG197" s="212"/>
      <c r="NKH197" s="212"/>
      <c r="NKI197" s="212"/>
      <c r="NKJ197" s="212"/>
      <c r="NKK197" s="212"/>
      <c r="NKL197" s="212"/>
      <c r="NKM197" s="212"/>
      <c r="NKN197" s="212"/>
      <c r="NKO197" s="212"/>
      <c r="NKP197" s="212"/>
      <c r="NKQ197" s="212"/>
      <c r="NKR197" s="214"/>
      <c r="NKS197" s="211"/>
      <c r="NKT197" s="212"/>
      <c r="NKU197" s="212"/>
      <c r="NKV197" s="212"/>
      <c r="NKW197" s="212"/>
      <c r="NKX197" s="212"/>
      <c r="NKY197" s="212"/>
      <c r="NKZ197" s="212"/>
      <c r="NLA197" s="212"/>
      <c r="NLB197" s="212"/>
      <c r="NLC197" s="212"/>
      <c r="NLD197" s="212"/>
      <c r="NLE197" s="212"/>
      <c r="NLF197" s="212"/>
      <c r="NLG197" s="212"/>
      <c r="NLH197" s="212"/>
      <c r="NLI197" s="212"/>
      <c r="NLJ197" s="212"/>
      <c r="NLK197" s="212"/>
      <c r="NLL197" s="212"/>
      <c r="NLM197" s="212"/>
      <c r="NLN197" s="212"/>
      <c r="NLO197" s="212"/>
      <c r="NLP197" s="212"/>
      <c r="NLQ197" s="212"/>
      <c r="NLR197" s="212"/>
      <c r="NLS197" s="212"/>
      <c r="NLT197" s="212"/>
      <c r="NLU197" s="212"/>
      <c r="NLV197" s="212"/>
      <c r="NLW197" s="212"/>
      <c r="NLX197" s="212"/>
      <c r="NLY197" s="212"/>
      <c r="NLZ197" s="212"/>
      <c r="NMA197" s="212"/>
      <c r="NMB197" s="212"/>
      <c r="NMC197" s="212"/>
      <c r="NMD197" s="212"/>
      <c r="NME197" s="212"/>
      <c r="NMF197" s="212"/>
      <c r="NMG197" s="212"/>
      <c r="NMH197" s="212"/>
      <c r="NMI197" s="212"/>
      <c r="NMJ197" s="214"/>
      <c r="NMK197" s="211"/>
      <c r="NML197" s="212"/>
      <c r="NMM197" s="212"/>
      <c r="NMN197" s="212"/>
      <c r="NMO197" s="212"/>
      <c r="NMP197" s="212"/>
      <c r="NMQ197" s="212"/>
      <c r="NMR197" s="212"/>
      <c r="NMS197" s="212"/>
      <c r="NMT197" s="212"/>
      <c r="NMU197" s="212"/>
      <c r="NMV197" s="212"/>
      <c r="NMW197" s="212"/>
      <c r="NMX197" s="212"/>
      <c r="NMY197" s="212"/>
      <c r="NMZ197" s="212"/>
      <c r="NNA197" s="212"/>
      <c r="NNB197" s="212"/>
      <c r="NNC197" s="212"/>
      <c r="NND197" s="212"/>
      <c r="NNE197" s="212"/>
      <c r="NNF197" s="212"/>
      <c r="NNG197" s="212"/>
      <c r="NNH197" s="212"/>
      <c r="NNI197" s="212"/>
      <c r="NNJ197" s="212"/>
      <c r="NNK197" s="212"/>
      <c r="NNL197" s="212"/>
      <c r="NNM197" s="212"/>
      <c r="NNN197" s="212"/>
      <c r="NNO197" s="212"/>
      <c r="NNP197" s="212"/>
      <c r="NNQ197" s="212"/>
      <c r="NNR197" s="212"/>
      <c r="NNS197" s="212"/>
      <c r="NNT197" s="212"/>
      <c r="NNU197" s="212"/>
      <c r="NNV197" s="212"/>
      <c r="NNW197" s="212"/>
      <c r="NNX197" s="212"/>
      <c r="NNY197" s="212"/>
      <c r="NNZ197" s="212"/>
      <c r="NOA197" s="212"/>
      <c r="NOB197" s="214"/>
      <c r="NOC197" s="211"/>
      <c r="NOD197" s="212"/>
      <c r="NOE197" s="212"/>
      <c r="NOF197" s="212"/>
      <c r="NOG197" s="212"/>
      <c r="NOH197" s="212"/>
      <c r="NOI197" s="212"/>
      <c r="NOJ197" s="212"/>
      <c r="NOK197" s="212"/>
      <c r="NOL197" s="212"/>
      <c r="NOM197" s="212"/>
      <c r="NON197" s="212"/>
      <c r="NOO197" s="212"/>
      <c r="NOP197" s="212"/>
      <c r="NOQ197" s="212"/>
      <c r="NOR197" s="212"/>
      <c r="NOS197" s="212"/>
      <c r="NOT197" s="212"/>
      <c r="NOU197" s="212"/>
      <c r="NOV197" s="212"/>
      <c r="NOW197" s="212"/>
      <c r="NOX197" s="212"/>
      <c r="NOY197" s="212"/>
      <c r="NOZ197" s="212"/>
      <c r="NPA197" s="212"/>
      <c r="NPB197" s="212"/>
      <c r="NPC197" s="212"/>
      <c r="NPD197" s="212"/>
      <c r="NPE197" s="212"/>
      <c r="NPF197" s="212"/>
      <c r="NPG197" s="212"/>
      <c r="NPH197" s="212"/>
      <c r="NPI197" s="212"/>
      <c r="NPJ197" s="212"/>
      <c r="NPK197" s="212"/>
      <c r="NPL197" s="212"/>
      <c r="NPM197" s="212"/>
      <c r="NPN197" s="212"/>
      <c r="NPO197" s="212"/>
      <c r="NPP197" s="212"/>
      <c r="NPQ197" s="212"/>
      <c r="NPR197" s="212"/>
      <c r="NPS197" s="212"/>
      <c r="NPT197" s="214"/>
      <c r="NPU197" s="211"/>
      <c r="NPV197" s="212"/>
      <c r="NPW197" s="212"/>
      <c r="NPX197" s="212"/>
      <c r="NPY197" s="212"/>
      <c r="NPZ197" s="212"/>
      <c r="NQA197" s="212"/>
      <c r="NQB197" s="212"/>
      <c r="NQC197" s="212"/>
      <c r="NQD197" s="212"/>
      <c r="NQE197" s="212"/>
      <c r="NQF197" s="212"/>
      <c r="NQG197" s="212"/>
      <c r="NQH197" s="212"/>
      <c r="NQI197" s="212"/>
      <c r="NQJ197" s="212"/>
      <c r="NQK197" s="212"/>
      <c r="NQL197" s="212"/>
      <c r="NQM197" s="212"/>
      <c r="NQN197" s="212"/>
      <c r="NQO197" s="212"/>
      <c r="NQP197" s="212"/>
      <c r="NQQ197" s="212"/>
      <c r="NQR197" s="212"/>
      <c r="NQS197" s="212"/>
      <c r="NQT197" s="212"/>
      <c r="NQU197" s="212"/>
      <c r="NQV197" s="212"/>
      <c r="NQW197" s="212"/>
      <c r="NQX197" s="212"/>
      <c r="NQY197" s="212"/>
      <c r="NQZ197" s="212"/>
      <c r="NRA197" s="212"/>
      <c r="NRB197" s="212"/>
      <c r="NRC197" s="212"/>
      <c r="NRD197" s="212"/>
      <c r="NRE197" s="212"/>
      <c r="NRF197" s="212"/>
      <c r="NRG197" s="212"/>
      <c r="NRH197" s="212"/>
      <c r="NRI197" s="212"/>
      <c r="NRJ197" s="212"/>
      <c r="NRK197" s="212"/>
      <c r="NRL197" s="214"/>
      <c r="NRM197" s="211"/>
      <c r="NRN197" s="212"/>
      <c r="NRO197" s="212"/>
      <c r="NRP197" s="212"/>
      <c r="NRQ197" s="212"/>
      <c r="NRR197" s="212"/>
      <c r="NRS197" s="212"/>
      <c r="NRT197" s="212"/>
      <c r="NRU197" s="212"/>
      <c r="NRV197" s="212"/>
      <c r="NRW197" s="212"/>
      <c r="NRX197" s="212"/>
      <c r="NRY197" s="212"/>
      <c r="NRZ197" s="212"/>
      <c r="NSA197" s="212"/>
      <c r="NSB197" s="212"/>
      <c r="NSC197" s="212"/>
      <c r="NSD197" s="212"/>
      <c r="NSE197" s="212"/>
      <c r="NSF197" s="212"/>
      <c r="NSG197" s="212"/>
      <c r="NSH197" s="212"/>
      <c r="NSI197" s="212"/>
      <c r="NSJ197" s="212"/>
      <c r="NSK197" s="212"/>
      <c r="NSL197" s="212"/>
      <c r="NSM197" s="212"/>
      <c r="NSN197" s="212"/>
      <c r="NSO197" s="212"/>
      <c r="NSP197" s="212"/>
      <c r="NSQ197" s="212"/>
      <c r="NSR197" s="212"/>
      <c r="NSS197" s="212"/>
      <c r="NST197" s="212"/>
      <c r="NSU197" s="212"/>
      <c r="NSV197" s="212"/>
      <c r="NSW197" s="212"/>
      <c r="NSX197" s="212"/>
      <c r="NSY197" s="212"/>
      <c r="NSZ197" s="212"/>
      <c r="NTA197" s="212"/>
      <c r="NTB197" s="212"/>
      <c r="NTC197" s="212"/>
      <c r="NTD197" s="214"/>
      <c r="NTE197" s="211"/>
      <c r="NTF197" s="212"/>
      <c r="NTG197" s="212"/>
      <c r="NTH197" s="212"/>
      <c r="NTI197" s="212"/>
      <c r="NTJ197" s="212"/>
      <c r="NTK197" s="212"/>
      <c r="NTL197" s="212"/>
      <c r="NTM197" s="212"/>
      <c r="NTN197" s="212"/>
      <c r="NTO197" s="212"/>
      <c r="NTP197" s="212"/>
      <c r="NTQ197" s="212"/>
      <c r="NTR197" s="212"/>
      <c r="NTS197" s="212"/>
      <c r="NTT197" s="212"/>
      <c r="NTU197" s="212"/>
      <c r="NTV197" s="212"/>
      <c r="NTW197" s="212"/>
      <c r="NTX197" s="212"/>
      <c r="NTY197" s="212"/>
      <c r="NTZ197" s="212"/>
      <c r="NUA197" s="212"/>
      <c r="NUB197" s="212"/>
      <c r="NUC197" s="212"/>
      <c r="NUD197" s="212"/>
      <c r="NUE197" s="212"/>
      <c r="NUF197" s="212"/>
      <c r="NUG197" s="212"/>
      <c r="NUH197" s="212"/>
      <c r="NUI197" s="212"/>
      <c r="NUJ197" s="212"/>
      <c r="NUK197" s="212"/>
      <c r="NUL197" s="212"/>
      <c r="NUM197" s="212"/>
      <c r="NUN197" s="212"/>
      <c r="NUO197" s="212"/>
      <c r="NUP197" s="212"/>
      <c r="NUQ197" s="212"/>
      <c r="NUR197" s="212"/>
      <c r="NUS197" s="212"/>
      <c r="NUT197" s="212"/>
      <c r="NUU197" s="212"/>
      <c r="NUV197" s="214"/>
      <c r="NUW197" s="211"/>
      <c r="NUX197" s="212"/>
      <c r="NUY197" s="212"/>
      <c r="NUZ197" s="212"/>
      <c r="NVA197" s="212"/>
      <c r="NVB197" s="212"/>
      <c r="NVC197" s="212"/>
      <c r="NVD197" s="212"/>
      <c r="NVE197" s="212"/>
      <c r="NVF197" s="212"/>
      <c r="NVG197" s="212"/>
      <c r="NVH197" s="212"/>
      <c r="NVI197" s="212"/>
      <c r="NVJ197" s="212"/>
      <c r="NVK197" s="212"/>
      <c r="NVL197" s="212"/>
      <c r="NVM197" s="212"/>
      <c r="NVN197" s="212"/>
      <c r="NVO197" s="212"/>
      <c r="NVP197" s="212"/>
      <c r="NVQ197" s="212"/>
      <c r="NVR197" s="212"/>
      <c r="NVS197" s="212"/>
      <c r="NVT197" s="212"/>
      <c r="NVU197" s="212"/>
      <c r="NVV197" s="212"/>
      <c r="NVW197" s="212"/>
      <c r="NVX197" s="212"/>
      <c r="NVY197" s="212"/>
      <c r="NVZ197" s="212"/>
      <c r="NWA197" s="212"/>
      <c r="NWB197" s="212"/>
      <c r="NWC197" s="212"/>
      <c r="NWD197" s="212"/>
      <c r="NWE197" s="212"/>
      <c r="NWF197" s="212"/>
      <c r="NWG197" s="212"/>
      <c r="NWH197" s="212"/>
      <c r="NWI197" s="212"/>
      <c r="NWJ197" s="212"/>
      <c r="NWK197" s="212"/>
      <c r="NWL197" s="212"/>
      <c r="NWM197" s="212"/>
      <c r="NWN197" s="214"/>
      <c r="NWO197" s="211"/>
      <c r="NWP197" s="212"/>
      <c r="NWQ197" s="212"/>
      <c r="NWR197" s="212"/>
      <c r="NWS197" s="212"/>
      <c r="NWT197" s="212"/>
      <c r="NWU197" s="212"/>
      <c r="NWV197" s="212"/>
      <c r="NWW197" s="212"/>
      <c r="NWX197" s="212"/>
      <c r="NWY197" s="212"/>
      <c r="NWZ197" s="212"/>
      <c r="NXA197" s="212"/>
      <c r="NXB197" s="212"/>
      <c r="NXC197" s="212"/>
      <c r="NXD197" s="212"/>
      <c r="NXE197" s="212"/>
      <c r="NXF197" s="212"/>
      <c r="NXG197" s="212"/>
      <c r="NXH197" s="212"/>
      <c r="NXI197" s="212"/>
      <c r="NXJ197" s="212"/>
      <c r="NXK197" s="212"/>
      <c r="NXL197" s="212"/>
      <c r="NXM197" s="212"/>
      <c r="NXN197" s="212"/>
      <c r="NXO197" s="212"/>
      <c r="NXP197" s="212"/>
      <c r="NXQ197" s="212"/>
      <c r="NXR197" s="212"/>
      <c r="NXS197" s="212"/>
      <c r="NXT197" s="212"/>
      <c r="NXU197" s="212"/>
      <c r="NXV197" s="212"/>
      <c r="NXW197" s="212"/>
      <c r="NXX197" s="212"/>
      <c r="NXY197" s="212"/>
      <c r="NXZ197" s="212"/>
      <c r="NYA197" s="212"/>
      <c r="NYB197" s="212"/>
      <c r="NYC197" s="212"/>
      <c r="NYD197" s="212"/>
      <c r="NYE197" s="212"/>
      <c r="NYF197" s="214"/>
      <c r="NYG197" s="211"/>
      <c r="NYH197" s="212"/>
      <c r="NYI197" s="212"/>
      <c r="NYJ197" s="212"/>
      <c r="NYK197" s="212"/>
      <c r="NYL197" s="212"/>
      <c r="NYM197" s="212"/>
      <c r="NYN197" s="212"/>
      <c r="NYO197" s="212"/>
      <c r="NYP197" s="212"/>
      <c r="NYQ197" s="212"/>
      <c r="NYR197" s="212"/>
      <c r="NYS197" s="212"/>
      <c r="NYT197" s="212"/>
      <c r="NYU197" s="212"/>
      <c r="NYV197" s="212"/>
      <c r="NYW197" s="212"/>
      <c r="NYX197" s="212"/>
      <c r="NYY197" s="212"/>
      <c r="NYZ197" s="212"/>
      <c r="NZA197" s="212"/>
      <c r="NZB197" s="212"/>
      <c r="NZC197" s="212"/>
      <c r="NZD197" s="212"/>
      <c r="NZE197" s="212"/>
      <c r="NZF197" s="212"/>
      <c r="NZG197" s="212"/>
      <c r="NZH197" s="212"/>
      <c r="NZI197" s="212"/>
      <c r="NZJ197" s="212"/>
      <c r="NZK197" s="212"/>
      <c r="NZL197" s="212"/>
      <c r="NZM197" s="212"/>
      <c r="NZN197" s="212"/>
      <c r="NZO197" s="212"/>
      <c r="NZP197" s="212"/>
      <c r="NZQ197" s="212"/>
      <c r="NZR197" s="212"/>
      <c r="NZS197" s="212"/>
      <c r="NZT197" s="212"/>
      <c r="NZU197" s="212"/>
      <c r="NZV197" s="212"/>
      <c r="NZW197" s="212"/>
      <c r="NZX197" s="214"/>
      <c r="NZY197" s="211"/>
      <c r="NZZ197" s="212"/>
      <c r="OAA197" s="212"/>
      <c r="OAB197" s="212"/>
      <c r="OAC197" s="212"/>
      <c r="OAD197" s="212"/>
      <c r="OAE197" s="212"/>
      <c r="OAF197" s="212"/>
      <c r="OAG197" s="212"/>
      <c r="OAH197" s="212"/>
      <c r="OAI197" s="212"/>
      <c r="OAJ197" s="212"/>
      <c r="OAK197" s="212"/>
      <c r="OAL197" s="212"/>
      <c r="OAM197" s="212"/>
      <c r="OAN197" s="212"/>
      <c r="OAO197" s="212"/>
      <c r="OAP197" s="212"/>
      <c r="OAQ197" s="212"/>
      <c r="OAR197" s="212"/>
      <c r="OAS197" s="212"/>
      <c r="OAT197" s="212"/>
      <c r="OAU197" s="212"/>
      <c r="OAV197" s="212"/>
      <c r="OAW197" s="212"/>
      <c r="OAX197" s="212"/>
      <c r="OAY197" s="212"/>
      <c r="OAZ197" s="212"/>
      <c r="OBA197" s="212"/>
      <c r="OBB197" s="212"/>
      <c r="OBC197" s="212"/>
      <c r="OBD197" s="212"/>
      <c r="OBE197" s="212"/>
      <c r="OBF197" s="212"/>
      <c r="OBG197" s="212"/>
      <c r="OBH197" s="212"/>
      <c r="OBI197" s="212"/>
      <c r="OBJ197" s="212"/>
      <c r="OBK197" s="212"/>
      <c r="OBL197" s="212"/>
      <c r="OBM197" s="212"/>
      <c r="OBN197" s="212"/>
      <c r="OBO197" s="212"/>
      <c r="OBP197" s="214"/>
      <c r="OBQ197" s="211"/>
      <c r="OBR197" s="212"/>
      <c r="OBS197" s="212"/>
      <c r="OBT197" s="212"/>
      <c r="OBU197" s="212"/>
      <c r="OBV197" s="212"/>
      <c r="OBW197" s="212"/>
      <c r="OBX197" s="212"/>
      <c r="OBY197" s="212"/>
      <c r="OBZ197" s="212"/>
      <c r="OCA197" s="212"/>
      <c r="OCB197" s="212"/>
      <c r="OCC197" s="212"/>
      <c r="OCD197" s="212"/>
      <c r="OCE197" s="212"/>
      <c r="OCF197" s="212"/>
      <c r="OCG197" s="212"/>
      <c r="OCH197" s="212"/>
      <c r="OCI197" s="212"/>
      <c r="OCJ197" s="212"/>
      <c r="OCK197" s="212"/>
      <c r="OCL197" s="212"/>
      <c r="OCM197" s="212"/>
      <c r="OCN197" s="212"/>
      <c r="OCO197" s="212"/>
      <c r="OCP197" s="212"/>
      <c r="OCQ197" s="212"/>
      <c r="OCR197" s="212"/>
      <c r="OCS197" s="212"/>
      <c r="OCT197" s="212"/>
      <c r="OCU197" s="212"/>
      <c r="OCV197" s="212"/>
      <c r="OCW197" s="212"/>
      <c r="OCX197" s="212"/>
      <c r="OCY197" s="212"/>
      <c r="OCZ197" s="212"/>
      <c r="ODA197" s="212"/>
      <c r="ODB197" s="212"/>
      <c r="ODC197" s="212"/>
      <c r="ODD197" s="212"/>
      <c r="ODE197" s="212"/>
      <c r="ODF197" s="212"/>
      <c r="ODG197" s="212"/>
      <c r="ODH197" s="214"/>
      <c r="ODI197" s="211"/>
      <c r="ODJ197" s="212"/>
      <c r="ODK197" s="212"/>
      <c r="ODL197" s="212"/>
      <c r="ODM197" s="212"/>
      <c r="ODN197" s="212"/>
      <c r="ODO197" s="212"/>
      <c r="ODP197" s="212"/>
      <c r="ODQ197" s="212"/>
      <c r="ODR197" s="212"/>
      <c r="ODS197" s="212"/>
      <c r="ODT197" s="212"/>
      <c r="ODU197" s="212"/>
      <c r="ODV197" s="212"/>
      <c r="ODW197" s="212"/>
      <c r="ODX197" s="212"/>
      <c r="ODY197" s="212"/>
      <c r="ODZ197" s="212"/>
      <c r="OEA197" s="212"/>
      <c r="OEB197" s="212"/>
      <c r="OEC197" s="212"/>
      <c r="OED197" s="212"/>
      <c r="OEE197" s="212"/>
      <c r="OEF197" s="212"/>
      <c r="OEG197" s="212"/>
      <c r="OEH197" s="212"/>
      <c r="OEI197" s="212"/>
      <c r="OEJ197" s="212"/>
      <c r="OEK197" s="212"/>
      <c r="OEL197" s="212"/>
      <c r="OEM197" s="212"/>
      <c r="OEN197" s="212"/>
      <c r="OEO197" s="212"/>
      <c r="OEP197" s="212"/>
      <c r="OEQ197" s="212"/>
      <c r="OER197" s="212"/>
      <c r="OES197" s="212"/>
      <c r="OET197" s="212"/>
      <c r="OEU197" s="212"/>
      <c r="OEV197" s="212"/>
      <c r="OEW197" s="212"/>
      <c r="OEX197" s="212"/>
      <c r="OEY197" s="212"/>
      <c r="OEZ197" s="214"/>
      <c r="OFA197" s="211"/>
      <c r="OFB197" s="212"/>
      <c r="OFC197" s="212"/>
      <c r="OFD197" s="212"/>
      <c r="OFE197" s="212"/>
      <c r="OFF197" s="212"/>
      <c r="OFG197" s="212"/>
      <c r="OFH197" s="212"/>
      <c r="OFI197" s="212"/>
      <c r="OFJ197" s="212"/>
      <c r="OFK197" s="212"/>
      <c r="OFL197" s="212"/>
      <c r="OFM197" s="212"/>
      <c r="OFN197" s="212"/>
      <c r="OFO197" s="212"/>
      <c r="OFP197" s="212"/>
      <c r="OFQ197" s="212"/>
      <c r="OFR197" s="212"/>
      <c r="OFS197" s="212"/>
      <c r="OFT197" s="212"/>
      <c r="OFU197" s="212"/>
      <c r="OFV197" s="212"/>
      <c r="OFW197" s="212"/>
      <c r="OFX197" s="212"/>
      <c r="OFY197" s="212"/>
      <c r="OFZ197" s="212"/>
      <c r="OGA197" s="212"/>
      <c r="OGB197" s="212"/>
      <c r="OGC197" s="212"/>
      <c r="OGD197" s="212"/>
      <c r="OGE197" s="212"/>
      <c r="OGF197" s="212"/>
      <c r="OGG197" s="212"/>
      <c r="OGH197" s="212"/>
      <c r="OGI197" s="212"/>
      <c r="OGJ197" s="212"/>
      <c r="OGK197" s="212"/>
      <c r="OGL197" s="212"/>
      <c r="OGM197" s="212"/>
      <c r="OGN197" s="212"/>
      <c r="OGO197" s="212"/>
      <c r="OGP197" s="212"/>
      <c r="OGQ197" s="212"/>
      <c r="OGR197" s="214"/>
      <c r="OGS197" s="211"/>
      <c r="OGT197" s="212"/>
      <c r="OGU197" s="212"/>
      <c r="OGV197" s="212"/>
      <c r="OGW197" s="212"/>
      <c r="OGX197" s="212"/>
      <c r="OGY197" s="212"/>
      <c r="OGZ197" s="212"/>
      <c r="OHA197" s="212"/>
      <c r="OHB197" s="212"/>
      <c r="OHC197" s="212"/>
      <c r="OHD197" s="212"/>
      <c r="OHE197" s="212"/>
      <c r="OHF197" s="212"/>
      <c r="OHG197" s="212"/>
      <c r="OHH197" s="212"/>
      <c r="OHI197" s="212"/>
      <c r="OHJ197" s="212"/>
      <c r="OHK197" s="212"/>
      <c r="OHL197" s="212"/>
      <c r="OHM197" s="212"/>
      <c r="OHN197" s="212"/>
      <c r="OHO197" s="212"/>
      <c r="OHP197" s="212"/>
      <c r="OHQ197" s="212"/>
      <c r="OHR197" s="212"/>
      <c r="OHS197" s="212"/>
      <c r="OHT197" s="212"/>
      <c r="OHU197" s="212"/>
      <c r="OHV197" s="212"/>
      <c r="OHW197" s="212"/>
      <c r="OHX197" s="212"/>
      <c r="OHY197" s="212"/>
      <c r="OHZ197" s="212"/>
      <c r="OIA197" s="212"/>
      <c r="OIB197" s="212"/>
      <c r="OIC197" s="212"/>
      <c r="OID197" s="212"/>
      <c r="OIE197" s="212"/>
      <c r="OIF197" s="212"/>
      <c r="OIG197" s="212"/>
      <c r="OIH197" s="212"/>
      <c r="OII197" s="212"/>
      <c r="OIJ197" s="214"/>
      <c r="OIK197" s="211"/>
      <c r="OIL197" s="212"/>
      <c r="OIM197" s="212"/>
      <c r="OIN197" s="212"/>
      <c r="OIO197" s="212"/>
      <c r="OIP197" s="212"/>
      <c r="OIQ197" s="212"/>
      <c r="OIR197" s="212"/>
      <c r="OIS197" s="212"/>
      <c r="OIT197" s="212"/>
      <c r="OIU197" s="212"/>
      <c r="OIV197" s="212"/>
      <c r="OIW197" s="212"/>
      <c r="OIX197" s="212"/>
      <c r="OIY197" s="212"/>
      <c r="OIZ197" s="212"/>
      <c r="OJA197" s="212"/>
      <c r="OJB197" s="212"/>
      <c r="OJC197" s="212"/>
      <c r="OJD197" s="212"/>
      <c r="OJE197" s="212"/>
      <c r="OJF197" s="212"/>
      <c r="OJG197" s="212"/>
      <c r="OJH197" s="212"/>
      <c r="OJI197" s="212"/>
      <c r="OJJ197" s="212"/>
      <c r="OJK197" s="212"/>
      <c r="OJL197" s="212"/>
      <c r="OJM197" s="212"/>
      <c r="OJN197" s="212"/>
      <c r="OJO197" s="212"/>
      <c r="OJP197" s="212"/>
      <c r="OJQ197" s="212"/>
      <c r="OJR197" s="212"/>
      <c r="OJS197" s="212"/>
      <c r="OJT197" s="212"/>
      <c r="OJU197" s="212"/>
      <c r="OJV197" s="212"/>
      <c r="OJW197" s="212"/>
      <c r="OJX197" s="212"/>
      <c r="OJY197" s="212"/>
      <c r="OJZ197" s="212"/>
      <c r="OKA197" s="212"/>
      <c r="OKB197" s="214"/>
      <c r="OKC197" s="211"/>
      <c r="OKD197" s="212"/>
      <c r="OKE197" s="212"/>
      <c r="OKF197" s="212"/>
      <c r="OKG197" s="212"/>
      <c r="OKH197" s="212"/>
      <c r="OKI197" s="212"/>
      <c r="OKJ197" s="212"/>
      <c r="OKK197" s="212"/>
      <c r="OKL197" s="212"/>
      <c r="OKM197" s="212"/>
      <c r="OKN197" s="212"/>
      <c r="OKO197" s="212"/>
      <c r="OKP197" s="212"/>
      <c r="OKQ197" s="212"/>
      <c r="OKR197" s="212"/>
      <c r="OKS197" s="212"/>
      <c r="OKT197" s="212"/>
      <c r="OKU197" s="212"/>
      <c r="OKV197" s="212"/>
      <c r="OKW197" s="212"/>
      <c r="OKX197" s="212"/>
      <c r="OKY197" s="212"/>
      <c r="OKZ197" s="212"/>
      <c r="OLA197" s="212"/>
      <c r="OLB197" s="212"/>
      <c r="OLC197" s="212"/>
      <c r="OLD197" s="212"/>
      <c r="OLE197" s="212"/>
      <c r="OLF197" s="212"/>
      <c r="OLG197" s="212"/>
      <c r="OLH197" s="212"/>
      <c r="OLI197" s="212"/>
      <c r="OLJ197" s="212"/>
      <c r="OLK197" s="212"/>
      <c r="OLL197" s="212"/>
      <c r="OLM197" s="212"/>
      <c r="OLN197" s="212"/>
      <c r="OLO197" s="212"/>
      <c r="OLP197" s="212"/>
      <c r="OLQ197" s="212"/>
      <c r="OLR197" s="212"/>
      <c r="OLS197" s="212"/>
      <c r="OLT197" s="214"/>
      <c r="OLU197" s="211"/>
      <c r="OLV197" s="212"/>
      <c r="OLW197" s="212"/>
      <c r="OLX197" s="212"/>
      <c r="OLY197" s="212"/>
      <c r="OLZ197" s="212"/>
      <c r="OMA197" s="212"/>
      <c r="OMB197" s="212"/>
      <c r="OMC197" s="212"/>
      <c r="OMD197" s="212"/>
      <c r="OME197" s="212"/>
      <c r="OMF197" s="212"/>
      <c r="OMG197" s="212"/>
      <c r="OMH197" s="212"/>
      <c r="OMI197" s="212"/>
      <c r="OMJ197" s="212"/>
      <c r="OMK197" s="212"/>
      <c r="OML197" s="212"/>
      <c r="OMM197" s="212"/>
      <c r="OMN197" s="212"/>
      <c r="OMO197" s="212"/>
      <c r="OMP197" s="212"/>
      <c r="OMQ197" s="212"/>
      <c r="OMR197" s="212"/>
      <c r="OMS197" s="212"/>
      <c r="OMT197" s="212"/>
      <c r="OMU197" s="212"/>
      <c r="OMV197" s="212"/>
      <c r="OMW197" s="212"/>
      <c r="OMX197" s="212"/>
      <c r="OMY197" s="212"/>
      <c r="OMZ197" s="212"/>
      <c r="ONA197" s="212"/>
      <c r="ONB197" s="212"/>
      <c r="ONC197" s="212"/>
      <c r="OND197" s="212"/>
      <c r="ONE197" s="212"/>
      <c r="ONF197" s="212"/>
      <c r="ONG197" s="212"/>
      <c r="ONH197" s="212"/>
      <c r="ONI197" s="212"/>
      <c r="ONJ197" s="212"/>
      <c r="ONK197" s="212"/>
      <c r="ONL197" s="214"/>
      <c r="ONM197" s="211"/>
      <c r="ONN197" s="212"/>
      <c r="ONO197" s="212"/>
      <c r="ONP197" s="212"/>
      <c r="ONQ197" s="212"/>
      <c r="ONR197" s="212"/>
      <c r="ONS197" s="212"/>
      <c r="ONT197" s="212"/>
      <c r="ONU197" s="212"/>
      <c r="ONV197" s="212"/>
      <c r="ONW197" s="212"/>
      <c r="ONX197" s="212"/>
      <c r="ONY197" s="212"/>
      <c r="ONZ197" s="212"/>
      <c r="OOA197" s="212"/>
      <c r="OOB197" s="212"/>
      <c r="OOC197" s="212"/>
      <c r="OOD197" s="212"/>
      <c r="OOE197" s="212"/>
      <c r="OOF197" s="212"/>
      <c r="OOG197" s="212"/>
      <c r="OOH197" s="212"/>
      <c r="OOI197" s="212"/>
      <c r="OOJ197" s="212"/>
      <c r="OOK197" s="212"/>
      <c r="OOL197" s="212"/>
      <c r="OOM197" s="212"/>
      <c r="OON197" s="212"/>
      <c r="OOO197" s="212"/>
      <c r="OOP197" s="212"/>
      <c r="OOQ197" s="212"/>
      <c r="OOR197" s="212"/>
      <c r="OOS197" s="212"/>
      <c r="OOT197" s="212"/>
      <c r="OOU197" s="212"/>
      <c r="OOV197" s="212"/>
      <c r="OOW197" s="212"/>
      <c r="OOX197" s="212"/>
      <c r="OOY197" s="212"/>
      <c r="OOZ197" s="212"/>
      <c r="OPA197" s="212"/>
      <c r="OPB197" s="212"/>
      <c r="OPC197" s="212"/>
      <c r="OPD197" s="214"/>
      <c r="OPE197" s="211"/>
      <c r="OPF197" s="212"/>
      <c r="OPG197" s="212"/>
      <c r="OPH197" s="212"/>
      <c r="OPI197" s="212"/>
      <c r="OPJ197" s="212"/>
      <c r="OPK197" s="212"/>
      <c r="OPL197" s="212"/>
      <c r="OPM197" s="212"/>
      <c r="OPN197" s="212"/>
      <c r="OPO197" s="212"/>
      <c r="OPP197" s="212"/>
      <c r="OPQ197" s="212"/>
      <c r="OPR197" s="212"/>
      <c r="OPS197" s="212"/>
      <c r="OPT197" s="212"/>
      <c r="OPU197" s="212"/>
      <c r="OPV197" s="212"/>
      <c r="OPW197" s="212"/>
      <c r="OPX197" s="212"/>
      <c r="OPY197" s="212"/>
      <c r="OPZ197" s="212"/>
      <c r="OQA197" s="212"/>
      <c r="OQB197" s="212"/>
      <c r="OQC197" s="212"/>
      <c r="OQD197" s="212"/>
      <c r="OQE197" s="212"/>
      <c r="OQF197" s="212"/>
      <c r="OQG197" s="212"/>
      <c r="OQH197" s="212"/>
      <c r="OQI197" s="212"/>
      <c r="OQJ197" s="212"/>
      <c r="OQK197" s="212"/>
      <c r="OQL197" s="212"/>
      <c r="OQM197" s="212"/>
      <c r="OQN197" s="212"/>
      <c r="OQO197" s="212"/>
      <c r="OQP197" s="212"/>
      <c r="OQQ197" s="212"/>
      <c r="OQR197" s="212"/>
      <c r="OQS197" s="212"/>
      <c r="OQT197" s="212"/>
      <c r="OQU197" s="212"/>
      <c r="OQV197" s="214"/>
      <c r="OQW197" s="211"/>
      <c r="OQX197" s="212"/>
      <c r="OQY197" s="212"/>
      <c r="OQZ197" s="212"/>
      <c r="ORA197" s="212"/>
      <c r="ORB197" s="212"/>
      <c r="ORC197" s="212"/>
      <c r="ORD197" s="212"/>
      <c r="ORE197" s="212"/>
      <c r="ORF197" s="212"/>
      <c r="ORG197" s="212"/>
      <c r="ORH197" s="212"/>
      <c r="ORI197" s="212"/>
      <c r="ORJ197" s="212"/>
      <c r="ORK197" s="212"/>
      <c r="ORL197" s="212"/>
      <c r="ORM197" s="212"/>
      <c r="ORN197" s="212"/>
      <c r="ORO197" s="212"/>
      <c r="ORP197" s="212"/>
      <c r="ORQ197" s="212"/>
      <c r="ORR197" s="212"/>
      <c r="ORS197" s="212"/>
      <c r="ORT197" s="212"/>
      <c r="ORU197" s="212"/>
      <c r="ORV197" s="212"/>
      <c r="ORW197" s="212"/>
      <c r="ORX197" s="212"/>
      <c r="ORY197" s="212"/>
      <c r="ORZ197" s="212"/>
      <c r="OSA197" s="212"/>
      <c r="OSB197" s="212"/>
      <c r="OSC197" s="212"/>
      <c r="OSD197" s="212"/>
      <c r="OSE197" s="212"/>
      <c r="OSF197" s="212"/>
      <c r="OSG197" s="212"/>
      <c r="OSH197" s="212"/>
      <c r="OSI197" s="212"/>
      <c r="OSJ197" s="212"/>
      <c r="OSK197" s="212"/>
      <c r="OSL197" s="212"/>
      <c r="OSM197" s="212"/>
      <c r="OSN197" s="214"/>
      <c r="OSO197" s="211"/>
      <c r="OSP197" s="212"/>
      <c r="OSQ197" s="212"/>
      <c r="OSR197" s="212"/>
      <c r="OSS197" s="212"/>
      <c r="OST197" s="212"/>
      <c r="OSU197" s="212"/>
      <c r="OSV197" s="212"/>
      <c r="OSW197" s="212"/>
      <c r="OSX197" s="212"/>
      <c r="OSY197" s="212"/>
      <c r="OSZ197" s="212"/>
      <c r="OTA197" s="212"/>
      <c r="OTB197" s="212"/>
      <c r="OTC197" s="212"/>
      <c r="OTD197" s="212"/>
      <c r="OTE197" s="212"/>
      <c r="OTF197" s="212"/>
      <c r="OTG197" s="212"/>
      <c r="OTH197" s="212"/>
      <c r="OTI197" s="212"/>
      <c r="OTJ197" s="212"/>
      <c r="OTK197" s="212"/>
      <c r="OTL197" s="212"/>
      <c r="OTM197" s="212"/>
      <c r="OTN197" s="212"/>
      <c r="OTO197" s="212"/>
      <c r="OTP197" s="212"/>
      <c r="OTQ197" s="212"/>
      <c r="OTR197" s="212"/>
      <c r="OTS197" s="212"/>
      <c r="OTT197" s="212"/>
      <c r="OTU197" s="212"/>
      <c r="OTV197" s="212"/>
      <c r="OTW197" s="212"/>
      <c r="OTX197" s="212"/>
      <c r="OTY197" s="212"/>
      <c r="OTZ197" s="212"/>
      <c r="OUA197" s="212"/>
      <c r="OUB197" s="212"/>
      <c r="OUC197" s="212"/>
      <c r="OUD197" s="212"/>
      <c r="OUE197" s="212"/>
      <c r="OUF197" s="214"/>
      <c r="OUG197" s="211"/>
      <c r="OUH197" s="212"/>
      <c r="OUI197" s="212"/>
      <c r="OUJ197" s="212"/>
      <c r="OUK197" s="212"/>
      <c r="OUL197" s="212"/>
      <c r="OUM197" s="212"/>
      <c r="OUN197" s="212"/>
      <c r="OUO197" s="212"/>
      <c r="OUP197" s="212"/>
      <c r="OUQ197" s="212"/>
      <c r="OUR197" s="212"/>
      <c r="OUS197" s="212"/>
      <c r="OUT197" s="212"/>
      <c r="OUU197" s="212"/>
      <c r="OUV197" s="212"/>
      <c r="OUW197" s="212"/>
      <c r="OUX197" s="212"/>
      <c r="OUY197" s="212"/>
      <c r="OUZ197" s="212"/>
      <c r="OVA197" s="212"/>
      <c r="OVB197" s="212"/>
      <c r="OVC197" s="212"/>
      <c r="OVD197" s="212"/>
      <c r="OVE197" s="212"/>
      <c r="OVF197" s="212"/>
      <c r="OVG197" s="212"/>
      <c r="OVH197" s="212"/>
      <c r="OVI197" s="212"/>
      <c r="OVJ197" s="212"/>
      <c r="OVK197" s="212"/>
      <c r="OVL197" s="212"/>
      <c r="OVM197" s="212"/>
      <c r="OVN197" s="212"/>
      <c r="OVO197" s="212"/>
      <c r="OVP197" s="212"/>
      <c r="OVQ197" s="212"/>
      <c r="OVR197" s="212"/>
      <c r="OVS197" s="212"/>
      <c r="OVT197" s="212"/>
      <c r="OVU197" s="212"/>
      <c r="OVV197" s="212"/>
      <c r="OVW197" s="212"/>
      <c r="OVX197" s="214"/>
      <c r="OVY197" s="211"/>
      <c r="OVZ197" s="212"/>
      <c r="OWA197" s="212"/>
      <c r="OWB197" s="212"/>
      <c r="OWC197" s="212"/>
      <c r="OWD197" s="212"/>
      <c r="OWE197" s="212"/>
      <c r="OWF197" s="212"/>
      <c r="OWG197" s="212"/>
      <c r="OWH197" s="212"/>
      <c r="OWI197" s="212"/>
      <c r="OWJ197" s="212"/>
      <c r="OWK197" s="212"/>
      <c r="OWL197" s="212"/>
      <c r="OWM197" s="212"/>
      <c r="OWN197" s="212"/>
      <c r="OWO197" s="212"/>
      <c r="OWP197" s="212"/>
      <c r="OWQ197" s="212"/>
      <c r="OWR197" s="212"/>
      <c r="OWS197" s="212"/>
      <c r="OWT197" s="212"/>
      <c r="OWU197" s="212"/>
      <c r="OWV197" s="212"/>
      <c r="OWW197" s="212"/>
      <c r="OWX197" s="212"/>
      <c r="OWY197" s="212"/>
      <c r="OWZ197" s="212"/>
      <c r="OXA197" s="212"/>
      <c r="OXB197" s="212"/>
      <c r="OXC197" s="212"/>
      <c r="OXD197" s="212"/>
      <c r="OXE197" s="212"/>
      <c r="OXF197" s="212"/>
      <c r="OXG197" s="212"/>
      <c r="OXH197" s="212"/>
      <c r="OXI197" s="212"/>
      <c r="OXJ197" s="212"/>
      <c r="OXK197" s="212"/>
      <c r="OXL197" s="212"/>
      <c r="OXM197" s="212"/>
      <c r="OXN197" s="212"/>
      <c r="OXO197" s="212"/>
      <c r="OXP197" s="214"/>
      <c r="OXQ197" s="211"/>
      <c r="OXR197" s="212"/>
      <c r="OXS197" s="212"/>
      <c r="OXT197" s="212"/>
      <c r="OXU197" s="212"/>
      <c r="OXV197" s="212"/>
      <c r="OXW197" s="212"/>
      <c r="OXX197" s="212"/>
      <c r="OXY197" s="212"/>
      <c r="OXZ197" s="212"/>
      <c r="OYA197" s="212"/>
      <c r="OYB197" s="212"/>
      <c r="OYC197" s="212"/>
      <c r="OYD197" s="212"/>
      <c r="OYE197" s="212"/>
      <c r="OYF197" s="212"/>
      <c r="OYG197" s="212"/>
      <c r="OYH197" s="212"/>
      <c r="OYI197" s="212"/>
      <c r="OYJ197" s="212"/>
      <c r="OYK197" s="212"/>
      <c r="OYL197" s="212"/>
      <c r="OYM197" s="212"/>
      <c r="OYN197" s="212"/>
      <c r="OYO197" s="212"/>
      <c r="OYP197" s="212"/>
      <c r="OYQ197" s="212"/>
      <c r="OYR197" s="212"/>
      <c r="OYS197" s="212"/>
      <c r="OYT197" s="212"/>
      <c r="OYU197" s="212"/>
      <c r="OYV197" s="212"/>
      <c r="OYW197" s="212"/>
      <c r="OYX197" s="212"/>
      <c r="OYY197" s="212"/>
      <c r="OYZ197" s="212"/>
      <c r="OZA197" s="212"/>
      <c r="OZB197" s="212"/>
      <c r="OZC197" s="212"/>
      <c r="OZD197" s="212"/>
      <c r="OZE197" s="212"/>
      <c r="OZF197" s="212"/>
      <c r="OZG197" s="212"/>
      <c r="OZH197" s="214"/>
      <c r="OZI197" s="211"/>
      <c r="OZJ197" s="212"/>
      <c r="OZK197" s="212"/>
      <c r="OZL197" s="212"/>
      <c r="OZM197" s="212"/>
      <c r="OZN197" s="212"/>
      <c r="OZO197" s="212"/>
      <c r="OZP197" s="212"/>
      <c r="OZQ197" s="212"/>
      <c r="OZR197" s="212"/>
      <c r="OZS197" s="212"/>
      <c r="OZT197" s="212"/>
      <c r="OZU197" s="212"/>
      <c r="OZV197" s="212"/>
      <c r="OZW197" s="212"/>
      <c r="OZX197" s="212"/>
      <c r="OZY197" s="212"/>
      <c r="OZZ197" s="212"/>
      <c r="PAA197" s="212"/>
      <c r="PAB197" s="212"/>
      <c r="PAC197" s="212"/>
      <c r="PAD197" s="212"/>
      <c r="PAE197" s="212"/>
      <c r="PAF197" s="212"/>
      <c r="PAG197" s="212"/>
      <c r="PAH197" s="212"/>
      <c r="PAI197" s="212"/>
      <c r="PAJ197" s="212"/>
      <c r="PAK197" s="212"/>
      <c r="PAL197" s="212"/>
      <c r="PAM197" s="212"/>
      <c r="PAN197" s="212"/>
      <c r="PAO197" s="212"/>
      <c r="PAP197" s="212"/>
      <c r="PAQ197" s="212"/>
      <c r="PAR197" s="212"/>
      <c r="PAS197" s="212"/>
      <c r="PAT197" s="212"/>
      <c r="PAU197" s="212"/>
      <c r="PAV197" s="212"/>
      <c r="PAW197" s="212"/>
      <c r="PAX197" s="212"/>
      <c r="PAY197" s="212"/>
      <c r="PAZ197" s="214"/>
      <c r="PBA197" s="211"/>
      <c r="PBB197" s="212"/>
      <c r="PBC197" s="212"/>
      <c r="PBD197" s="212"/>
      <c r="PBE197" s="212"/>
      <c r="PBF197" s="212"/>
      <c r="PBG197" s="212"/>
      <c r="PBH197" s="212"/>
      <c r="PBI197" s="212"/>
      <c r="PBJ197" s="212"/>
      <c r="PBK197" s="212"/>
      <c r="PBL197" s="212"/>
      <c r="PBM197" s="212"/>
      <c r="PBN197" s="212"/>
      <c r="PBO197" s="212"/>
      <c r="PBP197" s="212"/>
      <c r="PBQ197" s="212"/>
      <c r="PBR197" s="212"/>
      <c r="PBS197" s="212"/>
      <c r="PBT197" s="212"/>
      <c r="PBU197" s="212"/>
      <c r="PBV197" s="212"/>
      <c r="PBW197" s="212"/>
      <c r="PBX197" s="212"/>
      <c r="PBY197" s="212"/>
      <c r="PBZ197" s="212"/>
      <c r="PCA197" s="212"/>
      <c r="PCB197" s="212"/>
      <c r="PCC197" s="212"/>
      <c r="PCD197" s="212"/>
      <c r="PCE197" s="212"/>
      <c r="PCF197" s="212"/>
      <c r="PCG197" s="212"/>
      <c r="PCH197" s="212"/>
      <c r="PCI197" s="212"/>
      <c r="PCJ197" s="212"/>
      <c r="PCK197" s="212"/>
      <c r="PCL197" s="212"/>
      <c r="PCM197" s="212"/>
      <c r="PCN197" s="212"/>
      <c r="PCO197" s="212"/>
      <c r="PCP197" s="212"/>
      <c r="PCQ197" s="212"/>
      <c r="PCR197" s="214"/>
      <c r="PCS197" s="211"/>
      <c r="PCT197" s="212"/>
      <c r="PCU197" s="212"/>
      <c r="PCV197" s="212"/>
      <c r="PCW197" s="212"/>
      <c r="PCX197" s="212"/>
      <c r="PCY197" s="212"/>
      <c r="PCZ197" s="212"/>
      <c r="PDA197" s="212"/>
      <c r="PDB197" s="212"/>
      <c r="PDC197" s="212"/>
      <c r="PDD197" s="212"/>
      <c r="PDE197" s="212"/>
      <c r="PDF197" s="212"/>
      <c r="PDG197" s="212"/>
      <c r="PDH197" s="212"/>
      <c r="PDI197" s="212"/>
      <c r="PDJ197" s="212"/>
      <c r="PDK197" s="212"/>
      <c r="PDL197" s="212"/>
      <c r="PDM197" s="212"/>
      <c r="PDN197" s="212"/>
      <c r="PDO197" s="212"/>
      <c r="PDP197" s="212"/>
      <c r="PDQ197" s="212"/>
      <c r="PDR197" s="212"/>
      <c r="PDS197" s="212"/>
      <c r="PDT197" s="212"/>
      <c r="PDU197" s="212"/>
      <c r="PDV197" s="212"/>
      <c r="PDW197" s="212"/>
      <c r="PDX197" s="212"/>
      <c r="PDY197" s="212"/>
      <c r="PDZ197" s="212"/>
      <c r="PEA197" s="212"/>
      <c r="PEB197" s="212"/>
      <c r="PEC197" s="212"/>
      <c r="PED197" s="212"/>
      <c r="PEE197" s="212"/>
      <c r="PEF197" s="212"/>
      <c r="PEG197" s="212"/>
      <c r="PEH197" s="212"/>
      <c r="PEI197" s="212"/>
      <c r="PEJ197" s="214"/>
      <c r="PEK197" s="211"/>
      <c r="PEL197" s="212"/>
      <c r="PEM197" s="212"/>
      <c r="PEN197" s="212"/>
      <c r="PEO197" s="212"/>
      <c r="PEP197" s="212"/>
      <c r="PEQ197" s="212"/>
      <c r="PER197" s="212"/>
      <c r="PES197" s="212"/>
      <c r="PET197" s="212"/>
      <c r="PEU197" s="212"/>
      <c r="PEV197" s="212"/>
      <c r="PEW197" s="212"/>
      <c r="PEX197" s="212"/>
      <c r="PEY197" s="212"/>
      <c r="PEZ197" s="212"/>
      <c r="PFA197" s="212"/>
      <c r="PFB197" s="212"/>
      <c r="PFC197" s="212"/>
      <c r="PFD197" s="212"/>
      <c r="PFE197" s="212"/>
      <c r="PFF197" s="212"/>
      <c r="PFG197" s="212"/>
      <c r="PFH197" s="212"/>
      <c r="PFI197" s="212"/>
      <c r="PFJ197" s="212"/>
      <c r="PFK197" s="212"/>
      <c r="PFL197" s="212"/>
      <c r="PFM197" s="212"/>
      <c r="PFN197" s="212"/>
      <c r="PFO197" s="212"/>
      <c r="PFP197" s="212"/>
      <c r="PFQ197" s="212"/>
      <c r="PFR197" s="212"/>
      <c r="PFS197" s="212"/>
      <c r="PFT197" s="212"/>
      <c r="PFU197" s="212"/>
      <c r="PFV197" s="212"/>
      <c r="PFW197" s="212"/>
      <c r="PFX197" s="212"/>
      <c r="PFY197" s="212"/>
      <c r="PFZ197" s="212"/>
      <c r="PGA197" s="212"/>
      <c r="PGB197" s="214"/>
      <c r="PGC197" s="211"/>
      <c r="PGD197" s="212"/>
      <c r="PGE197" s="212"/>
      <c r="PGF197" s="212"/>
      <c r="PGG197" s="212"/>
      <c r="PGH197" s="212"/>
      <c r="PGI197" s="212"/>
      <c r="PGJ197" s="212"/>
      <c r="PGK197" s="212"/>
      <c r="PGL197" s="212"/>
      <c r="PGM197" s="212"/>
      <c r="PGN197" s="212"/>
      <c r="PGO197" s="212"/>
      <c r="PGP197" s="212"/>
      <c r="PGQ197" s="212"/>
      <c r="PGR197" s="212"/>
      <c r="PGS197" s="212"/>
      <c r="PGT197" s="212"/>
      <c r="PGU197" s="212"/>
      <c r="PGV197" s="212"/>
      <c r="PGW197" s="212"/>
      <c r="PGX197" s="212"/>
      <c r="PGY197" s="212"/>
      <c r="PGZ197" s="212"/>
      <c r="PHA197" s="212"/>
      <c r="PHB197" s="212"/>
      <c r="PHC197" s="212"/>
      <c r="PHD197" s="212"/>
      <c r="PHE197" s="212"/>
      <c r="PHF197" s="212"/>
      <c r="PHG197" s="212"/>
      <c r="PHH197" s="212"/>
      <c r="PHI197" s="212"/>
      <c r="PHJ197" s="212"/>
      <c r="PHK197" s="212"/>
      <c r="PHL197" s="212"/>
      <c r="PHM197" s="212"/>
      <c r="PHN197" s="212"/>
      <c r="PHO197" s="212"/>
      <c r="PHP197" s="212"/>
      <c r="PHQ197" s="212"/>
      <c r="PHR197" s="212"/>
      <c r="PHS197" s="212"/>
      <c r="PHT197" s="214"/>
      <c r="PHU197" s="211"/>
      <c r="PHV197" s="212"/>
      <c r="PHW197" s="212"/>
      <c r="PHX197" s="212"/>
      <c r="PHY197" s="212"/>
      <c r="PHZ197" s="212"/>
      <c r="PIA197" s="212"/>
      <c r="PIB197" s="212"/>
      <c r="PIC197" s="212"/>
      <c r="PID197" s="212"/>
      <c r="PIE197" s="212"/>
      <c r="PIF197" s="212"/>
      <c r="PIG197" s="212"/>
      <c r="PIH197" s="212"/>
      <c r="PII197" s="212"/>
      <c r="PIJ197" s="212"/>
      <c r="PIK197" s="212"/>
      <c r="PIL197" s="212"/>
      <c r="PIM197" s="212"/>
      <c r="PIN197" s="212"/>
      <c r="PIO197" s="212"/>
      <c r="PIP197" s="212"/>
      <c r="PIQ197" s="212"/>
      <c r="PIR197" s="212"/>
      <c r="PIS197" s="212"/>
      <c r="PIT197" s="212"/>
      <c r="PIU197" s="212"/>
      <c r="PIV197" s="212"/>
      <c r="PIW197" s="212"/>
      <c r="PIX197" s="212"/>
      <c r="PIY197" s="212"/>
      <c r="PIZ197" s="212"/>
      <c r="PJA197" s="212"/>
      <c r="PJB197" s="212"/>
      <c r="PJC197" s="212"/>
      <c r="PJD197" s="212"/>
      <c r="PJE197" s="212"/>
      <c r="PJF197" s="212"/>
      <c r="PJG197" s="212"/>
      <c r="PJH197" s="212"/>
      <c r="PJI197" s="212"/>
      <c r="PJJ197" s="212"/>
      <c r="PJK197" s="212"/>
      <c r="PJL197" s="214"/>
      <c r="PJM197" s="211"/>
      <c r="PJN197" s="212"/>
      <c r="PJO197" s="212"/>
      <c r="PJP197" s="212"/>
      <c r="PJQ197" s="212"/>
      <c r="PJR197" s="212"/>
      <c r="PJS197" s="212"/>
      <c r="PJT197" s="212"/>
      <c r="PJU197" s="212"/>
      <c r="PJV197" s="212"/>
      <c r="PJW197" s="212"/>
      <c r="PJX197" s="212"/>
      <c r="PJY197" s="212"/>
      <c r="PJZ197" s="212"/>
      <c r="PKA197" s="212"/>
      <c r="PKB197" s="212"/>
      <c r="PKC197" s="212"/>
      <c r="PKD197" s="212"/>
      <c r="PKE197" s="212"/>
      <c r="PKF197" s="212"/>
      <c r="PKG197" s="212"/>
      <c r="PKH197" s="212"/>
      <c r="PKI197" s="212"/>
      <c r="PKJ197" s="212"/>
      <c r="PKK197" s="212"/>
      <c r="PKL197" s="212"/>
      <c r="PKM197" s="212"/>
      <c r="PKN197" s="212"/>
      <c r="PKO197" s="212"/>
      <c r="PKP197" s="212"/>
      <c r="PKQ197" s="212"/>
      <c r="PKR197" s="212"/>
      <c r="PKS197" s="212"/>
      <c r="PKT197" s="212"/>
      <c r="PKU197" s="212"/>
      <c r="PKV197" s="212"/>
      <c r="PKW197" s="212"/>
      <c r="PKX197" s="212"/>
      <c r="PKY197" s="212"/>
      <c r="PKZ197" s="212"/>
      <c r="PLA197" s="212"/>
      <c r="PLB197" s="212"/>
      <c r="PLC197" s="212"/>
      <c r="PLD197" s="214"/>
      <c r="PLE197" s="211"/>
      <c r="PLF197" s="212"/>
      <c r="PLG197" s="212"/>
      <c r="PLH197" s="212"/>
      <c r="PLI197" s="212"/>
      <c r="PLJ197" s="212"/>
      <c r="PLK197" s="212"/>
      <c r="PLL197" s="212"/>
      <c r="PLM197" s="212"/>
      <c r="PLN197" s="212"/>
      <c r="PLO197" s="212"/>
      <c r="PLP197" s="212"/>
      <c r="PLQ197" s="212"/>
      <c r="PLR197" s="212"/>
      <c r="PLS197" s="212"/>
      <c r="PLT197" s="212"/>
      <c r="PLU197" s="212"/>
      <c r="PLV197" s="212"/>
      <c r="PLW197" s="212"/>
      <c r="PLX197" s="212"/>
      <c r="PLY197" s="212"/>
      <c r="PLZ197" s="212"/>
      <c r="PMA197" s="212"/>
      <c r="PMB197" s="212"/>
      <c r="PMC197" s="212"/>
      <c r="PMD197" s="212"/>
      <c r="PME197" s="212"/>
      <c r="PMF197" s="212"/>
      <c r="PMG197" s="212"/>
      <c r="PMH197" s="212"/>
      <c r="PMI197" s="212"/>
      <c r="PMJ197" s="212"/>
      <c r="PMK197" s="212"/>
      <c r="PML197" s="212"/>
      <c r="PMM197" s="212"/>
      <c r="PMN197" s="212"/>
      <c r="PMO197" s="212"/>
      <c r="PMP197" s="212"/>
      <c r="PMQ197" s="212"/>
      <c r="PMR197" s="212"/>
      <c r="PMS197" s="212"/>
      <c r="PMT197" s="212"/>
      <c r="PMU197" s="212"/>
      <c r="PMV197" s="214"/>
      <c r="PMW197" s="211"/>
      <c r="PMX197" s="212"/>
      <c r="PMY197" s="212"/>
      <c r="PMZ197" s="212"/>
      <c r="PNA197" s="212"/>
      <c r="PNB197" s="212"/>
      <c r="PNC197" s="212"/>
      <c r="PND197" s="212"/>
      <c r="PNE197" s="212"/>
      <c r="PNF197" s="212"/>
      <c r="PNG197" s="212"/>
      <c r="PNH197" s="212"/>
      <c r="PNI197" s="212"/>
      <c r="PNJ197" s="212"/>
      <c r="PNK197" s="212"/>
      <c r="PNL197" s="212"/>
      <c r="PNM197" s="212"/>
      <c r="PNN197" s="212"/>
      <c r="PNO197" s="212"/>
      <c r="PNP197" s="212"/>
      <c r="PNQ197" s="212"/>
      <c r="PNR197" s="212"/>
      <c r="PNS197" s="212"/>
      <c r="PNT197" s="212"/>
      <c r="PNU197" s="212"/>
      <c r="PNV197" s="212"/>
      <c r="PNW197" s="212"/>
      <c r="PNX197" s="212"/>
      <c r="PNY197" s="212"/>
      <c r="PNZ197" s="212"/>
      <c r="POA197" s="212"/>
      <c r="POB197" s="212"/>
      <c r="POC197" s="212"/>
      <c r="POD197" s="212"/>
      <c r="POE197" s="212"/>
      <c r="POF197" s="212"/>
      <c r="POG197" s="212"/>
      <c r="POH197" s="212"/>
      <c r="POI197" s="212"/>
      <c r="POJ197" s="212"/>
      <c r="POK197" s="212"/>
      <c r="POL197" s="212"/>
      <c r="POM197" s="212"/>
      <c r="PON197" s="214"/>
      <c r="POO197" s="211"/>
      <c r="POP197" s="212"/>
      <c r="POQ197" s="212"/>
      <c r="POR197" s="212"/>
      <c r="POS197" s="212"/>
      <c r="POT197" s="212"/>
      <c r="POU197" s="212"/>
      <c r="POV197" s="212"/>
      <c r="POW197" s="212"/>
      <c r="POX197" s="212"/>
      <c r="POY197" s="212"/>
      <c r="POZ197" s="212"/>
      <c r="PPA197" s="212"/>
      <c r="PPB197" s="212"/>
      <c r="PPC197" s="212"/>
      <c r="PPD197" s="212"/>
      <c r="PPE197" s="212"/>
      <c r="PPF197" s="212"/>
      <c r="PPG197" s="212"/>
      <c r="PPH197" s="212"/>
      <c r="PPI197" s="212"/>
      <c r="PPJ197" s="212"/>
      <c r="PPK197" s="212"/>
      <c r="PPL197" s="212"/>
      <c r="PPM197" s="212"/>
      <c r="PPN197" s="212"/>
      <c r="PPO197" s="212"/>
      <c r="PPP197" s="212"/>
      <c r="PPQ197" s="212"/>
      <c r="PPR197" s="212"/>
      <c r="PPS197" s="212"/>
      <c r="PPT197" s="212"/>
      <c r="PPU197" s="212"/>
      <c r="PPV197" s="212"/>
      <c r="PPW197" s="212"/>
      <c r="PPX197" s="212"/>
      <c r="PPY197" s="212"/>
      <c r="PPZ197" s="212"/>
      <c r="PQA197" s="212"/>
      <c r="PQB197" s="212"/>
      <c r="PQC197" s="212"/>
      <c r="PQD197" s="212"/>
      <c r="PQE197" s="212"/>
      <c r="PQF197" s="214"/>
      <c r="PQG197" s="211"/>
      <c r="PQH197" s="212"/>
      <c r="PQI197" s="212"/>
      <c r="PQJ197" s="212"/>
      <c r="PQK197" s="212"/>
      <c r="PQL197" s="212"/>
      <c r="PQM197" s="212"/>
      <c r="PQN197" s="212"/>
      <c r="PQO197" s="212"/>
      <c r="PQP197" s="212"/>
      <c r="PQQ197" s="212"/>
      <c r="PQR197" s="212"/>
      <c r="PQS197" s="212"/>
      <c r="PQT197" s="212"/>
      <c r="PQU197" s="212"/>
      <c r="PQV197" s="212"/>
      <c r="PQW197" s="212"/>
      <c r="PQX197" s="212"/>
      <c r="PQY197" s="212"/>
      <c r="PQZ197" s="212"/>
      <c r="PRA197" s="212"/>
      <c r="PRB197" s="212"/>
      <c r="PRC197" s="212"/>
      <c r="PRD197" s="212"/>
      <c r="PRE197" s="212"/>
      <c r="PRF197" s="212"/>
      <c r="PRG197" s="212"/>
      <c r="PRH197" s="212"/>
      <c r="PRI197" s="212"/>
      <c r="PRJ197" s="212"/>
      <c r="PRK197" s="212"/>
      <c r="PRL197" s="212"/>
      <c r="PRM197" s="212"/>
      <c r="PRN197" s="212"/>
      <c r="PRO197" s="212"/>
      <c r="PRP197" s="212"/>
      <c r="PRQ197" s="212"/>
      <c r="PRR197" s="212"/>
      <c r="PRS197" s="212"/>
      <c r="PRT197" s="212"/>
      <c r="PRU197" s="212"/>
      <c r="PRV197" s="212"/>
      <c r="PRW197" s="212"/>
      <c r="PRX197" s="214"/>
      <c r="PRY197" s="211"/>
      <c r="PRZ197" s="212"/>
      <c r="PSA197" s="212"/>
      <c r="PSB197" s="212"/>
      <c r="PSC197" s="212"/>
      <c r="PSD197" s="212"/>
      <c r="PSE197" s="212"/>
      <c r="PSF197" s="212"/>
      <c r="PSG197" s="212"/>
      <c r="PSH197" s="212"/>
      <c r="PSI197" s="212"/>
      <c r="PSJ197" s="212"/>
      <c r="PSK197" s="212"/>
      <c r="PSL197" s="212"/>
      <c r="PSM197" s="212"/>
      <c r="PSN197" s="212"/>
      <c r="PSO197" s="212"/>
      <c r="PSP197" s="212"/>
      <c r="PSQ197" s="212"/>
      <c r="PSR197" s="212"/>
      <c r="PSS197" s="212"/>
      <c r="PST197" s="212"/>
      <c r="PSU197" s="212"/>
      <c r="PSV197" s="212"/>
      <c r="PSW197" s="212"/>
      <c r="PSX197" s="212"/>
      <c r="PSY197" s="212"/>
      <c r="PSZ197" s="212"/>
      <c r="PTA197" s="212"/>
      <c r="PTB197" s="212"/>
      <c r="PTC197" s="212"/>
      <c r="PTD197" s="212"/>
      <c r="PTE197" s="212"/>
      <c r="PTF197" s="212"/>
      <c r="PTG197" s="212"/>
      <c r="PTH197" s="212"/>
      <c r="PTI197" s="212"/>
      <c r="PTJ197" s="212"/>
      <c r="PTK197" s="212"/>
      <c r="PTL197" s="212"/>
      <c r="PTM197" s="212"/>
      <c r="PTN197" s="212"/>
      <c r="PTO197" s="212"/>
      <c r="PTP197" s="214"/>
      <c r="PTQ197" s="211"/>
      <c r="PTR197" s="212"/>
      <c r="PTS197" s="212"/>
      <c r="PTT197" s="212"/>
      <c r="PTU197" s="212"/>
      <c r="PTV197" s="212"/>
      <c r="PTW197" s="212"/>
      <c r="PTX197" s="212"/>
      <c r="PTY197" s="212"/>
      <c r="PTZ197" s="212"/>
      <c r="PUA197" s="212"/>
      <c r="PUB197" s="212"/>
      <c r="PUC197" s="212"/>
      <c r="PUD197" s="212"/>
      <c r="PUE197" s="212"/>
      <c r="PUF197" s="212"/>
      <c r="PUG197" s="212"/>
      <c r="PUH197" s="212"/>
      <c r="PUI197" s="212"/>
      <c r="PUJ197" s="212"/>
      <c r="PUK197" s="212"/>
      <c r="PUL197" s="212"/>
      <c r="PUM197" s="212"/>
      <c r="PUN197" s="212"/>
      <c r="PUO197" s="212"/>
      <c r="PUP197" s="212"/>
      <c r="PUQ197" s="212"/>
      <c r="PUR197" s="212"/>
      <c r="PUS197" s="212"/>
      <c r="PUT197" s="212"/>
      <c r="PUU197" s="212"/>
      <c r="PUV197" s="212"/>
      <c r="PUW197" s="212"/>
      <c r="PUX197" s="212"/>
      <c r="PUY197" s="212"/>
      <c r="PUZ197" s="212"/>
      <c r="PVA197" s="212"/>
      <c r="PVB197" s="212"/>
      <c r="PVC197" s="212"/>
      <c r="PVD197" s="212"/>
      <c r="PVE197" s="212"/>
      <c r="PVF197" s="212"/>
      <c r="PVG197" s="212"/>
      <c r="PVH197" s="214"/>
      <c r="PVI197" s="211"/>
      <c r="PVJ197" s="212"/>
      <c r="PVK197" s="212"/>
      <c r="PVL197" s="212"/>
      <c r="PVM197" s="212"/>
      <c r="PVN197" s="212"/>
      <c r="PVO197" s="212"/>
      <c r="PVP197" s="212"/>
      <c r="PVQ197" s="212"/>
      <c r="PVR197" s="212"/>
      <c r="PVS197" s="212"/>
      <c r="PVT197" s="212"/>
      <c r="PVU197" s="212"/>
      <c r="PVV197" s="212"/>
      <c r="PVW197" s="212"/>
      <c r="PVX197" s="212"/>
      <c r="PVY197" s="212"/>
      <c r="PVZ197" s="212"/>
      <c r="PWA197" s="212"/>
      <c r="PWB197" s="212"/>
      <c r="PWC197" s="212"/>
      <c r="PWD197" s="212"/>
      <c r="PWE197" s="212"/>
      <c r="PWF197" s="212"/>
      <c r="PWG197" s="212"/>
      <c r="PWH197" s="212"/>
      <c r="PWI197" s="212"/>
      <c r="PWJ197" s="212"/>
      <c r="PWK197" s="212"/>
      <c r="PWL197" s="212"/>
      <c r="PWM197" s="212"/>
      <c r="PWN197" s="212"/>
      <c r="PWO197" s="212"/>
      <c r="PWP197" s="212"/>
      <c r="PWQ197" s="212"/>
      <c r="PWR197" s="212"/>
      <c r="PWS197" s="212"/>
      <c r="PWT197" s="212"/>
      <c r="PWU197" s="212"/>
      <c r="PWV197" s="212"/>
      <c r="PWW197" s="212"/>
      <c r="PWX197" s="212"/>
      <c r="PWY197" s="212"/>
      <c r="PWZ197" s="214"/>
      <c r="PXA197" s="211"/>
      <c r="PXB197" s="212"/>
      <c r="PXC197" s="212"/>
      <c r="PXD197" s="212"/>
      <c r="PXE197" s="212"/>
      <c r="PXF197" s="212"/>
      <c r="PXG197" s="212"/>
      <c r="PXH197" s="212"/>
      <c r="PXI197" s="212"/>
      <c r="PXJ197" s="212"/>
      <c r="PXK197" s="212"/>
      <c r="PXL197" s="212"/>
      <c r="PXM197" s="212"/>
      <c r="PXN197" s="212"/>
      <c r="PXO197" s="212"/>
      <c r="PXP197" s="212"/>
      <c r="PXQ197" s="212"/>
      <c r="PXR197" s="212"/>
      <c r="PXS197" s="212"/>
      <c r="PXT197" s="212"/>
      <c r="PXU197" s="212"/>
      <c r="PXV197" s="212"/>
      <c r="PXW197" s="212"/>
      <c r="PXX197" s="212"/>
      <c r="PXY197" s="212"/>
      <c r="PXZ197" s="212"/>
      <c r="PYA197" s="212"/>
      <c r="PYB197" s="212"/>
      <c r="PYC197" s="212"/>
      <c r="PYD197" s="212"/>
      <c r="PYE197" s="212"/>
      <c r="PYF197" s="212"/>
      <c r="PYG197" s="212"/>
      <c r="PYH197" s="212"/>
      <c r="PYI197" s="212"/>
      <c r="PYJ197" s="212"/>
      <c r="PYK197" s="212"/>
      <c r="PYL197" s="212"/>
      <c r="PYM197" s="212"/>
      <c r="PYN197" s="212"/>
      <c r="PYO197" s="212"/>
      <c r="PYP197" s="212"/>
      <c r="PYQ197" s="212"/>
      <c r="PYR197" s="214"/>
      <c r="PYS197" s="211"/>
      <c r="PYT197" s="212"/>
      <c r="PYU197" s="212"/>
      <c r="PYV197" s="212"/>
      <c r="PYW197" s="212"/>
      <c r="PYX197" s="212"/>
      <c r="PYY197" s="212"/>
      <c r="PYZ197" s="212"/>
      <c r="PZA197" s="212"/>
      <c r="PZB197" s="212"/>
      <c r="PZC197" s="212"/>
      <c r="PZD197" s="212"/>
      <c r="PZE197" s="212"/>
      <c r="PZF197" s="212"/>
      <c r="PZG197" s="212"/>
      <c r="PZH197" s="212"/>
      <c r="PZI197" s="212"/>
      <c r="PZJ197" s="212"/>
      <c r="PZK197" s="212"/>
      <c r="PZL197" s="212"/>
      <c r="PZM197" s="212"/>
      <c r="PZN197" s="212"/>
      <c r="PZO197" s="212"/>
      <c r="PZP197" s="212"/>
      <c r="PZQ197" s="212"/>
      <c r="PZR197" s="212"/>
      <c r="PZS197" s="212"/>
      <c r="PZT197" s="212"/>
      <c r="PZU197" s="212"/>
      <c r="PZV197" s="212"/>
      <c r="PZW197" s="212"/>
      <c r="PZX197" s="212"/>
      <c r="PZY197" s="212"/>
      <c r="PZZ197" s="212"/>
      <c r="QAA197" s="212"/>
      <c r="QAB197" s="212"/>
      <c r="QAC197" s="212"/>
      <c r="QAD197" s="212"/>
      <c r="QAE197" s="212"/>
      <c r="QAF197" s="212"/>
      <c r="QAG197" s="212"/>
      <c r="QAH197" s="212"/>
      <c r="QAI197" s="212"/>
      <c r="QAJ197" s="214"/>
      <c r="QAK197" s="211"/>
      <c r="QAL197" s="212"/>
      <c r="QAM197" s="212"/>
      <c r="QAN197" s="212"/>
      <c r="QAO197" s="212"/>
      <c r="QAP197" s="212"/>
      <c r="QAQ197" s="212"/>
      <c r="QAR197" s="212"/>
      <c r="QAS197" s="212"/>
      <c r="QAT197" s="212"/>
      <c r="QAU197" s="212"/>
      <c r="QAV197" s="212"/>
      <c r="QAW197" s="212"/>
      <c r="QAX197" s="212"/>
      <c r="QAY197" s="212"/>
      <c r="QAZ197" s="212"/>
      <c r="QBA197" s="212"/>
      <c r="QBB197" s="212"/>
      <c r="QBC197" s="212"/>
      <c r="QBD197" s="212"/>
      <c r="QBE197" s="212"/>
      <c r="QBF197" s="212"/>
      <c r="QBG197" s="212"/>
      <c r="QBH197" s="212"/>
      <c r="QBI197" s="212"/>
      <c r="QBJ197" s="212"/>
      <c r="QBK197" s="212"/>
      <c r="QBL197" s="212"/>
      <c r="QBM197" s="212"/>
      <c r="QBN197" s="212"/>
      <c r="QBO197" s="212"/>
      <c r="QBP197" s="212"/>
      <c r="QBQ197" s="212"/>
      <c r="QBR197" s="212"/>
      <c r="QBS197" s="212"/>
      <c r="QBT197" s="212"/>
      <c r="QBU197" s="212"/>
      <c r="QBV197" s="212"/>
      <c r="QBW197" s="212"/>
      <c r="QBX197" s="212"/>
      <c r="QBY197" s="212"/>
      <c r="QBZ197" s="212"/>
      <c r="QCA197" s="212"/>
      <c r="QCB197" s="214"/>
      <c r="QCC197" s="211"/>
      <c r="QCD197" s="212"/>
      <c r="QCE197" s="212"/>
      <c r="QCF197" s="212"/>
      <c r="QCG197" s="212"/>
      <c r="QCH197" s="212"/>
      <c r="QCI197" s="212"/>
      <c r="QCJ197" s="212"/>
      <c r="QCK197" s="212"/>
      <c r="QCL197" s="212"/>
      <c r="QCM197" s="212"/>
      <c r="QCN197" s="212"/>
      <c r="QCO197" s="212"/>
      <c r="QCP197" s="212"/>
      <c r="QCQ197" s="212"/>
      <c r="QCR197" s="212"/>
      <c r="QCS197" s="212"/>
      <c r="QCT197" s="212"/>
      <c r="QCU197" s="212"/>
      <c r="QCV197" s="212"/>
      <c r="QCW197" s="212"/>
      <c r="QCX197" s="212"/>
      <c r="QCY197" s="212"/>
      <c r="QCZ197" s="212"/>
      <c r="QDA197" s="212"/>
      <c r="QDB197" s="212"/>
      <c r="QDC197" s="212"/>
      <c r="QDD197" s="212"/>
      <c r="QDE197" s="212"/>
      <c r="QDF197" s="212"/>
      <c r="QDG197" s="212"/>
      <c r="QDH197" s="212"/>
      <c r="QDI197" s="212"/>
      <c r="QDJ197" s="212"/>
      <c r="QDK197" s="212"/>
      <c r="QDL197" s="212"/>
      <c r="QDM197" s="212"/>
      <c r="QDN197" s="212"/>
      <c r="QDO197" s="212"/>
      <c r="QDP197" s="212"/>
      <c r="QDQ197" s="212"/>
      <c r="QDR197" s="212"/>
      <c r="QDS197" s="212"/>
      <c r="QDT197" s="214"/>
      <c r="QDU197" s="211"/>
      <c r="QDV197" s="212"/>
      <c r="QDW197" s="212"/>
      <c r="QDX197" s="212"/>
      <c r="QDY197" s="212"/>
      <c r="QDZ197" s="212"/>
      <c r="QEA197" s="212"/>
      <c r="QEB197" s="212"/>
      <c r="QEC197" s="212"/>
      <c r="QED197" s="212"/>
      <c r="QEE197" s="212"/>
      <c r="QEF197" s="212"/>
      <c r="QEG197" s="212"/>
      <c r="QEH197" s="212"/>
      <c r="QEI197" s="212"/>
      <c r="QEJ197" s="212"/>
      <c r="QEK197" s="212"/>
      <c r="QEL197" s="212"/>
      <c r="QEM197" s="212"/>
      <c r="QEN197" s="212"/>
      <c r="QEO197" s="212"/>
      <c r="QEP197" s="212"/>
      <c r="QEQ197" s="212"/>
      <c r="QER197" s="212"/>
      <c r="QES197" s="212"/>
      <c r="QET197" s="212"/>
      <c r="QEU197" s="212"/>
      <c r="QEV197" s="212"/>
      <c r="QEW197" s="212"/>
      <c r="QEX197" s="212"/>
      <c r="QEY197" s="212"/>
      <c r="QEZ197" s="212"/>
      <c r="QFA197" s="212"/>
      <c r="QFB197" s="212"/>
      <c r="QFC197" s="212"/>
      <c r="QFD197" s="212"/>
      <c r="QFE197" s="212"/>
      <c r="QFF197" s="212"/>
      <c r="QFG197" s="212"/>
      <c r="QFH197" s="212"/>
      <c r="QFI197" s="212"/>
      <c r="QFJ197" s="212"/>
      <c r="QFK197" s="212"/>
      <c r="QFL197" s="214"/>
      <c r="QFM197" s="211"/>
      <c r="QFN197" s="212"/>
      <c r="QFO197" s="212"/>
      <c r="QFP197" s="212"/>
      <c r="QFQ197" s="212"/>
      <c r="QFR197" s="212"/>
      <c r="QFS197" s="212"/>
      <c r="QFT197" s="212"/>
      <c r="QFU197" s="212"/>
      <c r="QFV197" s="212"/>
      <c r="QFW197" s="212"/>
      <c r="QFX197" s="212"/>
      <c r="QFY197" s="212"/>
      <c r="QFZ197" s="212"/>
      <c r="QGA197" s="212"/>
      <c r="QGB197" s="212"/>
      <c r="QGC197" s="212"/>
      <c r="QGD197" s="212"/>
      <c r="QGE197" s="212"/>
      <c r="QGF197" s="212"/>
      <c r="QGG197" s="212"/>
      <c r="QGH197" s="212"/>
      <c r="QGI197" s="212"/>
      <c r="QGJ197" s="212"/>
      <c r="QGK197" s="212"/>
      <c r="QGL197" s="212"/>
      <c r="QGM197" s="212"/>
      <c r="QGN197" s="212"/>
      <c r="QGO197" s="212"/>
      <c r="QGP197" s="212"/>
      <c r="QGQ197" s="212"/>
      <c r="QGR197" s="212"/>
      <c r="QGS197" s="212"/>
      <c r="QGT197" s="212"/>
      <c r="QGU197" s="212"/>
      <c r="QGV197" s="212"/>
      <c r="QGW197" s="212"/>
      <c r="QGX197" s="212"/>
      <c r="QGY197" s="212"/>
      <c r="QGZ197" s="212"/>
      <c r="QHA197" s="212"/>
      <c r="QHB197" s="212"/>
      <c r="QHC197" s="212"/>
      <c r="QHD197" s="214"/>
      <c r="QHE197" s="211"/>
      <c r="QHF197" s="212"/>
      <c r="QHG197" s="212"/>
      <c r="QHH197" s="212"/>
      <c r="QHI197" s="212"/>
      <c r="QHJ197" s="212"/>
      <c r="QHK197" s="212"/>
      <c r="QHL197" s="212"/>
      <c r="QHM197" s="212"/>
      <c r="QHN197" s="212"/>
      <c r="QHO197" s="212"/>
      <c r="QHP197" s="212"/>
      <c r="QHQ197" s="212"/>
      <c r="QHR197" s="212"/>
      <c r="QHS197" s="212"/>
      <c r="QHT197" s="212"/>
      <c r="QHU197" s="212"/>
      <c r="QHV197" s="212"/>
      <c r="QHW197" s="212"/>
      <c r="QHX197" s="212"/>
      <c r="QHY197" s="212"/>
      <c r="QHZ197" s="212"/>
      <c r="QIA197" s="212"/>
      <c r="QIB197" s="212"/>
      <c r="QIC197" s="212"/>
      <c r="QID197" s="212"/>
      <c r="QIE197" s="212"/>
      <c r="QIF197" s="212"/>
      <c r="QIG197" s="212"/>
      <c r="QIH197" s="212"/>
      <c r="QII197" s="212"/>
      <c r="QIJ197" s="212"/>
      <c r="QIK197" s="212"/>
      <c r="QIL197" s="212"/>
      <c r="QIM197" s="212"/>
      <c r="QIN197" s="212"/>
      <c r="QIO197" s="212"/>
      <c r="QIP197" s="212"/>
      <c r="QIQ197" s="212"/>
      <c r="QIR197" s="212"/>
      <c r="QIS197" s="212"/>
      <c r="QIT197" s="212"/>
      <c r="QIU197" s="212"/>
      <c r="QIV197" s="214"/>
      <c r="QIW197" s="211"/>
      <c r="QIX197" s="212"/>
      <c r="QIY197" s="212"/>
      <c r="QIZ197" s="212"/>
      <c r="QJA197" s="212"/>
      <c r="QJB197" s="212"/>
      <c r="QJC197" s="212"/>
      <c r="QJD197" s="212"/>
      <c r="QJE197" s="212"/>
      <c r="QJF197" s="212"/>
      <c r="QJG197" s="212"/>
      <c r="QJH197" s="212"/>
      <c r="QJI197" s="212"/>
      <c r="QJJ197" s="212"/>
      <c r="QJK197" s="212"/>
      <c r="QJL197" s="212"/>
      <c r="QJM197" s="212"/>
      <c r="QJN197" s="212"/>
      <c r="QJO197" s="212"/>
      <c r="QJP197" s="212"/>
      <c r="QJQ197" s="212"/>
      <c r="QJR197" s="212"/>
      <c r="QJS197" s="212"/>
      <c r="QJT197" s="212"/>
      <c r="QJU197" s="212"/>
      <c r="QJV197" s="212"/>
      <c r="QJW197" s="212"/>
      <c r="QJX197" s="212"/>
      <c r="QJY197" s="212"/>
      <c r="QJZ197" s="212"/>
      <c r="QKA197" s="212"/>
      <c r="QKB197" s="212"/>
      <c r="QKC197" s="212"/>
      <c r="QKD197" s="212"/>
      <c r="QKE197" s="212"/>
      <c r="QKF197" s="212"/>
      <c r="QKG197" s="212"/>
      <c r="QKH197" s="212"/>
      <c r="QKI197" s="212"/>
      <c r="QKJ197" s="212"/>
      <c r="QKK197" s="212"/>
      <c r="QKL197" s="212"/>
      <c r="QKM197" s="212"/>
      <c r="QKN197" s="214"/>
      <c r="QKO197" s="211"/>
      <c r="QKP197" s="212"/>
      <c r="QKQ197" s="212"/>
      <c r="QKR197" s="212"/>
      <c r="QKS197" s="212"/>
      <c r="QKT197" s="212"/>
      <c r="QKU197" s="212"/>
      <c r="QKV197" s="212"/>
      <c r="QKW197" s="212"/>
      <c r="QKX197" s="212"/>
      <c r="QKY197" s="212"/>
      <c r="QKZ197" s="212"/>
      <c r="QLA197" s="212"/>
      <c r="QLB197" s="212"/>
      <c r="QLC197" s="212"/>
      <c r="QLD197" s="212"/>
      <c r="QLE197" s="212"/>
      <c r="QLF197" s="212"/>
      <c r="QLG197" s="212"/>
      <c r="QLH197" s="212"/>
      <c r="QLI197" s="212"/>
      <c r="QLJ197" s="212"/>
      <c r="QLK197" s="212"/>
      <c r="QLL197" s="212"/>
      <c r="QLM197" s="212"/>
      <c r="QLN197" s="212"/>
      <c r="QLO197" s="212"/>
      <c r="QLP197" s="212"/>
      <c r="QLQ197" s="212"/>
      <c r="QLR197" s="212"/>
      <c r="QLS197" s="212"/>
      <c r="QLT197" s="212"/>
      <c r="QLU197" s="212"/>
      <c r="QLV197" s="212"/>
      <c r="QLW197" s="212"/>
      <c r="QLX197" s="212"/>
      <c r="QLY197" s="212"/>
      <c r="QLZ197" s="212"/>
      <c r="QMA197" s="212"/>
      <c r="QMB197" s="212"/>
      <c r="QMC197" s="212"/>
      <c r="QMD197" s="212"/>
      <c r="QME197" s="212"/>
      <c r="QMF197" s="214"/>
      <c r="QMG197" s="211"/>
      <c r="QMH197" s="212"/>
      <c r="QMI197" s="212"/>
      <c r="QMJ197" s="212"/>
      <c r="QMK197" s="212"/>
      <c r="QML197" s="212"/>
      <c r="QMM197" s="212"/>
      <c r="QMN197" s="212"/>
      <c r="QMO197" s="212"/>
      <c r="QMP197" s="212"/>
      <c r="QMQ197" s="212"/>
      <c r="QMR197" s="212"/>
      <c r="QMS197" s="212"/>
      <c r="QMT197" s="212"/>
      <c r="QMU197" s="212"/>
      <c r="QMV197" s="212"/>
      <c r="QMW197" s="212"/>
      <c r="QMX197" s="212"/>
      <c r="QMY197" s="212"/>
      <c r="QMZ197" s="212"/>
      <c r="QNA197" s="212"/>
      <c r="QNB197" s="212"/>
      <c r="QNC197" s="212"/>
      <c r="QND197" s="212"/>
      <c r="QNE197" s="212"/>
      <c r="QNF197" s="212"/>
      <c r="QNG197" s="212"/>
      <c r="QNH197" s="212"/>
      <c r="QNI197" s="212"/>
      <c r="QNJ197" s="212"/>
      <c r="QNK197" s="212"/>
      <c r="QNL197" s="212"/>
      <c r="QNM197" s="212"/>
      <c r="QNN197" s="212"/>
      <c r="QNO197" s="212"/>
      <c r="QNP197" s="212"/>
      <c r="QNQ197" s="212"/>
      <c r="QNR197" s="212"/>
      <c r="QNS197" s="212"/>
      <c r="QNT197" s="212"/>
      <c r="QNU197" s="212"/>
      <c r="QNV197" s="212"/>
      <c r="QNW197" s="212"/>
      <c r="QNX197" s="214"/>
      <c r="QNY197" s="211"/>
      <c r="QNZ197" s="212"/>
      <c r="QOA197" s="212"/>
      <c r="QOB197" s="212"/>
      <c r="QOC197" s="212"/>
      <c r="QOD197" s="212"/>
      <c r="QOE197" s="212"/>
      <c r="QOF197" s="212"/>
      <c r="QOG197" s="212"/>
      <c r="QOH197" s="212"/>
      <c r="QOI197" s="212"/>
      <c r="QOJ197" s="212"/>
      <c r="QOK197" s="212"/>
      <c r="QOL197" s="212"/>
      <c r="QOM197" s="212"/>
      <c r="QON197" s="212"/>
      <c r="QOO197" s="212"/>
      <c r="QOP197" s="212"/>
      <c r="QOQ197" s="212"/>
      <c r="QOR197" s="212"/>
      <c r="QOS197" s="212"/>
      <c r="QOT197" s="212"/>
      <c r="QOU197" s="212"/>
      <c r="QOV197" s="212"/>
      <c r="QOW197" s="212"/>
      <c r="QOX197" s="212"/>
      <c r="QOY197" s="212"/>
      <c r="QOZ197" s="212"/>
      <c r="QPA197" s="212"/>
      <c r="QPB197" s="212"/>
      <c r="QPC197" s="212"/>
      <c r="QPD197" s="212"/>
      <c r="QPE197" s="212"/>
      <c r="QPF197" s="212"/>
      <c r="QPG197" s="212"/>
      <c r="QPH197" s="212"/>
      <c r="QPI197" s="212"/>
      <c r="QPJ197" s="212"/>
      <c r="QPK197" s="212"/>
      <c r="QPL197" s="212"/>
      <c r="QPM197" s="212"/>
      <c r="QPN197" s="212"/>
      <c r="QPO197" s="212"/>
      <c r="QPP197" s="214"/>
      <c r="QPQ197" s="211"/>
      <c r="QPR197" s="212"/>
      <c r="QPS197" s="212"/>
      <c r="QPT197" s="212"/>
      <c r="QPU197" s="212"/>
      <c r="QPV197" s="212"/>
      <c r="QPW197" s="212"/>
      <c r="QPX197" s="212"/>
      <c r="QPY197" s="212"/>
      <c r="QPZ197" s="212"/>
      <c r="QQA197" s="212"/>
      <c r="QQB197" s="212"/>
      <c r="QQC197" s="212"/>
      <c r="QQD197" s="212"/>
      <c r="QQE197" s="212"/>
      <c r="QQF197" s="212"/>
      <c r="QQG197" s="212"/>
      <c r="QQH197" s="212"/>
      <c r="QQI197" s="212"/>
      <c r="QQJ197" s="212"/>
      <c r="QQK197" s="212"/>
      <c r="QQL197" s="212"/>
      <c r="QQM197" s="212"/>
      <c r="QQN197" s="212"/>
      <c r="QQO197" s="212"/>
      <c r="QQP197" s="212"/>
      <c r="QQQ197" s="212"/>
      <c r="QQR197" s="212"/>
      <c r="QQS197" s="212"/>
      <c r="QQT197" s="212"/>
      <c r="QQU197" s="212"/>
      <c r="QQV197" s="212"/>
      <c r="QQW197" s="212"/>
      <c r="QQX197" s="212"/>
      <c r="QQY197" s="212"/>
      <c r="QQZ197" s="212"/>
      <c r="QRA197" s="212"/>
      <c r="QRB197" s="212"/>
      <c r="QRC197" s="212"/>
      <c r="QRD197" s="212"/>
      <c r="QRE197" s="212"/>
      <c r="QRF197" s="212"/>
      <c r="QRG197" s="212"/>
      <c r="QRH197" s="214"/>
      <c r="QRI197" s="211"/>
      <c r="QRJ197" s="212"/>
      <c r="QRK197" s="212"/>
      <c r="QRL197" s="212"/>
      <c r="QRM197" s="212"/>
      <c r="QRN197" s="212"/>
      <c r="QRO197" s="212"/>
      <c r="QRP197" s="212"/>
      <c r="QRQ197" s="212"/>
      <c r="QRR197" s="212"/>
      <c r="QRS197" s="212"/>
      <c r="QRT197" s="212"/>
      <c r="QRU197" s="212"/>
      <c r="QRV197" s="212"/>
      <c r="QRW197" s="212"/>
      <c r="QRX197" s="212"/>
      <c r="QRY197" s="212"/>
      <c r="QRZ197" s="212"/>
      <c r="QSA197" s="212"/>
      <c r="QSB197" s="212"/>
      <c r="QSC197" s="212"/>
      <c r="QSD197" s="212"/>
      <c r="QSE197" s="212"/>
      <c r="QSF197" s="212"/>
      <c r="QSG197" s="212"/>
      <c r="QSH197" s="212"/>
      <c r="QSI197" s="212"/>
      <c r="QSJ197" s="212"/>
      <c r="QSK197" s="212"/>
      <c r="QSL197" s="212"/>
      <c r="QSM197" s="212"/>
      <c r="QSN197" s="212"/>
      <c r="QSO197" s="212"/>
      <c r="QSP197" s="212"/>
      <c r="QSQ197" s="212"/>
      <c r="QSR197" s="212"/>
      <c r="QSS197" s="212"/>
      <c r="QST197" s="212"/>
      <c r="QSU197" s="212"/>
      <c r="QSV197" s="212"/>
      <c r="QSW197" s="212"/>
      <c r="QSX197" s="212"/>
      <c r="QSY197" s="212"/>
      <c r="QSZ197" s="214"/>
      <c r="QTA197" s="211"/>
      <c r="QTB197" s="212"/>
      <c r="QTC197" s="212"/>
      <c r="QTD197" s="212"/>
      <c r="QTE197" s="212"/>
      <c r="QTF197" s="212"/>
      <c r="QTG197" s="212"/>
      <c r="QTH197" s="212"/>
      <c r="QTI197" s="212"/>
      <c r="QTJ197" s="212"/>
      <c r="QTK197" s="212"/>
      <c r="QTL197" s="212"/>
      <c r="QTM197" s="212"/>
      <c r="QTN197" s="212"/>
      <c r="QTO197" s="212"/>
      <c r="QTP197" s="212"/>
      <c r="QTQ197" s="212"/>
      <c r="QTR197" s="212"/>
      <c r="QTS197" s="212"/>
      <c r="QTT197" s="212"/>
      <c r="QTU197" s="212"/>
      <c r="QTV197" s="212"/>
      <c r="QTW197" s="212"/>
      <c r="QTX197" s="212"/>
      <c r="QTY197" s="212"/>
      <c r="QTZ197" s="212"/>
      <c r="QUA197" s="212"/>
      <c r="QUB197" s="212"/>
      <c r="QUC197" s="212"/>
      <c r="QUD197" s="212"/>
      <c r="QUE197" s="212"/>
      <c r="QUF197" s="212"/>
      <c r="QUG197" s="212"/>
      <c r="QUH197" s="212"/>
      <c r="QUI197" s="212"/>
      <c r="QUJ197" s="212"/>
      <c r="QUK197" s="212"/>
      <c r="QUL197" s="212"/>
      <c r="QUM197" s="212"/>
      <c r="QUN197" s="212"/>
      <c r="QUO197" s="212"/>
      <c r="QUP197" s="212"/>
      <c r="QUQ197" s="212"/>
      <c r="QUR197" s="214"/>
      <c r="QUS197" s="211"/>
      <c r="QUT197" s="212"/>
      <c r="QUU197" s="212"/>
      <c r="QUV197" s="212"/>
      <c r="QUW197" s="212"/>
      <c r="QUX197" s="212"/>
      <c r="QUY197" s="212"/>
      <c r="QUZ197" s="212"/>
      <c r="QVA197" s="212"/>
      <c r="QVB197" s="212"/>
      <c r="QVC197" s="212"/>
      <c r="QVD197" s="212"/>
      <c r="QVE197" s="212"/>
      <c r="QVF197" s="212"/>
      <c r="QVG197" s="212"/>
      <c r="QVH197" s="212"/>
      <c r="QVI197" s="212"/>
      <c r="QVJ197" s="212"/>
      <c r="QVK197" s="212"/>
      <c r="QVL197" s="212"/>
      <c r="QVM197" s="212"/>
      <c r="QVN197" s="212"/>
      <c r="QVO197" s="212"/>
      <c r="QVP197" s="212"/>
      <c r="QVQ197" s="212"/>
      <c r="QVR197" s="212"/>
      <c r="QVS197" s="212"/>
      <c r="QVT197" s="212"/>
      <c r="QVU197" s="212"/>
      <c r="QVV197" s="212"/>
      <c r="QVW197" s="212"/>
      <c r="QVX197" s="212"/>
      <c r="QVY197" s="212"/>
      <c r="QVZ197" s="212"/>
      <c r="QWA197" s="212"/>
      <c r="QWB197" s="212"/>
      <c r="QWC197" s="212"/>
      <c r="QWD197" s="212"/>
      <c r="QWE197" s="212"/>
      <c r="QWF197" s="212"/>
      <c r="QWG197" s="212"/>
      <c r="QWH197" s="212"/>
      <c r="QWI197" s="212"/>
      <c r="QWJ197" s="214"/>
      <c r="QWK197" s="211"/>
      <c r="QWL197" s="212"/>
      <c r="QWM197" s="212"/>
      <c r="QWN197" s="212"/>
      <c r="QWO197" s="212"/>
      <c r="QWP197" s="212"/>
      <c r="QWQ197" s="212"/>
      <c r="QWR197" s="212"/>
      <c r="QWS197" s="212"/>
      <c r="QWT197" s="212"/>
      <c r="QWU197" s="212"/>
      <c r="QWV197" s="212"/>
      <c r="QWW197" s="212"/>
      <c r="QWX197" s="212"/>
      <c r="QWY197" s="212"/>
      <c r="QWZ197" s="212"/>
      <c r="QXA197" s="212"/>
      <c r="QXB197" s="212"/>
      <c r="QXC197" s="212"/>
      <c r="QXD197" s="212"/>
      <c r="QXE197" s="212"/>
      <c r="QXF197" s="212"/>
      <c r="QXG197" s="212"/>
      <c r="QXH197" s="212"/>
      <c r="QXI197" s="212"/>
      <c r="QXJ197" s="212"/>
      <c r="QXK197" s="212"/>
      <c r="QXL197" s="212"/>
      <c r="QXM197" s="212"/>
      <c r="QXN197" s="212"/>
      <c r="QXO197" s="212"/>
      <c r="QXP197" s="212"/>
      <c r="QXQ197" s="212"/>
      <c r="QXR197" s="212"/>
      <c r="QXS197" s="212"/>
      <c r="QXT197" s="212"/>
      <c r="QXU197" s="212"/>
      <c r="QXV197" s="212"/>
      <c r="QXW197" s="212"/>
      <c r="QXX197" s="212"/>
      <c r="QXY197" s="212"/>
      <c r="QXZ197" s="212"/>
      <c r="QYA197" s="212"/>
      <c r="QYB197" s="214"/>
      <c r="QYC197" s="211"/>
      <c r="QYD197" s="212"/>
      <c r="QYE197" s="212"/>
      <c r="QYF197" s="212"/>
      <c r="QYG197" s="212"/>
      <c r="QYH197" s="212"/>
      <c r="QYI197" s="212"/>
      <c r="QYJ197" s="212"/>
      <c r="QYK197" s="212"/>
      <c r="QYL197" s="212"/>
      <c r="QYM197" s="212"/>
      <c r="QYN197" s="212"/>
      <c r="QYO197" s="212"/>
      <c r="QYP197" s="212"/>
      <c r="QYQ197" s="212"/>
      <c r="QYR197" s="212"/>
      <c r="QYS197" s="212"/>
      <c r="QYT197" s="212"/>
      <c r="QYU197" s="212"/>
      <c r="QYV197" s="212"/>
      <c r="QYW197" s="212"/>
      <c r="QYX197" s="212"/>
      <c r="QYY197" s="212"/>
      <c r="QYZ197" s="212"/>
      <c r="QZA197" s="212"/>
      <c r="QZB197" s="212"/>
      <c r="QZC197" s="212"/>
      <c r="QZD197" s="212"/>
      <c r="QZE197" s="212"/>
      <c r="QZF197" s="212"/>
      <c r="QZG197" s="212"/>
      <c r="QZH197" s="212"/>
      <c r="QZI197" s="212"/>
      <c r="QZJ197" s="212"/>
      <c r="QZK197" s="212"/>
      <c r="QZL197" s="212"/>
      <c r="QZM197" s="212"/>
      <c r="QZN197" s="212"/>
      <c r="QZO197" s="212"/>
      <c r="QZP197" s="212"/>
      <c r="QZQ197" s="212"/>
      <c r="QZR197" s="212"/>
      <c r="QZS197" s="212"/>
      <c r="QZT197" s="214"/>
      <c r="QZU197" s="211"/>
      <c r="QZV197" s="212"/>
      <c r="QZW197" s="212"/>
      <c r="QZX197" s="212"/>
      <c r="QZY197" s="212"/>
      <c r="QZZ197" s="212"/>
      <c r="RAA197" s="212"/>
      <c r="RAB197" s="212"/>
      <c r="RAC197" s="212"/>
      <c r="RAD197" s="212"/>
      <c r="RAE197" s="212"/>
      <c r="RAF197" s="212"/>
      <c r="RAG197" s="212"/>
      <c r="RAH197" s="212"/>
      <c r="RAI197" s="212"/>
      <c r="RAJ197" s="212"/>
      <c r="RAK197" s="212"/>
      <c r="RAL197" s="212"/>
      <c r="RAM197" s="212"/>
      <c r="RAN197" s="212"/>
      <c r="RAO197" s="212"/>
      <c r="RAP197" s="212"/>
      <c r="RAQ197" s="212"/>
      <c r="RAR197" s="212"/>
      <c r="RAS197" s="212"/>
      <c r="RAT197" s="212"/>
      <c r="RAU197" s="212"/>
      <c r="RAV197" s="212"/>
      <c r="RAW197" s="212"/>
      <c r="RAX197" s="212"/>
      <c r="RAY197" s="212"/>
      <c r="RAZ197" s="212"/>
      <c r="RBA197" s="212"/>
      <c r="RBB197" s="212"/>
      <c r="RBC197" s="212"/>
      <c r="RBD197" s="212"/>
      <c r="RBE197" s="212"/>
      <c r="RBF197" s="212"/>
      <c r="RBG197" s="212"/>
      <c r="RBH197" s="212"/>
      <c r="RBI197" s="212"/>
      <c r="RBJ197" s="212"/>
      <c r="RBK197" s="212"/>
      <c r="RBL197" s="214"/>
      <c r="RBM197" s="211"/>
      <c r="RBN197" s="212"/>
      <c r="RBO197" s="212"/>
      <c r="RBP197" s="212"/>
      <c r="RBQ197" s="212"/>
      <c r="RBR197" s="212"/>
      <c r="RBS197" s="212"/>
      <c r="RBT197" s="212"/>
      <c r="RBU197" s="212"/>
      <c r="RBV197" s="212"/>
      <c r="RBW197" s="212"/>
      <c r="RBX197" s="212"/>
      <c r="RBY197" s="212"/>
      <c r="RBZ197" s="212"/>
      <c r="RCA197" s="212"/>
      <c r="RCB197" s="212"/>
      <c r="RCC197" s="212"/>
      <c r="RCD197" s="212"/>
      <c r="RCE197" s="212"/>
      <c r="RCF197" s="212"/>
      <c r="RCG197" s="212"/>
      <c r="RCH197" s="212"/>
      <c r="RCI197" s="212"/>
      <c r="RCJ197" s="212"/>
      <c r="RCK197" s="212"/>
      <c r="RCL197" s="212"/>
      <c r="RCM197" s="212"/>
      <c r="RCN197" s="212"/>
      <c r="RCO197" s="212"/>
      <c r="RCP197" s="212"/>
      <c r="RCQ197" s="212"/>
      <c r="RCR197" s="212"/>
      <c r="RCS197" s="212"/>
      <c r="RCT197" s="212"/>
      <c r="RCU197" s="212"/>
      <c r="RCV197" s="212"/>
      <c r="RCW197" s="212"/>
      <c r="RCX197" s="212"/>
      <c r="RCY197" s="212"/>
      <c r="RCZ197" s="212"/>
      <c r="RDA197" s="212"/>
      <c r="RDB197" s="212"/>
      <c r="RDC197" s="212"/>
      <c r="RDD197" s="214"/>
      <c r="RDE197" s="211"/>
      <c r="RDF197" s="212"/>
      <c r="RDG197" s="212"/>
      <c r="RDH197" s="212"/>
      <c r="RDI197" s="212"/>
      <c r="RDJ197" s="212"/>
      <c r="RDK197" s="212"/>
      <c r="RDL197" s="212"/>
      <c r="RDM197" s="212"/>
      <c r="RDN197" s="212"/>
      <c r="RDO197" s="212"/>
      <c r="RDP197" s="212"/>
      <c r="RDQ197" s="212"/>
      <c r="RDR197" s="212"/>
      <c r="RDS197" s="212"/>
      <c r="RDT197" s="212"/>
      <c r="RDU197" s="212"/>
      <c r="RDV197" s="212"/>
      <c r="RDW197" s="212"/>
      <c r="RDX197" s="212"/>
      <c r="RDY197" s="212"/>
      <c r="RDZ197" s="212"/>
      <c r="REA197" s="212"/>
      <c r="REB197" s="212"/>
      <c r="REC197" s="212"/>
      <c r="RED197" s="212"/>
      <c r="REE197" s="212"/>
      <c r="REF197" s="212"/>
      <c r="REG197" s="212"/>
      <c r="REH197" s="212"/>
      <c r="REI197" s="212"/>
      <c r="REJ197" s="212"/>
      <c r="REK197" s="212"/>
      <c r="REL197" s="212"/>
      <c r="REM197" s="212"/>
      <c r="REN197" s="212"/>
      <c r="REO197" s="212"/>
      <c r="REP197" s="212"/>
      <c r="REQ197" s="212"/>
      <c r="RER197" s="212"/>
      <c r="RES197" s="212"/>
      <c r="RET197" s="212"/>
      <c r="REU197" s="212"/>
      <c r="REV197" s="214"/>
      <c r="REW197" s="211"/>
      <c r="REX197" s="212"/>
      <c r="REY197" s="212"/>
      <c r="REZ197" s="212"/>
      <c r="RFA197" s="212"/>
      <c r="RFB197" s="212"/>
      <c r="RFC197" s="212"/>
      <c r="RFD197" s="212"/>
      <c r="RFE197" s="212"/>
      <c r="RFF197" s="212"/>
      <c r="RFG197" s="212"/>
      <c r="RFH197" s="212"/>
      <c r="RFI197" s="212"/>
      <c r="RFJ197" s="212"/>
      <c r="RFK197" s="212"/>
      <c r="RFL197" s="212"/>
      <c r="RFM197" s="212"/>
      <c r="RFN197" s="212"/>
      <c r="RFO197" s="212"/>
      <c r="RFP197" s="212"/>
      <c r="RFQ197" s="212"/>
      <c r="RFR197" s="212"/>
      <c r="RFS197" s="212"/>
      <c r="RFT197" s="212"/>
      <c r="RFU197" s="212"/>
      <c r="RFV197" s="212"/>
      <c r="RFW197" s="212"/>
      <c r="RFX197" s="212"/>
      <c r="RFY197" s="212"/>
      <c r="RFZ197" s="212"/>
      <c r="RGA197" s="212"/>
      <c r="RGB197" s="212"/>
      <c r="RGC197" s="212"/>
      <c r="RGD197" s="212"/>
      <c r="RGE197" s="212"/>
      <c r="RGF197" s="212"/>
      <c r="RGG197" s="212"/>
      <c r="RGH197" s="212"/>
      <c r="RGI197" s="212"/>
      <c r="RGJ197" s="212"/>
      <c r="RGK197" s="212"/>
      <c r="RGL197" s="212"/>
      <c r="RGM197" s="212"/>
      <c r="RGN197" s="214"/>
      <c r="RGO197" s="211"/>
      <c r="RGP197" s="212"/>
      <c r="RGQ197" s="212"/>
      <c r="RGR197" s="212"/>
      <c r="RGS197" s="212"/>
      <c r="RGT197" s="212"/>
      <c r="RGU197" s="212"/>
      <c r="RGV197" s="212"/>
      <c r="RGW197" s="212"/>
      <c r="RGX197" s="212"/>
      <c r="RGY197" s="212"/>
      <c r="RGZ197" s="212"/>
      <c r="RHA197" s="212"/>
      <c r="RHB197" s="212"/>
      <c r="RHC197" s="212"/>
      <c r="RHD197" s="212"/>
      <c r="RHE197" s="212"/>
      <c r="RHF197" s="212"/>
      <c r="RHG197" s="212"/>
      <c r="RHH197" s="212"/>
      <c r="RHI197" s="212"/>
      <c r="RHJ197" s="212"/>
      <c r="RHK197" s="212"/>
      <c r="RHL197" s="212"/>
      <c r="RHM197" s="212"/>
      <c r="RHN197" s="212"/>
      <c r="RHO197" s="212"/>
      <c r="RHP197" s="212"/>
      <c r="RHQ197" s="212"/>
      <c r="RHR197" s="212"/>
      <c r="RHS197" s="212"/>
      <c r="RHT197" s="212"/>
      <c r="RHU197" s="212"/>
      <c r="RHV197" s="212"/>
      <c r="RHW197" s="212"/>
      <c r="RHX197" s="212"/>
      <c r="RHY197" s="212"/>
      <c r="RHZ197" s="212"/>
      <c r="RIA197" s="212"/>
      <c r="RIB197" s="212"/>
      <c r="RIC197" s="212"/>
      <c r="RID197" s="212"/>
      <c r="RIE197" s="212"/>
      <c r="RIF197" s="214"/>
      <c r="RIG197" s="211"/>
      <c r="RIH197" s="212"/>
      <c r="RII197" s="212"/>
      <c r="RIJ197" s="212"/>
      <c r="RIK197" s="212"/>
      <c r="RIL197" s="212"/>
      <c r="RIM197" s="212"/>
      <c r="RIN197" s="212"/>
      <c r="RIO197" s="212"/>
      <c r="RIP197" s="212"/>
      <c r="RIQ197" s="212"/>
      <c r="RIR197" s="212"/>
      <c r="RIS197" s="212"/>
      <c r="RIT197" s="212"/>
      <c r="RIU197" s="212"/>
      <c r="RIV197" s="212"/>
      <c r="RIW197" s="212"/>
      <c r="RIX197" s="212"/>
      <c r="RIY197" s="212"/>
      <c r="RIZ197" s="212"/>
      <c r="RJA197" s="212"/>
      <c r="RJB197" s="212"/>
      <c r="RJC197" s="212"/>
      <c r="RJD197" s="212"/>
      <c r="RJE197" s="212"/>
      <c r="RJF197" s="212"/>
      <c r="RJG197" s="212"/>
      <c r="RJH197" s="212"/>
      <c r="RJI197" s="212"/>
      <c r="RJJ197" s="212"/>
      <c r="RJK197" s="212"/>
      <c r="RJL197" s="212"/>
      <c r="RJM197" s="212"/>
      <c r="RJN197" s="212"/>
      <c r="RJO197" s="212"/>
      <c r="RJP197" s="212"/>
      <c r="RJQ197" s="212"/>
      <c r="RJR197" s="212"/>
      <c r="RJS197" s="212"/>
      <c r="RJT197" s="212"/>
      <c r="RJU197" s="212"/>
      <c r="RJV197" s="212"/>
      <c r="RJW197" s="212"/>
      <c r="RJX197" s="214"/>
      <c r="RJY197" s="211"/>
      <c r="RJZ197" s="212"/>
      <c r="RKA197" s="212"/>
      <c r="RKB197" s="212"/>
      <c r="RKC197" s="212"/>
      <c r="RKD197" s="212"/>
      <c r="RKE197" s="212"/>
      <c r="RKF197" s="212"/>
      <c r="RKG197" s="212"/>
      <c r="RKH197" s="212"/>
      <c r="RKI197" s="212"/>
      <c r="RKJ197" s="212"/>
      <c r="RKK197" s="212"/>
      <c r="RKL197" s="212"/>
      <c r="RKM197" s="212"/>
      <c r="RKN197" s="212"/>
      <c r="RKO197" s="212"/>
      <c r="RKP197" s="212"/>
      <c r="RKQ197" s="212"/>
      <c r="RKR197" s="212"/>
      <c r="RKS197" s="212"/>
      <c r="RKT197" s="212"/>
      <c r="RKU197" s="212"/>
      <c r="RKV197" s="212"/>
      <c r="RKW197" s="212"/>
      <c r="RKX197" s="212"/>
      <c r="RKY197" s="212"/>
      <c r="RKZ197" s="212"/>
      <c r="RLA197" s="212"/>
      <c r="RLB197" s="212"/>
      <c r="RLC197" s="212"/>
      <c r="RLD197" s="212"/>
      <c r="RLE197" s="212"/>
      <c r="RLF197" s="212"/>
      <c r="RLG197" s="212"/>
      <c r="RLH197" s="212"/>
      <c r="RLI197" s="212"/>
      <c r="RLJ197" s="212"/>
      <c r="RLK197" s="212"/>
      <c r="RLL197" s="212"/>
      <c r="RLM197" s="212"/>
      <c r="RLN197" s="212"/>
      <c r="RLO197" s="212"/>
      <c r="RLP197" s="214"/>
      <c r="RLQ197" s="211"/>
      <c r="RLR197" s="212"/>
      <c r="RLS197" s="212"/>
      <c r="RLT197" s="212"/>
      <c r="RLU197" s="212"/>
      <c r="RLV197" s="212"/>
      <c r="RLW197" s="212"/>
      <c r="RLX197" s="212"/>
      <c r="RLY197" s="212"/>
      <c r="RLZ197" s="212"/>
      <c r="RMA197" s="212"/>
      <c r="RMB197" s="212"/>
      <c r="RMC197" s="212"/>
      <c r="RMD197" s="212"/>
      <c r="RME197" s="212"/>
      <c r="RMF197" s="212"/>
      <c r="RMG197" s="212"/>
      <c r="RMH197" s="212"/>
      <c r="RMI197" s="212"/>
      <c r="RMJ197" s="212"/>
      <c r="RMK197" s="212"/>
      <c r="RML197" s="212"/>
      <c r="RMM197" s="212"/>
      <c r="RMN197" s="212"/>
      <c r="RMO197" s="212"/>
      <c r="RMP197" s="212"/>
      <c r="RMQ197" s="212"/>
      <c r="RMR197" s="212"/>
      <c r="RMS197" s="212"/>
      <c r="RMT197" s="212"/>
      <c r="RMU197" s="212"/>
      <c r="RMV197" s="212"/>
      <c r="RMW197" s="212"/>
      <c r="RMX197" s="212"/>
      <c r="RMY197" s="212"/>
      <c r="RMZ197" s="212"/>
      <c r="RNA197" s="212"/>
      <c r="RNB197" s="212"/>
      <c r="RNC197" s="212"/>
      <c r="RND197" s="212"/>
      <c r="RNE197" s="212"/>
      <c r="RNF197" s="212"/>
      <c r="RNG197" s="212"/>
      <c r="RNH197" s="214"/>
      <c r="RNI197" s="211"/>
      <c r="RNJ197" s="212"/>
      <c r="RNK197" s="212"/>
      <c r="RNL197" s="212"/>
      <c r="RNM197" s="212"/>
      <c r="RNN197" s="212"/>
      <c r="RNO197" s="212"/>
      <c r="RNP197" s="212"/>
      <c r="RNQ197" s="212"/>
      <c r="RNR197" s="212"/>
      <c r="RNS197" s="212"/>
      <c r="RNT197" s="212"/>
      <c r="RNU197" s="212"/>
      <c r="RNV197" s="212"/>
      <c r="RNW197" s="212"/>
      <c r="RNX197" s="212"/>
      <c r="RNY197" s="212"/>
      <c r="RNZ197" s="212"/>
      <c r="ROA197" s="212"/>
      <c r="ROB197" s="212"/>
      <c r="ROC197" s="212"/>
      <c r="ROD197" s="212"/>
      <c r="ROE197" s="212"/>
      <c r="ROF197" s="212"/>
      <c r="ROG197" s="212"/>
      <c r="ROH197" s="212"/>
      <c r="ROI197" s="212"/>
      <c r="ROJ197" s="212"/>
      <c r="ROK197" s="212"/>
      <c r="ROL197" s="212"/>
      <c r="ROM197" s="212"/>
      <c r="RON197" s="212"/>
      <c r="ROO197" s="212"/>
      <c r="ROP197" s="212"/>
      <c r="ROQ197" s="212"/>
      <c r="ROR197" s="212"/>
      <c r="ROS197" s="212"/>
      <c r="ROT197" s="212"/>
      <c r="ROU197" s="212"/>
      <c r="ROV197" s="212"/>
      <c r="ROW197" s="212"/>
      <c r="ROX197" s="212"/>
      <c r="ROY197" s="212"/>
      <c r="ROZ197" s="214"/>
      <c r="RPA197" s="211"/>
      <c r="RPB197" s="212"/>
      <c r="RPC197" s="212"/>
      <c r="RPD197" s="212"/>
      <c r="RPE197" s="212"/>
      <c r="RPF197" s="212"/>
      <c r="RPG197" s="212"/>
      <c r="RPH197" s="212"/>
      <c r="RPI197" s="212"/>
      <c r="RPJ197" s="212"/>
      <c r="RPK197" s="212"/>
      <c r="RPL197" s="212"/>
      <c r="RPM197" s="212"/>
      <c r="RPN197" s="212"/>
      <c r="RPO197" s="212"/>
      <c r="RPP197" s="212"/>
      <c r="RPQ197" s="212"/>
      <c r="RPR197" s="212"/>
      <c r="RPS197" s="212"/>
      <c r="RPT197" s="212"/>
      <c r="RPU197" s="212"/>
      <c r="RPV197" s="212"/>
      <c r="RPW197" s="212"/>
      <c r="RPX197" s="212"/>
      <c r="RPY197" s="212"/>
      <c r="RPZ197" s="212"/>
      <c r="RQA197" s="212"/>
      <c r="RQB197" s="212"/>
      <c r="RQC197" s="212"/>
      <c r="RQD197" s="212"/>
      <c r="RQE197" s="212"/>
      <c r="RQF197" s="212"/>
      <c r="RQG197" s="212"/>
      <c r="RQH197" s="212"/>
      <c r="RQI197" s="212"/>
      <c r="RQJ197" s="212"/>
      <c r="RQK197" s="212"/>
      <c r="RQL197" s="212"/>
      <c r="RQM197" s="212"/>
      <c r="RQN197" s="212"/>
      <c r="RQO197" s="212"/>
      <c r="RQP197" s="212"/>
      <c r="RQQ197" s="212"/>
      <c r="RQR197" s="214"/>
      <c r="RQS197" s="211"/>
      <c r="RQT197" s="212"/>
      <c r="RQU197" s="212"/>
      <c r="RQV197" s="212"/>
      <c r="RQW197" s="212"/>
      <c r="RQX197" s="212"/>
      <c r="RQY197" s="212"/>
      <c r="RQZ197" s="212"/>
      <c r="RRA197" s="212"/>
      <c r="RRB197" s="212"/>
      <c r="RRC197" s="212"/>
      <c r="RRD197" s="212"/>
      <c r="RRE197" s="212"/>
      <c r="RRF197" s="212"/>
      <c r="RRG197" s="212"/>
      <c r="RRH197" s="212"/>
      <c r="RRI197" s="212"/>
      <c r="RRJ197" s="212"/>
      <c r="RRK197" s="212"/>
      <c r="RRL197" s="212"/>
      <c r="RRM197" s="212"/>
      <c r="RRN197" s="212"/>
      <c r="RRO197" s="212"/>
      <c r="RRP197" s="212"/>
      <c r="RRQ197" s="212"/>
      <c r="RRR197" s="212"/>
      <c r="RRS197" s="212"/>
      <c r="RRT197" s="212"/>
      <c r="RRU197" s="212"/>
      <c r="RRV197" s="212"/>
      <c r="RRW197" s="212"/>
      <c r="RRX197" s="212"/>
      <c r="RRY197" s="212"/>
      <c r="RRZ197" s="212"/>
      <c r="RSA197" s="212"/>
      <c r="RSB197" s="212"/>
      <c r="RSC197" s="212"/>
      <c r="RSD197" s="212"/>
      <c r="RSE197" s="212"/>
      <c r="RSF197" s="212"/>
      <c r="RSG197" s="212"/>
      <c r="RSH197" s="212"/>
      <c r="RSI197" s="212"/>
      <c r="RSJ197" s="214"/>
      <c r="RSK197" s="211"/>
      <c r="RSL197" s="212"/>
      <c r="RSM197" s="212"/>
      <c r="RSN197" s="212"/>
      <c r="RSO197" s="212"/>
      <c r="RSP197" s="212"/>
      <c r="RSQ197" s="212"/>
      <c r="RSR197" s="212"/>
      <c r="RSS197" s="212"/>
      <c r="RST197" s="212"/>
      <c r="RSU197" s="212"/>
      <c r="RSV197" s="212"/>
      <c r="RSW197" s="212"/>
      <c r="RSX197" s="212"/>
      <c r="RSY197" s="212"/>
      <c r="RSZ197" s="212"/>
      <c r="RTA197" s="212"/>
      <c r="RTB197" s="212"/>
      <c r="RTC197" s="212"/>
      <c r="RTD197" s="212"/>
      <c r="RTE197" s="212"/>
      <c r="RTF197" s="212"/>
      <c r="RTG197" s="212"/>
      <c r="RTH197" s="212"/>
      <c r="RTI197" s="212"/>
      <c r="RTJ197" s="212"/>
      <c r="RTK197" s="212"/>
      <c r="RTL197" s="212"/>
      <c r="RTM197" s="212"/>
      <c r="RTN197" s="212"/>
      <c r="RTO197" s="212"/>
      <c r="RTP197" s="212"/>
      <c r="RTQ197" s="212"/>
      <c r="RTR197" s="212"/>
      <c r="RTS197" s="212"/>
      <c r="RTT197" s="212"/>
      <c r="RTU197" s="212"/>
      <c r="RTV197" s="212"/>
      <c r="RTW197" s="212"/>
      <c r="RTX197" s="212"/>
      <c r="RTY197" s="212"/>
      <c r="RTZ197" s="212"/>
      <c r="RUA197" s="212"/>
      <c r="RUB197" s="214"/>
      <c r="RUC197" s="211"/>
      <c r="RUD197" s="212"/>
      <c r="RUE197" s="212"/>
      <c r="RUF197" s="212"/>
      <c r="RUG197" s="212"/>
      <c r="RUH197" s="212"/>
      <c r="RUI197" s="212"/>
      <c r="RUJ197" s="212"/>
      <c r="RUK197" s="212"/>
      <c r="RUL197" s="212"/>
      <c r="RUM197" s="212"/>
      <c r="RUN197" s="212"/>
      <c r="RUO197" s="212"/>
      <c r="RUP197" s="212"/>
      <c r="RUQ197" s="212"/>
      <c r="RUR197" s="212"/>
      <c r="RUS197" s="212"/>
      <c r="RUT197" s="212"/>
      <c r="RUU197" s="212"/>
      <c r="RUV197" s="212"/>
      <c r="RUW197" s="212"/>
      <c r="RUX197" s="212"/>
      <c r="RUY197" s="212"/>
      <c r="RUZ197" s="212"/>
      <c r="RVA197" s="212"/>
      <c r="RVB197" s="212"/>
      <c r="RVC197" s="212"/>
      <c r="RVD197" s="212"/>
      <c r="RVE197" s="212"/>
      <c r="RVF197" s="212"/>
      <c r="RVG197" s="212"/>
      <c r="RVH197" s="212"/>
      <c r="RVI197" s="212"/>
      <c r="RVJ197" s="212"/>
      <c r="RVK197" s="212"/>
      <c r="RVL197" s="212"/>
      <c r="RVM197" s="212"/>
      <c r="RVN197" s="212"/>
      <c r="RVO197" s="212"/>
      <c r="RVP197" s="212"/>
      <c r="RVQ197" s="212"/>
      <c r="RVR197" s="212"/>
      <c r="RVS197" s="212"/>
      <c r="RVT197" s="214"/>
      <c r="RVU197" s="211"/>
      <c r="RVV197" s="212"/>
      <c r="RVW197" s="212"/>
      <c r="RVX197" s="212"/>
      <c r="RVY197" s="212"/>
      <c r="RVZ197" s="212"/>
      <c r="RWA197" s="212"/>
      <c r="RWB197" s="212"/>
      <c r="RWC197" s="212"/>
      <c r="RWD197" s="212"/>
      <c r="RWE197" s="212"/>
      <c r="RWF197" s="212"/>
      <c r="RWG197" s="212"/>
      <c r="RWH197" s="212"/>
      <c r="RWI197" s="212"/>
      <c r="RWJ197" s="212"/>
      <c r="RWK197" s="212"/>
      <c r="RWL197" s="212"/>
      <c r="RWM197" s="212"/>
      <c r="RWN197" s="212"/>
      <c r="RWO197" s="212"/>
      <c r="RWP197" s="212"/>
      <c r="RWQ197" s="212"/>
      <c r="RWR197" s="212"/>
      <c r="RWS197" s="212"/>
      <c r="RWT197" s="212"/>
      <c r="RWU197" s="212"/>
      <c r="RWV197" s="212"/>
      <c r="RWW197" s="212"/>
      <c r="RWX197" s="212"/>
      <c r="RWY197" s="212"/>
      <c r="RWZ197" s="212"/>
      <c r="RXA197" s="212"/>
      <c r="RXB197" s="212"/>
      <c r="RXC197" s="212"/>
      <c r="RXD197" s="212"/>
      <c r="RXE197" s="212"/>
      <c r="RXF197" s="212"/>
      <c r="RXG197" s="212"/>
      <c r="RXH197" s="212"/>
      <c r="RXI197" s="212"/>
      <c r="RXJ197" s="212"/>
      <c r="RXK197" s="212"/>
      <c r="RXL197" s="214"/>
      <c r="RXM197" s="211"/>
      <c r="RXN197" s="212"/>
      <c r="RXO197" s="212"/>
      <c r="RXP197" s="212"/>
      <c r="RXQ197" s="212"/>
      <c r="RXR197" s="212"/>
      <c r="RXS197" s="212"/>
      <c r="RXT197" s="212"/>
      <c r="RXU197" s="212"/>
      <c r="RXV197" s="212"/>
      <c r="RXW197" s="212"/>
      <c r="RXX197" s="212"/>
      <c r="RXY197" s="212"/>
      <c r="RXZ197" s="212"/>
      <c r="RYA197" s="212"/>
      <c r="RYB197" s="212"/>
      <c r="RYC197" s="212"/>
      <c r="RYD197" s="212"/>
      <c r="RYE197" s="212"/>
      <c r="RYF197" s="212"/>
      <c r="RYG197" s="212"/>
      <c r="RYH197" s="212"/>
      <c r="RYI197" s="212"/>
      <c r="RYJ197" s="212"/>
      <c r="RYK197" s="212"/>
      <c r="RYL197" s="212"/>
      <c r="RYM197" s="212"/>
      <c r="RYN197" s="212"/>
      <c r="RYO197" s="212"/>
      <c r="RYP197" s="212"/>
      <c r="RYQ197" s="212"/>
      <c r="RYR197" s="212"/>
      <c r="RYS197" s="212"/>
      <c r="RYT197" s="212"/>
      <c r="RYU197" s="212"/>
      <c r="RYV197" s="212"/>
      <c r="RYW197" s="212"/>
      <c r="RYX197" s="212"/>
      <c r="RYY197" s="212"/>
      <c r="RYZ197" s="212"/>
      <c r="RZA197" s="212"/>
      <c r="RZB197" s="212"/>
      <c r="RZC197" s="212"/>
      <c r="RZD197" s="214"/>
      <c r="RZE197" s="211"/>
      <c r="RZF197" s="212"/>
      <c r="RZG197" s="212"/>
      <c r="RZH197" s="212"/>
      <c r="RZI197" s="212"/>
      <c r="RZJ197" s="212"/>
      <c r="RZK197" s="212"/>
      <c r="RZL197" s="212"/>
      <c r="RZM197" s="212"/>
      <c r="RZN197" s="212"/>
      <c r="RZO197" s="212"/>
      <c r="RZP197" s="212"/>
      <c r="RZQ197" s="212"/>
      <c r="RZR197" s="212"/>
      <c r="RZS197" s="212"/>
      <c r="RZT197" s="212"/>
      <c r="RZU197" s="212"/>
      <c r="RZV197" s="212"/>
      <c r="RZW197" s="212"/>
      <c r="RZX197" s="212"/>
      <c r="RZY197" s="212"/>
      <c r="RZZ197" s="212"/>
      <c r="SAA197" s="212"/>
      <c r="SAB197" s="212"/>
      <c r="SAC197" s="212"/>
      <c r="SAD197" s="212"/>
      <c r="SAE197" s="212"/>
      <c r="SAF197" s="212"/>
      <c r="SAG197" s="212"/>
      <c r="SAH197" s="212"/>
      <c r="SAI197" s="212"/>
      <c r="SAJ197" s="212"/>
      <c r="SAK197" s="212"/>
      <c r="SAL197" s="212"/>
      <c r="SAM197" s="212"/>
      <c r="SAN197" s="212"/>
      <c r="SAO197" s="212"/>
      <c r="SAP197" s="212"/>
      <c r="SAQ197" s="212"/>
      <c r="SAR197" s="212"/>
      <c r="SAS197" s="212"/>
      <c r="SAT197" s="212"/>
      <c r="SAU197" s="212"/>
      <c r="SAV197" s="214"/>
      <c r="SAW197" s="211"/>
      <c r="SAX197" s="212"/>
      <c r="SAY197" s="212"/>
      <c r="SAZ197" s="212"/>
      <c r="SBA197" s="212"/>
      <c r="SBB197" s="212"/>
      <c r="SBC197" s="212"/>
      <c r="SBD197" s="212"/>
      <c r="SBE197" s="212"/>
      <c r="SBF197" s="212"/>
      <c r="SBG197" s="212"/>
      <c r="SBH197" s="212"/>
      <c r="SBI197" s="212"/>
      <c r="SBJ197" s="212"/>
      <c r="SBK197" s="212"/>
      <c r="SBL197" s="212"/>
      <c r="SBM197" s="212"/>
      <c r="SBN197" s="212"/>
      <c r="SBO197" s="212"/>
      <c r="SBP197" s="212"/>
      <c r="SBQ197" s="212"/>
      <c r="SBR197" s="212"/>
      <c r="SBS197" s="212"/>
      <c r="SBT197" s="212"/>
      <c r="SBU197" s="212"/>
      <c r="SBV197" s="212"/>
      <c r="SBW197" s="212"/>
      <c r="SBX197" s="212"/>
      <c r="SBY197" s="212"/>
      <c r="SBZ197" s="212"/>
      <c r="SCA197" s="212"/>
      <c r="SCB197" s="212"/>
      <c r="SCC197" s="212"/>
      <c r="SCD197" s="212"/>
      <c r="SCE197" s="212"/>
      <c r="SCF197" s="212"/>
      <c r="SCG197" s="212"/>
      <c r="SCH197" s="212"/>
      <c r="SCI197" s="212"/>
      <c r="SCJ197" s="212"/>
      <c r="SCK197" s="212"/>
      <c r="SCL197" s="212"/>
      <c r="SCM197" s="212"/>
      <c r="SCN197" s="214"/>
      <c r="SCO197" s="211"/>
      <c r="SCP197" s="212"/>
      <c r="SCQ197" s="212"/>
      <c r="SCR197" s="212"/>
      <c r="SCS197" s="212"/>
      <c r="SCT197" s="212"/>
      <c r="SCU197" s="212"/>
      <c r="SCV197" s="212"/>
      <c r="SCW197" s="212"/>
      <c r="SCX197" s="212"/>
      <c r="SCY197" s="212"/>
      <c r="SCZ197" s="212"/>
      <c r="SDA197" s="212"/>
      <c r="SDB197" s="212"/>
      <c r="SDC197" s="212"/>
      <c r="SDD197" s="212"/>
      <c r="SDE197" s="212"/>
      <c r="SDF197" s="212"/>
      <c r="SDG197" s="212"/>
      <c r="SDH197" s="212"/>
      <c r="SDI197" s="212"/>
      <c r="SDJ197" s="212"/>
      <c r="SDK197" s="212"/>
      <c r="SDL197" s="212"/>
      <c r="SDM197" s="212"/>
      <c r="SDN197" s="212"/>
      <c r="SDO197" s="212"/>
      <c r="SDP197" s="212"/>
      <c r="SDQ197" s="212"/>
      <c r="SDR197" s="212"/>
      <c r="SDS197" s="212"/>
      <c r="SDT197" s="212"/>
      <c r="SDU197" s="212"/>
      <c r="SDV197" s="212"/>
      <c r="SDW197" s="212"/>
      <c r="SDX197" s="212"/>
      <c r="SDY197" s="212"/>
      <c r="SDZ197" s="212"/>
      <c r="SEA197" s="212"/>
      <c r="SEB197" s="212"/>
      <c r="SEC197" s="212"/>
      <c r="SED197" s="212"/>
      <c r="SEE197" s="212"/>
      <c r="SEF197" s="214"/>
      <c r="SEG197" s="211"/>
      <c r="SEH197" s="212"/>
      <c r="SEI197" s="212"/>
      <c r="SEJ197" s="212"/>
      <c r="SEK197" s="212"/>
      <c r="SEL197" s="212"/>
      <c r="SEM197" s="212"/>
      <c r="SEN197" s="212"/>
      <c r="SEO197" s="212"/>
      <c r="SEP197" s="212"/>
      <c r="SEQ197" s="212"/>
      <c r="SER197" s="212"/>
      <c r="SES197" s="212"/>
      <c r="SET197" s="212"/>
      <c r="SEU197" s="212"/>
      <c r="SEV197" s="212"/>
      <c r="SEW197" s="212"/>
      <c r="SEX197" s="212"/>
      <c r="SEY197" s="212"/>
      <c r="SEZ197" s="212"/>
      <c r="SFA197" s="212"/>
      <c r="SFB197" s="212"/>
      <c r="SFC197" s="212"/>
      <c r="SFD197" s="212"/>
      <c r="SFE197" s="212"/>
      <c r="SFF197" s="212"/>
      <c r="SFG197" s="212"/>
      <c r="SFH197" s="212"/>
      <c r="SFI197" s="212"/>
      <c r="SFJ197" s="212"/>
      <c r="SFK197" s="212"/>
      <c r="SFL197" s="212"/>
      <c r="SFM197" s="212"/>
      <c r="SFN197" s="212"/>
      <c r="SFO197" s="212"/>
      <c r="SFP197" s="212"/>
      <c r="SFQ197" s="212"/>
      <c r="SFR197" s="212"/>
      <c r="SFS197" s="212"/>
      <c r="SFT197" s="212"/>
      <c r="SFU197" s="212"/>
      <c r="SFV197" s="212"/>
      <c r="SFW197" s="212"/>
      <c r="SFX197" s="214"/>
      <c r="SFY197" s="211"/>
      <c r="SFZ197" s="212"/>
      <c r="SGA197" s="212"/>
      <c r="SGB197" s="212"/>
      <c r="SGC197" s="212"/>
      <c r="SGD197" s="212"/>
      <c r="SGE197" s="212"/>
      <c r="SGF197" s="212"/>
      <c r="SGG197" s="212"/>
      <c r="SGH197" s="212"/>
      <c r="SGI197" s="212"/>
      <c r="SGJ197" s="212"/>
      <c r="SGK197" s="212"/>
      <c r="SGL197" s="212"/>
      <c r="SGM197" s="212"/>
      <c r="SGN197" s="212"/>
      <c r="SGO197" s="212"/>
      <c r="SGP197" s="212"/>
      <c r="SGQ197" s="212"/>
      <c r="SGR197" s="212"/>
      <c r="SGS197" s="212"/>
      <c r="SGT197" s="212"/>
      <c r="SGU197" s="212"/>
      <c r="SGV197" s="212"/>
      <c r="SGW197" s="212"/>
      <c r="SGX197" s="212"/>
      <c r="SGY197" s="212"/>
      <c r="SGZ197" s="212"/>
      <c r="SHA197" s="212"/>
      <c r="SHB197" s="212"/>
      <c r="SHC197" s="212"/>
      <c r="SHD197" s="212"/>
      <c r="SHE197" s="212"/>
      <c r="SHF197" s="212"/>
      <c r="SHG197" s="212"/>
      <c r="SHH197" s="212"/>
      <c r="SHI197" s="212"/>
      <c r="SHJ197" s="212"/>
      <c r="SHK197" s="212"/>
      <c r="SHL197" s="212"/>
      <c r="SHM197" s="212"/>
      <c r="SHN197" s="212"/>
      <c r="SHO197" s="212"/>
      <c r="SHP197" s="214"/>
      <c r="SHQ197" s="211"/>
      <c r="SHR197" s="212"/>
      <c r="SHS197" s="212"/>
      <c r="SHT197" s="212"/>
      <c r="SHU197" s="212"/>
      <c r="SHV197" s="212"/>
      <c r="SHW197" s="212"/>
      <c r="SHX197" s="212"/>
      <c r="SHY197" s="212"/>
      <c r="SHZ197" s="212"/>
      <c r="SIA197" s="212"/>
      <c r="SIB197" s="212"/>
      <c r="SIC197" s="212"/>
      <c r="SID197" s="212"/>
      <c r="SIE197" s="212"/>
      <c r="SIF197" s="212"/>
      <c r="SIG197" s="212"/>
      <c r="SIH197" s="212"/>
      <c r="SII197" s="212"/>
      <c r="SIJ197" s="212"/>
      <c r="SIK197" s="212"/>
      <c r="SIL197" s="212"/>
      <c r="SIM197" s="212"/>
      <c r="SIN197" s="212"/>
      <c r="SIO197" s="212"/>
      <c r="SIP197" s="212"/>
      <c r="SIQ197" s="212"/>
      <c r="SIR197" s="212"/>
      <c r="SIS197" s="212"/>
      <c r="SIT197" s="212"/>
      <c r="SIU197" s="212"/>
      <c r="SIV197" s="212"/>
      <c r="SIW197" s="212"/>
      <c r="SIX197" s="212"/>
      <c r="SIY197" s="212"/>
      <c r="SIZ197" s="212"/>
      <c r="SJA197" s="212"/>
      <c r="SJB197" s="212"/>
      <c r="SJC197" s="212"/>
      <c r="SJD197" s="212"/>
      <c r="SJE197" s="212"/>
      <c r="SJF197" s="212"/>
      <c r="SJG197" s="212"/>
      <c r="SJH197" s="214"/>
      <c r="SJI197" s="211"/>
      <c r="SJJ197" s="212"/>
      <c r="SJK197" s="212"/>
      <c r="SJL197" s="212"/>
      <c r="SJM197" s="212"/>
      <c r="SJN197" s="212"/>
      <c r="SJO197" s="212"/>
      <c r="SJP197" s="212"/>
      <c r="SJQ197" s="212"/>
      <c r="SJR197" s="212"/>
      <c r="SJS197" s="212"/>
      <c r="SJT197" s="212"/>
      <c r="SJU197" s="212"/>
      <c r="SJV197" s="212"/>
      <c r="SJW197" s="212"/>
      <c r="SJX197" s="212"/>
      <c r="SJY197" s="212"/>
      <c r="SJZ197" s="212"/>
      <c r="SKA197" s="212"/>
      <c r="SKB197" s="212"/>
      <c r="SKC197" s="212"/>
      <c r="SKD197" s="212"/>
      <c r="SKE197" s="212"/>
      <c r="SKF197" s="212"/>
      <c r="SKG197" s="212"/>
      <c r="SKH197" s="212"/>
      <c r="SKI197" s="212"/>
      <c r="SKJ197" s="212"/>
      <c r="SKK197" s="212"/>
      <c r="SKL197" s="212"/>
      <c r="SKM197" s="212"/>
      <c r="SKN197" s="212"/>
      <c r="SKO197" s="212"/>
      <c r="SKP197" s="212"/>
      <c r="SKQ197" s="212"/>
      <c r="SKR197" s="212"/>
      <c r="SKS197" s="212"/>
      <c r="SKT197" s="212"/>
      <c r="SKU197" s="212"/>
      <c r="SKV197" s="212"/>
      <c r="SKW197" s="212"/>
      <c r="SKX197" s="212"/>
      <c r="SKY197" s="212"/>
      <c r="SKZ197" s="214"/>
      <c r="SLA197" s="211"/>
      <c r="SLB197" s="212"/>
      <c r="SLC197" s="212"/>
      <c r="SLD197" s="212"/>
      <c r="SLE197" s="212"/>
      <c r="SLF197" s="212"/>
      <c r="SLG197" s="212"/>
      <c r="SLH197" s="212"/>
      <c r="SLI197" s="212"/>
      <c r="SLJ197" s="212"/>
      <c r="SLK197" s="212"/>
      <c r="SLL197" s="212"/>
      <c r="SLM197" s="212"/>
      <c r="SLN197" s="212"/>
      <c r="SLO197" s="212"/>
      <c r="SLP197" s="212"/>
      <c r="SLQ197" s="212"/>
      <c r="SLR197" s="212"/>
      <c r="SLS197" s="212"/>
      <c r="SLT197" s="212"/>
      <c r="SLU197" s="212"/>
      <c r="SLV197" s="212"/>
      <c r="SLW197" s="212"/>
      <c r="SLX197" s="212"/>
      <c r="SLY197" s="212"/>
      <c r="SLZ197" s="212"/>
      <c r="SMA197" s="212"/>
      <c r="SMB197" s="212"/>
      <c r="SMC197" s="212"/>
      <c r="SMD197" s="212"/>
      <c r="SME197" s="212"/>
      <c r="SMF197" s="212"/>
      <c r="SMG197" s="212"/>
      <c r="SMH197" s="212"/>
      <c r="SMI197" s="212"/>
      <c r="SMJ197" s="212"/>
      <c r="SMK197" s="212"/>
      <c r="SML197" s="212"/>
      <c r="SMM197" s="212"/>
      <c r="SMN197" s="212"/>
      <c r="SMO197" s="212"/>
      <c r="SMP197" s="212"/>
      <c r="SMQ197" s="212"/>
      <c r="SMR197" s="214"/>
      <c r="SMS197" s="211"/>
      <c r="SMT197" s="212"/>
      <c r="SMU197" s="212"/>
      <c r="SMV197" s="212"/>
      <c r="SMW197" s="212"/>
      <c r="SMX197" s="212"/>
      <c r="SMY197" s="212"/>
      <c r="SMZ197" s="212"/>
      <c r="SNA197" s="212"/>
      <c r="SNB197" s="212"/>
      <c r="SNC197" s="212"/>
      <c r="SND197" s="212"/>
      <c r="SNE197" s="212"/>
      <c r="SNF197" s="212"/>
      <c r="SNG197" s="212"/>
      <c r="SNH197" s="212"/>
      <c r="SNI197" s="212"/>
      <c r="SNJ197" s="212"/>
      <c r="SNK197" s="212"/>
      <c r="SNL197" s="212"/>
      <c r="SNM197" s="212"/>
      <c r="SNN197" s="212"/>
      <c r="SNO197" s="212"/>
      <c r="SNP197" s="212"/>
      <c r="SNQ197" s="212"/>
      <c r="SNR197" s="212"/>
      <c r="SNS197" s="212"/>
      <c r="SNT197" s="212"/>
      <c r="SNU197" s="212"/>
      <c r="SNV197" s="212"/>
      <c r="SNW197" s="212"/>
      <c r="SNX197" s="212"/>
      <c r="SNY197" s="212"/>
      <c r="SNZ197" s="212"/>
      <c r="SOA197" s="212"/>
      <c r="SOB197" s="212"/>
      <c r="SOC197" s="212"/>
      <c r="SOD197" s="212"/>
      <c r="SOE197" s="212"/>
      <c r="SOF197" s="212"/>
      <c r="SOG197" s="212"/>
      <c r="SOH197" s="212"/>
      <c r="SOI197" s="212"/>
      <c r="SOJ197" s="214"/>
      <c r="SOK197" s="211"/>
      <c r="SOL197" s="212"/>
      <c r="SOM197" s="212"/>
      <c r="SON197" s="212"/>
      <c r="SOO197" s="212"/>
      <c r="SOP197" s="212"/>
      <c r="SOQ197" s="212"/>
      <c r="SOR197" s="212"/>
      <c r="SOS197" s="212"/>
      <c r="SOT197" s="212"/>
      <c r="SOU197" s="212"/>
      <c r="SOV197" s="212"/>
      <c r="SOW197" s="212"/>
      <c r="SOX197" s="212"/>
      <c r="SOY197" s="212"/>
      <c r="SOZ197" s="212"/>
      <c r="SPA197" s="212"/>
      <c r="SPB197" s="212"/>
      <c r="SPC197" s="212"/>
      <c r="SPD197" s="212"/>
      <c r="SPE197" s="212"/>
      <c r="SPF197" s="212"/>
      <c r="SPG197" s="212"/>
      <c r="SPH197" s="212"/>
      <c r="SPI197" s="212"/>
      <c r="SPJ197" s="212"/>
      <c r="SPK197" s="212"/>
      <c r="SPL197" s="212"/>
      <c r="SPM197" s="212"/>
      <c r="SPN197" s="212"/>
      <c r="SPO197" s="212"/>
      <c r="SPP197" s="212"/>
      <c r="SPQ197" s="212"/>
      <c r="SPR197" s="212"/>
      <c r="SPS197" s="212"/>
      <c r="SPT197" s="212"/>
      <c r="SPU197" s="212"/>
      <c r="SPV197" s="212"/>
      <c r="SPW197" s="212"/>
      <c r="SPX197" s="212"/>
      <c r="SPY197" s="212"/>
      <c r="SPZ197" s="212"/>
      <c r="SQA197" s="212"/>
      <c r="SQB197" s="214"/>
      <c r="SQC197" s="211"/>
      <c r="SQD197" s="212"/>
      <c r="SQE197" s="212"/>
      <c r="SQF197" s="212"/>
      <c r="SQG197" s="212"/>
      <c r="SQH197" s="212"/>
      <c r="SQI197" s="212"/>
      <c r="SQJ197" s="212"/>
      <c r="SQK197" s="212"/>
      <c r="SQL197" s="212"/>
      <c r="SQM197" s="212"/>
      <c r="SQN197" s="212"/>
      <c r="SQO197" s="212"/>
      <c r="SQP197" s="212"/>
      <c r="SQQ197" s="212"/>
      <c r="SQR197" s="212"/>
      <c r="SQS197" s="212"/>
      <c r="SQT197" s="212"/>
      <c r="SQU197" s="212"/>
      <c r="SQV197" s="212"/>
      <c r="SQW197" s="212"/>
      <c r="SQX197" s="212"/>
      <c r="SQY197" s="212"/>
      <c r="SQZ197" s="212"/>
      <c r="SRA197" s="212"/>
      <c r="SRB197" s="212"/>
      <c r="SRC197" s="212"/>
      <c r="SRD197" s="212"/>
      <c r="SRE197" s="212"/>
      <c r="SRF197" s="212"/>
      <c r="SRG197" s="212"/>
      <c r="SRH197" s="212"/>
      <c r="SRI197" s="212"/>
      <c r="SRJ197" s="212"/>
      <c r="SRK197" s="212"/>
      <c r="SRL197" s="212"/>
      <c r="SRM197" s="212"/>
      <c r="SRN197" s="212"/>
      <c r="SRO197" s="212"/>
      <c r="SRP197" s="212"/>
      <c r="SRQ197" s="212"/>
      <c r="SRR197" s="212"/>
      <c r="SRS197" s="212"/>
      <c r="SRT197" s="214"/>
      <c r="SRU197" s="211"/>
      <c r="SRV197" s="212"/>
      <c r="SRW197" s="212"/>
      <c r="SRX197" s="212"/>
      <c r="SRY197" s="212"/>
      <c r="SRZ197" s="212"/>
      <c r="SSA197" s="212"/>
      <c r="SSB197" s="212"/>
      <c r="SSC197" s="212"/>
      <c r="SSD197" s="212"/>
      <c r="SSE197" s="212"/>
      <c r="SSF197" s="212"/>
      <c r="SSG197" s="212"/>
      <c r="SSH197" s="212"/>
      <c r="SSI197" s="212"/>
      <c r="SSJ197" s="212"/>
      <c r="SSK197" s="212"/>
      <c r="SSL197" s="212"/>
      <c r="SSM197" s="212"/>
      <c r="SSN197" s="212"/>
      <c r="SSO197" s="212"/>
      <c r="SSP197" s="212"/>
      <c r="SSQ197" s="212"/>
      <c r="SSR197" s="212"/>
      <c r="SSS197" s="212"/>
      <c r="SST197" s="212"/>
      <c r="SSU197" s="212"/>
      <c r="SSV197" s="212"/>
      <c r="SSW197" s="212"/>
      <c r="SSX197" s="212"/>
      <c r="SSY197" s="212"/>
      <c r="SSZ197" s="212"/>
      <c r="STA197" s="212"/>
      <c r="STB197" s="212"/>
      <c r="STC197" s="212"/>
      <c r="STD197" s="212"/>
      <c r="STE197" s="212"/>
      <c r="STF197" s="212"/>
      <c r="STG197" s="212"/>
      <c r="STH197" s="212"/>
      <c r="STI197" s="212"/>
      <c r="STJ197" s="212"/>
      <c r="STK197" s="212"/>
      <c r="STL197" s="214"/>
      <c r="STM197" s="211"/>
      <c r="STN197" s="212"/>
      <c r="STO197" s="212"/>
      <c r="STP197" s="212"/>
      <c r="STQ197" s="212"/>
      <c r="STR197" s="212"/>
      <c r="STS197" s="212"/>
      <c r="STT197" s="212"/>
      <c r="STU197" s="212"/>
      <c r="STV197" s="212"/>
      <c r="STW197" s="212"/>
      <c r="STX197" s="212"/>
      <c r="STY197" s="212"/>
      <c r="STZ197" s="212"/>
      <c r="SUA197" s="212"/>
      <c r="SUB197" s="212"/>
      <c r="SUC197" s="212"/>
      <c r="SUD197" s="212"/>
      <c r="SUE197" s="212"/>
      <c r="SUF197" s="212"/>
      <c r="SUG197" s="212"/>
      <c r="SUH197" s="212"/>
      <c r="SUI197" s="212"/>
      <c r="SUJ197" s="212"/>
      <c r="SUK197" s="212"/>
      <c r="SUL197" s="212"/>
      <c r="SUM197" s="212"/>
      <c r="SUN197" s="212"/>
      <c r="SUO197" s="212"/>
      <c r="SUP197" s="212"/>
      <c r="SUQ197" s="212"/>
      <c r="SUR197" s="212"/>
      <c r="SUS197" s="212"/>
      <c r="SUT197" s="212"/>
      <c r="SUU197" s="212"/>
      <c r="SUV197" s="212"/>
      <c r="SUW197" s="212"/>
      <c r="SUX197" s="212"/>
      <c r="SUY197" s="212"/>
      <c r="SUZ197" s="212"/>
      <c r="SVA197" s="212"/>
      <c r="SVB197" s="212"/>
      <c r="SVC197" s="212"/>
      <c r="SVD197" s="214"/>
      <c r="SVE197" s="211"/>
      <c r="SVF197" s="212"/>
      <c r="SVG197" s="212"/>
      <c r="SVH197" s="212"/>
      <c r="SVI197" s="212"/>
      <c r="SVJ197" s="212"/>
      <c r="SVK197" s="212"/>
      <c r="SVL197" s="212"/>
      <c r="SVM197" s="212"/>
      <c r="SVN197" s="212"/>
      <c r="SVO197" s="212"/>
      <c r="SVP197" s="212"/>
      <c r="SVQ197" s="212"/>
      <c r="SVR197" s="212"/>
      <c r="SVS197" s="212"/>
      <c r="SVT197" s="212"/>
      <c r="SVU197" s="212"/>
      <c r="SVV197" s="212"/>
      <c r="SVW197" s="212"/>
      <c r="SVX197" s="212"/>
      <c r="SVY197" s="212"/>
      <c r="SVZ197" s="212"/>
      <c r="SWA197" s="212"/>
      <c r="SWB197" s="212"/>
      <c r="SWC197" s="212"/>
      <c r="SWD197" s="212"/>
      <c r="SWE197" s="212"/>
      <c r="SWF197" s="212"/>
      <c r="SWG197" s="212"/>
      <c r="SWH197" s="212"/>
      <c r="SWI197" s="212"/>
      <c r="SWJ197" s="212"/>
      <c r="SWK197" s="212"/>
      <c r="SWL197" s="212"/>
      <c r="SWM197" s="212"/>
      <c r="SWN197" s="212"/>
      <c r="SWO197" s="212"/>
      <c r="SWP197" s="212"/>
      <c r="SWQ197" s="212"/>
      <c r="SWR197" s="212"/>
      <c r="SWS197" s="212"/>
      <c r="SWT197" s="212"/>
      <c r="SWU197" s="212"/>
      <c r="SWV197" s="214"/>
      <c r="SWW197" s="211"/>
      <c r="SWX197" s="212"/>
      <c r="SWY197" s="212"/>
      <c r="SWZ197" s="212"/>
      <c r="SXA197" s="212"/>
      <c r="SXB197" s="212"/>
      <c r="SXC197" s="212"/>
      <c r="SXD197" s="212"/>
      <c r="SXE197" s="212"/>
      <c r="SXF197" s="212"/>
      <c r="SXG197" s="212"/>
      <c r="SXH197" s="212"/>
      <c r="SXI197" s="212"/>
      <c r="SXJ197" s="212"/>
      <c r="SXK197" s="212"/>
      <c r="SXL197" s="212"/>
      <c r="SXM197" s="212"/>
      <c r="SXN197" s="212"/>
      <c r="SXO197" s="212"/>
      <c r="SXP197" s="212"/>
      <c r="SXQ197" s="212"/>
      <c r="SXR197" s="212"/>
      <c r="SXS197" s="212"/>
      <c r="SXT197" s="212"/>
      <c r="SXU197" s="212"/>
      <c r="SXV197" s="212"/>
      <c r="SXW197" s="212"/>
      <c r="SXX197" s="212"/>
      <c r="SXY197" s="212"/>
      <c r="SXZ197" s="212"/>
      <c r="SYA197" s="212"/>
      <c r="SYB197" s="212"/>
      <c r="SYC197" s="212"/>
      <c r="SYD197" s="212"/>
      <c r="SYE197" s="212"/>
      <c r="SYF197" s="212"/>
      <c r="SYG197" s="212"/>
      <c r="SYH197" s="212"/>
      <c r="SYI197" s="212"/>
      <c r="SYJ197" s="212"/>
      <c r="SYK197" s="212"/>
      <c r="SYL197" s="212"/>
      <c r="SYM197" s="212"/>
      <c r="SYN197" s="214"/>
      <c r="SYO197" s="211"/>
      <c r="SYP197" s="212"/>
      <c r="SYQ197" s="212"/>
      <c r="SYR197" s="212"/>
      <c r="SYS197" s="212"/>
      <c r="SYT197" s="212"/>
      <c r="SYU197" s="212"/>
      <c r="SYV197" s="212"/>
      <c r="SYW197" s="212"/>
      <c r="SYX197" s="212"/>
      <c r="SYY197" s="212"/>
      <c r="SYZ197" s="212"/>
      <c r="SZA197" s="212"/>
      <c r="SZB197" s="212"/>
      <c r="SZC197" s="212"/>
      <c r="SZD197" s="212"/>
      <c r="SZE197" s="212"/>
      <c r="SZF197" s="212"/>
      <c r="SZG197" s="212"/>
      <c r="SZH197" s="212"/>
      <c r="SZI197" s="212"/>
      <c r="SZJ197" s="212"/>
      <c r="SZK197" s="212"/>
      <c r="SZL197" s="212"/>
      <c r="SZM197" s="212"/>
      <c r="SZN197" s="212"/>
      <c r="SZO197" s="212"/>
      <c r="SZP197" s="212"/>
      <c r="SZQ197" s="212"/>
      <c r="SZR197" s="212"/>
      <c r="SZS197" s="212"/>
      <c r="SZT197" s="212"/>
      <c r="SZU197" s="212"/>
      <c r="SZV197" s="212"/>
      <c r="SZW197" s="212"/>
      <c r="SZX197" s="212"/>
      <c r="SZY197" s="212"/>
      <c r="SZZ197" s="212"/>
      <c r="TAA197" s="212"/>
      <c r="TAB197" s="212"/>
      <c r="TAC197" s="212"/>
      <c r="TAD197" s="212"/>
      <c r="TAE197" s="212"/>
      <c r="TAF197" s="214"/>
      <c r="TAG197" s="211"/>
      <c r="TAH197" s="212"/>
      <c r="TAI197" s="212"/>
      <c r="TAJ197" s="212"/>
      <c r="TAK197" s="212"/>
      <c r="TAL197" s="212"/>
      <c r="TAM197" s="212"/>
      <c r="TAN197" s="212"/>
      <c r="TAO197" s="212"/>
      <c r="TAP197" s="212"/>
      <c r="TAQ197" s="212"/>
      <c r="TAR197" s="212"/>
      <c r="TAS197" s="212"/>
      <c r="TAT197" s="212"/>
      <c r="TAU197" s="212"/>
      <c r="TAV197" s="212"/>
      <c r="TAW197" s="212"/>
      <c r="TAX197" s="212"/>
      <c r="TAY197" s="212"/>
      <c r="TAZ197" s="212"/>
      <c r="TBA197" s="212"/>
      <c r="TBB197" s="212"/>
      <c r="TBC197" s="212"/>
      <c r="TBD197" s="212"/>
      <c r="TBE197" s="212"/>
      <c r="TBF197" s="212"/>
      <c r="TBG197" s="212"/>
      <c r="TBH197" s="212"/>
      <c r="TBI197" s="212"/>
      <c r="TBJ197" s="212"/>
      <c r="TBK197" s="212"/>
      <c r="TBL197" s="212"/>
      <c r="TBM197" s="212"/>
      <c r="TBN197" s="212"/>
      <c r="TBO197" s="212"/>
      <c r="TBP197" s="212"/>
      <c r="TBQ197" s="212"/>
      <c r="TBR197" s="212"/>
      <c r="TBS197" s="212"/>
      <c r="TBT197" s="212"/>
      <c r="TBU197" s="212"/>
      <c r="TBV197" s="212"/>
      <c r="TBW197" s="212"/>
      <c r="TBX197" s="214"/>
      <c r="TBY197" s="211"/>
      <c r="TBZ197" s="212"/>
      <c r="TCA197" s="212"/>
      <c r="TCB197" s="212"/>
      <c r="TCC197" s="212"/>
      <c r="TCD197" s="212"/>
      <c r="TCE197" s="212"/>
      <c r="TCF197" s="212"/>
      <c r="TCG197" s="212"/>
      <c r="TCH197" s="212"/>
      <c r="TCI197" s="212"/>
      <c r="TCJ197" s="212"/>
      <c r="TCK197" s="212"/>
      <c r="TCL197" s="212"/>
      <c r="TCM197" s="212"/>
      <c r="TCN197" s="212"/>
      <c r="TCO197" s="212"/>
      <c r="TCP197" s="212"/>
      <c r="TCQ197" s="212"/>
      <c r="TCR197" s="212"/>
      <c r="TCS197" s="212"/>
      <c r="TCT197" s="212"/>
      <c r="TCU197" s="212"/>
      <c r="TCV197" s="212"/>
      <c r="TCW197" s="212"/>
      <c r="TCX197" s="212"/>
      <c r="TCY197" s="212"/>
      <c r="TCZ197" s="212"/>
      <c r="TDA197" s="212"/>
      <c r="TDB197" s="212"/>
      <c r="TDC197" s="212"/>
      <c r="TDD197" s="212"/>
      <c r="TDE197" s="212"/>
      <c r="TDF197" s="212"/>
      <c r="TDG197" s="212"/>
      <c r="TDH197" s="212"/>
      <c r="TDI197" s="212"/>
      <c r="TDJ197" s="212"/>
      <c r="TDK197" s="212"/>
      <c r="TDL197" s="212"/>
      <c r="TDM197" s="212"/>
      <c r="TDN197" s="212"/>
      <c r="TDO197" s="212"/>
      <c r="TDP197" s="214"/>
      <c r="TDQ197" s="211"/>
      <c r="TDR197" s="212"/>
      <c r="TDS197" s="212"/>
      <c r="TDT197" s="212"/>
      <c r="TDU197" s="212"/>
      <c r="TDV197" s="212"/>
      <c r="TDW197" s="212"/>
      <c r="TDX197" s="212"/>
      <c r="TDY197" s="212"/>
      <c r="TDZ197" s="212"/>
      <c r="TEA197" s="212"/>
      <c r="TEB197" s="212"/>
      <c r="TEC197" s="212"/>
      <c r="TED197" s="212"/>
      <c r="TEE197" s="212"/>
      <c r="TEF197" s="212"/>
      <c r="TEG197" s="212"/>
      <c r="TEH197" s="212"/>
      <c r="TEI197" s="212"/>
      <c r="TEJ197" s="212"/>
      <c r="TEK197" s="212"/>
      <c r="TEL197" s="212"/>
      <c r="TEM197" s="212"/>
      <c r="TEN197" s="212"/>
      <c r="TEO197" s="212"/>
      <c r="TEP197" s="212"/>
      <c r="TEQ197" s="212"/>
      <c r="TER197" s="212"/>
      <c r="TES197" s="212"/>
      <c r="TET197" s="212"/>
      <c r="TEU197" s="212"/>
      <c r="TEV197" s="212"/>
      <c r="TEW197" s="212"/>
      <c r="TEX197" s="212"/>
      <c r="TEY197" s="212"/>
      <c r="TEZ197" s="212"/>
      <c r="TFA197" s="212"/>
      <c r="TFB197" s="212"/>
      <c r="TFC197" s="212"/>
      <c r="TFD197" s="212"/>
      <c r="TFE197" s="212"/>
      <c r="TFF197" s="212"/>
      <c r="TFG197" s="212"/>
      <c r="TFH197" s="214"/>
      <c r="TFI197" s="211"/>
      <c r="TFJ197" s="212"/>
      <c r="TFK197" s="212"/>
      <c r="TFL197" s="212"/>
      <c r="TFM197" s="212"/>
      <c r="TFN197" s="212"/>
      <c r="TFO197" s="212"/>
      <c r="TFP197" s="212"/>
      <c r="TFQ197" s="212"/>
      <c r="TFR197" s="212"/>
      <c r="TFS197" s="212"/>
      <c r="TFT197" s="212"/>
      <c r="TFU197" s="212"/>
      <c r="TFV197" s="212"/>
      <c r="TFW197" s="212"/>
      <c r="TFX197" s="212"/>
      <c r="TFY197" s="212"/>
      <c r="TFZ197" s="212"/>
      <c r="TGA197" s="212"/>
      <c r="TGB197" s="212"/>
      <c r="TGC197" s="212"/>
      <c r="TGD197" s="212"/>
      <c r="TGE197" s="212"/>
      <c r="TGF197" s="212"/>
      <c r="TGG197" s="212"/>
      <c r="TGH197" s="212"/>
      <c r="TGI197" s="212"/>
      <c r="TGJ197" s="212"/>
      <c r="TGK197" s="212"/>
      <c r="TGL197" s="212"/>
      <c r="TGM197" s="212"/>
      <c r="TGN197" s="212"/>
      <c r="TGO197" s="212"/>
      <c r="TGP197" s="212"/>
      <c r="TGQ197" s="212"/>
      <c r="TGR197" s="212"/>
      <c r="TGS197" s="212"/>
      <c r="TGT197" s="212"/>
      <c r="TGU197" s="212"/>
      <c r="TGV197" s="212"/>
      <c r="TGW197" s="212"/>
      <c r="TGX197" s="212"/>
      <c r="TGY197" s="212"/>
      <c r="TGZ197" s="214"/>
      <c r="THA197" s="211"/>
      <c r="THB197" s="212"/>
      <c r="THC197" s="212"/>
      <c r="THD197" s="212"/>
      <c r="THE197" s="212"/>
      <c r="THF197" s="212"/>
      <c r="THG197" s="212"/>
      <c r="THH197" s="212"/>
      <c r="THI197" s="212"/>
      <c r="THJ197" s="212"/>
      <c r="THK197" s="212"/>
      <c r="THL197" s="212"/>
      <c r="THM197" s="212"/>
      <c r="THN197" s="212"/>
      <c r="THO197" s="212"/>
      <c r="THP197" s="212"/>
      <c r="THQ197" s="212"/>
      <c r="THR197" s="212"/>
      <c r="THS197" s="212"/>
      <c r="THT197" s="212"/>
      <c r="THU197" s="212"/>
      <c r="THV197" s="212"/>
      <c r="THW197" s="212"/>
      <c r="THX197" s="212"/>
      <c r="THY197" s="212"/>
      <c r="THZ197" s="212"/>
      <c r="TIA197" s="212"/>
      <c r="TIB197" s="212"/>
      <c r="TIC197" s="212"/>
      <c r="TID197" s="212"/>
      <c r="TIE197" s="212"/>
      <c r="TIF197" s="212"/>
      <c r="TIG197" s="212"/>
      <c r="TIH197" s="212"/>
      <c r="TII197" s="212"/>
      <c r="TIJ197" s="212"/>
      <c r="TIK197" s="212"/>
      <c r="TIL197" s="212"/>
      <c r="TIM197" s="212"/>
      <c r="TIN197" s="212"/>
      <c r="TIO197" s="212"/>
      <c r="TIP197" s="212"/>
      <c r="TIQ197" s="212"/>
      <c r="TIR197" s="214"/>
      <c r="TIS197" s="211"/>
      <c r="TIT197" s="212"/>
      <c r="TIU197" s="212"/>
      <c r="TIV197" s="212"/>
      <c r="TIW197" s="212"/>
      <c r="TIX197" s="212"/>
      <c r="TIY197" s="212"/>
      <c r="TIZ197" s="212"/>
      <c r="TJA197" s="212"/>
      <c r="TJB197" s="212"/>
      <c r="TJC197" s="212"/>
      <c r="TJD197" s="212"/>
      <c r="TJE197" s="212"/>
      <c r="TJF197" s="212"/>
      <c r="TJG197" s="212"/>
      <c r="TJH197" s="212"/>
      <c r="TJI197" s="212"/>
      <c r="TJJ197" s="212"/>
      <c r="TJK197" s="212"/>
      <c r="TJL197" s="212"/>
      <c r="TJM197" s="212"/>
      <c r="TJN197" s="212"/>
      <c r="TJO197" s="212"/>
      <c r="TJP197" s="212"/>
      <c r="TJQ197" s="212"/>
      <c r="TJR197" s="212"/>
      <c r="TJS197" s="212"/>
      <c r="TJT197" s="212"/>
      <c r="TJU197" s="212"/>
      <c r="TJV197" s="212"/>
      <c r="TJW197" s="212"/>
      <c r="TJX197" s="212"/>
      <c r="TJY197" s="212"/>
      <c r="TJZ197" s="212"/>
      <c r="TKA197" s="212"/>
      <c r="TKB197" s="212"/>
      <c r="TKC197" s="212"/>
      <c r="TKD197" s="212"/>
      <c r="TKE197" s="212"/>
      <c r="TKF197" s="212"/>
      <c r="TKG197" s="212"/>
      <c r="TKH197" s="212"/>
      <c r="TKI197" s="212"/>
      <c r="TKJ197" s="214"/>
      <c r="TKK197" s="211"/>
      <c r="TKL197" s="212"/>
      <c r="TKM197" s="212"/>
      <c r="TKN197" s="212"/>
      <c r="TKO197" s="212"/>
      <c r="TKP197" s="212"/>
      <c r="TKQ197" s="212"/>
      <c r="TKR197" s="212"/>
      <c r="TKS197" s="212"/>
      <c r="TKT197" s="212"/>
      <c r="TKU197" s="212"/>
      <c r="TKV197" s="212"/>
      <c r="TKW197" s="212"/>
      <c r="TKX197" s="212"/>
      <c r="TKY197" s="212"/>
      <c r="TKZ197" s="212"/>
      <c r="TLA197" s="212"/>
      <c r="TLB197" s="212"/>
      <c r="TLC197" s="212"/>
      <c r="TLD197" s="212"/>
      <c r="TLE197" s="212"/>
      <c r="TLF197" s="212"/>
      <c r="TLG197" s="212"/>
      <c r="TLH197" s="212"/>
      <c r="TLI197" s="212"/>
      <c r="TLJ197" s="212"/>
      <c r="TLK197" s="212"/>
      <c r="TLL197" s="212"/>
      <c r="TLM197" s="212"/>
      <c r="TLN197" s="212"/>
      <c r="TLO197" s="212"/>
      <c r="TLP197" s="212"/>
      <c r="TLQ197" s="212"/>
      <c r="TLR197" s="212"/>
      <c r="TLS197" s="212"/>
      <c r="TLT197" s="212"/>
      <c r="TLU197" s="212"/>
      <c r="TLV197" s="212"/>
      <c r="TLW197" s="212"/>
      <c r="TLX197" s="212"/>
      <c r="TLY197" s="212"/>
      <c r="TLZ197" s="212"/>
      <c r="TMA197" s="212"/>
      <c r="TMB197" s="214"/>
      <c r="TMC197" s="211"/>
      <c r="TMD197" s="212"/>
      <c r="TME197" s="212"/>
      <c r="TMF197" s="212"/>
      <c r="TMG197" s="212"/>
      <c r="TMH197" s="212"/>
      <c r="TMI197" s="212"/>
      <c r="TMJ197" s="212"/>
      <c r="TMK197" s="212"/>
      <c r="TML197" s="212"/>
      <c r="TMM197" s="212"/>
      <c r="TMN197" s="212"/>
      <c r="TMO197" s="212"/>
      <c r="TMP197" s="212"/>
      <c r="TMQ197" s="212"/>
      <c r="TMR197" s="212"/>
      <c r="TMS197" s="212"/>
      <c r="TMT197" s="212"/>
      <c r="TMU197" s="212"/>
      <c r="TMV197" s="212"/>
      <c r="TMW197" s="212"/>
      <c r="TMX197" s="212"/>
      <c r="TMY197" s="212"/>
      <c r="TMZ197" s="212"/>
      <c r="TNA197" s="212"/>
      <c r="TNB197" s="212"/>
      <c r="TNC197" s="212"/>
      <c r="TND197" s="212"/>
      <c r="TNE197" s="212"/>
      <c r="TNF197" s="212"/>
      <c r="TNG197" s="212"/>
      <c r="TNH197" s="212"/>
      <c r="TNI197" s="212"/>
      <c r="TNJ197" s="212"/>
      <c r="TNK197" s="212"/>
      <c r="TNL197" s="212"/>
      <c r="TNM197" s="212"/>
      <c r="TNN197" s="212"/>
      <c r="TNO197" s="212"/>
      <c r="TNP197" s="212"/>
      <c r="TNQ197" s="212"/>
      <c r="TNR197" s="212"/>
      <c r="TNS197" s="212"/>
      <c r="TNT197" s="214"/>
      <c r="TNU197" s="211"/>
      <c r="TNV197" s="212"/>
      <c r="TNW197" s="212"/>
      <c r="TNX197" s="212"/>
      <c r="TNY197" s="212"/>
      <c r="TNZ197" s="212"/>
      <c r="TOA197" s="212"/>
      <c r="TOB197" s="212"/>
      <c r="TOC197" s="212"/>
      <c r="TOD197" s="212"/>
      <c r="TOE197" s="212"/>
      <c r="TOF197" s="212"/>
      <c r="TOG197" s="212"/>
      <c r="TOH197" s="212"/>
      <c r="TOI197" s="212"/>
      <c r="TOJ197" s="212"/>
      <c r="TOK197" s="212"/>
      <c r="TOL197" s="212"/>
      <c r="TOM197" s="212"/>
      <c r="TON197" s="212"/>
      <c r="TOO197" s="212"/>
      <c r="TOP197" s="212"/>
      <c r="TOQ197" s="212"/>
      <c r="TOR197" s="212"/>
      <c r="TOS197" s="212"/>
      <c r="TOT197" s="212"/>
      <c r="TOU197" s="212"/>
      <c r="TOV197" s="212"/>
      <c r="TOW197" s="212"/>
      <c r="TOX197" s="212"/>
      <c r="TOY197" s="212"/>
      <c r="TOZ197" s="212"/>
      <c r="TPA197" s="212"/>
      <c r="TPB197" s="212"/>
      <c r="TPC197" s="212"/>
      <c r="TPD197" s="212"/>
      <c r="TPE197" s="212"/>
      <c r="TPF197" s="212"/>
      <c r="TPG197" s="212"/>
      <c r="TPH197" s="212"/>
      <c r="TPI197" s="212"/>
      <c r="TPJ197" s="212"/>
      <c r="TPK197" s="212"/>
      <c r="TPL197" s="214"/>
      <c r="TPM197" s="211"/>
      <c r="TPN197" s="212"/>
      <c r="TPO197" s="212"/>
      <c r="TPP197" s="212"/>
      <c r="TPQ197" s="212"/>
      <c r="TPR197" s="212"/>
      <c r="TPS197" s="212"/>
      <c r="TPT197" s="212"/>
      <c r="TPU197" s="212"/>
      <c r="TPV197" s="212"/>
      <c r="TPW197" s="212"/>
      <c r="TPX197" s="212"/>
      <c r="TPY197" s="212"/>
      <c r="TPZ197" s="212"/>
      <c r="TQA197" s="212"/>
      <c r="TQB197" s="212"/>
      <c r="TQC197" s="212"/>
      <c r="TQD197" s="212"/>
      <c r="TQE197" s="212"/>
      <c r="TQF197" s="212"/>
      <c r="TQG197" s="212"/>
      <c r="TQH197" s="212"/>
      <c r="TQI197" s="212"/>
      <c r="TQJ197" s="212"/>
      <c r="TQK197" s="212"/>
      <c r="TQL197" s="212"/>
      <c r="TQM197" s="212"/>
      <c r="TQN197" s="212"/>
      <c r="TQO197" s="212"/>
      <c r="TQP197" s="212"/>
      <c r="TQQ197" s="212"/>
      <c r="TQR197" s="212"/>
      <c r="TQS197" s="212"/>
      <c r="TQT197" s="212"/>
      <c r="TQU197" s="212"/>
      <c r="TQV197" s="212"/>
      <c r="TQW197" s="212"/>
      <c r="TQX197" s="212"/>
      <c r="TQY197" s="212"/>
      <c r="TQZ197" s="212"/>
      <c r="TRA197" s="212"/>
      <c r="TRB197" s="212"/>
      <c r="TRC197" s="212"/>
      <c r="TRD197" s="214"/>
      <c r="TRE197" s="211"/>
      <c r="TRF197" s="212"/>
      <c r="TRG197" s="212"/>
      <c r="TRH197" s="212"/>
      <c r="TRI197" s="212"/>
      <c r="TRJ197" s="212"/>
      <c r="TRK197" s="212"/>
      <c r="TRL197" s="212"/>
      <c r="TRM197" s="212"/>
      <c r="TRN197" s="212"/>
      <c r="TRO197" s="212"/>
      <c r="TRP197" s="212"/>
      <c r="TRQ197" s="212"/>
      <c r="TRR197" s="212"/>
      <c r="TRS197" s="212"/>
      <c r="TRT197" s="212"/>
      <c r="TRU197" s="212"/>
      <c r="TRV197" s="212"/>
      <c r="TRW197" s="212"/>
      <c r="TRX197" s="212"/>
      <c r="TRY197" s="212"/>
      <c r="TRZ197" s="212"/>
      <c r="TSA197" s="212"/>
      <c r="TSB197" s="212"/>
      <c r="TSC197" s="212"/>
      <c r="TSD197" s="212"/>
      <c r="TSE197" s="212"/>
      <c r="TSF197" s="212"/>
      <c r="TSG197" s="212"/>
      <c r="TSH197" s="212"/>
      <c r="TSI197" s="212"/>
      <c r="TSJ197" s="212"/>
      <c r="TSK197" s="212"/>
      <c r="TSL197" s="212"/>
      <c r="TSM197" s="212"/>
      <c r="TSN197" s="212"/>
      <c r="TSO197" s="212"/>
      <c r="TSP197" s="212"/>
      <c r="TSQ197" s="212"/>
      <c r="TSR197" s="212"/>
      <c r="TSS197" s="212"/>
      <c r="TST197" s="212"/>
      <c r="TSU197" s="212"/>
      <c r="TSV197" s="214"/>
      <c r="TSW197" s="211"/>
      <c r="TSX197" s="212"/>
      <c r="TSY197" s="212"/>
      <c r="TSZ197" s="212"/>
      <c r="TTA197" s="212"/>
      <c r="TTB197" s="212"/>
      <c r="TTC197" s="212"/>
      <c r="TTD197" s="212"/>
      <c r="TTE197" s="212"/>
      <c r="TTF197" s="212"/>
      <c r="TTG197" s="212"/>
      <c r="TTH197" s="212"/>
      <c r="TTI197" s="212"/>
      <c r="TTJ197" s="212"/>
      <c r="TTK197" s="212"/>
      <c r="TTL197" s="212"/>
      <c r="TTM197" s="212"/>
      <c r="TTN197" s="212"/>
      <c r="TTO197" s="212"/>
      <c r="TTP197" s="212"/>
      <c r="TTQ197" s="212"/>
      <c r="TTR197" s="212"/>
      <c r="TTS197" s="212"/>
      <c r="TTT197" s="212"/>
      <c r="TTU197" s="212"/>
      <c r="TTV197" s="212"/>
      <c r="TTW197" s="212"/>
      <c r="TTX197" s="212"/>
      <c r="TTY197" s="212"/>
      <c r="TTZ197" s="212"/>
      <c r="TUA197" s="212"/>
      <c r="TUB197" s="212"/>
      <c r="TUC197" s="212"/>
      <c r="TUD197" s="212"/>
      <c r="TUE197" s="212"/>
      <c r="TUF197" s="212"/>
      <c r="TUG197" s="212"/>
      <c r="TUH197" s="212"/>
      <c r="TUI197" s="212"/>
      <c r="TUJ197" s="212"/>
      <c r="TUK197" s="212"/>
      <c r="TUL197" s="212"/>
      <c r="TUM197" s="212"/>
      <c r="TUN197" s="214"/>
      <c r="TUO197" s="211"/>
      <c r="TUP197" s="212"/>
      <c r="TUQ197" s="212"/>
      <c r="TUR197" s="212"/>
      <c r="TUS197" s="212"/>
      <c r="TUT197" s="212"/>
      <c r="TUU197" s="212"/>
      <c r="TUV197" s="212"/>
      <c r="TUW197" s="212"/>
      <c r="TUX197" s="212"/>
      <c r="TUY197" s="212"/>
      <c r="TUZ197" s="212"/>
      <c r="TVA197" s="212"/>
      <c r="TVB197" s="212"/>
      <c r="TVC197" s="212"/>
      <c r="TVD197" s="212"/>
      <c r="TVE197" s="212"/>
      <c r="TVF197" s="212"/>
      <c r="TVG197" s="212"/>
      <c r="TVH197" s="212"/>
      <c r="TVI197" s="212"/>
      <c r="TVJ197" s="212"/>
      <c r="TVK197" s="212"/>
      <c r="TVL197" s="212"/>
      <c r="TVM197" s="212"/>
      <c r="TVN197" s="212"/>
      <c r="TVO197" s="212"/>
      <c r="TVP197" s="212"/>
      <c r="TVQ197" s="212"/>
      <c r="TVR197" s="212"/>
      <c r="TVS197" s="212"/>
      <c r="TVT197" s="212"/>
      <c r="TVU197" s="212"/>
      <c r="TVV197" s="212"/>
      <c r="TVW197" s="212"/>
      <c r="TVX197" s="212"/>
      <c r="TVY197" s="212"/>
      <c r="TVZ197" s="212"/>
      <c r="TWA197" s="212"/>
      <c r="TWB197" s="212"/>
      <c r="TWC197" s="212"/>
      <c r="TWD197" s="212"/>
      <c r="TWE197" s="212"/>
      <c r="TWF197" s="214"/>
      <c r="TWG197" s="211"/>
      <c r="TWH197" s="212"/>
      <c r="TWI197" s="212"/>
      <c r="TWJ197" s="212"/>
      <c r="TWK197" s="212"/>
      <c r="TWL197" s="212"/>
      <c r="TWM197" s="212"/>
      <c r="TWN197" s="212"/>
      <c r="TWO197" s="212"/>
      <c r="TWP197" s="212"/>
      <c r="TWQ197" s="212"/>
      <c r="TWR197" s="212"/>
      <c r="TWS197" s="212"/>
      <c r="TWT197" s="212"/>
      <c r="TWU197" s="212"/>
      <c r="TWV197" s="212"/>
      <c r="TWW197" s="212"/>
      <c r="TWX197" s="212"/>
      <c r="TWY197" s="212"/>
      <c r="TWZ197" s="212"/>
      <c r="TXA197" s="212"/>
      <c r="TXB197" s="212"/>
      <c r="TXC197" s="212"/>
      <c r="TXD197" s="212"/>
      <c r="TXE197" s="212"/>
      <c r="TXF197" s="212"/>
      <c r="TXG197" s="212"/>
      <c r="TXH197" s="212"/>
      <c r="TXI197" s="212"/>
      <c r="TXJ197" s="212"/>
      <c r="TXK197" s="212"/>
      <c r="TXL197" s="212"/>
      <c r="TXM197" s="212"/>
      <c r="TXN197" s="212"/>
      <c r="TXO197" s="212"/>
      <c r="TXP197" s="212"/>
      <c r="TXQ197" s="212"/>
      <c r="TXR197" s="212"/>
      <c r="TXS197" s="212"/>
      <c r="TXT197" s="212"/>
      <c r="TXU197" s="212"/>
      <c r="TXV197" s="212"/>
      <c r="TXW197" s="212"/>
      <c r="TXX197" s="214"/>
      <c r="TXY197" s="211"/>
      <c r="TXZ197" s="212"/>
      <c r="TYA197" s="212"/>
      <c r="TYB197" s="212"/>
      <c r="TYC197" s="212"/>
      <c r="TYD197" s="212"/>
      <c r="TYE197" s="212"/>
      <c r="TYF197" s="212"/>
      <c r="TYG197" s="212"/>
      <c r="TYH197" s="212"/>
      <c r="TYI197" s="212"/>
      <c r="TYJ197" s="212"/>
      <c r="TYK197" s="212"/>
      <c r="TYL197" s="212"/>
      <c r="TYM197" s="212"/>
      <c r="TYN197" s="212"/>
      <c r="TYO197" s="212"/>
      <c r="TYP197" s="212"/>
      <c r="TYQ197" s="212"/>
      <c r="TYR197" s="212"/>
      <c r="TYS197" s="212"/>
      <c r="TYT197" s="212"/>
      <c r="TYU197" s="212"/>
      <c r="TYV197" s="212"/>
      <c r="TYW197" s="212"/>
      <c r="TYX197" s="212"/>
      <c r="TYY197" s="212"/>
      <c r="TYZ197" s="212"/>
      <c r="TZA197" s="212"/>
      <c r="TZB197" s="212"/>
      <c r="TZC197" s="212"/>
      <c r="TZD197" s="212"/>
      <c r="TZE197" s="212"/>
      <c r="TZF197" s="212"/>
      <c r="TZG197" s="212"/>
      <c r="TZH197" s="212"/>
      <c r="TZI197" s="212"/>
      <c r="TZJ197" s="212"/>
      <c r="TZK197" s="212"/>
      <c r="TZL197" s="212"/>
      <c r="TZM197" s="212"/>
      <c r="TZN197" s="212"/>
      <c r="TZO197" s="212"/>
      <c r="TZP197" s="214"/>
      <c r="TZQ197" s="211"/>
      <c r="TZR197" s="212"/>
      <c r="TZS197" s="212"/>
      <c r="TZT197" s="212"/>
      <c r="TZU197" s="212"/>
      <c r="TZV197" s="212"/>
      <c r="TZW197" s="212"/>
      <c r="TZX197" s="212"/>
      <c r="TZY197" s="212"/>
      <c r="TZZ197" s="212"/>
      <c r="UAA197" s="212"/>
      <c r="UAB197" s="212"/>
      <c r="UAC197" s="212"/>
      <c r="UAD197" s="212"/>
      <c r="UAE197" s="212"/>
      <c r="UAF197" s="212"/>
      <c r="UAG197" s="212"/>
      <c r="UAH197" s="212"/>
      <c r="UAI197" s="212"/>
      <c r="UAJ197" s="212"/>
      <c r="UAK197" s="212"/>
      <c r="UAL197" s="212"/>
      <c r="UAM197" s="212"/>
      <c r="UAN197" s="212"/>
      <c r="UAO197" s="212"/>
      <c r="UAP197" s="212"/>
      <c r="UAQ197" s="212"/>
      <c r="UAR197" s="212"/>
      <c r="UAS197" s="212"/>
      <c r="UAT197" s="212"/>
      <c r="UAU197" s="212"/>
      <c r="UAV197" s="212"/>
      <c r="UAW197" s="212"/>
      <c r="UAX197" s="212"/>
      <c r="UAY197" s="212"/>
      <c r="UAZ197" s="212"/>
      <c r="UBA197" s="212"/>
      <c r="UBB197" s="212"/>
      <c r="UBC197" s="212"/>
      <c r="UBD197" s="212"/>
      <c r="UBE197" s="212"/>
      <c r="UBF197" s="212"/>
      <c r="UBG197" s="212"/>
      <c r="UBH197" s="214"/>
      <c r="UBI197" s="211"/>
      <c r="UBJ197" s="212"/>
      <c r="UBK197" s="212"/>
      <c r="UBL197" s="212"/>
      <c r="UBM197" s="212"/>
      <c r="UBN197" s="212"/>
      <c r="UBO197" s="212"/>
      <c r="UBP197" s="212"/>
      <c r="UBQ197" s="212"/>
      <c r="UBR197" s="212"/>
      <c r="UBS197" s="212"/>
      <c r="UBT197" s="212"/>
      <c r="UBU197" s="212"/>
      <c r="UBV197" s="212"/>
      <c r="UBW197" s="212"/>
      <c r="UBX197" s="212"/>
      <c r="UBY197" s="212"/>
      <c r="UBZ197" s="212"/>
      <c r="UCA197" s="212"/>
      <c r="UCB197" s="212"/>
      <c r="UCC197" s="212"/>
      <c r="UCD197" s="212"/>
      <c r="UCE197" s="212"/>
      <c r="UCF197" s="212"/>
      <c r="UCG197" s="212"/>
      <c r="UCH197" s="212"/>
      <c r="UCI197" s="212"/>
      <c r="UCJ197" s="212"/>
      <c r="UCK197" s="212"/>
      <c r="UCL197" s="212"/>
      <c r="UCM197" s="212"/>
      <c r="UCN197" s="212"/>
      <c r="UCO197" s="212"/>
      <c r="UCP197" s="212"/>
      <c r="UCQ197" s="212"/>
      <c r="UCR197" s="212"/>
      <c r="UCS197" s="212"/>
      <c r="UCT197" s="212"/>
      <c r="UCU197" s="212"/>
      <c r="UCV197" s="212"/>
      <c r="UCW197" s="212"/>
      <c r="UCX197" s="212"/>
      <c r="UCY197" s="212"/>
      <c r="UCZ197" s="214"/>
      <c r="UDA197" s="211"/>
      <c r="UDB197" s="212"/>
      <c r="UDC197" s="212"/>
      <c r="UDD197" s="212"/>
      <c r="UDE197" s="212"/>
      <c r="UDF197" s="212"/>
      <c r="UDG197" s="212"/>
      <c r="UDH197" s="212"/>
      <c r="UDI197" s="212"/>
      <c r="UDJ197" s="212"/>
      <c r="UDK197" s="212"/>
      <c r="UDL197" s="212"/>
      <c r="UDM197" s="212"/>
      <c r="UDN197" s="212"/>
      <c r="UDO197" s="212"/>
      <c r="UDP197" s="212"/>
      <c r="UDQ197" s="212"/>
      <c r="UDR197" s="212"/>
      <c r="UDS197" s="212"/>
      <c r="UDT197" s="212"/>
      <c r="UDU197" s="212"/>
      <c r="UDV197" s="212"/>
      <c r="UDW197" s="212"/>
      <c r="UDX197" s="212"/>
      <c r="UDY197" s="212"/>
      <c r="UDZ197" s="212"/>
      <c r="UEA197" s="212"/>
      <c r="UEB197" s="212"/>
      <c r="UEC197" s="212"/>
      <c r="UED197" s="212"/>
      <c r="UEE197" s="212"/>
      <c r="UEF197" s="212"/>
      <c r="UEG197" s="212"/>
      <c r="UEH197" s="212"/>
      <c r="UEI197" s="212"/>
      <c r="UEJ197" s="212"/>
      <c r="UEK197" s="212"/>
      <c r="UEL197" s="212"/>
      <c r="UEM197" s="212"/>
      <c r="UEN197" s="212"/>
      <c r="UEO197" s="212"/>
      <c r="UEP197" s="212"/>
      <c r="UEQ197" s="212"/>
      <c r="UER197" s="214"/>
      <c r="UES197" s="211"/>
      <c r="UET197" s="212"/>
      <c r="UEU197" s="212"/>
      <c r="UEV197" s="212"/>
      <c r="UEW197" s="212"/>
      <c r="UEX197" s="212"/>
      <c r="UEY197" s="212"/>
      <c r="UEZ197" s="212"/>
      <c r="UFA197" s="212"/>
      <c r="UFB197" s="212"/>
      <c r="UFC197" s="212"/>
      <c r="UFD197" s="212"/>
      <c r="UFE197" s="212"/>
      <c r="UFF197" s="212"/>
      <c r="UFG197" s="212"/>
      <c r="UFH197" s="212"/>
      <c r="UFI197" s="212"/>
      <c r="UFJ197" s="212"/>
      <c r="UFK197" s="212"/>
      <c r="UFL197" s="212"/>
      <c r="UFM197" s="212"/>
      <c r="UFN197" s="212"/>
      <c r="UFO197" s="212"/>
      <c r="UFP197" s="212"/>
      <c r="UFQ197" s="212"/>
      <c r="UFR197" s="212"/>
      <c r="UFS197" s="212"/>
      <c r="UFT197" s="212"/>
      <c r="UFU197" s="212"/>
      <c r="UFV197" s="212"/>
      <c r="UFW197" s="212"/>
      <c r="UFX197" s="212"/>
      <c r="UFY197" s="212"/>
      <c r="UFZ197" s="212"/>
      <c r="UGA197" s="212"/>
      <c r="UGB197" s="212"/>
      <c r="UGC197" s="212"/>
      <c r="UGD197" s="212"/>
      <c r="UGE197" s="212"/>
      <c r="UGF197" s="212"/>
      <c r="UGG197" s="212"/>
      <c r="UGH197" s="212"/>
      <c r="UGI197" s="212"/>
      <c r="UGJ197" s="214"/>
      <c r="UGK197" s="211"/>
      <c r="UGL197" s="212"/>
      <c r="UGM197" s="212"/>
      <c r="UGN197" s="212"/>
      <c r="UGO197" s="212"/>
      <c r="UGP197" s="212"/>
      <c r="UGQ197" s="212"/>
      <c r="UGR197" s="212"/>
      <c r="UGS197" s="212"/>
      <c r="UGT197" s="212"/>
      <c r="UGU197" s="212"/>
      <c r="UGV197" s="212"/>
      <c r="UGW197" s="212"/>
      <c r="UGX197" s="212"/>
      <c r="UGY197" s="212"/>
      <c r="UGZ197" s="212"/>
      <c r="UHA197" s="212"/>
      <c r="UHB197" s="212"/>
      <c r="UHC197" s="212"/>
      <c r="UHD197" s="212"/>
      <c r="UHE197" s="212"/>
      <c r="UHF197" s="212"/>
      <c r="UHG197" s="212"/>
      <c r="UHH197" s="212"/>
      <c r="UHI197" s="212"/>
      <c r="UHJ197" s="212"/>
      <c r="UHK197" s="212"/>
      <c r="UHL197" s="212"/>
      <c r="UHM197" s="212"/>
      <c r="UHN197" s="212"/>
      <c r="UHO197" s="212"/>
      <c r="UHP197" s="212"/>
      <c r="UHQ197" s="212"/>
      <c r="UHR197" s="212"/>
      <c r="UHS197" s="212"/>
      <c r="UHT197" s="212"/>
      <c r="UHU197" s="212"/>
      <c r="UHV197" s="212"/>
      <c r="UHW197" s="212"/>
      <c r="UHX197" s="212"/>
      <c r="UHY197" s="212"/>
      <c r="UHZ197" s="212"/>
      <c r="UIA197" s="212"/>
      <c r="UIB197" s="214"/>
      <c r="UIC197" s="211"/>
      <c r="UID197" s="212"/>
      <c r="UIE197" s="212"/>
      <c r="UIF197" s="212"/>
      <c r="UIG197" s="212"/>
      <c r="UIH197" s="212"/>
      <c r="UII197" s="212"/>
      <c r="UIJ197" s="212"/>
      <c r="UIK197" s="212"/>
      <c r="UIL197" s="212"/>
      <c r="UIM197" s="212"/>
      <c r="UIN197" s="212"/>
      <c r="UIO197" s="212"/>
      <c r="UIP197" s="212"/>
      <c r="UIQ197" s="212"/>
      <c r="UIR197" s="212"/>
      <c r="UIS197" s="212"/>
      <c r="UIT197" s="212"/>
      <c r="UIU197" s="212"/>
      <c r="UIV197" s="212"/>
      <c r="UIW197" s="212"/>
      <c r="UIX197" s="212"/>
      <c r="UIY197" s="212"/>
      <c r="UIZ197" s="212"/>
      <c r="UJA197" s="212"/>
      <c r="UJB197" s="212"/>
      <c r="UJC197" s="212"/>
      <c r="UJD197" s="212"/>
      <c r="UJE197" s="212"/>
      <c r="UJF197" s="212"/>
      <c r="UJG197" s="212"/>
      <c r="UJH197" s="212"/>
      <c r="UJI197" s="212"/>
      <c r="UJJ197" s="212"/>
      <c r="UJK197" s="212"/>
      <c r="UJL197" s="212"/>
      <c r="UJM197" s="212"/>
      <c r="UJN197" s="212"/>
      <c r="UJO197" s="212"/>
      <c r="UJP197" s="212"/>
      <c r="UJQ197" s="212"/>
      <c r="UJR197" s="212"/>
      <c r="UJS197" s="212"/>
      <c r="UJT197" s="214"/>
      <c r="UJU197" s="211"/>
      <c r="UJV197" s="212"/>
      <c r="UJW197" s="212"/>
      <c r="UJX197" s="212"/>
      <c r="UJY197" s="212"/>
      <c r="UJZ197" s="212"/>
      <c r="UKA197" s="212"/>
      <c r="UKB197" s="212"/>
      <c r="UKC197" s="212"/>
      <c r="UKD197" s="212"/>
      <c r="UKE197" s="212"/>
      <c r="UKF197" s="212"/>
      <c r="UKG197" s="212"/>
      <c r="UKH197" s="212"/>
      <c r="UKI197" s="212"/>
      <c r="UKJ197" s="212"/>
      <c r="UKK197" s="212"/>
      <c r="UKL197" s="212"/>
      <c r="UKM197" s="212"/>
      <c r="UKN197" s="212"/>
      <c r="UKO197" s="212"/>
      <c r="UKP197" s="212"/>
      <c r="UKQ197" s="212"/>
      <c r="UKR197" s="212"/>
      <c r="UKS197" s="212"/>
      <c r="UKT197" s="212"/>
      <c r="UKU197" s="212"/>
      <c r="UKV197" s="212"/>
      <c r="UKW197" s="212"/>
      <c r="UKX197" s="212"/>
      <c r="UKY197" s="212"/>
      <c r="UKZ197" s="212"/>
      <c r="ULA197" s="212"/>
      <c r="ULB197" s="212"/>
      <c r="ULC197" s="212"/>
      <c r="ULD197" s="212"/>
      <c r="ULE197" s="212"/>
      <c r="ULF197" s="212"/>
      <c r="ULG197" s="212"/>
      <c r="ULH197" s="212"/>
      <c r="ULI197" s="212"/>
      <c r="ULJ197" s="212"/>
      <c r="ULK197" s="212"/>
      <c r="ULL197" s="214"/>
      <c r="ULM197" s="211"/>
      <c r="ULN197" s="212"/>
      <c r="ULO197" s="212"/>
      <c r="ULP197" s="212"/>
      <c r="ULQ197" s="212"/>
      <c r="ULR197" s="212"/>
      <c r="ULS197" s="212"/>
      <c r="ULT197" s="212"/>
      <c r="ULU197" s="212"/>
      <c r="ULV197" s="212"/>
      <c r="ULW197" s="212"/>
      <c r="ULX197" s="212"/>
      <c r="ULY197" s="212"/>
      <c r="ULZ197" s="212"/>
      <c r="UMA197" s="212"/>
      <c r="UMB197" s="212"/>
      <c r="UMC197" s="212"/>
      <c r="UMD197" s="212"/>
      <c r="UME197" s="212"/>
      <c r="UMF197" s="212"/>
      <c r="UMG197" s="212"/>
      <c r="UMH197" s="212"/>
      <c r="UMI197" s="212"/>
      <c r="UMJ197" s="212"/>
      <c r="UMK197" s="212"/>
      <c r="UML197" s="212"/>
      <c r="UMM197" s="212"/>
      <c r="UMN197" s="212"/>
      <c r="UMO197" s="212"/>
      <c r="UMP197" s="212"/>
      <c r="UMQ197" s="212"/>
      <c r="UMR197" s="212"/>
      <c r="UMS197" s="212"/>
      <c r="UMT197" s="212"/>
      <c r="UMU197" s="212"/>
      <c r="UMV197" s="212"/>
      <c r="UMW197" s="212"/>
      <c r="UMX197" s="212"/>
      <c r="UMY197" s="212"/>
      <c r="UMZ197" s="212"/>
      <c r="UNA197" s="212"/>
      <c r="UNB197" s="212"/>
      <c r="UNC197" s="212"/>
      <c r="UND197" s="214"/>
      <c r="UNE197" s="211"/>
      <c r="UNF197" s="212"/>
      <c r="UNG197" s="212"/>
      <c r="UNH197" s="212"/>
      <c r="UNI197" s="212"/>
      <c r="UNJ197" s="212"/>
      <c r="UNK197" s="212"/>
      <c r="UNL197" s="212"/>
      <c r="UNM197" s="212"/>
      <c r="UNN197" s="212"/>
      <c r="UNO197" s="212"/>
      <c r="UNP197" s="212"/>
      <c r="UNQ197" s="212"/>
      <c r="UNR197" s="212"/>
      <c r="UNS197" s="212"/>
      <c r="UNT197" s="212"/>
      <c r="UNU197" s="212"/>
      <c r="UNV197" s="212"/>
      <c r="UNW197" s="212"/>
      <c r="UNX197" s="212"/>
      <c r="UNY197" s="212"/>
      <c r="UNZ197" s="212"/>
      <c r="UOA197" s="212"/>
      <c r="UOB197" s="212"/>
      <c r="UOC197" s="212"/>
      <c r="UOD197" s="212"/>
      <c r="UOE197" s="212"/>
      <c r="UOF197" s="212"/>
      <c r="UOG197" s="212"/>
      <c r="UOH197" s="212"/>
      <c r="UOI197" s="212"/>
      <c r="UOJ197" s="212"/>
      <c r="UOK197" s="212"/>
      <c r="UOL197" s="212"/>
      <c r="UOM197" s="212"/>
      <c r="UON197" s="212"/>
      <c r="UOO197" s="212"/>
      <c r="UOP197" s="212"/>
      <c r="UOQ197" s="212"/>
      <c r="UOR197" s="212"/>
      <c r="UOS197" s="212"/>
      <c r="UOT197" s="212"/>
      <c r="UOU197" s="212"/>
      <c r="UOV197" s="214"/>
      <c r="UOW197" s="211"/>
      <c r="UOX197" s="212"/>
      <c r="UOY197" s="212"/>
      <c r="UOZ197" s="212"/>
      <c r="UPA197" s="212"/>
      <c r="UPB197" s="212"/>
      <c r="UPC197" s="212"/>
      <c r="UPD197" s="212"/>
      <c r="UPE197" s="212"/>
      <c r="UPF197" s="212"/>
      <c r="UPG197" s="212"/>
      <c r="UPH197" s="212"/>
      <c r="UPI197" s="212"/>
      <c r="UPJ197" s="212"/>
      <c r="UPK197" s="212"/>
      <c r="UPL197" s="212"/>
      <c r="UPM197" s="212"/>
      <c r="UPN197" s="212"/>
      <c r="UPO197" s="212"/>
      <c r="UPP197" s="212"/>
      <c r="UPQ197" s="212"/>
      <c r="UPR197" s="212"/>
      <c r="UPS197" s="212"/>
      <c r="UPT197" s="212"/>
      <c r="UPU197" s="212"/>
      <c r="UPV197" s="212"/>
      <c r="UPW197" s="212"/>
      <c r="UPX197" s="212"/>
      <c r="UPY197" s="212"/>
      <c r="UPZ197" s="212"/>
      <c r="UQA197" s="212"/>
      <c r="UQB197" s="212"/>
      <c r="UQC197" s="212"/>
      <c r="UQD197" s="212"/>
      <c r="UQE197" s="212"/>
      <c r="UQF197" s="212"/>
      <c r="UQG197" s="212"/>
      <c r="UQH197" s="212"/>
      <c r="UQI197" s="212"/>
      <c r="UQJ197" s="212"/>
      <c r="UQK197" s="212"/>
      <c r="UQL197" s="212"/>
      <c r="UQM197" s="212"/>
      <c r="UQN197" s="214"/>
      <c r="UQO197" s="211"/>
      <c r="UQP197" s="212"/>
      <c r="UQQ197" s="212"/>
      <c r="UQR197" s="212"/>
      <c r="UQS197" s="212"/>
      <c r="UQT197" s="212"/>
      <c r="UQU197" s="212"/>
      <c r="UQV197" s="212"/>
      <c r="UQW197" s="212"/>
      <c r="UQX197" s="212"/>
      <c r="UQY197" s="212"/>
      <c r="UQZ197" s="212"/>
      <c r="URA197" s="212"/>
      <c r="URB197" s="212"/>
      <c r="URC197" s="212"/>
      <c r="URD197" s="212"/>
      <c r="URE197" s="212"/>
      <c r="URF197" s="212"/>
      <c r="URG197" s="212"/>
      <c r="URH197" s="212"/>
      <c r="URI197" s="212"/>
      <c r="URJ197" s="212"/>
      <c r="URK197" s="212"/>
      <c r="URL197" s="212"/>
      <c r="URM197" s="212"/>
      <c r="URN197" s="212"/>
      <c r="URO197" s="212"/>
      <c r="URP197" s="212"/>
      <c r="URQ197" s="212"/>
      <c r="URR197" s="212"/>
      <c r="URS197" s="212"/>
      <c r="URT197" s="212"/>
      <c r="URU197" s="212"/>
      <c r="URV197" s="212"/>
      <c r="URW197" s="212"/>
      <c r="URX197" s="212"/>
      <c r="URY197" s="212"/>
      <c r="URZ197" s="212"/>
      <c r="USA197" s="212"/>
      <c r="USB197" s="212"/>
      <c r="USC197" s="212"/>
      <c r="USD197" s="212"/>
      <c r="USE197" s="212"/>
      <c r="USF197" s="214"/>
      <c r="USG197" s="211"/>
      <c r="USH197" s="212"/>
      <c r="USI197" s="212"/>
      <c r="USJ197" s="212"/>
      <c r="USK197" s="212"/>
      <c r="USL197" s="212"/>
      <c r="USM197" s="212"/>
      <c r="USN197" s="212"/>
      <c r="USO197" s="212"/>
      <c r="USP197" s="212"/>
      <c r="USQ197" s="212"/>
      <c r="USR197" s="212"/>
      <c r="USS197" s="212"/>
      <c r="UST197" s="212"/>
      <c r="USU197" s="212"/>
      <c r="USV197" s="212"/>
      <c r="USW197" s="212"/>
      <c r="USX197" s="212"/>
      <c r="USY197" s="212"/>
      <c r="USZ197" s="212"/>
      <c r="UTA197" s="212"/>
      <c r="UTB197" s="212"/>
      <c r="UTC197" s="212"/>
      <c r="UTD197" s="212"/>
      <c r="UTE197" s="212"/>
      <c r="UTF197" s="212"/>
      <c r="UTG197" s="212"/>
      <c r="UTH197" s="212"/>
      <c r="UTI197" s="212"/>
      <c r="UTJ197" s="212"/>
      <c r="UTK197" s="212"/>
      <c r="UTL197" s="212"/>
      <c r="UTM197" s="212"/>
      <c r="UTN197" s="212"/>
      <c r="UTO197" s="212"/>
      <c r="UTP197" s="212"/>
      <c r="UTQ197" s="212"/>
      <c r="UTR197" s="212"/>
      <c r="UTS197" s="212"/>
      <c r="UTT197" s="212"/>
      <c r="UTU197" s="212"/>
      <c r="UTV197" s="212"/>
      <c r="UTW197" s="212"/>
      <c r="UTX197" s="214"/>
      <c r="UTY197" s="211"/>
      <c r="UTZ197" s="212"/>
      <c r="UUA197" s="212"/>
      <c r="UUB197" s="212"/>
      <c r="UUC197" s="212"/>
      <c r="UUD197" s="212"/>
      <c r="UUE197" s="212"/>
      <c r="UUF197" s="212"/>
      <c r="UUG197" s="212"/>
      <c r="UUH197" s="212"/>
      <c r="UUI197" s="212"/>
      <c r="UUJ197" s="212"/>
      <c r="UUK197" s="212"/>
      <c r="UUL197" s="212"/>
      <c r="UUM197" s="212"/>
      <c r="UUN197" s="212"/>
      <c r="UUO197" s="212"/>
      <c r="UUP197" s="212"/>
      <c r="UUQ197" s="212"/>
      <c r="UUR197" s="212"/>
      <c r="UUS197" s="212"/>
      <c r="UUT197" s="212"/>
      <c r="UUU197" s="212"/>
      <c r="UUV197" s="212"/>
      <c r="UUW197" s="212"/>
      <c r="UUX197" s="212"/>
      <c r="UUY197" s="212"/>
      <c r="UUZ197" s="212"/>
      <c r="UVA197" s="212"/>
      <c r="UVB197" s="212"/>
      <c r="UVC197" s="212"/>
      <c r="UVD197" s="212"/>
      <c r="UVE197" s="212"/>
      <c r="UVF197" s="212"/>
      <c r="UVG197" s="212"/>
      <c r="UVH197" s="212"/>
      <c r="UVI197" s="212"/>
      <c r="UVJ197" s="212"/>
      <c r="UVK197" s="212"/>
      <c r="UVL197" s="212"/>
      <c r="UVM197" s="212"/>
      <c r="UVN197" s="212"/>
      <c r="UVO197" s="212"/>
      <c r="UVP197" s="214"/>
      <c r="UVQ197" s="211"/>
      <c r="UVR197" s="212"/>
      <c r="UVS197" s="212"/>
      <c r="UVT197" s="212"/>
      <c r="UVU197" s="212"/>
      <c r="UVV197" s="212"/>
      <c r="UVW197" s="212"/>
      <c r="UVX197" s="212"/>
      <c r="UVY197" s="212"/>
      <c r="UVZ197" s="212"/>
      <c r="UWA197" s="212"/>
      <c r="UWB197" s="212"/>
      <c r="UWC197" s="212"/>
      <c r="UWD197" s="212"/>
      <c r="UWE197" s="212"/>
      <c r="UWF197" s="212"/>
      <c r="UWG197" s="212"/>
      <c r="UWH197" s="212"/>
      <c r="UWI197" s="212"/>
      <c r="UWJ197" s="212"/>
      <c r="UWK197" s="212"/>
      <c r="UWL197" s="212"/>
      <c r="UWM197" s="212"/>
      <c r="UWN197" s="212"/>
      <c r="UWO197" s="212"/>
      <c r="UWP197" s="212"/>
      <c r="UWQ197" s="212"/>
      <c r="UWR197" s="212"/>
      <c r="UWS197" s="212"/>
      <c r="UWT197" s="212"/>
      <c r="UWU197" s="212"/>
      <c r="UWV197" s="212"/>
      <c r="UWW197" s="212"/>
      <c r="UWX197" s="212"/>
      <c r="UWY197" s="212"/>
      <c r="UWZ197" s="212"/>
      <c r="UXA197" s="212"/>
      <c r="UXB197" s="212"/>
      <c r="UXC197" s="212"/>
      <c r="UXD197" s="212"/>
      <c r="UXE197" s="212"/>
      <c r="UXF197" s="212"/>
      <c r="UXG197" s="212"/>
      <c r="UXH197" s="214"/>
      <c r="UXI197" s="211"/>
      <c r="UXJ197" s="212"/>
      <c r="UXK197" s="212"/>
      <c r="UXL197" s="212"/>
      <c r="UXM197" s="212"/>
      <c r="UXN197" s="212"/>
      <c r="UXO197" s="212"/>
      <c r="UXP197" s="212"/>
      <c r="UXQ197" s="212"/>
      <c r="UXR197" s="212"/>
      <c r="UXS197" s="212"/>
      <c r="UXT197" s="212"/>
      <c r="UXU197" s="212"/>
      <c r="UXV197" s="212"/>
      <c r="UXW197" s="212"/>
      <c r="UXX197" s="212"/>
      <c r="UXY197" s="212"/>
      <c r="UXZ197" s="212"/>
      <c r="UYA197" s="212"/>
      <c r="UYB197" s="212"/>
      <c r="UYC197" s="212"/>
      <c r="UYD197" s="212"/>
      <c r="UYE197" s="212"/>
      <c r="UYF197" s="212"/>
      <c r="UYG197" s="212"/>
      <c r="UYH197" s="212"/>
      <c r="UYI197" s="212"/>
      <c r="UYJ197" s="212"/>
      <c r="UYK197" s="212"/>
      <c r="UYL197" s="212"/>
      <c r="UYM197" s="212"/>
      <c r="UYN197" s="212"/>
      <c r="UYO197" s="212"/>
      <c r="UYP197" s="212"/>
      <c r="UYQ197" s="212"/>
      <c r="UYR197" s="212"/>
      <c r="UYS197" s="212"/>
      <c r="UYT197" s="212"/>
      <c r="UYU197" s="212"/>
      <c r="UYV197" s="212"/>
      <c r="UYW197" s="212"/>
      <c r="UYX197" s="212"/>
      <c r="UYY197" s="212"/>
      <c r="UYZ197" s="214"/>
      <c r="UZA197" s="211"/>
      <c r="UZB197" s="212"/>
      <c r="UZC197" s="212"/>
      <c r="UZD197" s="212"/>
      <c r="UZE197" s="212"/>
      <c r="UZF197" s="212"/>
      <c r="UZG197" s="212"/>
      <c r="UZH197" s="212"/>
      <c r="UZI197" s="212"/>
      <c r="UZJ197" s="212"/>
      <c r="UZK197" s="212"/>
      <c r="UZL197" s="212"/>
      <c r="UZM197" s="212"/>
      <c r="UZN197" s="212"/>
      <c r="UZO197" s="212"/>
      <c r="UZP197" s="212"/>
      <c r="UZQ197" s="212"/>
      <c r="UZR197" s="212"/>
      <c r="UZS197" s="212"/>
      <c r="UZT197" s="212"/>
      <c r="UZU197" s="212"/>
      <c r="UZV197" s="212"/>
      <c r="UZW197" s="212"/>
      <c r="UZX197" s="212"/>
      <c r="UZY197" s="212"/>
      <c r="UZZ197" s="212"/>
      <c r="VAA197" s="212"/>
      <c r="VAB197" s="212"/>
      <c r="VAC197" s="212"/>
      <c r="VAD197" s="212"/>
      <c r="VAE197" s="212"/>
      <c r="VAF197" s="212"/>
      <c r="VAG197" s="212"/>
      <c r="VAH197" s="212"/>
      <c r="VAI197" s="212"/>
      <c r="VAJ197" s="212"/>
      <c r="VAK197" s="212"/>
      <c r="VAL197" s="212"/>
      <c r="VAM197" s="212"/>
      <c r="VAN197" s="212"/>
      <c r="VAO197" s="212"/>
      <c r="VAP197" s="212"/>
      <c r="VAQ197" s="212"/>
      <c r="VAR197" s="214"/>
      <c r="VAS197" s="211"/>
      <c r="VAT197" s="212"/>
      <c r="VAU197" s="212"/>
      <c r="VAV197" s="212"/>
      <c r="VAW197" s="212"/>
      <c r="VAX197" s="212"/>
      <c r="VAY197" s="212"/>
      <c r="VAZ197" s="212"/>
      <c r="VBA197" s="212"/>
      <c r="VBB197" s="212"/>
      <c r="VBC197" s="212"/>
      <c r="VBD197" s="212"/>
      <c r="VBE197" s="212"/>
      <c r="VBF197" s="212"/>
      <c r="VBG197" s="212"/>
      <c r="VBH197" s="212"/>
      <c r="VBI197" s="212"/>
      <c r="VBJ197" s="212"/>
      <c r="VBK197" s="212"/>
      <c r="VBL197" s="212"/>
      <c r="VBM197" s="212"/>
      <c r="VBN197" s="212"/>
      <c r="VBO197" s="212"/>
      <c r="VBP197" s="212"/>
      <c r="VBQ197" s="212"/>
      <c r="VBR197" s="212"/>
      <c r="VBS197" s="212"/>
      <c r="VBT197" s="212"/>
      <c r="VBU197" s="212"/>
      <c r="VBV197" s="212"/>
      <c r="VBW197" s="212"/>
      <c r="VBX197" s="212"/>
      <c r="VBY197" s="212"/>
      <c r="VBZ197" s="212"/>
      <c r="VCA197" s="212"/>
      <c r="VCB197" s="212"/>
      <c r="VCC197" s="212"/>
      <c r="VCD197" s="212"/>
      <c r="VCE197" s="212"/>
      <c r="VCF197" s="212"/>
      <c r="VCG197" s="212"/>
      <c r="VCH197" s="212"/>
      <c r="VCI197" s="212"/>
      <c r="VCJ197" s="214"/>
      <c r="VCK197" s="211"/>
      <c r="VCL197" s="212"/>
      <c r="VCM197" s="212"/>
      <c r="VCN197" s="212"/>
      <c r="VCO197" s="212"/>
      <c r="VCP197" s="212"/>
      <c r="VCQ197" s="212"/>
      <c r="VCR197" s="212"/>
      <c r="VCS197" s="212"/>
      <c r="VCT197" s="212"/>
      <c r="VCU197" s="212"/>
      <c r="VCV197" s="212"/>
      <c r="VCW197" s="212"/>
      <c r="VCX197" s="212"/>
      <c r="VCY197" s="212"/>
      <c r="VCZ197" s="212"/>
      <c r="VDA197" s="212"/>
      <c r="VDB197" s="212"/>
      <c r="VDC197" s="212"/>
      <c r="VDD197" s="212"/>
      <c r="VDE197" s="212"/>
      <c r="VDF197" s="212"/>
      <c r="VDG197" s="212"/>
      <c r="VDH197" s="212"/>
      <c r="VDI197" s="212"/>
      <c r="VDJ197" s="212"/>
      <c r="VDK197" s="212"/>
      <c r="VDL197" s="212"/>
      <c r="VDM197" s="212"/>
      <c r="VDN197" s="212"/>
      <c r="VDO197" s="212"/>
      <c r="VDP197" s="212"/>
      <c r="VDQ197" s="212"/>
      <c r="VDR197" s="212"/>
      <c r="VDS197" s="212"/>
      <c r="VDT197" s="212"/>
      <c r="VDU197" s="212"/>
      <c r="VDV197" s="212"/>
      <c r="VDW197" s="212"/>
      <c r="VDX197" s="212"/>
      <c r="VDY197" s="212"/>
      <c r="VDZ197" s="212"/>
      <c r="VEA197" s="212"/>
      <c r="VEB197" s="214"/>
      <c r="VEC197" s="211"/>
      <c r="VED197" s="212"/>
      <c r="VEE197" s="212"/>
      <c r="VEF197" s="212"/>
      <c r="VEG197" s="212"/>
      <c r="VEH197" s="212"/>
      <c r="VEI197" s="212"/>
      <c r="VEJ197" s="212"/>
      <c r="VEK197" s="212"/>
      <c r="VEL197" s="212"/>
      <c r="VEM197" s="212"/>
      <c r="VEN197" s="212"/>
      <c r="VEO197" s="212"/>
      <c r="VEP197" s="212"/>
      <c r="VEQ197" s="212"/>
      <c r="VER197" s="212"/>
      <c r="VES197" s="212"/>
      <c r="VET197" s="212"/>
      <c r="VEU197" s="212"/>
      <c r="VEV197" s="212"/>
      <c r="VEW197" s="212"/>
      <c r="VEX197" s="212"/>
      <c r="VEY197" s="212"/>
      <c r="VEZ197" s="212"/>
      <c r="VFA197" s="212"/>
      <c r="VFB197" s="212"/>
      <c r="VFC197" s="212"/>
      <c r="VFD197" s="212"/>
      <c r="VFE197" s="212"/>
      <c r="VFF197" s="212"/>
      <c r="VFG197" s="212"/>
      <c r="VFH197" s="212"/>
      <c r="VFI197" s="212"/>
      <c r="VFJ197" s="212"/>
      <c r="VFK197" s="212"/>
      <c r="VFL197" s="212"/>
      <c r="VFM197" s="212"/>
      <c r="VFN197" s="212"/>
      <c r="VFO197" s="212"/>
      <c r="VFP197" s="212"/>
      <c r="VFQ197" s="212"/>
      <c r="VFR197" s="212"/>
      <c r="VFS197" s="212"/>
      <c r="VFT197" s="214"/>
      <c r="VFU197" s="211"/>
      <c r="VFV197" s="212"/>
      <c r="VFW197" s="212"/>
      <c r="VFX197" s="212"/>
      <c r="VFY197" s="212"/>
      <c r="VFZ197" s="212"/>
      <c r="VGA197" s="212"/>
      <c r="VGB197" s="212"/>
      <c r="VGC197" s="212"/>
      <c r="VGD197" s="212"/>
      <c r="VGE197" s="212"/>
      <c r="VGF197" s="212"/>
      <c r="VGG197" s="212"/>
      <c r="VGH197" s="212"/>
      <c r="VGI197" s="212"/>
      <c r="VGJ197" s="212"/>
      <c r="VGK197" s="212"/>
      <c r="VGL197" s="212"/>
      <c r="VGM197" s="212"/>
      <c r="VGN197" s="212"/>
      <c r="VGO197" s="212"/>
      <c r="VGP197" s="212"/>
      <c r="VGQ197" s="212"/>
      <c r="VGR197" s="212"/>
      <c r="VGS197" s="212"/>
      <c r="VGT197" s="212"/>
      <c r="VGU197" s="212"/>
      <c r="VGV197" s="212"/>
      <c r="VGW197" s="212"/>
      <c r="VGX197" s="212"/>
      <c r="VGY197" s="212"/>
      <c r="VGZ197" s="212"/>
      <c r="VHA197" s="212"/>
      <c r="VHB197" s="212"/>
      <c r="VHC197" s="212"/>
      <c r="VHD197" s="212"/>
      <c r="VHE197" s="212"/>
      <c r="VHF197" s="212"/>
      <c r="VHG197" s="212"/>
      <c r="VHH197" s="212"/>
      <c r="VHI197" s="212"/>
      <c r="VHJ197" s="212"/>
      <c r="VHK197" s="212"/>
      <c r="VHL197" s="214"/>
      <c r="VHM197" s="211"/>
      <c r="VHN197" s="212"/>
      <c r="VHO197" s="212"/>
      <c r="VHP197" s="212"/>
      <c r="VHQ197" s="212"/>
      <c r="VHR197" s="212"/>
      <c r="VHS197" s="212"/>
      <c r="VHT197" s="212"/>
      <c r="VHU197" s="212"/>
      <c r="VHV197" s="212"/>
      <c r="VHW197" s="212"/>
      <c r="VHX197" s="212"/>
      <c r="VHY197" s="212"/>
      <c r="VHZ197" s="212"/>
      <c r="VIA197" s="212"/>
      <c r="VIB197" s="212"/>
      <c r="VIC197" s="212"/>
      <c r="VID197" s="212"/>
      <c r="VIE197" s="212"/>
      <c r="VIF197" s="212"/>
      <c r="VIG197" s="212"/>
      <c r="VIH197" s="212"/>
      <c r="VII197" s="212"/>
      <c r="VIJ197" s="212"/>
      <c r="VIK197" s="212"/>
      <c r="VIL197" s="212"/>
      <c r="VIM197" s="212"/>
      <c r="VIN197" s="212"/>
      <c r="VIO197" s="212"/>
      <c r="VIP197" s="212"/>
      <c r="VIQ197" s="212"/>
      <c r="VIR197" s="212"/>
      <c r="VIS197" s="212"/>
      <c r="VIT197" s="212"/>
      <c r="VIU197" s="212"/>
      <c r="VIV197" s="212"/>
      <c r="VIW197" s="212"/>
      <c r="VIX197" s="212"/>
      <c r="VIY197" s="212"/>
      <c r="VIZ197" s="212"/>
      <c r="VJA197" s="212"/>
      <c r="VJB197" s="212"/>
      <c r="VJC197" s="212"/>
      <c r="VJD197" s="214"/>
      <c r="VJE197" s="211"/>
      <c r="VJF197" s="212"/>
      <c r="VJG197" s="212"/>
      <c r="VJH197" s="212"/>
      <c r="VJI197" s="212"/>
      <c r="VJJ197" s="212"/>
      <c r="VJK197" s="212"/>
      <c r="VJL197" s="212"/>
      <c r="VJM197" s="212"/>
      <c r="VJN197" s="212"/>
      <c r="VJO197" s="212"/>
      <c r="VJP197" s="212"/>
      <c r="VJQ197" s="212"/>
      <c r="VJR197" s="212"/>
      <c r="VJS197" s="212"/>
      <c r="VJT197" s="212"/>
      <c r="VJU197" s="212"/>
      <c r="VJV197" s="212"/>
      <c r="VJW197" s="212"/>
      <c r="VJX197" s="212"/>
      <c r="VJY197" s="212"/>
      <c r="VJZ197" s="212"/>
      <c r="VKA197" s="212"/>
      <c r="VKB197" s="212"/>
      <c r="VKC197" s="212"/>
      <c r="VKD197" s="212"/>
      <c r="VKE197" s="212"/>
      <c r="VKF197" s="212"/>
      <c r="VKG197" s="212"/>
      <c r="VKH197" s="212"/>
      <c r="VKI197" s="212"/>
      <c r="VKJ197" s="212"/>
      <c r="VKK197" s="212"/>
      <c r="VKL197" s="212"/>
      <c r="VKM197" s="212"/>
      <c r="VKN197" s="212"/>
      <c r="VKO197" s="212"/>
      <c r="VKP197" s="212"/>
      <c r="VKQ197" s="212"/>
      <c r="VKR197" s="212"/>
      <c r="VKS197" s="212"/>
      <c r="VKT197" s="212"/>
      <c r="VKU197" s="212"/>
      <c r="VKV197" s="214"/>
      <c r="VKW197" s="211"/>
      <c r="VKX197" s="212"/>
      <c r="VKY197" s="212"/>
      <c r="VKZ197" s="212"/>
      <c r="VLA197" s="212"/>
      <c r="VLB197" s="212"/>
      <c r="VLC197" s="212"/>
      <c r="VLD197" s="212"/>
      <c r="VLE197" s="212"/>
      <c r="VLF197" s="212"/>
      <c r="VLG197" s="212"/>
      <c r="VLH197" s="212"/>
      <c r="VLI197" s="212"/>
      <c r="VLJ197" s="212"/>
      <c r="VLK197" s="212"/>
      <c r="VLL197" s="212"/>
      <c r="VLM197" s="212"/>
      <c r="VLN197" s="212"/>
      <c r="VLO197" s="212"/>
      <c r="VLP197" s="212"/>
      <c r="VLQ197" s="212"/>
      <c r="VLR197" s="212"/>
      <c r="VLS197" s="212"/>
      <c r="VLT197" s="212"/>
      <c r="VLU197" s="212"/>
      <c r="VLV197" s="212"/>
      <c r="VLW197" s="212"/>
      <c r="VLX197" s="212"/>
      <c r="VLY197" s="212"/>
      <c r="VLZ197" s="212"/>
      <c r="VMA197" s="212"/>
      <c r="VMB197" s="212"/>
      <c r="VMC197" s="212"/>
      <c r="VMD197" s="212"/>
      <c r="VME197" s="212"/>
      <c r="VMF197" s="212"/>
      <c r="VMG197" s="212"/>
      <c r="VMH197" s="212"/>
      <c r="VMI197" s="212"/>
      <c r="VMJ197" s="212"/>
      <c r="VMK197" s="212"/>
      <c r="VML197" s="212"/>
      <c r="VMM197" s="212"/>
      <c r="VMN197" s="214"/>
      <c r="VMO197" s="211"/>
      <c r="VMP197" s="212"/>
      <c r="VMQ197" s="212"/>
      <c r="VMR197" s="212"/>
      <c r="VMS197" s="212"/>
      <c r="VMT197" s="212"/>
      <c r="VMU197" s="212"/>
      <c r="VMV197" s="212"/>
      <c r="VMW197" s="212"/>
      <c r="VMX197" s="212"/>
      <c r="VMY197" s="212"/>
      <c r="VMZ197" s="212"/>
      <c r="VNA197" s="212"/>
      <c r="VNB197" s="212"/>
      <c r="VNC197" s="212"/>
      <c r="VND197" s="212"/>
      <c r="VNE197" s="212"/>
      <c r="VNF197" s="212"/>
      <c r="VNG197" s="212"/>
      <c r="VNH197" s="212"/>
      <c r="VNI197" s="212"/>
      <c r="VNJ197" s="212"/>
      <c r="VNK197" s="212"/>
      <c r="VNL197" s="212"/>
      <c r="VNM197" s="212"/>
      <c r="VNN197" s="212"/>
      <c r="VNO197" s="212"/>
      <c r="VNP197" s="212"/>
      <c r="VNQ197" s="212"/>
      <c r="VNR197" s="212"/>
      <c r="VNS197" s="212"/>
      <c r="VNT197" s="212"/>
      <c r="VNU197" s="212"/>
      <c r="VNV197" s="212"/>
      <c r="VNW197" s="212"/>
      <c r="VNX197" s="212"/>
      <c r="VNY197" s="212"/>
      <c r="VNZ197" s="212"/>
      <c r="VOA197" s="212"/>
      <c r="VOB197" s="212"/>
      <c r="VOC197" s="212"/>
      <c r="VOD197" s="212"/>
      <c r="VOE197" s="212"/>
      <c r="VOF197" s="214"/>
      <c r="VOG197" s="211"/>
      <c r="VOH197" s="212"/>
      <c r="VOI197" s="212"/>
      <c r="VOJ197" s="212"/>
      <c r="VOK197" s="212"/>
      <c r="VOL197" s="212"/>
      <c r="VOM197" s="212"/>
      <c r="VON197" s="212"/>
      <c r="VOO197" s="212"/>
      <c r="VOP197" s="212"/>
      <c r="VOQ197" s="212"/>
      <c r="VOR197" s="212"/>
      <c r="VOS197" s="212"/>
      <c r="VOT197" s="212"/>
      <c r="VOU197" s="212"/>
      <c r="VOV197" s="212"/>
      <c r="VOW197" s="212"/>
      <c r="VOX197" s="212"/>
      <c r="VOY197" s="212"/>
      <c r="VOZ197" s="212"/>
      <c r="VPA197" s="212"/>
      <c r="VPB197" s="212"/>
      <c r="VPC197" s="212"/>
      <c r="VPD197" s="212"/>
      <c r="VPE197" s="212"/>
      <c r="VPF197" s="212"/>
      <c r="VPG197" s="212"/>
      <c r="VPH197" s="212"/>
      <c r="VPI197" s="212"/>
      <c r="VPJ197" s="212"/>
      <c r="VPK197" s="212"/>
      <c r="VPL197" s="212"/>
      <c r="VPM197" s="212"/>
      <c r="VPN197" s="212"/>
      <c r="VPO197" s="212"/>
      <c r="VPP197" s="212"/>
      <c r="VPQ197" s="212"/>
      <c r="VPR197" s="212"/>
      <c r="VPS197" s="212"/>
      <c r="VPT197" s="212"/>
      <c r="VPU197" s="212"/>
      <c r="VPV197" s="212"/>
      <c r="VPW197" s="212"/>
      <c r="VPX197" s="214"/>
      <c r="VPY197" s="211"/>
      <c r="VPZ197" s="212"/>
      <c r="VQA197" s="212"/>
      <c r="VQB197" s="212"/>
      <c r="VQC197" s="212"/>
      <c r="VQD197" s="212"/>
      <c r="VQE197" s="212"/>
      <c r="VQF197" s="212"/>
      <c r="VQG197" s="212"/>
      <c r="VQH197" s="212"/>
      <c r="VQI197" s="212"/>
      <c r="VQJ197" s="212"/>
      <c r="VQK197" s="212"/>
      <c r="VQL197" s="212"/>
      <c r="VQM197" s="212"/>
      <c r="VQN197" s="212"/>
      <c r="VQO197" s="212"/>
      <c r="VQP197" s="212"/>
      <c r="VQQ197" s="212"/>
      <c r="VQR197" s="212"/>
      <c r="VQS197" s="212"/>
      <c r="VQT197" s="212"/>
      <c r="VQU197" s="212"/>
      <c r="VQV197" s="212"/>
      <c r="VQW197" s="212"/>
      <c r="VQX197" s="212"/>
      <c r="VQY197" s="212"/>
      <c r="VQZ197" s="212"/>
      <c r="VRA197" s="212"/>
      <c r="VRB197" s="212"/>
      <c r="VRC197" s="212"/>
      <c r="VRD197" s="212"/>
      <c r="VRE197" s="212"/>
      <c r="VRF197" s="212"/>
      <c r="VRG197" s="212"/>
      <c r="VRH197" s="212"/>
      <c r="VRI197" s="212"/>
      <c r="VRJ197" s="212"/>
      <c r="VRK197" s="212"/>
      <c r="VRL197" s="212"/>
      <c r="VRM197" s="212"/>
      <c r="VRN197" s="212"/>
      <c r="VRO197" s="212"/>
      <c r="VRP197" s="214"/>
      <c r="VRQ197" s="211"/>
      <c r="VRR197" s="212"/>
      <c r="VRS197" s="212"/>
      <c r="VRT197" s="212"/>
      <c r="VRU197" s="212"/>
      <c r="VRV197" s="212"/>
      <c r="VRW197" s="212"/>
      <c r="VRX197" s="212"/>
      <c r="VRY197" s="212"/>
      <c r="VRZ197" s="212"/>
      <c r="VSA197" s="212"/>
      <c r="VSB197" s="212"/>
      <c r="VSC197" s="212"/>
      <c r="VSD197" s="212"/>
      <c r="VSE197" s="212"/>
      <c r="VSF197" s="212"/>
      <c r="VSG197" s="212"/>
      <c r="VSH197" s="212"/>
      <c r="VSI197" s="212"/>
      <c r="VSJ197" s="212"/>
      <c r="VSK197" s="212"/>
      <c r="VSL197" s="212"/>
      <c r="VSM197" s="212"/>
      <c r="VSN197" s="212"/>
      <c r="VSO197" s="212"/>
      <c r="VSP197" s="212"/>
      <c r="VSQ197" s="212"/>
      <c r="VSR197" s="212"/>
      <c r="VSS197" s="212"/>
      <c r="VST197" s="212"/>
      <c r="VSU197" s="212"/>
      <c r="VSV197" s="212"/>
      <c r="VSW197" s="212"/>
      <c r="VSX197" s="212"/>
      <c r="VSY197" s="212"/>
      <c r="VSZ197" s="212"/>
      <c r="VTA197" s="212"/>
      <c r="VTB197" s="212"/>
      <c r="VTC197" s="212"/>
      <c r="VTD197" s="212"/>
      <c r="VTE197" s="212"/>
      <c r="VTF197" s="212"/>
      <c r="VTG197" s="212"/>
      <c r="VTH197" s="214"/>
      <c r="VTI197" s="211"/>
      <c r="VTJ197" s="212"/>
      <c r="VTK197" s="212"/>
      <c r="VTL197" s="212"/>
      <c r="VTM197" s="212"/>
      <c r="VTN197" s="212"/>
      <c r="VTO197" s="212"/>
      <c r="VTP197" s="212"/>
      <c r="VTQ197" s="212"/>
      <c r="VTR197" s="212"/>
      <c r="VTS197" s="212"/>
      <c r="VTT197" s="212"/>
      <c r="VTU197" s="212"/>
      <c r="VTV197" s="212"/>
      <c r="VTW197" s="212"/>
      <c r="VTX197" s="212"/>
      <c r="VTY197" s="212"/>
      <c r="VTZ197" s="212"/>
      <c r="VUA197" s="212"/>
      <c r="VUB197" s="212"/>
      <c r="VUC197" s="212"/>
      <c r="VUD197" s="212"/>
      <c r="VUE197" s="212"/>
      <c r="VUF197" s="212"/>
      <c r="VUG197" s="212"/>
      <c r="VUH197" s="212"/>
      <c r="VUI197" s="212"/>
      <c r="VUJ197" s="212"/>
      <c r="VUK197" s="212"/>
      <c r="VUL197" s="212"/>
      <c r="VUM197" s="212"/>
      <c r="VUN197" s="212"/>
      <c r="VUO197" s="212"/>
      <c r="VUP197" s="212"/>
      <c r="VUQ197" s="212"/>
      <c r="VUR197" s="212"/>
      <c r="VUS197" s="212"/>
      <c r="VUT197" s="212"/>
      <c r="VUU197" s="212"/>
      <c r="VUV197" s="212"/>
      <c r="VUW197" s="212"/>
      <c r="VUX197" s="212"/>
      <c r="VUY197" s="212"/>
      <c r="VUZ197" s="214"/>
      <c r="VVA197" s="211"/>
      <c r="VVB197" s="212"/>
      <c r="VVC197" s="212"/>
      <c r="VVD197" s="212"/>
      <c r="VVE197" s="212"/>
      <c r="VVF197" s="212"/>
      <c r="VVG197" s="212"/>
      <c r="VVH197" s="212"/>
      <c r="VVI197" s="212"/>
      <c r="VVJ197" s="212"/>
      <c r="VVK197" s="212"/>
      <c r="VVL197" s="212"/>
      <c r="VVM197" s="212"/>
      <c r="VVN197" s="212"/>
      <c r="VVO197" s="212"/>
      <c r="VVP197" s="212"/>
      <c r="VVQ197" s="212"/>
      <c r="VVR197" s="212"/>
      <c r="VVS197" s="212"/>
      <c r="VVT197" s="212"/>
      <c r="VVU197" s="212"/>
      <c r="VVV197" s="212"/>
      <c r="VVW197" s="212"/>
      <c r="VVX197" s="212"/>
      <c r="VVY197" s="212"/>
      <c r="VVZ197" s="212"/>
      <c r="VWA197" s="212"/>
      <c r="VWB197" s="212"/>
      <c r="VWC197" s="212"/>
      <c r="VWD197" s="212"/>
      <c r="VWE197" s="212"/>
      <c r="VWF197" s="212"/>
      <c r="VWG197" s="212"/>
      <c r="VWH197" s="212"/>
      <c r="VWI197" s="212"/>
      <c r="VWJ197" s="212"/>
      <c r="VWK197" s="212"/>
      <c r="VWL197" s="212"/>
      <c r="VWM197" s="212"/>
      <c r="VWN197" s="212"/>
      <c r="VWO197" s="212"/>
      <c r="VWP197" s="212"/>
      <c r="VWQ197" s="212"/>
      <c r="VWR197" s="214"/>
      <c r="VWS197" s="211"/>
      <c r="VWT197" s="212"/>
      <c r="VWU197" s="212"/>
      <c r="VWV197" s="212"/>
      <c r="VWW197" s="212"/>
      <c r="VWX197" s="212"/>
      <c r="VWY197" s="212"/>
      <c r="VWZ197" s="212"/>
      <c r="VXA197" s="212"/>
      <c r="VXB197" s="212"/>
      <c r="VXC197" s="212"/>
      <c r="VXD197" s="212"/>
      <c r="VXE197" s="212"/>
      <c r="VXF197" s="212"/>
      <c r="VXG197" s="212"/>
      <c r="VXH197" s="212"/>
      <c r="VXI197" s="212"/>
      <c r="VXJ197" s="212"/>
      <c r="VXK197" s="212"/>
      <c r="VXL197" s="212"/>
      <c r="VXM197" s="212"/>
      <c r="VXN197" s="212"/>
      <c r="VXO197" s="212"/>
      <c r="VXP197" s="212"/>
      <c r="VXQ197" s="212"/>
      <c r="VXR197" s="212"/>
      <c r="VXS197" s="212"/>
      <c r="VXT197" s="212"/>
      <c r="VXU197" s="212"/>
      <c r="VXV197" s="212"/>
      <c r="VXW197" s="212"/>
      <c r="VXX197" s="212"/>
      <c r="VXY197" s="212"/>
      <c r="VXZ197" s="212"/>
      <c r="VYA197" s="212"/>
      <c r="VYB197" s="212"/>
      <c r="VYC197" s="212"/>
      <c r="VYD197" s="212"/>
      <c r="VYE197" s="212"/>
      <c r="VYF197" s="212"/>
      <c r="VYG197" s="212"/>
      <c r="VYH197" s="212"/>
      <c r="VYI197" s="212"/>
      <c r="VYJ197" s="214"/>
      <c r="VYK197" s="211"/>
      <c r="VYL197" s="212"/>
      <c r="VYM197" s="212"/>
      <c r="VYN197" s="212"/>
      <c r="VYO197" s="212"/>
      <c r="VYP197" s="212"/>
      <c r="VYQ197" s="212"/>
      <c r="VYR197" s="212"/>
      <c r="VYS197" s="212"/>
      <c r="VYT197" s="212"/>
      <c r="VYU197" s="212"/>
      <c r="VYV197" s="212"/>
      <c r="VYW197" s="212"/>
      <c r="VYX197" s="212"/>
      <c r="VYY197" s="212"/>
      <c r="VYZ197" s="212"/>
      <c r="VZA197" s="212"/>
      <c r="VZB197" s="212"/>
      <c r="VZC197" s="212"/>
      <c r="VZD197" s="212"/>
      <c r="VZE197" s="212"/>
      <c r="VZF197" s="212"/>
      <c r="VZG197" s="212"/>
      <c r="VZH197" s="212"/>
      <c r="VZI197" s="212"/>
      <c r="VZJ197" s="212"/>
      <c r="VZK197" s="212"/>
      <c r="VZL197" s="212"/>
      <c r="VZM197" s="212"/>
      <c r="VZN197" s="212"/>
      <c r="VZO197" s="212"/>
      <c r="VZP197" s="212"/>
      <c r="VZQ197" s="212"/>
      <c r="VZR197" s="212"/>
      <c r="VZS197" s="212"/>
      <c r="VZT197" s="212"/>
      <c r="VZU197" s="212"/>
      <c r="VZV197" s="212"/>
      <c r="VZW197" s="212"/>
      <c r="VZX197" s="212"/>
      <c r="VZY197" s="212"/>
      <c r="VZZ197" s="212"/>
      <c r="WAA197" s="212"/>
      <c r="WAB197" s="214"/>
      <c r="WAC197" s="211"/>
      <c r="WAD197" s="212"/>
      <c r="WAE197" s="212"/>
      <c r="WAF197" s="212"/>
      <c r="WAG197" s="212"/>
      <c r="WAH197" s="212"/>
      <c r="WAI197" s="212"/>
      <c r="WAJ197" s="212"/>
      <c r="WAK197" s="212"/>
      <c r="WAL197" s="212"/>
      <c r="WAM197" s="212"/>
      <c r="WAN197" s="212"/>
      <c r="WAO197" s="212"/>
      <c r="WAP197" s="212"/>
      <c r="WAQ197" s="212"/>
      <c r="WAR197" s="212"/>
      <c r="WAS197" s="212"/>
      <c r="WAT197" s="212"/>
      <c r="WAU197" s="212"/>
      <c r="WAV197" s="212"/>
      <c r="WAW197" s="212"/>
      <c r="WAX197" s="212"/>
      <c r="WAY197" s="212"/>
      <c r="WAZ197" s="212"/>
      <c r="WBA197" s="212"/>
      <c r="WBB197" s="212"/>
      <c r="WBC197" s="212"/>
      <c r="WBD197" s="212"/>
      <c r="WBE197" s="212"/>
      <c r="WBF197" s="212"/>
      <c r="WBG197" s="212"/>
      <c r="WBH197" s="212"/>
      <c r="WBI197" s="212"/>
      <c r="WBJ197" s="212"/>
      <c r="WBK197" s="212"/>
      <c r="WBL197" s="212"/>
      <c r="WBM197" s="212"/>
      <c r="WBN197" s="212"/>
      <c r="WBO197" s="212"/>
      <c r="WBP197" s="212"/>
      <c r="WBQ197" s="212"/>
      <c r="WBR197" s="212"/>
      <c r="WBS197" s="212"/>
      <c r="WBT197" s="214"/>
      <c r="WBU197" s="211"/>
      <c r="WBV197" s="212"/>
      <c r="WBW197" s="212"/>
      <c r="WBX197" s="212"/>
      <c r="WBY197" s="212"/>
      <c r="WBZ197" s="212"/>
      <c r="WCA197" s="212"/>
      <c r="WCB197" s="212"/>
      <c r="WCC197" s="212"/>
      <c r="WCD197" s="212"/>
      <c r="WCE197" s="212"/>
      <c r="WCF197" s="212"/>
      <c r="WCG197" s="212"/>
      <c r="WCH197" s="212"/>
      <c r="WCI197" s="212"/>
      <c r="WCJ197" s="212"/>
      <c r="WCK197" s="212"/>
      <c r="WCL197" s="212"/>
      <c r="WCM197" s="212"/>
      <c r="WCN197" s="212"/>
      <c r="WCO197" s="212"/>
      <c r="WCP197" s="212"/>
      <c r="WCQ197" s="212"/>
      <c r="WCR197" s="212"/>
      <c r="WCS197" s="212"/>
      <c r="WCT197" s="212"/>
      <c r="WCU197" s="212"/>
      <c r="WCV197" s="212"/>
      <c r="WCW197" s="212"/>
      <c r="WCX197" s="212"/>
      <c r="WCY197" s="212"/>
      <c r="WCZ197" s="212"/>
      <c r="WDA197" s="212"/>
      <c r="WDB197" s="212"/>
      <c r="WDC197" s="212"/>
      <c r="WDD197" s="212"/>
      <c r="WDE197" s="212"/>
      <c r="WDF197" s="212"/>
      <c r="WDG197" s="212"/>
      <c r="WDH197" s="212"/>
      <c r="WDI197" s="212"/>
      <c r="WDJ197" s="212"/>
      <c r="WDK197" s="212"/>
      <c r="WDL197" s="214"/>
      <c r="WDM197" s="211"/>
      <c r="WDN197" s="212"/>
      <c r="WDO197" s="212"/>
      <c r="WDP197" s="212"/>
      <c r="WDQ197" s="212"/>
      <c r="WDR197" s="212"/>
      <c r="WDS197" s="212"/>
      <c r="WDT197" s="212"/>
      <c r="WDU197" s="212"/>
      <c r="WDV197" s="212"/>
      <c r="WDW197" s="212"/>
      <c r="WDX197" s="212"/>
      <c r="WDY197" s="212"/>
      <c r="WDZ197" s="212"/>
      <c r="WEA197" s="212"/>
      <c r="WEB197" s="212"/>
      <c r="WEC197" s="212"/>
      <c r="WED197" s="212"/>
      <c r="WEE197" s="212"/>
      <c r="WEF197" s="212"/>
      <c r="WEG197" s="212"/>
      <c r="WEH197" s="212"/>
      <c r="WEI197" s="212"/>
      <c r="WEJ197" s="212"/>
      <c r="WEK197" s="212"/>
      <c r="WEL197" s="212"/>
      <c r="WEM197" s="212"/>
      <c r="WEN197" s="212"/>
      <c r="WEO197" s="212"/>
      <c r="WEP197" s="212"/>
      <c r="WEQ197" s="212"/>
      <c r="WER197" s="212"/>
      <c r="WES197" s="212"/>
      <c r="WET197" s="212"/>
      <c r="WEU197" s="212"/>
      <c r="WEV197" s="212"/>
      <c r="WEW197" s="212"/>
      <c r="WEX197" s="212"/>
      <c r="WEY197" s="212"/>
      <c r="WEZ197" s="212"/>
      <c r="WFA197" s="212"/>
      <c r="WFB197" s="212"/>
      <c r="WFC197" s="212"/>
      <c r="WFD197" s="214"/>
      <c r="WFE197" s="211"/>
      <c r="WFF197" s="212"/>
      <c r="WFG197" s="212"/>
      <c r="WFH197" s="212"/>
      <c r="WFI197" s="212"/>
      <c r="WFJ197" s="212"/>
      <c r="WFK197" s="212"/>
      <c r="WFL197" s="212"/>
      <c r="WFM197" s="212"/>
      <c r="WFN197" s="212"/>
      <c r="WFO197" s="212"/>
      <c r="WFP197" s="212"/>
      <c r="WFQ197" s="212"/>
      <c r="WFR197" s="212"/>
      <c r="WFS197" s="212"/>
      <c r="WFT197" s="212"/>
      <c r="WFU197" s="212"/>
      <c r="WFV197" s="212"/>
      <c r="WFW197" s="212"/>
      <c r="WFX197" s="212"/>
      <c r="WFY197" s="212"/>
      <c r="WFZ197" s="212"/>
      <c r="WGA197" s="212"/>
      <c r="WGB197" s="212"/>
      <c r="WGC197" s="212"/>
      <c r="WGD197" s="212"/>
      <c r="WGE197" s="212"/>
      <c r="WGF197" s="212"/>
      <c r="WGG197" s="212"/>
      <c r="WGH197" s="212"/>
      <c r="WGI197" s="212"/>
      <c r="WGJ197" s="212"/>
      <c r="WGK197" s="212"/>
      <c r="WGL197" s="212"/>
      <c r="WGM197" s="212"/>
      <c r="WGN197" s="212"/>
      <c r="WGO197" s="212"/>
      <c r="WGP197" s="212"/>
      <c r="WGQ197" s="212"/>
      <c r="WGR197" s="212"/>
      <c r="WGS197" s="212"/>
      <c r="WGT197" s="212"/>
      <c r="WGU197" s="212"/>
      <c r="WGV197" s="214"/>
      <c r="WGW197" s="211"/>
      <c r="WGX197" s="212"/>
      <c r="WGY197" s="212"/>
      <c r="WGZ197" s="212"/>
      <c r="WHA197" s="212"/>
      <c r="WHB197" s="212"/>
      <c r="WHC197" s="212"/>
      <c r="WHD197" s="212"/>
      <c r="WHE197" s="212"/>
      <c r="WHF197" s="212"/>
      <c r="WHG197" s="212"/>
      <c r="WHH197" s="212"/>
      <c r="WHI197" s="212"/>
      <c r="WHJ197" s="212"/>
      <c r="WHK197" s="212"/>
      <c r="WHL197" s="212"/>
      <c r="WHM197" s="212"/>
      <c r="WHN197" s="212"/>
      <c r="WHO197" s="212"/>
      <c r="WHP197" s="212"/>
      <c r="WHQ197" s="212"/>
      <c r="WHR197" s="212"/>
      <c r="WHS197" s="212"/>
      <c r="WHT197" s="212"/>
      <c r="WHU197" s="212"/>
      <c r="WHV197" s="212"/>
      <c r="WHW197" s="212"/>
      <c r="WHX197" s="212"/>
      <c r="WHY197" s="212"/>
      <c r="WHZ197" s="212"/>
      <c r="WIA197" s="212"/>
      <c r="WIB197" s="212"/>
      <c r="WIC197" s="212"/>
      <c r="WID197" s="212"/>
      <c r="WIE197" s="212"/>
      <c r="WIF197" s="212"/>
      <c r="WIG197" s="212"/>
      <c r="WIH197" s="212"/>
      <c r="WII197" s="212"/>
      <c r="WIJ197" s="212"/>
      <c r="WIK197" s="212"/>
      <c r="WIL197" s="212"/>
      <c r="WIM197" s="212"/>
      <c r="WIN197" s="214"/>
      <c r="WIO197" s="211"/>
      <c r="WIP197" s="212"/>
      <c r="WIQ197" s="212"/>
      <c r="WIR197" s="212"/>
      <c r="WIS197" s="212"/>
      <c r="WIT197" s="212"/>
      <c r="WIU197" s="212"/>
      <c r="WIV197" s="212"/>
      <c r="WIW197" s="212"/>
      <c r="WIX197" s="212"/>
      <c r="WIY197" s="212"/>
      <c r="WIZ197" s="212"/>
      <c r="WJA197" s="212"/>
      <c r="WJB197" s="212"/>
      <c r="WJC197" s="212"/>
      <c r="WJD197" s="212"/>
      <c r="WJE197" s="212"/>
      <c r="WJF197" s="212"/>
      <c r="WJG197" s="212"/>
      <c r="WJH197" s="212"/>
      <c r="WJI197" s="212"/>
      <c r="WJJ197" s="212"/>
      <c r="WJK197" s="212"/>
      <c r="WJL197" s="212"/>
      <c r="WJM197" s="212"/>
      <c r="WJN197" s="212"/>
      <c r="WJO197" s="212"/>
      <c r="WJP197" s="212"/>
      <c r="WJQ197" s="212"/>
      <c r="WJR197" s="212"/>
      <c r="WJS197" s="212"/>
      <c r="WJT197" s="212"/>
      <c r="WJU197" s="212"/>
      <c r="WJV197" s="212"/>
      <c r="WJW197" s="212"/>
      <c r="WJX197" s="212"/>
      <c r="WJY197" s="212"/>
      <c r="WJZ197" s="212"/>
      <c r="WKA197" s="212"/>
      <c r="WKB197" s="212"/>
      <c r="WKC197" s="212"/>
      <c r="WKD197" s="212"/>
      <c r="WKE197" s="212"/>
      <c r="WKF197" s="214"/>
      <c r="WKG197" s="211"/>
      <c r="WKH197" s="212"/>
      <c r="WKI197" s="212"/>
      <c r="WKJ197" s="212"/>
      <c r="WKK197" s="212"/>
      <c r="WKL197" s="212"/>
      <c r="WKM197" s="212"/>
      <c r="WKN197" s="212"/>
      <c r="WKO197" s="212"/>
      <c r="WKP197" s="212"/>
      <c r="WKQ197" s="212"/>
      <c r="WKR197" s="212"/>
      <c r="WKS197" s="212"/>
      <c r="WKT197" s="212"/>
      <c r="WKU197" s="212"/>
      <c r="WKV197" s="212"/>
      <c r="WKW197" s="212"/>
      <c r="WKX197" s="212"/>
      <c r="WKY197" s="212"/>
      <c r="WKZ197" s="212"/>
      <c r="WLA197" s="212"/>
      <c r="WLB197" s="212"/>
      <c r="WLC197" s="212"/>
      <c r="WLD197" s="212"/>
      <c r="WLE197" s="212"/>
      <c r="WLF197" s="212"/>
      <c r="WLG197" s="212"/>
      <c r="WLH197" s="212"/>
      <c r="WLI197" s="212"/>
      <c r="WLJ197" s="212"/>
      <c r="WLK197" s="212"/>
      <c r="WLL197" s="212"/>
      <c r="WLM197" s="212"/>
      <c r="WLN197" s="212"/>
      <c r="WLO197" s="212"/>
      <c r="WLP197" s="212"/>
      <c r="WLQ197" s="212"/>
      <c r="WLR197" s="212"/>
      <c r="WLS197" s="212"/>
      <c r="WLT197" s="212"/>
      <c r="WLU197" s="212"/>
      <c r="WLV197" s="212"/>
      <c r="WLW197" s="212"/>
      <c r="WLX197" s="214"/>
      <c r="WLY197" s="211"/>
      <c r="WLZ197" s="212"/>
      <c r="WMA197" s="212"/>
      <c r="WMB197" s="212"/>
      <c r="WMC197" s="212"/>
      <c r="WMD197" s="212"/>
      <c r="WME197" s="212"/>
      <c r="WMF197" s="212"/>
      <c r="WMG197" s="212"/>
      <c r="WMH197" s="212"/>
      <c r="WMI197" s="212"/>
      <c r="WMJ197" s="212"/>
      <c r="WMK197" s="212"/>
      <c r="WML197" s="212"/>
      <c r="WMM197" s="212"/>
      <c r="WMN197" s="212"/>
      <c r="WMO197" s="212"/>
      <c r="WMP197" s="212"/>
      <c r="WMQ197" s="212"/>
      <c r="WMR197" s="212"/>
      <c r="WMS197" s="212"/>
      <c r="WMT197" s="212"/>
      <c r="WMU197" s="212"/>
      <c r="WMV197" s="212"/>
      <c r="WMW197" s="212"/>
      <c r="WMX197" s="212"/>
      <c r="WMY197" s="212"/>
      <c r="WMZ197" s="212"/>
      <c r="WNA197" s="212"/>
      <c r="WNB197" s="212"/>
      <c r="WNC197" s="212"/>
      <c r="WND197" s="212"/>
      <c r="WNE197" s="212"/>
      <c r="WNF197" s="212"/>
      <c r="WNG197" s="212"/>
      <c r="WNH197" s="212"/>
      <c r="WNI197" s="212"/>
      <c r="WNJ197" s="212"/>
      <c r="WNK197" s="212"/>
      <c r="WNL197" s="212"/>
      <c r="WNM197" s="212"/>
      <c r="WNN197" s="212"/>
      <c r="WNO197" s="212"/>
      <c r="WNP197" s="214"/>
      <c r="WNQ197" s="211"/>
      <c r="WNR197" s="212"/>
      <c r="WNS197" s="212"/>
      <c r="WNT197" s="212"/>
      <c r="WNU197" s="212"/>
      <c r="WNV197" s="212"/>
      <c r="WNW197" s="212"/>
      <c r="WNX197" s="212"/>
      <c r="WNY197" s="212"/>
      <c r="WNZ197" s="212"/>
      <c r="WOA197" s="212"/>
      <c r="WOB197" s="212"/>
      <c r="WOC197" s="212"/>
      <c r="WOD197" s="212"/>
      <c r="WOE197" s="212"/>
      <c r="WOF197" s="212"/>
      <c r="WOG197" s="212"/>
      <c r="WOH197" s="212"/>
      <c r="WOI197" s="212"/>
      <c r="WOJ197" s="212"/>
      <c r="WOK197" s="212"/>
      <c r="WOL197" s="212"/>
      <c r="WOM197" s="212"/>
      <c r="WON197" s="212"/>
      <c r="WOO197" s="212"/>
      <c r="WOP197" s="212"/>
      <c r="WOQ197" s="212"/>
      <c r="WOR197" s="212"/>
      <c r="WOS197" s="212"/>
      <c r="WOT197" s="212"/>
      <c r="WOU197" s="212"/>
      <c r="WOV197" s="212"/>
      <c r="WOW197" s="212"/>
      <c r="WOX197" s="212"/>
      <c r="WOY197" s="212"/>
      <c r="WOZ197" s="212"/>
      <c r="WPA197" s="212"/>
      <c r="WPB197" s="212"/>
      <c r="WPC197" s="212"/>
      <c r="WPD197" s="212"/>
      <c r="WPE197" s="212"/>
      <c r="WPF197" s="212"/>
      <c r="WPG197" s="212"/>
      <c r="WPH197" s="214"/>
      <c r="WPI197" s="211"/>
      <c r="WPJ197" s="212"/>
      <c r="WPK197" s="212"/>
      <c r="WPL197" s="212"/>
      <c r="WPM197" s="212"/>
      <c r="WPN197" s="212"/>
      <c r="WPO197" s="212"/>
      <c r="WPP197" s="212"/>
      <c r="WPQ197" s="212"/>
      <c r="WPR197" s="212"/>
      <c r="WPS197" s="212"/>
      <c r="WPT197" s="212"/>
      <c r="WPU197" s="212"/>
      <c r="WPV197" s="212"/>
      <c r="WPW197" s="212"/>
      <c r="WPX197" s="212"/>
      <c r="WPY197" s="212"/>
      <c r="WPZ197" s="212"/>
      <c r="WQA197" s="212"/>
      <c r="WQB197" s="212"/>
      <c r="WQC197" s="212"/>
      <c r="WQD197" s="212"/>
      <c r="WQE197" s="212"/>
      <c r="WQF197" s="212"/>
      <c r="WQG197" s="212"/>
      <c r="WQH197" s="212"/>
      <c r="WQI197" s="212"/>
      <c r="WQJ197" s="212"/>
      <c r="WQK197" s="212"/>
      <c r="WQL197" s="212"/>
      <c r="WQM197" s="212"/>
      <c r="WQN197" s="212"/>
      <c r="WQO197" s="212"/>
      <c r="WQP197" s="212"/>
      <c r="WQQ197" s="212"/>
      <c r="WQR197" s="212"/>
      <c r="WQS197" s="212"/>
      <c r="WQT197" s="212"/>
      <c r="WQU197" s="212"/>
      <c r="WQV197" s="212"/>
      <c r="WQW197" s="212"/>
      <c r="WQX197" s="212"/>
      <c r="WQY197" s="212"/>
      <c r="WQZ197" s="214"/>
      <c r="WRA197" s="211"/>
      <c r="WRB197" s="212"/>
      <c r="WRC197" s="212"/>
      <c r="WRD197" s="212"/>
      <c r="WRE197" s="212"/>
      <c r="WRF197" s="212"/>
      <c r="WRG197" s="212"/>
      <c r="WRH197" s="212"/>
      <c r="WRI197" s="212"/>
      <c r="WRJ197" s="212"/>
      <c r="WRK197" s="212"/>
      <c r="WRL197" s="212"/>
      <c r="WRM197" s="212"/>
      <c r="WRN197" s="212"/>
      <c r="WRO197" s="212"/>
      <c r="WRP197" s="212"/>
      <c r="WRQ197" s="212"/>
      <c r="WRR197" s="212"/>
      <c r="WRS197" s="212"/>
      <c r="WRT197" s="212"/>
      <c r="WRU197" s="212"/>
      <c r="WRV197" s="212"/>
      <c r="WRW197" s="212"/>
      <c r="WRX197" s="212"/>
      <c r="WRY197" s="212"/>
      <c r="WRZ197" s="212"/>
      <c r="WSA197" s="212"/>
      <c r="WSB197" s="212"/>
      <c r="WSC197" s="212"/>
      <c r="WSD197" s="212"/>
      <c r="WSE197" s="212"/>
      <c r="WSF197" s="212"/>
      <c r="WSG197" s="212"/>
      <c r="WSH197" s="212"/>
      <c r="WSI197" s="212"/>
      <c r="WSJ197" s="212"/>
      <c r="WSK197" s="212"/>
      <c r="WSL197" s="212"/>
      <c r="WSM197" s="212"/>
      <c r="WSN197" s="212"/>
      <c r="WSO197" s="212"/>
      <c r="WSP197" s="212"/>
      <c r="WSQ197" s="212"/>
      <c r="WSR197" s="214"/>
      <c r="WSS197" s="211"/>
      <c r="WST197" s="212"/>
      <c r="WSU197" s="212"/>
      <c r="WSV197" s="212"/>
      <c r="WSW197" s="212"/>
      <c r="WSX197" s="212"/>
      <c r="WSY197" s="212"/>
      <c r="WSZ197" s="212"/>
      <c r="WTA197" s="212"/>
      <c r="WTB197" s="212"/>
      <c r="WTC197" s="212"/>
      <c r="WTD197" s="212"/>
      <c r="WTE197" s="212"/>
      <c r="WTF197" s="212"/>
      <c r="WTG197" s="212"/>
      <c r="WTH197" s="212"/>
      <c r="WTI197" s="212"/>
      <c r="WTJ197" s="212"/>
      <c r="WTK197" s="212"/>
      <c r="WTL197" s="212"/>
      <c r="WTM197" s="212"/>
      <c r="WTN197" s="212"/>
      <c r="WTO197" s="212"/>
      <c r="WTP197" s="212"/>
      <c r="WTQ197" s="212"/>
      <c r="WTR197" s="212"/>
      <c r="WTS197" s="212"/>
      <c r="WTT197" s="212"/>
      <c r="WTU197" s="212"/>
      <c r="WTV197" s="212"/>
      <c r="WTW197" s="212"/>
      <c r="WTX197" s="212"/>
      <c r="WTY197" s="212"/>
      <c r="WTZ197" s="212"/>
      <c r="WUA197" s="212"/>
      <c r="WUB197" s="212"/>
      <c r="WUC197" s="212"/>
      <c r="WUD197" s="212"/>
      <c r="WUE197" s="212"/>
      <c r="WUF197" s="212"/>
      <c r="WUG197" s="212"/>
      <c r="WUH197" s="212"/>
      <c r="WUI197" s="212"/>
      <c r="WUJ197" s="214"/>
      <c r="WUK197" s="211"/>
      <c r="WUL197" s="212"/>
      <c r="WUM197" s="212"/>
      <c r="WUN197" s="212"/>
      <c r="WUO197" s="212"/>
      <c r="WUP197" s="212"/>
      <c r="WUQ197" s="212"/>
      <c r="WUR197" s="212"/>
      <c r="WUS197" s="212"/>
      <c r="WUT197" s="212"/>
      <c r="WUU197" s="212"/>
      <c r="WUV197" s="212"/>
      <c r="WUW197" s="212"/>
      <c r="WUX197" s="212"/>
      <c r="WUY197" s="212"/>
      <c r="WUZ197" s="212"/>
      <c r="WVA197" s="212"/>
      <c r="WVB197" s="212"/>
      <c r="WVC197" s="212"/>
      <c r="WVD197" s="212"/>
      <c r="WVE197" s="212"/>
      <c r="WVF197" s="212"/>
      <c r="WVG197" s="212"/>
      <c r="WVH197" s="212"/>
      <c r="WVI197" s="212"/>
      <c r="WVJ197" s="212"/>
      <c r="WVK197" s="212"/>
      <c r="WVL197" s="212"/>
      <c r="WVM197" s="212"/>
      <c r="WVN197" s="212"/>
      <c r="WVO197" s="212"/>
      <c r="WVP197" s="212"/>
      <c r="WVQ197" s="212"/>
      <c r="WVR197" s="212"/>
      <c r="WVS197" s="212"/>
      <c r="WVT197" s="212"/>
      <c r="WVU197" s="212"/>
      <c r="WVV197" s="212"/>
      <c r="WVW197" s="212"/>
      <c r="WVX197" s="212"/>
      <c r="WVY197" s="212"/>
      <c r="WVZ197" s="212"/>
      <c r="WWA197" s="212"/>
      <c r="WWB197" s="214"/>
      <c r="WWC197" s="211"/>
      <c r="WWD197" s="212"/>
      <c r="WWE197" s="212"/>
      <c r="WWF197" s="212"/>
      <c r="WWG197" s="212"/>
      <c r="WWH197" s="212"/>
      <c r="WWI197" s="212"/>
      <c r="WWJ197" s="212"/>
      <c r="WWK197" s="212"/>
      <c r="WWL197" s="212"/>
      <c r="WWM197" s="212"/>
      <c r="WWN197" s="212"/>
      <c r="WWO197" s="212"/>
      <c r="WWP197" s="212"/>
      <c r="WWQ197" s="212"/>
      <c r="WWR197" s="212"/>
      <c r="WWS197" s="212"/>
      <c r="WWT197" s="212"/>
      <c r="WWU197" s="212"/>
      <c r="WWV197" s="212"/>
      <c r="WWW197" s="212"/>
      <c r="WWX197" s="212"/>
      <c r="WWY197" s="212"/>
      <c r="WWZ197" s="212"/>
      <c r="WXA197" s="212"/>
      <c r="WXB197" s="212"/>
      <c r="WXC197" s="212"/>
      <c r="WXD197" s="212"/>
      <c r="WXE197" s="212"/>
      <c r="WXF197" s="212"/>
      <c r="WXG197" s="212"/>
      <c r="WXH197" s="212"/>
      <c r="WXI197" s="212"/>
      <c r="WXJ197" s="212"/>
      <c r="WXK197" s="212"/>
      <c r="WXL197" s="212"/>
      <c r="WXM197" s="212"/>
      <c r="WXN197" s="212"/>
      <c r="WXO197" s="212"/>
      <c r="WXP197" s="212"/>
      <c r="WXQ197" s="212"/>
      <c r="WXR197" s="212"/>
      <c r="WXS197" s="212"/>
      <c r="WXT197" s="214"/>
      <c r="WXU197" s="211"/>
      <c r="WXV197" s="212"/>
      <c r="WXW197" s="212"/>
      <c r="WXX197" s="212"/>
      <c r="WXY197" s="212"/>
      <c r="WXZ197" s="212"/>
      <c r="WYA197" s="212"/>
      <c r="WYB197" s="212"/>
      <c r="WYC197" s="212"/>
      <c r="WYD197" s="212"/>
      <c r="WYE197" s="212"/>
      <c r="WYF197" s="212"/>
      <c r="WYG197" s="212"/>
      <c r="WYH197" s="212"/>
      <c r="WYI197" s="212"/>
      <c r="WYJ197" s="212"/>
      <c r="WYK197" s="212"/>
      <c r="WYL197" s="212"/>
      <c r="WYM197" s="212"/>
      <c r="WYN197" s="212"/>
      <c r="WYO197" s="212"/>
      <c r="WYP197" s="212"/>
      <c r="WYQ197" s="212"/>
      <c r="WYR197" s="212"/>
      <c r="WYS197" s="212"/>
      <c r="WYT197" s="212"/>
      <c r="WYU197" s="212"/>
      <c r="WYV197" s="212"/>
      <c r="WYW197" s="212"/>
      <c r="WYX197" s="212"/>
      <c r="WYY197" s="212"/>
      <c r="WYZ197" s="212"/>
      <c r="WZA197" s="212"/>
      <c r="WZB197" s="212"/>
      <c r="WZC197" s="212"/>
      <c r="WZD197" s="212"/>
      <c r="WZE197" s="212"/>
      <c r="WZF197" s="212"/>
      <c r="WZG197" s="212"/>
      <c r="WZH197" s="212"/>
      <c r="WZI197" s="212"/>
      <c r="WZJ197" s="212"/>
      <c r="WZK197" s="212"/>
      <c r="WZL197" s="214"/>
      <c r="WZM197" s="211"/>
      <c r="WZN197" s="212"/>
      <c r="WZO197" s="212"/>
      <c r="WZP197" s="212"/>
      <c r="WZQ197" s="212"/>
      <c r="WZR197" s="212"/>
      <c r="WZS197" s="212"/>
      <c r="WZT197" s="212"/>
      <c r="WZU197" s="212"/>
      <c r="WZV197" s="212"/>
      <c r="WZW197" s="212"/>
      <c r="WZX197" s="212"/>
      <c r="WZY197" s="212"/>
      <c r="WZZ197" s="212"/>
      <c r="XAA197" s="212"/>
      <c r="XAB197" s="212"/>
      <c r="XAC197" s="212"/>
      <c r="XAD197" s="212"/>
      <c r="XAE197" s="212"/>
      <c r="XAF197" s="212"/>
      <c r="XAG197" s="212"/>
      <c r="XAH197" s="212"/>
      <c r="XAI197" s="212"/>
      <c r="XAJ197" s="212"/>
      <c r="XAK197" s="212"/>
      <c r="XAL197" s="212"/>
      <c r="XAM197" s="212"/>
      <c r="XAN197" s="212"/>
      <c r="XAO197" s="212"/>
      <c r="XAP197" s="212"/>
      <c r="XAQ197" s="212"/>
      <c r="XAR197" s="212"/>
      <c r="XAS197" s="212"/>
      <c r="XAT197" s="212"/>
      <c r="XAU197" s="212"/>
      <c r="XAV197" s="212"/>
      <c r="XAW197" s="212"/>
      <c r="XAX197" s="212"/>
      <c r="XAY197" s="212"/>
      <c r="XAZ197" s="212"/>
      <c r="XBA197" s="212"/>
      <c r="XBB197" s="212"/>
      <c r="XBC197" s="212"/>
      <c r="XBD197" s="214"/>
      <c r="XBE197" s="211"/>
      <c r="XBF197" s="212"/>
      <c r="XBG197" s="212"/>
      <c r="XBH197" s="212"/>
      <c r="XBI197" s="212"/>
      <c r="XBJ197" s="212"/>
      <c r="XBK197" s="212"/>
      <c r="XBL197" s="212"/>
      <c r="XBM197" s="212"/>
      <c r="XBN197" s="212"/>
      <c r="XBO197" s="212"/>
      <c r="XBP197" s="212"/>
      <c r="XBQ197" s="212"/>
      <c r="XBR197" s="212"/>
      <c r="XBS197" s="212"/>
      <c r="XBT197" s="212"/>
      <c r="XBU197" s="212"/>
      <c r="XBV197" s="212"/>
      <c r="XBW197" s="212"/>
      <c r="XBX197" s="212"/>
      <c r="XBY197" s="212"/>
      <c r="XBZ197" s="212"/>
      <c r="XCA197" s="212"/>
      <c r="XCB197" s="212"/>
      <c r="XCC197" s="212"/>
      <c r="XCD197" s="212"/>
      <c r="XCE197" s="212"/>
      <c r="XCF197" s="212"/>
      <c r="XCG197" s="212"/>
      <c r="XCH197" s="212"/>
      <c r="XCI197" s="212"/>
      <c r="XCJ197" s="212"/>
      <c r="XCK197" s="212"/>
      <c r="XCL197" s="212"/>
      <c r="XCM197" s="212"/>
      <c r="XCN197" s="212"/>
      <c r="XCO197" s="212"/>
      <c r="XCP197" s="212"/>
      <c r="XCQ197" s="212"/>
      <c r="XCR197" s="212"/>
      <c r="XCS197" s="212"/>
      <c r="XCT197" s="212"/>
      <c r="XCU197" s="212"/>
      <c r="XCV197" s="214"/>
      <c r="XCW197" s="211"/>
      <c r="XCX197" s="212"/>
      <c r="XCY197" s="212"/>
      <c r="XCZ197" s="212"/>
      <c r="XDA197" s="212"/>
      <c r="XDB197" s="212"/>
      <c r="XDC197" s="212"/>
      <c r="XDD197" s="212"/>
      <c r="XDE197" s="212"/>
      <c r="XDF197" s="212"/>
      <c r="XDG197" s="212"/>
      <c r="XDH197" s="212"/>
      <c r="XDI197" s="212"/>
      <c r="XDJ197" s="212"/>
      <c r="XDK197" s="212"/>
      <c r="XDL197" s="212"/>
      <c r="XDM197" s="212"/>
      <c r="XDN197" s="212"/>
      <c r="XDO197" s="212"/>
      <c r="XDP197" s="212"/>
      <c r="XDQ197" s="212"/>
      <c r="XDR197" s="212"/>
      <c r="XDS197" s="212"/>
      <c r="XDT197" s="212"/>
      <c r="XDU197" s="212"/>
      <c r="XDV197" s="212"/>
      <c r="XDW197" s="212"/>
      <c r="XDX197" s="212"/>
      <c r="XDY197" s="212"/>
      <c r="XDZ197" s="212"/>
      <c r="XEA197" s="212"/>
      <c r="XEB197" s="212"/>
      <c r="XEC197" s="212"/>
      <c r="XED197" s="212"/>
      <c r="XEE197" s="212"/>
      <c r="XEF197" s="212"/>
      <c r="XEG197" s="212"/>
      <c r="XEH197" s="212"/>
      <c r="XEI197" s="212"/>
      <c r="XEJ197" s="212"/>
      <c r="XEK197" s="212"/>
      <c r="XEL197" s="212"/>
      <c r="XEM197" s="212"/>
      <c r="XEN197" s="214"/>
      <c r="XEO197" s="211"/>
      <c r="XEP197" s="212"/>
      <c r="XEQ197" s="212"/>
      <c r="XER197" s="212"/>
      <c r="XES197" s="212"/>
      <c r="XET197" s="212"/>
      <c r="XEU197" s="212"/>
      <c r="XEV197" s="212"/>
      <c r="XEW197" s="212"/>
      <c r="XEX197" s="212"/>
      <c r="XEY197" s="212"/>
      <c r="XEZ197" s="212"/>
      <c r="XFA197" s="212"/>
      <c r="XFB197" s="212"/>
      <c r="XFC197" s="212"/>
      <c r="XFD197" s="212"/>
    </row>
    <row r="198" spans="1:16384" x14ac:dyDescent="0.55000000000000004">
      <c r="A198" s="137" t="s">
        <v>168</v>
      </c>
      <c r="B198" s="138">
        <v>116</v>
      </c>
      <c r="C198" s="123">
        <v>2550</v>
      </c>
      <c r="D198" s="17">
        <v>0</v>
      </c>
      <c r="E198" s="14">
        <v>3</v>
      </c>
      <c r="F198" s="14">
        <v>0</v>
      </c>
      <c r="G198" s="13">
        <f>0</f>
        <v>0</v>
      </c>
      <c r="H198" s="14">
        <v>15</v>
      </c>
      <c r="I198" s="23">
        <f>0</f>
        <v>0</v>
      </c>
      <c r="J198" s="13">
        <v>1.1000000000000001</v>
      </c>
      <c r="K198" s="14">
        <v>2</v>
      </c>
      <c r="L198" s="15">
        <v>1.7</v>
      </c>
      <c r="M198" s="13"/>
      <c r="N198" s="17"/>
      <c r="O198" s="15">
        <f>ROUND(C198*H198/1000,0)</f>
        <v>38</v>
      </c>
      <c r="P198" s="14">
        <f>ROUND(C198*H198/1000,0)</f>
        <v>38</v>
      </c>
      <c r="Q198" s="14">
        <f t="shared" ref="Q198:Q200" si="187">ROUND(C198*H198/1000,0)</f>
        <v>38</v>
      </c>
      <c r="R198" s="14"/>
      <c r="S198" s="14"/>
      <c r="T198" s="18"/>
      <c r="U198" s="13"/>
      <c r="V198" s="17"/>
      <c r="W198" s="13">
        <f>ROUND(C198*K198,0)</f>
        <v>5100</v>
      </c>
      <c r="X198" s="14">
        <f>ROUND(C198*K198,0)</f>
        <v>5100</v>
      </c>
      <c r="Y198" s="14">
        <f>ROUND(C198*K198,0)</f>
        <v>5100</v>
      </c>
      <c r="Z198" s="13"/>
      <c r="AA198" s="13"/>
      <c r="AB198" s="71"/>
      <c r="AC198" s="17"/>
      <c r="AD198" s="17"/>
      <c r="AE198" s="13">
        <f>ROUND(O198*95,0)</f>
        <v>3610</v>
      </c>
      <c r="AF198" s="14">
        <f t="shared" ref="AF198:AF200" si="188">ROUND(P198*95,0)</f>
        <v>3610</v>
      </c>
      <c r="AG198" s="14">
        <f t="shared" ref="AG198:AG200" si="189">ROUND(Q198*95,0)</f>
        <v>3610</v>
      </c>
      <c r="AH198" s="13"/>
      <c r="AI198" s="13"/>
      <c r="AJ198" s="71"/>
      <c r="AK198" s="100"/>
      <c r="AL198" s="14"/>
      <c r="AM198" s="14">
        <f>W198+AE198</f>
        <v>8710</v>
      </c>
      <c r="AN198" s="14">
        <f>X198+AF198</f>
        <v>8710</v>
      </c>
      <c r="AO198" s="14">
        <f>Y198+AG198</f>
        <v>8710</v>
      </c>
      <c r="AP198" s="14"/>
      <c r="AQ198" s="14"/>
      <c r="AR198" s="14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  <c r="BN198" s="56"/>
      <c r="BO198" s="56"/>
      <c r="BP198" s="56"/>
      <c r="BQ198" s="56"/>
      <c r="BR198" s="56"/>
      <c r="BS198" s="56"/>
      <c r="BT198" s="56"/>
      <c r="BU198" s="56"/>
      <c r="BV198" s="56"/>
      <c r="BW198" s="56"/>
      <c r="BX198" s="56"/>
      <c r="BY198" s="56"/>
      <c r="BZ198" s="56"/>
      <c r="CA198" s="56"/>
      <c r="CB198" s="56"/>
      <c r="CC198" s="56"/>
      <c r="CD198" s="56"/>
      <c r="CE198" s="56"/>
      <c r="CF198" s="56"/>
      <c r="CG198" s="56"/>
      <c r="CH198" s="56"/>
      <c r="CI198" s="56"/>
      <c r="CJ198" s="56"/>
      <c r="CK198" s="56"/>
      <c r="CL198" s="56"/>
      <c r="CM198" s="56"/>
      <c r="CN198" s="56"/>
      <c r="CO198" s="56"/>
      <c r="CP198" s="56"/>
      <c r="CQ198" s="56"/>
      <c r="CR198" s="56"/>
      <c r="CS198" s="56"/>
      <c r="CT198" s="56"/>
      <c r="CU198" s="56"/>
      <c r="CV198" s="56"/>
      <c r="CW198" s="56"/>
      <c r="CX198" s="56"/>
      <c r="CY198" s="56"/>
      <c r="CZ198" s="56"/>
      <c r="DA198" s="56"/>
      <c r="DB198" s="56"/>
      <c r="DC198" s="56"/>
      <c r="DD198" s="56"/>
      <c r="DE198" s="56"/>
      <c r="DF198" s="56"/>
      <c r="DG198" s="56"/>
      <c r="DH198" s="56"/>
      <c r="DI198" s="56"/>
      <c r="DJ198" s="56"/>
      <c r="DK198" s="56"/>
      <c r="DL198" s="56"/>
      <c r="DM198" s="56"/>
      <c r="DN198" s="56"/>
      <c r="DO198" s="56"/>
      <c r="DP198" s="56"/>
      <c r="DQ198" s="56"/>
      <c r="DR198" s="56"/>
      <c r="DS198" s="56"/>
      <c r="DT198" s="56"/>
      <c r="DU198" s="56"/>
      <c r="DV198" s="56"/>
      <c r="DW198" s="56"/>
      <c r="DX198" s="56"/>
      <c r="DY198" s="56"/>
      <c r="DZ198" s="56"/>
      <c r="EA198" s="56"/>
      <c r="EB198" s="56"/>
      <c r="EC198" s="56"/>
      <c r="ED198" s="56"/>
      <c r="EE198" s="56"/>
      <c r="EF198" s="56"/>
      <c r="EG198" s="56"/>
      <c r="EH198" s="56"/>
      <c r="EI198" s="56"/>
      <c r="EJ198" s="56"/>
      <c r="EK198" s="56"/>
    </row>
    <row r="199" spans="1:16384" x14ac:dyDescent="0.55000000000000004">
      <c r="A199" s="137" t="s">
        <v>169</v>
      </c>
      <c r="B199" s="138">
        <v>130</v>
      </c>
      <c r="C199" s="123">
        <v>2854</v>
      </c>
      <c r="D199" s="17">
        <v>0</v>
      </c>
      <c r="E199" s="14">
        <v>3</v>
      </c>
      <c r="F199" s="14">
        <v>0</v>
      </c>
      <c r="G199" s="13">
        <f>0</f>
        <v>0</v>
      </c>
      <c r="H199" s="14">
        <v>15</v>
      </c>
      <c r="I199" s="23">
        <f>0</f>
        <v>0</v>
      </c>
      <c r="J199" s="13">
        <v>1.1000000000000001</v>
      </c>
      <c r="K199" s="14">
        <v>2</v>
      </c>
      <c r="L199" s="15">
        <v>1.7</v>
      </c>
      <c r="M199" s="13"/>
      <c r="N199" s="17"/>
      <c r="O199" s="15">
        <f>ROUND(C199*H199/1000,0)</f>
        <v>43</v>
      </c>
      <c r="P199" s="14">
        <f t="shared" ref="P199:P200" si="190">ROUND(C199*H199/1000,0)</f>
        <v>43</v>
      </c>
      <c r="Q199" s="14">
        <f t="shared" si="187"/>
        <v>43</v>
      </c>
      <c r="R199" s="14"/>
      <c r="S199" s="14"/>
      <c r="T199" s="18"/>
      <c r="U199" s="13"/>
      <c r="V199" s="17"/>
      <c r="W199" s="13">
        <f>ROUND(C199*K199,0)</f>
        <v>5708</v>
      </c>
      <c r="X199" s="14">
        <f>ROUND(C199*K199,0)</f>
        <v>5708</v>
      </c>
      <c r="Y199" s="14">
        <f>ROUND(C199*K199,0)</f>
        <v>5708</v>
      </c>
      <c r="Z199" s="13"/>
      <c r="AA199" s="13"/>
      <c r="AB199" s="71"/>
      <c r="AC199" s="17"/>
      <c r="AD199" s="17"/>
      <c r="AE199" s="13">
        <f t="shared" ref="AE199:AE200" si="191">ROUND(O199*95,0)</f>
        <v>4085</v>
      </c>
      <c r="AF199" s="14">
        <f t="shared" si="188"/>
        <v>4085</v>
      </c>
      <c r="AG199" s="14">
        <f t="shared" si="189"/>
        <v>4085</v>
      </c>
      <c r="AH199" s="13"/>
      <c r="AI199" s="13"/>
      <c r="AJ199" s="71"/>
      <c r="AK199" s="100"/>
      <c r="AL199" s="14"/>
      <c r="AM199" s="14">
        <f t="shared" ref="AM199:AM200" si="192">W199+AE199</f>
        <v>9793</v>
      </c>
      <c r="AN199" s="14">
        <f t="shared" ref="AN199:AN200" si="193">X199+AF199</f>
        <v>9793</v>
      </c>
      <c r="AO199" s="14">
        <f t="shared" ref="AO199:AO200" si="194">Y199+AG199</f>
        <v>9793</v>
      </c>
      <c r="AP199" s="14"/>
      <c r="AQ199" s="14"/>
      <c r="AR199" s="14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  <c r="BN199" s="56"/>
      <c r="BO199" s="56"/>
      <c r="BP199" s="56"/>
      <c r="BQ199" s="56"/>
      <c r="BR199" s="56"/>
      <c r="BS199" s="56"/>
      <c r="BT199" s="56"/>
      <c r="BU199" s="56"/>
      <c r="BV199" s="56"/>
      <c r="BW199" s="56"/>
      <c r="BX199" s="56"/>
      <c r="BY199" s="56"/>
      <c r="BZ199" s="56"/>
      <c r="CA199" s="56"/>
      <c r="CB199" s="56"/>
      <c r="CC199" s="56"/>
      <c r="CD199" s="56"/>
      <c r="CE199" s="56"/>
      <c r="CF199" s="56"/>
      <c r="CG199" s="56"/>
      <c r="CH199" s="56"/>
      <c r="CI199" s="56"/>
      <c r="CJ199" s="56"/>
      <c r="CK199" s="56"/>
      <c r="CL199" s="56"/>
      <c r="CM199" s="56"/>
      <c r="CN199" s="56"/>
      <c r="CO199" s="56"/>
      <c r="CP199" s="56"/>
      <c r="CQ199" s="56"/>
      <c r="CR199" s="56"/>
      <c r="CS199" s="56"/>
      <c r="CT199" s="56"/>
      <c r="CU199" s="56"/>
      <c r="CV199" s="56"/>
      <c r="CW199" s="56"/>
      <c r="CX199" s="56"/>
      <c r="CY199" s="56"/>
      <c r="CZ199" s="56"/>
      <c r="DA199" s="56"/>
      <c r="DB199" s="56"/>
      <c r="DC199" s="56"/>
      <c r="DD199" s="56"/>
      <c r="DE199" s="56"/>
      <c r="DF199" s="56"/>
      <c r="DG199" s="56"/>
      <c r="DH199" s="56"/>
      <c r="DI199" s="56"/>
      <c r="DJ199" s="56"/>
      <c r="DK199" s="56"/>
      <c r="DL199" s="56"/>
      <c r="DM199" s="56"/>
      <c r="DN199" s="56"/>
      <c r="DO199" s="56"/>
      <c r="DP199" s="56"/>
      <c r="DQ199" s="56"/>
      <c r="DR199" s="56"/>
      <c r="DS199" s="56"/>
      <c r="DT199" s="56"/>
      <c r="DU199" s="56"/>
      <c r="DV199" s="56"/>
      <c r="DW199" s="56"/>
      <c r="DX199" s="56"/>
      <c r="DY199" s="56"/>
      <c r="DZ199" s="56"/>
      <c r="EA199" s="56"/>
      <c r="EB199" s="56"/>
      <c r="EC199" s="56"/>
      <c r="ED199" s="56"/>
      <c r="EE199" s="56"/>
      <c r="EF199" s="56"/>
      <c r="EG199" s="56"/>
      <c r="EH199" s="56"/>
      <c r="EI199" s="56"/>
      <c r="EJ199" s="56"/>
      <c r="EK199" s="56"/>
    </row>
    <row r="200" spans="1:16384" ht="24.75" thickBot="1" x14ac:dyDescent="0.6">
      <c r="A200" s="137" t="s">
        <v>170</v>
      </c>
      <c r="B200" s="138">
        <v>141</v>
      </c>
      <c r="C200" s="123">
        <v>3111</v>
      </c>
      <c r="D200" s="17">
        <v>0</v>
      </c>
      <c r="E200" s="14">
        <v>3</v>
      </c>
      <c r="F200" s="14">
        <v>0</v>
      </c>
      <c r="G200" s="13">
        <f>0</f>
        <v>0</v>
      </c>
      <c r="H200" s="14">
        <v>15</v>
      </c>
      <c r="I200" s="23">
        <f>0</f>
        <v>0</v>
      </c>
      <c r="J200" s="13">
        <v>1.1000000000000001</v>
      </c>
      <c r="K200" s="14">
        <v>2</v>
      </c>
      <c r="L200" s="15">
        <v>1.7</v>
      </c>
      <c r="M200" s="13"/>
      <c r="N200" s="17"/>
      <c r="O200" s="15">
        <f>ROUND(C200*H200/1000,0)</f>
        <v>47</v>
      </c>
      <c r="P200" s="14">
        <f t="shared" si="190"/>
        <v>47</v>
      </c>
      <c r="Q200" s="14">
        <f t="shared" si="187"/>
        <v>47</v>
      </c>
      <c r="R200" s="14"/>
      <c r="S200" s="14"/>
      <c r="T200" s="18"/>
      <c r="U200" s="13"/>
      <c r="V200" s="17"/>
      <c r="W200" s="13">
        <f>ROUND(C200*K200,0)</f>
        <v>6222</v>
      </c>
      <c r="X200" s="14">
        <f>ROUND(C200*K200,0)</f>
        <v>6222</v>
      </c>
      <c r="Y200" s="14">
        <f>ROUND(C200*K200,0)</f>
        <v>6222</v>
      </c>
      <c r="Z200" s="13"/>
      <c r="AA200" s="13"/>
      <c r="AB200" s="71"/>
      <c r="AC200" s="17"/>
      <c r="AD200" s="17"/>
      <c r="AE200" s="13">
        <f t="shared" si="191"/>
        <v>4465</v>
      </c>
      <c r="AF200" s="14">
        <f t="shared" si="188"/>
        <v>4465</v>
      </c>
      <c r="AG200" s="14">
        <f t="shared" si="189"/>
        <v>4465</v>
      </c>
      <c r="AH200" s="13"/>
      <c r="AI200" s="13"/>
      <c r="AJ200" s="71"/>
      <c r="AK200" s="100"/>
      <c r="AL200" s="14"/>
      <c r="AM200" s="14">
        <f t="shared" si="192"/>
        <v>10687</v>
      </c>
      <c r="AN200" s="14">
        <f t="shared" si="193"/>
        <v>10687</v>
      </c>
      <c r="AO200" s="14">
        <f t="shared" si="194"/>
        <v>10687</v>
      </c>
      <c r="AP200" s="14"/>
      <c r="AQ200" s="14"/>
      <c r="AR200" s="14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  <c r="BN200" s="56"/>
      <c r="BO200" s="56"/>
      <c r="BP200" s="56"/>
      <c r="BQ200" s="56"/>
      <c r="BR200" s="56"/>
      <c r="BS200" s="56"/>
      <c r="BT200" s="56"/>
      <c r="BU200" s="56"/>
      <c r="BV200" s="56"/>
      <c r="BW200" s="56"/>
      <c r="BX200" s="56"/>
      <c r="BY200" s="56"/>
      <c r="BZ200" s="56"/>
      <c r="CA200" s="56"/>
      <c r="CB200" s="56"/>
      <c r="CC200" s="56"/>
      <c r="CD200" s="56"/>
      <c r="CE200" s="56"/>
      <c r="CF200" s="56"/>
      <c r="CG200" s="56"/>
      <c r="CH200" s="56"/>
      <c r="CI200" s="56"/>
      <c r="CJ200" s="56"/>
      <c r="CK200" s="56"/>
      <c r="CL200" s="56"/>
      <c r="CM200" s="56"/>
      <c r="CN200" s="56"/>
      <c r="CO200" s="56"/>
      <c r="CP200" s="56"/>
      <c r="CQ200" s="56"/>
      <c r="CR200" s="56"/>
      <c r="CS200" s="56"/>
      <c r="CT200" s="56"/>
      <c r="CU200" s="56"/>
      <c r="CV200" s="56"/>
      <c r="CW200" s="56"/>
      <c r="CX200" s="56"/>
      <c r="CY200" s="56"/>
      <c r="CZ200" s="56"/>
      <c r="DA200" s="56"/>
      <c r="DB200" s="56"/>
      <c r="DC200" s="56"/>
      <c r="DD200" s="56"/>
      <c r="DE200" s="56"/>
      <c r="DF200" s="56"/>
      <c r="DG200" s="56"/>
      <c r="DH200" s="56"/>
      <c r="DI200" s="56"/>
      <c r="DJ200" s="56"/>
      <c r="DK200" s="56"/>
      <c r="DL200" s="56"/>
      <c r="DM200" s="56"/>
      <c r="DN200" s="56"/>
      <c r="DO200" s="56"/>
      <c r="DP200" s="56"/>
      <c r="DQ200" s="56"/>
      <c r="DR200" s="56"/>
      <c r="DS200" s="56"/>
      <c r="DT200" s="56"/>
      <c r="DU200" s="56"/>
      <c r="DV200" s="56"/>
      <c r="DW200" s="56"/>
      <c r="DX200" s="56"/>
      <c r="DY200" s="56"/>
      <c r="DZ200" s="56"/>
      <c r="EA200" s="56"/>
      <c r="EB200" s="56"/>
      <c r="EC200" s="56"/>
      <c r="ED200" s="56"/>
      <c r="EE200" s="56"/>
      <c r="EF200" s="56"/>
      <c r="EG200" s="56"/>
      <c r="EH200" s="56"/>
      <c r="EI200" s="56"/>
      <c r="EJ200" s="56"/>
      <c r="EK200" s="56"/>
    </row>
    <row r="201" spans="1:16384" ht="24.75" thickBot="1" x14ac:dyDescent="0.6">
      <c r="A201" s="883" t="s">
        <v>167</v>
      </c>
      <c r="B201" s="885">
        <f>SUM(B197:B200)</f>
        <v>387</v>
      </c>
      <c r="C201" s="885">
        <f>SUM(C197:C200)</f>
        <v>8515</v>
      </c>
      <c r="D201" s="887"/>
      <c r="E201" s="888"/>
      <c r="F201" s="888"/>
      <c r="G201" s="888"/>
      <c r="H201" s="888"/>
      <c r="I201" s="888"/>
      <c r="J201" s="888"/>
      <c r="K201" s="888"/>
      <c r="L201" s="889"/>
      <c r="M201" s="158">
        <f>SUM(M197:M199)</f>
        <v>0</v>
      </c>
      <c r="N201" s="158">
        <f>SUM(N197:N199)</f>
        <v>0</v>
      </c>
      <c r="O201" s="160">
        <f>SUM(O198:O200)</f>
        <v>128</v>
      </c>
      <c r="P201" s="160">
        <f t="shared" ref="P201:Q201" si="195">SUM(P198:P200)</f>
        <v>128</v>
      </c>
      <c r="Q201" s="160">
        <f t="shared" si="195"/>
        <v>128</v>
      </c>
      <c r="R201" s="161">
        <f>SUM(R197:R199)</f>
        <v>0</v>
      </c>
      <c r="S201" s="161">
        <f>SUM(S197:S199)</f>
        <v>0</v>
      </c>
      <c r="T201" s="163">
        <f>SUM(T197:T199)</f>
        <v>0</v>
      </c>
      <c r="U201" s="158">
        <f>SUM(U197:U199)</f>
        <v>0</v>
      </c>
      <c r="V201" s="188">
        <f>0</f>
        <v>0</v>
      </c>
      <c r="W201" s="157">
        <f>SUM(W198:W200)</f>
        <v>17030</v>
      </c>
      <c r="X201" s="157">
        <f t="shared" ref="X201:Y201" si="196">SUM(X198:X200)</f>
        <v>17030</v>
      </c>
      <c r="Y201" s="157">
        <f t="shared" si="196"/>
        <v>17030</v>
      </c>
      <c r="Z201" s="164" t="s">
        <v>164</v>
      </c>
      <c r="AA201" s="164"/>
      <c r="AB201" s="164"/>
      <c r="AC201" s="157">
        <f>SUM(AC197:AC199)</f>
        <v>0</v>
      </c>
      <c r="AD201" s="157">
        <f>SUM(AD197:AD199)</f>
        <v>0</v>
      </c>
      <c r="AE201" s="166">
        <f>SUM(AE198:AE200)</f>
        <v>12160</v>
      </c>
      <c r="AF201" s="166">
        <f t="shared" ref="AF201:AG201" si="197">SUM(AF198:AF200)</f>
        <v>12160</v>
      </c>
      <c r="AG201" s="166">
        <f t="shared" si="197"/>
        <v>12160</v>
      </c>
      <c r="AH201" s="175">
        <f>0</f>
        <v>0</v>
      </c>
      <c r="AI201" s="175">
        <f>0</f>
        <v>0</v>
      </c>
      <c r="AJ201" s="175">
        <f>0</f>
        <v>0</v>
      </c>
      <c r="AK201" s="165">
        <f>SUM(AK198:AK199)</f>
        <v>0</v>
      </c>
      <c r="AL201" s="165">
        <f>0</f>
        <v>0</v>
      </c>
      <c r="AM201" s="166">
        <f>SUM(AM198:AM200)</f>
        <v>29190</v>
      </c>
      <c r="AN201" s="166">
        <f>SUM(AN198:AN200)</f>
        <v>29190</v>
      </c>
      <c r="AO201" s="166">
        <f>SUM(AO198:AO200)</f>
        <v>29190</v>
      </c>
      <c r="AP201" s="175"/>
      <c r="AQ201" s="164"/>
      <c r="AR201" s="167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16384" ht="27" thickBot="1" x14ac:dyDescent="0.75">
      <c r="A202" s="884"/>
      <c r="B202" s="886"/>
      <c r="C202" s="886"/>
      <c r="D202" s="890"/>
      <c r="E202" s="891"/>
      <c r="F202" s="891"/>
      <c r="G202" s="891"/>
      <c r="H202" s="891"/>
      <c r="I202" s="891"/>
      <c r="J202" s="891"/>
      <c r="K202" s="891"/>
      <c r="L202" s="892"/>
      <c r="M202" s="893">
        <f>M201+N201</f>
        <v>0</v>
      </c>
      <c r="N202" s="894">
        <f>M201+N201</f>
        <v>0</v>
      </c>
      <c r="O202" s="895">
        <f>+O201+P201+Q201</f>
        <v>384</v>
      </c>
      <c r="P202" s="896"/>
      <c r="Q202" s="897"/>
      <c r="R202" s="898">
        <f>+R201+S201+T201</f>
        <v>0</v>
      </c>
      <c r="S202" s="899"/>
      <c r="T202" s="900"/>
      <c r="U202" s="901">
        <f>U201+V201</f>
        <v>0</v>
      </c>
      <c r="V202" s="902"/>
      <c r="W202" s="903">
        <f>W201+X201+Y201</f>
        <v>51090</v>
      </c>
      <c r="X202" s="904"/>
      <c r="Y202" s="905"/>
      <c r="Z202" s="906">
        <f>0</f>
        <v>0</v>
      </c>
      <c r="AA202" s="907"/>
      <c r="AB202" s="908"/>
      <c r="AC202" s="909">
        <f>AC201+AD201</f>
        <v>0</v>
      </c>
      <c r="AD202" s="910">
        <f t="shared" ref="AD202" si="198">ROUND(N202*960,0)</f>
        <v>0</v>
      </c>
      <c r="AE202" s="911">
        <f>AE201+AF201+AG201</f>
        <v>36480</v>
      </c>
      <c r="AF202" s="912"/>
      <c r="AG202" s="913"/>
      <c r="AH202" s="914">
        <f>AH201+AI201+AJ201</f>
        <v>0</v>
      </c>
      <c r="AI202" s="915"/>
      <c r="AJ202" s="916"/>
      <c r="AK202" s="917">
        <f>AK201+AL201</f>
        <v>0</v>
      </c>
      <c r="AL202" s="918">
        <f t="shared" ref="AL202" si="199">V202+AD202</f>
        <v>0</v>
      </c>
      <c r="AM202" s="911">
        <f>AM201+AN201+AO201</f>
        <v>87570</v>
      </c>
      <c r="AN202" s="912"/>
      <c r="AO202" s="913"/>
      <c r="AP202" s="919">
        <f>AP201+AQ201+AR201</f>
        <v>0</v>
      </c>
      <c r="AQ202" s="920"/>
      <c r="AR202" s="92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16384" ht="24.75" thickBot="1" x14ac:dyDescent="0.6">
      <c r="A203" s="119" t="s">
        <v>172</v>
      </c>
      <c r="B203" s="120">
        <v>136</v>
      </c>
      <c r="C203" s="121">
        <v>2999</v>
      </c>
      <c r="D203" s="46">
        <v>0</v>
      </c>
      <c r="E203" s="10">
        <v>3</v>
      </c>
      <c r="F203" s="10">
        <v>0</v>
      </c>
      <c r="G203" s="9">
        <f>0</f>
        <v>0</v>
      </c>
      <c r="H203" s="10">
        <v>15</v>
      </c>
      <c r="I203" s="11">
        <f>0</f>
        <v>0</v>
      </c>
      <c r="J203" s="9">
        <v>1.1000000000000001</v>
      </c>
      <c r="K203" s="10">
        <v>2</v>
      </c>
      <c r="L203" s="12">
        <v>1.7</v>
      </c>
      <c r="M203" s="13"/>
      <c r="N203" s="17"/>
      <c r="O203" s="15">
        <f>ROUND(C203*H203/1000,0)</f>
        <v>45</v>
      </c>
      <c r="P203" s="14">
        <f>ROUND(C203*H203/1000,0)</f>
        <v>45</v>
      </c>
      <c r="Q203" s="14">
        <f>ROUND(C203*H203/1000,0)</f>
        <v>45</v>
      </c>
      <c r="R203" s="14"/>
      <c r="S203" s="14"/>
      <c r="T203" s="18"/>
      <c r="U203" s="13"/>
      <c r="V203" s="17"/>
      <c r="W203" s="13">
        <f>ROUND(C203*K203,0)</f>
        <v>5998</v>
      </c>
      <c r="X203" s="14">
        <f>ROUND(C203*K203,0)</f>
        <v>5998</v>
      </c>
      <c r="Y203" s="14">
        <f>ROUND(C203*K203,0)</f>
        <v>5998</v>
      </c>
      <c r="Z203" s="13"/>
      <c r="AA203" s="13"/>
      <c r="AB203" s="71"/>
      <c r="AC203" s="17"/>
      <c r="AD203" s="17"/>
      <c r="AE203" s="13">
        <f>ROUND(O203*95,0)</f>
        <v>4275</v>
      </c>
      <c r="AF203" s="14">
        <f t="shared" ref="AF203" si="200">ROUND(P203*95,0)</f>
        <v>4275</v>
      </c>
      <c r="AG203" s="14">
        <f t="shared" ref="AG203" si="201">ROUND(Q203*95,0)</f>
        <v>4275</v>
      </c>
      <c r="AH203" s="13"/>
      <c r="AI203" s="13"/>
      <c r="AJ203" s="71"/>
      <c r="AK203" s="100"/>
      <c r="AL203" s="14"/>
      <c r="AM203" s="14">
        <f>W203+AE203</f>
        <v>10273</v>
      </c>
      <c r="AN203" s="14">
        <f t="shared" ref="AN203:AO203" si="202">X203+AF203</f>
        <v>10273</v>
      </c>
      <c r="AO203" s="14">
        <f t="shared" si="202"/>
        <v>10273</v>
      </c>
      <c r="AP203" s="14"/>
      <c r="AQ203" s="14"/>
      <c r="AR203" s="40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  <c r="BN203" s="56"/>
      <c r="BO203" s="56"/>
      <c r="BP203" s="56"/>
      <c r="BQ203" s="56"/>
      <c r="BR203" s="56"/>
      <c r="BS203" s="56"/>
      <c r="BT203" s="56"/>
      <c r="BU203" s="56"/>
      <c r="BV203" s="56"/>
      <c r="BW203" s="56"/>
      <c r="BX203" s="56"/>
      <c r="BY203" s="56"/>
      <c r="BZ203" s="56"/>
      <c r="CA203" s="56"/>
      <c r="CB203" s="56"/>
      <c r="CC203" s="56"/>
      <c r="CD203" s="56"/>
      <c r="CE203" s="56"/>
      <c r="CF203" s="56"/>
      <c r="CG203" s="56"/>
      <c r="CH203" s="56"/>
      <c r="CI203" s="56"/>
      <c r="CJ203" s="56"/>
      <c r="CK203" s="56"/>
      <c r="CL203" s="56"/>
      <c r="CM203" s="56"/>
      <c r="CN203" s="56"/>
      <c r="CO203" s="56"/>
      <c r="CP203" s="56"/>
      <c r="CQ203" s="56"/>
      <c r="CR203" s="56"/>
      <c r="CS203" s="56"/>
      <c r="CT203" s="56"/>
      <c r="CU203" s="56"/>
      <c r="CV203" s="56"/>
      <c r="CW203" s="56"/>
      <c r="CX203" s="56"/>
      <c r="CY203" s="56"/>
      <c r="CZ203" s="56"/>
      <c r="DA203" s="56"/>
      <c r="DB203" s="56"/>
      <c r="DC203" s="56"/>
      <c r="DD203" s="56"/>
      <c r="DE203" s="56"/>
      <c r="DF203" s="56"/>
      <c r="DG203" s="56"/>
      <c r="DH203" s="56"/>
      <c r="DI203" s="56"/>
      <c r="DJ203" s="56"/>
      <c r="DK203" s="56"/>
      <c r="DL203" s="56"/>
      <c r="DM203" s="56"/>
      <c r="DN203" s="56"/>
      <c r="DO203" s="56"/>
      <c r="DP203" s="56"/>
      <c r="DQ203" s="56"/>
      <c r="DR203" s="56"/>
      <c r="DS203" s="56"/>
      <c r="DT203" s="56"/>
      <c r="DU203" s="56"/>
      <c r="DV203" s="56"/>
      <c r="DW203" s="56"/>
      <c r="DX203" s="56"/>
      <c r="DY203" s="56"/>
      <c r="DZ203" s="56"/>
      <c r="EA203" s="56"/>
      <c r="EB203" s="56"/>
      <c r="EC203" s="56"/>
      <c r="ED203" s="56"/>
      <c r="EE203" s="56"/>
      <c r="EF203" s="56"/>
      <c r="EG203" s="56"/>
      <c r="EH203" s="56"/>
      <c r="EI203" s="56"/>
      <c r="EJ203" s="56"/>
      <c r="EK203" s="56"/>
    </row>
    <row r="204" spans="1:16384" ht="24.75" thickBot="1" x14ac:dyDescent="0.6">
      <c r="A204" s="883" t="s">
        <v>171</v>
      </c>
      <c r="B204" s="885">
        <f>B203</f>
        <v>136</v>
      </c>
      <c r="C204" s="885">
        <f>C203</f>
        <v>2999</v>
      </c>
      <c r="D204" s="887"/>
      <c r="E204" s="888"/>
      <c r="F204" s="888"/>
      <c r="G204" s="888"/>
      <c r="H204" s="888"/>
      <c r="I204" s="888"/>
      <c r="J204" s="888"/>
      <c r="K204" s="888"/>
      <c r="L204" s="889"/>
      <c r="M204" s="158">
        <f>SUM(M200:M202)</f>
        <v>0</v>
      </c>
      <c r="N204" s="158">
        <f>SUM(N200:N202)</f>
        <v>0</v>
      </c>
      <c r="O204" s="160">
        <f>SUM(O203)</f>
        <v>45</v>
      </c>
      <c r="P204" s="160">
        <f>SUM(P203)</f>
        <v>45</v>
      </c>
      <c r="Q204" s="160">
        <f t="shared" ref="Q204" si="203">SUM(Q203)</f>
        <v>45</v>
      </c>
      <c r="R204" s="161">
        <f>SUM(R200:R202)</f>
        <v>0</v>
      </c>
      <c r="S204" s="161">
        <f>SUM(S200:S202)</f>
        <v>0</v>
      </c>
      <c r="T204" s="163">
        <f>SUM(T200:T202)</f>
        <v>0</v>
      </c>
      <c r="U204" s="158">
        <f>SUM(U200:U202)</f>
        <v>0</v>
      </c>
      <c r="V204" s="188">
        <f>V201+V200+V199</f>
        <v>0</v>
      </c>
      <c r="W204" s="157">
        <f>SUM(W203)</f>
        <v>5998</v>
      </c>
      <c r="X204" s="157">
        <f t="shared" ref="X204" si="204">SUM(X201:X203)</f>
        <v>23028</v>
      </c>
      <c r="Y204" s="157">
        <f t="shared" ref="Y204" si="205">SUM(Y201:Y203)</f>
        <v>23028</v>
      </c>
      <c r="Z204" s="164" t="s">
        <v>164</v>
      </c>
      <c r="AA204" s="164"/>
      <c r="AB204" s="164"/>
      <c r="AC204" s="157">
        <f>SUM(AC200:AC202)</f>
        <v>0</v>
      </c>
      <c r="AD204" s="157">
        <f>SUM(AD200:AD202)</f>
        <v>0</v>
      </c>
      <c r="AE204" s="166">
        <f>SUM(AE203)</f>
        <v>4275</v>
      </c>
      <c r="AF204" s="166">
        <f t="shared" ref="AF204:AG204" si="206">SUM(AF203)</f>
        <v>4275</v>
      </c>
      <c r="AG204" s="166">
        <f t="shared" si="206"/>
        <v>4275</v>
      </c>
      <c r="AH204" s="175">
        <f>0</f>
        <v>0</v>
      </c>
      <c r="AI204" s="175">
        <f>0</f>
        <v>0</v>
      </c>
      <c r="AJ204" s="175">
        <f>0</f>
        <v>0</v>
      </c>
      <c r="AK204" s="165">
        <f>SUM(AK201:AK202)</f>
        <v>0</v>
      </c>
      <c r="AL204" s="165">
        <f>0</f>
        <v>0</v>
      </c>
      <c r="AM204" s="166">
        <f>AM203</f>
        <v>10273</v>
      </c>
      <c r="AN204" s="166">
        <f t="shared" ref="AN204:AO204" si="207">AN203</f>
        <v>10273</v>
      </c>
      <c r="AO204" s="166">
        <f t="shared" si="207"/>
        <v>10273</v>
      </c>
      <c r="AP204" s="175"/>
      <c r="AQ204" s="164"/>
      <c r="AR204" s="167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16384" ht="27" thickBot="1" x14ac:dyDescent="0.75">
      <c r="A205" s="884"/>
      <c r="B205" s="886"/>
      <c r="C205" s="886"/>
      <c r="D205" s="890"/>
      <c r="E205" s="891"/>
      <c r="F205" s="891"/>
      <c r="G205" s="891"/>
      <c r="H205" s="891"/>
      <c r="I205" s="891"/>
      <c r="J205" s="891"/>
      <c r="K205" s="891"/>
      <c r="L205" s="892"/>
      <c r="M205" s="893">
        <f>M204+N204</f>
        <v>0</v>
      </c>
      <c r="N205" s="894">
        <f>M204+N204</f>
        <v>0</v>
      </c>
      <c r="O205" s="895">
        <f>+O204+P204+Q204</f>
        <v>135</v>
      </c>
      <c r="P205" s="896"/>
      <c r="Q205" s="897"/>
      <c r="R205" s="898">
        <f>+R204+S204+T204</f>
        <v>0</v>
      </c>
      <c r="S205" s="899"/>
      <c r="T205" s="900"/>
      <c r="U205" s="901">
        <f>U204+V204</f>
        <v>0</v>
      </c>
      <c r="V205" s="902"/>
      <c r="W205" s="903">
        <f>W204+X204+Y204</f>
        <v>52054</v>
      </c>
      <c r="X205" s="904"/>
      <c r="Y205" s="905"/>
      <c r="Z205" s="906">
        <f>0</f>
        <v>0</v>
      </c>
      <c r="AA205" s="907"/>
      <c r="AB205" s="908"/>
      <c r="AC205" s="909">
        <f>AC204+AD204</f>
        <v>0</v>
      </c>
      <c r="AD205" s="910">
        <f t="shared" ref="AD205" si="208">ROUND(N205*960,0)</f>
        <v>0</v>
      </c>
      <c r="AE205" s="911">
        <f>AE204+AF204+AG204</f>
        <v>12825</v>
      </c>
      <c r="AF205" s="912"/>
      <c r="AG205" s="913"/>
      <c r="AH205" s="914">
        <f>AH204+AI204+AJ204</f>
        <v>0</v>
      </c>
      <c r="AI205" s="915"/>
      <c r="AJ205" s="916"/>
      <c r="AK205" s="917">
        <f>AK204+AL204</f>
        <v>0</v>
      </c>
      <c r="AL205" s="918">
        <f t="shared" ref="AL205" si="209">V205+AD205</f>
        <v>0</v>
      </c>
      <c r="AM205" s="911">
        <f>AM204+AN204+AO204</f>
        <v>30819</v>
      </c>
      <c r="AN205" s="912"/>
      <c r="AO205" s="913"/>
      <c r="AP205" s="919">
        <f>AP204+AQ204+AR204</f>
        <v>0</v>
      </c>
      <c r="AQ205" s="920"/>
      <c r="AR205" s="92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16384" ht="24.75" thickBot="1" x14ac:dyDescent="0.6">
      <c r="A206" s="141" t="s">
        <v>45</v>
      </c>
      <c r="B206" s="142">
        <v>90</v>
      </c>
      <c r="C206" s="143">
        <v>1970</v>
      </c>
      <c r="D206" s="144">
        <v>0</v>
      </c>
      <c r="E206" s="145">
        <v>3</v>
      </c>
      <c r="F206" s="145">
        <v>0</v>
      </c>
      <c r="G206" s="146">
        <f>0</f>
        <v>0</v>
      </c>
      <c r="H206" s="145">
        <v>15</v>
      </c>
      <c r="I206" s="147">
        <f>0</f>
        <v>0</v>
      </c>
      <c r="J206" s="146">
        <v>1.1000000000000001</v>
      </c>
      <c r="K206" s="145">
        <v>2</v>
      </c>
      <c r="L206" s="148">
        <v>1.7</v>
      </c>
      <c r="M206" s="146"/>
      <c r="N206" s="144"/>
      <c r="O206" s="15">
        <f>ROUND(C206*H206/1000,0)</f>
        <v>30</v>
      </c>
      <c r="P206" s="14">
        <f>ROUND(C206*H206/1000,0)</f>
        <v>30</v>
      </c>
      <c r="Q206" s="14">
        <f>ROUND(C206*H206/1000,0)</f>
        <v>30</v>
      </c>
      <c r="R206" s="14"/>
      <c r="S206" s="14"/>
      <c r="T206" s="149"/>
      <c r="U206" s="146"/>
      <c r="V206" s="144"/>
      <c r="W206" s="13">
        <f>ROUND(C206*K206,0)</f>
        <v>3940</v>
      </c>
      <c r="X206" s="145">
        <f>ROUND(C206*K206,0)</f>
        <v>3940</v>
      </c>
      <c r="Y206" s="145">
        <f>ROUND(C206*K206,0)</f>
        <v>3940</v>
      </c>
      <c r="Z206" s="13"/>
      <c r="AA206" s="13"/>
      <c r="AB206" s="71"/>
      <c r="AC206" s="144"/>
      <c r="AD206" s="144"/>
      <c r="AE206" s="13">
        <f>ROUND(O206*95,0)</f>
        <v>2850</v>
      </c>
      <c r="AF206" s="14">
        <f>ROUND(P206*95,0)</f>
        <v>2850</v>
      </c>
      <c r="AG206" s="14">
        <f t="shared" ref="AG206" si="210">ROUND(Q206*95,0)</f>
        <v>2850</v>
      </c>
      <c r="AH206" s="13"/>
      <c r="AI206" s="13"/>
      <c r="AJ206" s="71"/>
      <c r="AK206" s="172"/>
      <c r="AL206" s="14"/>
      <c r="AM206" s="14">
        <f>W206+AE206</f>
        <v>6790</v>
      </c>
      <c r="AN206" s="14">
        <f t="shared" ref="AN206" si="211">X206+AF206</f>
        <v>6790</v>
      </c>
      <c r="AO206" s="14">
        <f t="shared" ref="AO206" si="212">Y206+AG206</f>
        <v>6790</v>
      </c>
      <c r="AP206" s="14"/>
      <c r="AQ206" s="14"/>
      <c r="AR206" s="40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  <c r="BN206" s="56"/>
      <c r="BO206" s="56"/>
      <c r="BP206" s="56"/>
      <c r="BQ206" s="56"/>
      <c r="BR206" s="56"/>
      <c r="BS206" s="56"/>
      <c r="BT206" s="56"/>
      <c r="BU206" s="56"/>
      <c r="BV206" s="56"/>
      <c r="BW206" s="56"/>
      <c r="BX206" s="56"/>
      <c r="BY206" s="56"/>
      <c r="BZ206" s="56"/>
      <c r="CA206" s="56"/>
      <c r="CB206" s="56"/>
      <c r="CC206" s="56"/>
      <c r="CD206" s="56"/>
      <c r="CE206" s="56"/>
      <c r="CF206" s="56"/>
      <c r="CG206" s="56"/>
      <c r="CH206" s="56"/>
      <c r="CI206" s="56"/>
      <c r="CJ206" s="56"/>
      <c r="CK206" s="56"/>
      <c r="CL206" s="56"/>
      <c r="CM206" s="56"/>
      <c r="CN206" s="56"/>
      <c r="CO206" s="56"/>
      <c r="CP206" s="56"/>
      <c r="CQ206" s="56"/>
      <c r="CR206" s="56"/>
      <c r="CS206" s="56"/>
      <c r="CT206" s="56"/>
      <c r="CU206" s="56"/>
      <c r="CV206" s="56"/>
      <c r="CW206" s="56"/>
      <c r="CX206" s="56"/>
      <c r="CY206" s="56"/>
      <c r="CZ206" s="56"/>
      <c r="DA206" s="56"/>
      <c r="DB206" s="56"/>
      <c r="DC206" s="56"/>
      <c r="DD206" s="56"/>
      <c r="DE206" s="56"/>
      <c r="DF206" s="56"/>
      <c r="DG206" s="56"/>
      <c r="DH206" s="56"/>
      <c r="DI206" s="56"/>
      <c r="DJ206" s="56"/>
      <c r="DK206" s="56"/>
      <c r="DL206" s="56"/>
      <c r="DM206" s="56"/>
      <c r="DN206" s="56"/>
      <c r="DO206" s="56"/>
      <c r="DP206" s="56"/>
      <c r="DQ206" s="56"/>
      <c r="DR206" s="56"/>
      <c r="DS206" s="56"/>
      <c r="DT206" s="56"/>
      <c r="DU206" s="56"/>
      <c r="DV206" s="56"/>
      <c r="DW206" s="56"/>
      <c r="DX206" s="56"/>
      <c r="DY206" s="56"/>
      <c r="DZ206" s="56"/>
      <c r="EA206" s="56"/>
      <c r="EB206" s="56"/>
      <c r="EC206" s="56"/>
      <c r="ED206" s="56"/>
      <c r="EE206" s="56"/>
      <c r="EF206" s="56"/>
      <c r="EG206" s="56"/>
      <c r="EH206" s="56"/>
      <c r="EI206" s="56"/>
      <c r="EJ206" s="56"/>
      <c r="EK206" s="56"/>
    </row>
    <row r="207" spans="1:16384" ht="24.75" thickBot="1" x14ac:dyDescent="0.6">
      <c r="A207" s="883" t="s">
        <v>173</v>
      </c>
      <c r="B207" s="885">
        <f>B206</f>
        <v>90</v>
      </c>
      <c r="C207" s="885">
        <f>C206</f>
        <v>1970</v>
      </c>
      <c r="D207" s="887"/>
      <c r="E207" s="888"/>
      <c r="F207" s="888"/>
      <c r="G207" s="888"/>
      <c r="H207" s="888"/>
      <c r="I207" s="888"/>
      <c r="J207" s="888"/>
      <c r="K207" s="888"/>
      <c r="L207" s="889"/>
      <c r="M207" s="158">
        <f>SUM(M203:M205)</f>
        <v>0</v>
      </c>
      <c r="N207" s="158">
        <f>SUM(N203:N205)</f>
        <v>0</v>
      </c>
      <c r="O207" s="160">
        <f>SUM(O206)</f>
        <v>30</v>
      </c>
      <c r="P207" s="160">
        <f>SUM(P206)</f>
        <v>30</v>
      </c>
      <c r="Q207" s="160">
        <f t="shared" ref="Q207" si="213">SUM(Q206)</f>
        <v>30</v>
      </c>
      <c r="R207" s="161">
        <f>SUM(R203:R205)</f>
        <v>0</v>
      </c>
      <c r="S207" s="161">
        <f>SUM(S203:S205)</f>
        <v>0</v>
      </c>
      <c r="T207" s="163">
        <f>SUM(T203:T205)</f>
        <v>0</v>
      </c>
      <c r="U207" s="158">
        <f>SUM(U203:U205)</f>
        <v>0</v>
      </c>
      <c r="V207" s="188">
        <f>V204+V203+V202</f>
        <v>0</v>
      </c>
      <c r="W207" s="157">
        <f>SUM(W206)</f>
        <v>3940</v>
      </c>
      <c r="X207" s="157">
        <f t="shared" ref="X207" si="214">SUM(X204:X206)</f>
        <v>26968</v>
      </c>
      <c r="Y207" s="157">
        <f t="shared" ref="Y207" si="215">SUM(Y204:Y206)</f>
        <v>26968</v>
      </c>
      <c r="Z207" s="164" t="s">
        <v>164</v>
      </c>
      <c r="AA207" s="164"/>
      <c r="AB207" s="164"/>
      <c r="AC207" s="157">
        <f>SUM(AC203:AC205)</f>
        <v>0</v>
      </c>
      <c r="AD207" s="157">
        <f>SUM(AD203:AD205)</f>
        <v>0</v>
      </c>
      <c r="AE207" s="166">
        <f>SUM(AE206)</f>
        <v>2850</v>
      </c>
      <c r="AF207" s="166">
        <f t="shared" ref="AF207" si="216">SUM(AF206)</f>
        <v>2850</v>
      </c>
      <c r="AG207" s="166">
        <f t="shared" ref="AG207" si="217">SUM(AG206)</f>
        <v>2850</v>
      </c>
      <c r="AH207" s="175">
        <f>0</f>
        <v>0</v>
      </c>
      <c r="AI207" s="175">
        <f>0</f>
        <v>0</v>
      </c>
      <c r="AJ207" s="175">
        <f>0</f>
        <v>0</v>
      </c>
      <c r="AK207" s="165">
        <f>SUM(AK204:AK205)</f>
        <v>0</v>
      </c>
      <c r="AL207" s="165">
        <f>0</f>
        <v>0</v>
      </c>
      <c r="AM207" s="166">
        <f>AM206</f>
        <v>6790</v>
      </c>
      <c r="AN207" s="166">
        <f t="shared" ref="AN207" si="218">AN206</f>
        <v>6790</v>
      </c>
      <c r="AO207" s="166">
        <f t="shared" ref="AO207" si="219">AO206</f>
        <v>6790</v>
      </c>
      <c r="AP207" s="175"/>
      <c r="AQ207" s="164"/>
      <c r="AR207" s="167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16384" ht="27" thickBot="1" x14ac:dyDescent="0.75">
      <c r="A208" s="884"/>
      <c r="B208" s="886"/>
      <c r="C208" s="886"/>
      <c r="D208" s="890"/>
      <c r="E208" s="891"/>
      <c r="F208" s="891"/>
      <c r="G208" s="891"/>
      <c r="H208" s="891"/>
      <c r="I208" s="891"/>
      <c r="J208" s="891"/>
      <c r="K208" s="891"/>
      <c r="L208" s="892"/>
      <c r="M208" s="893">
        <f>M207+N207</f>
        <v>0</v>
      </c>
      <c r="N208" s="894">
        <f>M207+N207</f>
        <v>0</v>
      </c>
      <c r="O208" s="895">
        <f>+O207+P207+Q207</f>
        <v>90</v>
      </c>
      <c r="P208" s="896"/>
      <c r="Q208" s="897"/>
      <c r="R208" s="898">
        <f>+R207+S207+T207</f>
        <v>0</v>
      </c>
      <c r="S208" s="899"/>
      <c r="T208" s="900"/>
      <c r="U208" s="901">
        <f>U207+V207</f>
        <v>0</v>
      </c>
      <c r="V208" s="902"/>
      <c r="W208" s="903">
        <f>W207+X207+Y207</f>
        <v>57876</v>
      </c>
      <c r="X208" s="904"/>
      <c r="Y208" s="905"/>
      <c r="Z208" s="906">
        <f>0</f>
        <v>0</v>
      </c>
      <c r="AA208" s="907"/>
      <c r="AB208" s="908"/>
      <c r="AC208" s="909">
        <f>AC207+AD207</f>
        <v>0</v>
      </c>
      <c r="AD208" s="910">
        <f t="shared" ref="AD208" si="220">ROUND(N208*960,0)</f>
        <v>0</v>
      </c>
      <c r="AE208" s="911">
        <f>AE207+AF207+AG207</f>
        <v>8550</v>
      </c>
      <c r="AF208" s="912"/>
      <c r="AG208" s="913"/>
      <c r="AH208" s="914">
        <f>AH207+AI207+AJ207</f>
        <v>0</v>
      </c>
      <c r="AI208" s="915"/>
      <c r="AJ208" s="916"/>
      <c r="AK208" s="917">
        <f>AK207+AL207</f>
        <v>0</v>
      </c>
      <c r="AL208" s="918">
        <f t="shared" ref="AL208" si="221">V208+AD208</f>
        <v>0</v>
      </c>
      <c r="AM208" s="911">
        <f>AM207+AN207+AO207</f>
        <v>20370</v>
      </c>
      <c r="AN208" s="912"/>
      <c r="AO208" s="913"/>
      <c r="AP208" s="919">
        <f>AP207+AQ207+AR207</f>
        <v>0</v>
      </c>
      <c r="AQ208" s="920"/>
      <c r="AR208" s="92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16384" s="180" customFormat="1" ht="39.950000000000003" customHeight="1" thickBot="1" x14ac:dyDescent="0.6">
      <c r="A209" s="922" t="s">
        <v>185</v>
      </c>
      <c r="B209" s="923"/>
      <c r="C209" s="923"/>
      <c r="D209" s="923"/>
      <c r="E209" s="923"/>
      <c r="F209" s="923"/>
      <c r="G209" s="923"/>
      <c r="H209" s="923"/>
      <c r="I209" s="923"/>
      <c r="J209" s="923"/>
      <c r="K209" s="923"/>
      <c r="L209" s="923"/>
      <c r="M209" s="923"/>
      <c r="N209" s="923"/>
      <c r="O209" s="923"/>
      <c r="P209" s="923"/>
      <c r="Q209" s="923"/>
      <c r="R209" s="923"/>
      <c r="S209" s="923"/>
      <c r="T209" s="923"/>
      <c r="U209" s="923"/>
      <c r="V209" s="923"/>
      <c r="W209" s="923"/>
      <c r="X209" s="923"/>
      <c r="Y209" s="923"/>
      <c r="Z209" s="923"/>
      <c r="AA209" s="923"/>
      <c r="AB209" s="923"/>
      <c r="AC209" s="923"/>
      <c r="AD209" s="923"/>
      <c r="AE209" s="923"/>
      <c r="AF209" s="923"/>
      <c r="AG209" s="923"/>
      <c r="AH209" s="923"/>
      <c r="AI209" s="923"/>
      <c r="AJ209" s="923"/>
      <c r="AK209" s="923"/>
      <c r="AL209" s="923"/>
      <c r="AM209" s="923"/>
      <c r="AN209" s="923"/>
      <c r="AO209" s="923"/>
      <c r="AP209" s="923"/>
      <c r="AQ209" s="923"/>
      <c r="AR209" s="924"/>
      <c r="AS209" s="176"/>
      <c r="AT209" s="176"/>
      <c r="AU209" s="176"/>
      <c r="AV209" s="176"/>
      <c r="AW209" s="176"/>
      <c r="AX209" s="176"/>
      <c r="AY209" s="176"/>
      <c r="AZ209" s="176"/>
      <c r="BA209" s="176"/>
      <c r="BB209" s="176"/>
      <c r="BC209" s="176"/>
      <c r="BD209" s="176"/>
      <c r="BE209" s="176"/>
      <c r="BF209" s="176"/>
      <c r="BG209" s="176"/>
      <c r="BH209" s="176"/>
      <c r="BI209" s="176"/>
      <c r="BJ209" s="176"/>
      <c r="BK209" s="176"/>
      <c r="BL209" s="176"/>
      <c r="BM209" s="176"/>
      <c r="BN209" s="176"/>
      <c r="BO209" s="176"/>
      <c r="BP209" s="176"/>
      <c r="BQ209" s="176"/>
      <c r="BR209" s="176"/>
      <c r="BS209" s="176"/>
      <c r="BT209" s="176"/>
      <c r="BU209" s="176"/>
      <c r="BV209" s="176"/>
      <c r="BW209" s="176"/>
      <c r="BX209" s="176"/>
      <c r="BY209" s="176"/>
      <c r="BZ209" s="176"/>
      <c r="CA209" s="176"/>
      <c r="CB209" s="176"/>
      <c r="CC209" s="176"/>
      <c r="CD209" s="176"/>
      <c r="CE209" s="176"/>
      <c r="CF209" s="176"/>
      <c r="CG209" s="176"/>
      <c r="CH209" s="176"/>
      <c r="CI209" s="176"/>
      <c r="CJ209" s="176"/>
      <c r="CK209" s="176"/>
      <c r="CL209" s="176"/>
      <c r="CM209" s="176"/>
      <c r="CN209" s="176"/>
      <c r="CO209" s="176"/>
      <c r="CP209" s="176"/>
      <c r="CQ209" s="176"/>
      <c r="CR209" s="176"/>
      <c r="CS209" s="176"/>
      <c r="CT209" s="176"/>
      <c r="CU209" s="176"/>
      <c r="CV209" s="176"/>
      <c r="CW209" s="176"/>
      <c r="CX209" s="176"/>
      <c r="CY209" s="176"/>
      <c r="CZ209" s="176"/>
      <c r="DA209" s="176"/>
      <c r="DB209" s="176"/>
      <c r="DC209" s="176"/>
      <c r="DD209" s="176"/>
      <c r="DE209" s="176"/>
      <c r="DF209" s="176"/>
      <c r="DG209" s="176"/>
      <c r="DH209" s="176"/>
      <c r="DI209" s="176"/>
      <c r="DJ209" s="176"/>
      <c r="DK209" s="176"/>
      <c r="DL209" s="176"/>
      <c r="DM209" s="176"/>
      <c r="DN209" s="176"/>
      <c r="DO209" s="176"/>
      <c r="DP209" s="176"/>
      <c r="DQ209" s="176"/>
      <c r="DR209" s="176"/>
      <c r="DS209" s="176"/>
      <c r="DT209" s="176"/>
      <c r="DU209" s="176"/>
      <c r="DV209" s="176"/>
      <c r="DW209" s="176"/>
      <c r="DX209" s="176"/>
      <c r="DY209" s="176"/>
      <c r="DZ209" s="176"/>
      <c r="EA209" s="176"/>
      <c r="EB209" s="176"/>
      <c r="EC209" s="176"/>
      <c r="ED209" s="176"/>
      <c r="EE209" s="176"/>
      <c r="EF209" s="176"/>
      <c r="EG209" s="176"/>
      <c r="EH209" s="176"/>
      <c r="EI209" s="176"/>
      <c r="EJ209" s="176"/>
      <c r="EK209" s="176"/>
    </row>
    <row r="210" spans="1:16384" s="215" customFormat="1" ht="39.950000000000003" customHeight="1" thickBot="1" x14ac:dyDescent="0.6">
      <c r="A210" s="925" t="s">
        <v>186</v>
      </c>
      <c r="B210" s="926"/>
      <c r="C210" s="926"/>
      <c r="D210" s="926"/>
      <c r="E210" s="926"/>
      <c r="F210" s="926"/>
      <c r="G210" s="926"/>
      <c r="H210" s="926"/>
      <c r="I210" s="926"/>
      <c r="J210" s="926"/>
      <c r="K210" s="926"/>
      <c r="L210" s="926"/>
      <c r="M210" s="926"/>
      <c r="N210" s="926"/>
      <c r="O210" s="926"/>
      <c r="P210" s="926"/>
      <c r="Q210" s="926"/>
      <c r="R210" s="926"/>
      <c r="S210" s="926"/>
      <c r="T210" s="926"/>
      <c r="U210" s="926"/>
      <c r="V210" s="926"/>
      <c r="W210" s="926"/>
      <c r="X210" s="926"/>
      <c r="Y210" s="926"/>
      <c r="Z210" s="926"/>
      <c r="AA210" s="926"/>
      <c r="AB210" s="926"/>
      <c r="AC210" s="926"/>
      <c r="AD210" s="926"/>
      <c r="AE210" s="926"/>
      <c r="AF210" s="926"/>
      <c r="AG210" s="926"/>
      <c r="AH210" s="926"/>
      <c r="AI210" s="926"/>
      <c r="AJ210" s="926"/>
      <c r="AK210" s="926"/>
      <c r="AL210" s="926"/>
      <c r="AM210" s="926"/>
      <c r="AN210" s="926"/>
      <c r="AO210" s="926"/>
      <c r="AP210" s="926"/>
      <c r="AQ210" s="926"/>
      <c r="AR210" s="927"/>
      <c r="AS210" s="211"/>
      <c r="AT210" s="212"/>
      <c r="AU210" s="212"/>
      <c r="AV210" s="212"/>
      <c r="AW210" s="212"/>
      <c r="AX210" s="212"/>
      <c r="AY210" s="212"/>
      <c r="AZ210" s="212"/>
      <c r="BA210" s="212"/>
      <c r="BB210" s="212"/>
      <c r="BC210" s="212"/>
      <c r="BD210" s="212"/>
      <c r="BE210" s="212"/>
      <c r="BF210" s="212"/>
      <c r="BG210" s="212"/>
      <c r="BH210" s="212"/>
      <c r="BI210" s="212"/>
      <c r="BJ210" s="212"/>
      <c r="BK210" s="212"/>
      <c r="BL210" s="212"/>
      <c r="BM210" s="212"/>
      <c r="BN210" s="212"/>
      <c r="BO210" s="212"/>
      <c r="BP210" s="212"/>
      <c r="BQ210" s="212"/>
      <c r="BR210" s="212"/>
      <c r="BS210" s="212"/>
      <c r="BT210" s="212"/>
      <c r="BU210" s="212"/>
      <c r="BV210" s="212"/>
      <c r="BW210" s="212"/>
      <c r="BX210" s="212"/>
      <c r="BY210" s="212"/>
      <c r="BZ210" s="212"/>
      <c r="CA210" s="212"/>
      <c r="CB210" s="212"/>
      <c r="CC210" s="212"/>
      <c r="CD210" s="212"/>
      <c r="CE210" s="212"/>
      <c r="CF210" s="212"/>
      <c r="CG210" s="212"/>
      <c r="CH210" s="212"/>
      <c r="CI210" s="212"/>
      <c r="CJ210" s="214"/>
      <c r="CK210" s="211"/>
      <c r="CL210" s="212"/>
      <c r="CM210" s="212"/>
      <c r="CN210" s="212"/>
      <c r="CO210" s="212"/>
      <c r="CP210" s="212"/>
      <c r="CQ210" s="212"/>
      <c r="CR210" s="212"/>
      <c r="CS210" s="212"/>
      <c r="CT210" s="212"/>
      <c r="CU210" s="212"/>
      <c r="CV210" s="212"/>
      <c r="CW210" s="212"/>
      <c r="CX210" s="212"/>
      <c r="CY210" s="212"/>
      <c r="CZ210" s="212"/>
      <c r="DA210" s="212"/>
      <c r="DB210" s="212"/>
      <c r="DC210" s="212"/>
      <c r="DD210" s="212"/>
      <c r="DE210" s="212"/>
      <c r="DF210" s="212"/>
      <c r="DG210" s="212"/>
      <c r="DH210" s="212"/>
      <c r="DI210" s="212"/>
      <c r="DJ210" s="212"/>
      <c r="DK210" s="212"/>
      <c r="DL210" s="212"/>
      <c r="DM210" s="212"/>
      <c r="DN210" s="212"/>
      <c r="DO210" s="212"/>
      <c r="DP210" s="212"/>
      <c r="DQ210" s="212"/>
      <c r="DR210" s="212"/>
      <c r="DS210" s="212"/>
      <c r="DT210" s="212"/>
      <c r="DU210" s="212"/>
      <c r="DV210" s="212"/>
      <c r="DW210" s="212"/>
      <c r="DX210" s="212"/>
      <c r="DY210" s="212"/>
      <c r="DZ210" s="212"/>
      <c r="EA210" s="212"/>
      <c r="EB210" s="214"/>
      <c r="EC210" s="211"/>
      <c r="ED210" s="212"/>
      <c r="EE210" s="212"/>
      <c r="EF210" s="212"/>
      <c r="EG210" s="212"/>
      <c r="EH210" s="212"/>
      <c r="EI210" s="212"/>
      <c r="EJ210" s="212"/>
      <c r="EK210" s="212"/>
      <c r="EL210" s="212"/>
      <c r="EM210" s="212"/>
      <c r="EN210" s="212"/>
      <c r="EO210" s="212"/>
      <c r="EP210" s="212"/>
      <c r="EQ210" s="212"/>
      <c r="ER210" s="212"/>
      <c r="ES210" s="212"/>
      <c r="ET210" s="212"/>
      <c r="EU210" s="212"/>
      <c r="EV210" s="212"/>
      <c r="EW210" s="212"/>
      <c r="EX210" s="212"/>
      <c r="EY210" s="212"/>
      <c r="EZ210" s="212"/>
      <c r="FA210" s="212"/>
      <c r="FB210" s="212"/>
      <c r="FC210" s="212"/>
      <c r="FD210" s="212"/>
      <c r="FE210" s="212"/>
      <c r="FF210" s="212"/>
      <c r="FG210" s="212"/>
      <c r="FH210" s="212"/>
      <c r="FI210" s="212"/>
      <c r="FJ210" s="212"/>
      <c r="FK210" s="212"/>
      <c r="FL210" s="212"/>
      <c r="FM210" s="212"/>
      <c r="FN210" s="212"/>
      <c r="FO210" s="212"/>
      <c r="FP210" s="212"/>
      <c r="FQ210" s="212"/>
      <c r="FR210" s="212"/>
      <c r="FS210" s="212"/>
      <c r="FT210" s="214"/>
      <c r="FU210" s="211"/>
      <c r="FV210" s="212"/>
      <c r="FW210" s="212"/>
      <c r="FX210" s="212"/>
      <c r="FY210" s="212"/>
      <c r="FZ210" s="212"/>
      <c r="GA210" s="212"/>
      <c r="GB210" s="212"/>
      <c r="GC210" s="212"/>
      <c r="GD210" s="212"/>
      <c r="GE210" s="212"/>
      <c r="GF210" s="212"/>
      <c r="GG210" s="212"/>
      <c r="GH210" s="212"/>
      <c r="GI210" s="212"/>
      <c r="GJ210" s="212"/>
      <c r="GK210" s="212"/>
      <c r="GL210" s="212"/>
      <c r="GM210" s="212"/>
      <c r="GN210" s="212"/>
      <c r="GO210" s="212"/>
      <c r="GP210" s="212"/>
      <c r="GQ210" s="212"/>
      <c r="GR210" s="212"/>
      <c r="GS210" s="212"/>
      <c r="GT210" s="212"/>
      <c r="GU210" s="212"/>
      <c r="GV210" s="212"/>
      <c r="GW210" s="212"/>
      <c r="GX210" s="212"/>
      <c r="GY210" s="212"/>
      <c r="GZ210" s="212"/>
      <c r="HA210" s="212"/>
      <c r="HB210" s="212"/>
      <c r="HC210" s="212"/>
      <c r="HD210" s="212"/>
      <c r="HE210" s="212"/>
      <c r="HF210" s="212"/>
      <c r="HG210" s="212"/>
      <c r="HH210" s="212"/>
      <c r="HI210" s="212"/>
      <c r="HJ210" s="212"/>
      <c r="HK210" s="212"/>
      <c r="HL210" s="214"/>
      <c r="HM210" s="211"/>
      <c r="HN210" s="212"/>
      <c r="HO210" s="212"/>
      <c r="HP210" s="212"/>
      <c r="HQ210" s="212"/>
      <c r="HR210" s="212"/>
      <c r="HS210" s="212"/>
      <c r="HT210" s="212"/>
      <c r="HU210" s="212"/>
      <c r="HV210" s="212"/>
      <c r="HW210" s="212"/>
      <c r="HX210" s="212"/>
      <c r="HY210" s="212"/>
      <c r="HZ210" s="212"/>
      <c r="IA210" s="212"/>
      <c r="IB210" s="212"/>
      <c r="IC210" s="212"/>
      <c r="ID210" s="212"/>
      <c r="IE210" s="212"/>
      <c r="IF210" s="212"/>
      <c r="IG210" s="212"/>
      <c r="IH210" s="212"/>
      <c r="II210" s="212"/>
      <c r="IJ210" s="212"/>
      <c r="IK210" s="212"/>
      <c r="IL210" s="212"/>
      <c r="IM210" s="212"/>
      <c r="IN210" s="212"/>
      <c r="IO210" s="212"/>
      <c r="IP210" s="212"/>
      <c r="IQ210" s="212"/>
      <c r="IR210" s="212"/>
      <c r="IS210" s="212"/>
      <c r="IT210" s="212"/>
      <c r="IU210" s="212"/>
      <c r="IV210" s="212"/>
      <c r="IW210" s="212"/>
      <c r="IX210" s="212"/>
      <c r="IY210" s="212"/>
      <c r="IZ210" s="212"/>
      <c r="JA210" s="212"/>
      <c r="JB210" s="212"/>
      <c r="JC210" s="212"/>
      <c r="JD210" s="214"/>
      <c r="JE210" s="211"/>
      <c r="JF210" s="212"/>
      <c r="JG210" s="212"/>
      <c r="JH210" s="212"/>
      <c r="JI210" s="212"/>
      <c r="JJ210" s="212"/>
      <c r="JK210" s="212"/>
      <c r="JL210" s="212"/>
      <c r="JM210" s="212"/>
      <c r="JN210" s="212"/>
      <c r="JO210" s="212"/>
      <c r="JP210" s="212"/>
      <c r="JQ210" s="212"/>
      <c r="JR210" s="212"/>
      <c r="JS210" s="212"/>
      <c r="JT210" s="212"/>
      <c r="JU210" s="212"/>
      <c r="JV210" s="212"/>
      <c r="JW210" s="212"/>
      <c r="JX210" s="212"/>
      <c r="JY210" s="212"/>
      <c r="JZ210" s="212"/>
      <c r="KA210" s="212"/>
      <c r="KB210" s="212"/>
      <c r="KC210" s="212"/>
      <c r="KD210" s="212"/>
      <c r="KE210" s="212"/>
      <c r="KF210" s="212"/>
      <c r="KG210" s="212"/>
      <c r="KH210" s="212"/>
      <c r="KI210" s="212"/>
      <c r="KJ210" s="212"/>
      <c r="KK210" s="212"/>
      <c r="KL210" s="212"/>
      <c r="KM210" s="212"/>
      <c r="KN210" s="212"/>
      <c r="KO210" s="212"/>
      <c r="KP210" s="212"/>
      <c r="KQ210" s="212"/>
      <c r="KR210" s="212"/>
      <c r="KS210" s="212"/>
      <c r="KT210" s="212"/>
      <c r="KU210" s="212"/>
      <c r="KV210" s="214"/>
      <c r="KW210" s="211"/>
      <c r="KX210" s="212"/>
      <c r="KY210" s="212"/>
      <c r="KZ210" s="212"/>
      <c r="LA210" s="212"/>
      <c r="LB210" s="212"/>
      <c r="LC210" s="212"/>
      <c r="LD210" s="212"/>
      <c r="LE210" s="212"/>
      <c r="LF210" s="212"/>
      <c r="LG210" s="212"/>
      <c r="LH210" s="212"/>
      <c r="LI210" s="212"/>
      <c r="LJ210" s="212"/>
      <c r="LK210" s="212"/>
      <c r="LL210" s="212"/>
      <c r="LM210" s="212"/>
      <c r="LN210" s="212"/>
      <c r="LO210" s="212"/>
      <c r="LP210" s="212"/>
      <c r="LQ210" s="212"/>
      <c r="LR210" s="212"/>
      <c r="LS210" s="212"/>
      <c r="LT210" s="212"/>
      <c r="LU210" s="212"/>
      <c r="LV210" s="212"/>
      <c r="LW210" s="212"/>
      <c r="LX210" s="212"/>
      <c r="LY210" s="212"/>
      <c r="LZ210" s="212"/>
      <c r="MA210" s="212"/>
      <c r="MB210" s="212"/>
      <c r="MC210" s="212"/>
      <c r="MD210" s="212"/>
      <c r="ME210" s="212"/>
      <c r="MF210" s="212"/>
      <c r="MG210" s="212"/>
      <c r="MH210" s="212"/>
      <c r="MI210" s="212"/>
      <c r="MJ210" s="212"/>
      <c r="MK210" s="212"/>
      <c r="ML210" s="212"/>
      <c r="MM210" s="212"/>
      <c r="MN210" s="214"/>
      <c r="MO210" s="211"/>
      <c r="MP210" s="212"/>
      <c r="MQ210" s="212"/>
      <c r="MR210" s="212"/>
      <c r="MS210" s="212"/>
      <c r="MT210" s="212"/>
      <c r="MU210" s="212"/>
      <c r="MV210" s="212"/>
      <c r="MW210" s="212"/>
      <c r="MX210" s="212"/>
      <c r="MY210" s="212"/>
      <c r="MZ210" s="212"/>
      <c r="NA210" s="212"/>
      <c r="NB210" s="212"/>
      <c r="NC210" s="212"/>
      <c r="ND210" s="212"/>
      <c r="NE210" s="212"/>
      <c r="NF210" s="212"/>
      <c r="NG210" s="212"/>
      <c r="NH210" s="212"/>
      <c r="NI210" s="212"/>
      <c r="NJ210" s="212"/>
      <c r="NK210" s="212"/>
      <c r="NL210" s="212"/>
      <c r="NM210" s="212"/>
      <c r="NN210" s="212"/>
      <c r="NO210" s="212"/>
      <c r="NP210" s="212"/>
      <c r="NQ210" s="212"/>
      <c r="NR210" s="212"/>
      <c r="NS210" s="212"/>
      <c r="NT210" s="212"/>
      <c r="NU210" s="212"/>
      <c r="NV210" s="212"/>
      <c r="NW210" s="212"/>
      <c r="NX210" s="212"/>
      <c r="NY210" s="212"/>
      <c r="NZ210" s="212"/>
      <c r="OA210" s="212"/>
      <c r="OB210" s="212"/>
      <c r="OC210" s="212"/>
      <c r="OD210" s="212"/>
      <c r="OE210" s="212"/>
      <c r="OF210" s="214"/>
      <c r="OG210" s="211"/>
      <c r="OH210" s="212"/>
      <c r="OI210" s="212"/>
      <c r="OJ210" s="212"/>
      <c r="OK210" s="212"/>
      <c r="OL210" s="212"/>
      <c r="OM210" s="212"/>
      <c r="ON210" s="212"/>
      <c r="OO210" s="212"/>
      <c r="OP210" s="212"/>
      <c r="OQ210" s="212"/>
      <c r="OR210" s="212"/>
      <c r="OS210" s="212"/>
      <c r="OT210" s="212"/>
      <c r="OU210" s="212"/>
      <c r="OV210" s="212"/>
      <c r="OW210" s="212"/>
      <c r="OX210" s="212"/>
      <c r="OY210" s="212"/>
      <c r="OZ210" s="212"/>
      <c r="PA210" s="212"/>
      <c r="PB210" s="212"/>
      <c r="PC210" s="212"/>
      <c r="PD210" s="212"/>
      <c r="PE210" s="212"/>
      <c r="PF210" s="212"/>
      <c r="PG210" s="212"/>
      <c r="PH210" s="212"/>
      <c r="PI210" s="212"/>
      <c r="PJ210" s="212"/>
      <c r="PK210" s="212"/>
      <c r="PL210" s="212"/>
      <c r="PM210" s="212"/>
      <c r="PN210" s="212"/>
      <c r="PO210" s="212"/>
      <c r="PP210" s="212"/>
      <c r="PQ210" s="212"/>
      <c r="PR210" s="212"/>
      <c r="PS210" s="212"/>
      <c r="PT210" s="212"/>
      <c r="PU210" s="212"/>
      <c r="PV210" s="212"/>
      <c r="PW210" s="212"/>
      <c r="PX210" s="214"/>
      <c r="PY210" s="211"/>
      <c r="PZ210" s="212"/>
      <c r="QA210" s="212"/>
      <c r="QB210" s="212"/>
      <c r="QC210" s="212"/>
      <c r="QD210" s="212"/>
      <c r="QE210" s="212"/>
      <c r="QF210" s="212"/>
      <c r="QG210" s="212"/>
      <c r="QH210" s="212"/>
      <c r="QI210" s="212"/>
      <c r="QJ210" s="212"/>
      <c r="QK210" s="212"/>
      <c r="QL210" s="212"/>
      <c r="QM210" s="212"/>
      <c r="QN210" s="212"/>
      <c r="QO210" s="212"/>
      <c r="QP210" s="212"/>
      <c r="QQ210" s="212"/>
      <c r="QR210" s="212"/>
      <c r="QS210" s="212"/>
      <c r="QT210" s="212"/>
      <c r="QU210" s="212"/>
      <c r="QV210" s="212"/>
      <c r="QW210" s="212"/>
      <c r="QX210" s="212"/>
      <c r="QY210" s="212"/>
      <c r="QZ210" s="212"/>
      <c r="RA210" s="212"/>
      <c r="RB210" s="212"/>
      <c r="RC210" s="212"/>
      <c r="RD210" s="212"/>
      <c r="RE210" s="212"/>
      <c r="RF210" s="212"/>
      <c r="RG210" s="212"/>
      <c r="RH210" s="212"/>
      <c r="RI210" s="212"/>
      <c r="RJ210" s="212"/>
      <c r="RK210" s="212"/>
      <c r="RL210" s="212"/>
      <c r="RM210" s="212"/>
      <c r="RN210" s="212"/>
      <c r="RO210" s="212"/>
      <c r="RP210" s="214"/>
      <c r="RQ210" s="211"/>
      <c r="RR210" s="212"/>
      <c r="RS210" s="212"/>
      <c r="RT210" s="212"/>
      <c r="RU210" s="212"/>
      <c r="RV210" s="212"/>
      <c r="RW210" s="212"/>
      <c r="RX210" s="212"/>
      <c r="RY210" s="212"/>
      <c r="RZ210" s="212"/>
      <c r="SA210" s="212"/>
      <c r="SB210" s="212"/>
      <c r="SC210" s="212"/>
      <c r="SD210" s="212"/>
      <c r="SE210" s="212"/>
      <c r="SF210" s="212"/>
      <c r="SG210" s="212"/>
      <c r="SH210" s="212"/>
      <c r="SI210" s="212"/>
      <c r="SJ210" s="212"/>
      <c r="SK210" s="212"/>
      <c r="SL210" s="212"/>
      <c r="SM210" s="212"/>
      <c r="SN210" s="212"/>
      <c r="SO210" s="212"/>
      <c r="SP210" s="212"/>
      <c r="SQ210" s="212"/>
      <c r="SR210" s="212"/>
      <c r="SS210" s="212"/>
      <c r="ST210" s="212"/>
      <c r="SU210" s="212"/>
      <c r="SV210" s="212"/>
      <c r="SW210" s="212"/>
      <c r="SX210" s="212"/>
      <c r="SY210" s="212"/>
      <c r="SZ210" s="212"/>
      <c r="TA210" s="212"/>
      <c r="TB210" s="212"/>
      <c r="TC210" s="212"/>
      <c r="TD210" s="212"/>
      <c r="TE210" s="212"/>
      <c r="TF210" s="212"/>
      <c r="TG210" s="212"/>
      <c r="TH210" s="214"/>
      <c r="TI210" s="211"/>
      <c r="TJ210" s="212"/>
      <c r="TK210" s="212"/>
      <c r="TL210" s="212"/>
      <c r="TM210" s="212"/>
      <c r="TN210" s="212"/>
      <c r="TO210" s="212"/>
      <c r="TP210" s="212"/>
      <c r="TQ210" s="212"/>
      <c r="TR210" s="212"/>
      <c r="TS210" s="212"/>
      <c r="TT210" s="212"/>
      <c r="TU210" s="212"/>
      <c r="TV210" s="212"/>
      <c r="TW210" s="212"/>
      <c r="TX210" s="212"/>
      <c r="TY210" s="212"/>
      <c r="TZ210" s="212"/>
      <c r="UA210" s="212"/>
      <c r="UB210" s="212"/>
      <c r="UC210" s="212"/>
      <c r="UD210" s="212"/>
      <c r="UE210" s="212"/>
      <c r="UF210" s="212"/>
      <c r="UG210" s="212"/>
      <c r="UH210" s="212"/>
      <c r="UI210" s="212"/>
      <c r="UJ210" s="212"/>
      <c r="UK210" s="212"/>
      <c r="UL210" s="212"/>
      <c r="UM210" s="212"/>
      <c r="UN210" s="212"/>
      <c r="UO210" s="212"/>
      <c r="UP210" s="212"/>
      <c r="UQ210" s="212"/>
      <c r="UR210" s="212"/>
      <c r="US210" s="212"/>
      <c r="UT210" s="212"/>
      <c r="UU210" s="212"/>
      <c r="UV210" s="212"/>
      <c r="UW210" s="212"/>
      <c r="UX210" s="212"/>
      <c r="UY210" s="212"/>
      <c r="UZ210" s="214"/>
      <c r="VA210" s="211"/>
      <c r="VB210" s="212"/>
      <c r="VC210" s="212"/>
      <c r="VD210" s="212"/>
      <c r="VE210" s="212"/>
      <c r="VF210" s="212"/>
      <c r="VG210" s="212"/>
      <c r="VH210" s="212"/>
      <c r="VI210" s="212"/>
      <c r="VJ210" s="212"/>
      <c r="VK210" s="212"/>
      <c r="VL210" s="212"/>
      <c r="VM210" s="212"/>
      <c r="VN210" s="212"/>
      <c r="VO210" s="212"/>
      <c r="VP210" s="212"/>
      <c r="VQ210" s="212"/>
      <c r="VR210" s="212"/>
      <c r="VS210" s="212"/>
      <c r="VT210" s="212"/>
      <c r="VU210" s="212"/>
      <c r="VV210" s="212"/>
      <c r="VW210" s="212"/>
      <c r="VX210" s="212"/>
      <c r="VY210" s="212"/>
      <c r="VZ210" s="212"/>
      <c r="WA210" s="212"/>
      <c r="WB210" s="212"/>
      <c r="WC210" s="212"/>
      <c r="WD210" s="212"/>
      <c r="WE210" s="212"/>
      <c r="WF210" s="212"/>
      <c r="WG210" s="212"/>
      <c r="WH210" s="212"/>
      <c r="WI210" s="212"/>
      <c r="WJ210" s="212"/>
      <c r="WK210" s="212"/>
      <c r="WL210" s="212"/>
      <c r="WM210" s="212"/>
      <c r="WN210" s="212"/>
      <c r="WO210" s="212"/>
      <c r="WP210" s="212"/>
      <c r="WQ210" s="212"/>
      <c r="WR210" s="214"/>
      <c r="WS210" s="211"/>
      <c r="WT210" s="212"/>
      <c r="WU210" s="212"/>
      <c r="WV210" s="212"/>
      <c r="WW210" s="212"/>
      <c r="WX210" s="212"/>
      <c r="WY210" s="212"/>
      <c r="WZ210" s="212"/>
      <c r="XA210" s="212"/>
      <c r="XB210" s="212"/>
      <c r="XC210" s="212"/>
      <c r="XD210" s="212"/>
      <c r="XE210" s="212"/>
      <c r="XF210" s="212"/>
      <c r="XG210" s="212"/>
      <c r="XH210" s="212"/>
      <c r="XI210" s="212"/>
      <c r="XJ210" s="212"/>
      <c r="XK210" s="212"/>
      <c r="XL210" s="212"/>
      <c r="XM210" s="212"/>
      <c r="XN210" s="212"/>
      <c r="XO210" s="212"/>
      <c r="XP210" s="212"/>
      <c r="XQ210" s="212"/>
      <c r="XR210" s="212"/>
      <c r="XS210" s="212"/>
      <c r="XT210" s="212"/>
      <c r="XU210" s="212"/>
      <c r="XV210" s="212"/>
      <c r="XW210" s="212"/>
      <c r="XX210" s="212"/>
      <c r="XY210" s="212"/>
      <c r="XZ210" s="212"/>
      <c r="YA210" s="212"/>
      <c r="YB210" s="212"/>
      <c r="YC210" s="212"/>
      <c r="YD210" s="212"/>
      <c r="YE210" s="212"/>
      <c r="YF210" s="212"/>
      <c r="YG210" s="212"/>
      <c r="YH210" s="212"/>
      <c r="YI210" s="212"/>
      <c r="YJ210" s="214"/>
      <c r="YK210" s="211"/>
      <c r="YL210" s="212"/>
      <c r="YM210" s="212"/>
      <c r="YN210" s="212"/>
      <c r="YO210" s="212"/>
      <c r="YP210" s="212"/>
      <c r="YQ210" s="212"/>
      <c r="YR210" s="212"/>
      <c r="YS210" s="212"/>
      <c r="YT210" s="212"/>
      <c r="YU210" s="212"/>
      <c r="YV210" s="212"/>
      <c r="YW210" s="212"/>
      <c r="YX210" s="212"/>
      <c r="YY210" s="212"/>
      <c r="YZ210" s="212"/>
      <c r="ZA210" s="212"/>
      <c r="ZB210" s="212"/>
      <c r="ZC210" s="212"/>
      <c r="ZD210" s="212"/>
      <c r="ZE210" s="212"/>
      <c r="ZF210" s="212"/>
      <c r="ZG210" s="212"/>
      <c r="ZH210" s="212"/>
      <c r="ZI210" s="212"/>
      <c r="ZJ210" s="212"/>
      <c r="ZK210" s="212"/>
      <c r="ZL210" s="212"/>
      <c r="ZM210" s="212"/>
      <c r="ZN210" s="212"/>
      <c r="ZO210" s="212"/>
      <c r="ZP210" s="212"/>
      <c r="ZQ210" s="212"/>
      <c r="ZR210" s="212"/>
      <c r="ZS210" s="212"/>
      <c r="ZT210" s="212"/>
      <c r="ZU210" s="212"/>
      <c r="ZV210" s="212"/>
      <c r="ZW210" s="212"/>
      <c r="ZX210" s="212"/>
      <c r="ZY210" s="212"/>
      <c r="ZZ210" s="212"/>
      <c r="AAA210" s="212"/>
      <c r="AAB210" s="214"/>
      <c r="AAC210" s="211"/>
      <c r="AAD210" s="212"/>
      <c r="AAE210" s="212"/>
      <c r="AAF210" s="212"/>
      <c r="AAG210" s="212"/>
      <c r="AAH210" s="212"/>
      <c r="AAI210" s="212"/>
      <c r="AAJ210" s="212"/>
      <c r="AAK210" s="212"/>
      <c r="AAL210" s="212"/>
      <c r="AAM210" s="212"/>
      <c r="AAN210" s="212"/>
      <c r="AAO210" s="212"/>
      <c r="AAP210" s="212"/>
      <c r="AAQ210" s="212"/>
      <c r="AAR210" s="212"/>
      <c r="AAS210" s="212"/>
      <c r="AAT210" s="212"/>
      <c r="AAU210" s="212"/>
      <c r="AAV210" s="212"/>
      <c r="AAW210" s="212"/>
      <c r="AAX210" s="212"/>
      <c r="AAY210" s="212"/>
      <c r="AAZ210" s="212"/>
      <c r="ABA210" s="212"/>
      <c r="ABB210" s="212"/>
      <c r="ABC210" s="212"/>
      <c r="ABD210" s="212"/>
      <c r="ABE210" s="212"/>
      <c r="ABF210" s="212"/>
      <c r="ABG210" s="212"/>
      <c r="ABH210" s="212"/>
      <c r="ABI210" s="212"/>
      <c r="ABJ210" s="212"/>
      <c r="ABK210" s="212"/>
      <c r="ABL210" s="212"/>
      <c r="ABM210" s="212"/>
      <c r="ABN210" s="212"/>
      <c r="ABO210" s="212"/>
      <c r="ABP210" s="212"/>
      <c r="ABQ210" s="212"/>
      <c r="ABR210" s="212"/>
      <c r="ABS210" s="212"/>
      <c r="ABT210" s="214"/>
      <c r="ABU210" s="211"/>
      <c r="ABV210" s="212"/>
      <c r="ABW210" s="212"/>
      <c r="ABX210" s="212"/>
      <c r="ABY210" s="212"/>
      <c r="ABZ210" s="212"/>
      <c r="ACA210" s="212"/>
      <c r="ACB210" s="212"/>
      <c r="ACC210" s="212"/>
      <c r="ACD210" s="212"/>
      <c r="ACE210" s="212"/>
      <c r="ACF210" s="212"/>
      <c r="ACG210" s="212"/>
      <c r="ACH210" s="212"/>
      <c r="ACI210" s="212"/>
      <c r="ACJ210" s="212"/>
      <c r="ACK210" s="212"/>
      <c r="ACL210" s="212"/>
      <c r="ACM210" s="212"/>
      <c r="ACN210" s="212"/>
      <c r="ACO210" s="212"/>
      <c r="ACP210" s="212"/>
      <c r="ACQ210" s="212"/>
      <c r="ACR210" s="212"/>
      <c r="ACS210" s="212"/>
      <c r="ACT210" s="212"/>
      <c r="ACU210" s="212"/>
      <c r="ACV210" s="212"/>
      <c r="ACW210" s="212"/>
      <c r="ACX210" s="212"/>
      <c r="ACY210" s="212"/>
      <c r="ACZ210" s="212"/>
      <c r="ADA210" s="212"/>
      <c r="ADB210" s="212"/>
      <c r="ADC210" s="212"/>
      <c r="ADD210" s="212"/>
      <c r="ADE210" s="212"/>
      <c r="ADF210" s="212"/>
      <c r="ADG210" s="212"/>
      <c r="ADH210" s="212"/>
      <c r="ADI210" s="212"/>
      <c r="ADJ210" s="212"/>
      <c r="ADK210" s="212"/>
      <c r="ADL210" s="214"/>
      <c r="ADM210" s="211"/>
      <c r="ADN210" s="212"/>
      <c r="ADO210" s="212"/>
      <c r="ADP210" s="212"/>
      <c r="ADQ210" s="212"/>
      <c r="ADR210" s="212"/>
      <c r="ADS210" s="212"/>
      <c r="ADT210" s="212"/>
      <c r="ADU210" s="212"/>
      <c r="ADV210" s="212"/>
      <c r="ADW210" s="212"/>
      <c r="ADX210" s="212"/>
      <c r="ADY210" s="212"/>
      <c r="ADZ210" s="212"/>
      <c r="AEA210" s="212"/>
      <c r="AEB210" s="212"/>
      <c r="AEC210" s="212"/>
      <c r="AED210" s="212"/>
      <c r="AEE210" s="212"/>
      <c r="AEF210" s="212"/>
      <c r="AEG210" s="212"/>
      <c r="AEH210" s="212"/>
      <c r="AEI210" s="212"/>
      <c r="AEJ210" s="212"/>
      <c r="AEK210" s="212"/>
      <c r="AEL210" s="212"/>
      <c r="AEM210" s="212"/>
      <c r="AEN210" s="212"/>
      <c r="AEO210" s="212"/>
      <c r="AEP210" s="212"/>
      <c r="AEQ210" s="212"/>
      <c r="AER210" s="212"/>
      <c r="AES210" s="212"/>
      <c r="AET210" s="212"/>
      <c r="AEU210" s="212"/>
      <c r="AEV210" s="212"/>
      <c r="AEW210" s="212"/>
      <c r="AEX210" s="212"/>
      <c r="AEY210" s="212"/>
      <c r="AEZ210" s="212"/>
      <c r="AFA210" s="212"/>
      <c r="AFB210" s="212"/>
      <c r="AFC210" s="212"/>
      <c r="AFD210" s="214"/>
      <c r="AFE210" s="211"/>
      <c r="AFF210" s="212"/>
      <c r="AFG210" s="212"/>
      <c r="AFH210" s="212"/>
      <c r="AFI210" s="212"/>
      <c r="AFJ210" s="212"/>
      <c r="AFK210" s="212"/>
      <c r="AFL210" s="212"/>
      <c r="AFM210" s="212"/>
      <c r="AFN210" s="212"/>
      <c r="AFO210" s="212"/>
      <c r="AFP210" s="212"/>
      <c r="AFQ210" s="212"/>
      <c r="AFR210" s="212"/>
      <c r="AFS210" s="212"/>
      <c r="AFT210" s="212"/>
      <c r="AFU210" s="212"/>
      <c r="AFV210" s="212"/>
      <c r="AFW210" s="212"/>
      <c r="AFX210" s="212"/>
      <c r="AFY210" s="212"/>
      <c r="AFZ210" s="212"/>
      <c r="AGA210" s="212"/>
      <c r="AGB210" s="212"/>
      <c r="AGC210" s="212"/>
      <c r="AGD210" s="212"/>
      <c r="AGE210" s="212"/>
      <c r="AGF210" s="212"/>
      <c r="AGG210" s="212"/>
      <c r="AGH210" s="212"/>
      <c r="AGI210" s="212"/>
      <c r="AGJ210" s="212"/>
      <c r="AGK210" s="212"/>
      <c r="AGL210" s="212"/>
      <c r="AGM210" s="212"/>
      <c r="AGN210" s="212"/>
      <c r="AGO210" s="212"/>
      <c r="AGP210" s="212"/>
      <c r="AGQ210" s="212"/>
      <c r="AGR210" s="212"/>
      <c r="AGS210" s="212"/>
      <c r="AGT210" s="212"/>
      <c r="AGU210" s="212"/>
      <c r="AGV210" s="214"/>
      <c r="AGW210" s="211"/>
      <c r="AGX210" s="212"/>
      <c r="AGY210" s="212"/>
      <c r="AGZ210" s="212"/>
      <c r="AHA210" s="212"/>
      <c r="AHB210" s="212"/>
      <c r="AHC210" s="212"/>
      <c r="AHD210" s="212"/>
      <c r="AHE210" s="212"/>
      <c r="AHF210" s="212"/>
      <c r="AHG210" s="212"/>
      <c r="AHH210" s="212"/>
      <c r="AHI210" s="212"/>
      <c r="AHJ210" s="212"/>
      <c r="AHK210" s="212"/>
      <c r="AHL210" s="212"/>
      <c r="AHM210" s="212"/>
      <c r="AHN210" s="212"/>
      <c r="AHO210" s="212"/>
      <c r="AHP210" s="212"/>
      <c r="AHQ210" s="212"/>
      <c r="AHR210" s="212"/>
      <c r="AHS210" s="212"/>
      <c r="AHT210" s="212"/>
      <c r="AHU210" s="212"/>
      <c r="AHV210" s="212"/>
      <c r="AHW210" s="212"/>
      <c r="AHX210" s="212"/>
      <c r="AHY210" s="212"/>
      <c r="AHZ210" s="212"/>
      <c r="AIA210" s="212"/>
      <c r="AIB210" s="212"/>
      <c r="AIC210" s="212"/>
      <c r="AID210" s="212"/>
      <c r="AIE210" s="212"/>
      <c r="AIF210" s="212"/>
      <c r="AIG210" s="212"/>
      <c r="AIH210" s="212"/>
      <c r="AII210" s="212"/>
      <c r="AIJ210" s="212"/>
      <c r="AIK210" s="212"/>
      <c r="AIL210" s="212"/>
      <c r="AIM210" s="212"/>
      <c r="AIN210" s="214"/>
      <c r="AIO210" s="211"/>
      <c r="AIP210" s="212"/>
      <c r="AIQ210" s="212"/>
      <c r="AIR210" s="212"/>
      <c r="AIS210" s="212"/>
      <c r="AIT210" s="212"/>
      <c r="AIU210" s="212"/>
      <c r="AIV210" s="212"/>
      <c r="AIW210" s="212"/>
      <c r="AIX210" s="212"/>
      <c r="AIY210" s="212"/>
      <c r="AIZ210" s="212"/>
      <c r="AJA210" s="212"/>
      <c r="AJB210" s="212"/>
      <c r="AJC210" s="212"/>
      <c r="AJD210" s="212"/>
      <c r="AJE210" s="212"/>
      <c r="AJF210" s="212"/>
      <c r="AJG210" s="212"/>
      <c r="AJH210" s="212"/>
      <c r="AJI210" s="212"/>
      <c r="AJJ210" s="212"/>
      <c r="AJK210" s="212"/>
      <c r="AJL210" s="212"/>
      <c r="AJM210" s="212"/>
      <c r="AJN210" s="212"/>
      <c r="AJO210" s="212"/>
      <c r="AJP210" s="212"/>
      <c r="AJQ210" s="212"/>
      <c r="AJR210" s="212"/>
      <c r="AJS210" s="212"/>
      <c r="AJT210" s="212"/>
      <c r="AJU210" s="212"/>
      <c r="AJV210" s="212"/>
      <c r="AJW210" s="212"/>
      <c r="AJX210" s="212"/>
      <c r="AJY210" s="212"/>
      <c r="AJZ210" s="212"/>
      <c r="AKA210" s="212"/>
      <c r="AKB210" s="212"/>
      <c r="AKC210" s="212"/>
      <c r="AKD210" s="212"/>
      <c r="AKE210" s="212"/>
      <c r="AKF210" s="214"/>
      <c r="AKG210" s="211"/>
      <c r="AKH210" s="212"/>
      <c r="AKI210" s="212"/>
      <c r="AKJ210" s="212"/>
      <c r="AKK210" s="212"/>
      <c r="AKL210" s="212"/>
      <c r="AKM210" s="212"/>
      <c r="AKN210" s="212"/>
      <c r="AKO210" s="212"/>
      <c r="AKP210" s="212"/>
      <c r="AKQ210" s="212"/>
      <c r="AKR210" s="212"/>
      <c r="AKS210" s="212"/>
      <c r="AKT210" s="212"/>
      <c r="AKU210" s="212"/>
      <c r="AKV210" s="212"/>
      <c r="AKW210" s="212"/>
      <c r="AKX210" s="212"/>
      <c r="AKY210" s="212"/>
      <c r="AKZ210" s="212"/>
      <c r="ALA210" s="212"/>
      <c r="ALB210" s="212"/>
      <c r="ALC210" s="212"/>
      <c r="ALD210" s="212"/>
      <c r="ALE210" s="212"/>
      <c r="ALF210" s="212"/>
      <c r="ALG210" s="212"/>
      <c r="ALH210" s="212"/>
      <c r="ALI210" s="212"/>
      <c r="ALJ210" s="212"/>
      <c r="ALK210" s="212"/>
      <c r="ALL210" s="212"/>
      <c r="ALM210" s="212"/>
      <c r="ALN210" s="212"/>
      <c r="ALO210" s="212"/>
      <c r="ALP210" s="212"/>
      <c r="ALQ210" s="212"/>
      <c r="ALR210" s="212"/>
      <c r="ALS210" s="212"/>
      <c r="ALT210" s="212"/>
      <c r="ALU210" s="212"/>
      <c r="ALV210" s="212"/>
      <c r="ALW210" s="212"/>
      <c r="ALX210" s="214"/>
      <c r="ALY210" s="211"/>
      <c r="ALZ210" s="212"/>
      <c r="AMA210" s="212"/>
      <c r="AMB210" s="212"/>
      <c r="AMC210" s="212"/>
      <c r="AMD210" s="212"/>
      <c r="AME210" s="212"/>
      <c r="AMF210" s="212"/>
      <c r="AMG210" s="212"/>
      <c r="AMH210" s="212"/>
      <c r="AMI210" s="212"/>
      <c r="AMJ210" s="212"/>
      <c r="AMK210" s="212"/>
      <c r="AML210" s="212"/>
      <c r="AMM210" s="212"/>
      <c r="AMN210" s="212"/>
      <c r="AMO210" s="212"/>
      <c r="AMP210" s="212"/>
      <c r="AMQ210" s="212"/>
      <c r="AMR210" s="212"/>
      <c r="AMS210" s="212"/>
      <c r="AMT210" s="212"/>
      <c r="AMU210" s="212"/>
      <c r="AMV210" s="212"/>
      <c r="AMW210" s="212"/>
      <c r="AMX210" s="212"/>
      <c r="AMY210" s="212"/>
      <c r="AMZ210" s="212"/>
      <c r="ANA210" s="212"/>
      <c r="ANB210" s="212"/>
      <c r="ANC210" s="212"/>
      <c r="AND210" s="212"/>
      <c r="ANE210" s="212"/>
      <c r="ANF210" s="212"/>
      <c r="ANG210" s="212"/>
      <c r="ANH210" s="212"/>
      <c r="ANI210" s="212"/>
      <c r="ANJ210" s="212"/>
      <c r="ANK210" s="212"/>
      <c r="ANL210" s="212"/>
      <c r="ANM210" s="212"/>
      <c r="ANN210" s="212"/>
      <c r="ANO210" s="212"/>
      <c r="ANP210" s="214"/>
      <c r="ANQ210" s="211"/>
      <c r="ANR210" s="212"/>
      <c r="ANS210" s="212"/>
      <c r="ANT210" s="212"/>
      <c r="ANU210" s="212"/>
      <c r="ANV210" s="212"/>
      <c r="ANW210" s="212"/>
      <c r="ANX210" s="212"/>
      <c r="ANY210" s="212"/>
      <c r="ANZ210" s="212"/>
      <c r="AOA210" s="212"/>
      <c r="AOB210" s="212"/>
      <c r="AOC210" s="212"/>
      <c r="AOD210" s="212"/>
      <c r="AOE210" s="212"/>
      <c r="AOF210" s="212"/>
      <c r="AOG210" s="212"/>
      <c r="AOH210" s="212"/>
      <c r="AOI210" s="212"/>
      <c r="AOJ210" s="212"/>
      <c r="AOK210" s="212"/>
      <c r="AOL210" s="212"/>
      <c r="AOM210" s="212"/>
      <c r="AON210" s="212"/>
      <c r="AOO210" s="212"/>
      <c r="AOP210" s="212"/>
      <c r="AOQ210" s="212"/>
      <c r="AOR210" s="212"/>
      <c r="AOS210" s="212"/>
      <c r="AOT210" s="212"/>
      <c r="AOU210" s="212"/>
      <c r="AOV210" s="212"/>
      <c r="AOW210" s="212"/>
      <c r="AOX210" s="212"/>
      <c r="AOY210" s="212"/>
      <c r="AOZ210" s="212"/>
      <c r="APA210" s="212"/>
      <c r="APB210" s="212"/>
      <c r="APC210" s="212"/>
      <c r="APD210" s="212"/>
      <c r="APE210" s="212"/>
      <c r="APF210" s="212"/>
      <c r="APG210" s="212"/>
      <c r="APH210" s="214"/>
      <c r="API210" s="211"/>
      <c r="APJ210" s="212"/>
      <c r="APK210" s="212"/>
      <c r="APL210" s="212"/>
      <c r="APM210" s="212"/>
      <c r="APN210" s="212"/>
      <c r="APO210" s="212"/>
      <c r="APP210" s="212"/>
      <c r="APQ210" s="212"/>
      <c r="APR210" s="212"/>
      <c r="APS210" s="212"/>
      <c r="APT210" s="212"/>
      <c r="APU210" s="212"/>
      <c r="APV210" s="212"/>
      <c r="APW210" s="212"/>
      <c r="APX210" s="212"/>
      <c r="APY210" s="212"/>
      <c r="APZ210" s="212"/>
      <c r="AQA210" s="212"/>
      <c r="AQB210" s="212"/>
      <c r="AQC210" s="212"/>
      <c r="AQD210" s="212"/>
      <c r="AQE210" s="212"/>
      <c r="AQF210" s="212"/>
      <c r="AQG210" s="212"/>
      <c r="AQH210" s="212"/>
      <c r="AQI210" s="212"/>
      <c r="AQJ210" s="212"/>
      <c r="AQK210" s="212"/>
      <c r="AQL210" s="212"/>
      <c r="AQM210" s="212"/>
      <c r="AQN210" s="212"/>
      <c r="AQO210" s="212"/>
      <c r="AQP210" s="212"/>
      <c r="AQQ210" s="212"/>
      <c r="AQR210" s="212"/>
      <c r="AQS210" s="212"/>
      <c r="AQT210" s="212"/>
      <c r="AQU210" s="212"/>
      <c r="AQV210" s="212"/>
      <c r="AQW210" s="212"/>
      <c r="AQX210" s="212"/>
      <c r="AQY210" s="212"/>
      <c r="AQZ210" s="214"/>
      <c r="ARA210" s="211"/>
      <c r="ARB210" s="212"/>
      <c r="ARC210" s="212"/>
      <c r="ARD210" s="212"/>
      <c r="ARE210" s="212"/>
      <c r="ARF210" s="212"/>
      <c r="ARG210" s="212"/>
      <c r="ARH210" s="212"/>
      <c r="ARI210" s="212"/>
      <c r="ARJ210" s="212"/>
      <c r="ARK210" s="212"/>
      <c r="ARL210" s="212"/>
      <c r="ARM210" s="212"/>
      <c r="ARN210" s="212"/>
      <c r="ARO210" s="212"/>
      <c r="ARP210" s="212"/>
      <c r="ARQ210" s="212"/>
      <c r="ARR210" s="212"/>
      <c r="ARS210" s="212"/>
      <c r="ART210" s="212"/>
      <c r="ARU210" s="212"/>
      <c r="ARV210" s="212"/>
      <c r="ARW210" s="212"/>
      <c r="ARX210" s="212"/>
      <c r="ARY210" s="212"/>
      <c r="ARZ210" s="212"/>
      <c r="ASA210" s="212"/>
      <c r="ASB210" s="212"/>
      <c r="ASC210" s="212"/>
      <c r="ASD210" s="212"/>
      <c r="ASE210" s="212"/>
      <c r="ASF210" s="212"/>
      <c r="ASG210" s="212"/>
      <c r="ASH210" s="212"/>
      <c r="ASI210" s="212"/>
      <c r="ASJ210" s="212"/>
      <c r="ASK210" s="212"/>
      <c r="ASL210" s="212"/>
      <c r="ASM210" s="212"/>
      <c r="ASN210" s="212"/>
      <c r="ASO210" s="212"/>
      <c r="ASP210" s="212"/>
      <c r="ASQ210" s="212"/>
      <c r="ASR210" s="214"/>
      <c r="ASS210" s="211"/>
      <c r="AST210" s="212"/>
      <c r="ASU210" s="212"/>
      <c r="ASV210" s="212"/>
      <c r="ASW210" s="212"/>
      <c r="ASX210" s="212"/>
      <c r="ASY210" s="212"/>
      <c r="ASZ210" s="212"/>
      <c r="ATA210" s="212"/>
      <c r="ATB210" s="212"/>
      <c r="ATC210" s="212"/>
      <c r="ATD210" s="212"/>
      <c r="ATE210" s="212"/>
      <c r="ATF210" s="212"/>
      <c r="ATG210" s="212"/>
      <c r="ATH210" s="212"/>
      <c r="ATI210" s="212"/>
      <c r="ATJ210" s="212"/>
      <c r="ATK210" s="212"/>
      <c r="ATL210" s="212"/>
      <c r="ATM210" s="212"/>
      <c r="ATN210" s="212"/>
      <c r="ATO210" s="212"/>
      <c r="ATP210" s="212"/>
      <c r="ATQ210" s="212"/>
      <c r="ATR210" s="212"/>
      <c r="ATS210" s="212"/>
      <c r="ATT210" s="212"/>
      <c r="ATU210" s="212"/>
      <c r="ATV210" s="212"/>
      <c r="ATW210" s="212"/>
      <c r="ATX210" s="212"/>
      <c r="ATY210" s="212"/>
      <c r="ATZ210" s="212"/>
      <c r="AUA210" s="212"/>
      <c r="AUB210" s="212"/>
      <c r="AUC210" s="212"/>
      <c r="AUD210" s="212"/>
      <c r="AUE210" s="212"/>
      <c r="AUF210" s="212"/>
      <c r="AUG210" s="212"/>
      <c r="AUH210" s="212"/>
      <c r="AUI210" s="212"/>
      <c r="AUJ210" s="214"/>
      <c r="AUK210" s="211"/>
      <c r="AUL210" s="212"/>
      <c r="AUM210" s="212"/>
      <c r="AUN210" s="212"/>
      <c r="AUO210" s="212"/>
      <c r="AUP210" s="212"/>
      <c r="AUQ210" s="212"/>
      <c r="AUR210" s="212"/>
      <c r="AUS210" s="212"/>
      <c r="AUT210" s="212"/>
      <c r="AUU210" s="212"/>
      <c r="AUV210" s="212"/>
      <c r="AUW210" s="212"/>
      <c r="AUX210" s="212"/>
      <c r="AUY210" s="212"/>
      <c r="AUZ210" s="212"/>
      <c r="AVA210" s="212"/>
      <c r="AVB210" s="212"/>
      <c r="AVC210" s="212"/>
      <c r="AVD210" s="212"/>
      <c r="AVE210" s="212"/>
      <c r="AVF210" s="212"/>
      <c r="AVG210" s="212"/>
      <c r="AVH210" s="212"/>
      <c r="AVI210" s="212"/>
      <c r="AVJ210" s="212"/>
      <c r="AVK210" s="212"/>
      <c r="AVL210" s="212"/>
      <c r="AVM210" s="212"/>
      <c r="AVN210" s="212"/>
      <c r="AVO210" s="212"/>
      <c r="AVP210" s="212"/>
      <c r="AVQ210" s="212"/>
      <c r="AVR210" s="212"/>
      <c r="AVS210" s="212"/>
      <c r="AVT210" s="212"/>
      <c r="AVU210" s="212"/>
      <c r="AVV210" s="212"/>
      <c r="AVW210" s="212"/>
      <c r="AVX210" s="212"/>
      <c r="AVY210" s="212"/>
      <c r="AVZ210" s="212"/>
      <c r="AWA210" s="212"/>
      <c r="AWB210" s="214"/>
      <c r="AWC210" s="211"/>
      <c r="AWD210" s="212"/>
      <c r="AWE210" s="212"/>
      <c r="AWF210" s="212"/>
      <c r="AWG210" s="212"/>
      <c r="AWH210" s="212"/>
      <c r="AWI210" s="212"/>
      <c r="AWJ210" s="212"/>
      <c r="AWK210" s="212"/>
      <c r="AWL210" s="212"/>
      <c r="AWM210" s="212"/>
      <c r="AWN210" s="212"/>
      <c r="AWO210" s="212"/>
      <c r="AWP210" s="212"/>
      <c r="AWQ210" s="212"/>
      <c r="AWR210" s="212"/>
      <c r="AWS210" s="212"/>
      <c r="AWT210" s="212"/>
      <c r="AWU210" s="212"/>
      <c r="AWV210" s="212"/>
      <c r="AWW210" s="212"/>
      <c r="AWX210" s="212"/>
      <c r="AWY210" s="212"/>
      <c r="AWZ210" s="212"/>
      <c r="AXA210" s="212"/>
      <c r="AXB210" s="212"/>
      <c r="AXC210" s="212"/>
      <c r="AXD210" s="212"/>
      <c r="AXE210" s="212"/>
      <c r="AXF210" s="212"/>
      <c r="AXG210" s="212"/>
      <c r="AXH210" s="212"/>
      <c r="AXI210" s="212"/>
      <c r="AXJ210" s="212"/>
      <c r="AXK210" s="212"/>
      <c r="AXL210" s="212"/>
      <c r="AXM210" s="212"/>
      <c r="AXN210" s="212"/>
      <c r="AXO210" s="212"/>
      <c r="AXP210" s="212"/>
      <c r="AXQ210" s="212"/>
      <c r="AXR210" s="212"/>
      <c r="AXS210" s="212"/>
      <c r="AXT210" s="214"/>
      <c r="AXU210" s="211"/>
      <c r="AXV210" s="212"/>
      <c r="AXW210" s="212"/>
      <c r="AXX210" s="212"/>
      <c r="AXY210" s="212"/>
      <c r="AXZ210" s="212"/>
      <c r="AYA210" s="212"/>
      <c r="AYB210" s="212"/>
      <c r="AYC210" s="212"/>
      <c r="AYD210" s="212"/>
      <c r="AYE210" s="212"/>
      <c r="AYF210" s="212"/>
      <c r="AYG210" s="212"/>
      <c r="AYH210" s="212"/>
      <c r="AYI210" s="212"/>
      <c r="AYJ210" s="212"/>
      <c r="AYK210" s="212"/>
      <c r="AYL210" s="212"/>
      <c r="AYM210" s="212"/>
      <c r="AYN210" s="212"/>
      <c r="AYO210" s="212"/>
      <c r="AYP210" s="212"/>
      <c r="AYQ210" s="212"/>
      <c r="AYR210" s="212"/>
      <c r="AYS210" s="212"/>
      <c r="AYT210" s="212"/>
      <c r="AYU210" s="212"/>
      <c r="AYV210" s="212"/>
      <c r="AYW210" s="212"/>
      <c r="AYX210" s="212"/>
      <c r="AYY210" s="212"/>
      <c r="AYZ210" s="212"/>
      <c r="AZA210" s="212"/>
      <c r="AZB210" s="212"/>
      <c r="AZC210" s="212"/>
      <c r="AZD210" s="212"/>
      <c r="AZE210" s="212"/>
      <c r="AZF210" s="212"/>
      <c r="AZG210" s="212"/>
      <c r="AZH210" s="212"/>
      <c r="AZI210" s="212"/>
      <c r="AZJ210" s="212"/>
      <c r="AZK210" s="212"/>
      <c r="AZL210" s="214"/>
      <c r="AZM210" s="211"/>
      <c r="AZN210" s="212"/>
      <c r="AZO210" s="212"/>
      <c r="AZP210" s="212"/>
      <c r="AZQ210" s="212"/>
      <c r="AZR210" s="212"/>
      <c r="AZS210" s="212"/>
      <c r="AZT210" s="212"/>
      <c r="AZU210" s="212"/>
      <c r="AZV210" s="212"/>
      <c r="AZW210" s="212"/>
      <c r="AZX210" s="212"/>
      <c r="AZY210" s="212"/>
      <c r="AZZ210" s="212"/>
      <c r="BAA210" s="212"/>
      <c r="BAB210" s="212"/>
      <c r="BAC210" s="212"/>
      <c r="BAD210" s="212"/>
      <c r="BAE210" s="212"/>
      <c r="BAF210" s="212"/>
      <c r="BAG210" s="212"/>
      <c r="BAH210" s="212"/>
      <c r="BAI210" s="212"/>
      <c r="BAJ210" s="212"/>
      <c r="BAK210" s="212"/>
      <c r="BAL210" s="212"/>
      <c r="BAM210" s="212"/>
      <c r="BAN210" s="212"/>
      <c r="BAO210" s="212"/>
      <c r="BAP210" s="212"/>
      <c r="BAQ210" s="212"/>
      <c r="BAR210" s="212"/>
      <c r="BAS210" s="212"/>
      <c r="BAT210" s="212"/>
      <c r="BAU210" s="212"/>
      <c r="BAV210" s="212"/>
      <c r="BAW210" s="212"/>
      <c r="BAX210" s="212"/>
      <c r="BAY210" s="212"/>
      <c r="BAZ210" s="212"/>
      <c r="BBA210" s="212"/>
      <c r="BBB210" s="212"/>
      <c r="BBC210" s="212"/>
      <c r="BBD210" s="214"/>
      <c r="BBE210" s="211"/>
      <c r="BBF210" s="212"/>
      <c r="BBG210" s="212"/>
      <c r="BBH210" s="212"/>
      <c r="BBI210" s="212"/>
      <c r="BBJ210" s="212"/>
      <c r="BBK210" s="212"/>
      <c r="BBL210" s="212"/>
      <c r="BBM210" s="212"/>
      <c r="BBN210" s="212"/>
      <c r="BBO210" s="212"/>
      <c r="BBP210" s="212"/>
      <c r="BBQ210" s="212"/>
      <c r="BBR210" s="212"/>
      <c r="BBS210" s="212"/>
      <c r="BBT210" s="212"/>
      <c r="BBU210" s="212"/>
      <c r="BBV210" s="212"/>
      <c r="BBW210" s="212"/>
      <c r="BBX210" s="212"/>
      <c r="BBY210" s="212"/>
      <c r="BBZ210" s="212"/>
      <c r="BCA210" s="212"/>
      <c r="BCB210" s="212"/>
      <c r="BCC210" s="212"/>
      <c r="BCD210" s="212"/>
      <c r="BCE210" s="212"/>
      <c r="BCF210" s="212"/>
      <c r="BCG210" s="212"/>
      <c r="BCH210" s="212"/>
      <c r="BCI210" s="212"/>
      <c r="BCJ210" s="212"/>
      <c r="BCK210" s="212"/>
      <c r="BCL210" s="212"/>
      <c r="BCM210" s="212"/>
      <c r="BCN210" s="212"/>
      <c r="BCO210" s="212"/>
      <c r="BCP210" s="212"/>
      <c r="BCQ210" s="212"/>
      <c r="BCR210" s="212"/>
      <c r="BCS210" s="212"/>
      <c r="BCT210" s="212"/>
      <c r="BCU210" s="212"/>
      <c r="BCV210" s="214"/>
      <c r="BCW210" s="211"/>
      <c r="BCX210" s="212"/>
      <c r="BCY210" s="212"/>
      <c r="BCZ210" s="212"/>
      <c r="BDA210" s="212"/>
      <c r="BDB210" s="212"/>
      <c r="BDC210" s="212"/>
      <c r="BDD210" s="212"/>
      <c r="BDE210" s="212"/>
      <c r="BDF210" s="212"/>
      <c r="BDG210" s="212"/>
      <c r="BDH210" s="212"/>
      <c r="BDI210" s="212"/>
      <c r="BDJ210" s="212"/>
      <c r="BDK210" s="212"/>
      <c r="BDL210" s="212"/>
      <c r="BDM210" s="212"/>
      <c r="BDN210" s="212"/>
      <c r="BDO210" s="212"/>
      <c r="BDP210" s="212"/>
      <c r="BDQ210" s="212"/>
      <c r="BDR210" s="212"/>
      <c r="BDS210" s="212"/>
      <c r="BDT210" s="212"/>
      <c r="BDU210" s="212"/>
      <c r="BDV210" s="212"/>
      <c r="BDW210" s="212"/>
      <c r="BDX210" s="212"/>
      <c r="BDY210" s="212"/>
      <c r="BDZ210" s="212"/>
      <c r="BEA210" s="212"/>
      <c r="BEB210" s="212"/>
      <c r="BEC210" s="212"/>
      <c r="BED210" s="212"/>
      <c r="BEE210" s="212"/>
      <c r="BEF210" s="212"/>
      <c r="BEG210" s="212"/>
      <c r="BEH210" s="212"/>
      <c r="BEI210" s="212"/>
      <c r="BEJ210" s="212"/>
      <c r="BEK210" s="212"/>
      <c r="BEL210" s="212"/>
      <c r="BEM210" s="212"/>
      <c r="BEN210" s="214"/>
      <c r="BEO210" s="211"/>
      <c r="BEP210" s="212"/>
      <c r="BEQ210" s="212"/>
      <c r="BER210" s="212"/>
      <c r="BES210" s="212"/>
      <c r="BET210" s="212"/>
      <c r="BEU210" s="212"/>
      <c r="BEV210" s="212"/>
      <c r="BEW210" s="212"/>
      <c r="BEX210" s="212"/>
      <c r="BEY210" s="212"/>
      <c r="BEZ210" s="212"/>
      <c r="BFA210" s="212"/>
      <c r="BFB210" s="212"/>
      <c r="BFC210" s="212"/>
      <c r="BFD210" s="212"/>
      <c r="BFE210" s="212"/>
      <c r="BFF210" s="212"/>
      <c r="BFG210" s="212"/>
      <c r="BFH210" s="212"/>
      <c r="BFI210" s="212"/>
      <c r="BFJ210" s="212"/>
      <c r="BFK210" s="212"/>
      <c r="BFL210" s="212"/>
      <c r="BFM210" s="212"/>
      <c r="BFN210" s="212"/>
      <c r="BFO210" s="212"/>
      <c r="BFP210" s="212"/>
      <c r="BFQ210" s="212"/>
      <c r="BFR210" s="212"/>
      <c r="BFS210" s="212"/>
      <c r="BFT210" s="212"/>
      <c r="BFU210" s="212"/>
      <c r="BFV210" s="212"/>
      <c r="BFW210" s="212"/>
      <c r="BFX210" s="212"/>
      <c r="BFY210" s="212"/>
      <c r="BFZ210" s="212"/>
      <c r="BGA210" s="212"/>
      <c r="BGB210" s="212"/>
      <c r="BGC210" s="212"/>
      <c r="BGD210" s="212"/>
      <c r="BGE210" s="212"/>
      <c r="BGF210" s="214"/>
      <c r="BGG210" s="211"/>
      <c r="BGH210" s="212"/>
      <c r="BGI210" s="212"/>
      <c r="BGJ210" s="212"/>
      <c r="BGK210" s="212"/>
      <c r="BGL210" s="212"/>
      <c r="BGM210" s="212"/>
      <c r="BGN210" s="212"/>
      <c r="BGO210" s="212"/>
      <c r="BGP210" s="212"/>
      <c r="BGQ210" s="212"/>
      <c r="BGR210" s="212"/>
      <c r="BGS210" s="212"/>
      <c r="BGT210" s="212"/>
      <c r="BGU210" s="212"/>
      <c r="BGV210" s="212"/>
      <c r="BGW210" s="212"/>
      <c r="BGX210" s="212"/>
      <c r="BGY210" s="212"/>
      <c r="BGZ210" s="212"/>
      <c r="BHA210" s="212"/>
      <c r="BHB210" s="212"/>
      <c r="BHC210" s="212"/>
      <c r="BHD210" s="212"/>
      <c r="BHE210" s="212"/>
      <c r="BHF210" s="212"/>
      <c r="BHG210" s="212"/>
      <c r="BHH210" s="212"/>
      <c r="BHI210" s="212"/>
      <c r="BHJ210" s="212"/>
      <c r="BHK210" s="212"/>
      <c r="BHL210" s="212"/>
      <c r="BHM210" s="212"/>
      <c r="BHN210" s="212"/>
      <c r="BHO210" s="212"/>
      <c r="BHP210" s="212"/>
      <c r="BHQ210" s="212"/>
      <c r="BHR210" s="212"/>
      <c r="BHS210" s="212"/>
      <c r="BHT210" s="212"/>
      <c r="BHU210" s="212"/>
      <c r="BHV210" s="212"/>
      <c r="BHW210" s="212"/>
      <c r="BHX210" s="214"/>
      <c r="BHY210" s="211"/>
      <c r="BHZ210" s="212"/>
      <c r="BIA210" s="212"/>
      <c r="BIB210" s="212"/>
      <c r="BIC210" s="212"/>
      <c r="BID210" s="212"/>
      <c r="BIE210" s="212"/>
      <c r="BIF210" s="212"/>
      <c r="BIG210" s="212"/>
      <c r="BIH210" s="212"/>
      <c r="BII210" s="212"/>
      <c r="BIJ210" s="212"/>
      <c r="BIK210" s="212"/>
      <c r="BIL210" s="212"/>
      <c r="BIM210" s="212"/>
      <c r="BIN210" s="212"/>
      <c r="BIO210" s="212"/>
      <c r="BIP210" s="212"/>
      <c r="BIQ210" s="212"/>
      <c r="BIR210" s="212"/>
      <c r="BIS210" s="212"/>
      <c r="BIT210" s="212"/>
      <c r="BIU210" s="212"/>
      <c r="BIV210" s="212"/>
      <c r="BIW210" s="212"/>
      <c r="BIX210" s="212"/>
      <c r="BIY210" s="212"/>
      <c r="BIZ210" s="212"/>
      <c r="BJA210" s="212"/>
      <c r="BJB210" s="212"/>
      <c r="BJC210" s="212"/>
      <c r="BJD210" s="212"/>
      <c r="BJE210" s="212"/>
      <c r="BJF210" s="212"/>
      <c r="BJG210" s="212"/>
      <c r="BJH210" s="212"/>
      <c r="BJI210" s="212"/>
      <c r="BJJ210" s="212"/>
      <c r="BJK210" s="212"/>
      <c r="BJL210" s="212"/>
      <c r="BJM210" s="212"/>
      <c r="BJN210" s="212"/>
      <c r="BJO210" s="212"/>
      <c r="BJP210" s="214"/>
      <c r="BJQ210" s="211"/>
      <c r="BJR210" s="212"/>
      <c r="BJS210" s="212"/>
      <c r="BJT210" s="212"/>
      <c r="BJU210" s="212"/>
      <c r="BJV210" s="212"/>
      <c r="BJW210" s="212"/>
      <c r="BJX210" s="212"/>
      <c r="BJY210" s="212"/>
      <c r="BJZ210" s="212"/>
      <c r="BKA210" s="212"/>
      <c r="BKB210" s="212"/>
      <c r="BKC210" s="212"/>
      <c r="BKD210" s="212"/>
      <c r="BKE210" s="212"/>
      <c r="BKF210" s="212"/>
      <c r="BKG210" s="212"/>
      <c r="BKH210" s="212"/>
      <c r="BKI210" s="212"/>
      <c r="BKJ210" s="212"/>
      <c r="BKK210" s="212"/>
      <c r="BKL210" s="212"/>
      <c r="BKM210" s="212"/>
      <c r="BKN210" s="212"/>
      <c r="BKO210" s="212"/>
      <c r="BKP210" s="212"/>
      <c r="BKQ210" s="212"/>
      <c r="BKR210" s="212"/>
      <c r="BKS210" s="212"/>
      <c r="BKT210" s="212"/>
      <c r="BKU210" s="212"/>
      <c r="BKV210" s="212"/>
      <c r="BKW210" s="212"/>
      <c r="BKX210" s="212"/>
      <c r="BKY210" s="212"/>
      <c r="BKZ210" s="212"/>
      <c r="BLA210" s="212"/>
      <c r="BLB210" s="212"/>
      <c r="BLC210" s="212"/>
      <c r="BLD210" s="212"/>
      <c r="BLE210" s="212"/>
      <c r="BLF210" s="212"/>
      <c r="BLG210" s="212"/>
      <c r="BLH210" s="214"/>
      <c r="BLI210" s="211"/>
      <c r="BLJ210" s="212"/>
      <c r="BLK210" s="212"/>
      <c r="BLL210" s="212"/>
      <c r="BLM210" s="212"/>
      <c r="BLN210" s="212"/>
      <c r="BLO210" s="212"/>
      <c r="BLP210" s="212"/>
      <c r="BLQ210" s="212"/>
      <c r="BLR210" s="212"/>
      <c r="BLS210" s="212"/>
      <c r="BLT210" s="212"/>
      <c r="BLU210" s="212"/>
      <c r="BLV210" s="212"/>
      <c r="BLW210" s="212"/>
      <c r="BLX210" s="212"/>
      <c r="BLY210" s="212"/>
      <c r="BLZ210" s="212"/>
      <c r="BMA210" s="212"/>
      <c r="BMB210" s="212"/>
      <c r="BMC210" s="212"/>
      <c r="BMD210" s="212"/>
      <c r="BME210" s="212"/>
      <c r="BMF210" s="212"/>
      <c r="BMG210" s="212"/>
      <c r="BMH210" s="212"/>
      <c r="BMI210" s="212"/>
      <c r="BMJ210" s="212"/>
      <c r="BMK210" s="212"/>
      <c r="BML210" s="212"/>
      <c r="BMM210" s="212"/>
      <c r="BMN210" s="212"/>
      <c r="BMO210" s="212"/>
      <c r="BMP210" s="212"/>
      <c r="BMQ210" s="212"/>
      <c r="BMR210" s="212"/>
      <c r="BMS210" s="212"/>
      <c r="BMT210" s="212"/>
      <c r="BMU210" s="212"/>
      <c r="BMV210" s="212"/>
      <c r="BMW210" s="212"/>
      <c r="BMX210" s="212"/>
      <c r="BMY210" s="212"/>
      <c r="BMZ210" s="214"/>
      <c r="BNA210" s="211"/>
      <c r="BNB210" s="212"/>
      <c r="BNC210" s="212"/>
      <c r="BND210" s="212"/>
      <c r="BNE210" s="212"/>
      <c r="BNF210" s="212"/>
      <c r="BNG210" s="212"/>
      <c r="BNH210" s="212"/>
      <c r="BNI210" s="212"/>
      <c r="BNJ210" s="212"/>
      <c r="BNK210" s="212"/>
      <c r="BNL210" s="212"/>
      <c r="BNM210" s="212"/>
      <c r="BNN210" s="212"/>
      <c r="BNO210" s="212"/>
      <c r="BNP210" s="212"/>
      <c r="BNQ210" s="212"/>
      <c r="BNR210" s="212"/>
      <c r="BNS210" s="212"/>
      <c r="BNT210" s="212"/>
      <c r="BNU210" s="212"/>
      <c r="BNV210" s="212"/>
      <c r="BNW210" s="212"/>
      <c r="BNX210" s="212"/>
      <c r="BNY210" s="212"/>
      <c r="BNZ210" s="212"/>
      <c r="BOA210" s="212"/>
      <c r="BOB210" s="212"/>
      <c r="BOC210" s="212"/>
      <c r="BOD210" s="212"/>
      <c r="BOE210" s="212"/>
      <c r="BOF210" s="212"/>
      <c r="BOG210" s="212"/>
      <c r="BOH210" s="212"/>
      <c r="BOI210" s="212"/>
      <c r="BOJ210" s="212"/>
      <c r="BOK210" s="212"/>
      <c r="BOL210" s="212"/>
      <c r="BOM210" s="212"/>
      <c r="BON210" s="212"/>
      <c r="BOO210" s="212"/>
      <c r="BOP210" s="212"/>
      <c r="BOQ210" s="212"/>
      <c r="BOR210" s="214"/>
      <c r="BOS210" s="211"/>
      <c r="BOT210" s="212"/>
      <c r="BOU210" s="212"/>
      <c r="BOV210" s="212"/>
      <c r="BOW210" s="212"/>
      <c r="BOX210" s="212"/>
      <c r="BOY210" s="212"/>
      <c r="BOZ210" s="212"/>
      <c r="BPA210" s="212"/>
      <c r="BPB210" s="212"/>
      <c r="BPC210" s="212"/>
      <c r="BPD210" s="212"/>
      <c r="BPE210" s="212"/>
      <c r="BPF210" s="212"/>
      <c r="BPG210" s="212"/>
      <c r="BPH210" s="212"/>
      <c r="BPI210" s="212"/>
      <c r="BPJ210" s="212"/>
      <c r="BPK210" s="212"/>
      <c r="BPL210" s="212"/>
      <c r="BPM210" s="212"/>
      <c r="BPN210" s="212"/>
      <c r="BPO210" s="212"/>
      <c r="BPP210" s="212"/>
      <c r="BPQ210" s="212"/>
      <c r="BPR210" s="212"/>
      <c r="BPS210" s="212"/>
      <c r="BPT210" s="212"/>
      <c r="BPU210" s="212"/>
      <c r="BPV210" s="212"/>
      <c r="BPW210" s="212"/>
      <c r="BPX210" s="212"/>
      <c r="BPY210" s="212"/>
      <c r="BPZ210" s="212"/>
      <c r="BQA210" s="212"/>
      <c r="BQB210" s="212"/>
      <c r="BQC210" s="212"/>
      <c r="BQD210" s="212"/>
      <c r="BQE210" s="212"/>
      <c r="BQF210" s="212"/>
      <c r="BQG210" s="212"/>
      <c r="BQH210" s="212"/>
      <c r="BQI210" s="212"/>
      <c r="BQJ210" s="214"/>
      <c r="BQK210" s="211"/>
      <c r="BQL210" s="212"/>
      <c r="BQM210" s="212"/>
      <c r="BQN210" s="212"/>
      <c r="BQO210" s="212"/>
      <c r="BQP210" s="212"/>
      <c r="BQQ210" s="212"/>
      <c r="BQR210" s="212"/>
      <c r="BQS210" s="212"/>
      <c r="BQT210" s="212"/>
      <c r="BQU210" s="212"/>
      <c r="BQV210" s="212"/>
      <c r="BQW210" s="212"/>
      <c r="BQX210" s="212"/>
      <c r="BQY210" s="212"/>
      <c r="BQZ210" s="212"/>
      <c r="BRA210" s="212"/>
      <c r="BRB210" s="212"/>
      <c r="BRC210" s="212"/>
      <c r="BRD210" s="212"/>
      <c r="BRE210" s="212"/>
      <c r="BRF210" s="212"/>
      <c r="BRG210" s="212"/>
      <c r="BRH210" s="212"/>
      <c r="BRI210" s="212"/>
      <c r="BRJ210" s="212"/>
      <c r="BRK210" s="212"/>
      <c r="BRL210" s="212"/>
      <c r="BRM210" s="212"/>
      <c r="BRN210" s="212"/>
      <c r="BRO210" s="212"/>
      <c r="BRP210" s="212"/>
      <c r="BRQ210" s="212"/>
      <c r="BRR210" s="212"/>
      <c r="BRS210" s="212"/>
      <c r="BRT210" s="212"/>
      <c r="BRU210" s="212"/>
      <c r="BRV210" s="212"/>
      <c r="BRW210" s="212"/>
      <c r="BRX210" s="212"/>
      <c r="BRY210" s="212"/>
      <c r="BRZ210" s="212"/>
      <c r="BSA210" s="212"/>
      <c r="BSB210" s="214"/>
      <c r="BSC210" s="211"/>
      <c r="BSD210" s="212"/>
      <c r="BSE210" s="212"/>
      <c r="BSF210" s="212"/>
      <c r="BSG210" s="212"/>
      <c r="BSH210" s="212"/>
      <c r="BSI210" s="212"/>
      <c r="BSJ210" s="212"/>
      <c r="BSK210" s="212"/>
      <c r="BSL210" s="212"/>
      <c r="BSM210" s="212"/>
      <c r="BSN210" s="212"/>
      <c r="BSO210" s="212"/>
      <c r="BSP210" s="212"/>
      <c r="BSQ210" s="212"/>
      <c r="BSR210" s="212"/>
      <c r="BSS210" s="212"/>
      <c r="BST210" s="212"/>
      <c r="BSU210" s="212"/>
      <c r="BSV210" s="212"/>
      <c r="BSW210" s="212"/>
      <c r="BSX210" s="212"/>
      <c r="BSY210" s="212"/>
      <c r="BSZ210" s="212"/>
      <c r="BTA210" s="212"/>
      <c r="BTB210" s="212"/>
      <c r="BTC210" s="212"/>
      <c r="BTD210" s="212"/>
      <c r="BTE210" s="212"/>
      <c r="BTF210" s="212"/>
      <c r="BTG210" s="212"/>
      <c r="BTH210" s="212"/>
      <c r="BTI210" s="212"/>
      <c r="BTJ210" s="212"/>
      <c r="BTK210" s="212"/>
      <c r="BTL210" s="212"/>
      <c r="BTM210" s="212"/>
      <c r="BTN210" s="212"/>
      <c r="BTO210" s="212"/>
      <c r="BTP210" s="212"/>
      <c r="BTQ210" s="212"/>
      <c r="BTR210" s="212"/>
      <c r="BTS210" s="212"/>
      <c r="BTT210" s="214"/>
      <c r="BTU210" s="211"/>
      <c r="BTV210" s="212"/>
      <c r="BTW210" s="212"/>
      <c r="BTX210" s="212"/>
      <c r="BTY210" s="212"/>
      <c r="BTZ210" s="212"/>
      <c r="BUA210" s="212"/>
      <c r="BUB210" s="212"/>
      <c r="BUC210" s="212"/>
      <c r="BUD210" s="212"/>
      <c r="BUE210" s="212"/>
      <c r="BUF210" s="212"/>
      <c r="BUG210" s="212"/>
      <c r="BUH210" s="212"/>
      <c r="BUI210" s="212"/>
      <c r="BUJ210" s="212"/>
      <c r="BUK210" s="212"/>
      <c r="BUL210" s="212"/>
      <c r="BUM210" s="212"/>
      <c r="BUN210" s="212"/>
      <c r="BUO210" s="212"/>
      <c r="BUP210" s="212"/>
      <c r="BUQ210" s="212"/>
      <c r="BUR210" s="212"/>
      <c r="BUS210" s="212"/>
      <c r="BUT210" s="212"/>
      <c r="BUU210" s="212"/>
      <c r="BUV210" s="212"/>
      <c r="BUW210" s="212"/>
      <c r="BUX210" s="212"/>
      <c r="BUY210" s="212"/>
      <c r="BUZ210" s="212"/>
      <c r="BVA210" s="212"/>
      <c r="BVB210" s="212"/>
      <c r="BVC210" s="212"/>
      <c r="BVD210" s="212"/>
      <c r="BVE210" s="212"/>
      <c r="BVF210" s="212"/>
      <c r="BVG210" s="212"/>
      <c r="BVH210" s="212"/>
      <c r="BVI210" s="212"/>
      <c r="BVJ210" s="212"/>
      <c r="BVK210" s="212"/>
      <c r="BVL210" s="214"/>
      <c r="BVM210" s="211"/>
      <c r="BVN210" s="212"/>
      <c r="BVO210" s="212"/>
      <c r="BVP210" s="212"/>
      <c r="BVQ210" s="212"/>
      <c r="BVR210" s="212"/>
      <c r="BVS210" s="212"/>
      <c r="BVT210" s="212"/>
      <c r="BVU210" s="212"/>
      <c r="BVV210" s="212"/>
      <c r="BVW210" s="212"/>
      <c r="BVX210" s="212"/>
      <c r="BVY210" s="212"/>
      <c r="BVZ210" s="212"/>
      <c r="BWA210" s="212"/>
      <c r="BWB210" s="212"/>
      <c r="BWC210" s="212"/>
      <c r="BWD210" s="212"/>
      <c r="BWE210" s="212"/>
      <c r="BWF210" s="212"/>
      <c r="BWG210" s="212"/>
      <c r="BWH210" s="212"/>
      <c r="BWI210" s="212"/>
      <c r="BWJ210" s="212"/>
      <c r="BWK210" s="212"/>
      <c r="BWL210" s="212"/>
      <c r="BWM210" s="212"/>
      <c r="BWN210" s="212"/>
      <c r="BWO210" s="212"/>
      <c r="BWP210" s="212"/>
      <c r="BWQ210" s="212"/>
      <c r="BWR210" s="212"/>
      <c r="BWS210" s="212"/>
      <c r="BWT210" s="212"/>
      <c r="BWU210" s="212"/>
      <c r="BWV210" s="212"/>
      <c r="BWW210" s="212"/>
      <c r="BWX210" s="212"/>
      <c r="BWY210" s="212"/>
      <c r="BWZ210" s="212"/>
      <c r="BXA210" s="212"/>
      <c r="BXB210" s="212"/>
      <c r="BXC210" s="212"/>
      <c r="BXD210" s="214"/>
      <c r="BXE210" s="211"/>
      <c r="BXF210" s="212"/>
      <c r="BXG210" s="212"/>
      <c r="BXH210" s="212"/>
      <c r="BXI210" s="212"/>
      <c r="BXJ210" s="212"/>
      <c r="BXK210" s="212"/>
      <c r="BXL210" s="212"/>
      <c r="BXM210" s="212"/>
      <c r="BXN210" s="212"/>
      <c r="BXO210" s="212"/>
      <c r="BXP210" s="212"/>
      <c r="BXQ210" s="212"/>
      <c r="BXR210" s="212"/>
      <c r="BXS210" s="212"/>
      <c r="BXT210" s="212"/>
      <c r="BXU210" s="212"/>
      <c r="BXV210" s="212"/>
      <c r="BXW210" s="212"/>
      <c r="BXX210" s="212"/>
      <c r="BXY210" s="212"/>
      <c r="BXZ210" s="212"/>
      <c r="BYA210" s="212"/>
      <c r="BYB210" s="212"/>
      <c r="BYC210" s="212"/>
      <c r="BYD210" s="212"/>
      <c r="BYE210" s="212"/>
      <c r="BYF210" s="212"/>
      <c r="BYG210" s="212"/>
      <c r="BYH210" s="212"/>
      <c r="BYI210" s="212"/>
      <c r="BYJ210" s="212"/>
      <c r="BYK210" s="212"/>
      <c r="BYL210" s="212"/>
      <c r="BYM210" s="212"/>
      <c r="BYN210" s="212"/>
      <c r="BYO210" s="212"/>
      <c r="BYP210" s="212"/>
      <c r="BYQ210" s="212"/>
      <c r="BYR210" s="212"/>
      <c r="BYS210" s="212"/>
      <c r="BYT210" s="212"/>
      <c r="BYU210" s="212"/>
      <c r="BYV210" s="214"/>
      <c r="BYW210" s="211"/>
      <c r="BYX210" s="212"/>
      <c r="BYY210" s="212"/>
      <c r="BYZ210" s="212"/>
      <c r="BZA210" s="212"/>
      <c r="BZB210" s="212"/>
      <c r="BZC210" s="212"/>
      <c r="BZD210" s="212"/>
      <c r="BZE210" s="212"/>
      <c r="BZF210" s="212"/>
      <c r="BZG210" s="212"/>
      <c r="BZH210" s="212"/>
      <c r="BZI210" s="212"/>
      <c r="BZJ210" s="212"/>
      <c r="BZK210" s="212"/>
      <c r="BZL210" s="212"/>
      <c r="BZM210" s="212"/>
      <c r="BZN210" s="212"/>
      <c r="BZO210" s="212"/>
      <c r="BZP210" s="212"/>
      <c r="BZQ210" s="212"/>
      <c r="BZR210" s="212"/>
      <c r="BZS210" s="212"/>
      <c r="BZT210" s="212"/>
      <c r="BZU210" s="212"/>
      <c r="BZV210" s="212"/>
      <c r="BZW210" s="212"/>
      <c r="BZX210" s="212"/>
      <c r="BZY210" s="212"/>
      <c r="BZZ210" s="212"/>
      <c r="CAA210" s="212"/>
      <c r="CAB210" s="212"/>
      <c r="CAC210" s="212"/>
      <c r="CAD210" s="212"/>
      <c r="CAE210" s="212"/>
      <c r="CAF210" s="212"/>
      <c r="CAG210" s="212"/>
      <c r="CAH210" s="212"/>
      <c r="CAI210" s="212"/>
      <c r="CAJ210" s="212"/>
      <c r="CAK210" s="212"/>
      <c r="CAL210" s="212"/>
      <c r="CAM210" s="212"/>
      <c r="CAN210" s="214"/>
      <c r="CAO210" s="211"/>
      <c r="CAP210" s="212"/>
      <c r="CAQ210" s="212"/>
      <c r="CAR210" s="212"/>
      <c r="CAS210" s="212"/>
      <c r="CAT210" s="212"/>
      <c r="CAU210" s="212"/>
      <c r="CAV210" s="212"/>
      <c r="CAW210" s="212"/>
      <c r="CAX210" s="212"/>
      <c r="CAY210" s="212"/>
      <c r="CAZ210" s="212"/>
      <c r="CBA210" s="212"/>
      <c r="CBB210" s="212"/>
      <c r="CBC210" s="212"/>
      <c r="CBD210" s="212"/>
      <c r="CBE210" s="212"/>
      <c r="CBF210" s="212"/>
      <c r="CBG210" s="212"/>
      <c r="CBH210" s="212"/>
      <c r="CBI210" s="212"/>
      <c r="CBJ210" s="212"/>
      <c r="CBK210" s="212"/>
      <c r="CBL210" s="212"/>
      <c r="CBM210" s="212"/>
      <c r="CBN210" s="212"/>
      <c r="CBO210" s="212"/>
      <c r="CBP210" s="212"/>
      <c r="CBQ210" s="212"/>
      <c r="CBR210" s="212"/>
      <c r="CBS210" s="212"/>
      <c r="CBT210" s="212"/>
      <c r="CBU210" s="212"/>
      <c r="CBV210" s="212"/>
      <c r="CBW210" s="212"/>
      <c r="CBX210" s="212"/>
      <c r="CBY210" s="212"/>
      <c r="CBZ210" s="212"/>
      <c r="CCA210" s="212"/>
      <c r="CCB210" s="212"/>
      <c r="CCC210" s="212"/>
      <c r="CCD210" s="212"/>
      <c r="CCE210" s="212"/>
      <c r="CCF210" s="214"/>
      <c r="CCG210" s="211"/>
      <c r="CCH210" s="212"/>
      <c r="CCI210" s="212"/>
      <c r="CCJ210" s="212"/>
      <c r="CCK210" s="212"/>
      <c r="CCL210" s="212"/>
      <c r="CCM210" s="212"/>
      <c r="CCN210" s="212"/>
      <c r="CCO210" s="212"/>
      <c r="CCP210" s="212"/>
      <c r="CCQ210" s="212"/>
      <c r="CCR210" s="212"/>
      <c r="CCS210" s="212"/>
      <c r="CCT210" s="212"/>
      <c r="CCU210" s="212"/>
      <c r="CCV210" s="212"/>
      <c r="CCW210" s="212"/>
      <c r="CCX210" s="212"/>
      <c r="CCY210" s="212"/>
      <c r="CCZ210" s="212"/>
      <c r="CDA210" s="212"/>
      <c r="CDB210" s="212"/>
      <c r="CDC210" s="212"/>
      <c r="CDD210" s="212"/>
      <c r="CDE210" s="212"/>
      <c r="CDF210" s="212"/>
      <c r="CDG210" s="212"/>
      <c r="CDH210" s="212"/>
      <c r="CDI210" s="212"/>
      <c r="CDJ210" s="212"/>
      <c r="CDK210" s="212"/>
      <c r="CDL210" s="212"/>
      <c r="CDM210" s="212"/>
      <c r="CDN210" s="212"/>
      <c r="CDO210" s="212"/>
      <c r="CDP210" s="212"/>
      <c r="CDQ210" s="212"/>
      <c r="CDR210" s="212"/>
      <c r="CDS210" s="212"/>
      <c r="CDT210" s="212"/>
      <c r="CDU210" s="212"/>
      <c r="CDV210" s="212"/>
      <c r="CDW210" s="212"/>
      <c r="CDX210" s="214"/>
      <c r="CDY210" s="211"/>
      <c r="CDZ210" s="212"/>
      <c r="CEA210" s="212"/>
      <c r="CEB210" s="212"/>
      <c r="CEC210" s="212"/>
      <c r="CED210" s="212"/>
      <c r="CEE210" s="212"/>
      <c r="CEF210" s="212"/>
      <c r="CEG210" s="212"/>
      <c r="CEH210" s="212"/>
      <c r="CEI210" s="212"/>
      <c r="CEJ210" s="212"/>
      <c r="CEK210" s="212"/>
      <c r="CEL210" s="212"/>
      <c r="CEM210" s="212"/>
      <c r="CEN210" s="212"/>
      <c r="CEO210" s="212"/>
      <c r="CEP210" s="212"/>
      <c r="CEQ210" s="212"/>
      <c r="CER210" s="212"/>
      <c r="CES210" s="212"/>
      <c r="CET210" s="212"/>
      <c r="CEU210" s="212"/>
      <c r="CEV210" s="212"/>
      <c r="CEW210" s="212"/>
      <c r="CEX210" s="212"/>
      <c r="CEY210" s="212"/>
      <c r="CEZ210" s="212"/>
      <c r="CFA210" s="212"/>
      <c r="CFB210" s="212"/>
      <c r="CFC210" s="212"/>
      <c r="CFD210" s="212"/>
      <c r="CFE210" s="212"/>
      <c r="CFF210" s="212"/>
      <c r="CFG210" s="212"/>
      <c r="CFH210" s="212"/>
      <c r="CFI210" s="212"/>
      <c r="CFJ210" s="212"/>
      <c r="CFK210" s="212"/>
      <c r="CFL210" s="212"/>
      <c r="CFM210" s="212"/>
      <c r="CFN210" s="212"/>
      <c r="CFO210" s="212"/>
      <c r="CFP210" s="214"/>
      <c r="CFQ210" s="211"/>
      <c r="CFR210" s="212"/>
      <c r="CFS210" s="212"/>
      <c r="CFT210" s="212"/>
      <c r="CFU210" s="212"/>
      <c r="CFV210" s="212"/>
      <c r="CFW210" s="212"/>
      <c r="CFX210" s="212"/>
      <c r="CFY210" s="212"/>
      <c r="CFZ210" s="212"/>
      <c r="CGA210" s="212"/>
      <c r="CGB210" s="212"/>
      <c r="CGC210" s="212"/>
      <c r="CGD210" s="212"/>
      <c r="CGE210" s="212"/>
      <c r="CGF210" s="212"/>
      <c r="CGG210" s="212"/>
      <c r="CGH210" s="212"/>
      <c r="CGI210" s="212"/>
      <c r="CGJ210" s="212"/>
      <c r="CGK210" s="212"/>
      <c r="CGL210" s="212"/>
      <c r="CGM210" s="212"/>
      <c r="CGN210" s="212"/>
      <c r="CGO210" s="212"/>
      <c r="CGP210" s="212"/>
      <c r="CGQ210" s="212"/>
      <c r="CGR210" s="212"/>
      <c r="CGS210" s="212"/>
      <c r="CGT210" s="212"/>
      <c r="CGU210" s="212"/>
      <c r="CGV210" s="212"/>
      <c r="CGW210" s="212"/>
      <c r="CGX210" s="212"/>
      <c r="CGY210" s="212"/>
      <c r="CGZ210" s="212"/>
      <c r="CHA210" s="212"/>
      <c r="CHB210" s="212"/>
      <c r="CHC210" s="212"/>
      <c r="CHD210" s="212"/>
      <c r="CHE210" s="212"/>
      <c r="CHF210" s="212"/>
      <c r="CHG210" s="212"/>
      <c r="CHH210" s="214"/>
      <c r="CHI210" s="211"/>
      <c r="CHJ210" s="212"/>
      <c r="CHK210" s="212"/>
      <c r="CHL210" s="212"/>
      <c r="CHM210" s="212"/>
      <c r="CHN210" s="212"/>
      <c r="CHO210" s="212"/>
      <c r="CHP210" s="212"/>
      <c r="CHQ210" s="212"/>
      <c r="CHR210" s="212"/>
      <c r="CHS210" s="212"/>
      <c r="CHT210" s="212"/>
      <c r="CHU210" s="212"/>
      <c r="CHV210" s="212"/>
      <c r="CHW210" s="212"/>
      <c r="CHX210" s="212"/>
      <c r="CHY210" s="212"/>
      <c r="CHZ210" s="212"/>
      <c r="CIA210" s="212"/>
      <c r="CIB210" s="212"/>
      <c r="CIC210" s="212"/>
      <c r="CID210" s="212"/>
      <c r="CIE210" s="212"/>
      <c r="CIF210" s="212"/>
      <c r="CIG210" s="212"/>
      <c r="CIH210" s="212"/>
      <c r="CII210" s="212"/>
      <c r="CIJ210" s="212"/>
      <c r="CIK210" s="212"/>
      <c r="CIL210" s="212"/>
      <c r="CIM210" s="212"/>
      <c r="CIN210" s="212"/>
      <c r="CIO210" s="212"/>
      <c r="CIP210" s="212"/>
      <c r="CIQ210" s="212"/>
      <c r="CIR210" s="212"/>
      <c r="CIS210" s="212"/>
      <c r="CIT210" s="212"/>
      <c r="CIU210" s="212"/>
      <c r="CIV210" s="212"/>
      <c r="CIW210" s="212"/>
      <c r="CIX210" s="212"/>
      <c r="CIY210" s="212"/>
      <c r="CIZ210" s="214"/>
      <c r="CJA210" s="211"/>
      <c r="CJB210" s="212"/>
      <c r="CJC210" s="212"/>
      <c r="CJD210" s="212"/>
      <c r="CJE210" s="212"/>
      <c r="CJF210" s="212"/>
      <c r="CJG210" s="212"/>
      <c r="CJH210" s="212"/>
      <c r="CJI210" s="212"/>
      <c r="CJJ210" s="212"/>
      <c r="CJK210" s="212"/>
      <c r="CJL210" s="212"/>
      <c r="CJM210" s="212"/>
      <c r="CJN210" s="212"/>
      <c r="CJO210" s="212"/>
      <c r="CJP210" s="212"/>
      <c r="CJQ210" s="212"/>
      <c r="CJR210" s="212"/>
      <c r="CJS210" s="212"/>
      <c r="CJT210" s="212"/>
      <c r="CJU210" s="212"/>
      <c r="CJV210" s="212"/>
      <c r="CJW210" s="212"/>
      <c r="CJX210" s="212"/>
      <c r="CJY210" s="212"/>
      <c r="CJZ210" s="212"/>
      <c r="CKA210" s="212"/>
      <c r="CKB210" s="212"/>
      <c r="CKC210" s="212"/>
      <c r="CKD210" s="212"/>
      <c r="CKE210" s="212"/>
      <c r="CKF210" s="212"/>
      <c r="CKG210" s="212"/>
      <c r="CKH210" s="212"/>
      <c r="CKI210" s="212"/>
      <c r="CKJ210" s="212"/>
      <c r="CKK210" s="212"/>
      <c r="CKL210" s="212"/>
      <c r="CKM210" s="212"/>
      <c r="CKN210" s="212"/>
      <c r="CKO210" s="212"/>
      <c r="CKP210" s="212"/>
      <c r="CKQ210" s="212"/>
      <c r="CKR210" s="214"/>
      <c r="CKS210" s="211"/>
      <c r="CKT210" s="212"/>
      <c r="CKU210" s="212"/>
      <c r="CKV210" s="212"/>
      <c r="CKW210" s="212"/>
      <c r="CKX210" s="212"/>
      <c r="CKY210" s="212"/>
      <c r="CKZ210" s="212"/>
      <c r="CLA210" s="212"/>
      <c r="CLB210" s="212"/>
      <c r="CLC210" s="212"/>
      <c r="CLD210" s="212"/>
      <c r="CLE210" s="212"/>
      <c r="CLF210" s="212"/>
      <c r="CLG210" s="212"/>
      <c r="CLH210" s="212"/>
      <c r="CLI210" s="212"/>
      <c r="CLJ210" s="212"/>
      <c r="CLK210" s="212"/>
      <c r="CLL210" s="212"/>
      <c r="CLM210" s="212"/>
      <c r="CLN210" s="212"/>
      <c r="CLO210" s="212"/>
      <c r="CLP210" s="212"/>
      <c r="CLQ210" s="212"/>
      <c r="CLR210" s="212"/>
      <c r="CLS210" s="212"/>
      <c r="CLT210" s="212"/>
      <c r="CLU210" s="212"/>
      <c r="CLV210" s="212"/>
      <c r="CLW210" s="212"/>
      <c r="CLX210" s="212"/>
      <c r="CLY210" s="212"/>
      <c r="CLZ210" s="212"/>
      <c r="CMA210" s="212"/>
      <c r="CMB210" s="212"/>
      <c r="CMC210" s="212"/>
      <c r="CMD210" s="212"/>
      <c r="CME210" s="212"/>
      <c r="CMF210" s="212"/>
      <c r="CMG210" s="212"/>
      <c r="CMH210" s="212"/>
      <c r="CMI210" s="212"/>
      <c r="CMJ210" s="214"/>
      <c r="CMK210" s="211"/>
      <c r="CML210" s="212"/>
      <c r="CMM210" s="212"/>
      <c r="CMN210" s="212"/>
      <c r="CMO210" s="212"/>
      <c r="CMP210" s="212"/>
      <c r="CMQ210" s="212"/>
      <c r="CMR210" s="212"/>
      <c r="CMS210" s="212"/>
      <c r="CMT210" s="212"/>
      <c r="CMU210" s="212"/>
      <c r="CMV210" s="212"/>
      <c r="CMW210" s="212"/>
      <c r="CMX210" s="212"/>
      <c r="CMY210" s="212"/>
      <c r="CMZ210" s="212"/>
      <c r="CNA210" s="212"/>
      <c r="CNB210" s="212"/>
      <c r="CNC210" s="212"/>
      <c r="CND210" s="212"/>
      <c r="CNE210" s="212"/>
      <c r="CNF210" s="212"/>
      <c r="CNG210" s="212"/>
      <c r="CNH210" s="212"/>
      <c r="CNI210" s="212"/>
      <c r="CNJ210" s="212"/>
      <c r="CNK210" s="212"/>
      <c r="CNL210" s="212"/>
      <c r="CNM210" s="212"/>
      <c r="CNN210" s="212"/>
      <c r="CNO210" s="212"/>
      <c r="CNP210" s="212"/>
      <c r="CNQ210" s="212"/>
      <c r="CNR210" s="212"/>
      <c r="CNS210" s="212"/>
      <c r="CNT210" s="212"/>
      <c r="CNU210" s="212"/>
      <c r="CNV210" s="212"/>
      <c r="CNW210" s="212"/>
      <c r="CNX210" s="212"/>
      <c r="CNY210" s="212"/>
      <c r="CNZ210" s="212"/>
      <c r="COA210" s="212"/>
      <c r="COB210" s="214"/>
      <c r="COC210" s="211"/>
      <c r="COD210" s="212"/>
      <c r="COE210" s="212"/>
      <c r="COF210" s="212"/>
      <c r="COG210" s="212"/>
      <c r="COH210" s="212"/>
      <c r="COI210" s="212"/>
      <c r="COJ210" s="212"/>
      <c r="COK210" s="212"/>
      <c r="COL210" s="212"/>
      <c r="COM210" s="212"/>
      <c r="CON210" s="212"/>
      <c r="COO210" s="212"/>
      <c r="COP210" s="212"/>
      <c r="COQ210" s="212"/>
      <c r="COR210" s="212"/>
      <c r="COS210" s="212"/>
      <c r="COT210" s="212"/>
      <c r="COU210" s="212"/>
      <c r="COV210" s="212"/>
      <c r="COW210" s="212"/>
      <c r="COX210" s="212"/>
      <c r="COY210" s="212"/>
      <c r="COZ210" s="212"/>
      <c r="CPA210" s="212"/>
      <c r="CPB210" s="212"/>
      <c r="CPC210" s="212"/>
      <c r="CPD210" s="212"/>
      <c r="CPE210" s="212"/>
      <c r="CPF210" s="212"/>
      <c r="CPG210" s="212"/>
      <c r="CPH210" s="212"/>
      <c r="CPI210" s="212"/>
      <c r="CPJ210" s="212"/>
      <c r="CPK210" s="212"/>
      <c r="CPL210" s="212"/>
      <c r="CPM210" s="212"/>
      <c r="CPN210" s="212"/>
      <c r="CPO210" s="212"/>
      <c r="CPP210" s="212"/>
      <c r="CPQ210" s="212"/>
      <c r="CPR210" s="212"/>
      <c r="CPS210" s="212"/>
      <c r="CPT210" s="214"/>
      <c r="CPU210" s="211"/>
      <c r="CPV210" s="212"/>
      <c r="CPW210" s="212"/>
      <c r="CPX210" s="212"/>
      <c r="CPY210" s="212"/>
      <c r="CPZ210" s="212"/>
      <c r="CQA210" s="212"/>
      <c r="CQB210" s="212"/>
      <c r="CQC210" s="212"/>
      <c r="CQD210" s="212"/>
      <c r="CQE210" s="212"/>
      <c r="CQF210" s="212"/>
      <c r="CQG210" s="212"/>
      <c r="CQH210" s="212"/>
      <c r="CQI210" s="212"/>
      <c r="CQJ210" s="212"/>
      <c r="CQK210" s="212"/>
      <c r="CQL210" s="212"/>
      <c r="CQM210" s="212"/>
      <c r="CQN210" s="212"/>
      <c r="CQO210" s="212"/>
      <c r="CQP210" s="212"/>
      <c r="CQQ210" s="212"/>
      <c r="CQR210" s="212"/>
      <c r="CQS210" s="212"/>
      <c r="CQT210" s="212"/>
      <c r="CQU210" s="212"/>
      <c r="CQV210" s="212"/>
      <c r="CQW210" s="212"/>
      <c r="CQX210" s="212"/>
      <c r="CQY210" s="212"/>
      <c r="CQZ210" s="212"/>
      <c r="CRA210" s="212"/>
      <c r="CRB210" s="212"/>
      <c r="CRC210" s="212"/>
      <c r="CRD210" s="212"/>
      <c r="CRE210" s="212"/>
      <c r="CRF210" s="212"/>
      <c r="CRG210" s="212"/>
      <c r="CRH210" s="212"/>
      <c r="CRI210" s="212"/>
      <c r="CRJ210" s="212"/>
      <c r="CRK210" s="212"/>
      <c r="CRL210" s="214"/>
      <c r="CRM210" s="211"/>
      <c r="CRN210" s="212"/>
      <c r="CRO210" s="212"/>
      <c r="CRP210" s="212"/>
      <c r="CRQ210" s="212"/>
      <c r="CRR210" s="212"/>
      <c r="CRS210" s="212"/>
      <c r="CRT210" s="212"/>
      <c r="CRU210" s="212"/>
      <c r="CRV210" s="212"/>
      <c r="CRW210" s="212"/>
      <c r="CRX210" s="212"/>
      <c r="CRY210" s="212"/>
      <c r="CRZ210" s="212"/>
      <c r="CSA210" s="212"/>
      <c r="CSB210" s="212"/>
      <c r="CSC210" s="212"/>
      <c r="CSD210" s="212"/>
      <c r="CSE210" s="212"/>
      <c r="CSF210" s="212"/>
      <c r="CSG210" s="212"/>
      <c r="CSH210" s="212"/>
      <c r="CSI210" s="212"/>
      <c r="CSJ210" s="212"/>
      <c r="CSK210" s="212"/>
      <c r="CSL210" s="212"/>
      <c r="CSM210" s="212"/>
      <c r="CSN210" s="212"/>
      <c r="CSO210" s="212"/>
      <c r="CSP210" s="212"/>
      <c r="CSQ210" s="212"/>
      <c r="CSR210" s="212"/>
      <c r="CSS210" s="212"/>
      <c r="CST210" s="212"/>
      <c r="CSU210" s="212"/>
      <c r="CSV210" s="212"/>
      <c r="CSW210" s="212"/>
      <c r="CSX210" s="212"/>
      <c r="CSY210" s="212"/>
      <c r="CSZ210" s="212"/>
      <c r="CTA210" s="212"/>
      <c r="CTB210" s="212"/>
      <c r="CTC210" s="212"/>
      <c r="CTD210" s="214"/>
      <c r="CTE210" s="211"/>
      <c r="CTF210" s="212"/>
      <c r="CTG210" s="212"/>
      <c r="CTH210" s="212"/>
      <c r="CTI210" s="212"/>
      <c r="CTJ210" s="212"/>
      <c r="CTK210" s="212"/>
      <c r="CTL210" s="212"/>
      <c r="CTM210" s="212"/>
      <c r="CTN210" s="212"/>
      <c r="CTO210" s="212"/>
      <c r="CTP210" s="212"/>
      <c r="CTQ210" s="212"/>
      <c r="CTR210" s="212"/>
      <c r="CTS210" s="212"/>
      <c r="CTT210" s="212"/>
      <c r="CTU210" s="212"/>
      <c r="CTV210" s="212"/>
      <c r="CTW210" s="212"/>
      <c r="CTX210" s="212"/>
      <c r="CTY210" s="212"/>
      <c r="CTZ210" s="212"/>
      <c r="CUA210" s="212"/>
      <c r="CUB210" s="212"/>
      <c r="CUC210" s="212"/>
      <c r="CUD210" s="212"/>
      <c r="CUE210" s="212"/>
      <c r="CUF210" s="212"/>
      <c r="CUG210" s="212"/>
      <c r="CUH210" s="212"/>
      <c r="CUI210" s="212"/>
      <c r="CUJ210" s="212"/>
      <c r="CUK210" s="212"/>
      <c r="CUL210" s="212"/>
      <c r="CUM210" s="212"/>
      <c r="CUN210" s="212"/>
      <c r="CUO210" s="212"/>
      <c r="CUP210" s="212"/>
      <c r="CUQ210" s="212"/>
      <c r="CUR210" s="212"/>
      <c r="CUS210" s="212"/>
      <c r="CUT210" s="212"/>
      <c r="CUU210" s="212"/>
      <c r="CUV210" s="214"/>
      <c r="CUW210" s="211"/>
      <c r="CUX210" s="212"/>
      <c r="CUY210" s="212"/>
      <c r="CUZ210" s="212"/>
      <c r="CVA210" s="212"/>
      <c r="CVB210" s="212"/>
      <c r="CVC210" s="212"/>
      <c r="CVD210" s="212"/>
      <c r="CVE210" s="212"/>
      <c r="CVF210" s="212"/>
      <c r="CVG210" s="212"/>
      <c r="CVH210" s="212"/>
      <c r="CVI210" s="212"/>
      <c r="CVJ210" s="212"/>
      <c r="CVK210" s="212"/>
      <c r="CVL210" s="212"/>
      <c r="CVM210" s="212"/>
      <c r="CVN210" s="212"/>
      <c r="CVO210" s="212"/>
      <c r="CVP210" s="212"/>
      <c r="CVQ210" s="212"/>
      <c r="CVR210" s="212"/>
      <c r="CVS210" s="212"/>
      <c r="CVT210" s="212"/>
      <c r="CVU210" s="212"/>
      <c r="CVV210" s="212"/>
      <c r="CVW210" s="212"/>
      <c r="CVX210" s="212"/>
      <c r="CVY210" s="212"/>
      <c r="CVZ210" s="212"/>
      <c r="CWA210" s="212"/>
      <c r="CWB210" s="212"/>
      <c r="CWC210" s="212"/>
      <c r="CWD210" s="212"/>
      <c r="CWE210" s="212"/>
      <c r="CWF210" s="212"/>
      <c r="CWG210" s="212"/>
      <c r="CWH210" s="212"/>
      <c r="CWI210" s="212"/>
      <c r="CWJ210" s="212"/>
      <c r="CWK210" s="212"/>
      <c r="CWL210" s="212"/>
      <c r="CWM210" s="212"/>
      <c r="CWN210" s="214"/>
      <c r="CWO210" s="211"/>
      <c r="CWP210" s="212"/>
      <c r="CWQ210" s="212"/>
      <c r="CWR210" s="212"/>
      <c r="CWS210" s="212"/>
      <c r="CWT210" s="212"/>
      <c r="CWU210" s="212"/>
      <c r="CWV210" s="212"/>
      <c r="CWW210" s="212"/>
      <c r="CWX210" s="212"/>
      <c r="CWY210" s="212"/>
      <c r="CWZ210" s="212"/>
      <c r="CXA210" s="212"/>
      <c r="CXB210" s="212"/>
      <c r="CXC210" s="212"/>
      <c r="CXD210" s="212"/>
      <c r="CXE210" s="212"/>
      <c r="CXF210" s="212"/>
      <c r="CXG210" s="212"/>
      <c r="CXH210" s="212"/>
      <c r="CXI210" s="212"/>
      <c r="CXJ210" s="212"/>
      <c r="CXK210" s="212"/>
      <c r="CXL210" s="212"/>
      <c r="CXM210" s="212"/>
      <c r="CXN210" s="212"/>
      <c r="CXO210" s="212"/>
      <c r="CXP210" s="212"/>
      <c r="CXQ210" s="212"/>
      <c r="CXR210" s="212"/>
      <c r="CXS210" s="212"/>
      <c r="CXT210" s="212"/>
      <c r="CXU210" s="212"/>
      <c r="CXV210" s="212"/>
      <c r="CXW210" s="212"/>
      <c r="CXX210" s="212"/>
      <c r="CXY210" s="212"/>
      <c r="CXZ210" s="212"/>
      <c r="CYA210" s="212"/>
      <c r="CYB210" s="212"/>
      <c r="CYC210" s="212"/>
      <c r="CYD210" s="212"/>
      <c r="CYE210" s="212"/>
      <c r="CYF210" s="214"/>
      <c r="CYG210" s="211"/>
      <c r="CYH210" s="212"/>
      <c r="CYI210" s="212"/>
      <c r="CYJ210" s="212"/>
      <c r="CYK210" s="212"/>
      <c r="CYL210" s="212"/>
      <c r="CYM210" s="212"/>
      <c r="CYN210" s="212"/>
      <c r="CYO210" s="212"/>
      <c r="CYP210" s="212"/>
      <c r="CYQ210" s="212"/>
      <c r="CYR210" s="212"/>
      <c r="CYS210" s="212"/>
      <c r="CYT210" s="212"/>
      <c r="CYU210" s="212"/>
      <c r="CYV210" s="212"/>
      <c r="CYW210" s="212"/>
      <c r="CYX210" s="212"/>
      <c r="CYY210" s="212"/>
      <c r="CYZ210" s="212"/>
      <c r="CZA210" s="212"/>
      <c r="CZB210" s="212"/>
      <c r="CZC210" s="212"/>
      <c r="CZD210" s="212"/>
      <c r="CZE210" s="212"/>
      <c r="CZF210" s="212"/>
      <c r="CZG210" s="212"/>
      <c r="CZH210" s="212"/>
      <c r="CZI210" s="212"/>
      <c r="CZJ210" s="212"/>
      <c r="CZK210" s="212"/>
      <c r="CZL210" s="212"/>
      <c r="CZM210" s="212"/>
      <c r="CZN210" s="212"/>
      <c r="CZO210" s="212"/>
      <c r="CZP210" s="212"/>
      <c r="CZQ210" s="212"/>
      <c r="CZR210" s="212"/>
      <c r="CZS210" s="212"/>
      <c r="CZT210" s="212"/>
      <c r="CZU210" s="212"/>
      <c r="CZV210" s="212"/>
      <c r="CZW210" s="212"/>
      <c r="CZX210" s="214"/>
      <c r="CZY210" s="211"/>
      <c r="CZZ210" s="212"/>
      <c r="DAA210" s="212"/>
      <c r="DAB210" s="212"/>
      <c r="DAC210" s="212"/>
      <c r="DAD210" s="212"/>
      <c r="DAE210" s="212"/>
      <c r="DAF210" s="212"/>
      <c r="DAG210" s="212"/>
      <c r="DAH210" s="212"/>
      <c r="DAI210" s="212"/>
      <c r="DAJ210" s="212"/>
      <c r="DAK210" s="212"/>
      <c r="DAL210" s="212"/>
      <c r="DAM210" s="212"/>
      <c r="DAN210" s="212"/>
      <c r="DAO210" s="212"/>
      <c r="DAP210" s="212"/>
      <c r="DAQ210" s="212"/>
      <c r="DAR210" s="212"/>
      <c r="DAS210" s="212"/>
      <c r="DAT210" s="212"/>
      <c r="DAU210" s="212"/>
      <c r="DAV210" s="212"/>
      <c r="DAW210" s="212"/>
      <c r="DAX210" s="212"/>
      <c r="DAY210" s="212"/>
      <c r="DAZ210" s="212"/>
      <c r="DBA210" s="212"/>
      <c r="DBB210" s="212"/>
      <c r="DBC210" s="212"/>
      <c r="DBD210" s="212"/>
      <c r="DBE210" s="212"/>
      <c r="DBF210" s="212"/>
      <c r="DBG210" s="212"/>
      <c r="DBH210" s="212"/>
      <c r="DBI210" s="212"/>
      <c r="DBJ210" s="212"/>
      <c r="DBK210" s="212"/>
      <c r="DBL210" s="212"/>
      <c r="DBM210" s="212"/>
      <c r="DBN210" s="212"/>
      <c r="DBO210" s="212"/>
      <c r="DBP210" s="214"/>
      <c r="DBQ210" s="211"/>
      <c r="DBR210" s="212"/>
      <c r="DBS210" s="212"/>
      <c r="DBT210" s="212"/>
      <c r="DBU210" s="212"/>
      <c r="DBV210" s="212"/>
      <c r="DBW210" s="212"/>
      <c r="DBX210" s="212"/>
      <c r="DBY210" s="212"/>
      <c r="DBZ210" s="212"/>
      <c r="DCA210" s="212"/>
      <c r="DCB210" s="212"/>
      <c r="DCC210" s="212"/>
      <c r="DCD210" s="212"/>
      <c r="DCE210" s="212"/>
      <c r="DCF210" s="212"/>
      <c r="DCG210" s="212"/>
      <c r="DCH210" s="212"/>
      <c r="DCI210" s="212"/>
      <c r="DCJ210" s="212"/>
      <c r="DCK210" s="212"/>
      <c r="DCL210" s="212"/>
      <c r="DCM210" s="212"/>
      <c r="DCN210" s="212"/>
      <c r="DCO210" s="212"/>
      <c r="DCP210" s="212"/>
      <c r="DCQ210" s="212"/>
      <c r="DCR210" s="212"/>
      <c r="DCS210" s="212"/>
      <c r="DCT210" s="212"/>
      <c r="DCU210" s="212"/>
      <c r="DCV210" s="212"/>
      <c r="DCW210" s="212"/>
      <c r="DCX210" s="212"/>
      <c r="DCY210" s="212"/>
      <c r="DCZ210" s="212"/>
      <c r="DDA210" s="212"/>
      <c r="DDB210" s="212"/>
      <c r="DDC210" s="212"/>
      <c r="DDD210" s="212"/>
      <c r="DDE210" s="212"/>
      <c r="DDF210" s="212"/>
      <c r="DDG210" s="212"/>
      <c r="DDH210" s="214"/>
      <c r="DDI210" s="211"/>
      <c r="DDJ210" s="212"/>
      <c r="DDK210" s="212"/>
      <c r="DDL210" s="212"/>
      <c r="DDM210" s="212"/>
      <c r="DDN210" s="212"/>
      <c r="DDO210" s="212"/>
      <c r="DDP210" s="212"/>
      <c r="DDQ210" s="212"/>
      <c r="DDR210" s="212"/>
      <c r="DDS210" s="212"/>
      <c r="DDT210" s="212"/>
      <c r="DDU210" s="212"/>
      <c r="DDV210" s="212"/>
      <c r="DDW210" s="212"/>
      <c r="DDX210" s="212"/>
      <c r="DDY210" s="212"/>
      <c r="DDZ210" s="212"/>
      <c r="DEA210" s="212"/>
      <c r="DEB210" s="212"/>
      <c r="DEC210" s="212"/>
      <c r="DED210" s="212"/>
      <c r="DEE210" s="212"/>
      <c r="DEF210" s="212"/>
      <c r="DEG210" s="212"/>
      <c r="DEH210" s="212"/>
      <c r="DEI210" s="212"/>
      <c r="DEJ210" s="212"/>
      <c r="DEK210" s="212"/>
      <c r="DEL210" s="212"/>
      <c r="DEM210" s="212"/>
      <c r="DEN210" s="212"/>
      <c r="DEO210" s="212"/>
      <c r="DEP210" s="212"/>
      <c r="DEQ210" s="212"/>
      <c r="DER210" s="212"/>
      <c r="DES210" s="212"/>
      <c r="DET210" s="212"/>
      <c r="DEU210" s="212"/>
      <c r="DEV210" s="212"/>
      <c r="DEW210" s="212"/>
      <c r="DEX210" s="212"/>
      <c r="DEY210" s="212"/>
      <c r="DEZ210" s="214"/>
      <c r="DFA210" s="211"/>
      <c r="DFB210" s="212"/>
      <c r="DFC210" s="212"/>
      <c r="DFD210" s="212"/>
      <c r="DFE210" s="212"/>
      <c r="DFF210" s="212"/>
      <c r="DFG210" s="212"/>
      <c r="DFH210" s="212"/>
      <c r="DFI210" s="212"/>
      <c r="DFJ210" s="212"/>
      <c r="DFK210" s="212"/>
      <c r="DFL210" s="212"/>
      <c r="DFM210" s="212"/>
      <c r="DFN210" s="212"/>
      <c r="DFO210" s="212"/>
      <c r="DFP210" s="212"/>
      <c r="DFQ210" s="212"/>
      <c r="DFR210" s="212"/>
      <c r="DFS210" s="212"/>
      <c r="DFT210" s="212"/>
      <c r="DFU210" s="212"/>
      <c r="DFV210" s="212"/>
      <c r="DFW210" s="212"/>
      <c r="DFX210" s="212"/>
      <c r="DFY210" s="212"/>
      <c r="DFZ210" s="212"/>
      <c r="DGA210" s="212"/>
      <c r="DGB210" s="212"/>
      <c r="DGC210" s="212"/>
      <c r="DGD210" s="212"/>
      <c r="DGE210" s="212"/>
      <c r="DGF210" s="212"/>
      <c r="DGG210" s="212"/>
      <c r="DGH210" s="212"/>
      <c r="DGI210" s="212"/>
      <c r="DGJ210" s="212"/>
      <c r="DGK210" s="212"/>
      <c r="DGL210" s="212"/>
      <c r="DGM210" s="212"/>
      <c r="DGN210" s="212"/>
      <c r="DGO210" s="212"/>
      <c r="DGP210" s="212"/>
      <c r="DGQ210" s="212"/>
      <c r="DGR210" s="214"/>
      <c r="DGS210" s="211"/>
      <c r="DGT210" s="212"/>
      <c r="DGU210" s="212"/>
      <c r="DGV210" s="212"/>
      <c r="DGW210" s="212"/>
      <c r="DGX210" s="212"/>
      <c r="DGY210" s="212"/>
      <c r="DGZ210" s="212"/>
      <c r="DHA210" s="212"/>
      <c r="DHB210" s="212"/>
      <c r="DHC210" s="212"/>
      <c r="DHD210" s="212"/>
      <c r="DHE210" s="212"/>
      <c r="DHF210" s="212"/>
      <c r="DHG210" s="212"/>
      <c r="DHH210" s="212"/>
      <c r="DHI210" s="212"/>
      <c r="DHJ210" s="212"/>
      <c r="DHK210" s="212"/>
      <c r="DHL210" s="212"/>
      <c r="DHM210" s="212"/>
      <c r="DHN210" s="212"/>
      <c r="DHO210" s="212"/>
      <c r="DHP210" s="212"/>
      <c r="DHQ210" s="212"/>
      <c r="DHR210" s="212"/>
      <c r="DHS210" s="212"/>
      <c r="DHT210" s="212"/>
      <c r="DHU210" s="212"/>
      <c r="DHV210" s="212"/>
      <c r="DHW210" s="212"/>
      <c r="DHX210" s="212"/>
      <c r="DHY210" s="212"/>
      <c r="DHZ210" s="212"/>
      <c r="DIA210" s="212"/>
      <c r="DIB210" s="212"/>
      <c r="DIC210" s="212"/>
      <c r="DID210" s="212"/>
      <c r="DIE210" s="212"/>
      <c r="DIF210" s="212"/>
      <c r="DIG210" s="212"/>
      <c r="DIH210" s="212"/>
      <c r="DII210" s="212"/>
      <c r="DIJ210" s="214"/>
      <c r="DIK210" s="211"/>
      <c r="DIL210" s="212"/>
      <c r="DIM210" s="212"/>
      <c r="DIN210" s="212"/>
      <c r="DIO210" s="212"/>
      <c r="DIP210" s="212"/>
      <c r="DIQ210" s="212"/>
      <c r="DIR210" s="212"/>
      <c r="DIS210" s="212"/>
      <c r="DIT210" s="212"/>
      <c r="DIU210" s="212"/>
      <c r="DIV210" s="212"/>
      <c r="DIW210" s="212"/>
      <c r="DIX210" s="212"/>
      <c r="DIY210" s="212"/>
      <c r="DIZ210" s="212"/>
      <c r="DJA210" s="212"/>
      <c r="DJB210" s="212"/>
      <c r="DJC210" s="212"/>
      <c r="DJD210" s="212"/>
      <c r="DJE210" s="212"/>
      <c r="DJF210" s="212"/>
      <c r="DJG210" s="212"/>
      <c r="DJH210" s="212"/>
      <c r="DJI210" s="212"/>
      <c r="DJJ210" s="212"/>
      <c r="DJK210" s="212"/>
      <c r="DJL210" s="212"/>
      <c r="DJM210" s="212"/>
      <c r="DJN210" s="212"/>
      <c r="DJO210" s="212"/>
      <c r="DJP210" s="212"/>
      <c r="DJQ210" s="212"/>
      <c r="DJR210" s="212"/>
      <c r="DJS210" s="212"/>
      <c r="DJT210" s="212"/>
      <c r="DJU210" s="212"/>
      <c r="DJV210" s="212"/>
      <c r="DJW210" s="212"/>
      <c r="DJX210" s="212"/>
      <c r="DJY210" s="212"/>
      <c r="DJZ210" s="212"/>
      <c r="DKA210" s="212"/>
      <c r="DKB210" s="214"/>
      <c r="DKC210" s="211"/>
      <c r="DKD210" s="212"/>
      <c r="DKE210" s="212"/>
      <c r="DKF210" s="212"/>
      <c r="DKG210" s="212"/>
      <c r="DKH210" s="212"/>
      <c r="DKI210" s="212"/>
      <c r="DKJ210" s="212"/>
      <c r="DKK210" s="212"/>
      <c r="DKL210" s="212"/>
      <c r="DKM210" s="212"/>
      <c r="DKN210" s="212"/>
      <c r="DKO210" s="212"/>
      <c r="DKP210" s="212"/>
      <c r="DKQ210" s="212"/>
      <c r="DKR210" s="212"/>
      <c r="DKS210" s="212"/>
      <c r="DKT210" s="212"/>
      <c r="DKU210" s="212"/>
      <c r="DKV210" s="212"/>
      <c r="DKW210" s="212"/>
      <c r="DKX210" s="212"/>
      <c r="DKY210" s="212"/>
      <c r="DKZ210" s="212"/>
      <c r="DLA210" s="212"/>
      <c r="DLB210" s="212"/>
      <c r="DLC210" s="212"/>
      <c r="DLD210" s="212"/>
      <c r="DLE210" s="212"/>
      <c r="DLF210" s="212"/>
      <c r="DLG210" s="212"/>
      <c r="DLH210" s="212"/>
      <c r="DLI210" s="212"/>
      <c r="DLJ210" s="212"/>
      <c r="DLK210" s="212"/>
      <c r="DLL210" s="212"/>
      <c r="DLM210" s="212"/>
      <c r="DLN210" s="212"/>
      <c r="DLO210" s="212"/>
      <c r="DLP210" s="212"/>
      <c r="DLQ210" s="212"/>
      <c r="DLR210" s="212"/>
      <c r="DLS210" s="212"/>
      <c r="DLT210" s="214"/>
      <c r="DLU210" s="211"/>
      <c r="DLV210" s="212"/>
      <c r="DLW210" s="212"/>
      <c r="DLX210" s="212"/>
      <c r="DLY210" s="212"/>
      <c r="DLZ210" s="212"/>
      <c r="DMA210" s="212"/>
      <c r="DMB210" s="212"/>
      <c r="DMC210" s="212"/>
      <c r="DMD210" s="212"/>
      <c r="DME210" s="212"/>
      <c r="DMF210" s="212"/>
      <c r="DMG210" s="212"/>
      <c r="DMH210" s="212"/>
      <c r="DMI210" s="212"/>
      <c r="DMJ210" s="212"/>
      <c r="DMK210" s="212"/>
      <c r="DML210" s="212"/>
      <c r="DMM210" s="212"/>
      <c r="DMN210" s="212"/>
      <c r="DMO210" s="212"/>
      <c r="DMP210" s="212"/>
      <c r="DMQ210" s="212"/>
      <c r="DMR210" s="212"/>
      <c r="DMS210" s="212"/>
      <c r="DMT210" s="212"/>
      <c r="DMU210" s="212"/>
      <c r="DMV210" s="212"/>
      <c r="DMW210" s="212"/>
      <c r="DMX210" s="212"/>
      <c r="DMY210" s="212"/>
      <c r="DMZ210" s="212"/>
      <c r="DNA210" s="212"/>
      <c r="DNB210" s="212"/>
      <c r="DNC210" s="212"/>
      <c r="DND210" s="212"/>
      <c r="DNE210" s="212"/>
      <c r="DNF210" s="212"/>
      <c r="DNG210" s="212"/>
      <c r="DNH210" s="212"/>
      <c r="DNI210" s="212"/>
      <c r="DNJ210" s="212"/>
      <c r="DNK210" s="212"/>
      <c r="DNL210" s="214"/>
      <c r="DNM210" s="211"/>
      <c r="DNN210" s="212"/>
      <c r="DNO210" s="212"/>
      <c r="DNP210" s="212"/>
      <c r="DNQ210" s="212"/>
      <c r="DNR210" s="212"/>
      <c r="DNS210" s="212"/>
      <c r="DNT210" s="212"/>
      <c r="DNU210" s="212"/>
      <c r="DNV210" s="212"/>
      <c r="DNW210" s="212"/>
      <c r="DNX210" s="212"/>
      <c r="DNY210" s="212"/>
      <c r="DNZ210" s="212"/>
      <c r="DOA210" s="212"/>
      <c r="DOB210" s="212"/>
      <c r="DOC210" s="212"/>
      <c r="DOD210" s="212"/>
      <c r="DOE210" s="212"/>
      <c r="DOF210" s="212"/>
      <c r="DOG210" s="212"/>
      <c r="DOH210" s="212"/>
      <c r="DOI210" s="212"/>
      <c r="DOJ210" s="212"/>
      <c r="DOK210" s="212"/>
      <c r="DOL210" s="212"/>
      <c r="DOM210" s="212"/>
      <c r="DON210" s="212"/>
      <c r="DOO210" s="212"/>
      <c r="DOP210" s="212"/>
      <c r="DOQ210" s="212"/>
      <c r="DOR210" s="212"/>
      <c r="DOS210" s="212"/>
      <c r="DOT210" s="212"/>
      <c r="DOU210" s="212"/>
      <c r="DOV210" s="212"/>
      <c r="DOW210" s="212"/>
      <c r="DOX210" s="212"/>
      <c r="DOY210" s="212"/>
      <c r="DOZ210" s="212"/>
      <c r="DPA210" s="212"/>
      <c r="DPB210" s="212"/>
      <c r="DPC210" s="212"/>
      <c r="DPD210" s="214"/>
      <c r="DPE210" s="211"/>
      <c r="DPF210" s="212"/>
      <c r="DPG210" s="212"/>
      <c r="DPH210" s="212"/>
      <c r="DPI210" s="212"/>
      <c r="DPJ210" s="212"/>
      <c r="DPK210" s="212"/>
      <c r="DPL210" s="212"/>
      <c r="DPM210" s="212"/>
      <c r="DPN210" s="212"/>
      <c r="DPO210" s="212"/>
      <c r="DPP210" s="212"/>
      <c r="DPQ210" s="212"/>
      <c r="DPR210" s="212"/>
      <c r="DPS210" s="212"/>
      <c r="DPT210" s="212"/>
      <c r="DPU210" s="212"/>
      <c r="DPV210" s="212"/>
      <c r="DPW210" s="212"/>
      <c r="DPX210" s="212"/>
      <c r="DPY210" s="212"/>
      <c r="DPZ210" s="212"/>
      <c r="DQA210" s="212"/>
      <c r="DQB210" s="212"/>
      <c r="DQC210" s="212"/>
      <c r="DQD210" s="212"/>
      <c r="DQE210" s="212"/>
      <c r="DQF210" s="212"/>
      <c r="DQG210" s="212"/>
      <c r="DQH210" s="212"/>
      <c r="DQI210" s="212"/>
      <c r="DQJ210" s="212"/>
      <c r="DQK210" s="212"/>
      <c r="DQL210" s="212"/>
      <c r="DQM210" s="212"/>
      <c r="DQN210" s="212"/>
      <c r="DQO210" s="212"/>
      <c r="DQP210" s="212"/>
      <c r="DQQ210" s="212"/>
      <c r="DQR210" s="212"/>
      <c r="DQS210" s="212"/>
      <c r="DQT210" s="212"/>
      <c r="DQU210" s="212"/>
      <c r="DQV210" s="214"/>
      <c r="DQW210" s="211"/>
      <c r="DQX210" s="212"/>
      <c r="DQY210" s="212"/>
      <c r="DQZ210" s="212"/>
      <c r="DRA210" s="212"/>
      <c r="DRB210" s="212"/>
      <c r="DRC210" s="212"/>
      <c r="DRD210" s="212"/>
      <c r="DRE210" s="212"/>
      <c r="DRF210" s="212"/>
      <c r="DRG210" s="212"/>
      <c r="DRH210" s="212"/>
      <c r="DRI210" s="212"/>
      <c r="DRJ210" s="212"/>
      <c r="DRK210" s="212"/>
      <c r="DRL210" s="212"/>
      <c r="DRM210" s="212"/>
      <c r="DRN210" s="212"/>
      <c r="DRO210" s="212"/>
      <c r="DRP210" s="212"/>
      <c r="DRQ210" s="212"/>
      <c r="DRR210" s="212"/>
      <c r="DRS210" s="212"/>
      <c r="DRT210" s="212"/>
      <c r="DRU210" s="212"/>
      <c r="DRV210" s="212"/>
      <c r="DRW210" s="212"/>
      <c r="DRX210" s="212"/>
      <c r="DRY210" s="212"/>
      <c r="DRZ210" s="212"/>
      <c r="DSA210" s="212"/>
      <c r="DSB210" s="212"/>
      <c r="DSC210" s="212"/>
      <c r="DSD210" s="212"/>
      <c r="DSE210" s="212"/>
      <c r="DSF210" s="212"/>
      <c r="DSG210" s="212"/>
      <c r="DSH210" s="212"/>
      <c r="DSI210" s="212"/>
      <c r="DSJ210" s="212"/>
      <c r="DSK210" s="212"/>
      <c r="DSL210" s="212"/>
      <c r="DSM210" s="212"/>
      <c r="DSN210" s="214"/>
      <c r="DSO210" s="211"/>
      <c r="DSP210" s="212"/>
      <c r="DSQ210" s="212"/>
      <c r="DSR210" s="212"/>
      <c r="DSS210" s="212"/>
      <c r="DST210" s="212"/>
      <c r="DSU210" s="212"/>
      <c r="DSV210" s="212"/>
      <c r="DSW210" s="212"/>
      <c r="DSX210" s="212"/>
      <c r="DSY210" s="212"/>
      <c r="DSZ210" s="212"/>
      <c r="DTA210" s="212"/>
      <c r="DTB210" s="212"/>
      <c r="DTC210" s="212"/>
      <c r="DTD210" s="212"/>
      <c r="DTE210" s="212"/>
      <c r="DTF210" s="212"/>
      <c r="DTG210" s="212"/>
      <c r="DTH210" s="212"/>
      <c r="DTI210" s="212"/>
      <c r="DTJ210" s="212"/>
      <c r="DTK210" s="212"/>
      <c r="DTL210" s="212"/>
      <c r="DTM210" s="212"/>
      <c r="DTN210" s="212"/>
      <c r="DTO210" s="212"/>
      <c r="DTP210" s="212"/>
      <c r="DTQ210" s="212"/>
      <c r="DTR210" s="212"/>
      <c r="DTS210" s="212"/>
      <c r="DTT210" s="212"/>
      <c r="DTU210" s="212"/>
      <c r="DTV210" s="212"/>
      <c r="DTW210" s="212"/>
      <c r="DTX210" s="212"/>
      <c r="DTY210" s="212"/>
      <c r="DTZ210" s="212"/>
      <c r="DUA210" s="212"/>
      <c r="DUB210" s="212"/>
      <c r="DUC210" s="212"/>
      <c r="DUD210" s="212"/>
      <c r="DUE210" s="212"/>
      <c r="DUF210" s="214"/>
      <c r="DUG210" s="211"/>
      <c r="DUH210" s="212"/>
      <c r="DUI210" s="212"/>
      <c r="DUJ210" s="212"/>
      <c r="DUK210" s="212"/>
      <c r="DUL210" s="212"/>
      <c r="DUM210" s="212"/>
      <c r="DUN210" s="212"/>
      <c r="DUO210" s="212"/>
      <c r="DUP210" s="212"/>
      <c r="DUQ210" s="212"/>
      <c r="DUR210" s="212"/>
      <c r="DUS210" s="212"/>
      <c r="DUT210" s="212"/>
      <c r="DUU210" s="212"/>
      <c r="DUV210" s="212"/>
      <c r="DUW210" s="212"/>
      <c r="DUX210" s="212"/>
      <c r="DUY210" s="212"/>
      <c r="DUZ210" s="212"/>
      <c r="DVA210" s="212"/>
      <c r="DVB210" s="212"/>
      <c r="DVC210" s="212"/>
      <c r="DVD210" s="212"/>
      <c r="DVE210" s="212"/>
      <c r="DVF210" s="212"/>
      <c r="DVG210" s="212"/>
      <c r="DVH210" s="212"/>
      <c r="DVI210" s="212"/>
      <c r="DVJ210" s="212"/>
      <c r="DVK210" s="212"/>
      <c r="DVL210" s="212"/>
      <c r="DVM210" s="212"/>
      <c r="DVN210" s="212"/>
      <c r="DVO210" s="212"/>
      <c r="DVP210" s="212"/>
      <c r="DVQ210" s="212"/>
      <c r="DVR210" s="212"/>
      <c r="DVS210" s="212"/>
      <c r="DVT210" s="212"/>
      <c r="DVU210" s="212"/>
      <c r="DVV210" s="212"/>
      <c r="DVW210" s="212"/>
      <c r="DVX210" s="214"/>
      <c r="DVY210" s="211"/>
      <c r="DVZ210" s="212"/>
      <c r="DWA210" s="212"/>
      <c r="DWB210" s="212"/>
      <c r="DWC210" s="212"/>
      <c r="DWD210" s="212"/>
      <c r="DWE210" s="212"/>
      <c r="DWF210" s="212"/>
      <c r="DWG210" s="212"/>
      <c r="DWH210" s="212"/>
      <c r="DWI210" s="212"/>
      <c r="DWJ210" s="212"/>
      <c r="DWK210" s="212"/>
      <c r="DWL210" s="212"/>
      <c r="DWM210" s="212"/>
      <c r="DWN210" s="212"/>
      <c r="DWO210" s="212"/>
      <c r="DWP210" s="212"/>
      <c r="DWQ210" s="212"/>
      <c r="DWR210" s="212"/>
      <c r="DWS210" s="212"/>
      <c r="DWT210" s="212"/>
      <c r="DWU210" s="212"/>
      <c r="DWV210" s="212"/>
      <c r="DWW210" s="212"/>
      <c r="DWX210" s="212"/>
      <c r="DWY210" s="212"/>
      <c r="DWZ210" s="212"/>
      <c r="DXA210" s="212"/>
      <c r="DXB210" s="212"/>
      <c r="DXC210" s="212"/>
      <c r="DXD210" s="212"/>
      <c r="DXE210" s="212"/>
      <c r="DXF210" s="212"/>
      <c r="DXG210" s="212"/>
      <c r="DXH210" s="212"/>
      <c r="DXI210" s="212"/>
      <c r="DXJ210" s="212"/>
      <c r="DXK210" s="212"/>
      <c r="DXL210" s="212"/>
      <c r="DXM210" s="212"/>
      <c r="DXN210" s="212"/>
      <c r="DXO210" s="212"/>
      <c r="DXP210" s="214"/>
      <c r="DXQ210" s="211"/>
      <c r="DXR210" s="212"/>
      <c r="DXS210" s="212"/>
      <c r="DXT210" s="212"/>
      <c r="DXU210" s="212"/>
      <c r="DXV210" s="212"/>
      <c r="DXW210" s="212"/>
      <c r="DXX210" s="212"/>
      <c r="DXY210" s="212"/>
      <c r="DXZ210" s="212"/>
      <c r="DYA210" s="212"/>
      <c r="DYB210" s="212"/>
      <c r="DYC210" s="212"/>
      <c r="DYD210" s="212"/>
      <c r="DYE210" s="212"/>
      <c r="DYF210" s="212"/>
      <c r="DYG210" s="212"/>
      <c r="DYH210" s="212"/>
      <c r="DYI210" s="212"/>
      <c r="DYJ210" s="212"/>
      <c r="DYK210" s="212"/>
      <c r="DYL210" s="212"/>
      <c r="DYM210" s="212"/>
      <c r="DYN210" s="212"/>
      <c r="DYO210" s="212"/>
      <c r="DYP210" s="212"/>
      <c r="DYQ210" s="212"/>
      <c r="DYR210" s="212"/>
      <c r="DYS210" s="212"/>
      <c r="DYT210" s="212"/>
      <c r="DYU210" s="212"/>
      <c r="DYV210" s="212"/>
      <c r="DYW210" s="212"/>
      <c r="DYX210" s="212"/>
      <c r="DYY210" s="212"/>
      <c r="DYZ210" s="212"/>
      <c r="DZA210" s="212"/>
      <c r="DZB210" s="212"/>
      <c r="DZC210" s="212"/>
      <c r="DZD210" s="212"/>
      <c r="DZE210" s="212"/>
      <c r="DZF210" s="212"/>
      <c r="DZG210" s="212"/>
      <c r="DZH210" s="214"/>
      <c r="DZI210" s="211"/>
      <c r="DZJ210" s="212"/>
      <c r="DZK210" s="212"/>
      <c r="DZL210" s="212"/>
      <c r="DZM210" s="212"/>
      <c r="DZN210" s="212"/>
      <c r="DZO210" s="212"/>
      <c r="DZP210" s="212"/>
      <c r="DZQ210" s="212"/>
      <c r="DZR210" s="212"/>
      <c r="DZS210" s="212"/>
      <c r="DZT210" s="212"/>
      <c r="DZU210" s="212"/>
      <c r="DZV210" s="212"/>
      <c r="DZW210" s="212"/>
      <c r="DZX210" s="212"/>
      <c r="DZY210" s="212"/>
      <c r="DZZ210" s="212"/>
      <c r="EAA210" s="212"/>
      <c r="EAB210" s="212"/>
      <c r="EAC210" s="212"/>
      <c r="EAD210" s="212"/>
      <c r="EAE210" s="212"/>
      <c r="EAF210" s="212"/>
      <c r="EAG210" s="212"/>
      <c r="EAH210" s="212"/>
      <c r="EAI210" s="212"/>
      <c r="EAJ210" s="212"/>
      <c r="EAK210" s="212"/>
      <c r="EAL210" s="212"/>
      <c r="EAM210" s="212"/>
      <c r="EAN210" s="212"/>
      <c r="EAO210" s="212"/>
      <c r="EAP210" s="212"/>
      <c r="EAQ210" s="212"/>
      <c r="EAR210" s="212"/>
      <c r="EAS210" s="212"/>
      <c r="EAT210" s="212"/>
      <c r="EAU210" s="212"/>
      <c r="EAV210" s="212"/>
      <c r="EAW210" s="212"/>
      <c r="EAX210" s="212"/>
      <c r="EAY210" s="212"/>
      <c r="EAZ210" s="214"/>
      <c r="EBA210" s="211"/>
      <c r="EBB210" s="212"/>
      <c r="EBC210" s="212"/>
      <c r="EBD210" s="212"/>
      <c r="EBE210" s="212"/>
      <c r="EBF210" s="212"/>
      <c r="EBG210" s="212"/>
      <c r="EBH210" s="212"/>
      <c r="EBI210" s="212"/>
      <c r="EBJ210" s="212"/>
      <c r="EBK210" s="212"/>
      <c r="EBL210" s="212"/>
      <c r="EBM210" s="212"/>
      <c r="EBN210" s="212"/>
      <c r="EBO210" s="212"/>
      <c r="EBP210" s="212"/>
      <c r="EBQ210" s="212"/>
      <c r="EBR210" s="212"/>
      <c r="EBS210" s="212"/>
      <c r="EBT210" s="212"/>
      <c r="EBU210" s="212"/>
      <c r="EBV210" s="212"/>
      <c r="EBW210" s="212"/>
      <c r="EBX210" s="212"/>
      <c r="EBY210" s="212"/>
      <c r="EBZ210" s="212"/>
      <c r="ECA210" s="212"/>
      <c r="ECB210" s="212"/>
      <c r="ECC210" s="212"/>
      <c r="ECD210" s="212"/>
      <c r="ECE210" s="212"/>
      <c r="ECF210" s="212"/>
      <c r="ECG210" s="212"/>
      <c r="ECH210" s="212"/>
      <c r="ECI210" s="212"/>
      <c r="ECJ210" s="212"/>
      <c r="ECK210" s="212"/>
      <c r="ECL210" s="212"/>
      <c r="ECM210" s="212"/>
      <c r="ECN210" s="212"/>
      <c r="ECO210" s="212"/>
      <c r="ECP210" s="212"/>
      <c r="ECQ210" s="212"/>
      <c r="ECR210" s="214"/>
      <c r="ECS210" s="211"/>
      <c r="ECT210" s="212"/>
      <c r="ECU210" s="212"/>
      <c r="ECV210" s="212"/>
      <c r="ECW210" s="212"/>
      <c r="ECX210" s="212"/>
      <c r="ECY210" s="212"/>
      <c r="ECZ210" s="212"/>
      <c r="EDA210" s="212"/>
      <c r="EDB210" s="212"/>
      <c r="EDC210" s="212"/>
      <c r="EDD210" s="212"/>
      <c r="EDE210" s="212"/>
      <c r="EDF210" s="212"/>
      <c r="EDG210" s="212"/>
      <c r="EDH210" s="212"/>
      <c r="EDI210" s="212"/>
      <c r="EDJ210" s="212"/>
      <c r="EDK210" s="212"/>
      <c r="EDL210" s="212"/>
      <c r="EDM210" s="212"/>
      <c r="EDN210" s="212"/>
      <c r="EDO210" s="212"/>
      <c r="EDP210" s="212"/>
      <c r="EDQ210" s="212"/>
      <c r="EDR210" s="212"/>
      <c r="EDS210" s="212"/>
      <c r="EDT210" s="212"/>
      <c r="EDU210" s="212"/>
      <c r="EDV210" s="212"/>
      <c r="EDW210" s="212"/>
      <c r="EDX210" s="212"/>
      <c r="EDY210" s="212"/>
      <c r="EDZ210" s="212"/>
      <c r="EEA210" s="212"/>
      <c r="EEB210" s="212"/>
      <c r="EEC210" s="212"/>
      <c r="EED210" s="212"/>
      <c r="EEE210" s="212"/>
      <c r="EEF210" s="212"/>
      <c r="EEG210" s="212"/>
      <c r="EEH210" s="212"/>
      <c r="EEI210" s="212"/>
      <c r="EEJ210" s="214"/>
      <c r="EEK210" s="211"/>
      <c r="EEL210" s="212"/>
      <c r="EEM210" s="212"/>
      <c r="EEN210" s="212"/>
      <c r="EEO210" s="212"/>
      <c r="EEP210" s="212"/>
      <c r="EEQ210" s="212"/>
      <c r="EER210" s="212"/>
      <c r="EES210" s="212"/>
      <c r="EET210" s="212"/>
      <c r="EEU210" s="212"/>
      <c r="EEV210" s="212"/>
      <c r="EEW210" s="212"/>
      <c r="EEX210" s="212"/>
      <c r="EEY210" s="212"/>
      <c r="EEZ210" s="212"/>
      <c r="EFA210" s="212"/>
      <c r="EFB210" s="212"/>
      <c r="EFC210" s="212"/>
      <c r="EFD210" s="212"/>
      <c r="EFE210" s="212"/>
      <c r="EFF210" s="212"/>
      <c r="EFG210" s="212"/>
      <c r="EFH210" s="212"/>
      <c r="EFI210" s="212"/>
      <c r="EFJ210" s="212"/>
      <c r="EFK210" s="212"/>
      <c r="EFL210" s="212"/>
      <c r="EFM210" s="212"/>
      <c r="EFN210" s="212"/>
      <c r="EFO210" s="212"/>
      <c r="EFP210" s="212"/>
      <c r="EFQ210" s="212"/>
      <c r="EFR210" s="212"/>
      <c r="EFS210" s="212"/>
      <c r="EFT210" s="212"/>
      <c r="EFU210" s="212"/>
      <c r="EFV210" s="212"/>
      <c r="EFW210" s="212"/>
      <c r="EFX210" s="212"/>
      <c r="EFY210" s="212"/>
      <c r="EFZ210" s="212"/>
      <c r="EGA210" s="212"/>
      <c r="EGB210" s="214"/>
      <c r="EGC210" s="211"/>
      <c r="EGD210" s="212"/>
      <c r="EGE210" s="212"/>
      <c r="EGF210" s="212"/>
      <c r="EGG210" s="212"/>
      <c r="EGH210" s="212"/>
      <c r="EGI210" s="212"/>
      <c r="EGJ210" s="212"/>
      <c r="EGK210" s="212"/>
      <c r="EGL210" s="212"/>
      <c r="EGM210" s="212"/>
      <c r="EGN210" s="212"/>
      <c r="EGO210" s="212"/>
      <c r="EGP210" s="212"/>
      <c r="EGQ210" s="212"/>
      <c r="EGR210" s="212"/>
      <c r="EGS210" s="212"/>
      <c r="EGT210" s="212"/>
      <c r="EGU210" s="212"/>
      <c r="EGV210" s="212"/>
      <c r="EGW210" s="212"/>
      <c r="EGX210" s="212"/>
      <c r="EGY210" s="212"/>
      <c r="EGZ210" s="212"/>
      <c r="EHA210" s="212"/>
      <c r="EHB210" s="212"/>
      <c r="EHC210" s="212"/>
      <c r="EHD210" s="212"/>
      <c r="EHE210" s="212"/>
      <c r="EHF210" s="212"/>
      <c r="EHG210" s="212"/>
      <c r="EHH210" s="212"/>
      <c r="EHI210" s="212"/>
      <c r="EHJ210" s="212"/>
      <c r="EHK210" s="212"/>
      <c r="EHL210" s="212"/>
      <c r="EHM210" s="212"/>
      <c r="EHN210" s="212"/>
      <c r="EHO210" s="212"/>
      <c r="EHP210" s="212"/>
      <c r="EHQ210" s="212"/>
      <c r="EHR210" s="212"/>
      <c r="EHS210" s="212"/>
      <c r="EHT210" s="214"/>
      <c r="EHU210" s="211"/>
      <c r="EHV210" s="212"/>
      <c r="EHW210" s="212"/>
      <c r="EHX210" s="212"/>
      <c r="EHY210" s="212"/>
      <c r="EHZ210" s="212"/>
      <c r="EIA210" s="212"/>
      <c r="EIB210" s="212"/>
      <c r="EIC210" s="212"/>
      <c r="EID210" s="212"/>
      <c r="EIE210" s="212"/>
      <c r="EIF210" s="212"/>
      <c r="EIG210" s="212"/>
      <c r="EIH210" s="212"/>
      <c r="EII210" s="212"/>
      <c r="EIJ210" s="212"/>
      <c r="EIK210" s="212"/>
      <c r="EIL210" s="212"/>
      <c r="EIM210" s="212"/>
      <c r="EIN210" s="212"/>
      <c r="EIO210" s="212"/>
      <c r="EIP210" s="212"/>
      <c r="EIQ210" s="212"/>
      <c r="EIR210" s="212"/>
      <c r="EIS210" s="212"/>
      <c r="EIT210" s="212"/>
      <c r="EIU210" s="212"/>
      <c r="EIV210" s="212"/>
      <c r="EIW210" s="212"/>
      <c r="EIX210" s="212"/>
      <c r="EIY210" s="212"/>
      <c r="EIZ210" s="212"/>
      <c r="EJA210" s="212"/>
      <c r="EJB210" s="212"/>
      <c r="EJC210" s="212"/>
      <c r="EJD210" s="212"/>
      <c r="EJE210" s="212"/>
      <c r="EJF210" s="212"/>
      <c r="EJG210" s="212"/>
      <c r="EJH210" s="212"/>
      <c r="EJI210" s="212"/>
      <c r="EJJ210" s="212"/>
      <c r="EJK210" s="212"/>
      <c r="EJL210" s="214"/>
      <c r="EJM210" s="211"/>
      <c r="EJN210" s="212"/>
      <c r="EJO210" s="212"/>
      <c r="EJP210" s="212"/>
      <c r="EJQ210" s="212"/>
      <c r="EJR210" s="212"/>
      <c r="EJS210" s="212"/>
      <c r="EJT210" s="212"/>
      <c r="EJU210" s="212"/>
      <c r="EJV210" s="212"/>
      <c r="EJW210" s="212"/>
      <c r="EJX210" s="212"/>
      <c r="EJY210" s="212"/>
      <c r="EJZ210" s="212"/>
      <c r="EKA210" s="212"/>
      <c r="EKB210" s="212"/>
      <c r="EKC210" s="212"/>
      <c r="EKD210" s="212"/>
      <c r="EKE210" s="212"/>
      <c r="EKF210" s="212"/>
      <c r="EKG210" s="212"/>
      <c r="EKH210" s="212"/>
      <c r="EKI210" s="212"/>
      <c r="EKJ210" s="212"/>
      <c r="EKK210" s="212"/>
      <c r="EKL210" s="212"/>
      <c r="EKM210" s="212"/>
      <c r="EKN210" s="212"/>
      <c r="EKO210" s="212"/>
      <c r="EKP210" s="212"/>
      <c r="EKQ210" s="212"/>
      <c r="EKR210" s="212"/>
      <c r="EKS210" s="212"/>
      <c r="EKT210" s="212"/>
      <c r="EKU210" s="212"/>
      <c r="EKV210" s="212"/>
      <c r="EKW210" s="212"/>
      <c r="EKX210" s="212"/>
      <c r="EKY210" s="212"/>
      <c r="EKZ210" s="212"/>
      <c r="ELA210" s="212"/>
      <c r="ELB210" s="212"/>
      <c r="ELC210" s="212"/>
      <c r="ELD210" s="214"/>
      <c r="ELE210" s="211"/>
      <c r="ELF210" s="212"/>
      <c r="ELG210" s="212"/>
      <c r="ELH210" s="212"/>
      <c r="ELI210" s="212"/>
      <c r="ELJ210" s="212"/>
      <c r="ELK210" s="212"/>
      <c r="ELL210" s="212"/>
      <c r="ELM210" s="212"/>
      <c r="ELN210" s="212"/>
      <c r="ELO210" s="212"/>
      <c r="ELP210" s="212"/>
      <c r="ELQ210" s="212"/>
      <c r="ELR210" s="212"/>
      <c r="ELS210" s="212"/>
      <c r="ELT210" s="212"/>
      <c r="ELU210" s="212"/>
      <c r="ELV210" s="212"/>
      <c r="ELW210" s="212"/>
      <c r="ELX210" s="212"/>
      <c r="ELY210" s="212"/>
      <c r="ELZ210" s="212"/>
      <c r="EMA210" s="212"/>
      <c r="EMB210" s="212"/>
      <c r="EMC210" s="212"/>
      <c r="EMD210" s="212"/>
      <c r="EME210" s="212"/>
      <c r="EMF210" s="212"/>
      <c r="EMG210" s="212"/>
      <c r="EMH210" s="212"/>
      <c r="EMI210" s="212"/>
      <c r="EMJ210" s="212"/>
      <c r="EMK210" s="212"/>
      <c r="EML210" s="212"/>
      <c r="EMM210" s="212"/>
      <c r="EMN210" s="212"/>
      <c r="EMO210" s="212"/>
      <c r="EMP210" s="212"/>
      <c r="EMQ210" s="212"/>
      <c r="EMR210" s="212"/>
      <c r="EMS210" s="212"/>
      <c r="EMT210" s="212"/>
      <c r="EMU210" s="212"/>
      <c r="EMV210" s="214"/>
      <c r="EMW210" s="211"/>
      <c r="EMX210" s="212"/>
      <c r="EMY210" s="212"/>
      <c r="EMZ210" s="212"/>
      <c r="ENA210" s="212"/>
      <c r="ENB210" s="212"/>
      <c r="ENC210" s="212"/>
      <c r="END210" s="212"/>
      <c r="ENE210" s="212"/>
      <c r="ENF210" s="212"/>
      <c r="ENG210" s="212"/>
      <c r="ENH210" s="212"/>
      <c r="ENI210" s="212"/>
      <c r="ENJ210" s="212"/>
      <c r="ENK210" s="212"/>
      <c r="ENL210" s="212"/>
      <c r="ENM210" s="212"/>
      <c r="ENN210" s="212"/>
      <c r="ENO210" s="212"/>
      <c r="ENP210" s="212"/>
      <c r="ENQ210" s="212"/>
      <c r="ENR210" s="212"/>
      <c r="ENS210" s="212"/>
      <c r="ENT210" s="212"/>
      <c r="ENU210" s="212"/>
      <c r="ENV210" s="212"/>
      <c r="ENW210" s="212"/>
      <c r="ENX210" s="212"/>
      <c r="ENY210" s="212"/>
      <c r="ENZ210" s="212"/>
      <c r="EOA210" s="212"/>
      <c r="EOB210" s="212"/>
      <c r="EOC210" s="212"/>
      <c r="EOD210" s="212"/>
      <c r="EOE210" s="212"/>
      <c r="EOF210" s="212"/>
      <c r="EOG210" s="212"/>
      <c r="EOH210" s="212"/>
      <c r="EOI210" s="212"/>
      <c r="EOJ210" s="212"/>
      <c r="EOK210" s="212"/>
      <c r="EOL210" s="212"/>
      <c r="EOM210" s="212"/>
      <c r="EON210" s="214"/>
      <c r="EOO210" s="211"/>
      <c r="EOP210" s="212"/>
      <c r="EOQ210" s="212"/>
      <c r="EOR210" s="212"/>
      <c r="EOS210" s="212"/>
      <c r="EOT210" s="212"/>
      <c r="EOU210" s="212"/>
      <c r="EOV210" s="212"/>
      <c r="EOW210" s="212"/>
      <c r="EOX210" s="212"/>
      <c r="EOY210" s="212"/>
      <c r="EOZ210" s="212"/>
      <c r="EPA210" s="212"/>
      <c r="EPB210" s="212"/>
      <c r="EPC210" s="212"/>
      <c r="EPD210" s="212"/>
      <c r="EPE210" s="212"/>
      <c r="EPF210" s="212"/>
      <c r="EPG210" s="212"/>
      <c r="EPH210" s="212"/>
      <c r="EPI210" s="212"/>
      <c r="EPJ210" s="212"/>
      <c r="EPK210" s="212"/>
      <c r="EPL210" s="212"/>
      <c r="EPM210" s="212"/>
      <c r="EPN210" s="212"/>
      <c r="EPO210" s="212"/>
      <c r="EPP210" s="212"/>
      <c r="EPQ210" s="212"/>
      <c r="EPR210" s="212"/>
      <c r="EPS210" s="212"/>
      <c r="EPT210" s="212"/>
      <c r="EPU210" s="212"/>
      <c r="EPV210" s="212"/>
      <c r="EPW210" s="212"/>
      <c r="EPX210" s="212"/>
      <c r="EPY210" s="212"/>
      <c r="EPZ210" s="212"/>
      <c r="EQA210" s="212"/>
      <c r="EQB210" s="212"/>
      <c r="EQC210" s="212"/>
      <c r="EQD210" s="212"/>
      <c r="EQE210" s="212"/>
      <c r="EQF210" s="214"/>
      <c r="EQG210" s="211"/>
      <c r="EQH210" s="212"/>
      <c r="EQI210" s="212"/>
      <c r="EQJ210" s="212"/>
      <c r="EQK210" s="212"/>
      <c r="EQL210" s="212"/>
      <c r="EQM210" s="212"/>
      <c r="EQN210" s="212"/>
      <c r="EQO210" s="212"/>
      <c r="EQP210" s="212"/>
      <c r="EQQ210" s="212"/>
      <c r="EQR210" s="212"/>
      <c r="EQS210" s="212"/>
      <c r="EQT210" s="212"/>
      <c r="EQU210" s="212"/>
      <c r="EQV210" s="212"/>
      <c r="EQW210" s="212"/>
      <c r="EQX210" s="212"/>
      <c r="EQY210" s="212"/>
      <c r="EQZ210" s="212"/>
      <c r="ERA210" s="212"/>
      <c r="ERB210" s="212"/>
      <c r="ERC210" s="212"/>
      <c r="ERD210" s="212"/>
      <c r="ERE210" s="212"/>
      <c r="ERF210" s="212"/>
      <c r="ERG210" s="212"/>
      <c r="ERH210" s="212"/>
      <c r="ERI210" s="212"/>
      <c r="ERJ210" s="212"/>
      <c r="ERK210" s="212"/>
      <c r="ERL210" s="212"/>
      <c r="ERM210" s="212"/>
      <c r="ERN210" s="212"/>
      <c r="ERO210" s="212"/>
      <c r="ERP210" s="212"/>
      <c r="ERQ210" s="212"/>
      <c r="ERR210" s="212"/>
      <c r="ERS210" s="212"/>
      <c r="ERT210" s="212"/>
      <c r="ERU210" s="212"/>
      <c r="ERV210" s="212"/>
      <c r="ERW210" s="212"/>
      <c r="ERX210" s="214"/>
      <c r="ERY210" s="211"/>
      <c r="ERZ210" s="212"/>
      <c r="ESA210" s="212"/>
      <c r="ESB210" s="212"/>
      <c r="ESC210" s="212"/>
      <c r="ESD210" s="212"/>
      <c r="ESE210" s="212"/>
      <c r="ESF210" s="212"/>
      <c r="ESG210" s="212"/>
      <c r="ESH210" s="212"/>
      <c r="ESI210" s="212"/>
      <c r="ESJ210" s="212"/>
      <c r="ESK210" s="212"/>
      <c r="ESL210" s="212"/>
      <c r="ESM210" s="212"/>
      <c r="ESN210" s="212"/>
      <c r="ESO210" s="212"/>
      <c r="ESP210" s="212"/>
      <c r="ESQ210" s="212"/>
      <c r="ESR210" s="212"/>
      <c r="ESS210" s="212"/>
      <c r="EST210" s="212"/>
      <c r="ESU210" s="212"/>
      <c r="ESV210" s="212"/>
      <c r="ESW210" s="212"/>
      <c r="ESX210" s="212"/>
      <c r="ESY210" s="212"/>
      <c r="ESZ210" s="212"/>
      <c r="ETA210" s="212"/>
      <c r="ETB210" s="212"/>
      <c r="ETC210" s="212"/>
      <c r="ETD210" s="212"/>
      <c r="ETE210" s="212"/>
      <c r="ETF210" s="212"/>
      <c r="ETG210" s="212"/>
      <c r="ETH210" s="212"/>
      <c r="ETI210" s="212"/>
      <c r="ETJ210" s="212"/>
      <c r="ETK210" s="212"/>
      <c r="ETL210" s="212"/>
      <c r="ETM210" s="212"/>
      <c r="ETN210" s="212"/>
      <c r="ETO210" s="212"/>
      <c r="ETP210" s="214"/>
      <c r="ETQ210" s="211"/>
      <c r="ETR210" s="212"/>
      <c r="ETS210" s="212"/>
      <c r="ETT210" s="212"/>
      <c r="ETU210" s="212"/>
      <c r="ETV210" s="212"/>
      <c r="ETW210" s="212"/>
      <c r="ETX210" s="212"/>
      <c r="ETY210" s="212"/>
      <c r="ETZ210" s="212"/>
      <c r="EUA210" s="212"/>
      <c r="EUB210" s="212"/>
      <c r="EUC210" s="212"/>
      <c r="EUD210" s="212"/>
      <c r="EUE210" s="212"/>
      <c r="EUF210" s="212"/>
      <c r="EUG210" s="212"/>
      <c r="EUH210" s="212"/>
      <c r="EUI210" s="212"/>
      <c r="EUJ210" s="212"/>
      <c r="EUK210" s="212"/>
      <c r="EUL210" s="212"/>
      <c r="EUM210" s="212"/>
      <c r="EUN210" s="212"/>
      <c r="EUO210" s="212"/>
      <c r="EUP210" s="212"/>
      <c r="EUQ210" s="212"/>
      <c r="EUR210" s="212"/>
      <c r="EUS210" s="212"/>
      <c r="EUT210" s="212"/>
      <c r="EUU210" s="212"/>
      <c r="EUV210" s="212"/>
      <c r="EUW210" s="212"/>
      <c r="EUX210" s="212"/>
      <c r="EUY210" s="212"/>
      <c r="EUZ210" s="212"/>
      <c r="EVA210" s="212"/>
      <c r="EVB210" s="212"/>
      <c r="EVC210" s="212"/>
      <c r="EVD210" s="212"/>
      <c r="EVE210" s="212"/>
      <c r="EVF210" s="212"/>
      <c r="EVG210" s="212"/>
      <c r="EVH210" s="214"/>
      <c r="EVI210" s="211"/>
      <c r="EVJ210" s="212"/>
      <c r="EVK210" s="212"/>
      <c r="EVL210" s="212"/>
      <c r="EVM210" s="212"/>
      <c r="EVN210" s="212"/>
      <c r="EVO210" s="212"/>
      <c r="EVP210" s="212"/>
      <c r="EVQ210" s="212"/>
      <c r="EVR210" s="212"/>
      <c r="EVS210" s="212"/>
      <c r="EVT210" s="212"/>
      <c r="EVU210" s="212"/>
      <c r="EVV210" s="212"/>
      <c r="EVW210" s="212"/>
      <c r="EVX210" s="212"/>
      <c r="EVY210" s="212"/>
      <c r="EVZ210" s="212"/>
      <c r="EWA210" s="212"/>
      <c r="EWB210" s="212"/>
      <c r="EWC210" s="212"/>
      <c r="EWD210" s="212"/>
      <c r="EWE210" s="212"/>
      <c r="EWF210" s="212"/>
      <c r="EWG210" s="212"/>
      <c r="EWH210" s="212"/>
      <c r="EWI210" s="212"/>
      <c r="EWJ210" s="212"/>
      <c r="EWK210" s="212"/>
      <c r="EWL210" s="212"/>
      <c r="EWM210" s="212"/>
      <c r="EWN210" s="212"/>
      <c r="EWO210" s="212"/>
      <c r="EWP210" s="212"/>
      <c r="EWQ210" s="212"/>
      <c r="EWR210" s="212"/>
      <c r="EWS210" s="212"/>
      <c r="EWT210" s="212"/>
      <c r="EWU210" s="212"/>
      <c r="EWV210" s="212"/>
      <c r="EWW210" s="212"/>
      <c r="EWX210" s="212"/>
      <c r="EWY210" s="212"/>
      <c r="EWZ210" s="214"/>
      <c r="EXA210" s="211"/>
      <c r="EXB210" s="212"/>
      <c r="EXC210" s="212"/>
      <c r="EXD210" s="212"/>
      <c r="EXE210" s="212"/>
      <c r="EXF210" s="212"/>
      <c r="EXG210" s="212"/>
      <c r="EXH210" s="212"/>
      <c r="EXI210" s="212"/>
      <c r="EXJ210" s="212"/>
      <c r="EXK210" s="212"/>
      <c r="EXL210" s="212"/>
      <c r="EXM210" s="212"/>
      <c r="EXN210" s="212"/>
      <c r="EXO210" s="212"/>
      <c r="EXP210" s="212"/>
      <c r="EXQ210" s="212"/>
      <c r="EXR210" s="212"/>
      <c r="EXS210" s="212"/>
      <c r="EXT210" s="212"/>
      <c r="EXU210" s="212"/>
      <c r="EXV210" s="212"/>
      <c r="EXW210" s="212"/>
      <c r="EXX210" s="212"/>
      <c r="EXY210" s="212"/>
      <c r="EXZ210" s="212"/>
      <c r="EYA210" s="212"/>
      <c r="EYB210" s="212"/>
      <c r="EYC210" s="212"/>
      <c r="EYD210" s="212"/>
      <c r="EYE210" s="212"/>
      <c r="EYF210" s="212"/>
      <c r="EYG210" s="212"/>
      <c r="EYH210" s="212"/>
      <c r="EYI210" s="212"/>
      <c r="EYJ210" s="212"/>
      <c r="EYK210" s="212"/>
      <c r="EYL210" s="212"/>
      <c r="EYM210" s="212"/>
      <c r="EYN210" s="212"/>
      <c r="EYO210" s="212"/>
      <c r="EYP210" s="212"/>
      <c r="EYQ210" s="212"/>
      <c r="EYR210" s="214"/>
      <c r="EYS210" s="211"/>
      <c r="EYT210" s="212"/>
      <c r="EYU210" s="212"/>
      <c r="EYV210" s="212"/>
      <c r="EYW210" s="212"/>
      <c r="EYX210" s="212"/>
      <c r="EYY210" s="212"/>
      <c r="EYZ210" s="212"/>
      <c r="EZA210" s="212"/>
      <c r="EZB210" s="212"/>
      <c r="EZC210" s="212"/>
      <c r="EZD210" s="212"/>
      <c r="EZE210" s="212"/>
      <c r="EZF210" s="212"/>
      <c r="EZG210" s="212"/>
      <c r="EZH210" s="212"/>
      <c r="EZI210" s="212"/>
      <c r="EZJ210" s="212"/>
      <c r="EZK210" s="212"/>
      <c r="EZL210" s="212"/>
      <c r="EZM210" s="212"/>
      <c r="EZN210" s="212"/>
      <c r="EZO210" s="212"/>
      <c r="EZP210" s="212"/>
      <c r="EZQ210" s="212"/>
      <c r="EZR210" s="212"/>
      <c r="EZS210" s="212"/>
      <c r="EZT210" s="212"/>
      <c r="EZU210" s="212"/>
      <c r="EZV210" s="212"/>
      <c r="EZW210" s="212"/>
      <c r="EZX210" s="212"/>
      <c r="EZY210" s="212"/>
      <c r="EZZ210" s="212"/>
      <c r="FAA210" s="212"/>
      <c r="FAB210" s="212"/>
      <c r="FAC210" s="212"/>
      <c r="FAD210" s="212"/>
      <c r="FAE210" s="212"/>
      <c r="FAF210" s="212"/>
      <c r="FAG210" s="212"/>
      <c r="FAH210" s="212"/>
      <c r="FAI210" s="212"/>
      <c r="FAJ210" s="214"/>
      <c r="FAK210" s="211"/>
      <c r="FAL210" s="212"/>
      <c r="FAM210" s="212"/>
      <c r="FAN210" s="212"/>
      <c r="FAO210" s="212"/>
      <c r="FAP210" s="212"/>
      <c r="FAQ210" s="212"/>
      <c r="FAR210" s="212"/>
      <c r="FAS210" s="212"/>
      <c r="FAT210" s="212"/>
      <c r="FAU210" s="212"/>
      <c r="FAV210" s="212"/>
      <c r="FAW210" s="212"/>
      <c r="FAX210" s="212"/>
      <c r="FAY210" s="212"/>
      <c r="FAZ210" s="212"/>
      <c r="FBA210" s="212"/>
      <c r="FBB210" s="212"/>
      <c r="FBC210" s="212"/>
      <c r="FBD210" s="212"/>
      <c r="FBE210" s="212"/>
      <c r="FBF210" s="212"/>
      <c r="FBG210" s="212"/>
      <c r="FBH210" s="212"/>
      <c r="FBI210" s="212"/>
      <c r="FBJ210" s="212"/>
      <c r="FBK210" s="212"/>
      <c r="FBL210" s="212"/>
      <c r="FBM210" s="212"/>
      <c r="FBN210" s="212"/>
      <c r="FBO210" s="212"/>
      <c r="FBP210" s="212"/>
      <c r="FBQ210" s="212"/>
      <c r="FBR210" s="212"/>
      <c r="FBS210" s="212"/>
      <c r="FBT210" s="212"/>
      <c r="FBU210" s="212"/>
      <c r="FBV210" s="212"/>
      <c r="FBW210" s="212"/>
      <c r="FBX210" s="212"/>
      <c r="FBY210" s="212"/>
      <c r="FBZ210" s="212"/>
      <c r="FCA210" s="212"/>
      <c r="FCB210" s="214"/>
      <c r="FCC210" s="211"/>
      <c r="FCD210" s="212"/>
      <c r="FCE210" s="212"/>
      <c r="FCF210" s="212"/>
      <c r="FCG210" s="212"/>
      <c r="FCH210" s="212"/>
      <c r="FCI210" s="212"/>
      <c r="FCJ210" s="212"/>
      <c r="FCK210" s="212"/>
      <c r="FCL210" s="212"/>
      <c r="FCM210" s="212"/>
      <c r="FCN210" s="212"/>
      <c r="FCO210" s="212"/>
      <c r="FCP210" s="212"/>
      <c r="FCQ210" s="212"/>
      <c r="FCR210" s="212"/>
      <c r="FCS210" s="212"/>
      <c r="FCT210" s="212"/>
      <c r="FCU210" s="212"/>
      <c r="FCV210" s="212"/>
      <c r="FCW210" s="212"/>
      <c r="FCX210" s="212"/>
      <c r="FCY210" s="212"/>
      <c r="FCZ210" s="212"/>
      <c r="FDA210" s="212"/>
      <c r="FDB210" s="212"/>
      <c r="FDC210" s="212"/>
      <c r="FDD210" s="212"/>
      <c r="FDE210" s="212"/>
      <c r="FDF210" s="212"/>
      <c r="FDG210" s="212"/>
      <c r="FDH210" s="212"/>
      <c r="FDI210" s="212"/>
      <c r="FDJ210" s="212"/>
      <c r="FDK210" s="212"/>
      <c r="FDL210" s="212"/>
      <c r="FDM210" s="212"/>
      <c r="FDN210" s="212"/>
      <c r="FDO210" s="212"/>
      <c r="FDP210" s="212"/>
      <c r="FDQ210" s="212"/>
      <c r="FDR210" s="212"/>
      <c r="FDS210" s="212"/>
      <c r="FDT210" s="214"/>
      <c r="FDU210" s="211"/>
      <c r="FDV210" s="212"/>
      <c r="FDW210" s="212"/>
      <c r="FDX210" s="212"/>
      <c r="FDY210" s="212"/>
      <c r="FDZ210" s="212"/>
      <c r="FEA210" s="212"/>
      <c r="FEB210" s="212"/>
      <c r="FEC210" s="212"/>
      <c r="FED210" s="212"/>
      <c r="FEE210" s="212"/>
      <c r="FEF210" s="212"/>
      <c r="FEG210" s="212"/>
      <c r="FEH210" s="212"/>
      <c r="FEI210" s="212"/>
      <c r="FEJ210" s="212"/>
      <c r="FEK210" s="212"/>
      <c r="FEL210" s="212"/>
      <c r="FEM210" s="212"/>
      <c r="FEN210" s="212"/>
      <c r="FEO210" s="212"/>
      <c r="FEP210" s="212"/>
      <c r="FEQ210" s="212"/>
      <c r="FER210" s="212"/>
      <c r="FES210" s="212"/>
      <c r="FET210" s="212"/>
      <c r="FEU210" s="212"/>
      <c r="FEV210" s="212"/>
      <c r="FEW210" s="212"/>
      <c r="FEX210" s="212"/>
      <c r="FEY210" s="212"/>
      <c r="FEZ210" s="212"/>
      <c r="FFA210" s="212"/>
      <c r="FFB210" s="212"/>
      <c r="FFC210" s="212"/>
      <c r="FFD210" s="212"/>
      <c r="FFE210" s="212"/>
      <c r="FFF210" s="212"/>
      <c r="FFG210" s="212"/>
      <c r="FFH210" s="212"/>
      <c r="FFI210" s="212"/>
      <c r="FFJ210" s="212"/>
      <c r="FFK210" s="212"/>
      <c r="FFL210" s="214"/>
      <c r="FFM210" s="211"/>
      <c r="FFN210" s="212"/>
      <c r="FFO210" s="212"/>
      <c r="FFP210" s="212"/>
      <c r="FFQ210" s="212"/>
      <c r="FFR210" s="212"/>
      <c r="FFS210" s="212"/>
      <c r="FFT210" s="212"/>
      <c r="FFU210" s="212"/>
      <c r="FFV210" s="212"/>
      <c r="FFW210" s="212"/>
      <c r="FFX210" s="212"/>
      <c r="FFY210" s="212"/>
      <c r="FFZ210" s="212"/>
      <c r="FGA210" s="212"/>
      <c r="FGB210" s="212"/>
      <c r="FGC210" s="212"/>
      <c r="FGD210" s="212"/>
      <c r="FGE210" s="212"/>
      <c r="FGF210" s="212"/>
      <c r="FGG210" s="212"/>
      <c r="FGH210" s="212"/>
      <c r="FGI210" s="212"/>
      <c r="FGJ210" s="212"/>
      <c r="FGK210" s="212"/>
      <c r="FGL210" s="212"/>
      <c r="FGM210" s="212"/>
      <c r="FGN210" s="212"/>
      <c r="FGO210" s="212"/>
      <c r="FGP210" s="212"/>
      <c r="FGQ210" s="212"/>
      <c r="FGR210" s="212"/>
      <c r="FGS210" s="212"/>
      <c r="FGT210" s="212"/>
      <c r="FGU210" s="212"/>
      <c r="FGV210" s="212"/>
      <c r="FGW210" s="212"/>
      <c r="FGX210" s="212"/>
      <c r="FGY210" s="212"/>
      <c r="FGZ210" s="212"/>
      <c r="FHA210" s="212"/>
      <c r="FHB210" s="212"/>
      <c r="FHC210" s="212"/>
      <c r="FHD210" s="214"/>
      <c r="FHE210" s="211"/>
      <c r="FHF210" s="212"/>
      <c r="FHG210" s="212"/>
      <c r="FHH210" s="212"/>
      <c r="FHI210" s="212"/>
      <c r="FHJ210" s="212"/>
      <c r="FHK210" s="212"/>
      <c r="FHL210" s="212"/>
      <c r="FHM210" s="212"/>
      <c r="FHN210" s="212"/>
      <c r="FHO210" s="212"/>
      <c r="FHP210" s="212"/>
      <c r="FHQ210" s="212"/>
      <c r="FHR210" s="212"/>
      <c r="FHS210" s="212"/>
      <c r="FHT210" s="212"/>
      <c r="FHU210" s="212"/>
      <c r="FHV210" s="212"/>
      <c r="FHW210" s="212"/>
      <c r="FHX210" s="212"/>
      <c r="FHY210" s="212"/>
      <c r="FHZ210" s="212"/>
      <c r="FIA210" s="212"/>
      <c r="FIB210" s="212"/>
      <c r="FIC210" s="212"/>
      <c r="FID210" s="212"/>
      <c r="FIE210" s="212"/>
      <c r="FIF210" s="212"/>
      <c r="FIG210" s="212"/>
      <c r="FIH210" s="212"/>
      <c r="FII210" s="212"/>
      <c r="FIJ210" s="212"/>
      <c r="FIK210" s="212"/>
      <c r="FIL210" s="212"/>
      <c r="FIM210" s="212"/>
      <c r="FIN210" s="212"/>
      <c r="FIO210" s="212"/>
      <c r="FIP210" s="212"/>
      <c r="FIQ210" s="212"/>
      <c r="FIR210" s="212"/>
      <c r="FIS210" s="212"/>
      <c r="FIT210" s="212"/>
      <c r="FIU210" s="212"/>
      <c r="FIV210" s="214"/>
      <c r="FIW210" s="211"/>
      <c r="FIX210" s="212"/>
      <c r="FIY210" s="212"/>
      <c r="FIZ210" s="212"/>
      <c r="FJA210" s="212"/>
      <c r="FJB210" s="212"/>
      <c r="FJC210" s="212"/>
      <c r="FJD210" s="212"/>
      <c r="FJE210" s="212"/>
      <c r="FJF210" s="212"/>
      <c r="FJG210" s="212"/>
      <c r="FJH210" s="212"/>
      <c r="FJI210" s="212"/>
      <c r="FJJ210" s="212"/>
      <c r="FJK210" s="212"/>
      <c r="FJL210" s="212"/>
      <c r="FJM210" s="212"/>
      <c r="FJN210" s="212"/>
      <c r="FJO210" s="212"/>
      <c r="FJP210" s="212"/>
      <c r="FJQ210" s="212"/>
      <c r="FJR210" s="212"/>
      <c r="FJS210" s="212"/>
      <c r="FJT210" s="212"/>
      <c r="FJU210" s="212"/>
      <c r="FJV210" s="212"/>
      <c r="FJW210" s="212"/>
      <c r="FJX210" s="212"/>
      <c r="FJY210" s="212"/>
      <c r="FJZ210" s="212"/>
      <c r="FKA210" s="212"/>
      <c r="FKB210" s="212"/>
      <c r="FKC210" s="212"/>
      <c r="FKD210" s="212"/>
      <c r="FKE210" s="212"/>
      <c r="FKF210" s="212"/>
      <c r="FKG210" s="212"/>
      <c r="FKH210" s="212"/>
      <c r="FKI210" s="212"/>
      <c r="FKJ210" s="212"/>
      <c r="FKK210" s="212"/>
      <c r="FKL210" s="212"/>
      <c r="FKM210" s="212"/>
      <c r="FKN210" s="214"/>
      <c r="FKO210" s="211"/>
      <c r="FKP210" s="212"/>
      <c r="FKQ210" s="212"/>
      <c r="FKR210" s="212"/>
      <c r="FKS210" s="212"/>
      <c r="FKT210" s="212"/>
      <c r="FKU210" s="212"/>
      <c r="FKV210" s="212"/>
      <c r="FKW210" s="212"/>
      <c r="FKX210" s="212"/>
      <c r="FKY210" s="212"/>
      <c r="FKZ210" s="212"/>
      <c r="FLA210" s="212"/>
      <c r="FLB210" s="212"/>
      <c r="FLC210" s="212"/>
      <c r="FLD210" s="212"/>
      <c r="FLE210" s="212"/>
      <c r="FLF210" s="212"/>
      <c r="FLG210" s="212"/>
      <c r="FLH210" s="212"/>
      <c r="FLI210" s="212"/>
      <c r="FLJ210" s="212"/>
      <c r="FLK210" s="212"/>
      <c r="FLL210" s="212"/>
      <c r="FLM210" s="212"/>
      <c r="FLN210" s="212"/>
      <c r="FLO210" s="212"/>
      <c r="FLP210" s="212"/>
      <c r="FLQ210" s="212"/>
      <c r="FLR210" s="212"/>
      <c r="FLS210" s="212"/>
      <c r="FLT210" s="212"/>
      <c r="FLU210" s="212"/>
      <c r="FLV210" s="212"/>
      <c r="FLW210" s="212"/>
      <c r="FLX210" s="212"/>
      <c r="FLY210" s="212"/>
      <c r="FLZ210" s="212"/>
      <c r="FMA210" s="212"/>
      <c r="FMB210" s="212"/>
      <c r="FMC210" s="212"/>
      <c r="FMD210" s="212"/>
      <c r="FME210" s="212"/>
      <c r="FMF210" s="214"/>
      <c r="FMG210" s="211"/>
      <c r="FMH210" s="212"/>
      <c r="FMI210" s="212"/>
      <c r="FMJ210" s="212"/>
      <c r="FMK210" s="212"/>
      <c r="FML210" s="212"/>
      <c r="FMM210" s="212"/>
      <c r="FMN210" s="212"/>
      <c r="FMO210" s="212"/>
      <c r="FMP210" s="212"/>
      <c r="FMQ210" s="212"/>
      <c r="FMR210" s="212"/>
      <c r="FMS210" s="212"/>
      <c r="FMT210" s="212"/>
      <c r="FMU210" s="212"/>
      <c r="FMV210" s="212"/>
      <c r="FMW210" s="212"/>
      <c r="FMX210" s="212"/>
      <c r="FMY210" s="212"/>
      <c r="FMZ210" s="212"/>
      <c r="FNA210" s="212"/>
      <c r="FNB210" s="212"/>
      <c r="FNC210" s="212"/>
      <c r="FND210" s="212"/>
      <c r="FNE210" s="212"/>
      <c r="FNF210" s="212"/>
      <c r="FNG210" s="212"/>
      <c r="FNH210" s="212"/>
      <c r="FNI210" s="212"/>
      <c r="FNJ210" s="212"/>
      <c r="FNK210" s="212"/>
      <c r="FNL210" s="212"/>
      <c r="FNM210" s="212"/>
      <c r="FNN210" s="212"/>
      <c r="FNO210" s="212"/>
      <c r="FNP210" s="212"/>
      <c r="FNQ210" s="212"/>
      <c r="FNR210" s="212"/>
      <c r="FNS210" s="212"/>
      <c r="FNT210" s="212"/>
      <c r="FNU210" s="212"/>
      <c r="FNV210" s="212"/>
      <c r="FNW210" s="212"/>
      <c r="FNX210" s="214"/>
      <c r="FNY210" s="211"/>
      <c r="FNZ210" s="212"/>
      <c r="FOA210" s="212"/>
      <c r="FOB210" s="212"/>
      <c r="FOC210" s="212"/>
      <c r="FOD210" s="212"/>
      <c r="FOE210" s="212"/>
      <c r="FOF210" s="212"/>
      <c r="FOG210" s="212"/>
      <c r="FOH210" s="212"/>
      <c r="FOI210" s="212"/>
      <c r="FOJ210" s="212"/>
      <c r="FOK210" s="212"/>
      <c r="FOL210" s="212"/>
      <c r="FOM210" s="212"/>
      <c r="FON210" s="212"/>
      <c r="FOO210" s="212"/>
      <c r="FOP210" s="212"/>
      <c r="FOQ210" s="212"/>
      <c r="FOR210" s="212"/>
      <c r="FOS210" s="212"/>
      <c r="FOT210" s="212"/>
      <c r="FOU210" s="212"/>
      <c r="FOV210" s="212"/>
      <c r="FOW210" s="212"/>
      <c r="FOX210" s="212"/>
      <c r="FOY210" s="212"/>
      <c r="FOZ210" s="212"/>
      <c r="FPA210" s="212"/>
      <c r="FPB210" s="212"/>
      <c r="FPC210" s="212"/>
      <c r="FPD210" s="212"/>
      <c r="FPE210" s="212"/>
      <c r="FPF210" s="212"/>
      <c r="FPG210" s="212"/>
      <c r="FPH210" s="212"/>
      <c r="FPI210" s="212"/>
      <c r="FPJ210" s="212"/>
      <c r="FPK210" s="212"/>
      <c r="FPL210" s="212"/>
      <c r="FPM210" s="212"/>
      <c r="FPN210" s="212"/>
      <c r="FPO210" s="212"/>
      <c r="FPP210" s="214"/>
      <c r="FPQ210" s="211"/>
      <c r="FPR210" s="212"/>
      <c r="FPS210" s="212"/>
      <c r="FPT210" s="212"/>
      <c r="FPU210" s="212"/>
      <c r="FPV210" s="212"/>
      <c r="FPW210" s="212"/>
      <c r="FPX210" s="212"/>
      <c r="FPY210" s="212"/>
      <c r="FPZ210" s="212"/>
      <c r="FQA210" s="212"/>
      <c r="FQB210" s="212"/>
      <c r="FQC210" s="212"/>
      <c r="FQD210" s="212"/>
      <c r="FQE210" s="212"/>
      <c r="FQF210" s="212"/>
      <c r="FQG210" s="212"/>
      <c r="FQH210" s="212"/>
      <c r="FQI210" s="212"/>
      <c r="FQJ210" s="212"/>
      <c r="FQK210" s="212"/>
      <c r="FQL210" s="212"/>
      <c r="FQM210" s="212"/>
      <c r="FQN210" s="212"/>
      <c r="FQO210" s="212"/>
      <c r="FQP210" s="212"/>
      <c r="FQQ210" s="212"/>
      <c r="FQR210" s="212"/>
      <c r="FQS210" s="212"/>
      <c r="FQT210" s="212"/>
      <c r="FQU210" s="212"/>
      <c r="FQV210" s="212"/>
      <c r="FQW210" s="212"/>
      <c r="FQX210" s="212"/>
      <c r="FQY210" s="212"/>
      <c r="FQZ210" s="212"/>
      <c r="FRA210" s="212"/>
      <c r="FRB210" s="212"/>
      <c r="FRC210" s="212"/>
      <c r="FRD210" s="212"/>
      <c r="FRE210" s="212"/>
      <c r="FRF210" s="212"/>
      <c r="FRG210" s="212"/>
      <c r="FRH210" s="214"/>
      <c r="FRI210" s="211"/>
      <c r="FRJ210" s="212"/>
      <c r="FRK210" s="212"/>
      <c r="FRL210" s="212"/>
      <c r="FRM210" s="212"/>
      <c r="FRN210" s="212"/>
      <c r="FRO210" s="212"/>
      <c r="FRP210" s="212"/>
      <c r="FRQ210" s="212"/>
      <c r="FRR210" s="212"/>
      <c r="FRS210" s="212"/>
      <c r="FRT210" s="212"/>
      <c r="FRU210" s="212"/>
      <c r="FRV210" s="212"/>
      <c r="FRW210" s="212"/>
      <c r="FRX210" s="212"/>
      <c r="FRY210" s="212"/>
      <c r="FRZ210" s="212"/>
      <c r="FSA210" s="212"/>
      <c r="FSB210" s="212"/>
      <c r="FSC210" s="212"/>
      <c r="FSD210" s="212"/>
      <c r="FSE210" s="212"/>
      <c r="FSF210" s="212"/>
      <c r="FSG210" s="212"/>
      <c r="FSH210" s="212"/>
      <c r="FSI210" s="212"/>
      <c r="FSJ210" s="212"/>
      <c r="FSK210" s="212"/>
      <c r="FSL210" s="212"/>
      <c r="FSM210" s="212"/>
      <c r="FSN210" s="212"/>
      <c r="FSO210" s="212"/>
      <c r="FSP210" s="212"/>
      <c r="FSQ210" s="212"/>
      <c r="FSR210" s="212"/>
      <c r="FSS210" s="212"/>
      <c r="FST210" s="212"/>
      <c r="FSU210" s="212"/>
      <c r="FSV210" s="212"/>
      <c r="FSW210" s="212"/>
      <c r="FSX210" s="212"/>
      <c r="FSY210" s="212"/>
      <c r="FSZ210" s="214"/>
      <c r="FTA210" s="211"/>
      <c r="FTB210" s="212"/>
      <c r="FTC210" s="212"/>
      <c r="FTD210" s="212"/>
      <c r="FTE210" s="212"/>
      <c r="FTF210" s="212"/>
      <c r="FTG210" s="212"/>
      <c r="FTH210" s="212"/>
      <c r="FTI210" s="212"/>
      <c r="FTJ210" s="212"/>
      <c r="FTK210" s="212"/>
      <c r="FTL210" s="212"/>
      <c r="FTM210" s="212"/>
      <c r="FTN210" s="212"/>
      <c r="FTO210" s="212"/>
      <c r="FTP210" s="212"/>
      <c r="FTQ210" s="212"/>
      <c r="FTR210" s="212"/>
      <c r="FTS210" s="212"/>
      <c r="FTT210" s="212"/>
      <c r="FTU210" s="212"/>
      <c r="FTV210" s="212"/>
      <c r="FTW210" s="212"/>
      <c r="FTX210" s="212"/>
      <c r="FTY210" s="212"/>
      <c r="FTZ210" s="212"/>
      <c r="FUA210" s="212"/>
      <c r="FUB210" s="212"/>
      <c r="FUC210" s="212"/>
      <c r="FUD210" s="212"/>
      <c r="FUE210" s="212"/>
      <c r="FUF210" s="212"/>
      <c r="FUG210" s="212"/>
      <c r="FUH210" s="212"/>
      <c r="FUI210" s="212"/>
      <c r="FUJ210" s="212"/>
      <c r="FUK210" s="212"/>
      <c r="FUL210" s="212"/>
      <c r="FUM210" s="212"/>
      <c r="FUN210" s="212"/>
      <c r="FUO210" s="212"/>
      <c r="FUP210" s="212"/>
      <c r="FUQ210" s="212"/>
      <c r="FUR210" s="214"/>
      <c r="FUS210" s="211"/>
      <c r="FUT210" s="212"/>
      <c r="FUU210" s="212"/>
      <c r="FUV210" s="212"/>
      <c r="FUW210" s="212"/>
      <c r="FUX210" s="212"/>
      <c r="FUY210" s="212"/>
      <c r="FUZ210" s="212"/>
      <c r="FVA210" s="212"/>
      <c r="FVB210" s="212"/>
      <c r="FVC210" s="212"/>
      <c r="FVD210" s="212"/>
      <c r="FVE210" s="212"/>
      <c r="FVF210" s="212"/>
      <c r="FVG210" s="212"/>
      <c r="FVH210" s="212"/>
      <c r="FVI210" s="212"/>
      <c r="FVJ210" s="212"/>
      <c r="FVK210" s="212"/>
      <c r="FVL210" s="212"/>
      <c r="FVM210" s="212"/>
      <c r="FVN210" s="212"/>
      <c r="FVO210" s="212"/>
      <c r="FVP210" s="212"/>
      <c r="FVQ210" s="212"/>
      <c r="FVR210" s="212"/>
      <c r="FVS210" s="212"/>
      <c r="FVT210" s="212"/>
      <c r="FVU210" s="212"/>
      <c r="FVV210" s="212"/>
      <c r="FVW210" s="212"/>
      <c r="FVX210" s="212"/>
      <c r="FVY210" s="212"/>
      <c r="FVZ210" s="212"/>
      <c r="FWA210" s="212"/>
      <c r="FWB210" s="212"/>
      <c r="FWC210" s="212"/>
      <c r="FWD210" s="212"/>
      <c r="FWE210" s="212"/>
      <c r="FWF210" s="212"/>
      <c r="FWG210" s="212"/>
      <c r="FWH210" s="212"/>
      <c r="FWI210" s="212"/>
      <c r="FWJ210" s="214"/>
      <c r="FWK210" s="211"/>
      <c r="FWL210" s="212"/>
      <c r="FWM210" s="212"/>
      <c r="FWN210" s="212"/>
      <c r="FWO210" s="212"/>
      <c r="FWP210" s="212"/>
      <c r="FWQ210" s="212"/>
      <c r="FWR210" s="212"/>
      <c r="FWS210" s="212"/>
      <c r="FWT210" s="212"/>
      <c r="FWU210" s="212"/>
      <c r="FWV210" s="212"/>
      <c r="FWW210" s="212"/>
      <c r="FWX210" s="212"/>
      <c r="FWY210" s="212"/>
      <c r="FWZ210" s="212"/>
      <c r="FXA210" s="212"/>
      <c r="FXB210" s="212"/>
      <c r="FXC210" s="212"/>
      <c r="FXD210" s="212"/>
      <c r="FXE210" s="212"/>
      <c r="FXF210" s="212"/>
      <c r="FXG210" s="212"/>
      <c r="FXH210" s="212"/>
      <c r="FXI210" s="212"/>
      <c r="FXJ210" s="212"/>
      <c r="FXK210" s="212"/>
      <c r="FXL210" s="212"/>
      <c r="FXM210" s="212"/>
      <c r="FXN210" s="212"/>
      <c r="FXO210" s="212"/>
      <c r="FXP210" s="212"/>
      <c r="FXQ210" s="212"/>
      <c r="FXR210" s="212"/>
      <c r="FXS210" s="212"/>
      <c r="FXT210" s="212"/>
      <c r="FXU210" s="212"/>
      <c r="FXV210" s="212"/>
      <c r="FXW210" s="212"/>
      <c r="FXX210" s="212"/>
      <c r="FXY210" s="212"/>
      <c r="FXZ210" s="212"/>
      <c r="FYA210" s="212"/>
      <c r="FYB210" s="214"/>
      <c r="FYC210" s="211"/>
      <c r="FYD210" s="212"/>
      <c r="FYE210" s="212"/>
      <c r="FYF210" s="212"/>
      <c r="FYG210" s="212"/>
      <c r="FYH210" s="212"/>
      <c r="FYI210" s="212"/>
      <c r="FYJ210" s="212"/>
      <c r="FYK210" s="212"/>
      <c r="FYL210" s="212"/>
      <c r="FYM210" s="212"/>
      <c r="FYN210" s="212"/>
      <c r="FYO210" s="212"/>
      <c r="FYP210" s="212"/>
      <c r="FYQ210" s="212"/>
      <c r="FYR210" s="212"/>
      <c r="FYS210" s="212"/>
      <c r="FYT210" s="212"/>
      <c r="FYU210" s="212"/>
      <c r="FYV210" s="212"/>
      <c r="FYW210" s="212"/>
      <c r="FYX210" s="212"/>
      <c r="FYY210" s="212"/>
      <c r="FYZ210" s="212"/>
      <c r="FZA210" s="212"/>
      <c r="FZB210" s="212"/>
      <c r="FZC210" s="212"/>
      <c r="FZD210" s="212"/>
      <c r="FZE210" s="212"/>
      <c r="FZF210" s="212"/>
      <c r="FZG210" s="212"/>
      <c r="FZH210" s="212"/>
      <c r="FZI210" s="212"/>
      <c r="FZJ210" s="212"/>
      <c r="FZK210" s="212"/>
      <c r="FZL210" s="212"/>
      <c r="FZM210" s="212"/>
      <c r="FZN210" s="212"/>
      <c r="FZO210" s="212"/>
      <c r="FZP210" s="212"/>
      <c r="FZQ210" s="212"/>
      <c r="FZR210" s="212"/>
      <c r="FZS210" s="212"/>
      <c r="FZT210" s="214"/>
      <c r="FZU210" s="211"/>
      <c r="FZV210" s="212"/>
      <c r="FZW210" s="212"/>
      <c r="FZX210" s="212"/>
      <c r="FZY210" s="212"/>
      <c r="FZZ210" s="212"/>
      <c r="GAA210" s="212"/>
      <c r="GAB210" s="212"/>
      <c r="GAC210" s="212"/>
      <c r="GAD210" s="212"/>
      <c r="GAE210" s="212"/>
      <c r="GAF210" s="212"/>
      <c r="GAG210" s="212"/>
      <c r="GAH210" s="212"/>
      <c r="GAI210" s="212"/>
      <c r="GAJ210" s="212"/>
      <c r="GAK210" s="212"/>
      <c r="GAL210" s="212"/>
      <c r="GAM210" s="212"/>
      <c r="GAN210" s="212"/>
      <c r="GAO210" s="212"/>
      <c r="GAP210" s="212"/>
      <c r="GAQ210" s="212"/>
      <c r="GAR210" s="212"/>
      <c r="GAS210" s="212"/>
      <c r="GAT210" s="212"/>
      <c r="GAU210" s="212"/>
      <c r="GAV210" s="212"/>
      <c r="GAW210" s="212"/>
      <c r="GAX210" s="212"/>
      <c r="GAY210" s="212"/>
      <c r="GAZ210" s="212"/>
      <c r="GBA210" s="212"/>
      <c r="GBB210" s="212"/>
      <c r="GBC210" s="212"/>
      <c r="GBD210" s="212"/>
      <c r="GBE210" s="212"/>
      <c r="GBF210" s="212"/>
      <c r="GBG210" s="212"/>
      <c r="GBH210" s="212"/>
      <c r="GBI210" s="212"/>
      <c r="GBJ210" s="212"/>
      <c r="GBK210" s="212"/>
      <c r="GBL210" s="214"/>
      <c r="GBM210" s="211"/>
      <c r="GBN210" s="212"/>
      <c r="GBO210" s="212"/>
      <c r="GBP210" s="212"/>
      <c r="GBQ210" s="212"/>
      <c r="GBR210" s="212"/>
      <c r="GBS210" s="212"/>
      <c r="GBT210" s="212"/>
      <c r="GBU210" s="212"/>
      <c r="GBV210" s="212"/>
      <c r="GBW210" s="212"/>
      <c r="GBX210" s="212"/>
      <c r="GBY210" s="212"/>
      <c r="GBZ210" s="212"/>
      <c r="GCA210" s="212"/>
      <c r="GCB210" s="212"/>
      <c r="GCC210" s="212"/>
      <c r="GCD210" s="212"/>
      <c r="GCE210" s="212"/>
      <c r="GCF210" s="212"/>
      <c r="GCG210" s="212"/>
      <c r="GCH210" s="212"/>
      <c r="GCI210" s="212"/>
      <c r="GCJ210" s="212"/>
      <c r="GCK210" s="212"/>
      <c r="GCL210" s="212"/>
      <c r="GCM210" s="212"/>
      <c r="GCN210" s="212"/>
      <c r="GCO210" s="212"/>
      <c r="GCP210" s="212"/>
      <c r="GCQ210" s="212"/>
      <c r="GCR210" s="212"/>
      <c r="GCS210" s="212"/>
      <c r="GCT210" s="212"/>
      <c r="GCU210" s="212"/>
      <c r="GCV210" s="212"/>
      <c r="GCW210" s="212"/>
      <c r="GCX210" s="212"/>
      <c r="GCY210" s="212"/>
      <c r="GCZ210" s="212"/>
      <c r="GDA210" s="212"/>
      <c r="GDB210" s="212"/>
      <c r="GDC210" s="212"/>
      <c r="GDD210" s="214"/>
      <c r="GDE210" s="211"/>
      <c r="GDF210" s="212"/>
      <c r="GDG210" s="212"/>
      <c r="GDH210" s="212"/>
      <c r="GDI210" s="212"/>
      <c r="GDJ210" s="212"/>
      <c r="GDK210" s="212"/>
      <c r="GDL210" s="212"/>
      <c r="GDM210" s="212"/>
      <c r="GDN210" s="212"/>
      <c r="GDO210" s="212"/>
      <c r="GDP210" s="212"/>
      <c r="GDQ210" s="212"/>
      <c r="GDR210" s="212"/>
      <c r="GDS210" s="212"/>
      <c r="GDT210" s="212"/>
      <c r="GDU210" s="212"/>
      <c r="GDV210" s="212"/>
      <c r="GDW210" s="212"/>
      <c r="GDX210" s="212"/>
      <c r="GDY210" s="212"/>
      <c r="GDZ210" s="212"/>
      <c r="GEA210" s="212"/>
      <c r="GEB210" s="212"/>
      <c r="GEC210" s="212"/>
      <c r="GED210" s="212"/>
      <c r="GEE210" s="212"/>
      <c r="GEF210" s="212"/>
      <c r="GEG210" s="212"/>
      <c r="GEH210" s="212"/>
      <c r="GEI210" s="212"/>
      <c r="GEJ210" s="212"/>
      <c r="GEK210" s="212"/>
      <c r="GEL210" s="212"/>
      <c r="GEM210" s="212"/>
      <c r="GEN210" s="212"/>
      <c r="GEO210" s="212"/>
      <c r="GEP210" s="212"/>
      <c r="GEQ210" s="212"/>
      <c r="GER210" s="212"/>
      <c r="GES210" s="212"/>
      <c r="GET210" s="212"/>
      <c r="GEU210" s="212"/>
      <c r="GEV210" s="214"/>
      <c r="GEW210" s="211"/>
      <c r="GEX210" s="212"/>
      <c r="GEY210" s="212"/>
      <c r="GEZ210" s="212"/>
      <c r="GFA210" s="212"/>
      <c r="GFB210" s="212"/>
      <c r="GFC210" s="212"/>
      <c r="GFD210" s="212"/>
      <c r="GFE210" s="212"/>
      <c r="GFF210" s="212"/>
      <c r="GFG210" s="212"/>
      <c r="GFH210" s="212"/>
      <c r="GFI210" s="212"/>
      <c r="GFJ210" s="212"/>
      <c r="GFK210" s="212"/>
      <c r="GFL210" s="212"/>
      <c r="GFM210" s="212"/>
      <c r="GFN210" s="212"/>
      <c r="GFO210" s="212"/>
      <c r="GFP210" s="212"/>
      <c r="GFQ210" s="212"/>
      <c r="GFR210" s="212"/>
      <c r="GFS210" s="212"/>
      <c r="GFT210" s="212"/>
      <c r="GFU210" s="212"/>
      <c r="GFV210" s="212"/>
      <c r="GFW210" s="212"/>
      <c r="GFX210" s="212"/>
      <c r="GFY210" s="212"/>
      <c r="GFZ210" s="212"/>
      <c r="GGA210" s="212"/>
      <c r="GGB210" s="212"/>
      <c r="GGC210" s="212"/>
      <c r="GGD210" s="212"/>
      <c r="GGE210" s="212"/>
      <c r="GGF210" s="212"/>
      <c r="GGG210" s="212"/>
      <c r="GGH210" s="212"/>
      <c r="GGI210" s="212"/>
      <c r="GGJ210" s="212"/>
      <c r="GGK210" s="212"/>
      <c r="GGL210" s="212"/>
      <c r="GGM210" s="212"/>
      <c r="GGN210" s="214"/>
      <c r="GGO210" s="211"/>
      <c r="GGP210" s="212"/>
      <c r="GGQ210" s="212"/>
      <c r="GGR210" s="212"/>
      <c r="GGS210" s="212"/>
      <c r="GGT210" s="212"/>
      <c r="GGU210" s="212"/>
      <c r="GGV210" s="212"/>
      <c r="GGW210" s="212"/>
      <c r="GGX210" s="212"/>
      <c r="GGY210" s="212"/>
      <c r="GGZ210" s="212"/>
      <c r="GHA210" s="212"/>
      <c r="GHB210" s="212"/>
      <c r="GHC210" s="212"/>
      <c r="GHD210" s="212"/>
      <c r="GHE210" s="212"/>
      <c r="GHF210" s="212"/>
      <c r="GHG210" s="212"/>
      <c r="GHH210" s="212"/>
      <c r="GHI210" s="212"/>
      <c r="GHJ210" s="212"/>
      <c r="GHK210" s="212"/>
      <c r="GHL210" s="212"/>
      <c r="GHM210" s="212"/>
      <c r="GHN210" s="212"/>
      <c r="GHO210" s="212"/>
      <c r="GHP210" s="212"/>
      <c r="GHQ210" s="212"/>
      <c r="GHR210" s="212"/>
      <c r="GHS210" s="212"/>
      <c r="GHT210" s="212"/>
      <c r="GHU210" s="212"/>
      <c r="GHV210" s="212"/>
      <c r="GHW210" s="212"/>
      <c r="GHX210" s="212"/>
      <c r="GHY210" s="212"/>
      <c r="GHZ210" s="212"/>
      <c r="GIA210" s="212"/>
      <c r="GIB210" s="212"/>
      <c r="GIC210" s="212"/>
      <c r="GID210" s="212"/>
      <c r="GIE210" s="212"/>
      <c r="GIF210" s="214"/>
      <c r="GIG210" s="211"/>
      <c r="GIH210" s="212"/>
      <c r="GII210" s="212"/>
      <c r="GIJ210" s="212"/>
      <c r="GIK210" s="212"/>
      <c r="GIL210" s="212"/>
      <c r="GIM210" s="212"/>
      <c r="GIN210" s="212"/>
      <c r="GIO210" s="212"/>
      <c r="GIP210" s="212"/>
      <c r="GIQ210" s="212"/>
      <c r="GIR210" s="212"/>
      <c r="GIS210" s="212"/>
      <c r="GIT210" s="212"/>
      <c r="GIU210" s="212"/>
      <c r="GIV210" s="212"/>
      <c r="GIW210" s="212"/>
      <c r="GIX210" s="212"/>
      <c r="GIY210" s="212"/>
      <c r="GIZ210" s="212"/>
      <c r="GJA210" s="212"/>
      <c r="GJB210" s="212"/>
      <c r="GJC210" s="212"/>
      <c r="GJD210" s="212"/>
      <c r="GJE210" s="212"/>
      <c r="GJF210" s="212"/>
      <c r="GJG210" s="212"/>
      <c r="GJH210" s="212"/>
      <c r="GJI210" s="212"/>
      <c r="GJJ210" s="212"/>
      <c r="GJK210" s="212"/>
      <c r="GJL210" s="212"/>
      <c r="GJM210" s="212"/>
      <c r="GJN210" s="212"/>
      <c r="GJO210" s="212"/>
      <c r="GJP210" s="212"/>
      <c r="GJQ210" s="212"/>
      <c r="GJR210" s="212"/>
      <c r="GJS210" s="212"/>
      <c r="GJT210" s="212"/>
      <c r="GJU210" s="212"/>
      <c r="GJV210" s="212"/>
      <c r="GJW210" s="212"/>
      <c r="GJX210" s="214"/>
      <c r="GJY210" s="211"/>
      <c r="GJZ210" s="212"/>
      <c r="GKA210" s="212"/>
      <c r="GKB210" s="212"/>
      <c r="GKC210" s="212"/>
      <c r="GKD210" s="212"/>
      <c r="GKE210" s="212"/>
      <c r="GKF210" s="212"/>
      <c r="GKG210" s="212"/>
      <c r="GKH210" s="212"/>
      <c r="GKI210" s="212"/>
      <c r="GKJ210" s="212"/>
      <c r="GKK210" s="212"/>
      <c r="GKL210" s="212"/>
      <c r="GKM210" s="212"/>
      <c r="GKN210" s="212"/>
      <c r="GKO210" s="212"/>
      <c r="GKP210" s="212"/>
      <c r="GKQ210" s="212"/>
      <c r="GKR210" s="212"/>
      <c r="GKS210" s="212"/>
      <c r="GKT210" s="212"/>
      <c r="GKU210" s="212"/>
      <c r="GKV210" s="212"/>
      <c r="GKW210" s="212"/>
      <c r="GKX210" s="212"/>
      <c r="GKY210" s="212"/>
      <c r="GKZ210" s="212"/>
      <c r="GLA210" s="212"/>
      <c r="GLB210" s="212"/>
      <c r="GLC210" s="212"/>
      <c r="GLD210" s="212"/>
      <c r="GLE210" s="212"/>
      <c r="GLF210" s="212"/>
      <c r="GLG210" s="212"/>
      <c r="GLH210" s="212"/>
      <c r="GLI210" s="212"/>
      <c r="GLJ210" s="212"/>
      <c r="GLK210" s="212"/>
      <c r="GLL210" s="212"/>
      <c r="GLM210" s="212"/>
      <c r="GLN210" s="212"/>
      <c r="GLO210" s="212"/>
      <c r="GLP210" s="214"/>
      <c r="GLQ210" s="211"/>
      <c r="GLR210" s="212"/>
      <c r="GLS210" s="212"/>
      <c r="GLT210" s="212"/>
      <c r="GLU210" s="212"/>
      <c r="GLV210" s="212"/>
      <c r="GLW210" s="212"/>
      <c r="GLX210" s="212"/>
      <c r="GLY210" s="212"/>
      <c r="GLZ210" s="212"/>
      <c r="GMA210" s="212"/>
      <c r="GMB210" s="212"/>
      <c r="GMC210" s="212"/>
      <c r="GMD210" s="212"/>
      <c r="GME210" s="212"/>
      <c r="GMF210" s="212"/>
      <c r="GMG210" s="212"/>
      <c r="GMH210" s="212"/>
      <c r="GMI210" s="212"/>
      <c r="GMJ210" s="212"/>
      <c r="GMK210" s="212"/>
      <c r="GML210" s="212"/>
      <c r="GMM210" s="212"/>
      <c r="GMN210" s="212"/>
      <c r="GMO210" s="212"/>
      <c r="GMP210" s="212"/>
      <c r="GMQ210" s="212"/>
      <c r="GMR210" s="212"/>
      <c r="GMS210" s="212"/>
      <c r="GMT210" s="212"/>
      <c r="GMU210" s="212"/>
      <c r="GMV210" s="212"/>
      <c r="GMW210" s="212"/>
      <c r="GMX210" s="212"/>
      <c r="GMY210" s="212"/>
      <c r="GMZ210" s="212"/>
      <c r="GNA210" s="212"/>
      <c r="GNB210" s="212"/>
      <c r="GNC210" s="212"/>
      <c r="GND210" s="212"/>
      <c r="GNE210" s="212"/>
      <c r="GNF210" s="212"/>
      <c r="GNG210" s="212"/>
      <c r="GNH210" s="214"/>
      <c r="GNI210" s="211"/>
      <c r="GNJ210" s="212"/>
      <c r="GNK210" s="212"/>
      <c r="GNL210" s="212"/>
      <c r="GNM210" s="212"/>
      <c r="GNN210" s="212"/>
      <c r="GNO210" s="212"/>
      <c r="GNP210" s="212"/>
      <c r="GNQ210" s="212"/>
      <c r="GNR210" s="212"/>
      <c r="GNS210" s="212"/>
      <c r="GNT210" s="212"/>
      <c r="GNU210" s="212"/>
      <c r="GNV210" s="212"/>
      <c r="GNW210" s="212"/>
      <c r="GNX210" s="212"/>
      <c r="GNY210" s="212"/>
      <c r="GNZ210" s="212"/>
      <c r="GOA210" s="212"/>
      <c r="GOB210" s="212"/>
      <c r="GOC210" s="212"/>
      <c r="GOD210" s="212"/>
      <c r="GOE210" s="212"/>
      <c r="GOF210" s="212"/>
      <c r="GOG210" s="212"/>
      <c r="GOH210" s="212"/>
      <c r="GOI210" s="212"/>
      <c r="GOJ210" s="212"/>
      <c r="GOK210" s="212"/>
      <c r="GOL210" s="212"/>
      <c r="GOM210" s="212"/>
      <c r="GON210" s="212"/>
      <c r="GOO210" s="212"/>
      <c r="GOP210" s="212"/>
      <c r="GOQ210" s="212"/>
      <c r="GOR210" s="212"/>
      <c r="GOS210" s="212"/>
      <c r="GOT210" s="212"/>
      <c r="GOU210" s="212"/>
      <c r="GOV210" s="212"/>
      <c r="GOW210" s="212"/>
      <c r="GOX210" s="212"/>
      <c r="GOY210" s="212"/>
      <c r="GOZ210" s="214"/>
      <c r="GPA210" s="211"/>
      <c r="GPB210" s="212"/>
      <c r="GPC210" s="212"/>
      <c r="GPD210" s="212"/>
      <c r="GPE210" s="212"/>
      <c r="GPF210" s="212"/>
      <c r="GPG210" s="212"/>
      <c r="GPH210" s="212"/>
      <c r="GPI210" s="212"/>
      <c r="GPJ210" s="212"/>
      <c r="GPK210" s="212"/>
      <c r="GPL210" s="212"/>
      <c r="GPM210" s="212"/>
      <c r="GPN210" s="212"/>
      <c r="GPO210" s="212"/>
      <c r="GPP210" s="212"/>
      <c r="GPQ210" s="212"/>
      <c r="GPR210" s="212"/>
      <c r="GPS210" s="212"/>
      <c r="GPT210" s="212"/>
      <c r="GPU210" s="212"/>
      <c r="GPV210" s="212"/>
      <c r="GPW210" s="212"/>
      <c r="GPX210" s="212"/>
      <c r="GPY210" s="212"/>
      <c r="GPZ210" s="212"/>
      <c r="GQA210" s="212"/>
      <c r="GQB210" s="212"/>
      <c r="GQC210" s="212"/>
      <c r="GQD210" s="212"/>
      <c r="GQE210" s="212"/>
      <c r="GQF210" s="212"/>
      <c r="GQG210" s="212"/>
      <c r="GQH210" s="212"/>
      <c r="GQI210" s="212"/>
      <c r="GQJ210" s="212"/>
      <c r="GQK210" s="212"/>
      <c r="GQL210" s="212"/>
      <c r="GQM210" s="212"/>
      <c r="GQN210" s="212"/>
      <c r="GQO210" s="212"/>
      <c r="GQP210" s="212"/>
      <c r="GQQ210" s="212"/>
      <c r="GQR210" s="214"/>
      <c r="GQS210" s="211"/>
      <c r="GQT210" s="212"/>
      <c r="GQU210" s="212"/>
      <c r="GQV210" s="212"/>
      <c r="GQW210" s="212"/>
      <c r="GQX210" s="212"/>
      <c r="GQY210" s="212"/>
      <c r="GQZ210" s="212"/>
      <c r="GRA210" s="212"/>
      <c r="GRB210" s="212"/>
      <c r="GRC210" s="212"/>
      <c r="GRD210" s="212"/>
      <c r="GRE210" s="212"/>
      <c r="GRF210" s="212"/>
      <c r="GRG210" s="212"/>
      <c r="GRH210" s="212"/>
      <c r="GRI210" s="212"/>
      <c r="GRJ210" s="212"/>
      <c r="GRK210" s="212"/>
      <c r="GRL210" s="212"/>
      <c r="GRM210" s="212"/>
      <c r="GRN210" s="212"/>
      <c r="GRO210" s="212"/>
      <c r="GRP210" s="212"/>
      <c r="GRQ210" s="212"/>
      <c r="GRR210" s="212"/>
      <c r="GRS210" s="212"/>
      <c r="GRT210" s="212"/>
      <c r="GRU210" s="212"/>
      <c r="GRV210" s="212"/>
      <c r="GRW210" s="212"/>
      <c r="GRX210" s="212"/>
      <c r="GRY210" s="212"/>
      <c r="GRZ210" s="212"/>
      <c r="GSA210" s="212"/>
      <c r="GSB210" s="212"/>
      <c r="GSC210" s="212"/>
      <c r="GSD210" s="212"/>
      <c r="GSE210" s="212"/>
      <c r="GSF210" s="212"/>
      <c r="GSG210" s="212"/>
      <c r="GSH210" s="212"/>
      <c r="GSI210" s="212"/>
      <c r="GSJ210" s="214"/>
      <c r="GSK210" s="211"/>
      <c r="GSL210" s="212"/>
      <c r="GSM210" s="212"/>
      <c r="GSN210" s="212"/>
      <c r="GSO210" s="212"/>
      <c r="GSP210" s="212"/>
      <c r="GSQ210" s="212"/>
      <c r="GSR210" s="212"/>
      <c r="GSS210" s="212"/>
      <c r="GST210" s="212"/>
      <c r="GSU210" s="212"/>
      <c r="GSV210" s="212"/>
      <c r="GSW210" s="212"/>
      <c r="GSX210" s="212"/>
      <c r="GSY210" s="212"/>
      <c r="GSZ210" s="212"/>
      <c r="GTA210" s="212"/>
      <c r="GTB210" s="212"/>
      <c r="GTC210" s="212"/>
      <c r="GTD210" s="212"/>
      <c r="GTE210" s="212"/>
      <c r="GTF210" s="212"/>
      <c r="GTG210" s="212"/>
      <c r="GTH210" s="212"/>
      <c r="GTI210" s="212"/>
      <c r="GTJ210" s="212"/>
      <c r="GTK210" s="212"/>
      <c r="GTL210" s="212"/>
      <c r="GTM210" s="212"/>
      <c r="GTN210" s="212"/>
      <c r="GTO210" s="212"/>
      <c r="GTP210" s="212"/>
      <c r="GTQ210" s="212"/>
      <c r="GTR210" s="212"/>
      <c r="GTS210" s="212"/>
      <c r="GTT210" s="212"/>
      <c r="GTU210" s="212"/>
      <c r="GTV210" s="212"/>
      <c r="GTW210" s="212"/>
      <c r="GTX210" s="212"/>
      <c r="GTY210" s="212"/>
      <c r="GTZ210" s="212"/>
      <c r="GUA210" s="212"/>
      <c r="GUB210" s="214"/>
      <c r="GUC210" s="211"/>
      <c r="GUD210" s="212"/>
      <c r="GUE210" s="212"/>
      <c r="GUF210" s="212"/>
      <c r="GUG210" s="212"/>
      <c r="GUH210" s="212"/>
      <c r="GUI210" s="212"/>
      <c r="GUJ210" s="212"/>
      <c r="GUK210" s="212"/>
      <c r="GUL210" s="212"/>
      <c r="GUM210" s="212"/>
      <c r="GUN210" s="212"/>
      <c r="GUO210" s="212"/>
      <c r="GUP210" s="212"/>
      <c r="GUQ210" s="212"/>
      <c r="GUR210" s="212"/>
      <c r="GUS210" s="212"/>
      <c r="GUT210" s="212"/>
      <c r="GUU210" s="212"/>
      <c r="GUV210" s="212"/>
      <c r="GUW210" s="212"/>
      <c r="GUX210" s="212"/>
      <c r="GUY210" s="212"/>
      <c r="GUZ210" s="212"/>
      <c r="GVA210" s="212"/>
      <c r="GVB210" s="212"/>
      <c r="GVC210" s="212"/>
      <c r="GVD210" s="212"/>
      <c r="GVE210" s="212"/>
      <c r="GVF210" s="212"/>
      <c r="GVG210" s="212"/>
      <c r="GVH210" s="212"/>
      <c r="GVI210" s="212"/>
      <c r="GVJ210" s="212"/>
      <c r="GVK210" s="212"/>
      <c r="GVL210" s="212"/>
      <c r="GVM210" s="212"/>
      <c r="GVN210" s="212"/>
      <c r="GVO210" s="212"/>
      <c r="GVP210" s="212"/>
      <c r="GVQ210" s="212"/>
      <c r="GVR210" s="212"/>
      <c r="GVS210" s="212"/>
      <c r="GVT210" s="214"/>
      <c r="GVU210" s="211"/>
      <c r="GVV210" s="212"/>
      <c r="GVW210" s="212"/>
      <c r="GVX210" s="212"/>
      <c r="GVY210" s="212"/>
      <c r="GVZ210" s="212"/>
      <c r="GWA210" s="212"/>
      <c r="GWB210" s="212"/>
      <c r="GWC210" s="212"/>
      <c r="GWD210" s="212"/>
      <c r="GWE210" s="212"/>
      <c r="GWF210" s="212"/>
      <c r="GWG210" s="212"/>
      <c r="GWH210" s="212"/>
      <c r="GWI210" s="212"/>
      <c r="GWJ210" s="212"/>
      <c r="GWK210" s="212"/>
      <c r="GWL210" s="212"/>
      <c r="GWM210" s="212"/>
      <c r="GWN210" s="212"/>
      <c r="GWO210" s="212"/>
      <c r="GWP210" s="212"/>
      <c r="GWQ210" s="212"/>
      <c r="GWR210" s="212"/>
      <c r="GWS210" s="212"/>
      <c r="GWT210" s="212"/>
      <c r="GWU210" s="212"/>
      <c r="GWV210" s="212"/>
      <c r="GWW210" s="212"/>
      <c r="GWX210" s="212"/>
      <c r="GWY210" s="212"/>
      <c r="GWZ210" s="212"/>
      <c r="GXA210" s="212"/>
      <c r="GXB210" s="212"/>
      <c r="GXC210" s="212"/>
      <c r="GXD210" s="212"/>
      <c r="GXE210" s="212"/>
      <c r="GXF210" s="212"/>
      <c r="GXG210" s="212"/>
      <c r="GXH210" s="212"/>
      <c r="GXI210" s="212"/>
      <c r="GXJ210" s="212"/>
      <c r="GXK210" s="212"/>
      <c r="GXL210" s="214"/>
      <c r="GXM210" s="211"/>
      <c r="GXN210" s="212"/>
      <c r="GXO210" s="212"/>
      <c r="GXP210" s="212"/>
      <c r="GXQ210" s="212"/>
      <c r="GXR210" s="212"/>
      <c r="GXS210" s="212"/>
      <c r="GXT210" s="212"/>
      <c r="GXU210" s="212"/>
      <c r="GXV210" s="212"/>
      <c r="GXW210" s="212"/>
      <c r="GXX210" s="212"/>
      <c r="GXY210" s="212"/>
      <c r="GXZ210" s="212"/>
      <c r="GYA210" s="212"/>
      <c r="GYB210" s="212"/>
      <c r="GYC210" s="212"/>
      <c r="GYD210" s="212"/>
      <c r="GYE210" s="212"/>
      <c r="GYF210" s="212"/>
      <c r="GYG210" s="212"/>
      <c r="GYH210" s="212"/>
      <c r="GYI210" s="212"/>
      <c r="GYJ210" s="212"/>
      <c r="GYK210" s="212"/>
      <c r="GYL210" s="212"/>
      <c r="GYM210" s="212"/>
      <c r="GYN210" s="212"/>
      <c r="GYO210" s="212"/>
      <c r="GYP210" s="212"/>
      <c r="GYQ210" s="212"/>
      <c r="GYR210" s="212"/>
      <c r="GYS210" s="212"/>
      <c r="GYT210" s="212"/>
      <c r="GYU210" s="212"/>
      <c r="GYV210" s="212"/>
      <c r="GYW210" s="212"/>
      <c r="GYX210" s="212"/>
      <c r="GYY210" s="212"/>
      <c r="GYZ210" s="212"/>
      <c r="GZA210" s="212"/>
      <c r="GZB210" s="212"/>
      <c r="GZC210" s="212"/>
      <c r="GZD210" s="214"/>
      <c r="GZE210" s="211"/>
      <c r="GZF210" s="212"/>
      <c r="GZG210" s="212"/>
      <c r="GZH210" s="212"/>
      <c r="GZI210" s="212"/>
      <c r="GZJ210" s="212"/>
      <c r="GZK210" s="212"/>
      <c r="GZL210" s="212"/>
      <c r="GZM210" s="212"/>
      <c r="GZN210" s="212"/>
      <c r="GZO210" s="212"/>
      <c r="GZP210" s="212"/>
      <c r="GZQ210" s="212"/>
      <c r="GZR210" s="212"/>
      <c r="GZS210" s="212"/>
      <c r="GZT210" s="212"/>
      <c r="GZU210" s="212"/>
      <c r="GZV210" s="212"/>
      <c r="GZW210" s="212"/>
      <c r="GZX210" s="212"/>
      <c r="GZY210" s="212"/>
      <c r="GZZ210" s="212"/>
      <c r="HAA210" s="212"/>
      <c r="HAB210" s="212"/>
      <c r="HAC210" s="212"/>
      <c r="HAD210" s="212"/>
      <c r="HAE210" s="212"/>
      <c r="HAF210" s="212"/>
      <c r="HAG210" s="212"/>
      <c r="HAH210" s="212"/>
      <c r="HAI210" s="212"/>
      <c r="HAJ210" s="212"/>
      <c r="HAK210" s="212"/>
      <c r="HAL210" s="212"/>
      <c r="HAM210" s="212"/>
      <c r="HAN210" s="212"/>
      <c r="HAO210" s="212"/>
      <c r="HAP210" s="212"/>
      <c r="HAQ210" s="212"/>
      <c r="HAR210" s="212"/>
      <c r="HAS210" s="212"/>
      <c r="HAT210" s="212"/>
      <c r="HAU210" s="212"/>
      <c r="HAV210" s="214"/>
      <c r="HAW210" s="211"/>
      <c r="HAX210" s="212"/>
      <c r="HAY210" s="212"/>
      <c r="HAZ210" s="212"/>
      <c r="HBA210" s="212"/>
      <c r="HBB210" s="212"/>
      <c r="HBC210" s="212"/>
      <c r="HBD210" s="212"/>
      <c r="HBE210" s="212"/>
      <c r="HBF210" s="212"/>
      <c r="HBG210" s="212"/>
      <c r="HBH210" s="212"/>
      <c r="HBI210" s="212"/>
      <c r="HBJ210" s="212"/>
      <c r="HBK210" s="212"/>
      <c r="HBL210" s="212"/>
      <c r="HBM210" s="212"/>
      <c r="HBN210" s="212"/>
      <c r="HBO210" s="212"/>
      <c r="HBP210" s="212"/>
      <c r="HBQ210" s="212"/>
      <c r="HBR210" s="212"/>
      <c r="HBS210" s="212"/>
      <c r="HBT210" s="212"/>
      <c r="HBU210" s="212"/>
      <c r="HBV210" s="212"/>
      <c r="HBW210" s="212"/>
      <c r="HBX210" s="212"/>
      <c r="HBY210" s="212"/>
      <c r="HBZ210" s="212"/>
      <c r="HCA210" s="212"/>
      <c r="HCB210" s="212"/>
      <c r="HCC210" s="212"/>
      <c r="HCD210" s="212"/>
      <c r="HCE210" s="212"/>
      <c r="HCF210" s="212"/>
      <c r="HCG210" s="212"/>
      <c r="HCH210" s="212"/>
      <c r="HCI210" s="212"/>
      <c r="HCJ210" s="212"/>
      <c r="HCK210" s="212"/>
      <c r="HCL210" s="212"/>
      <c r="HCM210" s="212"/>
      <c r="HCN210" s="214"/>
      <c r="HCO210" s="211"/>
      <c r="HCP210" s="212"/>
      <c r="HCQ210" s="212"/>
      <c r="HCR210" s="212"/>
      <c r="HCS210" s="212"/>
      <c r="HCT210" s="212"/>
      <c r="HCU210" s="212"/>
      <c r="HCV210" s="212"/>
      <c r="HCW210" s="212"/>
      <c r="HCX210" s="212"/>
      <c r="HCY210" s="212"/>
      <c r="HCZ210" s="212"/>
      <c r="HDA210" s="212"/>
      <c r="HDB210" s="212"/>
      <c r="HDC210" s="212"/>
      <c r="HDD210" s="212"/>
      <c r="HDE210" s="212"/>
      <c r="HDF210" s="212"/>
      <c r="HDG210" s="212"/>
      <c r="HDH210" s="212"/>
      <c r="HDI210" s="212"/>
      <c r="HDJ210" s="212"/>
      <c r="HDK210" s="212"/>
      <c r="HDL210" s="212"/>
      <c r="HDM210" s="212"/>
      <c r="HDN210" s="212"/>
      <c r="HDO210" s="212"/>
      <c r="HDP210" s="212"/>
      <c r="HDQ210" s="212"/>
      <c r="HDR210" s="212"/>
      <c r="HDS210" s="212"/>
      <c r="HDT210" s="212"/>
      <c r="HDU210" s="212"/>
      <c r="HDV210" s="212"/>
      <c r="HDW210" s="212"/>
      <c r="HDX210" s="212"/>
      <c r="HDY210" s="212"/>
      <c r="HDZ210" s="212"/>
      <c r="HEA210" s="212"/>
      <c r="HEB210" s="212"/>
      <c r="HEC210" s="212"/>
      <c r="HED210" s="212"/>
      <c r="HEE210" s="212"/>
      <c r="HEF210" s="214"/>
      <c r="HEG210" s="211"/>
      <c r="HEH210" s="212"/>
      <c r="HEI210" s="212"/>
      <c r="HEJ210" s="212"/>
      <c r="HEK210" s="212"/>
      <c r="HEL210" s="212"/>
      <c r="HEM210" s="212"/>
      <c r="HEN210" s="212"/>
      <c r="HEO210" s="212"/>
      <c r="HEP210" s="212"/>
      <c r="HEQ210" s="212"/>
      <c r="HER210" s="212"/>
      <c r="HES210" s="212"/>
      <c r="HET210" s="212"/>
      <c r="HEU210" s="212"/>
      <c r="HEV210" s="212"/>
      <c r="HEW210" s="212"/>
      <c r="HEX210" s="212"/>
      <c r="HEY210" s="212"/>
      <c r="HEZ210" s="212"/>
      <c r="HFA210" s="212"/>
      <c r="HFB210" s="212"/>
      <c r="HFC210" s="212"/>
      <c r="HFD210" s="212"/>
      <c r="HFE210" s="212"/>
      <c r="HFF210" s="212"/>
      <c r="HFG210" s="212"/>
      <c r="HFH210" s="212"/>
      <c r="HFI210" s="212"/>
      <c r="HFJ210" s="212"/>
      <c r="HFK210" s="212"/>
      <c r="HFL210" s="212"/>
      <c r="HFM210" s="212"/>
      <c r="HFN210" s="212"/>
      <c r="HFO210" s="212"/>
      <c r="HFP210" s="212"/>
      <c r="HFQ210" s="212"/>
      <c r="HFR210" s="212"/>
      <c r="HFS210" s="212"/>
      <c r="HFT210" s="212"/>
      <c r="HFU210" s="212"/>
      <c r="HFV210" s="212"/>
      <c r="HFW210" s="212"/>
      <c r="HFX210" s="214"/>
      <c r="HFY210" s="211"/>
      <c r="HFZ210" s="212"/>
      <c r="HGA210" s="212"/>
      <c r="HGB210" s="212"/>
      <c r="HGC210" s="212"/>
      <c r="HGD210" s="212"/>
      <c r="HGE210" s="212"/>
      <c r="HGF210" s="212"/>
      <c r="HGG210" s="212"/>
      <c r="HGH210" s="212"/>
      <c r="HGI210" s="212"/>
      <c r="HGJ210" s="212"/>
      <c r="HGK210" s="212"/>
      <c r="HGL210" s="212"/>
      <c r="HGM210" s="212"/>
      <c r="HGN210" s="212"/>
      <c r="HGO210" s="212"/>
      <c r="HGP210" s="212"/>
      <c r="HGQ210" s="212"/>
      <c r="HGR210" s="212"/>
      <c r="HGS210" s="212"/>
      <c r="HGT210" s="212"/>
      <c r="HGU210" s="212"/>
      <c r="HGV210" s="212"/>
      <c r="HGW210" s="212"/>
      <c r="HGX210" s="212"/>
      <c r="HGY210" s="212"/>
      <c r="HGZ210" s="212"/>
      <c r="HHA210" s="212"/>
      <c r="HHB210" s="212"/>
      <c r="HHC210" s="212"/>
      <c r="HHD210" s="212"/>
      <c r="HHE210" s="212"/>
      <c r="HHF210" s="212"/>
      <c r="HHG210" s="212"/>
      <c r="HHH210" s="212"/>
      <c r="HHI210" s="212"/>
      <c r="HHJ210" s="212"/>
      <c r="HHK210" s="212"/>
      <c r="HHL210" s="212"/>
      <c r="HHM210" s="212"/>
      <c r="HHN210" s="212"/>
      <c r="HHO210" s="212"/>
      <c r="HHP210" s="214"/>
      <c r="HHQ210" s="211"/>
      <c r="HHR210" s="212"/>
      <c r="HHS210" s="212"/>
      <c r="HHT210" s="212"/>
      <c r="HHU210" s="212"/>
      <c r="HHV210" s="212"/>
      <c r="HHW210" s="212"/>
      <c r="HHX210" s="212"/>
      <c r="HHY210" s="212"/>
      <c r="HHZ210" s="212"/>
      <c r="HIA210" s="212"/>
      <c r="HIB210" s="212"/>
      <c r="HIC210" s="212"/>
      <c r="HID210" s="212"/>
      <c r="HIE210" s="212"/>
      <c r="HIF210" s="212"/>
      <c r="HIG210" s="212"/>
      <c r="HIH210" s="212"/>
      <c r="HII210" s="212"/>
      <c r="HIJ210" s="212"/>
      <c r="HIK210" s="212"/>
      <c r="HIL210" s="212"/>
      <c r="HIM210" s="212"/>
      <c r="HIN210" s="212"/>
      <c r="HIO210" s="212"/>
      <c r="HIP210" s="212"/>
      <c r="HIQ210" s="212"/>
      <c r="HIR210" s="212"/>
      <c r="HIS210" s="212"/>
      <c r="HIT210" s="212"/>
      <c r="HIU210" s="212"/>
      <c r="HIV210" s="212"/>
      <c r="HIW210" s="212"/>
      <c r="HIX210" s="212"/>
      <c r="HIY210" s="212"/>
      <c r="HIZ210" s="212"/>
      <c r="HJA210" s="212"/>
      <c r="HJB210" s="212"/>
      <c r="HJC210" s="212"/>
      <c r="HJD210" s="212"/>
      <c r="HJE210" s="212"/>
      <c r="HJF210" s="212"/>
      <c r="HJG210" s="212"/>
      <c r="HJH210" s="214"/>
      <c r="HJI210" s="211"/>
      <c r="HJJ210" s="212"/>
      <c r="HJK210" s="212"/>
      <c r="HJL210" s="212"/>
      <c r="HJM210" s="212"/>
      <c r="HJN210" s="212"/>
      <c r="HJO210" s="212"/>
      <c r="HJP210" s="212"/>
      <c r="HJQ210" s="212"/>
      <c r="HJR210" s="212"/>
      <c r="HJS210" s="212"/>
      <c r="HJT210" s="212"/>
      <c r="HJU210" s="212"/>
      <c r="HJV210" s="212"/>
      <c r="HJW210" s="212"/>
      <c r="HJX210" s="212"/>
      <c r="HJY210" s="212"/>
      <c r="HJZ210" s="212"/>
      <c r="HKA210" s="212"/>
      <c r="HKB210" s="212"/>
      <c r="HKC210" s="212"/>
      <c r="HKD210" s="212"/>
      <c r="HKE210" s="212"/>
      <c r="HKF210" s="212"/>
      <c r="HKG210" s="212"/>
      <c r="HKH210" s="212"/>
      <c r="HKI210" s="212"/>
      <c r="HKJ210" s="212"/>
      <c r="HKK210" s="212"/>
      <c r="HKL210" s="212"/>
      <c r="HKM210" s="212"/>
      <c r="HKN210" s="212"/>
      <c r="HKO210" s="212"/>
      <c r="HKP210" s="212"/>
      <c r="HKQ210" s="212"/>
      <c r="HKR210" s="212"/>
      <c r="HKS210" s="212"/>
      <c r="HKT210" s="212"/>
      <c r="HKU210" s="212"/>
      <c r="HKV210" s="212"/>
      <c r="HKW210" s="212"/>
      <c r="HKX210" s="212"/>
      <c r="HKY210" s="212"/>
      <c r="HKZ210" s="214"/>
      <c r="HLA210" s="211"/>
      <c r="HLB210" s="212"/>
      <c r="HLC210" s="212"/>
      <c r="HLD210" s="212"/>
      <c r="HLE210" s="212"/>
      <c r="HLF210" s="212"/>
      <c r="HLG210" s="212"/>
      <c r="HLH210" s="212"/>
      <c r="HLI210" s="212"/>
      <c r="HLJ210" s="212"/>
      <c r="HLK210" s="212"/>
      <c r="HLL210" s="212"/>
      <c r="HLM210" s="212"/>
      <c r="HLN210" s="212"/>
      <c r="HLO210" s="212"/>
      <c r="HLP210" s="212"/>
      <c r="HLQ210" s="212"/>
      <c r="HLR210" s="212"/>
      <c r="HLS210" s="212"/>
      <c r="HLT210" s="212"/>
      <c r="HLU210" s="212"/>
      <c r="HLV210" s="212"/>
      <c r="HLW210" s="212"/>
      <c r="HLX210" s="212"/>
      <c r="HLY210" s="212"/>
      <c r="HLZ210" s="212"/>
      <c r="HMA210" s="212"/>
      <c r="HMB210" s="212"/>
      <c r="HMC210" s="212"/>
      <c r="HMD210" s="212"/>
      <c r="HME210" s="212"/>
      <c r="HMF210" s="212"/>
      <c r="HMG210" s="212"/>
      <c r="HMH210" s="212"/>
      <c r="HMI210" s="212"/>
      <c r="HMJ210" s="212"/>
      <c r="HMK210" s="212"/>
      <c r="HML210" s="212"/>
      <c r="HMM210" s="212"/>
      <c r="HMN210" s="212"/>
      <c r="HMO210" s="212"/>
      <c r="HMP210" s="212"/>
      <c r="HMQ210" s="212"/>
      <c r="HMR210" s="214"/>
      <c r="HMS210" s="211"/>
      <c r="HMT210" s="212"/>
      <c r="HMU210" s="212"/>
      <c r="HMV210" s="212"/>
      <c r="HMW210" s="212"/>
      <c r="HMX210" s="212"/>
      <c r="HMY210" s="212"/>
      <c r="HMZ210" s="212"/>
      <c r="HNA210" s="212"/>
      <c r="HNB210" s="212"/>
      <c r="HNC210" s="212"/>
      <c r="HND210" s="212"/>
      <c r="HNE210" s="212"/>
      <c r="HNF210" s="212"/>
      <c r="HNG210" s="212"/>
      <c r="HNH210" s="212"/>
      <c r="HNI210" s="212"/>
      <c r="HNJ210" s="212"/>
      <c r="HNK210" s="212"/>
      <c r="HNL210" s="212"/>
      <c r="HNM210" s="212"/>
      <c r="HNN210" s="212"/>
      <c r="HNO210" s="212"/>
      <c r="HNP210" s="212"/>
      <c r="HNQ210" s="212"/>
      <c r="HNR210" s="212"/>
      <c r="HNS210" s="212"/>
      <c r="HNT210" s="212"/>
      <c r="HNU210" s="212"/>
      <c r="HNV210" s="212"/>
      <c r="HNW210" s="212"/>
      <c r="HNX210" s="212"/>
      <c r="HNY210" s="212"/>
      <c r="HNZ210" s="212"/>
      <c r="HOA210" s="212"/>
      <c r="HOB210" s="212"/>
      <c r="HOC210" s="212"/>
      <c r="HOD210" s="212"/>
      <c r="HOE210" s="212"/>
      <c r="HOF210" s="212"/>
      <c r="HOG210" s="212"/>
      <c r="HOH210" s="212"/>
      <c r="HOI210" s="212"/>
      <c r="HOJ210" s="214"/>
      <c r="HOK210" s="211"/>
      <c r="HOL210" s="212"/>
      <c r="HOM210" s="212"/>
      <c r="HON210" s="212"/>
      <c r="HOO210" s="212"/>
      <c r="HOP210" s="212"/>
      <c r="HOQ210" s="212"/>
      <c r="HOR210" s="212"/>
      <c r="HOS210" s="212"/>
      <c r="HOT210" s="212"/>
      <c r="HOU210" s="212"/>
      <c r="HOV210" s="212"/>
      <c r="HOW210" s="212"/>
      <c r="HOX210" s="212"/>
      <c r="HOY210" s="212"/>
      <c r="HOZ210" s="212"/>
      <c r="HPA210" s="212"/>
      <c r="HPB210" s="212"/>
      <c r="HPC210" s="212"/>
      <c r="HPD210" s="212"/>
      <c r="HPE210" s="212"/>
      <c r="HPF210" s="212"/>
      <c r="HPG210" s="212"/>
      <c r="HPH210" s="212"/>
      <c r="HPI210" s="212"/>
      <c r="HPJ210" s="212"/>
      <c r="HPK210" s="212"/>
      <c r="HPL210" s="212"/>
      <c r="HPM210" s="212"/>
      <c r="HPN210" s="212"/>
      <c r="HPO210" s="212"/>
      <c r="HPP210" s="212"/>
      <c r="HPQ210" s="212"/>
      <c r="HPR210" s="212"/>
      <c r="HPS210" s="212"/>
      <c r="HPT210" s="212"/>
      <c r="HPU210" s="212"/>
      <c r="HPV210" s="212"/>
      <c r="HPW210" s="212"/>
      <c r="HPX210" s="212"/>
      <c r="HPY210" s="212"/>
      <c r="HPZ210" s="212"/>
      <c r="HQA210" s="212"/>
      <c r="HQB210" s="214"/>
      <c r="HQC210" s="211"/>
      <c r="HQD210" s="212"/>
      <c r="HQE210" s="212"/>
      <c r="HQF210" s="212"/>
      <c r="HQG210" s="212"/>
      <c r="HQH210" s="212"/>
      <c r="HQI210" s="212"/>
      <c r="HQJ210" s="212"/>
      <c r="HQK210" s="212"/>
      <c r="HQL210" s="212"/>
      <c r="HQM210" s="212"/>
      <c r="HQN210" s="212"/>
      <c r="HQO210" s="212"/>
      <c r="HQP210" s="212"/>
      <c r="HQQ210" s="212"/>
      <c r="HQR210" s="212"/>
      <c r="HQS210" s="212"/>
      <c r="HQT210" s="212"/>
      <c r="HQU210" s="212"/>
      <c r="HQV210" s="212"/>
      <c r="HQW210" s="212"/>
      <c r="HQX210" s="212"/>
      <c r="HQY210" s="212"/>
      <c r="HQZ210" s="212"/>
      <c r="HRA210" s="212"/>
      <c r="HRB210" s="212"/>
      <c r="HRC210" s="212"/>
      <c r="HRD210" s="212"/>
      <c r="HRE210" s="212"/>
      <c r="HRF210" s="212"/>
      <c r="HRG210" s="212"/>
      <c r="HRH210" s="212"/>
      <c r="HRI210" s="212"/>
      <c r="HRJ210" s="212"/>
      <c r="HRK210" s="212"/>
      <c r="HRL210" s="212"/>
      <c r="HRM210" s="212"/>
      <c r="HRN210" s="212"/>
      <c r="HRO210" s="212"/>
      <c r="HRP210" s="212"/>
      <c r="HRQ210" s="212"/>
      <c r="HRR210" s="212"/>
      <c r="HRS210" s="212"/>
      <c r="HRT210" s="214"/>
      <c r="HRU210" s="211"/>
      <c r="HRV210" s="212"/>
      <c r="HRW210" s="212"/>
      <c r="HRX210" s="212"/>
      <c r="HRY210" s="212"/>
      <c r="HRZ210" s="212"/>
      <c r="HSA210" s="212"/>
      <c r="HSB210" s="212"/>
      <c r="HSC210" s="212"/>
      <c r="HSD210" s="212"/>
      <c r="HSE210" s="212"/>
      <c r="HSF210" s="212"/>
      <c r="HSG210" s="212"/>
      <c r="HSH210" s="212"/>
      <c r="HSI210" s="212"/>
      <c r="HSJ210" s="212"/>
      <c r="HSK210" s="212"/>
      <c r="HSL210" s="212"/>
      <c r="HSM210" s="212"/>
      <c r="HSN210" s="212"/>
      <c r="HSO210" s="212"/>
      <c r="HSP210" s="212"/>
      <c r="HSQ210" s="212"/>
      <c r="HSR210" s="212"/>
      <c r="HSS210" s="212"/>
      <c r="HST210" s="212"/>
      <c r="HSU210" s="212"/>
      <c r="HSV210" s="212"/>
      <c r="HSW210" s="212"/>
      <c r="HSX210" s="212"/>
      <c r="HSY210" s="212"/>
      <c r="HSZ210" s="212"/>
      <c r="HTA210" s="212"/>
      <c r="HTB210" s="212"/>
      <c r="HTC210" s="212"/>
      <c r="HTD210" s="212"/>
      <c r="HTE210" s="212"/>
      <c r="HTF210" s="212"/>
      <c r="HTG210" s="212"/>
      <c r="HTH210" s="212"/>
      <c r="HTI210" s="212"/>
      <c r="HTJ210" s="212"/>
      <c r="HTK210" s="212"/>
      <c r="HTL210" s="214"/>
      <c r="HTM210" s="211"/>
      <c r="HTN210" s="212"/>
      <c r="HTO210" s="212"/>
      <c r="HTP210" s="212"/>
      <c r="HTQ210" s="212"/>
      <c r="HTR210" s="212"/>
      <c r="HTS210" s="212"/>
      <c r="HTT210" s="212"/>
      <c r="HTU210" s="212"/>
      <c r="HTV210" s="212"/>
      <c r="HTW210" s="212"/>
      <c r="HTX210" s="212"/>
      <c r="HTY210" s="212"/>
      <c r="HTZ210" s="212"/>
      <c r="HUA210" s="212"/>
      <c r="HUB210" s="212"/>
      <c r="HUC210" s="212"/>
      <c r="HUD210" s="212"/>
      <c r="HUE210" s="212"/>
      <c r="HUF210" s="212"/>
      <c r="HUG210" s="212"/>
      <c r="HUH210" s="212"/>
      <c r="HUI210" s="212"/>
      <c r="HUJ210" s="212"/>
      <c r="HUK210" s="212"/>
      <c r="HUL210" s="212"/>
      <c r="HUM210" s="212"/>
      <c r="HUN210" s="212"/>
      <c r="HUO210" s="212"/>
      <c r="HUP210" s="212"/>
      <c r="HUQ210" s="212"/>
      <c r="HUR210" s="212"/>
      <c r="HUS210" s="212"/>
      <c r="HUT210" s="212"/>
      <c r="HUU210" s="212"/>
      <c r="HUV210" s="212"/>
      <c r="HUW210" s="212"/>
      <c r="HUX210" s="212"/>
      <c r="HUY210" s="212"/>
      <c r="HUZ210" s="212"/>
      <c r="HVA210" s="212"/>
      <c r="HVB210" s="212"/>
      <c r="HVC210" s="212"/>
      <c r="HVD210" s="214"/>
      <c r="HVE210" s="211"/>
      <c r="HVF210" s="212"/>
      <c r="HVG210" s="212"/>
      <c r="HVH210" s="212"/>
      <c r="HVI210" s="212"/>
      <c r="HVJ210" s="212"/>
      <c r="HVK210" s="212"/>
      <c r="HVL210" s="212"/>
      <c r="HVM210" s="212"/>
      <c r="HVN210" s="212"/>
      <c r="HVO210" s="212"/>
      <c r="HVP210" s="212"/>
      <c r="HVQ210" s="212"/>
      <c r="HVR210" s="212"/>
      <c r="HVS210" s="212"/>
      <c r="HVT210" s="212"/>
      <c r="HVU210" s="212"/>
      <c r="HVV210" s="212"/>
      <c r="HVW210" s="212"/>
      <c r="HVX210" s="212"/>
      <c r="HVY210" s="212"/>
      <c r="HVZ210" s="212"/>
      <c r="HWA210" s="212"/>
      <c r="HWB210" s="212"/>
      <c r="HWC210" s="212"/>
      <c r="HWD210" s="212"/>
      <c r="HWE210" s="212"/>
      <c r="HWF210" s="212"/>
      <c r="HWG210" s="212"/>
      <c r="HWH210" s="212"/>
      <c r="HWI210" s="212"/>
      <c r="HWJ210" s="212"/>
      <c r="HWK210" s="212"/>
      <c r="HWL210" s="212"/>
      <c r="HWM210" s="212"/>
      <c r="HWN210" s="212"/>
      <c r="HWO210" s="212"/>
      <c r="HWP210" s="212"/>
      <c r="HWQ210" s="212"/>
      <c r="HWR210" s="212"/>
      <c r="HWS210" s="212"/>
      <c r="HWT210" s="212"/>
      <c r="HWU210" s="212"/>
      <c r="HWV210" s="214"/>
      <c r="HWW210" s="211"/>
      <c r="HWX210" s="212"/>
      <c r="HWY210" s="212"/>
      <c r="HWZ210" s="212"/>
      <c r="HXA210" s="212"/>
      <c r="HXB210" s="212"/>
      <c r="HXC210" s="212"/>
      <c r="HXD210" s="212"/>
      <c r="HXE210" s="212"/>
      <c r="HXF210" s="212"/>
      <c r="HXG210" s="212"/>
      <c r="HXH210" s="212"/>
      <c r="HXI210" s="212"/>
      <c r="HXJ210" s="212"/>
      <c r="HXK210" s="212"/>
      <c r="HXL210" s="212"/>
      <c r="HXM210" s="212"/>
      <c r="HXN210" s="212"/>
      <c r="HXO210" s="212"/>
      <c r="HXP210" s="212"/>
      <c r="HXQ210" s="212"/>
      <c r="HXR210" s="212"/>
      <c r="HXS210" s="212"/>
      <c r="HXT210" s="212"/>
      <c r="HXU210" s="212"/>
      <c r="HXV210" s="212"/>
      <c r="HXW210" s="212"/>
      <c r="HXX210" s="212"/>
      <c r="HXY210" s="212"/>
      <c r="HXZ210" s="212"/>
      <c r="HYA210" s="212"/>
      <c r="HYB210" s="212"/>
      <c r="HYC210" s="212"/>
      <c r="HYD210" s="212"/>
      <c r="HYE210" s="212"/>
      <c r="HYF210" s="212"/>
      <c r="HYG210" s="212"/>
      <c r="HYH210" s="212"/>
      <c r="HYI210" s="212"/>
      <c r="HYJ210" s="212"/>
      <c r="HYK210" s="212"/>
      <c r="HYL210" s="212"/>
      <c r="HYM210" s="212"/>
      <c r="HYN210" s="214"/>
      <c r="HYO210" s="211"/>
      <c r="HYP210" s="212"/>
      <c r="HYQ210" s="212"/>
      <c r="HYR210" s="212"/>
      <c r="HYS210" s="212"/>
      <c r="HYT210" s="212"/>
      <c r="HYU210" s="212"/>
      <c r="HYV210" s="212"/>
      <c r="HYW210" s="212"/>
      <c r="HYX210" s="212"/>
      <c r="HYY210" s="212"/>
      <c r="HYZ210" s="212"/>
      <c r="HZA210" s="212"/>
      <c r="HZB210" s="212"/>
      <c r="HZC210" s="212"/>
      <c r="HZD210" s="212"/>
      <c r="HZE210" s="212"/>
      <c r="HZF210" s="212"/>
      <c r="HZG210" s="212"/>
      <c r="HZH210" s="212"/>
      <c r="HZI210" s="212"/>
      <c r="HZJ210" s="212"/>
      <c r="HZK210" s="212"/>
      <c r="HZL210" s="212"/>
      <c r="HZM210" s="212"/>
      <c r="HZN210" s="212"/>
      <c r="HZO210" s="212"/>
      <c r="HZP210" s="212"/>
      <c r="HZQ210" s="212"/>
      <c r="HZR210" s="212"/>
      <c r="HZS210" s="212"/>
      <c r="HZT210" s="212"/>
      <c r="HZU210" s="212"/>
      <c r="HZV210" s="212"/>
      <c r="HZW210" s="212"/>
      <c r="HZX210" s="212"/>
      <c r="HZY210" s="212"/>
      <c r="HZZ210" s="212"/>
      <c r="IAA210" s="212"/>
      <c r="IAB210" s="212"/>
      <c r="IAC210" s="212"/>
      <c r="IAD210" s="212"/>
      <c r="IAE210" s="212"/>
      <c r="IAF210" s="214"/>
      <c r="IAG210" s="211"/>
      <c r="IAH210" s="212"/>
      <c r="IAI210" s="212"/>
      <c r="IAJ210" s="212"/>
      <c r="IAK210" s="212"/>
      <c r="IAL210" s="212"/>
      <c r="IAM210" s="212"/>
      <c r="IAN210" s="212"/>
      <c r="IAO210" s="212"/>
      <c r="IAP210" s="212"/>
      <c r="IAQ210" s="212"/>
      <c r="IAR210" s="212"/>
      <c r="IAS210" s="212"/>
      <c r="IAT210" s="212"/>
      <c r="IAU210" s="212"/>
      <c r="IAV210" s="212"/>
      <c r="IAW210" s="212"/>
      <c r="IAX210" s="212"/>
      <c r="IAY210" s="212"/>
      <c r="IAZ210" s="212"/>
      <c r="IBA210" s="212"/>
      <c r="IBB210" s="212"/>
      <c r="IBC210" s="212"/>
      <c r="IBD210" s="212"/>
      <c r="IBE210" s="212"/>
      <c r="IBF210" s="212"/>
      <c r="IBG210" s="212"/>
      <c r="IBH210" s="212"/>
      <c r="IBI210" s="212"/>
      <c r="IBJ210" s="212"/>
      <c r="IBK210" s="212"/>
      <c r="IBL210" s="212"/>
      <c r="IBM210" s="212"/>
      <c r="IBN210" s="212"/>
      <c r="IBO210" s="212"/>
      <c r="IBP210" s="212"/>
      <c r="IBQ210" s="212"/>
      <c r="IBR210" s="212"/>
      <c r="IBS210" s="212"/>
      <c r="IBT210" s="212"/>
      <c r="IBU210" s="212"/>
      <c r="IBV210" s="212"/>
      <c r="IBW210" s="212"/>
      <c r="IBX210" s="214"/>
      <c r="IBY210" s="211"/>
      <c r="IBZ210" s="212"/>
      <c r="ICA210" s="212"/>
      <c r="ICB210" s="212"/>
      <c r="ICC210" s="212"/>
      <c r="ICD210" s="212"/>
      <c r="ICE210" s="212"/>
      <c r="ICF210" s="212"/>
      <c r="ICG210" s="212"/>
      <c r="ICH210" s="212"/>
      <c r="ICI210" s="212"/>
      <c r="ICJ210" s="212"/>
      <c r="ICK210" s="212"/>
      <c r="ICL210" s="212"/>
      <c r="ICM210" s="212"/>
      <c r="ICN210" s="212"/>
      <c r="ICO210" s="212"/>
      <c r="ICP210" s="212"/>
      <c r="ICQ210" s="212"/>
      <c r="ICR210" s="212"/>
      <c r="ICS210" s="212"/>
      <c r="ICT210" s="212"/>
      <c r="ICU210" s="212"/>
      <c r="ICV210" s="212"/>
      <c r="ICW210" s="212"/>
      <c r="ICX210" s="212"/>
      <c r="ICY210" s="212"/>
      <c r="ICZ210" s="212"/>
      <c r="IDA210" s="212"/>
      <c r="IDB210" s="212"/>
      <c r="IDC210" s="212"/>
      <c r="IDD210" s="212"/>
      <c r="IDE210" s="212"/>
      <c r="IDF210" s="212"/>
      <c r="IDG210" s="212"/>
      <c r="IDH210" s="212"/>
      <c r="IDI210" s="212"/>
      <c r="IDJ210" s="212"/>
      <c r="IDK210" s="212"/>
      <c r="IDL210" s="212"/>
      <c r="IDM210" s="212"/>
      <c r="IDN210" s="212"/>
      <c r="IDO210" s="212"/>
      <c r="IDP210" s="214"/>
      <c r="IDQ210" s="211"/>
      <c r="IDR210" s="212"/>
      <c r="IDS210" s="212"/>
      <c r="IDT210" s="212"/>
      <c r="IDU210" s="212"/>
      <c r="IDV210" s="212"/>
      <c r="IDW210" s="212"/>
      <c r="IDX210" s="212"/>
      <c r="IDY210" s="212"/>
      <c r="IDZ210" s="212"/>
      <c r="IEA210" s="212"/>
      <c r="IEB210" s="212"/>
      <c r="IEC210" s="212"/>
      <c r="IED210" s="212"/>
      <c r="IEE210" s="212"/>
      <c r="IEF210" s="212"/>
      <c r="IEG210" s="212"/>
      <c r="IEH210" s="212"/>
      <c r="IEI210" s="212"/>
      <c r="IEJ210" s="212"/>
      <c r="IEK210" s="212"/>
      <c r="IEL210" s="212"/>
      <c r="IEM210" s="212"/>
      <c r="IEN210" s="212"/>
      <c r="IEO210" s="212"/>
      <c r="IEP210" s="212"/>
      <c r="IEQ210" s="212"/>
      <c r="IER210" s="212"/>
      <c r="IES210" s="212"/>
      <c r="IET210" s="212"/>
      <c r="IEU210" s="212"/>
      <c r="IEV210" s="212"/>
      <c r="IEW210" s="212"/>
      <c r="IEX210" s="212"/>
      <c r="IEY210" s="212"/>
      <c r="IEZ210" s="212"/>
      <c r="IFA210" s="212"/>
      <c r="IFB210" s="212"/>
      <c r="IFC210" s="212"/>
      <c r="IFD210" s="212"/>
      <c r="IFE210" s="212"/>
      <c r="IFF210" s="212"/>
      <c r="IFG210" s="212"/>
      <c r="IFH210" s="214"/>
      <c r="IFI210" s="211"/>
      <c r="IFJ210" s="212"/>
      <c r="IFK210" s="212"/>
      <c r="IFL210" s="212"/>
      <c r="IFM210" s="212"/>
      <c r="IFN210" s="212"/>
      <c r="IFO210" s="212"/>
      <c r="IFP210" s="212"/>
      <c r="IFQ210" s="212"/>
      <c r="IFR210" s="212"/>
      <c r="IFS210" s="212"/>
      <c r="IFT210" s="212"/>
      <c r="IFU210" s="212"/>
      <c r="IFV210" s="212"/>
      <c r="IFW210" s="212"/>
      <c r="IFX210" s="212"/>
      <c r="IFY210" s="212"/>
      <c r="IFZ210" s="212"/>
      <c r="IGA210" s="212"/>
      <c r="IGB210" s="212"/>
      <c r="IGC210" s="212"/>
      <c r="IGD210" s="212"/>
      <c r="IGE210" s="212"/>
      <c r="IGF210" s="212"/>
      <c r="IGG210" s="212"/>
      <c r="IGH210" s="212"/>
      <c r="IGI210" s="212"/>
      <c r="IGJ210" s="212"/>
      <c r="IGK210" s="212"/>
      <c r="IGL210" s="212"/>
      <c r="IGM210" s="212"/>
      <c r="IGN210" s="212"/>
      <c r="IGO210" s="212"/>
      <c r="IGP210" s="212"/>
      <c r="IGQ210" s="212"/>
      <c r="IGR210" s="212"/>
      <c r="IGS210" s="212"/>
      <c r="IGT210" s="212"/>
      <c r="IGU210" s="212"/>
      <c r="IGV210" s="212"/>
      <c r="IGW210" s="212"/>
      <c r="IGX210" s="212"/>
      <c r="IGY210" s="212"/>
      <c r="IGZ210" s="214"/>
      <c r="IHA210" s="211"/>
      <c r="IHB210" s="212"/>
      <c r="IHC210" s="212"/>
      <c r="IHD210" s="212"/>
      <c r="IHE210" s="212"/>
      <c r="IHF210" s="212"/>
      <c r="IHG210" s="212"/>
      <c r="IHH210" s="212"/>
      <c r="IHI210" s="212"/>
      <c r="IHJ210" s="212"/>
      <c r="IHK210" s="212"/>
      <c r="IHL210" s="212"/>
      <c r="IHM210" s="212"/>
      <c r="IHN210" s="212"/>
      <c r="IHO210" s="212"/>
      <c r="IHP210" s="212"/>
      <c r="IHQ210" s="212"/>
      <c r="IHR210" s="212"/>
      <c r="IHS210" s="212"/>
      <c r="IHT210" s="212"/>
      <c r="IHU210" s="212"/>
      <c r="IHV210" s="212"/>
      <c r="IHW210" s="212"/>
      <c r="IHX210" s="212"/>
      <c r="IHY210" s="212"/>
      <c r="IHZ210" s="212"/>
      <c r="IIA210" s="212"/>
      <c r="IIB210" s="212"/>
      <c r="IIC210" s="212"/>
      <c r="IID210" s="212"/>
      <c r="IIE210" s="212"/>
      <c r="IIF210" s="212"/>
      <c r="IIG210" s="212"/>
      <c r="IIH210" s="212"/>
      <c r="III210" s="212"/>
      <c r="IIJ210" s="212"/>
      <c r="IIK210" s="212"/>
      <c r="IIL210" s="212"/>
      <c r="IIM210" s="212"/>
      <c r="IIN210" s="212"/>
      <c r="IIO210" s="212"/>
      <c r="IIP210" s="212"/>
      <c r="IIQ210" s="212"/>
      <c r="IIR210" s="214"/>
      <c r="IIS210" s="211"/>
      <c r="IIT210" s="212"/>
      <c r="IIU210" s="212"/>
      <c r="IIV210" s="212"/>
      <c r="IIW210" s="212"/>
      <c r="IIX210" s="212"/>
      <c r="IIY210" s="212"/>
      <c r="IIZ210" s="212"/>
      <c r="IJA210" s="212"/>
      <c r="IJB210" s="212"/>
      <c r="IJC210" s="212"/>
      <c r="IJD210" s="212"/>
      <c r="IJE210" s="212"/>
      <c r="IJF210" s="212"/>
      <c r="IJG210" s="212"/>
      <c r="IJH210" s="212"/>
      <c r="IJI210" s="212"/>
      <c r="IJJ210" s="212"/>
      <c r="IJK210" s="212"/>
      <c r="IJL210" s="212"/>
      <c r="IJM210" s="212"/>
      <c r="IJN210" s="212"/>
      <c r="IJO210" s="212"/>
      <c r="IJP210" s="212"/>
      <c r="IJQ210" s="212"/>
      <c r="IJR210" s="212"/>
      <c r="IJS210" s="212"/>
      <c r="IJT210" s="212"/>
      <c r="IJU210" s="212"/>
      <c r="IJV210" s="212"/>
      <c r="IJW210" s="212"/>
      <c r="IJX210" s="212"/>
      <c r="IJY210" s="212"/>
      <c r="IJZ210" s="212"/>
      <c r="IKA210" s="212"/>
      <c r="IKB210" s="212"/>
      <c r="IKC210" s="212"/>
      <c r="IKD210" s="212"/>
      <c r="IKE210" s="212"/>
      <c r="IKF210" s="212"/>
      <c r="IKG210" s="212"/>
      <c r="IKH210" s="212"/>
      <c r="IKI210" s="212"/>
      <c r="IKJ210" s="214"/>
      <c r="IKK210" s="211"/>
      <c r="IKL210" s="212"/>
      <c r="IKM210" s="212"/>
      <c r="IKN210" s="212"/>
      <c r="IKO210" s="212"/>
      <c r="IKP210" s="212"/>
      <c r="IKQ210" s="212"/>
      <c r="IKR210" s="212"/>
      <c r="IKS210" s="212"/>
      <c r="IKT210" s="212"/>
      <c r="IKU210" s="212"/>
      <c r="IKV210" s="212"/>
      <c r="IKW210" s="212"/>
      <c r="IKX210" s="212"/>
      <c r="IKY210" s="212"/>
      <c r="IKZ210" s="212"/>
      <c r="ILA210" s="212"/>
      <c r="ILB210" s="212"/>
      <c r="ILC210" s="212"/>
      <c r="ILD210" s="212"/>
      <c r="ILE210" s="212"/>
      <c r="ILF210" s="212"/>
      <c r="ILG210" s="212"/>
      <c r="ILH210" s="212"/>
      <c r="ILI210" s="212"/>
      <c r="ILJ210" s="212"/>
      <c r="ILK210" s="212"/>
      <c r="ILL210" s="212"/>
      <c r="ILM210" s="212"/>
      <c r="ILN210" s="212"/>
      <c r="ILO210" s="212"/>
      <c r="ILP210" s="212"/>
      <c r="ILQ210" s="212"/>
      <c r="ILR210" s="212"/>
      <c r="ILS210" s="212"/>
      <c r="ILT210" s="212"/>
      <c r="ILU210" s="212"/>
      <c r="ILV210" s="212"/>
      <c r="ILW210" s="212"/>
      <c r="ILX210" s="212"/>
      <c r="ILY210" s="212"/>
      <c r="ILZ210" s="212"/>
      <c r="IMA210" s="212"/>
      <c r="IMB210" s="214"/>
      <c r="IMC210" s="211"/>
      <c r="IMD210" s="212"/>
      <c r="IME210" s="212"/>
      <c r="IMF210" s="212"/>
      <c r="IMG210" s="212"/>
      <c r="IMH210" s="212"/>
      <c r="IMI210" s="212"/>
      <c r="IMJ210" s="212"/>
      <c r="IMK210" s="212"/>
      <c r="IML210" s="212"/>
      <c r="IMM210" s="212"/>
      <c r="IMN210" s="212"/>
      <c r="IMO210" s="212"/>
      <c r="IMP210" s="212"/>
      <c r="IMQ210" s="212"/>
      <c r="IMR210" s="212"/>
      <c r="IMS210" s="212"/>
      <c r="IMT210" s="212"/>
      <c r="IMU210" s="212"/>
      <c r="IMV210" s="212"/>
      <c r="IMW210" s="212"/>
      <c r="IMX210" s="212"/>
      <c r="IMY210" s="212"/>
      <c r="IMZ210" s="212"/>
      <c r="INA210" s="212"/>
      <c r="INB210" s="212"/>
      <c r="INC210" s="212"/>
      <c r="IND210" s="212"/>
      <c r="INE210" s="212"/>
      <c r="INF210" s="212"/>
      <c r="ING210" s="212"/>
      <c r="INH210" s="212"/>
      <c r="INI210" s="212"/>
      <c r="INJ210" s="212"/>
      <c r="INK210" s="212"/>
      <c r="INL210" s="212"/>
      <c r="INM210" s="212"/>
      <c r="INN210" s="212"/>
      <c r="INO210" s="212"/>
      <c r="INP210" s="212"/>
      <c r="INQ210" s="212"/>
      <c r="INR210" s="212"/>
      <c r="INS210" s="212"/>
      <c r="INT210" s="214"/>
      <c r="INU210" s="211"/>
      <c r="INV210" s="212"/>
      <c r="INW210" s="212"/>
      <c r="INX210" s="212"/>
      <c r="INY210" s="212"/>
      <c r="INZ210" s="212"/>
      <c r="IOA210" s="212"/>
      <c r="IOB210" s="212"/>
      <c r="IOC210" s="212"/>
      <c r="IOD210" s="212"/>
      <c r="IOE210" s="212"/>
      <c r="IOF210" s="212"/>
      <c r="IOG210" s="212"/>
      <c r="IOH210" s="212"/>
      <c r="IOI210" s="212"/>
      <c r="IOJ210" s="212"/>
      <c r="IOK210" s="212"/>
      <c r="IOL210" s="212"/>
      <c r="IOM210" s="212"/>
      <c r="ION210" s="212"/>
      <c r="IOO210" s="212"/>
      <c r="IOP210" s="212"/>
      <c r="IOQ210" s="212"/>
      <c r="IOR210" s="212"/>
      <c r="IOS210" s="212"/>
      <c r="IOT210" s="212"/>
      <c r="IOU210" s="212"/>
      <c r="IOV210" s="212"/>
      <c r="IOW210" s="212"/>
      <c r="IOX210" s="212"/>
      <c r="IOY210" s="212"/>
      <c r="IOZ210" s="212"/>
      <c r="IPA210" s="212"/>
      <c r="IPB210" s="212"/>
      <c r="IPC210" s="212"/>
      <c r="IPD210" s="212"/>
      <c r="IPE210" s="212"/>
      <c r="IPF210" s="212"/>
      <c r="IPG210" s="212"/>
      <c r="IPH210" s="212"/>
      <c r="IPI210" s="212"/>
      <c r="IPJ210" s="212"/>
      <c r="IPK210" s="212"/>
      <c r="IPL210" s="214"/>
      <c r="IPM210" s="211"/>
      <c r="IPN210" s="212"/>
      <c r="IPO210" s="212"/>
      <c r="IPP210" s="212"/>
      <c r="IPQ210" s="212"/>
      <c r="IPR210" s="212"/>
      <c r="IPS210" s="212"/>
      <c r="IPT210" s="212"/>
      <c r="IPU210" s="212"/>
      <c r="IPV210" s="212"/>
      <c r="IPW210" s="212"/>
      <c r="IPX210" s="212"/>
      <c r="IPY210" s="212"/>
      <c r="IPZ210" s="212"/>
      <c r="IQA210" s="212"/>
      <c r="IQB210" s="212"/>
      <c r="IQC210" s="212"/>
      <c r="IQD210" s="212"/>
      <c r="IQE210" s="212"/>
      <c r="IQF210" s="212"/>
      <c r="IQG210" s="212"/>
      <c r="IQH210" s="212"/>
      <c r="IQI210" s="212"/>
      <c r="IQJ210" s="212"/>
      <c r="IQK210" s="212"/>
      <c r="IQL210" s="212"/>
      <c r="IQM210" s="212"/>
      <c r="IQN210" s="212"/>
      <c r="IQO210" s="212"/>
      <c r="IQP210" s="212"/>
      <c r="IQQ210" s="212"/>
      <c r="IQR210" s="212"/>
      <c r="IQS210" s="212"/>
      <c r="IQT210" s="212"/>
      <c r="IQU210" s="212"/>
      <c r="IQV210" s="212"/>
      <c r="IQW210" s="212"/>
      <c r="IQX210" s="212"/>
      <c r="IQY210" s="212"/>
      <c r="IQZ210" s="212"/>
      <c r="IRA210" s="212"/>
      <c r="IRB210" s="212"/>
      <c r="IRC210" s="212"/>
      <c r="IRD210" s="214"/>
      <c r="IRE210" s="211"/>
      <c r="IRF210" s="212"/>
      <c r="IRG210" s="212"/>
      <c r="IRH210" s="212"/>
      <c r="IRI210" s="212"/>
      <c r="IRJ210" s="212"/>
      <c r="IRK210" s="212"/>
      <c r="IRL210" s="212"/>
      <c r="IRM210" s="212"/>
      <c r="IRN210" s="212"/>
      <c r="IRO210" s="212"/>
      <c r="IRP210" s="212"/>
      <c r="IRQ210" s="212"/>
      <c r="IRR210" s="212"/>
      <c r="IRS210" s="212"/>
      <c r="IRT210" s="212"/>
      <c r="IRU210" s="212"/>
      <c r="IRV210" s="212"/>
      <c r="IRW210" s="212"/>
      <c r="IRX210" s="212"/>
      <c r="IRY210" s="212"/>
      <c r="IRZ210" s="212"/>
      <c r="ISA210" s="212"/>
      <c r="ISB210" s="212"/>
      <c r="ISC210" s="212"/>
      <c r="ISD210" s="212"/>
      <c r="ISE210" s="212"/>
      <c r="ISF210" s="212"/>
      <c r="ISG210" s="212"/>
      <c r="ISH210" s="212"/>
      <c r="ISI210" s="212"/>
      <c r="ISJ210" s="212"/>
      <c r="ISK210" s="212"/>
      <c r="ISL210" s="212"/>
      <c r="ISM210" s="212"/>
      <c r="ISN210" s="212"/>
      <c r="ISO210" s="212"/>
      <c r="ISP210" s="212"/>
      <c r="ISQ210" s="212"/>
      <c r="ISR210" s="212"/>
      <c r="ISS210" s="212"/>
      <c r="IST210" s="212"/>
      <c r="ISU210" s="212"/>
      <c r="ISV210" s="214"/>
      <c r="ISW210" s="211"/>
      <c r="ISX210" s="212"/>
      <c r="ISY210" s="212"/>
      <c r="ISZ210" s="212"/>
      <c r="ITA210" s="212"/>
      <c r="ITB210" s="212"/>
      <c r="ITC210" s="212"/>
      <c r="ITD210" s="212"/>
      <c r="ITE210" s="212"/>
      <c r="ITF210" s="212"/>
      <c r="ITG210" s="212"/>
      <c r="ITH210" s="212"/>
      <c r="ITI210" s="212"/>
      <c r="ITJ210" s="212"/>
      <c r="ITK210" s="212"/>
      <c r="ITL210" s="212"/>
      <c r="ITM210" s="212"/>
      <c r="ITN210" s="212"/>
      <c r="ITO210" s="212"/>
      <c r="ITP210" s="212"/>
      <c r="ITQ210" s="212"/>
      <c r="ITR210" s="212"/>
      <c r="ITS210" s="212"/>
      <c r="ITT210" s="212"/>
      <c r="ITU210" s="212"/>
      <c r="ITV210" s="212"/>
      <c r="ITW210" s="212"/>
      <c r="ITX210" s="212"/>
      <c r="ITY210" s="212"/>
      <c r="ITZ210" s="212"/>
      <c r="IUA210" s="212"/>
      <c r="IUB210" s="212"/>
      <c r="IUC210" s="212"/>
      <c r="IUD210" s="212"/>
      <c r="IUE210" s="212"/>
      <c r="IUF210" s="212"/>
      <c r="IUG210" s="212"/>
      <c r="IUH210" s="212"/>
      <c r="IUI210" s="212"/>
      <c r="IUJ210" s="212"/>
      <c r="IUK210" s="212"/>
      <c r="IUL210" s="212"/>
      <c r="IUM210" s="212"/>
      <c r="IUN210" s="214"/>
      <c r="IUO210" s="211"/>
      <c r="IUP210" s="212"/>
      <c r="IUQ210" s="212"/>
      <c r="IUR210" s="212"/>
      <c r="IUS210" s="212"/>
      <c r="IUT210" s="212"/>
      <c r="IUU210" s="212"/>
      <c r="IUV210" s="212"/>
      <c r="IUW210" s="212"/>
      <c r="IUX210" s="212"/>
      <c r="IUY210" s="212"/>
      <c r="IUZ210" s="212"/>
      <c r="IVA210" s="212"/>
      <c r="IVB210" s="212"/>
      <c r="IVC210" s="212"/>
      <c r="IVD210" s="212"/>
      <c r="IVE210" s="212"/>
      <c r="IVF210" s="212"/>
      <c r="IVG210" s="212"/>
      <c r="IVH210" s="212"/>
      <c r="IVI210" s="212"/>
      <c r="IVJ210" s="212"/>
      <c r="IVK210" s="212"/>
      <c r="IVL210" s="212"/>
      <c r="IVM210" s="212"/>
      <c r="IVN210" s="212"/>
      <c r="IVO210" s="212"/>
      <c r="IVP210" s="212"/>
      <c r="IVQ210" s="212"/>
      <c r="IVR210" s="212"/>
      <c r="IVS210" s="212"/>
      <c r="IVT210" s="212"/>
      <c r="IVU210" s="212"/>
      <c r="IVV210" s="212"/>
      <c r="IVW210" s="212"/>
      <c r="IVX210" s="212"/>
      <c r="IVY210" s="212"/>
      <c r="IVZ210" s="212"/>
      <c r="IWA210" s="212"/>
      <c r="IWB210" s="212"/>
      <c r="IWC210" s="212"/>
      <c r="IWD210" s="212"/>
      <c r="IWE210" s="212"/>
      <c r="IWF210" s="214"/>
      <c r="IWG210" s="211"/>
      <c r="IWH210" s="212"/>
      <c r="IWI210" s="212"/>
      <c r="IWJ210" s="212"/>
      <c r="IWK210" s="212"/>
      <c r="IWL210" s="212"/>
      <c r="IWM210" s="212"/>
      <c r="IWN210" s="212"/>
      <c r="IWO210" s="212"/>
      <c r="IWP210" s="212"/>
      <c r="IWQ210" s="212"/>
      <c r="IWR210" s="212"/>
      <c r="IWS210" s="212"/>
      <c r="IWT210" s="212"/>
      <c r="IWU210" s="212"/>
      <c r="IWV210" s="212"/>
      <c r="IWW210" s="212"/>
      <c r="IWX210" s="212"/>
      <c r="IWY210" s="212"/>
      <c r="IWZ210" s="212"/>
      <c r="IXA210" s="212"/>
      <c r="IXB210" s="212"/>
      <c r="IXC210" s="212"/>
      <c r="IXD210" s="212"/>
      <c r="IXE210" s="212"/>
      <c r="IXF210" s="212"/>
      <c r="IXG210" s="212"/>
      <c r="IXH210" s="212"/>
      <c r="IXI210" s="212"/>
      <c r="IXJ210" s="212"/>
      <c r="IXK210" s="212"/>
      <c r="IXL210" s="212"/>
      <c r="IXM210" s="212"/>
      <c r="IXN210" s="212"/>
      <c r="IXO210" s="212"/>
      <c r="IXP210" s="212"/>
      <c r="IXQ210" s="212"/>
      <c r="IXR210" s="212"/>
      <c r="IXS210" s="212"/>
      <c r="IXT210" s="212"/>
      <c r="IXU210" s="212"/>
      <c r="IXV210" s="212"/>
      <c r="IXW210" s="212"/>
      <c r="IXX210" s="214"/>
      <c r="IXY210" s="211"/>
      <c r="IXZ210" s="212"/>
      <c r="IYA210" s="212"/>
      <c r="IYB210" s="212"/>
      <c r="IYC210" s="212"/>
      <c r="IYD210" s="212"/>
      <c r="IYE210" s="212"/>
      <c r="IYF210" s="212"/>
      <c r="IYG210" s="212"/>
      <c r="IYH210" s="212"/>
      <c r="IYI210" s="212"/>
      <c r="IYJ210" s="212"/>
      <c r="IYK210" s="212"/>
      <c r="IYL210" s="212"/>
      <c r="IYM210" s="212"/>
      <c r="IYN210" s="212"/>
      <c r="IYO210" s="212"/>
      <c r="IYP210" s="212"/>
      <c r="IYQ210" s="212"/>
      <c r="IYR210" s="212"/>
      <c r="IYS210" s="212"/>
      <c r="IYT210" s="212"/>
      <c r="IYU210" s="212"/>
      <c r="IYV210" s="212"/>
      <c r="IYW210" s="212"/>
      <c r="IYX210" s="212"/>
      <c r="IYY210" s="212"/>
      <c r="IYZ210" s="212"/>
      <c r="IZA210" s="212"/>
      <c r="IZB210" s="212"/>
      <c r="IZC210" s="212"/>
      <c r="IZD210" s="212"/>
      <c r="IZE210" s="212"/>
      <c r="IZF210" s="212"/>
      <c r="IZG210" s="212"/>
      <c r="IZH210" s="212"/>
      <c r="IZI210" s="212"/>
      <c r="IZJ210" s="212"/>
      <c r="IZK210" s="212"/>
      <c r="IZL210" s="212"/>
      <c r="IZM210" s="212"/>
      <c r="IZN210" s="212"/>
      <c r="IZO210" s="212"/>
      <c r="IZP210" s="214"/>
      <c r="IZQ210" s="211"/>
      <c r="IZR210" s="212"/>
      <c r="IZS210" s="212"/>
      <c r="IZT210" s="212"/>
      <c r="IZU210" s="212"/>
      <c r="IZV210" s="212"/>
      <c r="IZW210" s="212"/>
      <c r="IZX210" s="212"/>
      <c r="IZY210" s="212"/>
      <c r="IZZ210" s="212"/>
      <c r="JAA210" s="212"/>
      <c r="JAB210" s="212"/>
      <c r="JAC210" s="212"/>
      <c r="JAD210" s="212"/>
      <c r="JAE210" s="212"/>
      <c r="JAF210" s="212"/>
      <c r="JAG210" s="212"/>
      <c r="JAH210" s="212"/>
      <c r="JAI210" s="212"/>
      <c r="JAJ210" s="212"/>
      <c r="JAK210" s="212"/>
      <c r="JAL210" s="212"/>
      <c r="JAM210" s="212"/>
      <c r="JAN210" s="212"/>
      <c r="JAO210" s="212"/>
      <c r="JAP210" s="212"/>
      <c r="JAQ210" s="212"/>
      <c r="JAR210" s="212"/>
      <c r="JAS210" s="212"/>
      <c r="JAT210" s="212"/>
      <c r="JAU210" s="212"/>
      <c r="JAV210" s="212"/>
      <c r="JAW210" s="212"/>
      <c r="JAX210" s="212"/>
      <c r="JAY210" s="212"/>
      <c r="JAZ210" s="212"/>
      <c r="JBA210" s="212"/>
      <c r="JBB210" s="212"/>
      <c r="JBC210" s="212"/>
      <c r="JBD210" s="212"/>
      <c r="JBE210" s="212"/>
      <c r="JBF210" s="212"/>
      <c r="JBG210" s="212"/>
      <c r="JBH210" s="214"/>
      <c r="JBI210" s="211"/>
      <c r="JBJ210" s="212"/>
      <c r="JBK210" s="212"/>
      <c r="JBL210" s="212"/>
      <c r="JBM210" s="212"/>
      <c r="JBN210" s="212"/>
      <c r="JBO210" s="212"/>
      <c r="JBP210" s="212"/>
      <c r="JBQ210" s="212"/>
      <c r="JBR210" s="212"/>
      <c r="JBS210" s="212"/>
      <c r="JBT210" s="212"/>
      <c r="JBU210" s="212"/>
      <c r="JBV210" s="212"/>
      <c r="JBW210" s="212"/>
      <c r="JBX210" s="212"/>
      <c r="JBY210" s="212"/>
      <c r="JBZ210" s="212"/>
      <c r="JCA210" s="212"/>
      <c r="JCB210" s="212"/>
      <c r="JCC210" s="212"/>
      <c r="JCD210" s="212"/>
      <c r="JCE210" s="212"/>
      <c r="JCF210" s="212"/>
      <c r="JCG210" s="212"/>
      <c r="JCH210" s="212"/>
      <c r="JCI210" s="212"/>
      <c r="JCJ210" s="212"/>
      <c r="JCK210" s="212"/>
      <c r="JCL210" s="212"/>
      <c r="JCM210" s="212"/>
      <c r="JCN210" s="212"/>
      <c r="JCO210" s="212"/>
      <c r="JCP210" s="212"/>
      <c r="JCQ210" s="212"/>
      <c r="JCR210" s="212"/>
      <c r="JCS210" s="212"/>
      <c r="JCT210" s="212"/>
      <c r="JCU210" s="212"/>
      <c r="JCV210" s="212"/>
      <c r="JCW210" s="212"/>
      <c r="JCX210" s="212"/>
      <c r="JCY210" s="212"/>
      <c r="JCZ210" s="214"/>
      <c r="JDA210" s="211"/>
      <c r="JDB210" s="212"/>
      <c r="JDC210" s="212"/>
      <c r="JDD210" s="212"/>
      <c r="JDE210" s="212"/>
      <c r="JDF210" s="212"/>
      <c r="JDG210" s="212"/>
      <c r="JDH210" s="212"/>
      <c r="JDI210" s="212"/>
      <c r="JDJ210" s="212"/>
      <c r="JDK210" s="212"/>
      <c r="JDL210" s="212"/>
      <c r="JDM210" s="212"/>
      <c r="JDN210" s="212"/>
      <c r="JDO210" s="212"/>
      <c r="JDP210" s="212"/>
      <c r="JDQ210" s="212"/>
      <c r="JDR210" s="212"/>
      <c r="JDS210" s="212"/>
      <c r="JDT210" s="212"/>
      <c r="JDU210" s="212"/>
      <c r="JDV210" s="212"/>
      <c r="JDW210" s="212"/>
      <c r="JDX210" s="212"/>
      <c r="JDY210" s="212"/>
      <c r="JDZ210" s="212"/>
      <c r="JEA210" s="212"/>
      <c r="JEB210" s="212"/>
      <c r="JEC210" s="212"/>
      <c r="JED210" s="212"/>
      <c r="JEE210" s="212"/>
      <c r="JEF210" s="212"/>
      <c r="JEG210" s="212"/>
      <c r="JEH210" s="212"/>
      <c r="JEI210" s="212"/>
      <c r="JEJ210" s="212"/>
      <c r="JEK210" s="212"/>
      <c r="JEL210" s="212"/>
      <c r="JEM210" s="212"/>
      <c r="JEN210" s="212"/>
      <c r="JEO210" s="212"/>
      <c r="JEP210" s="212"/>
      <c r="JEQ210" s="212"/>
      <c r="JER210" s="214"/>
      <c r="JES210" s="211"/>
      <c r="JET210" s="212"/>
      <c r="JEU210" s="212"/>
      <c r="JEV210" s="212"/>
      <c r="JEW210" s="212"/>
      <c r="JEX210" s="212"/>
      <c r="JEY210" s="212"/>
      <c r="JEZ210" s="212"/>
      <c r="JFA210" s="212"/>
      <c r="JFB210" s="212"/>
      <c r="JFC210" s="212"/>
      <c r="JFD210" s="212"/>
      <c r="JFE210" s="212"/>
      <c r="JFF210" s="212"/>
      <c r="JFG210" s="212"/>
      <c r="JFH210" s="212"/>
      <c r="JFI210" s="212"/>
      <c r="JFJ210" s="212"/>
      <c r="JFK210" s="212"/>
      <c r="JFL210" s="212"/>
      <c r="JFM210" s="212"/>
      <c r="JFN210" s="212"/>
      <c r="JFO210" s="212"/>
      <c r="JFP210" s="212"/>
      <c r="JFQ210" s="212"/>
      <c r="JFR210" s="212"/>
      <c r="JFS210" s="212"/>
      <c r="JFT210" s="212"/>
      <c r="JFU210" s="212"/>
      <c r="JFV210" s="212"/>
      <c r="JFW210" s="212"/>
      <c r="JFX210" s="212"/>
      <c r="JFY210" s="212"/>
      <c r="JFZ210" s="212"/>
      <c r="JGA210" s="212"/>
      <c r="JGB210" s="212"/>
      <c r="JGC210" s="212"/>
      <c r="JGD210" s="212"/>
      <c r="JGE210" s="212"/>
      <c r="JGF210" s="212"/>
      <c r="JGG210" s="212"/>
      <c r="JGH210" s="212"/>
      <c r="JGI210" s="212"/>
      <c r="JGJ210" s="214"/>
      <c r="JGK210" s="211"/>
      <c r="JGL210" s="212"/>
      <c r="JGM210" s="212"/>
      <c r="JGN210" s="212"/>
      <c r="JGO210" s="212"/>
      <c r="JGP210" s="212"/>
      <c r="JGQ210" s="212"/>
      <c r="JGR210" s="212"/>
      <c r="JGS210" s="212"/>
      <c r="JGT210" s="212"/>
      <c r="JGU210" s="212"/>
      <c r="JGV210" s="212"/>
      <c r="JGW210" s="212"/>
      <c r="JGX210" s="212"/>
      <c r="JGY210" s="212"/>
      <c r="JGZ210" s="212"/>
      <c r="JHA210" s="212"/>
      <c r="JHB210" s="212"/>
      <c r="JHC210" s="212"/>
      <c r="JHD210" s="212"/>
      <c r="JHE210" s="212"/>
      <c r="JHF210" s="212"/>
      <c r="JHG210" s="212"/>
      <c r="JHH210" s="212"/>
      <c r="JHI210" s="212"/>
      <c r="JHJ210" s="212"/>
      <c r="JHK210" s="212"/>
      <c r="JHL210" s="212"/>
      <c r="JHM210" s="212"/>
      <c r="JHN210" s="212"/>
      <c r="JHO210" s="212"/>
      <c r="JHP210" s="212"/>
      <c r="JHQ210" s="212"/>
      <c r="JHR210" s="212"/>
      <c r="JHS210" s="212"/>
      <c r="JHT210" s="212"/>
      <c r="JHU210" s="212"/>
      <c r="JHV210" s="212"/>
      <c r="JHW210" s="212"/>
      <c r="JHX210" s="212"/>
      <c r="JHY210" s="212"/>
      <c r="JHZ210" s="212"/>
      <c r="JIA210" s="212"/>
      <c r="JIB210" s="214"/>
      <c r="JIC210" s="211"/>
      <c r="JID210" s="212"/>
      <c r="JIE210" s="212"/>
      <c r="JIF210" s="212"/>
      <c r="JIG210" s="212"/>
      <c r="JIH210" s="212"/>
      <c r="JII210" s="212"/>
      <c r="JIJ210" s="212"/>
      <c r="JIK210" s="212"/>
      <c r="JIL210" s="212"/>
      <c r="JIM210" s="212"/>
      <c r="JIN210" s="212"/>
      <c r="JIO210" s="212"/>
      <c r="JIP210" s="212"/>
      <c r="JIQ210" s="212"/>
      <c r="JIR210" s="212"/>
      <c r="JIS210" s="212"/>
      <c r="JIT210" s="212"/>
      <c r="JIU210" s="212"/>
      <c r="JIV210" s="212"/>
      <c r="JIW210" s="212"/>
      <c r="JIX210" s="212"/>
      <c r="JIY210" s="212"/>
      <c r="JIZ210" s="212"/>
      <c r="JJA210" s="212"/>
      <c r="JJB210" s="212"/>
      <c r="JJC210" s="212"/>
      <c r="JJD210" s="212"/>
      <c r="JJE210" s="212"/>
      <c r="JJF210" s="212"/>
      <c r="JJG210" s="212"/>
      <c r="JJH210" s="212"/>
      <c r="JJI210" s="212"/>
      <c r="JJJ210" s="212"/>
      <c r="JJK210" s="212"/>
      <c r="JJL210" s="212"/>
      <c r="JJM210" s="212"/>
      <c r="JJN210" s="212"/>
      <c r="JJO210" s="212"/>
      <c r="JJP210" s="212"/>
      <c r="JJQ210" s="212"/>
      <c r="JJR210" s="212"/>
      <c r="JJS210" s="212"/>
      <c r="JJT210" s="214"/>
      <c r="JJU210" s="211"/>
      <c r="JJV210" s="212"/>
      <c r="JJW210" s="212"/>
      <c r="JJX210" s="212"/>
      <c r="JJY210" s="212"/>
      <c r="JJZ210" s="212"/>
      <c r="JKA210" s="212"/>
      <c r="JKB210" s="212"/>
      <c r="JKC210" s="212"/>
      <c r="JKD210" s="212"/>
      <c r="JKE210" s="212"/>
      <c r="JKF210" s="212"/>
      <c r="JKG210" s="212"/>
      <c r="JKH210" s="212"/>
      <c r="JKI210" s="212"/>
      <c r="JKJ210" s="212"/>
      <c r="JKK210" s="212"/>
      <c r="JKL210" s="212"/>
      <c r="JKM210" s="212"/>
      <c r="JKN210" s="212"/>
      <c r="JKO210" s="212"/>
      <c r="JKP210" s="212"/>
      <c r="JKQ210" s="212"/>
      <c r="JKR210" s="212"/>
      <c r="JKS210" s="212"/>
      <c r="JKT210" s="212"/>
      <c r="JKU210" s="212"/>
      <c r="JKV210" s="212"/>
      <c r="JKW210" s="212"/>
      <c r="JKX210" s="212"/>
      <c r="JKY210" s="212"/>
      <c r="JKZ210" s="212"/>
      <c r="JLA210" s="212"/>
      <c r="JLB210" s="212"/>
      <c r="JLC210" s="212"/>
      <c r="JLD210" s="212"/>
      <c r="JLE210" s="212"/>
      <c r="JLF210" s="212"/>
      <c r="JLG210" s="212"/>
      <c r="JLH210" s="212"/>
      <c r="JLI210" s="212"/>
      <c r="JLJ210" s="212"/>
      <c r="JLK210" s="212"/>
      <c r="JLL210" s="214"/>
      <c r="JLM210" s="211"/>
      <c r="JLN210" s="212"/>
      <c r="JLO210" s="212"/>
      <c r="JLP210" s="212"/>
      <c r="JLQ210" s="212"/>
      <c r="JLR210" s="212"/>
      <c r="JLS210" s="212"/>
      <c r="JLT210" s="212"/>
      <c r="JLU210" s="212"/>
      <c r="JLV210" s="212"/>
      <c r="JLW210" s="212"/>
      <c r="JLX210" s="212"/>
      <c r="JLY210" s="212"/>
      <c r="JLZ210" s="212"/>
      <c r="JMA210" s="212"/>
      <c r="JMB210" s="212"/>
      <c r="JMC210" s="212"/>
      <c r="JMD210" s="212"/>
      <c r="JME210" s="212"/>
      <c r="JMF210" s="212"/>
      <c r="JMG210" s="212"/>
      <c r="JMH210" s="212"/>
      <c r="JMI210" s="212"/>
      <c r="JMJ210" s="212"/>
      <c r="JMK210" s="212"/>
      <c r="JML210" s="212"/>
      <c r="JMM210" s="212"/>
      <c r="JMN210" s="212"/>
      <c r="JMO210" s="212"/>
      <c r="JMP210" s="212"/>
      <c r="JMQ210" s="212"/>
      <c r="JMR210" s="212"/>
      <c r="JMS210" s="212"/>
      <c r="JMT210" s="212"/>
      <c r="JMU210" s="212"/>
      <c r="JMV210" s="212"/>
      <c r="JMW210" s="212"/>
      <c r="JMX210" s="212"/>
      <c r="JMY210" s="212"/>
      <c r="JMZ210" s="212"/>
      <c r="JNA210" s="212"/>
      <c r="JNB210" s="212"/>
      <c r="JNC210" s="212"/>
      <c r="JND210" s="214"/>
      <c r="JNE210" s="211"/>
      <c r="JNF210" s="212"/>
      <c r="JNG210" s="212"/>
      <c r="JNH210" s="212"/>
      <c r="JNI210" s="212"/>
      <c r="JNJ210" s="212"/>
      <c r="JNK210" s="212"/>
      <c r="JNL210" s="212"/>
      <c r="JNM210" s="212"/>
      <c r="JNN210" s="212"/>
      <c r="JNO210" s="212"/>
      <c r="JNP210" s="212"/>
      <c r="JNQ210" s="212"/>
      <c r="JNR210" s="212"/>
      <c r="JNS210" s="212"/>
      <c r="JNT210" s="212"/>
      <c r="JNU210" s="212"/>
      <c r="JNV210" s="212"/>
      <c r="JNW210" s="212"/>
      <c r="JNX210" s="212"/>
      <c r="JNY210" s="212"/>
      <c r="JNZ210" s="212"/>
      <c r="JOA210" s="212"/>
      <c r="JOB210" s="212"/>
      <c r="JOC210" s="212"/>
      <c r="JOD210" s="212"/>
      <c r="JOE210" s="212"/>
      <c r="JOF210" s="212"/>
      <c r="JOG210" s="212"/>
      <c r="JOH210" s="212"/>
      <c r="JOI210" s="212"/>
      <c r="JOJ210" s="212"/>
      <c r="JOK210" s="212"/>
      <c r="JOL210" s="212"/>
      <c r="JOM210" s="212"/>
      <c r="JON210" s="212"/>
      <c r="JOO210" s="212"/>
      <c r="JOP210" s="212"/>
      <c r="JOQ210" s="212"/>
      <c r="JOR210" s="212"/>
      <c r="JOS210" s="212"/>
      <c r="JOT210" s="212"/>
      <c r="JOU210" s="212"/>
      <c r="JOV210" s="214"/>
      <c r="JOW210" s="211"/>
      <c r="JOX210" s="212"/>
      <c r="JOY210" s="212"/>
      <c r="JOZ210" s="212"/>
      <c r="JPA210" s="212"/>
      <c r="JPB210" s="212"/>
      <c r="JPC210" s="212"/>
      <c r="JPD210" s="212"/>
      <c r="JPE210" s="212"/>
      <c r="JPF210" s="212"/>
      <c r="JPG210" s="212"/>
      <c r="JPH210" s="212"/>
      <c r="JPI210" s="212"/>
      <c r="JPJ210" s="212"/>
      <c r="JPK210" s="212"/>
      <c r="JPL210" s="212"/>
      <c r="JPM210" s="212"/>
      <c r="JPN210" s="212"/>
      <c r="JPO210" s="212"/>
      <c r="JPP210" s="212"/>
      <c r="JPQ210" s="212"/>
      <c r="JPR210" s="212"/>
      <c r="JPS210" s="212"/>
      <c r="JPT210" s="212"/>
      <c r="JPU210" s="212"/>
      <c r="JPV210" s="212"/>
      <c r="JPW210" s="212"/>
      <c r="JPX210" s="212"/>
      <c r="JPY210" s="212"/>
      <c r="JPZ210" s="212"/>
      <c r="JQA210" s="212"/>
      <c r="JQB210" s="212"/>
      <c r="JQC210" s="212"/>
      <c r="JQD210" s="212"/>
      <c r="JQE210" s="212"/>
      <c r="JQF210" s="212"/>
      <c r="JQG210" s="212"/>
      <c r="JQH210" s="212"/>
      <c r="JQI210" s="212"/>
      <c r="JQJ210" s="212"/>
      <c r="JQK210" s="212"/>
      <c r="JQL210" s="212"/>
      <c r="JQM210" s="212"/>
      <c r="JQN210" s="214"/>
      <c r="JQO210" s="211"/>
      <c r="JQP210" s="212"/>
      <c r="JQQ210" s="212"/>
      <c r="JQR210" s="212"/>
      <c r="JQS210" s="212"/>
      <c r="JQT210" s="212"/>
      <c r="JQU210" s="212"/>
      <c r="JQV210" s="212"/>
      <c r="JQW210" s="212"/>
      <c r="JQX210" s="212"/>
      <c r="JQY210" s="212"/>
      <c r="JQZ210" s="212"/>
      <c r="JRA210" s="212"/>
      <c r="JRB210" s="212"/>
      <c r="JRC210" s="212"/>
      <c r="JRD210" s="212"/>
      <c r="JRE210" s="212"/>
      <c r="JRF210" s="212"/>
      <c r="JRG210" s="212"/>
      <c r="JRH210" s="212"/>
      <c r="JRI210" s="212"/>
      <c r="JRJ210" s="212"/>
      <c r="JRK210" s="212"/>
      <c r="JRL210" s="212"/>
      <c r="JRM210" s="212"/>
      <c r="JRN210" s="212"/>
      <c r="JRO210" s="212"/>
      <c r="JRP210" s="212"/>
      <c r="JRQ210" s="212"/>
      <c r="JRR210" s="212"/>
      <c r="JRS210" s="212"/>
      <c r="JRT210" s="212"/>
      <c r="JRU210" s="212"/>
      <c r="JRV210" s="212"/>
      <c r="JRW210" s="212"/>
      <c r="JRX210" s="212"/>
      <c r="JRY210" s="212"/>
      <c r="JRZ210" s="212"/>
      <c r="JSA210" s="212"/>
      <c r="JSB210" s="212"/>
      <c r="JSC210" s="212"/>
      <c r="JSD210" s="212"/>
      <c r="JSE210" s="212"/>
      <c r="JSF210" s="214"/>
      <c r="JSG210" s="211"/>
      <c r="JSH210" s="212"/>
      <c r="JSI210" s="212"/>
      <c r="JSJ210" s="212"/>
      <c r="JSK210" s="212"/>
      <c r="JSL210" s="212"/>
      <c r="JSM210" s="212"/>
      <c r="JSN210" s="212"/>
      <c r="JSO210" s="212"/>
      <c r="JSP210" s="212"/>
      <c r="JSQ210" s="212"/>
      <c r="JSR210" s="212"/>
      <c r="JSS210" s="212"/>
      <c r="JST210" s="212"/>
      <c r="JSU210" s="212"/>
      <c r="JSV210" s="212"/>
      <c r="JSW210" s="212"/>
      <c r="JSX210" s="212"/>
      <c r="JSY210" s="212"/>
      <c r="JSZ210" s="212"/>
      <c r="JTA210" s="212"/>
      <c r="JTB210" s="212"/>
      <c r="JTC210" s="212"/>
      <c r="JTD210" s="212"/>
      <c r="JTE210" s="212"/>
      <c r="JTF210" s="212"/>
      <c r="JTG210" s="212"/>
      <c r="JTH210" s="212"/>
      <c r="JTI210" s="212"/>
      <c r="JTJ210" s="212"/>
      <c r="JTK210" s="212"/>
      <c r="JTL210" s="212"/>
      <c r="JTM210" s="212"/>
      <c r="JTN210" s="212"/>
      <c r="JTO210" s="212"/>
      <c r="JTP210" s="212"/>
      <c r="JTQ210" s="212"/>
      <c r="JTR210" s="212"/>
      <c r="JTS210" s="212"/>
      <c r="JTT210" s="212"/>
      <c r="JTU210" s="212"/>
      <c r="JTV210" s="212"/>
      <c r="JTW210" s="212"/>
      <c r="JTX210" s="214"/>
      <c r="JTY210" s="211"/>
      <c r="JTZ210" s="212"/>
      <c r="JUA210" s="212"/>
      <c r="JUB210" s="212"/>
      <c r="JUC210" s="212"/>
      <c r="JUD210" s="212"/>
      <c r="JUE210" s="212"/>
      <c r="JUF210" s="212"/>
      <c r="JUG210" s="212"/>
      <c r="JUH210" s="212"/>
      <c r="JUI210" s="212"/>
      <c r="JUJ210" s="212"/>
      <c r="JUK210" s="212"/>
      <c r="JUL210" s="212"/>
      <c r="JUM210" s="212"/>
      <c r="JUN210" s="212"/>
      <c r="JUO210" s="212"/>
      <c r="JUP210" s="212"/>
      <c r="JUQ210" s="212"/>
      <c r="JUR210" s="212"/>
      <c r="JUS210" s="212"/>
      <c r="JUT210" s="212"/>
      <c r="JUU210" s="212"/>
      <c r="JUV210" s="212"/>
      <c r="JUW210" s="212"/>
      <c r="JUX210" s="212"/>
      <c r="JUY210" s="212"/>
      <c r="JUZ210" s="212"/>
      <c r="JVA210" s="212"/>
      <c r="JVB210" s="212"/>
      <c r="JVC210" s="212"/>
      <c r="JVD210" s="212"/>
      <c r="JVE210" s="212"/>
      <c r="JVF210" s="212"/>
      <c r="JVG210" s="212"/>
      <c r="JVH210" s="212"/>
      <c r="JVI210" s="212"/>
      <c r="JVJ210" s="212"/>
      <c r="JVK210" s="212"/>
      <c r="JVL210" s="212"/>
      <c r="JVM210" s="212"/>
      <c r="JVN210" s="212"/>
      <c r="JVO210" s="212"/>
      <c r="JVP210" s="214"/>
      <c r="JVQ210" s="211"/>
      <c r="JVR210" s="212"/>
      <c r="JVS210" s="212"/>
      <c r="JVT210" s="212"/>
      <c r="JVU210" s="212"/>
      <c r="JVV210" s="212"/>
      <c r="JVW210" s="212"/>
      <c r="JVX210" s="212"/>
      <c r="JVY210" s="212"/>
      <c r="JVZ210" s="212"/>
      <c r="JWA210" s="212"/>
      <c r="JWB210" s="212"/>
      <c r="JWC210" s="212"/>
      <c r="JWD210" s="212"/>
      <c r="JWE210" s="212"/>
      <c r="JWF210" s="212"/>
      <c r="JWG210" s="212"/>
      <c r="JWH210" s="212"/>
      <c r="JWI210" s="212"/>
      <c r="JWJ210" s="212"/>
      <c r="JWK210" s="212"/>
      <c r="JWL210" s="212"/>
      <c r="JWM210" s="212"/>
      <c r="JWN210" s="212"/>
      <c r="JWO210" s="212"/>
      <c r="JWP210" s="212"/>
      <c r="JWQ210" s="212"/>
      <c r="JWR210" s="212"/>
      <c r="JWS210" s="212"/>
      <c r="JWT210" s="212"/>
      <c r="JWU210" s="212"/>
      <c r="JWV210" s="212"/>
      <c r="JWW210" s="212"/>
      <c r="JWX210" s="212"/>
      <c r="JWY210" s="212"/>
      <c r="JWZ210" s="212"/>
      <c r="JXA210" s="212"/>
      <c r="JXB210" s="212"/>
      <c r="JXC210" s="212"/>
      <c r="JXD210" s="212"/>
      <c r="JXE210" s="212"/>
      <c r="JXF210" s="212"/>
      <c r="JXG210" s="212"/>
      <c r="JXH210" s="214"/>
      <c r="JXI210" s="211"/>
      <c r="JXJ210" s="212"/>
      <c r="JXK210" s="212"/>
      <c r="JXL210" s="212"/>
      <c r="JXM210" s="212"/>
      <c r="JXN210" s="212"/>
      <c r="JXO210" s="212"/>
      <c r="JXP210" s="212"/>
      <c r="JXQ210" s="212"/>
      <c r="JXR210" s="212"/>
      <c r="JXS210" s="212"/>
      <c r="JXT210" s="212"/>
      <c r="JXU210" s="212"/>
      <c r="JXV210" s="212"/>
      <c r="JXW210" s="212"/>
      <c r="JXX210" s="212"/>
      <c r="JXY210" s="212"/>
      <c r="JXZ210" s="212"/>
      <c r="JYA210" s="212"/>
      <c r="JYB210" s="212"/>
      <c r="JYC210" s="212"/>
      <c r="JYD210" s="212"/>
      <c r="JYE210" s="212"/>
      <c r="JYF210" s="212"/>
      <c r="JYG210" s="212"/>
      <c r="JYH210" s="212"/>
      <c r="JYI210" s="212"/>
      <c r="JYJ210" s="212"/>
      <c r="JYK210" s="212"/>
      <c r="JYL210" s="212"/>
      <c r="JYM210" s="212"/>
      <c r="JYN210" s="212"/>
      <c r="JYO210" s="212"/>
      <c r="JYP210" s="212"/>
      <c r="JYQ210" s="212"/>
      <c r="JYR210" s="212"/>
      <c r="JYS210" s="212"/>
      <c r="JYT210" s="212"/>
      <c r="JYU210" s="212"/>
      <c r="JYV210" s="212"/>
      <c r="JYW210" s="212"/>
      <c r="JYX210" s="212"/>
      <c r="JYY210" s="212"/>
      <c r="JYZ210" s="214"/>
      <c r="JZA210" s="211"/>
      <c r="JZB210" s="212"/>
      <c r="JZC210" s="212"/>
      <c r="JZD210" s="212"/>
      <c r="JZE210" s="212"/>
      <c r="JZF210" s="212"/>
      <c r="JZG210" s="212"/>
      <c r="JZH210" s="212"/>
      <c r="JZI210" s="212"/>
      <c r="JZJ210" s="212"/>
      <c r="JZK210" s="212"/>
      <c r="JZL210" s="212"/>
      <c r="JZM210" s="212"/>
      <c r="JZN210" s="212"/>
      <c r="JZO210" s="212"/>
      <c r="JZP210" s="212"/>
      <c r="JZQ210" s="212"/>
      <c r="JZR210" s="212"/>
      <c r="JZS210" s="212"/>
      <c r="JZT210" s="212"/>
      <c r="JZU210" s="212"/>
      <c r="JZV210" s="212"/>
      <c r="JZW210" s="212"/>
      <c r="JZX210" s="212"/>
      <c r="JZY210" s="212"/>
      <c r="JZZ210" s="212"/>
      <c r="KAA210" s="212"/>
      <c r="KAB210" s="212"/>
      <c r="KAC210" s="212"/>
      <c r="KAD210" s="212"/>
      <c r="KAE210" s="212"/>
      <c r="KAF210" s="212"/>
      <c r="KAG210" s="212"/>
      <c r="KAH210" s="212"/>
      <c r="KAI210" s="212"/>
      <c r="KAJ210" s="212"/>
      <c r="KAK210" s="212"/>
      <c r="KAL210" s="212"/>
      <c r="KAM210" s="212"/>
      <c r="KAN210" s="212"/>
      <c r="KAO210" s="212"/>
      <c r="KAP210" s="212"/>
      <c r="KAQ210" s="212"/>
      <c r="KAR210" s="214"/>
      <c r="KAS210" s="211"/>
      <c r="KAT210" s="212"/>
      <c r="KAU210" s="212"/>
      <c r="KAV210" s="212"/>
      <c r="KAW210" s="212"/>
      <c r="KAX210" s="212"/>
      <c r="KAY210" s="212"/>
      <c r="KAZ210" s="212"/>
      <c r="KBA210" s="212"/>
      <c r="KBB210" s="212"/>
      <c r="KBC210" s="212"/>
      <c r="KBD210" s="212"/>
      <c r="KBE210" s="212"/>
      <c r="KBF210" s="212"/>
      <c r="KBG210" s="212"/>
      <c r="KBH210" s="212"/>
      <c r="KBI210" s="212"/>
      <c r="KBJ210" s="212"/>
      <c r="KBK210" s="212"/>
      <c r="KBL210" s="212"/>
      <c r="KBM210" s="212"/>
      <c r="KBN210" s="212"/>
      <c r="KBO210" s="212"/>
      <c r="KBP210" s="212"/>
      <c r="KBQ210" s="212"/>
      <c r="KBR210" s="212"/>
      <c r="KBS210" s="212"/>
      <c r="KBT210" s="212"/>
      <c r="KBU210" s="212"/>
      <c r="KBV210" s="212"/>
      <c r="KBW210" s="212"/>
      <c r="KBX210" s="212"/>
      <c r="KBY210" s="212"/>
      <c r="KBZ210" s="212"/>
      <c r="KCA210" s="212"/>
      <c r="KCB210" s="212"/>
      <c r="KCC210" s="212"/>
      <c r="KCD210" s="212"/>
      <c r="KCE210" s="212"/>
      <c r="KCF210" s="212"/>
      <c r="KCG210" s="212"/>
      <c r="KCH210" s="212"/>
      <c r="KCI210" s="212"/>
      <c r="KCJ210" s="214"/>
      <c r="KCK210" s="211"/>
      <c r="KCL210" s="212"/>
      <c r="KCM210" s="212"/>
      <c r="KCN210" s="212"/>
      <c r="KCO210" s="212"/>
      <c r="KCP210" s="212"/>
      <c r="KCQ210" s="212"/>
      <c r="KCR210" s="212"/>
      <c r="KCS210" s="212"/>
      <c r="KCT210" s="212"/>
      <c r="KCU210" s="212"/>
      <c r="KCV210" s="212"/>
      <c r="KCW210" s="212"/>
      <c r="KCX210" s="212"/>
      <c r="KCY210" s="212"/>
      <c r="KCZ210" s="212"/>
      <c r="KDA210" s="212"/>
      <c r="KDB210" s="212"/>
      <c r="KDC210" s="212"/>
      <c r="KDD210" s="212"/>
      <c r="KDE210" s="212"/>
      <c r="KDF210" s="212"/>
      <c r="KDG210" s="212"/>
      <c r="KDH210" s="212"/>
      <c r="KDI210" s="212"/>
      <c r="KDJ210" s="212"/>
      <c r="KDK210" s="212"/>
      <c r="KDL210" s="212"/>
      <c r="KDM210" s="212"/>
      <c r="KDN210" s="212"/>
      <c r="KDO210" s="212"/>
      <c r="KDP210" s="212"/>
      <c r="KDQ210" s="212"/>
      <c r="KDR210" s="212"/>
      <c r="KDS210" s="212"/>
      <c r="KDT210" s="212"/>
      <c r="KDU210" s="212"/>
      <c r="KDV210" s="212"/>
      <c r="KDW210" s="212"/>
      <c r="KDX210" s="212"/>
      <c r="KDY210" s="212"/>
      <c r="KDZ210" s="212"/>
      <c r="KEA210" s="212"/>
      <c r="KEB210" s="214"/>
      <c r="KEC210" s="211"/>
      <c r="KED210" s="212"/>
      <c r="KEE210" s="212"/>
      <c r="KEF210" s="212"/>
      <c r="KEG210" s="212"/>
      <c r="KEH210" s="212"/>
      <c r="KEI210" s="212"/>
      <c r="KEJ210" s="212"/>
      <c r="KEK210" s="212"/>
      <c r="KEL210" s="212"/>
      <c r="KEM210" s="212"/>
      <c r="KEN210" s="212"/>
      <c r="KEO210" s="212"/>
      <c r="KEP210" s="212"/>
      <c r="KEQ210" s="212"/>
      <c r="KER210" s="212"/>
      <c r="KES210" s="212"/>
      <c r="KET210" s="212"/>
      <c r="KEU210" s="212"/>
      <c r="KEV210" s="212"/>
      <c r="KEW210" s="212"/>
      <c r="KEX210" s="212"/>
      <c r="KEY210" s="212"/>
      <c r="KEZ210" s="212"/>
      <c r="KFA210" s="212"/>
      <c r="KFB210" s="212"/>
      <c r="KFC210" s="212"/>
      <c r="KFD210" s="212"/>
      <c r="KFE210" s="212"/>
      <c r="KFF210" s="212"/>
      <c r="KFG210" s="212"/>
      <c r="KFH210" s="212"/>
      <c r="KFI210" s="212"/>
      <c r="KFJ210" s="212"/>
      <c r="KFK210" s="212"/>
      <c r="KFL210" s="212"/>
      <c r="KFM210" s="212"/>
      <c r="KFN210" s="212"/>
      <c r="KFO210" s="212"/>
      <c r="KFP210" s="212"/>
      <c r="KFQ210" s="212"/>
      <c r="KFR210" s="212"/>
      <c r="KFS210" s="212"/>
      <c r="KFT210" s="214"/>
      <c r="KFU210" s="211"/>
      <c r="KFV210" s="212"/>
      <c r="KFW210" s="212"/>
      <c r="KFX210" s="212"/>
      <c r="KFY210" s="212"/>
      <c r="KFZ210" s="212"/>
      <c r="KGA210" s="212"/>
      <c r="KGB210" s="212"/>
      <c r="KGC210" s="212"/>
      <c r="KGD210" s="212"/>
      <c r="KGE210" s="212"/>
      <c r="KGF210" s="212"/>
      <c r="KGG210" s="212"/>
      <c r="KGH210" s="212"/>
      <c r="KGI210" s="212"/>
      <c r="KGJ210" s="212"/>
      <c r="KGK210" s="212"/>
      <c r="KGL210" s="212"/>
      <c r="KGM210" s="212"/>
      <c r="KGN210" s="212"/>
      <c r="KGO210" s="212"/>
      <c r="KGP210" s="212"/>
      <c r="KGQ210" s="212"/>
      <c r="KGR210" s="212"/>
      <c r="KGS210" s="212"/>
      <c r="KGT210" s="212"/>
      <c r="KGU210" s="212"/>
      <c r="KGV210" s="212"/>
      <c r="KGW210" s="212"/>
      <c r="KGX210" s="212"/>
      <c r="KGY210" s="212"/>
      <c r="KGZ210" s="212"/>
      <c r="KHA210" s="212"/>
      <c r="KHB210" s="212"/>
      <c r="KHC210" s="212"/>
      <c r="KHD210" s="212"/>
      <c r="KHE210" s="212"/>
      <c r="KHF210" s="212"/>
      <c r="KHG210" s="212"/>
      <c r="KHH210" s="212"/>
      <c r="KHI210" s="212"/>
      <c r="KHJ210" s="212"/>
      <c r="KHK210" s="212"/>
      <c r="KHL210" s="214"/>
      <c r="KHM210" s="211"/>
      <c r="KHN210" s="212"/>
      <c r="KHO210" s="212"/>
      <c r="KHP210" s="212"/>
      <c r="KHQ210" s="212"/>
      <c r="KHR210" s="212"/>
      <c r="KHS210" s="212"/>
      <c r="KHT210" s="212"/>
      <c r="KHU210" s="212"/>
      <c r="KHV210" s="212"/>
      <c r="KHW210" s="212"/>
      <c r="KHX210" s="212"/>
      <c r="KHY210" s="212"/>
      <c r="KHZ210" s="212"/>
      <c r="KIA210" s="212"/>
      <c r="KIB210" s="212"/>
      <c r="KIC210" s="212"/>
      <c r="KID210" s="212"/>
      <c r="KIE210" s="212"/>
      <c r="KIF210" s="212"/>
      <c r="KIG210" s="212"/>
      <c r="KIH210" s="212"/>
      <c r="KII210" s="212"/>
      <c r="KIJ210" s="212"/>
      <c r="KIK210" s="212"/>
      <c r="KIL210" s="212"/>
      <c r="KIM210" s="212"/>
      <c r="KIN210" s="212"/>
      <c r="KIO210" s="212"/>
      <c r="KIP210" s="212"/>
      <c r="KIQ210" s="212"/>
      <c r="KIR210" s="212"/>
      <c r="KIS210" s="212"/>
      <c r="KIT210" s="212"/>
      <c r="KIU210" s="212"/>
      <c r="KIV210" s="212"/>
      <c r="KIW210" s="212"/>
      <c r="KIX210" s="212"/>
      <c r="KIY210" s="212"/>
      <c r="KIZ210" s="212"/>
      <c r="KJA210" s="212"/>
      <c r="KJB210" s="212"/>
      <c r="KJC210" s="212"/>
      <c r="KJD210" s="214"/>
      <c r="KJE210" s="211"/>
      <c r="KJF210" s="212"/>
      <c r="KJG210" s="212"/>
      <c r="KJH210" s="212"/>
      <c r="KJI210" s="212"/>
      <c r="KJJ210" s="212"/>
      <c r="KJK210" s="212"/>
      <c r="KJL210" s="212"/>
      <c r="KJM210" s="212"/>
      <c r="KJN210" s="212"/>
      <c r="KJO210" s="212"/>
      <c r="KJP210" s="212"/>
      <c r="KJQ210" s="212"/>
      <c r="KJR210" s="212"/>
      <c r="KJS210" s="212"/>
      <c r="KJT210" s="212"/>
      <c r="KJU210" s="212"/>
      <c r="KJV210" s="212"/>
      <c r="KJW210" s="212"/>
      <c r="KJX210" s="212"/>
      <c r="KJY210" s="212"/>
      <c r="KJZ210" s="212"/>
      <c r="KKA210" s="212"/>
      <c r="KKB210" s="212"/>
      <c r="KKC210" s="212"/>
      <c r="KKD210" s="212"/>
      <c r="KKE210" s="212"/>
      <c r="KKF210" s="212"/>
      <c r="KKG210" s="212"/>
      <c r="KKH210" s="212"/>
      <c r="KKI210" s="212"/>
      <c r="KKJ210" s="212"/>
      <c r="KKK210" s="212"/>
      <c r="KKL210" s="212"/>
      <c r="KKM210" s="212"/>
      <c r="KKN210" s="212"/>
      <c r="KKO210" s="212"/>
      <c r="KKP210" s="212"/>
      <c r="KKQ210" s="212"/>
      <c r="KKR210" s="212"/>
      <c r="KKS210" s="212"/>
      <c r="KKT210" s="212"/>
      <c r="KKU210" s="212"/>
      <c r="KKV210" s="214"/>
      <c r="KKW210" s="211"/>
      <c r="KKX210" s="212"/>
      <c r="KKY210" s="212"/>
      <c r="KKZ210" s="212"/>
      <c r="KLA210" s="212"/>
      <c r="KLB210" s="212"/>
      <c r="KLC210" s="212"/>
      <c r="KLD210" s="212"/>
      <c r="KLE210" s="212"/>
      <c r="KLF210" s="212"/>
      <c r="KLG210" s="212"/>
      <c r="KLH210" s="212"/>
      <c r="KLI210" s="212"/>
      <c r="KLJ210" s="212"/>
      <c r="KLK210" s="212"/>
      <c r="KLL210" s="212"/>
      <c r="KLM210" s="212"/>
      <c r="KLN210" s="212"/>
      <c r="KLO210" s="212"/>
      <c r="KLP210" s="212"/>
      <c r="KLQ210" s="212"/>
      <c r="KLR210" s="212"/>
      <c r="KLS210" s="212"/>
      <c r="KLT210" s="212"/>
      <c r="KLU210" s="212"/>
      <c r="KLV210" s="212"/>
      <c r="KLW210" s="212"/>
      <c r="KLX210" s="212"/>
      <c r="KLY210" s="212"/>
      <c r="KLZ210" s="212"/>
      <c r="KMA210" s="212"/>
      <c r="KMB210" s="212"/>
      <c r="KMC210" s="212"/>
      <c r="KMD210" s="212"/>
      <c r="KME210" s="212"/>
      <c r="KMF210" s="212"/>
      <c r="KMG210" s="212"/>
      <c r="KMH210" s="212"/>
      <c r="KMI210" s="212"/>
      <c r="KMJ210" s="212"/>
      <c r="KMK210" s="212"/>
      <c r="KML210" s="212"/>
      <c r="KMM210" s="212"/>
      <c r="KMN210" s="214"/>
      <c r="KMO210" s="211"/>
      <c r="KMP210" s="212"/>
      <c r="KMQ210" s="212"/>
      <c r="KMR210" s="212"/>
      <c r="KMS210" s="212"/>
      <c r="KMT210" s="212"/>
      <c r="KMU210" s="212"/>
      <c r="KMV210" s="212"/>
      <c r="KMW210" s="212"/>
      <c r="KMX210" s="212"/>
      <c r="KMY210" s="212"/>
      <c r="KMZ210" s="212"/>
      <c r="KNA210" s="212"/>
      <c r="KNB210" s="212"/>
      <c r="KNC210" s="212"/>
      <c r="KND210" s="212"/>
      <c r="KNE210" s="212"/>
      <c r="KNF210" s="212"/>
      <c r="KNG210" s="212"/>
      <c r="KNH210" s="212"/>
      <c r="KNI210" s="212"/>
      <c r="KNJ210" s="212"/>
      <c r="KNK210" s="212"/>
      <c r="KNL210" s="212"/>
      <c r="KNM210" s="212"/>
      <c r="KNN210" s="212"/>
      <c r="KNO210" s="212"/>
      <c r="KNP210" s="212"/>
      <c r="KNQ210" s="212"/>
      <c r="KNR210" s="212"/>
      <c r="KNS210" s="212"/>
      <c r="KNT210" s="212"/>
      <c r="KNU210" s="212"/>
      <c r="KNV210" s="212"/>
      <c r="KNW210" s="212"/>
      <c r="KNX210" s="212"/>
      <c r="KNY210" s="212"/>
      <c r="KNZ210" s="212"/>
      <c r="KOA210" s="212"/>
      <c r="KOB210" s="212"/>
      <c r="KOC210" s="212"/>
      <c r="KOD210" s="212"/>
      <c r="KOE210" s="212"/>
      <c r="KOF210" s="214"/>
      <c r="KOG210" s="211"/>
      <c r="KOH210" s="212"/>
      <c r="KOI210" s="212"/>
      <c r="KOJ210" s="212"/>
      <c r="KOK210" s="212"/>
      <c r="KOL210" s="212"/>
      <c r="KOM210" s="212"/>
      <c r="KON210" s="212"/>
      <c r="KOO210" s="212"/>
      <c r="KOP210" s="212"/>
      <c r="KOQ210" s="212"/>
      <c r="KOR210" s="212"/>
      <c r="KOS210" s="212"/>
      <c r="KOT210" s="212"/>
      <c r="KOU210" s="212"/>
      <c r="KOV210" s="212"/>
      <c r="KOW210" s="212"/>
      <c r="KOX210" s="212"/>
      <c r="KOY210" s="212"/>
      <c r="KOZ210" s="212"/>
      <c r="KPA210" s="212"/>
      <c r="KPB210" s="212"/>
      <c r="KPC210" s="212"/>
      <c r="KPD210" s="212"/>
      <c r="KPE210" s="212"/>
      <c r="KPF210" s="212"/>
      <c r="KPG210" s="212"/>
      <c r="KPH210" s="212"/>
      <c r="KPI210" s="212"/>
      <c r="KPJ210" s="212"/>
      <c r="KPK210" s="212"/>
      <c r="KPL210" s="212"/>
      <c r="KPM210" s="212"/>
      <c r="KPN210" s="212"/>
      <c r="KPO210" s="212"/>
      <c r="KPP210" s="212"/>
      <c r="KPQ210" s="212"/>
      <c r="KPR210" s="212"/>
      <c r="KPS210" s="212"/>
      <c r="KPT210" s="212"/>
      <c r="KPU210" s="212"/>
      <c r="KPV210" s="212"/>
      <c r="KPW210" s="212"/>
      <c r="KPX210" s="214"/>
      <c r="KPY210" s="211"/>
      <c r="KPZ210" s="212"/>
      <c r="KQA210" s="212"/>
      <c r="KQB210" s="212"/>
      <c r="KQC210" s="212"/>
      <c r="KQD210" s="212"/>
      <c r="KQE210" s="212"/>
      <c r="KQF210" s="212"/>
      <c r="KQG210" s="212"/>
      <c r="KQH210" s="212"/>
      <c r="KQI210" s="212"/>
      <c r="KQJ210" s="212"/>
      <c r="KQK210" s="212"/>
      <c r="KQL210" s="212"/>
      <c r="KQM210" s="212"/>
      <c r="KQN210" s="212"/>
      <c r="KQO210" s="212"/>
      <c r="KQP210" s="212"/>
      <c r="KQQ210" s="212"/>
      <c r="KQR210" s="212"/>
      <c r="KQS210" s="212"/>
      <c r="KQT210" s="212"/>
      <c r="KQU210" s="212"/>
      <c r="KQV210" s="212"/>
      <c r="KQW210" s="212"/>
      <c r="KQX210" s="212"/>
      <c r="KQY210" s="212"/>
      <c r="KQZ210" s="212"/>
      <c r="KRA210" s="212"/>
      <c r="KRB210" s="212"/>
      <c r="KRC210" s="212"/>
      <c r="KRD210" s="212"/>
      <c r="KRE210" s="212"/>
      <c r="KRF210" s="212"/>
      <c r="KRG210" s="212"/>
      <c r="KRH210" s="212"/>
      <c r="KRI210" s="212"/>
      <c r="KRJ210" s="212"/>
      <c r="KRK210" s="212"/>
      <c r="KRL210" s="212"/>
      <c r="KRM210" s="212"/>
      <c r="KRN210" s="212"/>
      <c r="KRO210" s="212"/>
      <c r="KRP210" s="214"/>
      <c r="KRQ210" s="211"/>
      <c r="KRR210" s="212"/>
      <c r="KRS210" s="212"/>
      <c r="KRT210" s="212"/>
      <c r="KRU210" s="212"/>
      <c r="KRV210" s="212"/>
      <c r="KRW210" s="212"/>
      <c r="KRX210" s="212"/>
      <c r="KRY210" s="212"/>
      <c r="KRZ210" s="212"/>
      <c r="KSA210" s="212"/>
      <c r="KSB210" s="212"/>
      <c r="KSC210" s="212"/>
      <c r="KSD210" s="212"/>
      <c r="KSE210" s="212"/>
      <c r="KSF210" s="212"/>
      <c r="KSG210" s="212"/>
      <c r="KSH210" s="212"/>
      <c r="KSI210" s="212"/>
      <c r="KSJ210" s="212"/>
      <c r="KSK210" s="212"/>
      <c r="KSL210" s="212"/>
      <c r="KSM210" s="212"/>
      <c r="KSN210" s="212"/>
      <c r="KSO210" s="212"/>
      <c r="KSP210" s="212"/>
      <c r="KSQ210" s="212"/>
      <c r="KSR210" s="212"/>
      <c r="KSS210" s="212"/>
      <c r="KST210" s="212"/>
      <c r="KSU210" s="212"/>
      <c r="KSV210" s="212"/>
      <c r="KSW210" s="212"/>
      <c r="KSX210" s="212"/>
      <c r="KSY210" s="212"/>
      <c r="KSZ210" s="212"/>
      <c r="KTA210" s="212"/>
      <c r="KTB210" s="212"/>
      <c r="KTC210" s="212"/>
      <c r="KTD210" s="212"/>
      <c r="KTE210" s="212"/>
      <c r="KTF210" s="212"/>
      <c r="KTG210" s="212"/>
      <c r="KTH210" s="214"/>
      <c r="KTI210" s="211"/>
      <c r="KTJ210" s="212"/>
      <c r="KTK210" s="212"/>
      <c r="KTL210" s="212"/>
      <c r="KTM210" s="212"/>
      <c r="KTN210" s="212"/>
      <c r="KTO210" s="212"/>
      <c r="KTP210" s="212"/>
      <c r="KTQ210" s="212"/>
      <c r="KTR210" s="212"/>
      <c r="KTS210" s="212"/>
      <c r="KTT210" s="212"/>
      <c r="KTU210" s="212"/>
      <c r="KTV210" s="212"/>
      <c r="KTW210" s="212"/>
      <c r="KTX210" s="212"/>
      <c r="KTY210" s="212"/>
      <c r="KTZ210" s="212"/>
      <c r="KUA210" s="212"/>
      <c r="KUB210" s="212"/>
      <c r="KUC210" s="212"/>
      <c r="KUD210" s="212"/>
      <c r="KUE210" s="212"/>
      <c r="KUF210" s="212"/>
      <c r="KUG210" s="212"/>
      <c r="KUH210" s="212"/>
      <c r="KUI210" s="212"/>
      <c r="KUJ210" s="212"/>
      <c r="KUK210" s="212"/>
      <c r="KUL210" s="212"/>
      <c r="KUM210" s="212"/>
      <c r="KUN210" s="212"/>
      <c r="KUO210" s="212"/>
      <c r="KUP210" s="212"/>
      <c r="KUQ210" s="212"/>
      <c r="KUR210" s="212"/>
      <c r="KUS210" s="212"/>
      <c r="KUT210" s="212"/>
      <c r="KUU210" s="212"/>
      <c r="KUV210" s="212"/>
      <c r="KUW210" s="212"/>
      <c r="KUX210" s="212"/>
      <c r="KUY210" s="212"/>
      <c r="KUZ210" s="214"/>
      <c r="KVA210" s="211"/>
      <c r="KVB210" s="212"/>
      <c r="KVC210" s="212"/>
      <c r="KVD210" s="212"/>
      <c r="KVE210" s="212"/>
      <c r="KVF210" s="212"/>
      <c r="KVG210" s="212"/>
      <c r="KVH210" s="212"/>
      <c r="KVI210" s="212"/>
      <c r="KVJ210" s="212"/>
      <c r="KVK210" s="212"/>
      <c r="KVL210" s="212"/>
      <c r="KVM210" s="212"/>
      <c r="KVN210" s="212"/>
      <c r="KVO210" s="212"/>
      <c r="KVP210" s="212"/>
      <c r="KVQ210" s="212"/>
      <c r="KVR210" s="212"/>
      <c r="KVS210" s="212"/>
      <c r="KVT210" s="212"/>
      <c r="KVU210" s="212"/>
      <c r="KVV210" s="212"/>
      <c r="KVW210" s="212"/>
      <c r="KVX210" s="212"/>
      <c r="KVY210" s="212"/>
      <c r="KVZ210" s="212"/>
      <c r="KWA210" s="212"/>
      <c r="KWB210" s="212"/>
      <c r="KWC210" s="212"/>
      <c r="KWD210" s="212"/>
      <c r="KWE210" s="212"/>
      <c r="KWF210" s="212"/>
      <c r="KWG210" s="212"/>
      <c r="KWH210" s="212"/>
      <c r="KWI210" s="212"/>
      <c r="KWJ210" s="212"/>
      <c r="KWK210" s="212"/>
      <c r="KWL210" s="212"/>
      <c r="KWM210" s="212"/>
      <c r="KWN210" s="212"/>
      <c r="KWO210" s="212"/>
      <c r="KWP210" s="212"/>
      <c r="KWQ210" s="212"/>
      <c r="KWR210" s="214"/>
      <c r="KWS210" s="211"/>
      <c r="KWT210" s="212"/>
      <c r="KWU210" s="212"/>
      <c r="KWV210" s="212"/>
      <c r="KWW210" s="212"/>
      <c r="KWX210" s="212"/>
      <c r="KWY210" s="212"/>
      <c r="KWZ210" s="212"/>
      <c r="KXA210" s="212"/>
      <c r="KXB210" s="212"/>
      <c r="KXC210" s="212"/>
      <c r="KXD210" s="212"/>
      <c r="KXE210" s="212"/>
      <c r="KXF210" s="212"/>
      <c r="KXG210" s="212"/>
      <c r="KXH210" s="212"/>
      <c r="KXI210" s="212"/>
      <c r="KXJ210" s="212"/>
      <c r="KXK210" s="212"/>
      <c r="KXL210" s="212"/>
      <c r="KXM210" s="212"/>
      <c r="KXN210" s="212"/>
      <c r="KXO210" s="212"/>
      <c r="KXP210" s="212"/>
      <c r="KXQ210" s="212"/>
      <c r="KXR210" s="212"/>
      <c r="KXS210" s="212"/>
      <c r="KXT210" s="212"/>
      <c r="KXU210" s="212"/>
      <c r="KXV210" s="212"/>
      <c r="KXW210" s="212"/>
      <c r="KXX210" s="212"/>
      <c r="KXY210" s="212"/>
      <c r="KXZ210" s="212"/>
      <c r="KYA210" s="212"/>
      <c r="KYB210" s="212"/>
      <c r="KYC210" s="212"/>
      <c r="KYD210" s="212"/>
      <c r="KYE210" s="212"/>
      <c r="KYF210" s="212"/>
      <c r="KYG210" s="212"/>
      <c r="KYH210" s="212"/>
      <c r="KYI210" s="212"/>
      <c r="KYJ210" s="214"/>
      <c r="KYK210" s="211"/>
      <c r="KYL210" s="212"/>
      <c r="KYM210" s="212"/>
      <c r="KYN210" s="212"/>
      <c r="KYO210" s="212"/>
      <c r="KYP210" s="212"/>
      <c r="KYQ210" s="212"/>
      <c r="KYR210" s="212"/>
      <c r="KYS210" s="212"/>
      <c r="KYT210" s="212"/>
      <c r="KYU210" s="212"/>
      <c r="KYV210" s="212"/>
      <c r="KYW210" s="212"/>
      <c r="KYX210" s="212"/>
      <c r="KYY210" s="212"/>
      <c r="KYZ210" s="212"/>
      <c r="KZA210" s="212"/>
      <c r="KZB210" s="212"/>
      <c r="KZC210" s="212"/>
      <c r="KZD210" s="212"/>
      <c r="KZE210" s="212"/>
      <c r="KZF210" s="212"/>
      <c r="KZG210" s="212"/>
      <c r="KZH210" s="212"/>
      <c r="KZI210" s="212"/>
      <c r="KZJ210" s="212"/>
      <c r="KZK210" s="212"/>
      <c r="KZL210" s="212"/>
      <c r="KZM210" s="212"/>
      <c r="KZN210" s="212"/>
      <c r="KZO210" s="212"/>
      <c r="KZP210" s="212"/>
      <c r="KZQ210" s="212"/>
      <c r="KZR210" s="212"/>
      <c r="KZS210" s="212"/>
      <c r="KZT210" s="212"/>
      <c r="KZU210" s="212"/>
      <c r="KZV210" s="212"/>
      <c r="KZW210" s="212"/>
      <c r="KZX210" s="212"/>
      <c r="KZY210" s="212"/>
      <c r="KZZ210" s="212"/>
      <c r="LAA210" s="212"/>
      <c r="LAB210" s="214"/>
      <c r="LAC210" s="211"/>
      <c r="LAD210" s="212"/>
      <c r="LAE210" s="212"/>
      <c r="LAF210" s="212"/>
      <c r="LAG210" s="212"/>
      <c r="LAH210" s="212"/>
      <c r="LAI210" s="212"/>
      <c r="LAJ210" s="212"/>
      <c r="LAK210" s="212"/>
      <c r="LAL210" s="212"/>
      <c r="LAM210" s="212"/>
      <c r="LAN210" s="212"/>
      <c r="LAO210" s="212"/>
      <c r="LAP210" s="212"/>
      <c r="LAQ210" s="212"/>
      <c r="LAR210" s="212"/>
      <c r="LAS210" s="212"/>
      <c r="LAT210" s="212"/>
      <c r="LAU210" s="212"/>
      <c r="LAV210" s="212"/>
      <c r="LAW210" s="212"/>
      <c r="LAX210" s="212"/>
      <c r="LAY210" s="212"/>
      <c r="LAZ210" s="212"/>
      <c r="LBA210" s="212"/>
      <c r="LBB210" s="212"/>
      <c r="LBC210" s="212"/>
      <c r="LBD210" s="212"/>
      <c r="LBE210" s="212"/>
      <c r="LBF210" s="212"/>
      <c r="LBG210" s="212"/>
      <c r="LBH210" s="212"/>
      <c r="LBI210" s="212"/>
      <c r="LBJ210" s="212"/>
      <c r="LBK210" s="212"/>
      <c r="LBL210" s="212"/>
      <c r="LBM210" s="212"/>
      <c r="LBN210" s="212"/>
      <c r="LBO210" s="212"/>
      <c r="LBP210" s="212"/>
      <c r="LBQ210" s="212"/>
      <c r="LBR210" s="212"/>
      <c r="LBS210" s="212"/>
      <c r="LBT210" s="214"/>
      <c r="LBU210" s="211"/>
      <c r="LBV210" s="212"/>
      <c r="LBW210" s="212"/>
      <c r="LBX210" s="212"/>
      <c r="LBY210" s="212"/>
      <c r="LBZ210" s="212"/>
      <c r="LCA210" s="212"/>
      <c r="LCB210" s="212"/>
      <c r="LCC210" s="212"/>
      <c r="LCD210" s="212"/>
      <c r="LCE210" s="212"/>
      <c r="LCF210" s="212"/>
      <c r="LCG210" s="212"/>
      <c r="LCH210" s="212"/>
      <c r="LCI210" s="212"/>
      <c r="LCJ210" s="212"/>
      <c r="LCK210" s="212"/>
      <c r="LCL210" s="212"/>
      <c r="LCM210" s="212"/>
      <c r="LCN210" s="212"/>
      <c r="LCO210" s="212"/>
      <c r="LCP210" s="212"/>
      <c r="LCQ210" s="212"/>
      <c r="LCR210" s="212"/>
      <c r="LCS210" s="212"/>
      <c r="LCT210" s="212"/>
      <c r="LCU210" s="212"/>
      <c r="LCV210" s="212"/>
      <c r="LCW210" s="212"/>
      <c r="LCX210" s="212"/>
      <c r="LCY210" s="212"/>
      <c r="LCZ210" s="212"/>
      <c r="LDA210" s="212"/>
      <c r="LDB210" s="212"/>
      <c r="LDC210" s="212"/>
      <c r="LDD210" s="212"/>
      <c r="LDE210" s="212"/>
      <c r="LDF210" s="212"/>
      <c r="LDG210" s="212"/>
      <c r="LDH210" s="212"/>
      <c r="LDI210" s="212"/>
      <c r="LDJ210" s="212"/>
      <c r="LDK210" s="212"/>
      <c r="LDL210" s="214"/>
      <c r="LDM210" s="211"/>
      <c r="LDN210" s="212"/>
      <c r="LDO210" s="212"/>
      <c r="LDP210" s="212"/>
      <c r="LDQ210" s="212"/>
      <c r="LDR210" s="212"/>
      <c r="LDS210" s="212"/>
      <c r="LDT210" s="212"/>
      <c r="LDU210" s="212"/>
      <c r="LDV210" s="212"/>
      <c r="LDW210" s="212"/>
      <c r="LDX210" s="212"/>
      <c r="LDY210" s="212"/>
      <c r="LDZ210" s="212"/>
      <c r="LEA210" s="212"/>
      <c r="LEB210" s="212"/>
      <c r="LEC210" s="212"/>
      <c r="LED210" s="212"/>
      <c r="LEE210" s="212"/>
      <c r="LEF210" s="212"/>
      <c r="LEG210" s="212"/>
      <c r="LEH210" s="212"/>
      <c r="LEI210" s="212"/>
      <c r="LEJ210" s="212"/>
      <c r="LEK210" s="212"/>
      <c r="LEL210" s="212"/>
      <c r="LEM210" s="212"/>
      <c r="LEN210" s="212"/>
      <c r="LEO210" s="212"/>
      <c r="LEP210" s="212"/>
      <c r="LEQ210" s="212"/>
      <c r="LER210" s="212"/>
      <c r="LES210" s="212"/>
      <c r="LET210" s="212"/>
      <c r="LEU210" s="212"/>
      <c r="LEV210" s="212"/>
      <c r="LEW210" s="212"/>
      <c r="LEX210" s="212"/>
      <c r="LEY210" s="212"/>
      <c r="LEZ210" s="212"/>
      <c r="LFA210" s="212"/>
      <c r="LFB210" s="212"/>
      <c r="LFC210" s="212"/>
      <c r="LFD210" s="214"/>
      <c r="LFE210" s="211"/>
      <c r="LFF210" s="212"/>
      <c r="LFG210" s="212"/>
      <c r="LFH210" s="212"/>
      <c r="LFI210" s="212"/>
      <c r="LFJ210" s="212"/>
      <c r="LFK210" s="212"/>
      <c r="LFL210" s="212"/>
      <c r="LFM210" s="212"/>
      <c r="LFN210" s="212"/>
      <c r="LFO210" s="212"/>
      <c r="LFP210" s="212"/>
      <c r="LFQ210" s="212"/>
      <c r="LFR210" s="212"/>
      <c r="LFS210" s="212"/>
      <c r="LFT210" s="212"/>
      <c r="LFU210" s="212"/>
      <c r="LFV210" s="212"/>
      <c r="LFW210" s="212"/>
      <c r="LFX210" s="212"/>
      <c r="LFY210" s="212"/>
      <c r="LFZ210" s="212"/>
      <c r="LGA210" s="212"/>
      <c r="LGB210" s="212"/>
      <c r="LGC210" s="212"/>
      <c r="LGD210" s="212"/>
      <c r="LGE210" s="212"/>
      <c r="LGF210" s="212"/>
      <c r="LGG210" s="212"/>
      <c r="LGH210" s="212"/>
      <c r="LGI210" s="212"/>
      <c r="LGJ210" s="212"/>
      <c r="LGK210" s="212"/>
      <c r="LGL210" s="212"/>
      <c r="LGM210" s="212"/>
      <c r="LGN210" s="212"/>
      <c r="LGO210" s="212"/>
      <c r="LGP210" s="212"/>
      <c r="LGQ210" s="212"/>
      <c r="LGR210" s="212"/>
      <c r="LGS210" s="212"/>
      <c r="LGT210" s="212"/>
      <c r="LGU210" s="212"/>
      <c r="LGV210" s="214"/>
      <c r="LGW210" s="211"/>
      <c r="LGX210" s="212"/>
      <c r="LGY210" s="212"/>
      <c r="LGZ210" s="212"/>
      <c r="LHA210" s="212"/>
      <c r="LHB210" s="212"/>
      <c r="LHC210" s="212"/>
      <c r="LHD210" s="212"/>
      <c r="LHE210" s="212"/>
      <c r="LHF210" s="212"/>
      <c r="LHG210" s="212"/>
      <c r="LHH210" s="212"/>
      <c r="LHI210" s="212"/>
      <c r="LHJ210" s="212"/>
      <c r="LHK210" s="212"/>
      <c r="LHL210" s="212"/>
      <c r="LHM210" s="212"/>
      <c r="LHN210" s="212"/>
      <c r="LHO210" s="212"/>
      <c r="LHP210" s="212"/>
      <c r="LHQ210" s="212"/>
      <c r="LHR210" s="212"/>
      <c r="LHS210" s="212"/>
      <c r="LHT210" s="212"/>
      <c r="LHU210" s="212"/>
      <c r="LHV210" s="212"/>
      <c r="LHW210" s="212"/>
      <c r="LHX210" s="212"/>
      <c r="LHY210" s="212"/>
      <c r="LHZ210" s="212"/>
      <c r="LIA210" s="212"/>
      <c r="LIB210" s="212"/>
      <c r="LIC210" s="212"/>
      <c r="LID210" s="212"/>
      <c r="LIE210" s="212"/>
      <c r="LIF210" s="212"/>
      <c r="LIG210" s="212"/>
      <c r="LIH210" s="212"/>
      <c r="LII210" s="212"/>
      <c r="LIJ210" s="212"/>
      <c r="LIK210" s="212"/>
      <c r="LIL210" s="212"/>
      <c r="LIM210" s="212"/>
      <c r="LIN210" s="214"/>
      <c r="LIO210" s="211"/>
      <c r="LIP210" s="212"/>
      <c r="LIQ210" s="212"/>
      <c r="LIR210" s="212"/>
      <c r="LIS210" s="212"/>
      <c r="LIT210" s="212"/>
      <c r="LIU210" s="212"/>
      <c r="LIV210" s="212"/>
      <c r="LIW210" s="212"/>
      <c r="LIX210" s="212"/>
      <c r="LIY210" s="212"/>
      <c r="LIZ210" s="212"/>
      <c r="LJA210" s="212"/>
      <c r="LJB210" s="212"/>
      <c r="LJC210" s="212"/>
      <c r="LJD210" s="212"/>
      <c r="LJE210" s="212"/>
      <c r="LJF210" s="212"/>
      <c r="LJG210" s="212"/>
      <c r="LJH210" s="212"/>
      <c r="LJI210" s="212"/>
      <c r="LJJ210" s="212"/>
      <c r="LJK210" s="212"/>
      <c r="LJL210" s="212"/>
      <c r="LJM210" s="212"/>
      <c r="LJN210" s="212"/>
      <c r="LJO210" s="212"/>
      <c r="LJP210" s="212"/>
      <c r="LJQ210" s="212"/>
      <c r="LJR210" s="212"/>
      <c r="LJS210" s="212"/>
      <c r="LJT210" s="212"/>
      <c r="LJU210" s="212"/>
      <c r="LJV210" s="212"/>
      <c r="LJW210" s="212"/>
      <c r="LJX210" s="212"/>
      <c r="LJY210" s="212"/>
      <c r="LJZ210" s="212"/>
      <c r="LKA210" s="212"/>
      <c r="LKB210" s="212"/>
      <c r="LKC210" s="212"/>
      <c r="LKD210" s="212"/>
      <c r="LKE210" s="212"/>
      <c r="LKF210" s="214"/>
      <c r="LKG210" s="211"/>
      <c r="LKH210" s="212"/>
      <c r="LKI210" s="212"/>
      <c r="LKJ210" s="212"/>
      <c r="LKK210" s="212"/>
      <c r="LKL210" s="212"/>
      <c r="LKM210" s="212"/>
      <c r="LKN210" s="212"/>
      <c r="LKO210" s="212"/>
      <c r="LKP210" s="212"/>
      <c r="LKQ210" s="212"/>
      <c r="LKR210" s="212"/>
      <c r="LKS210" s="212"/>
      <c r="LKT210" s="212"/>
      <c r="LKU210" s="212"/>
      <c r="LKV210" s="212"/>
      <c r="LKW210" s="212"/>
      <c r="LKX210" s="212"/>
      <c r="LKY210" s="212"/>
      <c r="LKZ210" s="212"/>
      <c r="LLA210" s="212"/>
      <c r="LLB210" s="212"/>
      <c r="LLC210" s="212"/>
      <c r="LLD210" s="212"/>
      <c r="LLE210" s="212"/>
      <c r="LLF210" s="212"/>
      <c r="LLG210" s="212"/>
      <c r="LLH210" s="212"/>
      <c r="LLI210" s="212"/>
      <c r="LLJ210" s="212"/>
      <c r="LLK210" s="212"/>
      <c r="LLL210" s="212"/>
      <c r="LLM210" s="212"/>
      <c r="LLN210" s="212"/>
      <c r="LLO210" s="212"/>
      <c r="LLP210" s="212"/>
      <c r="LLQ210" s="212"/>
      <c r="LLR210" s="212"/>
      <c r="LLS210" s="212"/>
      <c r="LLT210" s="212"/>
      <c r="LLU210" s="212"/>
      <c r="LLV210" s="212"/>
      <c r="LLW210" s="212"/>
      <c r="LLX210" s="214"/>
      <c r="LLY210" s="211"/>
      <c r="LLZ210" s="212"/>
      <c r="LMA210" s="212"/>
      <c r="LMB210" s="212"/>
      <c r="LMC210" s="212"/>
      <c r="LMD210" s="212"/>
      <c r="LME210" s="212"/>
      <c r="LMF210" s="212"/>
      <c r="LMG210" s="212"/>
      <c r="LMH210" s="212"/>
      <c r="LMI210" s="212"/>
      <c r="LMJ210" s="212"/>
      <c r="LMK210" s="212"/>
      <c r="LML210" s="212"/>
      <c r="LMM210" s="212"/>
      <c r="LMN210" s="212"/>
      <c r="LMO210" s="212"/>
      <c r="LMP210" s="212"/>
      <c r="LMQ210" s="212"/>
      <c r="LMR210" s="212"/>
      <c r="LMS210" s="212"/>
      <c r="LMT210" s="212"/>
      <c r="LMU210" s="212"/>
      <c r="LMV210" s="212"/>
      <c r="LMW210" s="212"/>
      <c r="LMX210" s="212"/>
      <c r="LMY210" s="212"/>
      <c r="LMZ210" s="212"/>
      <c r="LNA210" s="212"/>
      <c r="LNB210" s="212"/>
      <c r="LNC210" s="212"/>
      <c r="LND210" s="212"/>
      <c r="LNE210" s="212"/>
      <c r="LNF210" s="212"/>
      <c r="LNG210" s="212"/>
      <c r="LNH210" s="212"/>
      <c r="LNI210" s="212"/>
      <c r="LNJ210" s="212"/>
      <c r="LNK210" s="212"/>
      <c r="LNL210" s="212"/>
      <c r="LNM210" s="212"/>
      <c r="LNN210" s="212"/>
      <c r="LNO210" s="212"/>
      <c r="LNP210" s="214"/>
      <c r="LNQ210" s="211"/>
      <c r="LNR210" s="212"/>
      <c r="LNS210" s="212"/>
      <c r="LNT210" s="212"/>
      <c r="LNU210" s="212"/>
      <c r="LNV210" s="212"/>
      <c r="LNW210" s="212"/>
      <c r="LNX210" s="212"/>
      <c r="LNY210" s="212"/>
      <c r="LNZ210" s="212"/>
      <c r="LOA210" s="212"/>
      <c r="LOB210" s="212"/>
      <c r="LOC210" s="212"/>
      <c r="LOD210" s="212"/>
      <c r="LOE210" s="212"/>
      <c r="LOF210" s="212"/>
      <c r="LOG210" s="212"/>
      <c r="LOH210" s="212"/>
      <c r="LOI210" s="212"/>
      <c r="LOJ210" s="212"/>
      <c r="LOK210" s="212"/>
      <c r="LOL210" s="212"/>
      <c r="LOM210" s="212"/>
      <c r="LON210" s="212"/>
      <c r="LOO210" s="212"/>
      <c r="LOP210" s="212"/>
      <c r="LOQ210" s="212"/>
      <c r="LOR210" s="212"/>
      <c r="LOS210" s="212"/>
      <c r="LOT210" s="212"/>
      <c r="LOU210" s="212"/>
      <c r="LOV210" s="212"/>
      <c r="LOW210" s="212"/>
      <c r="LOX210" s="212"/>
      <c r="LOY210" s="212"/>
      <c r="LOZ210" s="212"/>
      <c r="LPA210" s="212"/>
      <c r="LPB210" s="212"/>
      <c r="LPC210" s="212"/>
      <c r="LPD210" s="212"/>
      <c r="LPE210" s="212"/>
      <c r="LPF210" s="212"/>
      <c r="LPG210" s="212"/>
      <c r="LPH210" s="214"/>
      <c r="LPI210" s="211"/>
      <c r="LPJ210" s="212"/>
      <c r="LPK210" s="212"/>
      <c r="LPL210" s="212"/>
      <c r="LPM210" s="212"/>
      <c r="LPN210" s="212"/>
      <c r="LPO210" s="212"/>
      <c r="LPP210" s="212"/>
      <c r="LPQ210" s="212"/>
      <c r="LPR210" s="212"/>
      <c r="LPS210" s="212"/>
      <c r="LPT210" s="212"/>
      <c r="LPU210" s="212"/>
      <c r="LPV210" s="212"/>
      <c r="LPW210" s="212"/>
      <c r="LPX210" s="212"/>
      <c r="LPY210" s="212"/>
      <c r="LPZ210" s="212"/>
      <c r="LQA210" s="212"/>
      <c r="LQB210" s="212"/>
      <c r="LQC210" s="212"/>
      <c r="LQD210" s="212"/>
      <c r="LQE210" s="212"/>
      <c r="LQF210" s="212"/>
      <c r="LQG210" s="212"/>
      <c r="LQH210" s="212"/>
      <c r="LQI210" s="212"/>
      <c r="LQJ210" s="212"/>
      <c r="LQK210" s="212"/>
      <c r="LQL210" s="212"/>
      <c r="LQM210" s="212"/>
      <c r="LQN210" s="212"/>
      <c r="LQO210" s="212"/>
      <c r="LQP210" s="212"/>
      <c r="LQQ210" s="212"/>
      <c r="LQR210" s="212"/>
      <c r="LQS210" s="212"/>
      <c r="LQT210" s="212"/>
      <c r="LQU210" s="212"/>
      <c r="LQV210" s="212"/>
      <c r="LQW210" s="212"/>
      <c r="LQX210" s="212"/>
      <c r="LQY210" s="212"/>
      <c r="LQZ210" s="214"/>
      <c r="LRA210" s="211"/>
      <c r="LRB210" s="212"/>
      <c r="LRC210" s="212"/>
      <c r="LRD210" s="212"/>
      <c r="LRE210" s="212"/>
      <c r="LRF210" s="212"/>
      <c r="LRG210" s="212"/>
      <c r="LRH210" s="212"/>
      <c r="LRI210" s="212"/>
      <c r="LRJ210" s="212"/>
      <c r="LRK210" s="212"/>
      <c r="LRL210" s="212"/>
      <c r="LRM210" s="212"/>
      <c r="LRN210" s="212"/>
      <c r="LRO210" s="212"/>
      <c r="LRP210" s="212"/>
      <c r="LRQ210" s="212"/>
      <c r="LRR210" s="212"/>
      <c r="LRS210" s="212"/>
      <c r="LRT210" s="212"/>
      <c r="LRU210" s="212"/>
      <c r="LRV210" s="212"/>
      <c r="LRW210" s="212"/>
      <c r="LRX210" s="212"/>
      <c r="LRY210" s="212"/>
      <c r="LRZ210" s="212"/>
      <c r="LSA210" s="212"/>
      <c r="LSB210" s="212"/>
      <c r="LSC210" s="212"/>
      <c r="LSD210" s="212"/>
      <c r="LSE210" s="212"/>
      <c r="LSF210" s="212"/>
      <c r="LSG210" s="212"/>
      <c r="LSH210" s="212"/>
      <c r="LSI210" s="212"/>
      <c r="LSJ210" s="212"/>
      <c r="LSK210" s="212"/>
      <c r="LSL210" s="212"/>
      <c r="LSM210" s="212"/>
      <c r="LSN210" s="212"/>
      <c r="LSO210" s="212"/>
      <c r="LSP210" s="212"/>
      <c r="LSQ210" s="212"/>
      <c r="LSR210" s="214"/>
      <c r="LSS210" s="211"/>
      <c r="LST210" s="212"/>
      <c r="LSU210" s="212"/>
      <c r="LSV210" s="212"/>
      <c r="LSW210" s="212"/>
      <c r="LSX210" s="212"/>
      <c r="LSY210" s="212"/>
      <c r="LSZ210" s="212"/>
      <c r="LTA210" s="212"/>
      <c r="LTB210" s="212"/>
      <c r="LTC210" s="212"/>
      <c r="LTD210" s="212"/>
      <c r="LTE210" s="212"/>
      <c r="LTF210" s="212"/>
      <c r="LTG210" s="212"/>
      <c r="LTH210" s="212"/>
      <c r="LTI210" s="212"/>
      <c r="LTJ210" s="212"/>
      <c r="LTK210" s="212"/>
      <c r="LTL210" s="212"/>
      <c r="LTM210" s="212"/>
      <c r="LTN210" s="212"/>
      <c r="LTO210" s="212"/>
      <c r="LTP210" s="212"/>
      <c r="LTQ210" s="212"/>
      <c r="LTR210" s="212"/>
      <c r="LTS210" s="212"/>
      <c r="LTT210" s="212"/>
      <c r="LTU210" s="212"/>
      <c r="LTV210" s="212"/>
      <c r="LTW210" s="212"/>
      <c r="LTX210" s="212"/>
      <c r="LTY210" s="212"/>
      <c r="LTZ210" s="212"/>
      <c r="LUA210" s="212"/>
      <c r="LUB210" s="212"/>
      <c r="LUC210" s="212"/>
      <c r="LUD210" s="212"/>
      <c r="LUE210" s="212"/>
      <c r="LUF210" s="212"/>
      <c r="LUG210" s="212"/>
      <c r="LUH210" s="212"/>
      <c r="LUI210" s="212"/>
      <c r="LUJ210" s="214"/>
      <c r="LUK210" s="211"/>
      <c r="LUL210" s="212"/>
      <c r="LUM210" s="212"/>
      <c r="LUN210" s="212"/>
      <c r="LUO210" s="212"/>
      <c r="LUP210" s="212"/>
      <c r="LUQ210" s="212"/>
      <c r="LUR210" s="212"/>
      <c r="LUS210" s="212"/>
      <c r="LUT210" s="212"/>
      <c r="LUU210" s="212"/>
      <c r="LUV210" s="212"/>
      <c r="LUW210" s="212"/>
      <c r="LUX210" s="212"/>
      <c r="LUY210" s="212"/>
      <c r="LUZ210" s="212"/>
      <c r="LVA210" s="212"/>
      <c r="LVB210" s="212"/>
      <c r="LVC210" s="212"/>
      <c r="LVD210" s="212"/>
      <c r="LVE210" s="212"/>
      <c r="LVF210" s="212"/>
      <c r="LVG210" s="212"/>
      <c r="LVH210" s="212"/>
      <c r="LVI210" s="212"/>
      <c r="LVJ210" s="212"/>
      <c r="LVK210" s="212"/>
      <c r="LVL210" s="212"/>
      <c r="LVM210" s="212"/>
      <c r="LVN210" s="212"/>
      <c r="LVO210" s="212"/>
      <c r="LVP210" s="212"/>
      <c r="LVQ210" s="212"/>
      <c r="LVR210" s="212"/>
      <c r="LVS210" s="212"/>
      <c r="LVT210" s="212"/>
      <c r="LVU210" s="212"/>
      <c r="LVV210" s="212"/>
      <c r="LVW210" s="212"/>
      <c r="LVX210" s="212"/>
      <c r="LVY210" s="212"/>
      <c r="LVZ210" s="212"/>
      <c r="LWA210" s="212"/>
      <c r="LWB210" s="214"/>
      <c r="LWC210" s="211"/>
      <c r="LWD210" s="212"/>
      <c r="LWE210" s="212"/>
      <c r="LWF210" s="212"/>
      <c r="LWG210" s="212"/>
      <c r="LWH210" s="212"/>
      <c r="LWI210" s="212"/>
      <c r="LWJ210" s="212"/>
      <c r="LWK210" s="212"/>
      <c r="LWL210" s="212"/>
      <c r="LWM210" s="212"/>
      <c r="LWN210" s="212"/>
      <c r="LWO210" s="212"/>
      <c r="LWP210" s="212"/>
      <c r="LWQ210" s="212"/>
      <c r="LWR210" s="212"/>
      <c r="LWS210" s="212"/>
      <c r="LWT210" s="212"/>
      <c r="LWU210" s="212"/>
      <c r="LWV210" s="212"/>
      <c r="LWW210" s="212"/>
      <c r="LWX210" s="212"/>
      <c r="LWY210" s="212"/>
      <c r="LWZ210" s="212"/>
      <c r="LXA210" s="212"/>
      <c r="LXB210" s="212"/>
      <c r="LXC210" s="212"/>
      <c r="LXD210" s="212"/>
      <c r="LXE210" s="212"/>
      <c r="LXF210" s="212"/>
      <c r="LXG210" s="212"/>
      <c r="LXH210" s="212"/>
      <c r="LXI210" s="212"/>
      <c r="LXJ210" s="212"/>
      <c r="LXK210" s="212"/>
      <c r="LXL210" s="212"/>
      <c r="LXM210" s="212"/>
      <c r="LXN210" s="212"/>
      <c r="LXO210" s="212"/>
      <c r="LXP210" s="212"/>
      <c r="LXQ210" s="212"/>
      <c r="LXR210" s="212"/>
      <c r="LXS210" s="212"/>
      <c r="LXT210" s="214"/>
      <c r="LXU210" s="211"/>
      <c r="LXV210" s="212"/>
      <c r="LXW210" s="212"/>
      <c r="LXX210" s="212"/>
      <c r="LXY210" s="212"/>
      <c r="LXZ210" s="212"/>
      <c r="LYA210" s="212"/>
      <c r="LYB210" s="212"/>
      <c r="LYC210" s="212"/>
      <c r="LYD210" s="212"/>
      <c r="LYE210" s="212"/>
      <c r="LYF210" s="212"/>
      <c r="LYG210" s="212"/>
      <c r="LYH210" s="212"/>
      <c r="LYI210" s="212"/>
      <c r="LYJ210" s="212"/>
      <c r="LYK210" s="212"/>
      <c r="LYL210" s="212"/>
      <c r="LYM210" s="212"/>
      <c r="LYN210" s="212"/>
      <c r="LYO210" s="212"/>
      <c r="LYP210" s="212"/>
      <c r="LYQ210" s="212"/>
      <c r="LYR210" s="212"/>
      <c r="LYS210" s="212"/>
      <c r="LYT210" s="212"/>
      <c r="LYU210" s="212"/>
      <c r="LYV210" s="212"/>
      <c r="LYW210" s="212"/>
      <c r="LYX210" s="212"/>
      <c r="LYY210" s="212"/>
      <c r="LYZ210" s="212"/>
      <c r="LZA210" s="212"/>
      <c r="LZB210" s="212"/>
      <c r="LZC210" s="212"/>
      <c r="LZD210" s="212"/>
      <c r="LZE210" s="212"/>
      <c r="LZF210" s="212"/>
      <c r="LZG210" s="212"/>
      <c r="LZH210" s="212"/>
      <c r="LZI210" s="212"/>
      <c r="LZJ210" s="212"/>
      <c r="LZK210" s="212"/>
      <c r="LZL210" s="214"/>
      <c r="LZM210" s="211"/>
      <c r="LZN210" s="212"/>
      <c r="LZO210" s="212"/>
      <c r="LZP210" s="212"/>
      <c r="LZQ210" s="212"/>
      <c r="LZR210" s="212"/>
      <c r="LZS210" s="212"/>
      <c r="LZT210" s="212"/>
      <c r="LZU210" s="212"/>
      <c r="LZV210" s="212"/>
      <c r="LZW210" s="212"/>
      <c r="LZX210" s="212"/>
      <c r="LZY210" s="212"/>
      <c r="LZZ210" s="212"/>
      <c r="MAA210" s="212"/>
      <c r="MAB210" s="212"/>
      <c r="MAC210" s="212"/>
      <c r="MAD210" s="212"/>
      <c r="MAE210" s="212"/>
      <c r="MAF210" s="212"/>
      <c r="MAG210" s="212"/>
      <c r="MAH210" s="212"/>
      <c r="MAI210" s="212"/>
      <c r="MAJ210" s="212"/>
      <c r="MAK210" s="212"/>
      <c r="MAL210" s="212"/>
      <c r="MAM210" s="212"/>
      <c r="MAN210" s="212"/>
      <c r="MAO210" s="212"/>
      <c r="MAP210" s="212"/>
      <c r="MAQ210" s="212"/>
      <c r="MAR210" s="212"/>
      <c r="MAS210" s="212"/>
      <c r="MAT210" s="212"/>
      <c r="MAU210" s="212"/>
      <c r="MAV210" s="212"/>
      <c r="MAW210" s="212"/>
      <c r="MAX210" s="212"/>
      <c r="MAY210" s="212"/>
      <c r="MAZ210" s="212"/>
      <c r="MBA210" s="212"/>
      <c r="MBB210" s="212"/>
      <c r="MBC210" s="212"/>
      <c r="MBD210" s="214"/>
      <c r="MBE210" s="211"/>
      <c r="MBF210" s="212"/>
      <c r="MBG210" s="212"/>
      <c r="MBH210" s="212"/>
      <c r="MBI210" s="212"/>
      <c r="MBJ210" s="212"/>
      <c r="MBK210" s="212"/>
      <c r="MBL210" s="212"/>
      <c r="MBM210" s="212"/>
      <c r="MBN210" s="212"/>
      <c r="MBO210" s="212"/>
      <c r="MBP210" s="212"/>
      <c r="MBQ210" s="212"/>
      <c r="MBR210" s="212"/>
      <c r="MBS210" s="212"/>
      <c r="MBT210" s="212"/>
      <c r="MBU210" s="212"/>
      <c r="MBV210" s="212"/>
      <c r="MBW210" s="212"/>
      <c r="MBX210" s="212"/>
      <c r="MBY210" s="212"/>
      <c r="MBZ210" s="212"/>
      <c r="MCA210" s="212"/>
      <c r="MCB210" s="212"/>
      <c r="MCC210" s="212"/>
      <c r="MCD210" s="212"/>
      <c r="MCE210" s="212"/>
      <c r="MCF210" s="212"/>
      <c r="MCG210" s="212"/>
      <c r="MCH210" s="212"/>
      <c r="MCI210" s="212"/>
      <c r="MCJ210" s="212"/>
      <c r="MCK210" s="212"/>
      <c r="MCL210" s="212"/>
      <c r="MCM210" s="212"/>
      <c r="MCN210" s="212"/>
      <c r="MCO210" s="212"/>
      <c r="MCP210" s="212"/>
      <c r="MCQ210" s="212"/>
      <c r="MCR210" s="212"/>
      <c r="MCS210" s="212"/>
      <c r="MCT210" s="212"/>
      <c r="MCU210" s="212"/>
      <c r="MCV210" s="214"/>
      <c r="MCW210" s="211"/>
      <c r="MCX210" s="212"/>
      <c r="MCY210" s="212"/>
      <c r="MCZ210" s="212"/>
      <c r="MDA210" s="212"/>
      <c r="MDB210" s="212"/>
      <c r="MDC210" s="212"/>
      <c r="MDD210" s="212"/>
      <c r="MDE210" s="212"/>
      <c r="MDF210" s="212"/>
      <c r="MDG210" s="212"/>
      <c r="MDH210" s="212"/>
      <c r="MDI210" s="212"/>
      <c r="MDJ210" s="212"/>
      <c r="MDK210" s="212"/>
      <c r="MDL210" s="212"/>
      <c r="MDM210" s="212"/>
      <c r="MDN210" s="212"/>
      <c r="MDO210" s="212"/>
      <c r="MDP210" s="212"/>
      <c r="MDQ210" s="212"/>
      <c r="MDR210" s="212"/>
      <c r="MDS210" s="212"/>
      <c r="MDT210" s="212"/>
      <c r="MDU210" s="212"/>
      <c r="MDV210" s="212"/>
      <c r="MDW210" s="212"/>
      <c r="MDX210" s="212"/>
      <c r="MDY210" s="212"/>
      <c r="MDZ210" s="212"/>
      <c r="MEA210" s="212"/>
      <c r="MEB210" s="212"/>
      <c r="MEC210" s="212"/>
      <c r="MED210" s="212"/>
      <c r="MEE210" s="212"/>
      <c r="MEF210" s="212"/>
      <c r="MEG210" s="212"/>
      <c r="MEH210" s="212"/>
      <c r="MEI210" s="212"/>
      <c r="MEJ210" s="212"/>
      <c r="MEK210" s="212"/>
      <c r="MEL210" s="212"/>
      <c r="MEM210" s="212"/>
      <c r="MEN210" s="214"/>
      <c r="MEO210" s="211"/>
      <c r="MEP210" s="212"/>
      <c r="MEQ210" s="212"/>
      <c r="MER210" s="212"/>
      <c r="MES210" s="212"/>
      <c r="MET210" s="212"/>
      <c r="MEU210" s="212"/>
      <c r="MEV210" s="212"/>
      <c r="MEW210" s="212"/>
      <c r="MEX210" s="212"/>
      <c r="MEY210" s="212"/>
      <c r="MEZ210" s="212"/>
      <c r="MFA210" s="212"/>
      <c r="MFB210" s="212"/>
      <c r="MFC210" s="212"/>
      <c r="MFD210" s="212"/>
      <c r="MFE210" s="212"/>
      <c r="MFF210" s="212"/>
      <c r="MFG210" s="212"/>
      <c r="MFH210" s="212"/>
      <c r="MFI210" s="212"/>
      <c r="MFJ210" s="212"/>
      <c r="MFK210" s="212"/>
      <c r="MFL210" s="212"/>
      <c r="MFM210" s="212"/>
      <c r="MFN210" s="212"/>
      <c r="MFO210" s="212"/>
      <c r="MFP210" s="212"/>
      <c r="MFQ210" s="212"/>
      <c r="MFR210" s="212"/>
      <c r="MFS210" s="212"/>
      <c r="MFT210" s="212"/>
      <c r="MFU210" s="212"/>
      <c r="MFV210" s="212"/>
      <c r="MFW210" s="212"/>
      <c r="MFX210" s="212"/>
      <c r="MFY210" s="212"/>
      <c r="MFZ210" s="212"/>
      <c r="MGA210" s="212"/>
      <c r="MGB210" s="212"/>
      <c r="MGC210" s="212"/>
      <c r="MGD210" s="212"/>
      <c r="MGE210" s="212"/>
      <c r="MGF210" s="214"/>
      <c r="MGG210" s="211"/>
      <c r="MGH210" s="212"/>
      <c r="MGI210" s="212"/>
      <c r="MGJ210" s="212"/>
      <c r="MGK210" s="212"/>
      <c r="MGL210" s="212"/>
      <c r="MGM210" s="212"/>
      <c r="MGN210" s="212"/>
      <c r="MGO210" s="212"/>
      <c r="MGP210" s="212"/>
      <c r="MGQ210" s="212"/>
      <c r="MGR210" s="212"/>
      <c r="MGS210" s="212"/>
      <c r="MGT210" s="212"/>
      <c r="MGU210" s="212"/>
      <c r="MGV210" s="212"/>
      <c r="MGW210" s="212"/>
      <c r="MGX210" s="212"/>
      <c r="MGY210" s="212"/>
      <c r="MGZ210" s="212"/>
      <c r="MHA210" s="212"/>
      <c r="MHB210" s="212"/>
      <c r="MHC210" s="212"/>
      <c r="MHD210" s="212"/>
      <c r="MHE210" s="212"/>
      <c r="MHF210" s="212"/>
      <c r="MHG210" s="212"/>
      <c r="MHH210" s="212"/>
      <c r="MHI210" s="212"/>
      <c r="MHJ210" s="212"/>
      <c r="MHK210" s="212"/>
      <c r="MHL210" s="212"/>
      <c r="MHM210" s="212"/>
      <c r="MHN210" s="212"/>
      <c r="MHO210" s="212"/>
      <c r="MHP210" s="212"/>
      <c r="MHQ210" s="212"/>
      <c r="MHR210" s="212"/>
      <c r="MHS210" s="212"/>
      <c r="MHT210" s="212"/>
      <c r="MHU210" s="212"/>
      <c r="MHV210" s="212"/>
      <c r="MHW210" s="212"/>
      <c r="MHX210" s="214"/>
      <c r="MHY210" s="211"/>
      <c r="MHZ210" s="212"/>
      <c r="MIA210" s="212"/>
      <c r="MIB210" s="212"/>
      <c r="MIC210" s="212"/>
      <c r="MID210" s="212"/>
      <c r="MIE210" s="212"/>
      <c r="MIF210" s="212"/>
      <c r="MIG210" s="212"/>
      <c r="MIH210" s="212"/>
      <c r="MII210" s="212"/>
      <c r="MIJ210" s="212"/>
      <c r="MIK210" s="212"/>
      <c r="MIL210" s="212"/>
      <c r="MIM210" s="212"/>
      <c r="MIN210" s="212"/>
      <c r="MIO210" s="212"/>
      <c r="MIP210" s="212"/>
      <c r="MIQ210" s="212"/>
      <c r="MIR210" s="212"/>
      <c r="MIS210" s="212"/>
      <c r="MIT210" s="212"/>
      <c r="MIU210" s="212"/>
      <c r="MIV210" s="212"/>
      <c r="MIW210" s="212"/>
      <c r="MIX210" s="212"/>
      <c r="MIY210" s="212"/>
      <c r="MIZ210" s="212"/>
      <c r="MJA210" s="212"/>
      <c r="MJB210" s="212"/>
      <c r="MJC210" s="212"/>
      <c r="MJD210" s="212"/>
      <c r="MJE210" s="212"/>
      <c r="MJF210" s="212"/>
      <c r="MJG210" s="212"/>
      <c r="MJH210" s="212"/>
      <c r="MJI210" s="212"/>
      <c r="MJJ210" s="212"/>
      <c r="MJK210" s="212"/>
      <c r="MJL210" s="212"/>
      <c r="MJM210" s="212"/>
      <c r="MJN210" s="212"/>
      <c r="MJO210" s="212"/>
      <c r="MJP210" s="214"/>
      <c r="MJQ210" s="211"/>
      <c r="MJR210" s="212"/>
      <c r="MJS210" s="212"/>
      <c r="MJT210" s="212"/>
      <c r="MJU210" s="212"/>
      <c r="MJV210" s="212"/>
      <c r="MJW210" s="212"/>
      <c r="MJX210" s="212"/>
      <c r="MJY210" s="212"/>
      <c r="MJZ210" s="212"/>
      <c r="MKA210" s="212"/>
      <c r="MKB210" s="212"/>
      <c r="MKC210" s="212"/>
      <c r="MKD210" s="212"/>
      <c r="MKE210" s="212"/>
      <c r="MKF210" s="212"/>
      <c r="MKG210" s="212"/>
      <c r="MKH210" s="212"/>
      <c r="MKI210" s="212"/>
      <c r="MKJ210" s="212"/>
      <c r="MKK210" s="212"/>
      <c r="MKL210" s="212"/>
      <c r="MKM210" s="212"/>
      <c r="MKN210" s="212"/>
      <c r="MKO210" s="212"/>
      <c r="MKP210" s="212"/>
      <c r="MKQ210" s="212"/>
      <c r="MKR210" s="212"/>
      <c r="MKS210" s="212"/>
      <c r="MKT210" s="212"/>
      <c r="MKU210" s="212"/>
      <c r="MKV210" s="212"/>
      <c r="MKW210" s="212"/>
      <c r="MKX210" s="212"/>
      <c r="MKY210" s="212"/>
      <c r="MKZ210" s="212"/>
      <c r="MLA210" s="212"/>
      <c r="MLB210" s="212"/>
      <c r="MLC210" s="212"/>
      <c r="MLD210" s="212"/>
      <c r="MLE210" s="212"/>
      <c r="MLF210" s="212"/>
      <c r="MLG210" s="212"/>
      <c r="MLH210" s="214"/>
      <c r="MLI210" s="211"/>
      <c r="MLJ210" s="212"/>
      <c r="MLK210" s="212"/>
      <c r="MLL210" s="212"/>
      <c r="MLM210" s="212"/>
      <c r="MLN210" s="212"/>
      <c r="MLO210" s="212"/>
      <c r="MLP210" s="212"/>
      <c r="MLQ210" s="212"/>
      <c r="MLR210" s="212"/>
      <c r="MLS210" s="212"/>
      <c r="MLT210" s="212"/>
      <c r="MLU210" s="212"/>
      <c r="MLV210" s="212"/>
      <c r="MLW210" s="212"/>
      <c r="MLX210" s="212"/>
      <c r="MLY210" s="212"/>
      <c r="MLZ210" s="212"/>
      <c r="MMA210" s="212"/>
      <c r="MMB210" s="212"/>
      <c r="MMC210" s="212"/>
      <c r="MMD210" s="212"/>
      <c r="MME210" s="212"/>
      <c r="MMF210" s="212"/>
      <c r="MMG210" s="212"/>
      <c r="MMH210" s="212"/>
      <c r="MMI210" s="212"/>
      <c r="MMJ210" s="212"/>
      <c r="MMK210" s="212"/>
      <c r="MML210" s="212"/>
      <c r="MMM210" s="212"/>
      <c r="MMN210" s="212"/>
      <c r="MMO210" s="212"/>
      <c r="MMP210" s="212"/>
      <c r="MMQ210" s="212"/>
      <c r="MMR210" s="212"/>
      <c r="MMS210" s="212"/>
      <c r="MMT210" s="212"/>
      <c r="MMU210" s="212"/>
      <c r="MMV210" s="212"/>
      <c r="MMW210" s="212"/>
      <c r="MMX210" s="212"/>
      <c r="MMY210" s="212"/>
      <c r="MMZ210" s="214"/>
      <c r="MNA210" s="211"/>
      <c r="MNB210" s="212"/>
      <c r="MNC210" s="212"/>
      <c r="MND210" s="212"/>
      <c r="MNE210" s="212"/>
      <c r="MNF210" s="212"/>
      <c r="MNG210" s="212"/>
      <c r="MNH210" s="212"/>
      <c r="MNI210" s="212"/>
      <c r="MNJ210" s="212"/>
      <c r="MNK210" s="212"/>
      <c r="MNL210" s="212"/>
      <c r="MNM210" s="212"/>
      <c r="MNN210" s="212"/>
      <c r="MNO210" s="212"/>
      <c r="MNP210" s="212"/>
      <c r="MNQ210" s="212"/>
      <c r="MNR210" s="212"/>
      <c r="MNS210" s="212"/>
      <c r="MNT210" s="212"/>
      <c r="MNU210" s="212"/>
      <c r="MNV210" s="212"/>
      <c r="MNW210" s="212"/>
      <c r="MNX210" s="212"/>
      <c r="MNY210" s="212"/>
      <c r="MNZ210" s="212"/>
      <c r="MOA210" s="212"/>
      <c r="MOB210" s="212"/>
      <c r="MOC210" s="212"/>
      <c r="MOD210" s="212"/>
      <c r="MOE210" s="212"/>
      <c r="MOF210" s="212"/>
      <c r="MOG210" s="212"/>
      <c r="MOH210" s="212"/>
      <c r="MOI210" s="212"/>
      <c r="MOJ210" s="212"/>
      <c r="MOK210" s="212"/>
      <c r="MOL210" s="212"/>
      <c r="MOM210" s="212"/>
      <c r="MON210" s="212"/>
      <c r="MOO210" s="212"/>
      <c r="MOP210" s="212"/>
      <c r="MOQ210" s="212"/>
      <c r="MOR210" s="214"/>
      <c r="MOS210" s="211"/>
      <c r="MOT210" s="212"/>
      <c r="MOU210" s="212"/>
      <c r="MOV210" s="212"/>
      <c r="MOW210" s="212"/>
      <c r="MOX210" s="212"/>
      <c r="MOY210" s="212"/>
      <c r="MOZ210" s="212"/>
      <c r="MPA210" s="212"/>
      <c r="MPB210" s="212"/>
      <c r="MPC210" s="212"/>
      <c r="MPD210" s="212"/>
      <c r="MPE210" s="212"/>
      <c r="MPF210" s="212"/>
      <c r="MPG210" s="212"/>
      <c r="MPH210" s="212"/>
      <c r="MPI210" s="212"/>
      <c r="MPJ210" s="212"/>
      <c r="MPK210" s="212"/>
      <c r="MPL210" s="212"/>
      <c r="MPM210" s="212"/>
      <c r="MPN210" s="212"/>
      <c r="MPO210" s="212"/>
      <c r="MPP210" s="212"/>
      <c r="MPQ210" s="212"/>
      <c r="MPR210" s="212"/>
      <c r="MPS210" s="212"/>
      <c r="MPT210" s="212"/>
      <c r="MPU210" s="212"/>
      <c r="MPV210" s="212"/>
      <c r="MPW210" s="212"/>
      <c r="MPX210" s="212"/>
      <c r="MPY210" s="212"/>
      <c r="MPZ210" s="212"/>
      <c r="MQA210" s="212"/>
      <c r="MQB210" s="212"/>
      <c r="MQC210" s="212"/>
      <c r="MQD210" s="212"/>
      <c r="MQE210" s="212"/>
      <c r="MQF210" s="212"/>
      <c r="MQG210" s="212"/>
      <c r="MQH210" s="212"/>
      <c r="MQI210" s="212"/>
      <c r="MQJ210" s="214"/>
      <c r="MQK210" s="211"/>
      <c r="MQL210" s="212"/>
      <c r="MQM210" s="212"/>
      <c r="MQN210" s="212"/>
      <c r="MQO210" s="212"/>
      <c r="MQP210" s="212"/>
      <c r="MQQ210" s="212"/>
      <c r="MQR210" s="212"/>
      <c r="MQS210" s="212"/>
      <c r="MQT210" s="212"/>
      <c r="MQU210" s="212"/>
      <c r="MQV210" s="212"/>
      <c r="MQW210" s="212"/>
      <c r="MQX210" s="212"/>
      <c r="MQY210" s="212"/>
      <c r="MQZ210" s="212"/>
      <c r="MRA210" s="212"/>
      <c r="MRB210" s="212"/>
      <c r="MRC210" s="212"/>
      <c r="MRD210" s="212"/>
      <c r="MRE210" s="212"/>
      <c r="MRF210" s="212"/>
      <c r="MRG210" s="212"/>
      <c r="MRH210" s="212"/>
      <c r="MRI210" s="212"/>
      <c r="MRJ210" s="212"/>
      <c r="MRK210" s="212"/>
      <c r="MRL210" s="212"/>
      <c r="MRM210" s="212"/>
      <c r="MRN210" s="212"/>
      <c r="MRO210" s="212"/>
      <c r="MRP210" s="212"/>
      <c r="MRQ210" s="212"/>
      <c r="MRR210" s="212"/>
      <c r="MRS210" s="212"/>
      <c r="MRT210" s="212"/>
      <c r="MRU210" s="212"/>
      <c r="MRV210" s="212"/>
      <c r="MRW210" s="212"/>
      <c r="MRX210" s="212"/>
      <c r="MRY210" s="212"/>
      <c r="MRZ210" s="212"/>
      <c r="MSA210" s="212"/>
      <c r="MSB210" s="214"/>
      <c r="MSC210" s="211"/>
      <c r="MSD210" s="212"/>
      <c r="MSE210" s="212"/>
      <c r="MSF210" s="212"/>
      <c r="MSG210" s="212"/>
      <c r="MSH210" s="212"/>
      <c r="MSI210" s="212"/>
      <c r="MSJ210" s="212"/>
      <c r="MSK210" s="212"/>
      <c r="MSL210" s="212"/>
      <c r="MSM210" s="212"/>
      <c r="MSN210" s="212"/>
      <c r="MSO210" s="212"/>
      <c r="MSP210" s="212"/>
      <c r="MSQ210" s="212"/>
      <c r="MSR210" s="212"/>
      <c r="MSS210" s="212"/>
      <c r="MST210" s="212"/>
      <c r="MSU210" s="212"/>
      <c r="MSV210" s="212"/>
      <c r="MSW210" s="212"/>
      <c r="MSX210" s="212"/>
      <c r="MSY210" s="212"/>
      <c r="MSZ210" s="212"/>
      <c r="MTA210" s="212"/>
      <c r="MTB210" s="212"/>
      <c r="MTC210" s="212"/>
      <c r="MTD210" s="212"/>
      <c r="MTE210" s="212"/>
      <c r="MTF210" s="212"/>
      <c r="MTG210" s="212"/>
      <c r="MTH210" s="212"/>
      <c r="MTI210" s="212"/>
      <c r="MTJ210" s="212"/>
      <c r="MTK210" s="212"/>
      <c r="MTL210" s="212"/>
      <c r="MTM210" s="212"/>
      <c r="MTN210" s="212"/>
      <c r="MTO210" s="212"/>
      <c r="MTP210" s="212"/>
      <c r="MTQ210" s="212"/>
      <c r="MTR210" s="212"/>
      <c r="MTS210" s="212"/>
      <c r="MTT210" s="214"/>
      <c r="MTU210" s="211"/>
      <c r="MTV210" s="212"/>
      <c r="MTW210" s="212"/>
      <c r="MTX210" s="212"/>
      <c r="MTY210" s="212"/>
      <c r="MTZ210" s="212"/>
      <c r="MUA210" s="212"/>
      <c r="MUB210" s="212"/>
      <c r="MUC210" s="212"/>
      <c r="MUD210" s="212"/>
      <c r="MUE210" s="212"/>
      <c r="MUF210" s="212"/>
      <c r="MUG210" s="212"/>
      <c r="MUH210" s="212"/>
      <c r="MUI210" s="212"/>
      <c r="MUJ210" s="212"/>
      <c r="MUK210" s="212"/>
      <c r="MUL210" s="212"/>
      <c r="MUM210" s="212"/>
      <c r="MUN210" s="212"/>
      <c r="MUO210" s="212"/>
      <c r="MUP210" s="212"/>
      <c r="MUQ210" s="212"/>
      <c r="MUR210" s="212"/>
      <c r="MUS210" s="212"/>
      <c r="MUT210" s="212"/>
      <c r="MUU210" s="212"/>
      <c r="MUV210" s="212"/>
      <c r="MUW210" s="212"/>
      <c r="MUX210" s="212"/>
      <c r="MUY210" s="212"/>
      <c r="MUZ210" s="212"/>
      <c r="MVA210" s="212"/>
      <c r="MVB210" s="212"/>
      <c r="MVC210" s="212"/>
      <c r="MVD210" s="212"/>
      <c r="MVE210" s="212"/>
      <c r="MVF210" s="212"/>
      <c r="MVG210" s="212"/>
      <c r="MVH210" s="212"/>
      <c r="MVI210" s="212"/>
      <c r="MVJ210" s="212"/>
      <c r="MVK210" s="212"/>
      <c r="MVL210" s="214"/>
      <c r="MVM210" s="211"/>
      <c r="MVN210" s="212"/>
      <c r="MVO210" s="212"/>
      <c r="MVP210" s="212"/>
      <c r="MVQ210" s="212"/>
      <c r="MVR210" s="212"/>
      <c r="MVS210" s="212"/>
      <c r="MVT210" s="212"/>
      <c r="MVU210" s="212"/>
      <c r="MVV210" s="212"/>
      <c r="MVW210" s="212"/>
      <c r="MVX210" s="212"/>
      <c r="MVY210" s="212"/>
      <c r="MVZ210" s="212"/>
      <c r="MWA210" s="212"/>
      <c r="MWB210" s="212"/>
      <c r="MWC210" s="212"/>
      <c r="MWD210" s="212"/>
      <c r="MWE210" s="212"/>
      <c r="MWF210" s="212"/>
      <c r="MWG210" s="212"/>
      <c r="MWH210" s="212"/>
      <c r="MWI210" s="212"/>
      <c r="MWJ210" s="212"/>
      <c r="MWK210" s="212"/>
      <c r="MWL210" s="212"/>
      <c r="MWM210" s="212"/>
      <c r="MWN210" s="212"/>
      <c r="MWO210" s="212"/>
      <c r="MWP210" s="212"/>
      <c r="MWQ210" s="212"/>
      <c r="MWR210" s="212"/>
      <c r="MWS210" s="212"/>
      <c r="MWT210" s="212"/>
      <c r="MWU210" s="212"/>
      <c r="MWV210" s="212"/>
      <c r="MWW210" s="212"/>
      <c r="MWX210" s="212"/>
      <c r="MWY210" s="212"/>
      <c r="MWZ210" s="212"/>
      <c r="MXA210" s="212"/>
      <c r="MXB210" s="212"/>
      <c r="MXC210" s="212"/>
      <c r="MXD210" s="214"/>
      <c r="MXE210" s="211"/>
      <c r="MXF210" s="212"/>
      <c r="MXG210" s="212"/>
      <c r="MXH210" s="212"/>
      <c r="MXI210" s="212"/>
      <c r="MXJ210" s="212"/>
      <c r="MXK210" s="212"/>
      <c r="MXL210" s="212"/>
      <c r="MXM210" s="212"/>
      <c r="MXN210" s="212"/>
      <c r="MXO210" s="212"/>
      <c r="MXP210" s="212"/>
      <c r="MXQ210" s="212"/>
      <c r="MXR210" s="212"/>
      <c r="MXS210" s="212"/>
      <c r="MXT210" s="212"/>
      <c r="MXU210" s="212"/>
      <c r="MXV210" s="212"/>
      <c r="MXW210" s="212"/>
      <c r="MXX210" s="212"/>
      <c r="MXY210" s="212"/>
      <c r="MXZ210" s="212"/>
      <c r="MYA210" s="212"/>
      <c r="MYB210" s="212"/>
      <c r="MYC210" s="212"/>
      <c r="MYD210" s="212"/>
      <c r="MYE210" s="212"/>
      <c r="MYF210" s="212"/>
      <c r="MYG210" s="212"/>
      <c r="MYH210" s="212"/>
      <c r="MYI210" s="212"/>
      <c r="MYJ210" s="212"/>
      <c r="MYK210" s="212"/>
      <c r="MYL210" s="212"/>
      <c r="MYM210" s="212"/>
      <c r="MYN210" s="212"/>
      <c r="MYO210" s="212"/>
      <c r="MYP210" s="212"/>
      <c r="MYQ210" s="212"/>
      <c r="MYR210" s="212"/>
      <c r="MYS210" s="212"/>
      <c r="MYT210" s="212"/>
      <c r="MYU210" s="212"/>
      <c r="MYV210" s="214"/>
      <c r="MYW210" s="211"/>
      <c r="MYX210" s="212"/>
      <c r="MYY210" s="212"/>
      <c r="MYZ210" s="212"/>
      <c r="MZA210" s="212"/>
      <c r="MZB210" s="212"/>
      <c r="MZC210" s="212"/>
      <c r="MZD210" s="212"/>
      <c r="MZE210" s="212"/>
      <c r="MZF210" s="212"/>
      <c r="MZG210" s="212"/>
      <c r="MZH210" s="212"/>
      <c r="MZI210" s="212"/>
      <c r="MZJ210" s="212"/>
      <c r="MZK210" s="212"/>
      <c r="MZL210" s="212"/>
      <c r="MZM210" s="212"/>
      <c r="MZN210" s="212"/>
      <c r="MZO210" s="212"/>
      <c r="MZP210" s="212"/>
      <c r="MZQ210" s="212"/>
      <c r="MZR210" s="212"/>
      <c r="MZS210" s="212"/>
      <c r="MZT210" s="212"/>
      <c r="MZU210" s="212"/>
      <c r="MZV210" s="212"/>
      <c r="MZW210" s="212"/>
      <c r="MZX210" s="212"/>
      <c r="MZY210" s="212"/>
      <c r="MZZ210" s="212"/>
      <c r="NAA210" s="212"/>
      <c r="NAB210" s="212"/>
      <c r="NAC210" s="212"/>
      <c r="NAD210" s="212"/>
      <c r="NAE210" s="212"/>
      <c r="NAF210" s="212"/>
      <c r="NAG210" s="212"/>
      <c r="NAH210" s="212"/>
      <c r="NAI210" s="212"/>
      <c r="NAJ210" s="212"/>
      <c r="NAK210" s="212"/>
      <c r="NAL210" s="212"/>
      <c r="NAM210" s="212"/>
      <c r="NAN210" s="214"/>
      <c r="NAO210" s="211"/>
      <c r="NAP210" s="212"/>
      <c r="NAQ210" s="212"/>
      <c r="NAR210" s="212"/>
      <c r="NAS210" s="212"/>
      <c r="NAT210" s="212"/>
      <c r="NAU210" s="212"/>
      <c r="NAV210" s="212"/>
      <c r="NAW210" s="212"/>
      <c r="NAX210" s="212"/>
      <c r="NAY210" s="212"/>
      <c r="NAZ210" s="212"/>
      <c r="NBA210" s="212"/>
      <c r="NBB210" s="212"/>
      <c r="NBC210" s="212"/>
      <c r="NBD210" s="212"/>
      <c r="NBE210" s="212"/>
      <c r="NBF210" s="212"/>
      <c r="NBG210" s="212"/>
      <c r="NBH210" s="212"/>
      <c r="NBI210" s="212"/>
      <c r="NBJ210" s="212"/>
      <c r="NBK210" s="212"/>
      <c r="NBL210" s="212"/>
      <c r="NBM210" s="212"/>
      <c r="NBN210" s="212"/>
      <c r="NBO210" s="212"/>
      <c r="NBP210" s="212"/>
      <c r="NBQ210" s="212"/>
      <c r="NBR210" s="212"/>
      <c r="NBS210" s="212"/>
      <c r="NBT210" s="212"/>
      <c r="NBU210" s="212"/>
      <c r="NBV210" s="212"/>
      <c r="NBW210" s="212"/>
      <c r="NBX210" s="212"/>
      <c r="NBY210" s="212"/>
      <c r="NBZ210" s="212"/>
      <c r="NCA210" s="212"/>
      <c r="NCB210" s="212"/>
      <c r="NCC210" s="212"/>
      <c r="NCD210" s="212"/>
      <c r="NCE210" s="212"/>
      <c r="NCF210" s="214"/>
      <c r="NCG210" s="211"/>
      <c r="NCH210" s="212"/>
      <c r="NCI210" s="212"/>
      <c r="NCJ210" s="212"/>
      <c r="NCK210" s="212"/>
      <c r="NCL210" s="212"/>
      <c r="NCM210" s="212"/>
      <c r="NCN210" s="212"/>
      <c r="NCO210" s="212"/>
      <c r="NCP210" s="212"/>
      <c r="NCQ210" s="212"/>
      <c r="NCR210" s="212"/>
      <c r="NCS210" s="212"/>
      <c r="NCT210" s="212"/>
      <c r="NCU210" s="212"/>
      <c r="NCV210" s="212"/>
      <c r="NCW210" s="212"/>
      <c r="NCX210" s="212"/>
      <c r="NCY210" s="212"/>
      <c r="NCZ210" s="212"/>
      <c r="NDA210" s="212"/>
      <c r="NDB210" s="212"/>
      <c r="NDC210" s="212"/>
      <c r="NDD210" s="212"/>
      <c r="NDE210" s="212"/>
      <c r="NDF210" s="212"/>
      <c r="NDG210" s="212"/>
      <c r="NDH210" s="212"/>
      <c r="NDI210" s="212"/>
      <c r="NDJ210" s="212"/>
      <c r="NDK210" s="212"/>
      <c r="NDL210" s="212"/>
      <c r="NDM210" s="212"/>
      <c r="NDN210" s="212"/>
      <c r="NDO210" s="212"/>
      <c r="NDP210" s="212"/>
      <c r="NDQ210" s="212"/>
      <c r="NDR210" s="212"/>
      <c r="NDS210" s="212"/>
      <c r="NDT210" s="212"/>
      <c r="NDU210" s="212"/>
      <c r="NDV210" s="212"/>
      <c r="NDW210" s="212"/>
      <c r="NDX210" s="214"/>
      <c r="NDY210" s="211"/>
      <c r="NDZ210" s="212"/>
      <c r="NEA210" s="212"/>
      <c r="NEB210" s="212"/>
      <c r="NEC210" s="212"/>
      <c r="NED210" s="212"/>
      <c r="NEE210" s="212"/>
      <c r="NEF210" s="212"/>
      <c r="NEG210" s="212"/>
      <c r="NEH210" s="212"/>
      <c r="NEI210" s="212"/>
      <c r="NEJ210" s="212"/>
      <c r="NEK210" s="212"/>
      <c r="NEL210" s="212"/>
      <c r="NEM210" s="212"/>
      <c r="NEN210" s="212"/>
      <c r="NEO210" s="212"/>
      <c r="NEP210" s="212"/>
      <c r="NEQ210" s="212"/>
      <c r="NER210" s="212"/>
      <c r="NES210" s="212"/>
      <c r="NET210" s="212"/>
      <c r="NEU210" s="212"/>
      <c r="NEV210" s="212"/>
      <c r="NEW210" s="212"/>
      <c r="NEX210" s="212"/>
      <c r="NEY210" s="212"/>
      <c r="NEZ210" s="212"/>
      <c r="NFA210" s="212"/>
      <c r="NFB210" s="212"/>
      <c r="NFC210" s="212"/>
      <c r="NFD210" s="212"/>
      <c r="NFE210" s="212"/>
      <c r="NFF210" s="212"/>
      <c r="NFG210" s="212"/>
      <c r="NFH210" s="212"/>
      <c r="NFI210" s="212"/>
      <c r="NFJ210" s="212"/>
      <c r="NFK210" s="212"/>
      <c r="NFL210" s="212"/>
      <c r="NFM210" s="212"/>
      <c r="NFN210" s="212"/>
      <c r="NFO210" s="212"/>
      <c r="NFP210" s="214"/>
      <c r="NFQ210" s="211"/>
      <c r="NFR210" s="212"/>
      <c r="NFS210" s="212"/>
      <c r="NFT210" s="212"/>
      <c r="NFU210" s="212"/>
      <c r="NFV210" s="212"/>
      <c r="NFW210" s="212"/>
      <c r="NFX210" s="212"/>
      <c r="NFY210" s="212"/>
      <c r="NFZ210" s="212"/>
      <c r="NGA210" s="212"/>
      <c r="NGB210" s="212"/>
      <c r="NGC210" s="212"/>
      <c r="NGD210" s="212"/>
      <c r="NGE210" s="212"/>
      <c r="NGF210" s="212"/>
      <c r="NGG210" s="212"/>
      <c r="NGH210" s="212"/>
      <c r="NGI210" s="212"/>
      <c r="NGJ210" s="212"/>
      <c r="NGK210" s="212"/>
      <c r="NGL210" s="212"/>
      <c r="NGM210" s="212"/>
      <c r="NGN210" s="212"/>
      <c r="NGO210" s="212"/>
      <c r="NGP210" s="212"/>
      <c r="NGQ210" s="212"/>
      <c r="NGR210" s="212"/>
      <c r="NGS210" s="212"/>
      <c r="NGT210" s="212"/>
      <c r="NGU210" s="212"/>
      <c r="NGV210" s="212"/>
      <c r="NGW210" s="212"/>
      <c r="NGX210" s="212"/>
      <c r="NGY210" s="212"/>
      <c r="NGZ210" s="212"/>
      <c r="NHA210" s="212"/>
      <c r="NHB210" s="212"/>
      <c r="NHC210" s="212"/>
      <c r="NHD210" s="212"/>
      <c r="NHE210" s="212"/>
      <c r="NHF210" s="212"/>
      <c r="NHG210" s="212"/>
      <c r="NHH210" s="214"/>
      <c r="NHI210" s="211"/>
      <c r="NHJ210" s="212"/>
      <c r="NHK210" s="212"/>
      <c r="NHL210" s="212"/>
      <c r="NHM210" s="212"/>
      <c r="NHN210" s="212"/>
      <c r="NHO210" s="212"/>
      <c r="NHP210" s="212"/>
      <c r="NHQ210" s="212"/>
      <c r="NHR210" s="212"/>
      <c r="NHS210" s="212"/>
      <c r="NHT210" s="212"/>
      <c r="NHU210" s="212"/>
      <c r="NHV210" s="212"/>
      <c r="NHW210" s="212"/>
      <c r="NHX210" s="212"/>
      <c r="NHY210" s="212"/>
      <c r="NHZ210" s="212"/>
      <c r="NIA210" s="212"/>
      <c r="NIB210" s="212"/>
      <c r="NIC210" s="212"/>
      <c r="NID210" s="212"/>
      <c r="NIE210" s="212"/>
      <c r="NIF210" s="212"/>
      <c r="NIG210" s="212"/>
      <c r="NIH210" s="212"/>
      <c r="NII210" s="212"/>
      <c r="NIJ210" s="212"/>
      <c r="NIK210" s="212"/>
      <c r="NIL210" s="212"/>
      <c r="NIM210" s="212"/>
      <c r="NIN210" s="212"/>
      <c r="NIO210" s="212"/>
      <c r="NIP210" s="212"/>
      <c r="NIQ210" s="212"/>
      <c r="NIR210" s="212"/>
      <c r="NIS210" s="212"/>
      <c r="NIT210" s="212"/>
      <c r="NIU210" s="212"/>
      <c r="NIV210" s="212"/>
      <c r="NIW210" s="212"/>
      <c r="NIX210" s="212"/>
      <c r="NIY210" s="212"/>
      <c r="NIZ210" s="214"/>
      <c r="NJA210" s="211"/>
      <c r="NJB210" s="212"/>
      <c r="NJC210" s="212"/>
      <c r="NJD210" s="212"/>
      <c r="NJE210" s="212"/>
      <c r="NJF210" s="212"/>
      <c r="NJG210" s="212"/>
      <c r="NJH210" s="212"/>
      <c r="NJI210" s="212"/>
      <c r="NJJ210" s="212"/>
      <c r="NJK210" s="212"/>
      <c r="NJL210" s="212"/>
      <c r="NJM210" s="212"/>
      <c r="NJN210" s="212"/>
      <c r="NJO210" s="212"/>
      <c r="NJP210" s="212"/>
      <c r="NJQ210" s="212"/>
      <c r="NJR210" s="212"/>
      <c r="NJS210" s="212"/>
      <c r="NJT210" s="212"/>
      <c r="NJU210" s="212"/>
      <c r="NJV210" s="212"/>
      <c r="NJW210" s="212"/>
      <c r="NJX210" s="212"/>
      <c r="NJY210" s="212"/>
      <c r="NJZ210" s="212"/>
      <c r="NKA210" s="212"/>
      <c r="NKB210" s="212"/>
      <c r="NKC210" s="212"/>
      <c r="NKD210" s="212"/>
      <c r="NKE210" s="212"/>
      <c r="NKF210" s="212"/>
      <c r="NKG210" s="212"/>
      <c r="NKH210" s="212"/>
      <c r="NKI210" s="212"/>
      <c r="NKJ210" s="212"/>
      <c r="NKK210" s="212"/>
      <c r="NKL210" s="212"/>
      <c r="NKM210" s="212"/>
      <c r="NKN210" s="212"/>
      <c r="NKO210" s="212"/>
      <c r="NKP210" s="212"/>
      <c r="NKQ210" s="212"/>
      <c r="NKR210" s="214"/>
      <c r="NKS210" s="211"/>
      <c r="NKT210" s="212"/>
      <c r="NKU210" s="212"/>
      <c r="NKV210" s="212"/>
      <c r="NKW210" s="212"/>
      <c r="NKX210" s="212"/>
      <c r="NKY210" s="212"/>
      <c r="NKZ210" s="212"/>
      <c r="NLA210" s="212"/>
      <c r="NLB210" s="212"/>
      <c r="NLC210" s="212"/>
      <c r="NLD210" s="212"/>
      <c r="NLE210" s="212"/>
      <c r="NLF210" s="212"/>
      <c r="NLG210" s="212"/>
      <c r="NLH210" s="212"/>
      <c r="NLI210" s="212"/>
      <c r="NLJ210" s="212"/>
      <c r="NLK210" s="212"/>
      <c r="NLL210" s="212"/>
      <c r="NLM210" s="212"/>
      <c r="NLN210" s="212"/>
      <c r="NLO210" s="212"/>
      <c r="NLP210" s="212"/>
      <c r="NLQ210" s="212"/>
      <c r="NLR210" s="212"/>
      <c r="NLS210" s="212"/>
      <c r="NLT210" s="212"/>
      <c r="NLU210" s="212"/>
      <c r="NLV210" s="212"/>
      <c r="NLW210" s="212"/>
      <c r="NLX210" s="212"/>
      <c r="NLY210" s="212"/>
      <c r="NLZ210" s="212"/>
      <c r="NMA210" s="212"/>
      <c r="NMB210" s="212"/>
      <c r="NMC210" s="212"/>
      <c r="NMD210" s="212"/>
      <c r="NME210" s="212"/>
      <c r="NMF210" s="212"/>
      <c r="NMG210" s="212"/>
      <c r="NMH210" s="212"/>
      <c r="NMI210" s="212"/>
      <c r="NMJ210" s="214"/>
      <c r="NMK210" s="211"/>
      <c r="NML210" s="212"/>
      <c r="NMM210" s="212"/>
      <c r="NMN210" s="212"/>
      <c r="NMO210" s="212"/>
      <c r="NMP210" s="212"/>
      <c r="NMQ210" s="212"/>
      <c r="NMR210" s="212"/>
      <c r="NMS210" s="212"/>
      <c r="NMT210" s="212"/>
      <c r="NMU210" s="212"/>
      <c r="NMV210" s="212"/>
      <c r="NMW210" s="212"/>
      <c r="NMX210" s="212"/>
      <c r="NMY210" s="212"/>
      <c r="NMZ210" s="212"/>
      <c r="NNA210" s="212"/>
      <c r="NNB210" s="212"/>
      <c r="NNC210" s="212"/>
      <c r="NND210" s="212"/>
      <c r="NNE210" s="212"/>
      <c r="NNF210" s="212"/>
      <c r="NNG210" s="212"/>
      <c r="NNH210" s="212"/>
      <c r="NNI210" s="212"/>
      <c r="NNJ210" s="212"/>
      <c r="NNK210" s="212"/>
      <c r="NNL210" s="212"/>
      <c r="NNM210" s="212"/>
      <c r="NNN210" s="212"/>
      <c r="NNO210" s="212"/>
      <c r="NNP210" s="212"/>
      <c r="NNQ210" s="212"/>
      <c r="NNR210" s="212"/>
      <c r="NNS210" s="212"/>
      <c r="NNT210" s="212"/>
      <c r="NNU210" s="212"/>
      <c r="NNV210" s="212"/>
      <c r="NNW210" s="212"/>
      <c r="NNX210" s="212"/>
      <c r="NNY210" s="212"/>
      <c r="NNZ210" s="212"/>
      <c r="NOA210" s="212"/>
      <c r="NOB210" s="214"/>
      <c r="NOC210" s="211"/>
      <c r="NOD210" s="212"/>
      <c r="NOE210" s="212"/>
      <c r="NOF210" s="212"/>
      <c r="NOG210" s="212"/>
      <c r="NOH210" s="212"/>
      <c r="NOI210" s="212"/>
      <c r="NOJ210" s="212"/>
      <c r="NOK210" s="212"/>
      <c r="NOL210" s="212"/>
      <c r="NOM210" s="212"/>
      <c r="NON210" s="212"/>
      <c r="NOO210" s="212"/>
      <c r="NOP210" s="212"/>
      <c r="NOQ210" s="212"/>
      <c r="NOR210" s="212"/>
      <c r="NOS210" s="212"/>
      <c r="NOT210" s="212"/>
      <c r="NOU210" s="212"/>
      <c r="NOV210" s="212"/>
      <c r="NOW210" s="212"/>
      <c r="NOX210" s="212"/>
      <c r="NOY210" s="212"/>
      <c r="NOZ210" s="212"/>
      <c r="NPA210" s="212"/>
      <c r="NPB210" s="212"/>
      <c r="NPC210" s="212"/>
      <c r="NPD210" s="212"/>
      <c r="NPE210" s="212"/>
      <c r="NPF210" s="212"/>
      <c r="NPG210" s="212"/>
      <c r="NPH210" s="212"/>
      <c r="NPI210" s="212"/>
      <c r="NPJ210" s="212"/>
      <c r="NPK210" s="212"/>
      <c r="NPL210" s="212"/>
      <c r="NPM210" s="212"/>
      <c r="NPN210" s="212"/>
      <c r="NPO210" s="212"/>
      <c r="NPP210" s="212"/>
      <c r="NPQ210" s="212"/>
      <c r="NPR210" s="212"/>
      <c r="NPS210" s="212"/>
      <c r="NPT210" s="214"/>
      <c r="NPU210" s="211"/>
      <c r="NPV210" s="212"/>
      <c r="NPW210" s="212"/>
      <c r="NPX210" s="212"/>
      <c r="NPY210" s="212"/>
      <c r="NPZ210" s="212"/>
      <c r="NQA210" s="212"/>
      <c r="NQB210" s="212"/>
      <c r="NQC210" s="212"/>
      <c r="NQD210" s="212"/>
      <c r="NQE210" s="212"/>
      <c r="NQF210" s="212"/>
      <c r="NQG210" s="212"/>
      <c r="NQH210" s="212"/>
      <c r="NQI210" s="212"/>
      <c r="NQJ210" s="212"/>
      <c r="NQK210" s="212"/>
      <c r="NQL210" s="212"/>
      <c r="NQM210" s="212"/>
      <c r="NQN210" s="212"/>
      <c r="NQO210" s="212"/>
      <c r="NQP210" s="212"/>
      <c r="NQQ210" s="212"/>
      <c r="NQR210" s="212"/>
      <c r="NQS210" s="212"/>
      <c r="NQT210" s="212"/>
      <c r="NQU210" s="212"/>
      <c r="NQV210" s="212"/>
      <c r="NQW210" s="212"/>
      <c r="NQX210" s="212"/>
      <c r="NQY210" s="212"/>
      <c r="NQZ210" s="212"/>
      <c r="NRA210" s="212"/>
      <c r="NRB210" s="212"/>
      <c r="NRC210" s="212"/>
      <c r="NRD210" s="212"/>
      <c r="NRE210" s="212"/>
      <c r="NRF210" s="212"/>
      <c r="NRG210" s="212"/>
      <c r="NRH210" s="212"/>
      <c r="NRI210" s="212"/>
      <c r="NRJ210" s="212"/>
      <c r="NRK210" s="212"/>
      <c r="NRL210" s="214"/>
      <c r="NRM210" s="211"/>
      <c r="NRN210" s="212"/>
      <c r="NRO210" s="212"/>
      <c r="NRP210" s="212"/>
      <c r="NRQ210" s="212"/>
      <c r="NRR210" s="212"/>
      <c r="NRS210" s="212"/>
      <c r="NRT210" s="212"/>
      <c r="NRU210" s="212"/>
      <c r="NRV210" s="212"/>
      <c r="NRW210" s="212"/>
      <c r="NRX210" s="212"/>
      <c r="NRY210" s="212"/>
      <c r="NRZ210" s="212"/>
      <c r="NSA210" s="212"/>
      <c r="NSB210" s="212"/>
      <c r="NSC210" s="212"/>
      <c r="NSD210" s="212"/>
      <c r="NSE210" s="212"/>
      <c r="NSF210" s="212"/>
      <c r="NSG210" s="212"/>
      <c r="NSH210" s="212"/>
      <c r="NSI210" s="212"/>
      <c r="NSJ210" s="212"/>
      <c r="NSK210" s="212"/>
      <c r="NSL210" s="212"/>
      <c r="NSM210" s="212"/>
      <c r="NSN210" s="212"/>
      <c r="NSO210" s="212"/>
      <c r="NSP210" s="212"/>
      <c r="NSQ210" s="212"/>
      <c r="NSR210" s="212"/>
      <c r="NSS210" s="212"/>
      <c r="NST210" s="212"/>
      <c r="NSU210" s="212"/>
      <c r="NSV210" s="212"/>
      <c r="NSW210" s="212"/>
      <c r="NSX210" s="212"/>
      <c r="NSY210" s="212"/>
      <c r="NSZ210" s="212"/>
      <c r="NTA210" s="212"/>
      <c r="NTB210" s="212"/>
      <c r="NTC210" s="212"/>
      <c r="NTD210" s="214"/>
      <c r="NTE210" s="211"/>
      <c r="NTF210" s="212"/>
      <c r="NTG210" s="212"/>
      <c r="NTH210" s="212"/>
      <c r="NTI210" s="212"/>
      <c r="NTJ210" s="212"/>
      <c r="NTK210" s="212"/>
      <c r="NTL210" s="212"/>
      <c r="NTM210" s="212"/>
      <c r="NTN210" s="212"/>
      <c r="NTO210" s="212"/>
      <c r="NTP210" s="212"/>
      <c r="NTQ210" s="212"/>
      <c r="NTR210" s="212"/>
      <c r="NTS210" s="212"/>
      <c r="NTT210" s="212"/>
      <c r="NTU210" s="212"/>
      <c r="NTV210" s="212"/>
      <c r="NTW210" s="212"/>
      <c r="NTX210" s="212"/>
      <c r="NTY210" s="212"/>
      <c r="NTZ210" s="212"/>
      <c r="NUA210" s="212"/>
      <c r="NUB210" s="212"/>
      <c r="NUC210" s="212"/>
      <c r="NUD210" s="212"/>
      <c r="NUE210" s="212"/>
      <c r="NUF210" s="212"/>
      <c r="NUG210" s="212"/>
      <c r="NUH210" s="212"/>
      <c r="NUI210" s="212"/>
      <c r="NUJ210" s="212"/>
      <c r="NUK210" s="212"/>
      <c r="NUL210" s="212"/>
      <c r="NUM210" s="212"/>
      <c r="NUN210" s="212"/>
      <c r="NUO210" s="212"/>
      <c r="NUP210" s="212"/>
      <c r="NUQ210" s="212"/>
      <c r="NUR210" s="212"/>
      <c r="NUS210" s="212"/>
      <c r="NUT210" s="212"/>
      <c r="NUU210" s="212"/>
      <c r="NUV210" s="214"/>
      <c r="NUW210" s="211"/>
      <c r="NUX210" s="212"/>
      <c r="NUY210" s="212"/>
      <c r="NUZ210" s="212"/>
      <c r="NVA210" s="212"/>
      <c r="NVB210" s="212"/>
      <c r="NVC210" s="212"/>
      <c r="NVD210" s="212"/>
      <c r="NVE210" s="212"/>
      <c r="NVF210" s="212"/>
      <c r="NVG210" s="212"/>
      <c r="NVH210" s="212"/>
      <c r="NVI210" s="212"/>
      <c r="NVJ210" s="212"/>
      <c r="NVK210" s="212"/>
      <c r="NVL210" s="212"/>
      <c r="NVM210" s="212"/>
      <c r="NVN210" s="212"/>
      <c r="NVO210" s="212"/>
      <c r="NVP210" s="212"/>
      <c r="NVQ210" s="212"/>
      <c r="NVR210" s="212"/>
      <c r="NVS210" s="212"/>
      <c r="NVT210" s="212"/>
      <c r="NVU210" s="212"/>
      <c r="NVV210" s="212"/>
      <c r="NVW210" s="212"/>
      <c r="NVX210" s="212"/>
      <c r="NVY210" s="212"/>
      <c r="NVZ210" s="212"/>
      <c r="NWA210" s="212"/>
      <c r="NWB210" s="212"/>
      <c r="NWC210" s="212"/>
      <c r="NWD210" s="212"/>
      <c r="NWE210" s="212"/>
      <c r="NWF210" s="212"/>
      <c r="NWG210" s="212"/>
      <c r="NWH210" s="212"/>
      <c r="NWI210" s="212"/>
      <c r="NWJ210" s="212"/>
      <c r="NWK210" s="212"/>
      <c r="NWL210" s="212"/>
      <c r="NWM210" s="212"/>
      <c r="NWN210" s="214"/>
      <c r="NWO210" s="211"/>
      <c r="NWP210" s="212"/>
      <c r="NWQ210" s="212"/>
      <c r="NWR210" s="212"/>
      <c r="NWS210" s="212"/>
      <c r="NWT210" s="212"/>
      <c r="NWU210" s="212"/>
      <c r="NWV210" s="212"/>
      <c r="NWW210" s="212"/>
      <c r="NWX210" s="212"/>
      <c r="NWY210" s="212"/>
      <c r="NWZ210" s="212"/>
      <c r="NXA210" s="212"/>
      <c r="NXB210" s="212"/>
      <c r="NXC210" s="212"/>
      <c r="NXD210" s="212"/>
      <c r="NXE210" s="212"/>
      <c r="NXF210" s="212"/>
      <c r="NXG210" s="212"/>
      <c r="NXH210" s="212"/>
      <c r="NXI210" s="212"/>
      <c r="NXJ210" s="212"/>
      <c r="NXK210" s="212"/>
      <c r="NXL210" s="212"/>
      <c r="NXM210" s="212"/>
      <c r="NXN210" s="212"/>
      <c r="NXO210" s="212"/>
      <c r="NXP210" s="212"/>
      <c r="NXQ210" s="212"/>
      <c r="NXR210" s="212"/>
      <c r="NXS210" s="212"/>
      <c r="NXT210" s="212"/>
      <c r="NXU210" s="212"/>
      <c r="NXV210" s="212"/>
      <c r="NXW210" s="212"/>
      <c r="NXX210" s="212"/>
      <c r="NXY210" s="212"/>
      <c r="NXZ210" s="212"/>
      <c r="NYA210" s="212"/>
      <c r="NYB210" s="212"/>
      <c r="NYC210" s="212"/>
      <c r="NYD210" s="212"/>
      <c r="NYE210" s="212"/>
      <c r="NYF210" s="214"/>
      <c r="NYG210" s="211"/>
      <c r="NYH210" s="212"/>
      <c r="NYI210" s="212"/>
      <c r="NYJ210" s="212"/>
      <c r="NYK210" s="212"/>
      <c r="NYL210" s="212"/>
      <c r="NYM210" s="212"/>
      <c r="NYN210" s="212"/>
      <c r="NYO210" s="212"/>
      <c r="NYP210" s="212"/>
      <c r="NYQ210" s="212"/>
      <c r="NYR210" s="212"/>
      <c r="NYS210" s="212"/>
      <c r="NYT210" s="212"/>
      <c r="NYU210" s="212"/>
      <c r="NYV210" s="212"/>
      <c r="NYW210" s="212"/>
      <c r="NYX210" s="212"/>
      <c r="NYY210" s="212"/>
      <c r="NYZ210" s="212"/>
      <c r="NZA210" s="212"/>
      <c r="NZB210" s="212"/>
      <c r="NZC210" s="212"/>
      <c r="NZD210" s="212"/>
      <c r="NZE210" s="212"/>
      <c r="NZF210" s="212"/>
      <c r="NZG210" s="212"/>
      <c r="NZH210" s="212"/>
      <c r="NZI210" s="212"/>
      <c r="NZJ210" s="212"/>
      <c r="NZK210" s="212"/>
      <c r="NZL210" s="212"/>
      <c r="NZM210" s="212"/>
      <c r="NZN210" s="212"/>
      <c r="NZO210" s="212"/>
      <c r="NZP210" s="212"/>
      <c r="NZQ210" s="212"/>
      <c r="NZR210" s="212"/>
      <c r="NZS210" s="212"/>
      <c r="NZT210" s="212"/>
      <c r="NZU210" s="212"/>
      <c r="NZV210" s="212"/>
      <c r="NZW210" s="212"/>
      <c r="NZX210" s="214"/>
      <c r="NZY210" s="211"/>
      <c r="NZZ210" s="212"/>
      <c r="OAA210" s="212"/>
      <c r="OAB210" s="212"/>
      <c r="OAC210" s="212"/>
      <c r="OAD210" s="212"/>
      <c r="OAE210" s="212"/>
      <c r="OAF210" s="212"/>
      <c r="OAG210" s="212"/>
      <c r="OAH210" s="212"/>
      <c r="OAI210" s="212"/>
      <c r="OAJ210" s="212"/>
      <c r="OAK210" s="212"/>
      <c r="OAL210" s="212"/>
      <c r="OAM210" s="212"/>
      <c r="OAN210" s="212"/>
      <c r="OAO210" s="212"/>
      <c r="OAP210" s="212"/>
      <c r="OAQ210" s="212"/>
      <c r="OAR210" s="212"/>
      <c r="OAS210" s="212"/>
      <c r="OAT210" s="212"/>
      <c r="OAU210" s="212"/>
      <c r="OAV210" s="212"/>
      <c r="OAW210" s="212"/>
      <c r="OAX210" s="212"/>
      <c r="OAY210" s="212"/>
      <c r="OAZ210" s="212"/>
      <c r="OBA210" s="212"/>
      <c r="OBB210" s="212"/>
      <c r="OBC210" s="212"/>
      <c r="OBD210" s="212"/>
      <c r="OBE210" s="212"/>
      <c r="OBF210" s="212"/>
      <c r="OBG210" s="212"/>
      <c r="OBH210" s="212"/>
      <c r="OBI210" s="212"/>
      <c r="OBJ210" s="212"/>
      <c r="OBK210" s="212"/>
      <c r="OBL210" s="212"/>
      <c r="OBM210" s="212"/>
      <c r="OBN210" s="212"/>
      <c r="OBO210" s="212"/>
      <c r="OBP210" s="214"/>
      <c r="OBQ210" s="211"/>
      <c r="OBR210" s="212"/>
      <c r="OBS210" s="212"/>
      <c r="OBT210" s="212"/>
      <c r="OBU210" s="212"/>
      <c r="OBV210" s="212"/>
      <c r="OBW210" s="212"/>
      <c r="OBX210" s="212"/>
      <c r="OBY210" s="212"/>
      <c r="OBZ210" s="212"/>
      <c r="OCA210" s="212"/>
      <c r="OCB210" s="212"/>
      <c r="OCC210" s="212"/>
      <c r="OCD210" s="212"/>
      <c r="OCE210" s="212"/>
      <c r="OCF210" s="212"/>
      <c r="OCG210" s="212"/>
      <c r="OCH210" s="212"/>
      <c r="OCI210" s="212"/>
      <c r="OCJ210" s="212"/>
      <c r="OCK210" s="212"/>
      <c r="OCL210" s="212"/>
      <c r="OCM210" s="212"/>
      <c r="OCN210" s="212"/>
      <c r="OCO210" s="212"/>
      <c r="OCP210" s="212"/>
      <c r="OCQ210" s="212"/>
      <c r="OCR210" s="212"/>
      <c r="OCS210" s="212"/>
      <c r="OCT210" s="212"/>
      <c r="OCU210" s="212"/>
      <c r="OCV210" s="212"/>
      <c r="OCW210" s="212"/>
      <c r="OCX210" s="212"/>
      <c r="OCY210" s="212"/>
      <c r="OCZ210" s="212"/>
      <c r="ODA210" s="212"/>
      <c r="ODB210" s="212"/>
      <c r="ODC210" s="212"/>
      <c r="ODD210" s="212"/>
      <c r="ODE210" s="212"/>
      <c r="ODF210" s="212"/>
      <c r="ODG210" s="212"/>
      <c r="ODH210" s="214"/>
      <c r="ODI210" s="211"/>
      <c r="ODJ210" s="212"/>
      <c r="ODK210" s="212"/>
      <c r="ODL210" s="212"/>
      <c r="ODM210" s="212"/>
      <c r="ODN210" s="212"/>
      <c r="ODO210" s="212"/>
      <c r="ODP210" s="212"/>
      <c r="ODQ210" s="212"/>
      <c r="ODR210" s="212"/>
      <c r="ODS210" s="212"/>
      <c r="ODT210" s="212"/>
      <c r="ODU210" s="212"/>
      <c r="ODV210" s="212"/>
      <c r="ODW210" s="212"/>
      <c r="ODX210" s="212"/>
      <c r="ODY210" s="212"/>
      <c r="ODZ210" s="212"/>
      <c r="OEA210" s="212"/>
      <c r="OEB210" s="212"/>
      <c r="OEC210" s="212"/>
      <c r="OED210" s="212"/>
      <c r="OEE210" s="212"/>
      <c r="OEF210" s="212"/>
      <c r="OEG210" s="212"/>
      <c r="OEH210" s="212"/>
      <c r="OEI210" s="212"/>
      <c r="OEJ210" s="212"/>
      <c r="OEK210" s="212"/>
      <c r="OEL210" s="212"/>
      <c r="OEM210" s="212"/>
      <c r="OEN210" s="212"/>
      <c r="OEO210" s="212"/>
      <c r="OEP210" s="212"/>
      <c r="OEQ210" s="212"/>
      <c r="OER210" s="212"/>
      <c r="OES210" s="212"/>
      <c r="OET210" s="212"/>
      <c r="OEU210" s="212"/>
      <c r="OEV210" s="212"/>
      <c r="OEW210" s="212"/>
      <c r="OEX210" s="212"/>
      <c r="OEY210" s="212"/>
      <c r="OEZ210" s="214"/>
      <c r="OFA210" s="211"/>
      <c r="OFB210" s="212"/>
      <c r="OFC210" s="212"/>
      <c r="OFD210" s="212"/>
      <c r="OFE210" s="212"/>
      <c r="OFF210" s="212"/>
      <c r="OFG210" s="212"/>
      <c r="OFH210" s="212"/>
      <c r="OFI210" s="212"/>
      <c r="OFJ210" s="212"/>
      <c r="OFK210" s="212"/>
      <c r="OFL210" s="212"/>
      <c r="OFM210" s="212"/>
      <c r="OFN210" s="212"/>
      <c r="OFO210" s="212"/>
      <c r="OFP210" s="212"/>
      <c r="OFQ210" s="212"/>
      <c r="OFR210" s="212"/>
      <c r="OFS210" s="212"/>
      <c r="OFT210" s="212"/>
      <c r="OFU210" s="212"/>
      <c r="OFV210" s="212"/>
      <c r="OFW210" s="212"/>
      <c r="OFX210" s="212"/>
      <c r="OFY210" s="212"/>
      <c r="OFZ210" s="212"/>
      <c r="OGA210" s="212"/>
      <c r="OGB210" s="212"/>
      <c r="OGC210" s="212"/>
      <c r="OGD210" s="212"/>
      <c r="OGE210" s="212"/>
      <c r="OGF210" s="212"/>
      <c r="OGG210" s="212"/>
      <c r="OGH210" s="212"/>
      <c r="OGI210" s="212"/>
      <c r="OGJ210" s="212"/>
      <c r="OGK210" s="212"/>
      <c r="OGL210" s="212"/>
      <c r="OGM210" s="212"/>
      <c r="OGN210" s="212"/>
      <c r="OGO210" s="212"/>
      <c r="OGP210" s="212"/>
      <c r="OGQ210" s="212"/>
      <c r="OGR210" s="214"/>
      <c r="OGS210" s="211"/>
      <c r="OGT210" s="212"/>
      <c r="OGU210" s="212"/>
      <c r="OGV210" s="212"/>
      <c r="OGW210" s="212"/>
      <c r="OGX210" s="212"/>
      <c r="OGY210" s="212"/>
      <c r="OGZ210" s="212"/>
      <c r="OHA210" s="212"/>
      <c r="OHB210" s="212"/>
      <c r="OHC210" s="212"/>
      <c r="OHD210" s="212"/>
      <c r="OHE210" s="212"/>
      <c r="OHF210" s="212"/>
      <c r="OHG210" s="212"/>
      <c r="OHH210" s="212"/>
      <c r="OHI210" s="212"/>
      <c r="OHJ210" s="212"/>
      <c r="OHK210" s="212"/>
      <c r="OHL210" s="212"/>
      <c r="OHM210" s="212"/>
      <c r="OHN210" s="212"/>
      <c r="OHO210" s="212"/>
      <c r="OHP210" s="212"/>
      <c r="OHQ210" s="212"/>
      <c r="OHR210" s="212"/>
      <c r="OHS210" s="212"/>
      <c r="OHT210" s="212"/>
      <c r="OHU210" s="212"/>
      <c r="OHV210" s="212"/>
      <c r="OHW210" s="212"/>
      <c r="OHX210" s="212"/>
      <c r="OHY210" s="212"/>
      <c r="OHZ210" s="212"/>
      <c r="OIA210" s="212"/>
      <c r="OIB210" s="212"/>
      <c r="OIC210" s="212"/>
      <c r="OID210" s="212"/>
      <c r="OIE210" s="212"/>
      <c r="OIF210" s="212"/>
      <c r="OIG210" s="212"/>
      <c r="OIH210" s="212"/>
      <c r="OII210" s="212"/>
      <c r="OIJ210" s="214"/>
      <c r="OIK210" s="211"/>
      <c r="OIL210" s="212"/>
      <c r="OIM210" s="212"/>
      <c r="OIN210" s="212"/>
      <c r="OIO210" s="212"/>
      <c r="OIP210" s="212"/>
      <c r="OIQ210" s="212"/>
      <c r="OIR210" s="212"/>
      <c r="OIS210" s="212"/>
      <c r="OIT210" s="212"/>
      <c r="OIU210" s="212"/>
      <c r="OIV210" s="212"/>
      <c r="OIW210" s="212"/>
      <c r="OIX210" s="212"/>
      <c r="OIY210" s="212"/>
      <c r="OIZ210" s="212"/>
      <c r="OJA210" s="212"/>
      <c r="OJB210" s="212"/>
      <c r="OJC210" s="212"/>
      <c r="OJD210" s="212"/>
      <c r="OJE210" s="212"/>
      <c r="OJF210" s="212"/>
      <c r="OJG210" s="212"/>
      <c r="OJH210" s="212"/>
      <c r="OJI210" s="212"/>
      <c r="OJJ210" s="212"/>
      <c r="OJK210" s="212"/>
      <c r="OJL210" s="212"/>
      <c r="OJM210" s="212"/>
      <c r="OJN210" s="212"/>
      <c r="OJO210" s="212"/>
      <c r="OJP210" s="212"/>
      <c r="OJQ210" s="212"/>
      <c r="OJR210" s="212"/>
      <c r="OJS210" s="212"/>
      <c r="OJT210" s="212"/>
      <c r="OJU210" s="212"/>
      <c r="OJV210" s="212"/>
      <c r="OJW210" s="212"/>
      <c r="OJX210" s="212"/>
      <c r="OJY210" s="212"/>
      <c r="OJZ210" s="212"/>
      <c r="OKA210" s="212"/>
      <c r="OKB210" s="214"/>
      <c r="OKC210" s="211"/>
      <c r="OKD210" s="212"/>
      <c r="OKE210" s="212"/>
      <c r="OKF210" s="212"/>
      <c r="OKG210" s="212"/>
      <c r="OKH210" s="212"/>
      <c r="OKI210" s="212"/>
      <c r="OKJ210" s="212"/>
      <c r="OKK210" s="212"/>
      <c r="OKL210" s="212"/>
      <c r="OKM210" s="212"/>
      <c r="OKN210" s="212"/>
      <c r="OKO210" s="212"/>
      <c r="OKP210" s="212"/>
      <c r="OKQ210" s="212"/>
      <c r="OKR210" s="212"/>
      <c r="OKS210" s="212"/>
      <c r="OKT210" s="212"/>
      <c r="OKU210" s="212"/>
      <c r="OKV210" s="212"/>
      <c r="OKW210" s="212"/>
      <c r="OKX210" s="212"/>
      <c r="OKY210" s="212"/>
      <c r="OKZ210" s="212"/>
      <c r="OLA210" s="212"/>
      <c r="OLB210" s="212"/>
      <c r="OLC210" s="212"/>
      <c r="OLD210" s="212"/>
      <c r="OLE210" s="212"/>
      <c r="OLF210" s="212"/>
      <c r="OLG210" s="212"/>
      <c r="OLH210" s="212"/>
      <c r="OLI210" s="212"/>
      <c r="OLJ210" s="212"/>
      <c r="OLK210" s="212"/>
      <c r="OLL210" s="212"/>
      <c r="OLM210" s="212"/>
      <c r="OLN210" s="212"/>
      <c r="OLO210" s="212"/>
      <c r="OLP210" s="212"/>
      <c r="OLQ210" s="212"/>
      <c r="OLR210" s="212"/>
      <c r="OLS210" s="212"/>
      <c r="OLT210" s="214"/>
      <c r="OLU210" s="211"/>
      <c r="OLV210" s="212"/>
      <c r="OLW210" s="212"/>
      <c r="OLX210" s="212"/>
      <c r="OLY210" s="212"/>
      <c r="OLZ210" s="212"/>
      <c r="OMA210" s="212"/>
      <c r="OMB210" s="212"/>
      <c r="OMC210" s="212"/>
      <c r="OMD210" s="212"/>
      <c r="OME210" s="212"/>
      <c r="OMF210" s="212"/>
      <c r="OMG210" s="212"/>
      <c r="OMH210" s="212"/>
      <c r="OMI210" s="212"/>
      <c r="OMJ210" s="212"/>
      <c r="OMK210" s="212"/>
      <c r="OML210" s="212"/>
      <c r="OMM210" s="212"/>
      <c r="OMN210" s="212"/>
      <c r="OMO210" s="212"/>
      <c r="OMP210" s="212"/>
      <c r="OMQ210" s="212"/>
      <c r="OMR210" s="212"/>
      <c r="OMS210" s="212"/>
      <c r="OMT210" s="212"/>
      <c r="OMU210" s="212"/>
      <c r="OMV210" s="212"/>
      <c r="OMW210" s="212"/>
      <c r="OMX210" s="212"/>
      <c r="OMY210" s="212"/>
      <c r="OMZ210" s="212"/>
      <c r="ONA210" s="212"/>
      <c r="ONB210" s="212"/>
      <c r="ONC210" s="212"/>
      <c r="OND210" s="212"/>
      <c r="ONE210" s="212"/>
      <c r="ONF210" s="212"/>
      <c r="ONG210" s="212"/>
      <c r="ONH210" s="212"/>
      <c r="ONI210" s="212"/>
      <c r="ONJ210" s="212"/>
      <c r="ONK210" s="212"/>
      <c r="ONL210" s="214"/>
      <c r="ONM210" s="211"/>
      <c r="ONN210" s="212"/>
      <c r="ONO210" s="212"/>
      <c r="ONP210" s="212"/>
      <c r="ONQ210" s="212"/>
      <c r="ONR210" s="212"/>
      <c r="ONS210" s="212"/>
      <c r="ONT210" s="212"/>
      <c r="ONU210" s="212"/>
      <c r="ONV210" s="212"/>
      <c r="ONW210" s="212"/>
      <c r="ONX210" s="212"/>
      <c r="ONY210" s="212"/>
      <c r="ONZ210" s="212"/>
      <c r="OOA210" s="212"/>
      <c r="OOB210" s="212"/>
      <c r="OOC210" s="212"/>
      <c r="OOD210" s="212"/>
      <c r="OOE210" s="212"/>
      <c r="OOF210" s="212"/>
      <c r="OOG210" s="212"/>
      <c r="OOH210" s="212"/>
      <c r="OOI210" s="212"/>
      <c r="OOJ210" s="212"/>
      <c r="OOK210" s="212"/>
      <c r="OOL210" s="212"/>
      <c r="OOM210" s="212"/>
      <c r="OON210" s="212"/>
      <c r="OOO210" s="212"/>
      <c r="OOP210" s="212"/>
      <c r="OOQ210" s="212"/>
      <c r="OOR210" s="212"/>
      <c r="OOS210" s="212"/>
      <c r="OOT210" s="212"/>
      <c r="OOU210" s="212"/>
      <c r="OOV210" s="212"/>
      <c r="OOW210" s="212"/>
      <c r="OOX210" s="212"/>
      <c r="OOY210" s="212"/>
      <c r="OOZ210" s="212"/>
      <c r="OPA210" s="212"/>
      <c r="OPB210" s="212"/>
      <c r="OPC210" s="212"/>
      <c r="OPD210" s="214"/>
      <c r="OPE210" s="211"/>
      <c r="OPF210" s="212"/>
      <c r="OPG210" s="212"/>
      <c r="OPH210" s="212"/>
      <c r="OPI210" s="212"/>
      <c r="OPJ210" s="212"/>
      <c r="OPK210" s="212"/>
      <c r="OPL210" s="212"/>
      <c r="OPM210" s="212"/>
      <c r="OPN210" s="212"/>
      <c r="OPO210" s="212"/>
      <c r="OPP210" s="212"/>
      <c r="OPQ210" s="212"/>
      <c r="OPR210" s="212"/>
      <c r="OPS210" s="212"/>
      <c r="OPT210" s="212"/>
      <c r="OPU210" s="212"/>
      <c r="OPV210" s="212"/>
      <c r="OPW210" s="212"/>
      <c r="OPX210" s="212"/>
      <c r="OPY210" s="212"/>
      <c r="OPZ210" s="212"/>
      <c r="OQA210" s="212"/>
      <c r="OQB210" s="212"/>
      <c r="OQC210" s="212"/>
      <c r="OQD210" s="212"/>
      <c r="OQE210" s="212"/>
      <c r="OQF210" s="212"/>
      <c r="OQG210" s="212"/>
      <c r="OQH210" s="212"/>
      <c r="OQI210" s="212"/>
      <c r="OQJ210" s="212"/>
      <c r="OQK210" s="212"/>
      <c r="OQL210" s="212"/>
      <c r="OQM210" s="212"/>
      <c r="OQN210" s="212"/>
      <c r="OQO210" s="212"/>
      <c r="OQP210" s="212"/>
      <c r="OQQ210" s="212"/>
      <c r="OQR210" s="212"/>
      <c r="OQS210" s="212"/>
      <c r="OQT210" s="212"/>
      <c r="OQU210" s="212"/>
      <c r="OQV210" s="214"/>
      <c r="OQW210" s="211"/>
      <c r="OQX210" s="212"/>
      <c r="OQY210" s="212"/>
      <c r="OQZ210" s="212"/>
      <c r="ORA210" s="212"/>
      <c r="ORB210" s="212"/>
      <c r="ORC210" s="212"/>
      <c r="ORD210" s="212"/>
      <c r="ORE210" s="212"/>
      <c r="ORF210" s="212"/>
      <c r="ORG210" s="212"/>
      <c r="ORH210" s="212"/>
      <c r="ORI210" s="212"/>
      <c r="ORJ210" s="212"/>
      <c r="ORK210" s="212"/>
      <c r="ORL210" s="212"/>
      <c r="ORM210" s="212"/>
      <c r="ORN210" s="212"/>
      <c r="ORO210" s="212"/>
      <c r="ORP210" s="212"/>
      <c r="ORQ210" s="212"/>
      <c r="ORR210" s="212"/>
      <c r="ORS210" s="212"/>
      <c r="ORT210" s="212"/>
      <c r="ORU210" s="212"/>
      <c r="ORV210" s="212"/>
      <c r="ORW210" s="212"/>
      <c r="ORX210" s="212"/>
      <c r="ORY210" s="212"/>
      <c r="ORZ210" s="212"/>
      <c r="OSA210" s="212"/>
      <c r="OSB210" s="212"/>
      <c r="OSC210" s="212"/>
      <c r="OSD210" s="212"/>
      <c r="OSE210" s="212"/>
      <c r="OSF210" s="212"/>
      <c r="OSG210" s="212"/>
      <c r="OSH210" s="212"/>
      <c r="OSI210" s="212"/>
      <c r="OSJ210" s="212"/>
      <c r="OSK210" s="212"/>
      <c r="OSL210" s="212"/>
      <c r="OSM210" s="212"/>
      <c r="OSN210" s="214"/>
      <c r="OSO210" s="211"/>
      <c r="OSP210" s="212"/>
      <c r="OSQ210" s="212"/>
      <c r="OSR210" s="212"/>
      <c r="OSS210" s="212"/>
      <c r="OST210" s="212"/>
      <c r="OSU210" s="212"/>
      <c r="OSV210" s="212"/>
      <c r="OSW210" s="212"/>
      <c r="OSX210" s="212"/>
      <c r="OSY210" s="212"/>
      <c r="OSZ210" s="212"/>
      <c r="OTA210" s="212"/>
      <c r="OTB210" s="212"/>
      <c r="OTC210" s="212"/>
      <c r="OTD210" s="212"/>
      <c r="OTE210" s="212"/>
      <c r="OTF210" s="212"/>
      <c r="OTG210" s="212"/>
      <c r="OTH210" s="212"/>
      <c r="OTI210" s="212"/>
      <c r="OTJ210" s="212"/>
      <c r="OTK210" s="212"/>
      <c r="OTL210" s="212"/>
      <c r="OTM210" s="212"/>
      <c r="OTN210" s="212"/>
      <c r="OTO210" s="212"/>
      <c r="OTP210" s="212"/>
      <c r="OTQ210" s="212"/>
      <c r="OTR210" s="212"/>
      <c r="OTS210" s="212"/>
      <c r="OTT210" s="212"/>
      <c r="OTU210" s="212"/>
      <c r="OTV210" s="212"/>
      <c r="OTW210" s="212"/>
      <c r="OTX210" s="212"/>
      <c r="OTY210" s="212"/>
      <c r="OTZ210" s="212"/>
      <c r="OUA210" s="212"/>
      <c r="OUB210" s="212"/>
      <c r="OUC210" s="212"/>
      <c r="OUD210" s="212"/>
      <c r="OUE210" s="212"/>
      <c r="OUF210" s="214"/>
      <c r="OUG210" s="211"/>
      <c r="OUH210" s="212"/>
      <c r="OUI210" s="212"/>
      <c r="OUJ210" s="212"/>
      <c r="OUK210" s="212"/>
      <c r="OUL210" s="212"/>
      <c r="OUM210" s="212"/>
      <c r="OUN210" s="212"/>
      <c r="OUO210" s="212"/>
      <c r="OUP210" s="212"/>
      <c r="OUQ210" s="212"/>
      <c r="OUR210" s="212"/>
      <c r="OUS210" s="212"/>
      <c r="OUT210" s="212"/>
      <c r="OUU210" s="212"/>
      <c r="OUV210" s="212"/>
      <c r="OUW210" s="212"/>
      <c r="OUX210" s="212"/>
      <c r="OUY210" s="212"/>
      <c r="OUZ210" s="212"/>
      <c r="OVA210" s="212"/>
      <c r="OVB210" s="212"/>
      <c r="OVC210" s="212"/>
      <c r="OVD210" s="212"/>
      <c r="OVE210" s="212"/>
      <c r="OVF210" s="212"/>
      <c r="OVG210" s="212"/>
      <c r="OVH210" s="212"/>
      <c r="OVI210" s="212"/>
      <c r="OVJ210" s="212"/>
      <c r="OVK210" s="212"/>
      <c r="OVL210" s="212"/>
      <c r="OVM210" s="212"/>
      <c r="OVN210" s="212"/>
      <c r="OVO210" s="212"/>
      <c r="OVP210" s="212"/>
      <c r="OVQ210" s="212"/>
      <c r="OVR210" s="212"/>
      <c r="OVS210" s="212"/>
      <c r="OVT210" s="212"/>
      <c r="OVU210" s="212"/>
      <c r="OVV210" s="212"/>
      <c r="OVW210" s="212"/>
      <c r="OVX210" s="214"/>
      <c r="OVY210" s="211"/>
      <c r="OVZ210" s="212"/>
      <c r="OWA210" s="212"/>
      <c r="OWB210" s="212"/>
      <c r="OWC210" s="212"/>
      <c r="OWD210" s="212"/>
      <c r="OWE210" s="212"/>
      <c r="OWF210" s="212"/>
      <c r="OWG210" s="212"/>
      <c r="OWH210" s="212"/>
      <c r="OWI210" s="212"/>
      <c r="OWJ210" s="212"/>
      <c r="OWK210" s="212"/>
      <c r="OWL210" s="212"/>
      <c r="OWM210" s="212"/>
      <c r="OWN210" s="212"/>
      <c r="OWO210" s="212"/>
      <c r="OWP210" s="212"/>
      <c r="OWQ210" s="212"/>
      <c r="OWR210" s="212"/>
      <c r="OWS210" s="212"/>
      <c r="OWT210" s="212"/>
      <c r="OWU210" s="212"/>
      <c r="OWV210" s="212"/>
      <c r="OWW210" s="212"/>
      <c r="OWX210" s="212"/>
      <c r="OWY210" s="212"/>
      <c r="OWZ210" s="212"/>
      <c r="OXA210" s="212"/>
      <c r="OXB210" s="212"/>
      <c r="OXC210" s="212"/>
      <c r="OXD210" s="212"/>
      <c r="OXE210" s="212"/>
      <c r="OXF210" s="212"/>
      <c r="OXG210" s="212"/>
      <c r="OXH210" s="212"/>
      <c r="OXI210" s="212"/>
      <c r="OXJ210" s="212"/>
      <c r="OXK210" s="212"/>
      <c r="OXL210" s="212"/>
      <c r="OXM210" s="212"/>
      <c r="OXN210" s="212"/>
      <c r="OXO210" s="212"/>
      <c r="OXP210" s="214"/>
      <c r="OXQ210" s="211"/>
      <c r="OXR210" s="212"/>
      <c r="OXS210" s="212"/>
      <c r="OXT210" s="212"/>
      <c r="OXU210" s="212"/>
      <c r="OXV210" s="212"/>
      <c r="OXW210" s="212"/>
      <c r="OXX210" s="212"/>
      <c r="OXY210" s="212"/>
      <c r="OXZ210" s="212"/>
      <c r="OYA210" s="212"/>
      <c r="OYB210" s="212"/>
      <c r="OYC210" s="212"/>
      <c r="OYD210" s="212"/>
      <c r="OYE210" s="212"/>
      <c r="OYF210" s="212"/>
      <c r="OYG210" s="212"/>
      <c r="OYH210" s="212"/>
      <c r="OYI210" s="212"/>
      <c r="OYJ210" s="212"/>
      <c r="OYK210" s="212"/>
      <c r="OYL210" s="212"/>
      <c r="OYM210" s="212"/>
      <c r="OYN210" s="212"/>
      <c r="OYO210" s="212"/>
      <c r="OYP210" s="212"/>
      <c r="OYQ210" s="212"/>
      <c r="OYR210" s="212"/>
      <c r="OYS210" s="212"/>
      <c r="OYT210" s="212"/>
      <c r="OYU210" s="212"/>
      <c r="OYV210" s="212"/>
      <c r="OYW210" s="212"/>
      <c r="OYX210" s="212"/>
      <c r="OYY210" s="212"/>
      <c r="OYZ210" s="212"/>
      <c r="OZA210" s="212"/>
      <c r="OZB210" s="212"/>
      <c r="OZC210" s="212"/>
      <c r="OZD210" s="212"/>
      <c r="OZE210" s="212"/>
      <c r="OZF210" s="212"/>
      <c r="OZG210" s="212"/>
      <c r="OZH210" s="214"/>
      <c r="OZI210" s="211"/>
      <c r="OZJ210" s="212"/>
      <c r="OZK210" s="212"/>
      <c r="OZL210" s="212"/>
      <c r="OZM210" s="212"/>
      <c r="OZN210" s="212"/>
      <c r="OZO210" s="212"/>
      <c r="OZP210" s="212"/>
      <c r="OZQ210" s="212"/>
      <c r="OZR210" s="212"/>
      <c r="OZS210" s="212"/>
      <c r="OZT210" s="212"/>
      <c r="OZU210" s="212"/>
      <c r="OZV210" s="212"/>
      <c r="OZW210" s="212"/>
      <c r="OZX210" s="212"/>
      <c r="OZY210" s="212"/>
      <c r="OZZ210" s="212"/>
      <c r="PAA210" s="212"/>
      <c r="PAB210" s="212"/>
      <c r="PAC210" s="212"/>
      <c r="PAD210" s="212"/>
      <c r="PAE210" s="212"/>
      <c r="PAF210" s="212"/>
      <c r="PAG210" s="212"/>
      <c r="PAH210" s="212"/>
      <c r="PAI210" s="212"/>
      <c r="PAJ210" s="212"/>
      <c r="PAK210" s="212"/>
      <c r="PAL210" s="212"/>
      <c r="PAM210" s="212"/>
      <c r="PAN210" s="212"/>
      <c r="PAO210" s="212"/>
      <c r="PAP210" s="212"/>
      <c r="PAQ210" s="212"/>
      <c r="PAR210" s="212"/>
      <c r="PAS210" s="212"/>
      <c r="PAT210" s="212"/>
      <c r="PAU210" s="212"/>
      <c r="PAV210" s="212"/>
      <c r="PAW210" s="212"/>
      <c r="PAX210" s="212"/>
      <c r="PAY210" s="212"/>
      <c r="PAZ210" s="214"/>
      <c r="PBA210" s="211"/>
      <c r="PBB210" s="212"/>
      <c r="PBC210" s="212"/>
      <c r="PBD210" s="212"/>
      <c r="PBE210" s="212"/>
      <c r="PBF210" s="212"/>
      <c r="PBG210" s="212"/>
      <c r="PBH210" s="212"/>
      <c r="PBI210" s="212"/>
      <c r="PBJ210" s="212"/>
      <c r="PBK210" s="212"/>
      <c r="PBL210" s="212"/>
      <c r="PBM210" s="212"/>
      <c r="PBN210" s="212"/>
      <c r="PBO210" s="212"/>
      <c r="PBP210" s="212"/>
      <c r="PBQ210" s="212"/>
      <c r="PBR210" s="212"/>
      <c r="PBS210" s="212"/>
      <c r="PBT210" s="212"/>
      <c r="PBU210" s="212"/>
      <c r="PBV210" s="212"/>
      <c r="PBW210" s="212"/>
      <c r="PBX210" s="212"/>
      <c r="PBY210" s="212"/>
      <c r="PBZ210" s="212"/>
      <c r="PCA210" s="212"/>
      <c r="PCB210" s="212"/>
      <c r="PCC210" s="212"/>
      <c r="PCD210" s="212"/>
      <c r="PCE210" s="212"/>
      <c r="PCF210" s="212"/>
      <c r="PCG210" s="212"/>
      <c r="PCH210" s="212"/>
      <c r="PCI210" s="212"/>
      <c r="PCJ210" s="212"/>
      <c r="PCK210" s="212"/>
      <c r="PCL210" s="212"/>
      <c r="PCM210" s="212"/>
      <c r="PCN210" s="212"/>
      <c r="PCO210" s="212"/>
      <c r="PCP210" s="212"/>
      <c r="PCQ210" s="212"/>
      <c r="PCR210" s="214"/>
      <c r="PCS210" s="211"/>
      <c r="PCT210" s="212"/>
      <c r="PCU210" s="212"/>
      <c r="PCV210" s="212"/>
      <c r="PCW210" s="212"/>
      <c r="PCX210" s="212"/>
      <c r="PCY210" s="212"/>
      <c r="PCZ210" s="212"/>
      <c r="PDA210" s="212"/>
      <c r="PDB210" s="212"/>
      <c r="PDC210" s="212"/>
      <c r="PDD210" s="212"/>
      <c r="PDE210" s="212"/>
      <c r="PDF210" s="212"/>
      <c r="PDG210" s="212"/>
      <c r="PDH210" s="212"/>
      <c r="PDI210" s="212"/>
      <c r="PDJ210" s="212"/>
      <c r="PDK210" s="212"/>
      <c r="PDL210" s="212"/>
      <c r="PDM210" s="212"/>
      <c r="PDN210" s="212"/>
      <c r="PDO210" s="212"/>
      <c r="PDP210" s="212"/>
      <c r="PDQ210" s="212"/>
      <c r="PDR210" s="212"/>
      <c r="PDS210" s="212"/>
      <c r="PDT210" s="212"/>
      <c r="PDU210" s="212"/>
      <c r="PDV210" s="212"/>
      <c r="PDW210" s="212"/>
      <c r="PDX210" s="212"/>
      <c r="PDY210" s="212"/>
      <c r="PDZ210" s="212"/>
      <c r="PEA210" s="212"/>
      <c r="PEB210" s="212"/>
      <c r="PEC210" s="212"/>
      <c r="PED210" s="212"/>
      <c r="PEE210" s="212"/>
      <c r="PEF210" s="212"/>
      <c r="PEG210" s="212"/>
      <c r="PEH210" s="212"/>
      <c r="PEI210" s="212"/>
      <c r="PEJ210" s="214"/>
      <c r="PEK210" s="211"/>
      <c r="PEL210" s="212"/>
      <c r="PEM210" s="212"/>
      <c r="PEN210" s="212"/>
      <c r="PEO210" s="212"/>
      <c r="PEP210" s="212"/>
      <c r="PEQ210" s="212"/>
      <c r="PER210" s="212"/>
      <c r="PES210" s="212"/>
      <c r="PET210" s="212"/>
      <c r="PEU210" s="212"/>
      <c r="PEV210" s="212"/>
      <c r="PEW210" s="212"/>
      <c r="PEX210" s="212"/>
      <c r="PEY210" s="212"/>
      <c r="PEZ210" s="212"/>
      <c r="PFA210" s="212"/>
      <c r="PFB210" s="212"/>
      <c r="PFC210" s="212"/>
      <c r="PFD210" s="212"/>
      <c r="PFE210" s="212"/>
      <c r="PFF210" s="212"/>
      <c r="PFG210" s="212"/>
      <c r="PFH210" s="212"/>
      <c r="PFI210" s="212"/>
      <c r="PFJ210" s="212"/>
      <c r="PFK210" s="212"/>
      <c r="PFL210" s="212"/>
      <c r="PFM210" s="212"/>
      <c r="PFN210" s="212"/>
      <c r="PFO210" s="212"/>
      <c r="PFP210" s="212"/>
      <c r="PFQ210" s="212"/>
      <c r="PFR210" s="212"/>
      <c r="PFS210" s="212"/>
      <c r="PFT210" s="212"/>
      <c r="PFU210" s="212"/>
      <c r="PFV210" s="212"/>
      <c r="PFW210" s="212"/>
      <c r="PFX210" s="212"/>
      <c r="PFY210" s="212"/>
      <c r="PFZ210" s="212"/>
      <c r="PGA210" s="212"/>
      <c r="PGB210" s="214"/>
      <c r="PGC210" s="211"/>
      <c r="PGD210" s="212"/>
      <c r="PGE210" s="212"/>
      <c r="PGF210" s="212"/>
      <c r="PGG210" s="212"/>
      <c r="PGH210" s="212"/>
      <c r="PGI210" s="212"/>
      <c r="PGJ210" s="212"/>
      <c r="PGK210" s="212"/>
      <c r="PGL210" s="212"/>
      <c r="PGM210" s="212"/>
      <c r="PGN210" s="212"/>
      <c r="PGO210" s="212"/>
      <c r="PGP210" s="212"/>
      <c r="PGQ210" s="212"/>
      <c r="PGR210" s="212"/>
      <c r="PGS210" s="212"/>
      <c r="PGT210" s="212"/>
      <c r="PGU210" s="212"/>
      <c r="PGV210" s="212"/>
      <c r="PGW210" s="212"/>
      <c r="PGX210" s="212"/>
      <c r="PGY210" s="212"/>
      <c r="PGZ210" s="212"/>
      <c r="PHA210" s="212"/>
      <c r="PHB210" s="212"/>
      <c r="PHC210" s="212"/>
      <c r="PHD210" s="212"/>
      <c r="PHE210" s="212"/>
      <c r="PHF210" s="212"/>
      <c r="PHG210" s="212"/>
      <c r="PHH210" s="212"/>
      <c r="PHI210" s="212"/>
      <c r="PHJ210" s="212"/>
      <c r="PHK210" s="212"/>
      <c r="PHL210" s="212"/>
      <c r="PHM210" s="212"/>
      <c r="PHN210" s="212"/>
      <c r="PHO210" s="212"/>
      <c r="PHP210" s="212"/>
      <c r="PHQ210" s="212"/>
      <c r="PHR210" s="212"/>
      <c r="PHS210" s="212"/>
      <c r="PHT210" s="214"/>
      <c r="PHU210" s="211"/>
      <c r="PHV210" s="212"/>
      <c r="PHW210" s="212"/>
      <c r="PHX210" s="212"/>
      <c r="PHY210" s="212"/>
      <c r="PHZ210" s="212"/>
      <c r="PIA210" s="212"/>
      <c r="PIB210" s="212"/>
      <c r="PIC210" s="212"/>
      <c r="PID210" s="212"/>
      <c r="PIE210" s="212"/>
      <c r="PIF210" s="212"/>
      <c r="PIG210" s="212"/>
      <c r="PIH210" s="212"/>
      <c r="PII210" s="212"/>
      <c r="PIJ210" s="212"/>
      <c r="PIK210" s="212"/>
      <c r="PIL210" s="212"/>
      <c r="PIM210" s="212"/>
      <c r="PIN210" s="212"/>
      <c r="PIO210" s="212"/>
      <c r="PIP210" s="212"/>
      <c r="PIQ210" s="212"/>
      <c r="PIR210" s="212"/>
      <c r="PIS210" s="212"/>
      <c r="PIT210" s="212"/>
      <c r="PIU210" s="212"/>
      <c r="PIV210" s="212"/>
      <c r="PIW210" s="212"/>
      <c r="PIX210" s="212"/>
      <c r="PIY210" s="212"/>
      <c r="PIZ210" s="212"/>
      <c r="PJA210" s="212"/>
      <c r="PJB210" s="212"/>
      <c r="PJC210" s="212"/>
      <c r="PJD210" s="212"/>
      <c r="PJE210" s="212"/>
      <c r="PJF210" s="212"/>
      <c r="PJG210" s="212"/>
      <c r="PJH210" s="212"/>
      <c r="PJI210" s="212"/>
      <c r="PJJ210" s="212"/>
      <c r="PJK210" s="212"/>
      <c r="PJL210" s="214"/>
      <c r="PJM210" s="211"/>
      <c r="PJN210" s="212"/>
      <c r="PJO210" s="212"/>
      <c r="PJP210" s="212"/>
      <c r="PJQ210" s="212"/>
      <c r="PJR210" s="212"/>
      <c r="PJS210" s="212"/>
      <c r="PJT210" s="212"/>
      <c r="PJU210" s="212"/>
      <c r="PJV210" s="212"/>
      <c r="PJW210" s="212"/>
      <c r="PJX210" s="212"/>
      <c r="PJY210" s="212"/>
      <c r="PJZ210" s="212"/>
      <c r="PKA210" s="212"/>
      <c r="PKB210" s="212"/>
      <c r="PKC210" s="212"/>
      <c r="PKD210" s="212"/>
      <c r="PKE210" s="212"/>
      <c r="PKF210" s="212"/>
      <c r="PKG210" s="212"/>
      <c r="PKH210" s="212"/>
      <c r="PKI210" s="212"/>
      <c r="PKJ210" s="212"/>
      <c r="PKK210" s="212"/>
      <c r="PKL210" s="212"/>
      <c r="PKM210" s="212"/>
      <c r="PKN210" s="212"/>
      <c r="PKO210" s="212"/>
      <c r="PKP210" s="212"/>
      <c r="PKQ210" s="212"/>
      <c r="PKR210" s="212"/>
      <c r="PKS210" s="212"/>
      <c r="PKT210" s="212"/>
      <c r="PKU210" s="212"/>
      <c r="PKV210" s="212"/>
      <c r="PKW210" s="212"/>
      <c r="PKX210" s="212"/>
      <c r="PKY210" s="212"/>
      <c r="PKZ210" s="212"/>
      <c r="PLA210" s="212"/>
      <c r="PLB210" s="212"/>
      <c r="PLC210" s="212"/>
      <c r="PLD210" s="214"/>
      <c r="PLE210" s="211"/>
      <c r="PLF210" s="212"/>
      <c r="PLG210" s="212"/>
      <c r="PLH210" s="212"/>
      <c r="PLI210" s="212"/>
      <c r="PLJ210" s="212"/>
      <c r="PLK210" s="212"/>
      <c r="PLL210" s="212"/>
      <c r="PLM210" s="212"/>
      <c r="PLN210" s="212"/>
      <c r="PLO210" s="212"/>
      <c r="PLP210" s="212"/>
      <c r="PLQ210" s="212"/>
      <c r="PLR210" s="212"/>
      <c r="PLS210" s="212"/>
      <c r="PLT210" s="212"/>
      <c r="PLU210" s="212"/>
      <c r="PLV210" s="212"/>
      <c r="PLW210" s="212"/>
      <c r="PLX210" s="212"/>
      <c r="PLY210" s="212"/>
      <c r="PLZ210" s="212"/>
      <c r="PMA210" s="212"/>
      <c r="PMB210" s="212"/>
      <c r="PMC210" s="212"/>
      <c r="PMD210" s="212"/>
      <c r="PME210" s="212"/>
      <c r="PMF210" s="212"/>
      <c r="PMG210" s="212"/>
      <c r="PMH210" s="212"/>
      <c r="PMI210" s="212"/>
      <c r="PMJ210" s="212"/>
      <c r="PMK210" s="212"/>
      <c r="PML210" s="212"/>
      <c r="PMM210" s="212"/>
      <c r="PMN210" s="212"/>
      <c r="PMO210" s="212"/>
      <c r="PMP210" s="212"/>
      <c r="PMQ210" s="212"/>
      <c r="PMR210" s="212"/>
      <c r="PMS210" s="212"/>
      <c r="PMT210" s="212"/>
      <c r="PMU210" s="212"/>
      <c r="PMV210" s="214"/>
      <c r="PMW210" s="211"/>
      <c r="PMX210" s="212"/>
      <c r="PMY210" s="212"/>
      <c r="PMZ210" s="212"/>
      <c r="PNA210" s="212"/>
      <c r="PNB210" s="212"/>
      <c r="PNC210" s="212"/>
      <c r="PND210" s="212"/>
      <c r="PNE210" s="212"/>
      <c r="PNF210" s="212"/>
      <c r="PNG210" s="212"/>
      <c r="PNH210" s="212"/>
      <c r="PNI210" s="212"/>
      <c r="PNJ210" s="212"/>
      <c r="PNK210" s="212"/>
      <c r="PNL210" s="212"/>
      <c r="PNM210" s="212"/>
      <c r="PNN210" s="212"/>
      <c r="PNO210" s="212"/>
      <c r="PNP210" s="212"/>
      <c r="PNQ210" s="212"/>
      <c r="PNR210" s="212"/>
      <c r="PNS210" s="212"/>
      <c r="PNT210" s="212"/>
      <c r="PNU210" s="212"/>
      <c r="PNV210" s="212"/>
      <c r="PNW210" s="212"/>
      <c r="PNX210" s="212"/>
      <c r="PNY210" s="212"/>
      <c r="PNZ210" s="212"/>
      <c r="POA210" s="212"/>
      <c r="POB210" s="212"/>
      <c r="POC210" s="212"/>
      <c r="POD210" s="212"/>
      <c r="POE210" s="212"/>
      <c r="POF210" s="212"/>
      <c r="POG210" s="212"/>
      <c r="POH210" s="212"/>
      <c r="POI210" s="212"/>
      <c r="POJ210" s="212"/>
      <c r="POK210" s="212"/>
      <c r="POL210" s="212"/>
      <c r="POM210" s="212"/>
      <c r="PON210" s="214"/>
      <c r="POO210" s="211"/>
      <c r="POP210" s="212"/>
      <c r="POQ210" s="212"/>
      <c r="POR210" s="212"/>
      <c r="POS210" s="212"/>
      <c r="POT210" s="212"/>
      <c r="POU210" s="212"/>
      <c r="POV210" s="212"/>
      <c r="POW210" s="212"/>
      <c r="POX210" s="212"/>
      <c r="POY210" s="212"/>
      <c r="POZ210" s="212"/>
      <c r="PPA210" s="212"/>
      <c r="PPB210" s="212"/>
      <c r="PPC210" s="212"/>
      <c r="PPD210" s="212"/>
      <c r="PPE210" s="212"/>
      <c r="PPF210" s="212"/>
      <c r="PPG210" s="212"/>
      <c r="PPH210" s="212"/>
      <c r="PPI210" s="212"/>
      <c r="PPJ210" s="212"/>
      <c r="PPK210" s="212"/>
      <c r="PPL210" s="212"/>
      <c r="PPM210" s="212"/>
      <c r="PPN210" s="212"/>
      <c r="PPO210" s="212"/>
      <c r="PPP210" s="212"/>
      <c r="PPQ210" s="212"/>
      <c r="PPR210" s="212"/>
      <c r="PPS210" s="212"/>
      <c r="PPT210" s="212"/>
      <c r="PPU210" s="212"/>
      <c r="PPV210" s="212"/>
      <c r="PPW210" s="212"/>
      <c r="PPX210" s="212"/>
      <c r="PPY210" s="212"/>
      <c r="PPZ210" s="212"/>
      <c r="PQA210" s="212"/>
      <c r="PQB210" s="212"/>
      <c r="PQC210" s="212"/>
      <c r="PQD210" s="212"/>
      <c r="PQE210" s="212"/>
      <c r="PQF210" s="214"/>
      <c r="PQG210" s="211"/>
      <c r="PQH210" s="212"/>
      <c r="PQI210" s="212"/>
      <c r="PQJ210" s="212"/>
      <c r="PQK210" s="212"/>
      <c r="PQL210" s="212"/>
      <c r="PQM210" s="212"/>
      <c r="PQN210" s="212"/>
      <c r="PQO210" s="212"/>
      <c r="PQP210" s="212"/>
      <c r="PQQ210" s="212"/>
      <c r="PQR210" s="212"/>
      <c r="PQS210" s="212"/>
      <c r="PQT210" s="212"/>
      <c r="PQU210" s="212"/>
      <c r="PQV210" s="212"/>
      <c r="PQW210" s="212"/>
      <c r="PQX210" s="212"/>
      <c r="PQY210" s="212"/>
      <c r="PQZ210" s="212"/>
      <c r="PRA210" s="212"/>
      <c r="PRB210" s="212"/>
      <c r="PRC210" s="212"/>
      <c r="PRD210" s="212"/>
      <c r="PRE210" s="212"/>
      <c r="PRF210" s="212"/>
      <c r="PRG210" s="212"/>
      <c r="PRH210" s="212"/>
      <c r="PRI210" s="212"/>
      <c r="PRJ210" s="212"/>
      <c r="PRK210" s="212"/>
      <c r="PRL210" s="212"/>
      <c r="PRM210" s="212"/>
      <c r="PRN210" s="212"/>
      <c r="PRO210" s="212"/>
      <c r="PRP210" s="212"/>
      <c r="PRQ210" s="212"/>
      <c r="PRR210" s="212"/>
      <c r="PRS210" s="212"/>
      <c r="PRT210" s="212"/>
      <c r="PRU210" s="212"/>
      <c r="PRV210" s="212"/>
      <c r="PRW210" s="212"/>
      <c r="PRX210" s="214"/>
      <c r="PRY210" s="211"/>
      <c r="PRZ210" s="212"/>
      <c r="PSA210" s="212"/>
      <c r="PSB210" s="212"/>
      <c r="PSC210" s="212"/>
      <c r="PSD210" s="212"/>
      <c r="PSE210" s="212"/>
      <c r="PSF210" s="212"/>
      <c r="PSG210" s="212"/>
      <c r="PSH210" s="212"/>
      <c r="PSI210" s="212"/>
      <c r="PSJ210" s="212"/>
      <c r="PSK210" s="212"/>
      <c r="PSL210" s="212"/>
      <c r="PSM210" s="212"/>
      <c r="PSN210" s="212"/>
      <c r="PSO210" s="212"/>
      <c r="PSP210" s="212"/>
      <c r="PSQ210" s="212"/>
      <c r="PSR210" s="212"/>
      <c r="PSS210" s="212"/>
      <c r="PST210" s="212"/>
      <c r="PSU210" s="212"/>
      <c r="PSV210" s="212"/>
      <c r="PSW210" s="212"/>
      <c r="PSX210" s="212"/>
      <c r="PSY210" s="212"/>
      <c r="PSZ210" s="212"/>
      <c r="PTA210" s="212"/>
      <c r="PTB210" s="212"/>
      <c r="PTC210" s="212"/>
      <c r="PTD210" s="212"/>
      <c r="PTE210" s="212"/>
      <c r="PTF210" s="212"/>
      <c r="PTG210" s="212"/>
      <c r="PTH210" s="212"/>
      <c r="PTI210" s="212"/>
      <c r="PTJ210" s="212"/>
      <c r="PTK210" s="212"/>
      <c r="PTL210" s="212"/>
      <c r="PTM210" s="212"/>
      <c r="PTN210" s="212"/>
      <c r="PTO210" s="212"/>
      <c r="PTP210" s="214"/>
      <c r="PTQ210" s="211"/>
      <c r="PTR210" s="212"/>
      <c r="PTS210" s="212"/>
      <c r="PTT210" s="212"/>
      <c r="PTU210" s="212"/>
      <c r="PTV210" s="212"/>
      <c r="PTW210" s="212"/>
      <c r="PTX210" s="212"/>
      <c r="PTY210" s="212"/>
      <c r="PTZ210" s="212"/>
      <c r="PUA210" s="212"/>
      <c r="PUB210" s="212"/>
      <c r="PUC210" s="212"/>
      <c r="PUD210" s="212"/>
      <c r="PUE210" s="212"/>
      <c r="PUF210" s="212"/>
      <c r="PUG210" s="212"/>
      <c r="PUH210" s="212"/>
      <c r="PUI210" s="212"/>
      <c r="PUJ210" s="212"/>
      <c r="PUK210" s="212"/>
      <c r="PUL210" s="212"/>
      <c r="PUM210" s="212"/>
      <c r="PUN210" s="212"/>
      <c r="PUO210" s="212"/>
      <c r="PUP210" s="212"/>
      <c r="PUQ210" s="212"/>
      <c r="PUR210" s="212"/>
      <c r="PUS210" s="212"/>
      <c r="PUT210" s="212"/>
      <c r="PUU210" s="212"/>
      <c r="PUV210" s="212"/>
      <c r="PUW210" s="212"/>
      <c r="PUX210" s="212"/>
      <c r="PUY210" s="212"/>
      <c r="PUZ210" s="212"/>
      <c r="PVA210" s="212"/>
      <c r="PVB210" s="212"/>
      <c r="PVC210" s="212"/>
      <c r="PVD210" s="212"/>
      <c r="PVE210" s="212"/>
      <c r="PVF210" s="212"/>
      <c r="PVG210" s="212"/>
      <c r="PVH210" s="214"/>
      <c r="PVI210" s="211"/>
      <c r="PVJ210" s="212"/>
      <c r="PVK210" s="212"/>
      <c r="PVL210" s="212"/>
      <c r="PVM210" s="212"/>
      <c r="PVN210" s="212"/>
      <c r="PVO210" s="212"/>
      <c r="PVP210" s="212"/>
      <c r="PVQ210" s="212"/>
      <c r="PVR210" s="212"/>
      <c r="PVS210" s="212"/>
      <c r="PVT210" s="212"/>
      <c r="PVU210" s="212"/>
      <c r="PVV210" s="212"/>
      <c r="PVW210" s="212"/>
      <c r="PVX210" s="212"/>
      <c r="PVY210" s="212"/>
      <c r="PVZ210" s="212"/>
      <c r="PWA210" s="212"/>
      <c r="PWB210" s="212"/>
      <c r="PWC210" s="212"/>
      <c r="PWD210" s="212"/>
      <c r="PWE210" s="212"/>
      <c r="PWF210" s="212"/>
      <c r="PWG210" s="212"/>
      <c r="PWH210" s="212"/>
      <c r="PWI210" s="212"/>
      <c r="PWJ210" s="212"/>
      <c r="PWK210" s="212"/>
      <c r="PWL210" s="212"/>
      <c r="PWM210" s="212"/>
      <c r="PWN210" s="212"/>
      <c r="PWO210" s="212"/>
      <c r="PWP210" s="212"/>
      <c r="PWQ210" s="212"/>
      <c r="PWR210" s="212"/>
      <c r="PWS210" s="212"/>
      <c r="PWT210" s="212"/>
      <c r="PWU210" s="212"/>
      <c r="PWV210" s="212"/>
      <c r="PWW210" s="212"/>
      <c r="PWX210" s="212"/>
      <c r="PWY210" s="212"/>
      <c r="PWZ210" s="214"/>
      <c r="PXA210" s="211"/>
      <c r="PXB210" s="212"/>
      <c r="PXC210" s="212"/>
      <c r="PXD210" s="212"/>
      <c r="PXE210" s="212"/>
      <c r="PXF210" s="212"/>
      <c r="PXG210" s="212"/>
      <c r="PXH210" s="212"/>
      <c r="PXI210" s="212"/>
      <c r="PXJ210" s="212"/>
      <c r="PXK210" s="212"/>
      <c r="PXL210" s="212"/>
      <c r="PXM210" s="212"/>
      <c r="PXN210" s="212"/>
      <c r="PXO210" s="212"/>
      <c r="PXP210" s="212"/>
      <c r="PXQ210" s="212"/>
      <c r="PXR210" s="212"/>
      <c r="PXS210" s="212"/>
      <c r="PXT210" s="212"/>
      <c r="PXU210" s="212"/>
      <c r="PXV210" s="212"/>
      <c r="PXW210" s="212"/>
      <c r="PXX210" s="212"/>
      <c r="PXY210" s="212"/>
      <c r="PXZ210" s="212"/>
      <c r="PYA210" s="212"/>
      <c r="PYB210" s="212"/>
      <c r="PYC210" s="212"/>
      <c r="PYD210" s="212"/>
      <c r="PYE210" s="212"/>
      <c r="PYF210" s="212"/>
      <c r="PYG210" s="212"/>
      <c r="PYH210" s="212"/>
      <c r="PYI210" s="212"/>
      <c r="PYJ210" s="212"/>
      <c r="PYK210" s="212"/>
      <c r="PYL210" s="212"/>
      <c r="PYM210" s="212"/>
      <c r="PYN210" s="212"/>
      <c r="PYO210" s="212"/>
      <c r="PYP210" s="212"/>
      <c r="PYQ210" s="212"/>
      <c r="PYR210" s="214"/>
      <c r="PYS210" s="211"/>
      <c r="PYT210" s="212"/>
      <c r="PYU210" s="212"/>
      <c r="PYV210" s="212"/>
      <c r="PYW210" s="212"/>
      <c r="PYX210" s="212"/>
      <c r="PYY210" s="212"/>
      <c r="PYZ210" s="212"/>
      <c r="PZA210" s="212"/>
      <c r="PZB210" s="212"/>
      <c r="PZC210" s="212"/>
      <c r="PZD210" s="212"/>
      <c r="PZE210" s="212"/>
      <c r="PZF210" s="212"/>
      <c r="PZG210" s="212"/>
      <c r="PZH210" s="212"/>
      <c r="PZI210" s="212"/>
      <c r="PZJ210" s="212"/>
      <c r="PZK210" s="212"/>
      <c r="PZL210" s="212"/>
      <c r="PZM210" s="212"/>
      <c r="PZN210" s="212"/>
      <c r="PZO210" s="212"/>
      <c r="PZP210" s="212"/>
      <c r="PZQ210" s="212"/>
      <c r="PZR210" s="212"/>
      <c r="PZS210" s="212"/>
      <c r="PZT210" s="212"/>
      <c r="PZU210" s="212"/>
      <c r="PZV210" s="212"/>
      <c r="PZW210" s="212"/>
      <c r="PZX210" s="212"/>
      <c r="PZY210" s="212"/>
      <c r="PZZ210" s="212"/>
      <c r="QAA210" s="212"/>
      <c r="QAB210" s="212"/>
      <c r="QAC210" s="212"/>
      <c r="QAD210" s="212"/>
      <c r="QAE210" s="212"/>
      <c r="QAF210" s="212"/>
      <c r="QAG210" s="212"/>
      <c r="QAH210" s="212"/>
      <c r="QAI210" s="212"/>
      <c r="QAJ210" s="214"/>
      <c r="QAK210" s="211"/>
      <c r="QAL210" s="212"/>
      <c r="QAM210" s="212"/>
      <c r="QAN210" s="212"/>
      <c r="QAO210" s="212"/>
      <c r="QAP210" s="212"/>
      <c r="QAQ210" s="212"/>
      <c r="QAR210" s="212"/>
      <c r="QAS210" s="212"/>
      <c r="QAT210" s="212"/>
      <c r="QAU210" s="212"/>
      <c r="QAV210" s="212"/>
      <c r="QAW210" s="212"/>
      <c r="QAX210" s="212"/>
      <c r="QAY210" s="212"/>
      <c r="QAZ210" s="212"/>
      <c r="QBA210" s="212"/>
      <c r="QBB210" s="212"/>
      <c r="QBC210" s="212"/>
      <c r="QBD210" s="212"/>
      <c r="QBE210" s="212"/>
      <c r="QBF210" s="212"/>
      <c r="QBG210" s="212"/>
      <c r="QBH210" s="212"/>
      <c r="QBI210" s="212"/>
      <c r="QBJ210" s="212"/>
      <c r="QBK210" s="212"/>
      <c r="QBL210" s="212"/>
      <c r="QBM210" s="212"/>
      <c r="QBN210" s="212"/>
      <c r="QBO210" s="212"/>
      <c r="QBP210" s="212"/>
      <c r="QBQ210" s="212"/>
      <c r="QBR210" s="212"/>
      <c r="QBS210" s="212"/>
      <c r="QBT210" s="212"/>
      <c r="QBU210" s="212"/>
      <c r="QBV210" s="212"/>
      <c r="QBW210" s="212"/>
      <c r="QBX210" s="212"/>
      <c r="QBY210" s="212"/>
      <c r="QBZ210" s="212"/>
      <c r="QCA210" s="212"/>
      <c r="QCB210" s="214"/>
      <c r="QCC210" s="211"/>
      <c r="QCD210" s="212"/>
      <c r="QCE210" s="212"/>
      <c r="QCF210" s="212"/>
      <c r="QCG210" s="212"/>
      <c r="QCH210" s="212"/>
      <c r="QCI210" s="212"/>
      <c r="QCJ210" s="212"/>
      <c r="QCK210" s="212"/>
      <c r="QCL210" s="212"/>
      <c r="QCM210" s="212"/>
      <c r="QCN210" s="212"/>
      <c r="QCO210" s="212"/>
      <c r="QCP210" s="212"/>
      <c r="QCQ210" s="212"/>
      <c r="QCR210" s="212"/>
      <c r="QCS210" s="212"/>
      <c r="QCT210" s="212"/>
      <c r="QCU210" s="212"/>
      <c r="QCV210" s="212"/>
      <c r="QCW210" s="212"/>
      <c r="QCX210" s="212"/>
      <c r="QCY210" s="212"/>
      <c r="QCZ210" s="212"/>
      <c r="QDA210" s="212"/>
      <c r="QDB210" s="212"/>
      <c r="QDC210" s="212"/>
      <c r="QDD210" s="212"/>
      <c r="QDE210" s="212"/>
      <c r="QDF210" s="212"/>
      <c r="QDG210" s="212"/>
      <c r="QDH210" s="212"/>
      <c r="QDI210" s="212"/>
      <c r="QDJ210" s="212"/>
      <c r="QDK210" s="212"/>
      <c r="QDL210" s="212"/>
      <c r="QDM210" s="212"/>
      <c r="QDN210" s="212"/>
      <c r="QDO210" s="212"/>
      <c r="QDP210" s="212"/>
      <c r="QDQ210" s="212"/>
      <c r="QDR210" s="212"/>
      <c r="QDS210" s="212"/>
      <c r="QDT210" s="214"/>
      <c r="QDU210" s="211"/>
      <c r="QDV210" s="212"/>
      <c r="QDW210" s="212"/>
      <c r="QDX210" s="212"/>
      <c r="QDY210" s="212"/>
      <c r="QDZ210" s="212"/>
      <c r="QEA210" s="212"/>
      <c r="QEB210" s="212"/>
      <c r="QEC210" s="212"/>
      <c r="QED210" s="212"/>
      <c r="QEE210" s="212"/>
      <c r="QEF210" s="212"/>
      <c r="QEG210" s="212"/>
      <c r="QEH210" s="212"/>
      <c r="QEI210" s="212"/>
      <c r="QEJ210" s="212"/>
      <c r="QEK210" s="212"/>
      <c r="QEL210" s="212"/>
      <c r="QEM210" s="212"/>
      <c r="QEN210" s="212"/>
      <c r="QEO210" s="212"/>
      <c r="QEP210" s="212"/>
      <c r="QEQ210" s="212"/>
      <c r="QER210" s="212"/>
      <c r="QES210" s="212"/>
      <c r="QET210" s="212"/>
      <c r="QEU210" s="212"/>
      <c r="QEV210" s="212"/>
      <c r="QEW210" s="212"/>
      <c r="QEX210" s="212"/>
      <c r="QEY210" s="212"/>
      <c r="QEZ210" s="212"/>
      <c r="QFA210" s="212"/>
      <c r="QFB210" s="212"/>
      <c r="QFC210" s="212"/>
      <c r="QFD210" s="212"/>
      <c r="QFE210" s="212"/>
      <c r="QFF210" s="212"/>
      <c r="QFG210" s="212"/>
      <c r="QFH210" s="212"/>
      <c r="QFI210" s="212"/>
      <c r="QFJ210" s="212"/>
      <c r="QFK210" s="212"/>
      <c r="QFL210" s="214"/>
      <c r="QFM210" s="211"/>
      <c r="QFN210" s="212"/>
      <c r="QFO210" s="212"/>
      <c r="QFP210" s="212"/>
      <c r="QFQ210" s="212"/>
      <c r="QFR210" s="212"/>
      <c r="QFS210" s="212"/>
      <c r="QFT210" s="212"/>
      <c r="QFU210" s="212"/>
      <c r="QFV210" s="212"/>
      <c r="QFW210" s="212"/>
      <c r="QFX210" s="212"/>
      <c r="QFY210" s="212"/>
      <c r="QFZ210" s="212"/>
      <c r="QGA210" s="212"/>
      <c r="QGB210" s="212"/>
      <c r="QGC210" s="212"/>
      <c r="QGD210" s="212"/>
      <c r="QGE210" s="212"/>
      <c r="QGF210" s="212"/>
      <c r="QGG210" s="212"/>
      <c r="QGH210" s="212"/>
      <c r="QGI210" s="212"/>
      <c r="QGJ210" s="212"/>
      <c r="QGK210" s="212"/>
      <c r="QGL210" s="212"/>
      <c r="QGM210" s="212"/>
      <c r="QGN210" s="212"/>
      <c r="QGO210" s="212"/>
      <c r="QGP210" s="212"/>
      <c r="QGQ210" s="212"/>
      <c r="QGR210" s="212"/>
      <c r="QGS210" s="212"/>
      <c r="QGT210" s="212"/>
      <c r="QGU210" s="212"/>
      <c r="QGV210" s="212"/>
      <c r="QGW210" s="212"/>
      <c r="QGX210" s="212"/>
      <c r="QGY210" s="212"/>
      <c r="QGZ210" s="212"/>
      <c r="QHA210" s="212"/>
      <c r="QHB210" s="212"/>
      <c r="QHC210" s="212"/>
      <c r="QHD210" s="214"/>
      <c r="QHE210" s="211"/>
      <c r="QHF210" s="212"/>
      <c r="QHG210" s="212"/>
      <c r="QHH210" s="212"/>
      <c r="QHI210" s="212"/>
      <c r="QHJ210" s="212"/>
      <c r="QHK210" s="212"/>
      <c r="QHL210" s="212"/>
      <c r="QHM210" s="212"/>
      <c r="QHN210" s="212"/>
      <c r="QHO210" s="212"/>
      <c r="QHP210" s="212"/>
      <c r="QHQ210" s="212"/>
      <c r="QHR210" s="212"/>
      <c r="QHS210" s="212"/>
      <c r="QHT210" s="212"/>
      <c r="QHU210" s="212"/>
      <c r="QHV210" s="212"/>
      <c r="QHW210" s="212"/>
      <c r="QHX210" s="212"/>
      <c r="QHY210" s="212"/>
      <c r="QHZ210" s="212"/>
      <c r="QIA210" s="212"/>
      <c r="QIB210" s="212"/>
      <c r="QIC210" s="212"/>
      <c r="QID210" s="212"/>
      <c r="QIE210" s="212"/>
      <c r="QIF210" s="212"/>
      <c r="QIG210" s="212"/>
      <c r="QIH210" s="212"/>
      <c r="QII210" s="212"/>
      <c r="QIJ210" s="212"/>
      <c r="QIK210" s="212"/>
      <c r="QIL210" s="212"/>
      <c r="QIM210" s="212"/>
      <c r="QIN210" s="212"/>
      <c r="QIO210" s="212"/>
      <c r="QIP210" s="212"/>
      <c r="QIQ210" s="212"/>
      <c r="QIR210" s="212"/>
      <c r="QIS210" s="212"/>
      <c r="QIT210" s="212"/>
      <c r="QIU210" s="212"/>
      <c r="QIV210" s="214"/>
      <c r="QIW210" s="211"/>
      <c r="QIX210" s="212"/>
      <c r="QIY210" s="212"/>
      <c r="QIZ210" s="212"/>
      <c r="QJA210" s="212"/>
      <c r="QJB210" s="212"/>
      <c r="QJC210" s="212"/>
      <c r="QJD210" s="212"/>
      <c r="QJE210" s="212"/>
      <c r="QJF210" s="212"/>
      <c r="QJG210" s="212"/>
      <c r="QJH210" s="212"/>
      <c r="QJI210" s="212"/>
      <c r="QJJ210" s="212"/>
      <c r="QJK210" s="212"/>
      <c r="QJL210" s="212"/>
      <c r="QJM210" s="212"/>
      <c r="QJN210" s="212"/>
      <c r="QJO210" s="212"/>
      <c r="QJP210" s="212"/>
      <c r="QJQ210" s="212"/>
      <c r="QJR210" s="212"/>
      <c r="QJS210" s="212"/>
      <c r="QJT210" s="212"/>
      <c r="QJU210" s="212"/>
      <c r="QJV210" s="212"/>
      <c r="QJW210" s="212"/>
      <c r="QJX210" s="212"/>
      <c r="QJY210" s="212"/>
      <c r="QJZ210" s="212"/>
      <c r="QKA210" s="212"/>
      <c r="QKB210" s="212"/>
      <c r="QKC210" s="212"/>
      <c r="QKD210" s="212"/>
      <c r="QKE210" s="212"/>
      <c r="QKF210" s="212"/>
      <c r="QKG210" s="212"/>
      <c r="QKH210" s="212"/>
      <c r="QKI210" s="212"/>
      <c r="QKJ210" s="212"/>
      <c r="QKK210" s="212"/>
      <c r="QKL210" s="212"/>
      <c r="QKM210" s="212"/>
      <c r="QKN210" s="214"/>
      <c r="QKO210" s="211"/>
      <c r="QKP210" s="212"/>
      <c r="QKQ210" s="212"/>
      <c r="QKR210" s="212"/>
      <c r="QKS210" s="212"/>
      <c r="QKT210" s="212"/>
      <c r="QKU210" s="212"/>
      <c r="QKV210" s="212"/>
      <c r="QKW210" s="212"/>
      <c r="QKX210" s="212"/>
      <c r="QKY210" s="212"/>
      <c r="QKZ210" s="212"/>
      <c r="QLA210" s="212"/>
      <c r="QLB210" s="212"/>
      <c r="QLC210" s="212"/>
      <c r="QLD210" s="212"/>
      <c r="QLE210" s="212"/>
      <c r="QLF210" s="212"/>
      <c r="QLG210" s="212"/>
      <c r="QLH210" s="212"/>
      <c r="QLI210" s="212"/>
      <c r="QLJ210" s="212"/>
      <c r="QLK210" s="212"/>
      <c r="QLL210" s="212"/>
      <c r="QLM210" s="212"/>
      <c r="QLN210" s="212"/>
      <c r="QLO210" s="212"/>
      <c r="QLP210" s="212"/>
      <c r="QLQ210" s="212"/>
      <c r="QLR210" s="212"/>
      <c r="QLS210" s="212"/>
      <c r="QLT210" s="212"/>
      <c r="QLU210" s="212"/>
      <c r="QLV210" s="212"/>
      <c r="QLW210" s="212"/>
      <c r="QLX210" s="212"/>
      <c r="QLY210" s="212"/>
      <c r="QLZ210" s="212"/>
      <c r="QMA210" s="212"/>
      <c r="QMB210" s="212"/>
      <c r="QMC210" s="212"/>
      <c r="QMD210" s="212"/>
      <c r="QME210" s="212"/>
      <c r="QMF210" s="214"/>
      <c r="QMG210" s="211"/>
      <c r="QMH210" s="212"/>
      <c r="QMI210" s="212"/>
      <c r="QMJ210" s="212"/>
      <c r="QMK210" s="212"/>
      <c r="QML210" s="212"/>
      <c r="QMM210" s="212"/>
      <c r="QMN210" s="212"/>
      <c r="QMO210" s="212"/>
      <c r="QMP210" s="212"/>
      <c r="QMQ210" s="212"/>
      <c r="QMR210" s="212"/>
      <c r="QMS210" s="212"/>
      <c r="QMT210" s="212"/>
      <c r="QMU210" s="212"/>
      <c r="QMV210" s="212"/>
      <c r="QMW210" s="212"/>
      <c r="QMX210" s="212"/>
      <c r="QMY210" s="212"/>
      <c r="QMZ210" s="212"/>
      <c r="QNA210" s="212"/>
      <c r="QNB210" s="212"/>
      <c r="QNC210" s="212"/>
      <c r="QND210" s="212"/>
      <c r="QNE210" s="212"/>
      <c r="QNF210" s="212"/>
      <c r="QNG210" s="212"/>
      <c r="QNH210" s="212"/>
      <c r="QNI210" s="212"/>
      <c r="QNJ210" s="212"/>
      <c r="QNK210" s="212"/>
      <c r="QNL210" s="212"/>
      <c r="QNM210" s="212"/>
      <c r="QNN210" s="212"/>
      <c r="QNO210" s="212"/>
      <c r="QNP210" s="212"/>
      <c r="QNQ210" s="212"/>
      <c r="QNR210" s="212"/>
      <c r="QNS210" s="212"/>
      <c r="QNT210" s="212"/>
      <c r="QNU210" s="212"/>
      <c r="QNV210" s="212"/>
      <c r="QNW210" s="212"/>
      <c r="QNX210" s="214"/>
      <c r="QNY210" s="211"/>
      <c r="QNZ210" s="212"/>
      <c r="QOA210" s="212"/>
      <c r="QOB210" s="212"/>
      <c r="QOC210" s="212"/>
      <c r="QOD210" s="212"/>
      <c r="QOE210" s="212"/>
      <c r="QOF210" s="212"/>
      <c r="QOG210" s="212"/>
      <c r="QOH210" s="212"/>
      <c r="QOI210" s="212"/>
      <c r="QOJ210" s="212"/>
      <c r="QOK210" s="212"/>
      <c r="QOL210" s="212"/>
      <c r="QOM210" s="212"/>
      <c r="QON210" s="212"/>
      <c r="QOO210" s="212"/>
      <c r="QOP210" s="212"/>
      <c r="QOQ210" s="212"/>
      <c r="QOR210" s="212"/>
      <c r="QOS210" s="212"/>
      <c r="QOT210" s="212"/>
      <c r="QOU210" s="212"/>
      <c r="QOV210" s="212"/>
      <c r="QOW210" s="212"/>
      <c r="QOX210" s="212"/>
      <c r="QOY210" s="212"/>
      <c r="QOZ210" s="212"/>
      <c r="QPA210" s="212"/>
      <c r="QPB210" s="212"/>
      <c r="QPC210" s="212"/>
      <c r="QPD210" s="212"/>
      <c r="QPE210" s="212"/>
      <c r="QPF210" s="212"/>
      <c r="QPG210" s="212"/>
      <c r="QPH210" s="212"/>
      <c r="QPI210" s="212"/>
      <c r="QPJ210" s="212"/>
      <c r="QPK210" s="212"/>
      <c r="QPL210" s="212"/>
      <c r="QPM210" s="212"/>
      <c r="QPN210" s="212"/>
      <c r="QPO210" s="212"/>
      <c r="QPP210" s="214"/>
      <c r="QPQ210" s="211"/>
      <c r="QPR210" s="212"/>
      <c r="QPS210" s="212"/>
      <c r="QPT210" s="212"/>
      <c r="QPU210" s="212"/>
      <c r="QPV210" s="212"/>
      <c r="QPW210" s="212"/>
      <c r="QPX210" s="212"/>
      <c r="QPY210" s="212"/>
      <c r="QPZ210" s="212"/>
      <c r="QQA210" s="212"/>
      <c r="QQB210" s="212"/>
      <c r="QQC210" s="212"/>
      <c r="QQD210" s="212"/>
      <c r="QQE210" s="212"/>
      <c r="QQF210" s="212"/>
      <c r="QQG210" s="212"/>
      <c r="QQH210" s="212"/>
      <c r="QQI210" s="212"/>
      <c r="QQJ210" s="212"/>
      <c r="QQK210" s="212"/>
      <c r="QQL210" s="212"/>
      <c r="QQM210" s="212"/>
      <c r="QQN210" s="212"/>
      <c r="QQO210" s="212"/>
      <c r="QQP210" s="212"/>
      <c r="QQQ210" s="212"/>
      <c r="QQR210" s="212"/>
      <c r="QQS210" s="212"/>
      <c r="QQT210" s="212"/>
      <c r="QQU210" s="212"/>
      <c r="QQV210" s="212"/>
      <c r="QQW210" s="212"/>
      <c r="QQX210" s="212"/>
      <c r="QQY210" s="212"/>
      <c r="QQZ210" s="212"/>
      <c r="QRA210" s="212"/>
      <c r="QRB210" s="212"/>
      <c r="QRC210" s="212"/>
      <c r="QRD210" s="212"/>
      <c r="QRE210" s="212"/>
      <c r="QRF210" s="212"/>
      <c r="QRG210" s="212"/>
      <c r="QRH210" s="214"/>
      <c r="QRI210" s="211"/>
      <c r="QRJ210" s="212"/>
      <c r="QRK210" s="212"/>
      <c r="QRL210" s="212"/>
      <c r="QRM210" s="212"/>
      <c r="QRN210" s="212"/>
      <c r="QRO210" s="212"/>
      <c r="QRP210" s="212"/>
      <c r="QRQ210" s="212"/>
      <c r="QRR210" s="212"/>
      <c r="QRS210" s="212"/>
      <c r="QRT210" s="212"/>
      <c r="QRU210" s="212"/>
      <c r="QRV210" s="212"/>
      <c r="QRW210" s="212"/>
      <c r="QRX210" s="212"/>
      <c r="QRY210" s="212"/>
      <c r="QRZ210" s="212"/>
      <c r="QSA210" s="212"/>
      <c r="QSB210" s="212"/>
      <c r="QSC210" s="212"/>
      <c r="QSD210" s="212"/>
      <c r="QSE210" s="212"/>
      <c r="QSF210" s="212"/>
      <c r="QSG210" s="212"/>
      <c r="QSH210" s="212"/>
      <c r="QSI210" s="212"/>
      <c r="QSJ210" s="212"/>
      <c r="QSK210" s="212"/>
      <c r="QSL210" s="212"/>
      <c r="QSM210" s="212"/>
      <c r="QSN210" s="212"/>
      <c r="QSO210" s="212"/>
      <c r="QSP210" s="212"/>
      <c r="QSQ210" s="212"/>
      <c r="QSR210" s="212"/>
      <c r="QSS210" s="212"/>
      <c r="QST210" s="212"/>
      <c r="QSU210" s="212"/>
      <c r="QSV210" s="212"/>
      <c r="QSW210" s="212"/>
      <c r="QSX210" s="212"/>
      <c r="QSY210" s="212"/>
      <c r="QSZ210" s="214"/>
      <c r="QTA210" s="211"/>
      <c r="QTB210" s="212"/>
      <c r="QTC210" s="212"/>
      <c r="QTD210" s="212"/>
      <c r="QTE210" s="212"/>
      <c r="QTF210" s="212"/>
      <c r="QTG210" s="212"/>
      <c r="QTH210" s="212"/>
      <c r="QTI210" s="212"/>
      <c r="QTJ210" s="212"/>
      <c r="QTK210" s="212"/>
      <c r="QTL210" s="212"/>
      <c r="QTM210" s="212"/>
      <c r="QTN210" s="212"/>
      <c r="QTO210" s="212"/>
      <c r="QTP210" s="212"/>
      <c r="QTQ210" s="212"/>
      <c r="QTR210" s="212"/>
      <c r="QTS210" s="212"/>
      <c r="QTT210" s="212"/>
      <c r="QTU210" s="212"/>
      <c r="QTV210" s="212"/>
      <c r="QTW210" s="212"/>
      <c r="QTX210" s="212"/>
      <c r="QTY210" s="212"/>
      <c r="QTZ210" s="212"/>
      <c r="QUA210" s="212"/>
      <c r="QUB210" s="212"/>
      <c r="QUC210" s="212"/>
      <c r="QUD210" s="212"/>
      <c r="QUE210" s="212"/>
      <c r="QUF210" s="212"/>
      <c r="QUG210" s="212"/>
      <c r="QUH210" s="212"/>
      <c r="QUI210" s="212"/>
      <c r="QUJ210" s="212"/>
      <c r="QUK210" s="212"/>
      <c r="QUL210" s="212"/>
      <c r="QUM210" s="212"/>
      <c r="QUN210" s="212"/>
      <c r="QUO210" s="212"/>
      <c r="QUP210" s="212"/>
      <c r="QUQ210" s="212"/>
      <c r="QUR210" s="214"/>
      <c r="QUS210" s="211"/>
      <c r="QUT210" s="212"/>
      <c r="QUU210" s="212"/>
      <c r="QUV210" s="212"/>
      <c r="QUW210" s="212"/>
      <c r="QUX210" s="212"/>
      <c r="QUY210" s="212"/>
      <c r="QUZ210" s="212"/>
      <c r="QVA210" s="212"/>
      <c r="QVB210" s="212"/>
      <c r="QVC210" s="212"/>
      <c r="QVD210" s="212"/>
      <c r="QVE210" s="212"/>
      <c r="QVF210" s="212"/>
      <c r="QVG210" s="212"/>
      <c r="QVH210" s="212"/>
      <c r="QVI210" s="212"/>
      <c r="QVJ210" s="212"/>
      <c r="QVK210" s="212"/>
      <c r="QVL210" s="212"/>
      <c r="QVM210" s="212"/>
      <c r="QVN210" s="212"/>
      <c r="QVO210" s="212"/>
      <c r="QVP210" s="212"/>
      <c r="QVQ210" s="212"/>
      <c r="QVR210" s="212"/>
      <c r="QVS210" s="212"/>
      <c r="QVT210" s="212"/>
      <c r="QVU210" s="212"/>
      <c r="QVV210" s="212"/>
      <c r="QVW210" s="212"/>
      <c r="QVX210" s="212"/>
      <c r="QVY210" s="212"/>
      <c r="QVZ210" s="212"/>
      <c r="QWA210" s="212"/>
      <c r="QWB210" s="212"/>
      <c r="QWC210" s="212"/>
      <c r="QWD210" s="212"/>
      <c r="QWE210" s="212"/>
      <c r="QWF210" s="212"/>
      <c r="QWG210" s="212"/>
      <c r="QWH210" s="212"/>
      <c r="QWI210" s="212"/>
      <c r="QWJ210" s="214"/>
      <c r="QWK210" s="211"/>
      <c r="QWL210" s="212"/>
      <c r="QWM210" s="212"/>
      <c r="QWN210" s="212"/>
      <c r="QWO210" s="212"/>
      <c r="QWP210" s="212"/>
      <c r="QWQ210" s="212"/>
      <c r="QWR210" s="212"/>
      <c r="QWS210" s="212"/>
      <c r="QWT210" s="212"/>
      <c r="QWU210" s="212"/>
      <c r="QWV210" s="212"/>
      <c r="QWW210" s="212"/>
      <c r="QWX210" s="212"/>
      <c r="QWY210" s="212"/>
      <c r="QWZ210" s="212"/>
      <c r="QXA210" s="212"/>
      <c r="QXB210" s="212"/>
      <c r="QXC210" s="212"/>
      <c r="QXD210" s="212"/>
      <c r="QXE210" s="212"/>
      <c r="QXF210" s="212"/>
      <c r="QXG210" s="212"/>
      <c r="QXH210" s="212"/>
      <c r="QXI210" s="212"/>
      <c r="QXJ210" s="212"/>
      <c r="QXK210" s="212"/>
      <c r="QXL210" s="212"/>
      <c r="QXM210" s="212"/>
      <c r="QXN210" s="212"/>
      <c r="QXO210" s="212"/>
      <c r="QXP210" s="212"/>
      <c r="QXQ210" s="212"/>
      <c r="QXR210" s="212"/>
      <c r="QXS210" s="212"/>
      <c r="QXT210" s="212"/>
      <c r="QXU210" s="212"/>
      <c r="QXV210" s="212"/>
      <c r="QXW210" s="212"/>
      <c r="QXX210" s="212"/>
      <c r="QXY210" s="212"/>
      <c r="QXZ210" s="212"/>
      <c r="QYA210" s="212"/>
      <c r="QYB210" s="214"/>
      <c r="QYC210" s="211"/>
      <c r="QYD210" s="212"/>
      <c r="QYE210" s="212"/>
      <c r="QYF210" s="212"/>
      <c r="QYG210" s="212"/>
      <c r="QYH210" s="212"/>
      <c r="QYI210" s="212"/>
      <c r="QYJ210" s="212"/>
      <c r="QYK210" s="212"/>
      <c r="QYL210" s="212"/>
      <c r="QYM210" s="212"/>
      <c r="QYN210" s="212"/>
      <c r="QYO210" s="212"/>
      <c r="QYP210" s="212"/>
      <c r="QYQ210" s="212"/>
      <c r="QYR210" s="212"/>
      <c r="QYS210" s="212"/>
      <c r="QYT210" s="212"/>
      <c r="QYU210" s="212"/>
      <c r="QYV210" s="212"/>
      <c r="QYW210" s="212"/>
      <c r="QYX210" s="212"/>
      <c r="QYY210" s="212"/>
      <c r="QYZ210" s="212"/>
      <c r="QZA210" s="212"/>
      <c r="QZB210" s="212"/>
      <c r="QZC210" s="212"/>
      <c r="QZD210" s="212"/>
      <c r="QZE210" s="212"/>
      <c r="QZF210" s="212"/>
      <c r="QZG210" s="212"/>
      <c r="QZH210" s="212"/>
      <c r="QZI210" s="212"/>
      <c r="QZJ210" s="212"/>
      <c r="QZK210" s="212"/>
      <c r="QZL210" s="212"/>
      <c r="QZM210" s="212"/>
      <c r="QZN210" s="212"/>
      <c r="QZO210" s="212"/>
      <c r="QZP210" s="212"/>
      <c r="QZQ210" s="212"/>
      <c r="QZR210" s="212"/>
      <c r="QZS210" s="212"/>
      <c r="QZT210" s="214"/>
      <c r="QZU210" s="211"/>
      <c r="QZV210" s="212"/>
      <c r="QZW210" s="212"/>
      <c r="QZX210" s="212"/>
      <c r="QZY210" s="212"/>
      <c r="QZZ210" s="212"/>
      <c r="RAA210" s="212"/>
      <c r="RAB210" s="212"/>
      <c r="RAC210" s="212"/>
      <c r="RAD210" s="212"/>
      <c r="RAE210" s="212"/>
      <c r="RAF210" s="212"/>
      <c r="RAG210" s="212"/>
      <c r="RAH210" s="212"/>
      <c r="RAI210" s="212"/>
      <c r="RAJ210" s="212"/>
      <c r="RAK210" s="212"/>
      <c r="RAL210" s="212"/>
      <c r="RAM210" s="212"/>
      <c r="RAN210" s="212"/>
      <c r="RAO210" s="212"/>
      <c r="RAP210" s="212"/>
      <c r="RAQ210" s="212"/>
      <c r="RAR210" s="212"/>
      <c r="RAS210" s="212"/>
      <c r="RAT210" s="212"/>
      <c r="RAU210" s="212"/>
      <c r="RAV210" s="212"/>
      <c r="RAW210" s="212"/>
      <c r="RAX210" s="212"/>
      <c r="RAY210" s="212"/>
      <c r="RAZ210" s="212"/>
      <c r="RBA210" s="212"/>
      <c r="RBB210" s="212"/>
      <c r="RBC210" s="212"/>
      <c r="RBD210" s="212"/>
      <c r="RBE210" s="212"/>
      <c r="RBF210" s="212"/>
      <c r="RBG210" s="212"/>
      <c r="RBH210" s="212"/>
      <c r="RBI210" s="212"/>
      <c r="RBJ210" s="212"/>
      <c r="RBK210" s="212"/>
      <c r="RBL210" s="214"/>
      <c r="RBM210" s="211"/>
      <c r="RBN210" s="212"/>
      <c r="RBO210" s="212"/>
      <c r="RBP210" s="212"/>
      <c r="RBQ210" s="212"/>
      <c r="RBR210" s="212"/>
      <c r="RBS210" s="212"/>
      <c r="RBT210" s="212"/>
      <c r="RBU210" s="212"/>
      <c r="RBV210" s="212"/>
      <c r="RBW210" s="212"/>
      <c r="RBX210" s="212"/>
      <c r="RBY210" s="212"/>
      <c r="RBZ210" s="212"/>
      <c r="RCA210" s="212"/>
      <c r="RCB210" s="212"/>
      <c r="RCC210" s="212"/>
      <c r="RCD210" s="212"/>
      <c r="RCE210" s="212"/>
      <c r="RCF210" s="212"/>
      <c r="RCG210" s="212"/>
      <c r="RCH210" s="212"/>
      <c r="RCI210" s="212"/>
      <c r="RCJ210" s="212"/>
      <c r="RCK210" s="212"/>
      <c r="RCL210" s="212"/>
      <c r="RCM210" s="212"/>
      <c r="RCN210" s="212"/>
      <c r="RCO210" s="212"/>
      <c r="RCP210" s="212"/>
      <c r="RCQ210" s="212"/>
      <c r="RCR210" s="212"/>
      <c r="RCS210" s="212"/>
      <c r="RCT210" s="212"/>
      <c r="RCU210" s="212"/>
      <c r="RCV210" s="212"/>
      <c r="RCW210" s="212"/>
      <c r="RCX210" s="212"/>
      <c r="RCY210" s="212"/>
      <c r="RCZ210" s="212"/>
      <c r="RDA210" s="212"/>
      <c r="RDB210" s="212"/>
      <c r="RDC210" s="212"/>
      <c r="RDD210" s="214"/>
      <c r="RDE210" s="211"/>
      <c r="RDF210" s="212"/>
      <c r="RDG210" s="212"/>
      <c r="RDH210" s="212"/>
      <c r="RDI210" s="212"/>
      <c r="RDJ210" s="212"/>
      <c r="RDK210" s="212"/>
      <c r="RDL210" s="212"/>
      <c r="RDM210" s="212"/>
      <c r="RDN210" s="212"/>
      <c r="RDO210" s="212"/>
      <c r="RDP210" s="212"/>
      <c r="RDQ210" s="212"/>
      <c r="RDR210" s="212"/>
      <c r="RDS210" s="212"/>
      <c r="RDT210" s="212"/>
      <c r="RDU210" s="212"/>
      <c r="RDV210" s="212"/>
      <c r="RDW210" s="212"/>
      <c r="RDX210" s="212"/>
      <c r="RDY210" s="212"/>
      <c r="RDZ210" s="212"/>
      <c r="REA210" s="212"/>
      <c r="REB210" s="212"/>
      <c r="REC210" s="212"/>
      <c r="RED210" s="212"/>
      <c r="REE210" s="212"/>
      <c r="REF210" s="212"/>
      <c r="REG210" s="212"/>
      <c r="REH210" s="212"/>
      <c r="REI210" s="212"/>
      <c r="REJ210" s="212"/>
      <c r="REK210" s="212"/>
      <c r="REL210" s="212"/>
      <c r="REM210" s="212"/>
      <c r="REN210" s="212"/>
      <c r="REO210" s="212"/>
      <c r="REP210" s="212"/>
      <c r="REQ210" s="212"/>
      <c r="RER210" s="212"/>
      <c r="RES210" s="212"/>
      <c r="RET210" s="212"/>
      <c r="REU210" s="212"/>
      <c r="REV210" s="214"/>
      <c r="REW210" s="211"/>
      <c r="REX210" s="212"/>
      <c r="REY210" s="212"/>
      <c r="REZ210" s="212"/>
      <c r="RFA210" s="212"/>
      <c r="RFB210" s="212"/>
      <c r="RFC210" s="212"/>
      <c r="RFD210" s="212"/>
      <c r="RFE210" s="212"/>
      <c r="RFF210" s="212"/>
      <c r="RFG210" s="212"/>
      <c r="RFH210" s="212"/>
      <c r="RFI210" s="212"/>
      <c r="RFJ210" s="212"/>
      <c r="RFK210" s="212"/>
      <c r="RFL210" s="212"/>
      <c r="RFM210" s="212"/>
      <c r="RFN210" s="212"/>
      <c r="RFO210" s="212"/>
      <c r="RFP210" s="212"/>
      <c r="RFQ210" s="212"/>
      <c r="RFR210" s="212"/>
      <c r="RFS210" s="212"/>
      <c r="RFT210" s="212"/>
      <c r="RFU210" s="212"/>
      <c r="RFV210" s="212"/>
      <c r="RFW210" s="212"/>
      <c r="RFX210" s="212"/>
      <c r="RFY210" s="212"/>
      <c r="RFZ210" s="212"/>
      <c r="RGA210" s="212"/>
      <c r="RGB210" s="212"/>
      <c r="RGC210" s="212"/>
      <c r="RGD210" s="212"/>
      <c r="RGE210" s="212"/>
      <c r="RGF210" s="212"/>
      <c r="RGG210" s="212"/>
      <c r="RGH210" s="212"/>
      <c r="RGI210" s="212"/>
      <c r="RGJ210" s="212"/>
      <c r="RGK210" s="212"/>
      <c r="RGL210" s="212"/>
      <c r="RGM210" s="212"/>
      <c r="RGN210" s="214"/>
      <c r="RGO210" s="211"/>
      <c r="RGP210" s="212"/>
      <c r="RGQ210" s="212"/>
      <c r="RGR210" s="212"/>
      <c r="RGS210" s="212"/>
      <c r="RGT210" s="212"/>
      <c r="RGU210" s="212"/>
      <c r="RGV210" s="212"/>
      <c r="RGW210" s="212"/>
      <c r="RGX210" s="212"/>
      <c r="RGY210" s="212"/>
      <c r="RGZ210" s="212"/>
      <c r="RHA210" s="212"/>
      <c r="RHB210" s="212"/>
      <c r="RHC210" s="212"/>
      <c r="RHD210" s="212"/>
      <c r="RHE210" s="212"/>
      <c r="RHF210" s="212"/>
      <c r="RHG210" s="212"/>
      <c r="RHH210" s="212"/>
      <c r="RHI210" s="212"/>
      <c r="RHJ210" s="212"/>
      <c r="RHK210" s="212"/>
      <c r="RHL210" s="212"/>
      <c r="RHM210" s="212"/>
      <c r="RHN210" s="212"/>
      <c r="RHO210" s="212"/>
      <c r="RHP210" s="212"/>
      <c r="RHQ210" s="212"/>
      <c r="RHR210" s="212"/>
      <c r="RHS210" s="212"/>
      <c r="RHT210" s="212"/>
      <c r="RHU210" s="212"/>
      <c r="RHV210" s="212"/>
      <c r="RHW210" s="212"/>
      <c r="RHX210" s="212"/>
      <c r="RHY210" s="212"/>
      <c r="RHZ210" s="212"/>
      <c r="RIA210" s="212"/>
      <c r="RIB210" s="212"/>
      <c r="RIC210" s="212"/>
      <c r="RID210" s="212"/>
      <c r="RIE210" s="212"/>
      <c r="RIF210" s="214"/>
      <c r="RIG210" s="211"/>
      <c r="RIH210" s="212"/>
      <c r="RII210" s="212"/>
      <c r="RIJ210" s="212"/>
      <c r="RIK210" s="212"/>
      <c r="RIL210" s="212"/>
      <c r="RIM210" s="212"/>
      <c r="RIN210" s="212"/>
      <c r="RIO210" s="212"/>
      <c r="RIP210" s="212"/>
      <c r="RIQ210" s="212"/>
      <c r="RIR210" s="212"/>
      <c r="RIS210" s="212"/>
      <c r="RIT210" s="212"/>
      <c r="RIU210" s="212"/>
      <c r="RIV210" s="212"/>
      <c r="RIW210" s="212"/>
      <c r="RIX210" s="212"/>
      <c r="RIY210" s="212"/>
      <c r="RIZ210" s="212"/>
      <c r="RJA210" s="212"/>
      <c r="RJB210" s="212"/>
      <c r="RJC210" s="212"/>
      <c r="RJD210" s="212"/>
      <c r="RJE210" s="212"/>
      <c r="RJF210" s="212"/>
      <c r="RJG210" s="212"/>
      <c r="RJH210" s="212"/>
      <c r="RJI210" s="212"/>
      <c r="RJJ210" s="212"/>
      <c r="RJK210" s="212"/>
      <c r="RJL210" s="212"/>
      <c r="RJM210" s="212"/>
      <c r="RJN210" s="212"/>
      <c r="RJO210" s="212"/>
      <c r="RJP210" s="212"/>
      <c r="RJQ210" s="212"/>
      <c r="RJR210" s="212"/>
      <c r="RJS210" s="212"/>
      <c r="RJT210" s="212"/>
      <c r="RJU210" s="212"/>
      <c r="RJV210" s="212"/>
      <c r="RJW210" s="212"/>
      <c r="RJX210" s="214"/>
      <c r="RJY210" s="211"/>
      <c r="RJZ210" s="212"/>
      <c r="RKA210" s="212"/>
      <c r="RKB210" s="212"/>
      <c r="RKC210" s="212"/>
      <c r="RKD210" s="212"/>
      <c r="RKE210" s="212"/>
      <c r="RKF210" s="212"/>
      <c r="RKG210" s="212"/>
      <c r="RKH210" s="212"/>
      <c r="RKI210" s="212"/>
      <c r="RKJ210" s="212"/>
      <c r="RKK210" s="212"/>
      <c r="RKL210" s="212"/>
      <c r="RKM210" s="212"/>
      <c r="RKN210" s="212"/>
      <c r="RKO210" s="212"/>
      <c r="RKP210" s="212"/>
      <c r="RKQ210" s="212"/>
      <c r="RKR210" s="212"/>
      <c r="RKS210" s="212"/>
      <c r="RKT210" s="212"/>
      <c r="RKU210" s="212"/>
      <c r="RKV210" s="212"/>
      <c r="RKW210" s="212"/>
      <c r="RKX210" s="212"/>
      <c r="RKY210" s="212"/>
      <c r="RKZ210" s="212"/>
      <c r="RLA210" s="212"/>
      <c r="RLB210" s="212"/>
      <c r="RLC210" s="212"/>
      <c r="RLD210" s="212"/>
      <c r="RLE210" s="212"/>
      <c r="RLF210" s="212"/>
      <c r="RLG210" s="212"/>
      <c r="RLH210" s="212"/>
      <c r="RLI210" s="212"/>
      <c r="RLJ210" s="212"/>
      <c r="RLK210" s="212"/>
      <c r="RLL210" s="212"/>
      <c r="RLM210" s="212"/>
      <c r="RLN210" s="212"/>
      <c r="RLO210" s="212"/>
      <c r="RLP210" s="214"/>
      <c r="RLQ210" s="211"/>
      <c r="RLR210" s="212"/>
      <c r="RLS210" s="212"/>
      <c r="RLT210" s="212"/>
      <c r="RLU210" s="212"/>
      <c r="RLV210" s="212"/>
      <c r="RLW210" s="212"/>
      <c r="RLX210" s="212"/>
      <c r="RLY210" s="212"/>
      <c r="RLZ210" s="212"/>
      <c r="RMA210" s="212"/>
      <c r="RMB210" s="212"/>
      <c r="RMC210" s="212"/>
      <c r="RMD210" s="212"/>
      <c r="RME210" s="212"/>
      <c r="RMF210" s="212"/>
      <c r="RMG210" s="212"/>
      <c r="RMH210" s="212"/>
      <c r="RMI210" s="212"/>
      <c r="RMJ210" s="212"/>
      <c r="RMK210" s="212"/>
      <c r="RML210" s="212"/>
      <c r="RMM210" s="212"/>
      <c r="RMN210" s="212"/>
      <c r="RMO210" s="212"/>
      <c r="RMP210" s="212"/>
      <c r="RMQ210" s="212"/>
      <c r="RMR210" s="212"/>
      <c r="RMS210" s="212"/>
      <c r="RMT210" s="212"/>
      <c r="RMU210" s="212"/>
      <c r="RMV210" s="212"/>
      <c r="RMW210" s="212"/>
      <c r="RMX210" s="212"/>
      <c r="RMY210" s="212"/>
      <c r="RMZ210" s="212"/>
      <c r="RNA210" s="212"/>
      <c r="RNB210" s="212"/>
      <c r="RNC210" s="212"/>
      <c r="RND210" s="212"/>
      <c r="RNE210" s="212"/>
      <c r="RNF210" s="212"/>
      <c r="RNG210" s="212"/>
      <c r="RNH210" s="214"/>
      <c r="RNI210" s="211"/>
      <c r="RNJ210" s="212"/>
      <c r="RNK210" s="212"/>
      <c r="RNL210" s="212"/>
      <c r="RNM210" s="212"/>
      <c r="RNN210" s="212"/>
      <c r="RNO210" s="212"/>
      <c r="RNP210" s="212"/>
      <c r="RNQ210" s="212"/>
      <c r="RNR210" s="212"/>
      <c r="RNS210" s="212"/>
      <c r="RNT210" s="212"/>
      <c r="RNU210" s="212"/>
      <c r="RNV210" s="212"/>
      <c r="RNW210" s="212"/>
      <c r="RNX210" s="212"/>
      <c r="RNY210" s="212"/>
      <c r="RNZ210" s="212"/>
      <c r="ROA210" s="212"/>
      <c r="ROB210" s="212"/>
      <c r="ROC210" s="212"/>
      <c r="ROD210" s="212"/>
      <c r="ROE210" s="212"/>
      <c r="ROF210" s="212"/>
      <c r="ROG210" s="212"/>
      <c r="ROH210" s="212"/>
      <c r="ROI210" s="212"/>
      <c r="ROJ210" s="212"/>
      <c r="ROK210" s="212"/>
      <c r="ROL210" s="212"/>
      <c r="ROM210" s="212"/>
      <c r="RON210" s="212"/>
      <c r="ROO210" s="212"/>
      <c r="ROP210" s="212"/>
      <c r="ROQ210" s="212"/>
      <c r="ROR210" s="212"/>
      <c r="ROS210" s="212"/>
      <c r="ROT210" s="212"/>
      <c r="ROU210" s="212"/>
      <c r="ROV210" s="212"/>
      <c r="ROW210" s="212"/>
      <c r="ROX210" s="212"/>
      <c r="ROY210" s="212"/>
      <c r="ROZ210" s="214"/>
      <c r="RPA210" s="211"/>
      <c r="RPB210" s="212"/>
      <c r="RPC210" s="212"/>
      <c r="RPD210" s="212"/>
      <c r="RPE210" s="212"/>
      <c r="RPF210" s="212"/>
      <c r="RPG210" s="212"/>
      <c r="RPH210" s="212"/>
      <c r="RPI210" s="212"/>
      <c r="RPJ210" s="212"/>
      <c r="RPK210" s="212"/>
      <c r="RPL210" s="212"/>
      <c r="RPM210" s="212"/>
      <c r="RPN210" s="212"/>
      <c r="RPO210" s="212"/>
      <c r="RPP210" s="212"/>
      <c r="RPQ210" s="212"/>
      <c r="RPR210" s="212"/>
      <c r="RPS210" s="212"/>
      <c r="RPT210" s="212"/>
      <c r="RPU210" s="212"/>
      <c r="RPV210" s="212"/>
      <c r="RPW210" s="212"/>
      <c r="RPX210" s="212"/>
      <c r="RPY210" s="212"/>
      <c r="RPZ210" s="212"/>
      <c r="RQA210" s="212"/>
      <c r="RQB210" s="212"/>
      <c r="RQC210" s="212"/>
      <c r="RQD210" s="212"/>
      <c r="RQE210" s="212"/>
      <c r="RQF210" s="212"/>
      <c r="RQG210" s="212"/>
      <c r="RQH210" s="212"/>
      <c r="RQI210" s="212"/>
      <c r="RQJ210" s="212"/>
      <c r="RQK210" s="212"/>
      <c r="RQL210" s="212"/>
      <c r="RQM210" s="212"/>
      <c r="RQN210" s="212"/>
      <c r="RQO210" s="212"/>
      <c r="RQP210" s="212"/>
      <c r="RQQ210" s="212"/>
      <c r="RQR210" s="214"/>
      <c r="RQS210" s="211"/>
      <c r="RQT210" s="212"/>
      <c r="RQU210" s="212"/>
      <c r="RQV210" s="212"/>
      <c r="RQW210" s="212"/>
      <c r="RQX210" s="212"/>
      <c r="RQY210" s="212"/>
      <c r="RQZ210" s="212"/>
      <c r="RRA210" s="212"/>
      <c r="RRB210" s="212"/>
      <c r="RRC210" s="212"/>
      <c r="RRD210" s="212"/>
      <c r="RRE210" s="212"/>
      <c r="RRF210" s="212"/>
      <c r="RRG210" s="212"/>
      <c r="RRH210" s="212"/>
      <c r="RRI210" s="212"/>
      <c r="RRJ210" s="212"/>
      <c r="RRK210" s="212"/>
      <c r="RRL210" s="212"/>
      <c r="RRM210" s="212"/>
      <c r="RRN210" s="212"/>
      <c r="RRO210" s="212"/>
      <c r="RRP210" s="212"/>
      <c r="RRQ210" s="212"/>
      <c r="RRR210" s="212"/>
      <c r="RRS210" s="212"/>
      <c r="RRT210" s="212"/>
      <c r="RRU210" s="212"/>
      <c r="RRV210" s="212"/>
      <c r="RRW210" s="212"/>
      <c r="RRX210" s="212"/>
      <c r="RRY210" s="212"/>
      <c r="RRZ210" s="212"/>
      <c r="RSA210" s="212"/>
      <c r="RSB210" s="212"/>
      <c r="RSC210" s="212"/>
      <c r="RSD210" s="212"/>
      <c r="RSE210" s="212"/>
      <c r="RSF210" s="212"/>
      <c r="RSG210" s="212"/>
      <c r="RSH210" s="212"/>
      <c r="RSI210" s="212"/>
      <c r="RSJ210" s="214"/>
      <c r="RSK210" s="211"/>
      <c r="RSL210" s="212"/>
      <c r="RSM210" s="212"/>
      <c r="RSN210" s="212"/>
      <c r="RSO210" s="212"/>
      <c r="RSP210" s="212"/>
      <c r="RSQ210" s="212"/>
      <c r="RSR210" s="212"/>
      <c r="RSS210" s="212"/>
      <c r="RST210" s="212"/>
      <c r="RSU210" s="212"/>
      <c r="RSV210" s="212"/>
      <c r="RSW210" s="212"/>
      <c r="RSX210" s="212"/>
      <c r="RSY210" s="212"/>
      <c r="RSZ210" s="212"/>
      <c r="RTA210" s="212"/>
      <c r="RTB210" s="212"/>
      <c r="RTC210" s="212"/>
      <c r="RTD210" s="212"/>
      <c r="RTE210" s="212"/>
      <c r="RTF210" s="212"/>
      <c r="RTG210" s="212"/>
      <c r="RTH210" s="212"/>
      <c r="RTI210" s="212"/>
      <c r="RTJ210" s="212"/>
      <c r="RTK210" s="212"/>
      <c r="RTL210" s="212"/>
      <c r="RTM210" s="212"/>
      <c r="RTN210" s="212"/>
      <c r="RTO210" s="212"/>
      <c r="RTP210" s="212"/>
      <c r="RTQ210" s="212"/>
      <c r="RTR210" s="212"/>
      <c r="RTS210" s="212"/>
      <c r="RTT210" s="212"/>
      <c r="RTU210" s="212"/>
      <c r="RTV210" s="212"/>
      <c r="RTW210" s="212"/>
      <c r="RTX210" s="212"/>
      <c r="RTY210" s="212"/>
      <c r="RTZ210" s="212"/>
      <c r="RUA210" s="212"/>
      <c r="RUB210" s="214"/>
      <c r="RUC210" s="211"/>
      <c r="RUD210" s="212"/>
      <c r="RUE210" s="212"/>
      <c r="RUF210" s="212"/>
      <c r="RUG210" s="212"/>
      <c r="RUH210" s="212"/>
      <c r="RUI210" s="212"/>
      <c r="RUJ210" s="212"/>
      <c r="RUK210" s="212"/>
      <c r="RUL210" s="212"/>
      <c r="RUM210" s="212"/>
      <c r="RUN210" s="212"/>
      <c r="RUO210" s="212"/>
      <c r="RUP210" s="212"/>
      <c r="RUQ210" s="212"/>
      <c r="RUR210" s="212"/>
      <c r="RUS210" s="212"/>
      <c r="RUT210" s="212"/>
      <c r="RUU210" s="212"/>
      <c r="RUV210" s="212"/>
      <c r="RUW210" s="212"/>
      <c r="RUX210" s="212"/>
      <c r="RUY210" s="212"/>
      <c r="RUZ210" s="212"/>
      <c r="RVA210" s="212"/>
      <c r="RVB210" s="212"/>
      <c r="RVC210" s="212"/>
      <c r="RVD210" s="212"/>
      <c r="RVE210" s="212"/>
      <c r="RVF210" s="212"/>
      <c r="RVG210" s="212"/>
      <c r="RVH210" s="212"/>
      <c r="RVI210" s="212"/>
      <c r="RVJ210" s="212"/>
      <c r="RVK210" s="212"/>
      <c r="RVL210" s="212"/>
      <c r="RVM210" s="212"/>
      <c r="RVN210" s="212"/>
      <c r="RVO210" s="212"/>
      <c r="RVP210" s="212"/>
      <c r="RVQ210" s="212"/>
      <c r="RVR210" s="212"/>
      <c r="RVS210" s="212"/>
      <c r="RVT210" s="214"/>
      <c r="RVU210" s="211"/>
      <c r="RVV210" s="212"/>
      <c r="RVW210" s="212"/>
      <c r="RVX210" s="212"/>
      <c r="RVY210" s="212"/>
      <c r="RVZ210" s="212"/>
      <c r="RWA210" s="212"/>
      <c r="RWB210" s="212"/>
      <c r="RWC210" s="212"/>
      <c r="RWD210" s="212"/>
      <c r="RWE210" s="212"/>
      <c r="RWF210" s="212"/>
      <c r="RWG210" s="212"/>
      <c r="RWH210" s="212"/>
      <c r="RWI210" s="212"/>
      <c r="RWJ210" s="212"/>
      <c r="RWK210" s="212"/>
      <c r="RWL210" s="212"/>
      <c r="RWM210" s="212"/>
      <c r="RWN210" s="212"/>
      <c r="RWO210" s="212"/>
      <c r="RWP210" s="212"/>
      <c r="RWQ210" s="212"/>
      <c r="RWR210" s="212"/>
      <c r="RWS210" s="212"/>
      <c r="RWT210" s="212"/>
      <c r="RWU210" s="212"/>
      <c r="RWV210" s="212"/>
      <c r="RWW210" s="212"/>
      <c r="RWX210" s="212"/>
      <c r="RWY210" s="212"/>
      <c r="RWZ210" s="212"/>
      <c r="RXA210" s="212"/>
      <c r="RXB210" s="212"/>
      <c r="RXC210" s="212"/>
      <c r="RXD210" s="212"/>
      <c r="RXE210" s="212"/>
      <c r="RXF210" s="212"/>
      <c r="RXG210" s="212"/>
      <c r="RXH210" s="212"/>
      <c r="RXI210" s="212"/>
      <c r="RXJ210" s="212"/>
      <c r="RXK210" s="212"/>
      <c r="RXL210" s="214"/>
      <c r="RXM210" s="211"/>
      <c r="RXN210" s="212"/>
      <c r="RXO210" s="212"/>
      <c r="RXP210" s="212"/>
      <c r="RXQ210" s="212"/>
      <c r="RXR210" s="212"/>
      <c r="RXS210" s="212"/>
      <c r="RXT210" s="212"/>
      <c r="RXU210" s="212"/>
      <c r="RXV210" s="212"/>
      <c r="RXW210" s="212"/>
      <c r="RXX210" s="212"/>
      <c r="RXY210" s="212"/>
      <c r="RXZ210" s="212"/>
      <c r="RYA210" s="212"/>
      <c r="RYB210" s="212"/>
      <c r="RYC210" s="212"/>
      <c r="RYD210" s="212"/>
      <c r="RYE210" s="212"/>
      <c r="RYF210" s="212"/>
      <c r="RYG210" s="212"/>
      <c r="RYH210" s="212"/>
      <c r="RYI210" s="212"/>
      <c r="RYJ210" s="212"/>
      <c r="RYK210" s="212"/>
      <c r="RYL210" s="212"/>
      <c r="RYM210" s="212"/>
      <c r="RYN210" s="212"/>
      <c r="RYO210" s="212"/>
      <c r="RYP210" s="212"/>
      <c r="RYQ210" s="212"/>
      <c r="RYR210" s="212"/>
      <c r="RYS210" s="212"/>
      <c r="RYT210" s="212"/>
      <c r="RYU210" s="212"/>
      <c r="RYV210" s="212"/>
      <c r="RYW210" s="212"/>
      <c r="RYX210" s="212"/>
      <c r="RYY210" s="212"/>
      <c r="RYZ210" s="212"/>
      <c r="RZA210" s="212"/>
      <c r="RZB210" s="212"/>
      <c r="RZC210" s="212"/>
      <c r="RZD210" s="214"/>
      <c r="RZE210" s="211"/>
      <c r="RZF210" s="212"/>
      <c r="RZG210" s="212"/>
      <c r="RZH210" s="212"/>
      <c r="RZI210" s="212"/>
      <c r="RZJ210" s="212"/>
      <c r="RZK210" s="212"/>
      <c r="RZL210" s="212"/>
      <c r="RZM210" s="212"/>
      <c r="RZN210" s="212"/>
      <c r="RZO210" s="212"/>
      <c r="RZP210" s="212"/>
      <c r="RZQ210" s="212"/>
      <c r="RZR210" s="212"/>
      <c r="RZS210" s="212"/>
      <c r="RZT210" s="212"/>
      <c r="RZU210" s="212"/>
      <c r="RZV210" s="212"/>
      <c r="RZW210" s="212"/>
      <c r="RZX210" s="212"/>
      <c r="RZY210" s="212"/>
      <c r="RZZ210" s="212"/>
      <c r="SAA210" s="212"/>
      <c r="SAB210" s="212"/>
      <c r="SAC210" s="212"/>
      <c r="SAD210" s="212"/>
      <c r="SAE210" s="212"/>
      <c r="SAF210" s="212"/>
      <c r="SAG210" s="212"/>
      <c r="SAH210" s="212"/>
      <c r="SAI210" s="212"/>
      <c r="SAJ210" s="212"/>
      <c r="SAK210" s="212"/>
      <c r="SAL210" s="212"/>
      <c r="SAM210" s="212"/>
      <c r="SAN210" s="212"/>
      <c r="SAO210" s="212"/>
      <c r="SAP210" s="212"/>
      <c r="SAQ210" s="212"/>
      <c r="SAR210" s="212"/>
      <c r="SAS210" s="212"/>
      <c r="SAT210" s="212"/>
      <c r="SAU210" s="212"/>
      <c r="SAV210" s="214"/>
      <c r="SAW210" s="211"/>
      <c r="SAX210" s="212"/>
      <c r="SAY210" s="212"/>
      <c r="SAZ210" s="212"/>
      <c r="SBA210" s="212"/>
      <c r="SBB210" s="212"/>
      <c r="SBC210" s="212"/>
      <c r="SBD210" s="212"/>
      <c r="SBE210" s="212"/>
      <c r="SBF210" s="212"/>
      <c r="SBG210" s="212"/>
      <c r="SBH210" s="212"/>
      <c r="SBI210" s="212"/>
      <c r="SBJ210" s="212"/>
      <c r="SBK210" s="212"/>
      <c r="SBL210" s="212"/>
      <c r="SBM210" s="212"/>
      <c r="SBN210" s="212"/>
      <c r="SBO210" s="212"/>
      <c r="SBP210" s="212"/>
      <c r="SBQ210" s="212"/>
      <c r="SBR210" s="212"/>
      <c r="SBS210" s="212"/>
      <c r="SBT210" s="212"/>
      <c r="SBU210" s="212"/>
      <c r="SBV210" s="212"/>
      <c r="SBW210" s="212"/>
      <c r="SBX210" s="212"/>
      <c r="SBY210" s="212"/>
      <c r="SBZ210" s="212"/>
      <c r="SCA210" s="212"/>
      <c r="SCB210" s="212"/>
      <c r="SCC210" s="212"/>
      <c r="SCD210" s="212"/>
      <c r="SCE210" s="212"/>
      <c r="SCF210" s="212"/>
      <c r="SCG210" s="212"/>
      <c r="SCH210" s="212"/>
      <c r="SCI210" s="212"/>
      <c r="SCJ210" s="212"/>
      <c r="SCK210" s="212"/>
      <c r="SCL210" s="212"/>
      <c r="SCM210" s="212"/>
      <c r="SCN210" s="214"/>
      <c r="SCO210" s="211"/>
      <c r="SCP210" s="212"/>
      <c r="SCQ210" s="212"/>
      <c r="SCR210" s="212"/>
      <c r="SCS210" s="212"/>
      <c r="SCT210" s="212"/>
      <c r="SCU210" s="212"/>
      <c r="SCV210" s="212"/>
      <c r="SCW210" s="212"/>
      <c r="SCX210" s="212"/>
      <c r="SCY210" s="212"/>
      <c r="SCZ210" s="212"/>
      <c r="SDA210" s="212"/>
      <c r="SDB210" s="212"/>
      <c r="SDC210" s="212"/>
      <c r="SDD210" s="212"/>
      <c r="SDE210" s="212"/>
      <c r="SDF210" s="212"/>
      <c r="SDG210" s="212"/>
      <c r="SDH210" s="212"/>
      <c r="SDI210" s="212"/>
      <c r="SDJ210" s="212"/>
      <c r="SDK210" s="212"/>
      <c r="SDL210" s="212"/>
      <c r="SDM210" s="212"/>
      <c r="SDN210" s="212"/>
      <c r="SDO210" s="212"/>
      <c r="SDP210" s="212"/>
      <c r="SDQ210" s="212"/>
      <c r="SDR210" s="212"/>
      <c r="SDS210" s="212"/>
      <c r="SDT210" s="212"/>
      <c r="SDU210" s="212"/>
      <c r="SDV210" s="212"/>
      <c r="SDW210" s="212"/>
      <c r="SDX210" s="212"/>
      <c r="SDY210" s="212"/>
      <c r="SDZ210" s="212"/>
      <c r="SEA210" s="212"/>
      <c r="SEB210" s="212"/>
      <c r="SEC210" s="212"/>
      <c r="SED210" s="212"/>
      <c r="SEE210" s="212"/>
      <c r="SEF210" s="214"/>
      <c r="SEG210" s="211"/>
      <c r="SEH210" s="212"/>
      <c r="SEI210" s="212"/>
      <c r="SEJ210" s="212"/>
      <c r="SEK210" s="212"/>
      <c r="SEL210" s="212"/>
      <c r="SEM210" s="212"/>
      <c r="SEN210" s="212"/>
      <c r="SEO210" s="212"/>
      <c r="SEP210" s="212"/>
      <c r="SEQ210" s="212"/>
      <c r="SER210" s="212"/>
      <c r="SES210" s="212"/>
      <c r="SET210" s="212"/>
      <c r="SEU210" s="212"/>
      <c r="SEV210" s="212"/>
      <c r="SEW210" s="212"/>
      <c r="SEX210" s="212"/>
      <c r="SEY210" s="212"/>
      <c r="SEZ210" s="212"/>
      <c r="SFA210" s="212"/>
      <c r="SFB210" s="212"/>
      <c r="SFC210" s="212"/>
      <c r="SFD210" s="212"/>
      <c r="SFE210" s="212"/>
      <c r="SFF210" s="212"/>
      <c r="SFG210" s="212"/>
      <c r="SFH210" s="212"/>
      <c r="SFI210" s="212"/>
      <c r="SFJ210" s="212"/>
      <c r="SFK210" s="212"/>
      <c r="SFL210" s="212"/>
      <c r="SFM210" s="212"/>
      <c r="SFN210" s="212"/>
      <c r="SFO210" s="212"/>
      <c r="SFP210" s="212"/>
      <c r="SFQ210" s="212"/>
      <c r="SFR210" s="212"/>
      <c r="SFS210" s="212"/>
      <c r="SFT210" s="212"/>
      <c r="SFU210" s="212"/>
      <c r="SFV210" s="212"/>
      <c r="SFW210" s="212"/>
      <c r="SFX210" s="214"/>
      <c r="SFY210" s="211"/>
      <c r="SFZ210" s="212"/>
      <c r="SGA210" s="212"/>
      <c r="SGB210" s="212"/>
      <c r="SGC210" s="212"/>
      <c r="SGD210" s="212"/>
      <c r="SGE210" s="212"/>
      <c r="SGF210" s="212"/>
      <c r="SGG210" s="212"/>
      <c r="SGH210" s="212"/>
      <c r="SGI210" s="212"/>
      <c r="SGJ210" s="212"/>
      <c r="SGK210" s="212"/>
      <c r="SGL210" s="212"/>
      <c r="SGM210" s="212"/>
      <c r="SGN210" s="212"/>
      <c r="SGO210" s="212"/>
      <c r="SGP210" s="212"/>
      <c r="SGQ210" s="212"/>
      <c r="SGR210" s="212"/>
      <c r="SGS210" s="212"/>
      <c r="SGT210" s="212"/>
      <c r="SGU210" s="212"/>
      <c r="SGV210" s="212"/>
      <c r="SGW210" s="212"/>
      <c r="SGX210" s="212"/>
      <c r="SGY210" s="212"/>
      <c r="SGZ210" s="212"/>
      <c r="SHA210" s="212"/>
      <c r="SHB210" s="212"/>
      <c r="SHC210" s="212"/>
      <c r="SHD210" s="212"/>
      <c r="SHE210" s="212"/>
      <c r="SHF210" s="212"/>
      <c r="SHG210" s="212"/>
      <c r="SHH210" s="212"/>
      <c r="SHI210" s="212"/>
      <c r="SHJ210" s="212"/>
      <c r="SHK210" s="212"/>
      <c r="SHL210" s="212"/>
      <c r="SHM210" s="212"/>
      <c r="SHN210" s="212"/>
      <c r="SHO210" s="212"/>
      <c r="SHP210" s="214"/>
      <c r="SHQ210" s="211"/>
      <c r="SHR210" s="212"/>
      <c r="SHS210" s="212"/>
      <c r="SHT210" s="212"/>
      <c r="SHU210" s="212"/>
      <c r="SHV210" s="212"/>
      <c r="SHW210" s="212"/>
      <c r="SHX210" s="212"/>
      <c r="SHY210" s="212"/>
      <c r="SHZ210" s="212"/>
      <c r="SIA210" s="212"/>
      <c r="SIB210" s="212"/>
      <c r="SIC210" s="212"/>
      <c r="SID210" s="212"/>
      <c r="SIE210" s="212"/>
      <c r="SIF210" s="212"/>
      <c r="SIG210" s="212"/>
      <c r="SIH210" s="212"/>
      <c r="SII210" s="212"/>
      <c r="SIJ210" s="212"/>
      <c r="SIK210" s="212"/>
      <c r="SIL210" s="212"/>
      <c r="SIM210" s="212"/>
      <c r="SIN210" s="212"/>
      <c r="SIO210" s="212"/>
      <c r="SIP210" s="212"/>
      <c r="SIQ210" s="212"/>
      <c r="SIR210" s="212"/>
      <c r="SIS210" s="212"/>
      <c r="SIT210" s="212"/>
      <c r="SIU210" s="212"/>
      <c r="SIV210" s="212"/>
      <c r="SIW210" s="212"/>
      <c r="SIX210" s="212"/>
      <c r="SIY210" s="212"/>
      <c r="SIZ210" s="212"/>
      <c r="SJA210" s="212"/>
      <c r="SJB210" s="212"/>
      <c r="SJC210" s="212"/>
      <c r="SJD210" s="212"/>
      <c r="SJE210" s="212"/>
      <c r="SJF210" s="212"/>
      <c r="SJG210" s="212"/>
      <c r="SJH210" s="214"/>
      <c r="SJI210" s="211"/>
      <c r="SJJ210" s="212"/>
      <c r="SJK210" s="212"/>
      <c r="SJL210" s="212"/>
      <c r="SJM210" s="212"/>
      <c r="SJN210" s="212"/>
      <c r="SJO210" s="212"/>
      <c r="SJP210" s="212"/>
      <c r="SJQ210" s="212"/>
      <c r="SJR210" s="212"/>
      <c r="SJS210" s="212"/>
      <c r="SJT210" s="212"/>
      <c r="SJU210" s="212"/>
      <c r="SJV210" s="212"/>
      <c r="SJW210" s="212"/>
      <c r="SJX210" s="212"/>
      <c r="SJY210" s="212"/>
      <c r="SJZ210" s="212"/>
      <c r="SKA210" s="212"/>
      <c r="SKB210" s="212"/>
      <c r="SKC210" s="212"/>
      <c r="SKD210" s="212"/>
      <c r="SKE210" s="212"/>
      <c r="SKF210" s="212"/>
      <c r="SKG210" s="212"/>
      <c r="SKH210" s="212"/>
      <c r="SKI210" s="212"/>
      <c r="SKJ210" s="212"/>
      <c r="SKK210" s="212"/>
      <c r="SKL210" s="212"/>
      <c r="SKM210" s="212"/>
      <c r="SKN210" s="212"/>
      <c r="SKO210" s="212"/>
      <c r="SKP210" s="212"/>
      <c r="SKQ210" s="212"/>
      <c r="SKR210" s="212"/>
      <c r="SKS210" s="212"/>
      <c r="SKT210" s="212"/>
      <c r="SKU210" s="212"/>
      <c r="SKV210" s="212"/>
      <c r="SKW210" s="212"/>
      <c r="SKX210" s="212"/>
      <c r="SKY210" s="212"/>
      <c r="SKZ210" s="214"/>
      <c r="SLA210" s="211"/>
      <c r="SLB210" s="212"/>
      <c r="SLC210" s="212"/>
      <c r="SLD210" s="212"/>
      <c r="SLE210" s="212"/>
      <c r="SLF210" s="212"/>
      <c r="SLG210" s="212"/>
      <c r="SLH210" s="212"/>
      <c r="SLI210" s="212"/>
      <c r="SLJ210" s="212"/>
      <c r="SLK210" s="212"/>
      <c r="SLL210" s="212"/>
      <c r="SLM210" s="212"/>
      <c r="SLN210" s="212"/>
      <c r="SLO210" s="212"/>
      <c r="SLP210" s="212"/>
      <c r="SLQ210" s="212"/>
      <c r="SLR210" s="212"/>
      <c r="SLS210" s="212"/>
      <c r="SLT210" s="212"/>
      <c r="SLU210" s="212"/>
      <c r="SLV210" s="212"/>
      <c r="SLW210" s="212"/>
      <c r="SLX210" s="212"/>
      <c r="SLY210" s="212"/>
      <c r="SLZ210" s="212"/>
      <c r="SMA210" s="212"/>
      <c r="SMB210" s="212"/>
      <c r="SMC210" s="212"/>
      <c r="SMD210" s="212"/>
      <c r="SME210" s="212"/>
      <c r="SMF210" s="212"/>
      <c r="SMG210" s="212"/>
      <c r="SMH210" s="212"/>
      <c r="SMI210" s="212"/>
      <c r="SMJ210" s="212"/>
      <c r="SMK210" s="212"/>
      <c r="SML210" s="212"/>
      <c r="SMM210" s="212"/>
      <c r="SMN210" s="212"/>
      <c r="SMO210" s="212"/>
      <c r="SMP210" s="212"/>
      <c r="SMQ210" s="212"/>
      <c r="SMR210" s="214"/>
      <c r="SMS210" s="211"/>
      <c r="SMT210" s="212"/>
      <c r="SMU210" s="212"/>
      <c r="SMV210" s="212"/>
      <c r="SMW210" s="212"/>
      <c r="SMX210" s="212"/>
      <c r="SMY210" s="212"/>
      <c r="SMZ210" s="212"/>
      <c r="SNA210" s="212"/>
      <c r="SNB210" s="212"/>
      <c r="SNC210" s="212"/>
      <c r="SND210" s="212"/>
      <c r="SNE210" s="212"/>
      <c r="SNF210" s="212"/>
      <c r="SNG210" s="212"/>
      <c r="SNH210" s="212"/>
      <c r="SNI210" s="212"/>
      <c r="SNJ210" s="212"/>
      <c r="SNK210" s="212"/>
      <c r="SNL210" s="212"/>
      <c r="SNM210" s="212"/>
      <c r="SNN210" s="212"/>
      <c r="SNO210" s="212"/>
      <c r="SNP210" s="212"/>
      <c r="SNQ210" s="212"/>
      <c r="SNR210" s="212"/>
      <c r="SNS210" s="212"/>
      <c r="SNT210" s="212"/>
      <c r="SNU210" s="212"/>
      <c r="SNV210" s="212"/>
      <c r="SNW210" s="212"/>
      <c r="SNX210" s="212"/>
      <c r="SNY210" s="212"/>
      <c r="SNZ210" s="212"/>
      <c r="SOA210" s="212"/>
      <c r="SOB210" s="212"/>
      <c r="SOC210" s="212"/>
      <c r="SOD210" s="212"/>
      <c r="SOE210" s="212"/>
      <c r="SOF210" s="212"/>
      <c r="SOG210" s="212"/>
      <c r="SOH210" s="212"/>
      <c r="SOI210" s="212"/>
      <c r="SOJ210" s="214"/>
      <c r="SOK210" s="211"/>
      <c r="SOL210" s="212"/>
      <c r="SOM210" s="212"/>
      <c r="SON210" s="212"/>
      <c r="SOO210" s="212"/>
      <c r="SOP210" s="212"/>
      <c r="SOQ210" s="212"/>
      <c r="SOR210" s="212"/>
      <c r="SOS210" s="212"/>
      <c r="SOT210" s="212"/>
      <c r="SOU210" s="212"/>
      <c r="SOV210" s="212"/>
      <c r="SOW210" s="212"/>
      <c r="SOX210" s="212"/>
      <c r="SOY210" s="212"/>
      <c r="SOZ210" s="212"/>
      <c r="SPA210" s="212"/>
      <c r="SPB210" s="212"/>
      <c r="SPC210" s="212"/>
      <c r="SPD210" s="212"/>
      <c r="SPE210" s="212"/>
      <c r="SPF210" s="212"/>
      <c r="SPG210" s="212"/>
      <c r="SPH210" s="212"/>
      <c r="SPI210" s="212"/>
      <c r="SPJ210" s="212"/>
      <c r="SPK210" s="212"/>
      <c r="SPL210" s="212"/>
      <c r="SPM210" s="212"/>
      <c r="SPN210" s="212"/>
      <c r="SPO210" s="212"/>
      <c r="SPP210" s="212"/>
      <c r="SPQ210" s="212"/>
      <c r="SPR210" s="212"/>
      <c r="SPS210" s="212"/>
      <c r="SPT210" s="212"/>
      <c r="SPU210" s="212"/>
      <c r="SPV210" s="212"/>
      <c r="SPW210" s="212"/>
      <c r="SPX210" s="212"/>
      <c r="SPY210" s="212"/>
      <c r="SPZ210" s="212"/>
      <c r="SQA210" s="212"/>
      <c r="SQB210" s="214"/>
      <c r="SQC210" s="211"/>
      <c r="SQD210" s="212"/>
      <c r="SQE210" s="212"/>
      <c r="SQF210" s="212"/>
      <c r="SQG210" s="212"/>
      <c r="SQH210" s="212"/>
      <c r="SQI210" s="212"/>
      <c r="SQJ210" s="212"/>
      <c r="SQK210" s="212"/>
      <c r="SQL210" s="212"/>
      <c r="SQM210" s="212"/>
      <c r="SQN210" s="212"/>
      <c r="SQO210" s="212"/>
      <c r="SQP210" s="212"/>
      <c r="SQQ210" s="212"/>
      <c r="SQR210" s="212"/>
      <c r="SQS210" s="212"/>
      <c r="SQT210" s="212"/>
      <c r="SQU210" s="212"/>
      <c r="SQV210" s="212"/>
      <c r="SQW210" s="212"/>
      <c r="SQX210" s="212"/>
      <c r="SQY210" s="212"/>
      <c r="SQZ210" s="212"/>
      <c r="SRA210" s="212"/>
      <c r="SRB210" s="212"/>
      <c r="SRC210" s="212"/>
      <c r="SRD210" s="212"/>
      <c r="SRE210" s="212"/>
      <c r="SRF210" s="212"/>
      <c r="SRG210" s="212"/>
      <c r="SRH210" s="212"/>
      <c r="SRI210" s="212"/>
      <c r="SRJ210" s="212"/>
      <c r="SRK210" s="212"/>
      <c r="SRL210" s="212"/>
      <c r="SRM210" s="212"/>
      <c r="SRN210" s="212"/>
      <c r="SRO210" s="212"/>
      <c r="SRP210" s="212"/>
      <c r="SRQ210" s="212"/>
      <c r="SRR210" s="212"/>
      <c r="SRS210" s="212"/>
      <c r="SRT210" s="214"/>
      <c r="SRU210" s="211"/>
      <c r="SRV210" s="212"/>
      <c r="SRW210" s="212"/>
      <c r="SRX210" s="212"/>
      <c r="SRY210" s="212"/>
      <c r="SRZ210" s="212"/>
      <c r="SSA210" s="212"/>
      <c r="SSB210" s="212"/>
      <c r="SSC210" s="212"/>
      <c r="SSD210" s="212"/>
      <c r="SSE210" s="212"/>
      <c r="SSF210" s="212"/>
      <c r="SSG210" s="212"/>
      <c r="SSH210" s="212"/>
      <c r="SSI210" s="212"/>
      <c r="SSJ210" s="212"/>
      <c r="SSK210" s="212"/>
      <c r="SSL210" s="212"/>
      <c r="SSM210" s="212"/>
      <c r="SSN210" s="212"/>
      <c r="SSO210" s="212"/>
      <c r="SSP210" s="212"/>
      <c r="SSQ210" s="212"/>
      <c r="SSR210" s="212"/>
      <c r="SSS210" s="212"/>
      <c r="SST210" s="212"/>
      <c r="SSU210" s="212"/>
      <c r="SSV210" s="212"/>
      <c r="SSW210" s="212"/>
      <c r="SSX210" s="212"/>
      <c r="SSY210" s="212"/>
      <c r="SSZ210" s="212"/>
      <c r="STA210" s="212"/>
      <c r="STB210" s="212"/>
      <c r="STC210" s="212"/>
      <c r="STD210" s="212"/>
      <c r="STE210" s="212"/>
      <c r="STF210" s="212"/>
      <c r="STG210" s="212"/>
      <c r="STH210" s="212"/>
      <c r="STI210" s="212"/>
      <c r="STJ210" s="212"/>
      <c r="STK210" s="212"/>
      <c r="STL210" s="214"/>
      <c r="STM210" s="211"/>
      <c r="STN210" s="212"/>
      <c r="STO210" s="212"/>
      <c r="STP210" s="212"/>
      <c r="STQ210" s="212"/>
      <c r="STR210" s="212"/>
      <c r="STS210" s="212"/>
      <c r="STT210" s="212"/>
      <c r="STU210" s="212"/>
      <c r="STV210" s="212"/>
      <c r="STW210" s="212"/>
      <c r="STX210" s="212"/>
      <c r="STY210" s="212"/>
      <c r="STZ210" s="212"/>
      <c r="SUA210" s="212"/>
      <c r="SUB210" s="212"/>
      <c r="SUC210" s="212"/>
      <c r="SUD210" s="212"/>
      <c r="SUE210" s="212"/>
      <c r="SUF210" s="212"/>
      <c r="SUG210" s="212"/>
      <c r="SUH210" s="212"/>
      <c r="SUI210" s="212"/>
      <c r="SUJ210" s="212"/>
      <c r="SUK210" s="212"/>
      <c r="SUL210" s="212"/>
      <c r="SUM210" s="212"/>
      <c r="SUN210" s="212"/>
      <c r="SUO210" s="212"/>
      <c r="SUP210" s="212"/>
      <c r="SUQ210" s="212"/>
      <c r="SUR210" s="212"/>
      <c r="SUS210" s="212"/>
      <c r="SUT210" s="212"/>
      <c r="SUU210" s="212"/>
      <c r="SUV210" s="212"/>
      <c r="SUW210" s="212"/>
      <c r="SUX210" s="212"/>
      <c r="SUY210" s="212"/>
      <c r="SUZ210" s="212"/>
      <c r="SVA210" s="212"/>
      <c r="SVB210" s="212"/>
      <c r="SVC210" s="212"/>
      <c r="SVD210" s="214"/>
      <c r="SVE210" s="211"/>
      <c r="SVF210" s="212"/>
      <c r="SVG210" s="212"/>
      <c r="SVH210" s="212"/>
      <c r="SVI210" s="212"/>
      <c r="SVJ210" s="212"/>
      <c r="SVK210" s="212"/>
      <c r="SVL210" s="212"/>
      <c r="SVM210" s="212"/>
      <c r="SVN210" s="212"/>
      <c r="SVO210" s="212"/>
      <c r="SVP210" s="212"/>
      <c r="SVQ210" s="212"/>
      <c r="SVR210" s="212"/>
      <c r="SVS210" s="212"/>
      <c r="SVT210" s="212"/>
      <c r="SVU210" s="212"/>
      <c r="SVV210" s="212"/>
      <c r="SVW210" s="212"/>
      <c r="SVX210" s="212"/>
      <c r="SVY210" s="212"/>
      <c r="SVZ210" s="212"/>
      <c r="SWA210" s="212"/>
      <c r="SWB210" s="212"/>
      <c r="SWC210" s="212"/>
      <c r="SWD210" s="212"/>
      <c r="SWE210" s="212"/>
      <c r="SWF210" s="212"/>
      <c r="SWG210" s="212"/>
      <c r="SWH210" s="212"/>
      <c r="SWI210" s="212"/>
      <c r="SWJ210" s="212"/>
      <c r="SWK210" s="212"/>
      <c r="SWL210" s="212"/>
      <c r="SWM210" s="212"/>
      <c r="SWN210" s="212"/>
      <c r="SWO210" s="212"/>
      <c r="SWP210" s="212"/>
      <c r="SWQ210" s="212"/>
      <c r="SWR210" s="212"/>
      <c r="SWS210" s="212"/>
      <c r="SWT210" s="212"/>
      <c r="SWU210" s="212"/>
      <c r="SWV210" s="214"/>
      <c r="SWW210" s="211"/>
      <c r="SWX210" s="212"/>
      <c r="SWY210" s="212"/>
      <c r="SWZ210" s="212"/>
      <c r="SXA210" s="212"/>
      <c r="SXB210" s="212"/>
      <c r="SXC210" s="212"/>
      <c r="SXD210" s="212"/>
      <c r="SXE210" s="212"/>
      <c r="SXF210" s="212"/>
      <c r="SXG210" s="212"/>
      <c r="SXH210" s="212"/>
      <c r="SXI210" s="212"/>
      <c r="SXJ210" s="212"/>
      <c r="SXK210" s="212"/>
      <c r="SXL210" s="212"/>
      <c r="SXM210" s="212"/>
      <c r="SXN210" s="212"/>
      <c r="SXO210" s="212"/>
      <c r="SXP210" s="212"/>
      <c r="SXQ210" s="212"/>
      <c r="SXR210" s="212"/>
      <c r="SXS210" s="212"/>
      <c r="SXT210" s="212"/>
      <c r="SXU210" s="212"/>
      <c r="SXV210" s="212"/>
      <c r="SXW210" s="212"/>
      <c r="SXX210" s="212"/>
      <c r="SXY210" s="212"/>
      <c r="SXZ210" s="212"/>
      <c r="SYA210" s="212"/>
      <c r="SYB210" s="212"/>
      <c r="SYC210" s="212"/>
      <c r="SYD210" s="212"/>
      <c r="SYE210" s="212"/>
      <c r="SYF210" s="212"/>
      <c r="SYG210" s="212"/>
      <c r="SYH210" s="212"/>
      <c r="SYI210" s="212"/>
      <c r="SYJ210" s="212"/>
      <c r="SYK210" s="212"/>
      <c r="SYL210" s="212"/>
      <c r="SYM210" s="212"/>
      <c r="SYN210" s="214"/>
      <c r="SYO210" s="211"/>
      <c r="SYP210" s="212"/>
      <c r="SYQ210" s="212"/>
      <c r="SYR210" s="212"/>
      <c r="SYS210" s="212"/>
      <c r="SYT210" s="212"/>
      <c r="SYU210" s="212"/>
      <c r="SYV210" s="212"/>
      <c r="SYW210" s="212"/>
      <c r="SYX210" s="212"/>
      <c r="SYY210" s="212"/>
      <c r="SYZ210" s="212"/>
      <c r="SZA210" s="212"/>
      <c r="SZB210" s="212"/>
      <c r="SZC210" s="212"/>
      <c r="SZD210" s="212"/>
      <c r="SZE210" s="212"/>
      <c r="SZF210" s="212"/>
      <c r="SZG210" s="212"/>
      <c r="SZH210" s="212"/>
      <c r="SZI210" s="212"/>
      <c r="SZJ210" s="212"/>
      <c r="SZK210" s="212"/>
      <c r="SZL210" s="212"/>
      <c r="SZM210" s="212"/>
      <c r="SZN210" s="212"/>
      <c r="SZO210" s="212"/>
      <c r="SZP210" s="212"/>
      <c r="SZQ210" s="212"/>
      <c r="SZR210" s="212"/>
      <c r="SZS210" s="212"/>
      <c r="SZT210" s="212"/>
      <c r="SZU210" s="212"/>
      <c r="SZV210" s="212"/>
      <c r="SZW210" s="212"/>
      <c r="SZX210" s="212"/>
      <c r="SZY210" s="212"/>
      <c r="SZZ210" s="212"/>
      <c r="TAA210" s="212"/>
      <c r="TAB210" s="212"/>
      <c r="TAC210" s="212"/>
      <c r="TAD210" s="212"/>
      <c r="TAE210" s="212"/>
      <c r="TAF210" s="214"/>
      <c r="TAG210" s="211"/>
      <c r="TAH210" s="212"/>
      <c r="TAI210" s="212"/>
      <c r="TAJ210" s="212"/>
      <c r="TAK210" s="212"/>
      <c r="TAL210" s="212"/>
      <c r="TAM210" s="212"/>
      <c r="TAN210" s="212"/>
      <c r="TAO210" s="212"/>
      <c r="TAP210" s="212"/>
      <c r="TAQ210" s="212"/>
      <c r="TAR210" s="212"/>
      <c r="TAS210" s="212"/>
      <c r="TAT210" s="212"/>
      <c r="TAU210" s="212"/>
      <c r="TAV210" s="212"/>
      <c r="TAW210" s="212"/>
      <c r="TAX210" s="212"/>
      <c r="TAY210" s="212"/>
      <c r="TAZ210" s="212"/>
      <c r="TBA210" s="212"/>
      <c r="TBB210" s="212"/>
      <c r="TBC210" s="212"/>
      <c r="TBD210" s="212"/>
      <c r="TBE210" s="212"/>
      <c r="TBF210" s="212"/>
      <c r="TBG210" s="212"/>
      <c r="TBH210" s="212"/>
      <c r="TBI210" s="212"/>
      <c r="TBJ210" s="212"/>
      <c r="TBK210" s="212"/>
      <c r="TBL210" s="212"/>
      <c r="TBM210" s="212"/>
      <c r="TBN210" s="212"/>
      <c r="TBO210" s="212"/>
      <c r="TBP210" s="212"/>
      <c r="TBQ210" s="212"/>
      <c r="TBR210" s="212"/>
      <c r="TBS210" s="212"/>
      <c r="TBT210" s="212"/>
      <c r="TBU210" s="212"/>
      <c r="TBV210" s="212"/>
      <c r="TBW210" s="212"/>
      <c r="TBX210" s="214"/>
      <c r="TBY210" s="211"/>
      <c r="TBZ210" s="212"/>
      <c r="TCA210" s="212"/>
      <c r="TCB210" s="212"/>
      <c r="TCC210" s="212"/>
      <c r="TCD210" s="212"/>
      <c r="TCE210" s="212"/>
      <c r="TCF210" s="212"/>
      <c r="TCG210" s="212"/>
      <c r="TCH210" s="212"/>
      <c r="TCI210" s="212"/>
      <c r="TCJ210" s="212"/>
      <c r="TCK210" s="212"/>
      <c r="TCL210" s="212"/>
      <c r="TCM210" s="212"/>
      <c r="TCN210" s="212"/>
      <c r="TCO210" s="212"/>
      <c r="TCP210" s="212"/>
      <c r="TCQ210" s="212"/>
      <c r="TCR210" s="212"/>
      <c r="TCS210" s="212"/>
      <c r="TCT210" s="212"/>
      <c r="TCU210" s="212"/>
      <c r="TCV210" s="212"/>
      <c r="TCW210" s="212"/>
      <c r="TCX210" s="212"/>
      <c r="TCY210" s="212"/>
      <c r="TCZ210" s="212"/>
      <c r="TDA210" s="212"/>
      <c r="TDB210" s="212"/>
      <c r="TDC210" s="212"/>
      <c r="TDD210" s="212"/>
      <c r="TDE210" s="212"/>
      <c r="TDF210" s="212"/>
      <c r="TDG210" s="212"/>
      <c r="TDH210" s="212"/>
      <c r="TDI210" s="212"/>
      <c r="TDJ210" s="212"/>
      <c r="TDK210" s="212"/>
      <c r="TDL210" s="212"/>
      <c r="TDM210" s="212"/>
      <c r="TDN210" s="212"/>
      <c r="TDO210" s="212"/>
      <c r="TDP210" s="214"/>
      <c r="TDQ210" s="211"/>
      <c r="TDR210" s="212"/>
      <c r="TDS210" s="212"/>
      <c r="TDT210" s="212"/>
      <c r="TDU210" s="212"/>
      <c r="TDV210" s="212"/>
      <c r="TDW210" s="212"/>
      <c r="TDX210" s="212"/>
      <c r="TDY210" s="212"/>
      <c r="TDZ210" s="212"/>
      <c r="TEA210" s="212"/>
      <c r="TEB210" s="212"/>
      <c r="TEC210" s="212"/>
      <c r="TED210" s="212"/>
      <c r="TEE210" s="212"/>
      <c r="TEF210" s="212"/>
      <c r="TEG210" s="212"/>
      <c r="TEH210" s="212"/>
      <c r="TEI210" s="212"/>
      <c r="TEJ210" s="212"/>
      <c r="TEK210" s="212"/>
      <c r="TEL210" s="212"/>
      <c r="TEM210" s="212"/>
      <c r="TEN210" s="212"/>
      <c r="TEO210" s="212"/>
      <c r="TEP210" s="212"/>
      <c r="TEQ210" s="212"/>
      <c r="TER210" s="212"/>
      <c r="TES210" s="212"/>
      <c r="TET210" s="212"/>
      <c r="TEU210" s="212"/>
      <c r="TEV210" s="212"/>
      <c r="TEW210" s="212"/>
      <c r="TEX210" s="212"/>
      <c r="TEY210" s="212"/>
      <c r="TEZ210" s="212"/>
      <c r="TFA210" s="212"/>
      <c r="TFB210" s="212"/>
      <c r="TFC210" s="212"/>
      <c r="TFD210" s="212"/>
      <c r="TFE210" s="212"/>
      <c r="TFF210" s="212"/>
      <c r="TFG210" s="212"/>
      <c r="TFH210" s="214"/>
      <c r="TFI210" s="211"/>
      <c r="TFJ210" s="212"/>
      <c r="TFK210" s="212"/>
      <c r="TFL210" s="212"/>
      <c r="TFM210" s="212"/>
      <c r="TFN210" s="212"/>
      <c r="TFO210" s="212"/>
      <c r="TFP210" s="212"/>
      <c r="TFQ210" s="212"/>
      <c r="TFR210" s="212"/>
      <c r="TFS210" s="212"/>
      <c r="TFT210" s="212"/>
      <c r="TFU210" s="212"/>
      <c r="TFV210" s="212"/>
      <c r="TFW210" s="212"/>
      <c r="TFX210" s="212"/>
      <c r="TFY210" s="212"/>
      <c r="TFZ210" s="212"/>
      <c r="TGA210" s="212"/>
      <c r="TGB210" s="212"/>
      <c r="TGC210" s="212"/>
      <c r="TGD210" s="212"/>
      <c r="TGE210" s="212"/>
      <c r="TGF210" s="212"/>
      <c r="TGG210" s="212"/>
      <c r="TGH210" s="212"/>
      <c r="TGI210" s="212"/>
      <c r="TGJ210" s="212"/>
      <c r="TGK210" s="212"/>
      <c r="TGL210" s="212"/>
      <c r="TGM210" s="212"/>
      <c r="TGN210" s="212"/>
      <c r="TGO210" s="212"/>
      <c r="TGP210" s="212"/>
      <c r="TGQ210" s="212"/>
      <c r="TGR210" s="212"/>
      <c r="TGS210" s="212"/>
      <c r="TGT210" s="212"/>
      <c r="TGU210" s="212"/>
      <c r="TGV210" s="212"/>
      <c r="TGW210" s="212"/>
      <c r="TGX210" s="212"/>
      <c r="TGY210" s="212"/>
      <c r="TGZ210" s="214"/>
      <c r="THA210" s="211"/>
      <c r="THB210" s="212"/>
      <c r="THC210" s="212"/>
      <c r="THD210" s="212"/>
      <c r="THE210" s="212"/>
      <c r="THF210" s="212"/>
      <c r="THG210" s="212"/>
      <c r="THH210" s="212"/>
      <c r="THI210" s="212"/>
      <c r="THJ210" s="212"/>
      <c r="THK210" s="212"/>
      <c r="THL210" s="212"/>
      <c r="THM210" s="212"/>
      <c r="THN210" s="212"/>
      <c r="THO210" s="212"/>
      <c r="THP210" s="212"/>
      <c r="THQ210" s="212"/>
      <c r="THR210" s="212"/>
      <c r="THS210" s="212"/>
      <c r="THT210" s="212"/>
      <c r="THU210" s="212"/>
      <c r="THV210" s="212"/>
      <c r="THW210" s="212"/>
      <c r="THX210" s="212"/>
      <c r="THY210" s="212"/>
      <c r="THZ210" s="212"/>
      <c r="TIA210" s="212"/>
      <c r="TIB210" s="212"/>
      <c r="TIC210" s="212"/>
      <c r="TID210" s="212"/>
      <c r="TIE210" s="212"/>
      <c r="TIF210" s="212"/>
      <c r="TIG210" s="212"/>
      <c r="TIH210" s="212"/>
      <c r="TII210" s="212"/>
      <c r="TIJ210" s="212"/>
      <c r="TIK210" s="212"/>
      <c r="TIL210" s="212"/>
      <c r="TIM210" s="212"/>
      <c r="TIN210" s="212"/>
      <c r="TIO210" s="212"/>
      <c r="TIP210" s="212"/>
      <c r="TIQ210" s="212"/>
      <c r="TIR210" s="214"/>
      <c r="TIS210" s="211"/>
      <c r="TIT210" s="212"/>
      <c r="TIU210" s="212"/>
      <c r="TIV210" s="212"/>
      <c r="TIW210" s="212"/>
      <c r="TIX210" s="212"/>
      <c r="TIY210" s="212"/>
      <c r="TIZ210" s="212"/>
      <c r="TJA210" s="212"/>
      <c r="TJB210" s="212"/>
      <c r="TJC210" s="212"/>
      <c r="TJD210" s="212"/>
      <c r="TJE210" s="212"/>
      <c r="TJF210" s="212"/>
      <c r="TJG210" s="212"/>
      <c r="TJH210" s="212"/>
      <c r="TJI210" s="212"/>
      <c r="TJJ210" s="212"/>
      <c r="TJK210" s="212"/>
      <c r="TJL210" s="212"/>
      <c r="TJM210" s="212"/>
      <c r="TJN210" s="212"/>
      <c r="TJO210" s="212"/>
      <c r="TJP210" s="212"/>
      <c r="TJQ210" s="212"/>
      <c r="TJR210" s="212"/>
      <c r="TJS210" s="212"/>
      <c r="TJT210" s="212"/>
      <c r="TJU210" s="212"/>
      <c r="TJV210" s="212"/>
      <c r="TJW210" s="212"/>
      <c r="TJX210" s="212"/>
      <c r="TJY210" s="212"/>
      <c r="TJZ210" s="212"/>
      <c r="TKA210" s="212"/>
      <c r="TKB210" s="212"/>
      <c r="TKC210" s="212"/>
      <c r="TKD210" s="212"/>
      <c r="TKE210" s="212"/>
      <c r="TKF210" s="212"/>
      <c r="TKG210" s="212"/>
      <c r="TKH210" s="212"/>
      <c r="TKI210" s="212"/>
      <c r="TKJ210" s="214"/>
      <c r="TKK210" s="211"/>
      <c r="TKL210" s="212"/>
      <c r="TKM210" s="212"/>
      <c r="TKN210" s="212"/>
      <c r="TKO210" s="212"/>
      <c r="TKP210" s="212"/>
      <c r="TKQ210" s="212"/>
      <c r="TKR210" s="212"/>
      <c r="TKS210" s="212"/>
      <c r="TKT210" s="212"/>
      <c r="TKU210" s="212"/>
      <c r="TKV210" s="212"/>
      <c r="TKW210" s="212"/>
      <c r="TKX210" s="212"/>
      <c r="TKY210" s="212"/>
      <c r="TKZ210" s="212"/>
      <c r="TLA210" s="212"/>
      <c r="TLB210" s="212"/>
      <c r="TLC210" s="212"/>
      <c r="TLD210" s="212"/>
      <c r="TLE210" s="212"/>
      <c r="TLF210" s="212"/>
      <c r="TLG210" s="212"/>
      <c r="TLH210" s="212"/>
      <c r="TLI210" s="212"/>
      <c r="TLJ210" s="212"/>
      <c r="TLK210" s="212"/>
      <c r="TLL210" s="212"/>
      <c r="TLM210" s="212"/>
      <c r="TLN210" s="212"/>
      <c r="TLO210" s="212"/>
      <c r="TLP210" s="212"/>
      <c r="TLQ210" s="212"/>
      <c r="TLR210" s="212"/>
      <c r="TLS210" s="212"/>
      <c r="TLT210" s="212"/>
      <c r="TLU210" s="212"/>
      <c r="TLV210" s="212"/>
      <c r="TLW210" s="212"/>
      <c r="TLX210" s="212"/>
      <c r="TLY210" s="212"/>
      <c r="TLZ210" s="212"/>
      <c r="TMA210" s="212"/>
      <c r="TMB210" s="214"/>
      <c r="TMC210" s="211"/>
      <c r="TMD210" s="212"/>
      <c r="TME210" s="212"/>
      <c r="TMF210" s="212"/>
      <c r="TMG210" s="212"/>
      <c r="TMH210" s="212"/>
      <c r="TMI210" s="212"/>
      <c r="TMJ210" s="212"/>
      <c r="TMK210" s="212"/>
      <c r="TML210" s="212"/>
      <c r="TMM210" s="212"/>
      <c r="TMN210" s="212"/>
      <c r="TMO210" s="212"/>
      <c r="TMP210" s="212"/>
      <c r="TMQ210" s="212"/>
      <c r="TMR210" s="212"/>
      <c r="TMS210" s="212"/>
      <c r="TMT210" s="212"/>
      <c r="TMU210" s="212"/>
      <c r="TMV210" s="212"/>
      <c r="TMW210" s="212"/>
      <c r="TMX210" s="212"/>
      <c r="TMY210" s="212"/>
      <c r="TMZ210" s="212"/>
      <c r="TNA210" s="212"/>
      <c r="TNB210" s="212"/>
      <c r="TNC210" s="212"/>
      <c r="TND210" s="212"/>
      <c r="TNE210" s="212"/>
      <c r="TNF210" s="212"/>
      <c r="TNG210" s="212"/>
      <c r="TNH210" s="212"/>
      <c r="TNI210" s="212"/>
      <c r="TNJ210" s="212"/>
      <c r="TNK210" s="212"/>
      <c r="TNL210" s="212"/>
      <c r="TNM210" s="212"/>
      <c r="TNN210" s="212"/>
      <c r="TNO210" s="212"/>
      <c r="TNP210" s="212"/>
      <c r="TNQ210" s="212"/>
      <c r="TNR210" s="212"/>
      <c r="TNS210" s="212"/>
      <c r="TNT210" s="214"/>
      <c r="TNU210" s="211"/>
      <c r="TNV210" s="212"/>
      <c r="TNW210" s="212"/>
      <c r="TNX210" s="212"/>
      <c r="TNY210" s="212"/>
      <c r="TNZ210" s="212"/>
      <c r="TOA210" s="212"/>
      <c r="TOB210" s="212"/>
      <c r="TOC210" s="212"/>
      <c r="TOD210" s="212"/>
      <c r="TOE210" s="212"/>
      <c r="TOF210" s="212"/>
      <c r="TOG210" s="212"/>
      <c r="TOH210" s="212"/>
      <c r="TOI210" s="212"/>
      <c r="TOJ210" s="212"/>
      <c r="TOK210" s="212"/>
      <c r="TOL210" s="212"/>
      <c r="TOM210" s="212"/>
      <c r="TON210" s="212"/>
      <c r="TOO210" s="212"/>
      <c r="TOP210" s="212"/>
      <c r="TOQ210" s="212"/>
      <c r="TOR210" s="212"/>
      <c r="TOS210" s="212"/>
      <c r="TOT210" s="212"/>
      <c r="TOU210" s="212"/>
      <c r="TOV210" s="212"/>
      <c r="TOW210" s="212"/>
      <c r="TOX210" s="212"/>
      <c r="TOY210" s="212"/>
      <c r="TOZ210" s="212"/>
      <c r="TPA210" s="212"/>
      <c r="TPB210" s="212"/>
      <c r="TPC210" s="212"/>
      <c r="TPD210" s="212"/>
      <c r="TPE210" s="212"/>
      <c r="TPF210" s="212"/>
      <c r="TPG210" s="212"/>
      <c r="TPH210" s="212"/>
      <c r="TPI210" s="212"/>
      <c r="TPJ210" s="212"/>
      <c r="TPK210" s="212"/>
      <c r="TPL210" s="214"/>
      <c r="TPM210" s="211"/>
      <c r="TPN210" s="212"/>
      <c r="TPO210" s="212"/>
      <c r="TPP210" s="212"/>
      <c r="TPQ210" s="212"/>
      <c r="TPR210" s="212"/>
      <c r="TPS210" s="212"/>
      <c r="TPT210" s="212"/>
      <c r="TPU210" s="212"/>
      <c r="TPV210" s="212"/>
      <c r="TPW210" s="212"/>
      <c r="TPX210" s="212"/>
      <c r="TPY210" s="212"/>
      <c r="TPZ210" s="212"/>
      <c r="TQA210" s="212"/>
      <c r="TQB210" s="212"/>
      <c r="TQC210" s="212"/>
      <c r="TQD210" s="212"/>
      <c r="TQE210" s="212"/>
      <c r="TQF210" s="212"/>
      <c r="TQG210" s="212"/>
      <c r="TQH210" s="212"/>
      <c r="TQI210" s="212"/>
      <c r="TQJ210" s="212"/>
      <c r="TQK210" s="212"/>
      <c r="TQL210" s="212"/>
      <c r="TQM210" s="212"/>
      <c r="TQN210" s="212"/>
      <c r="TQO210" s="212"/>
      <c r="TQP210" s="212"/>
      <c r="TQQ210" s="212"/>
      <c r="TQR210" s="212"/>
      <c r="TQS210" s="212"/>
      <c r="TQT210" s="212"/>
      <c r="TQU210" s="212"/>
      <c r="TQV210" s="212"/>
      <c r="TQW210" s="212"/>
      <c r="TQX210" s="212"/>
      <c r="TQY210" s="212"/>
      <c r="TQZ210" s="212"/>
      <c r="TRA210" s="212"/>
      <c r="TRB210" s="212"/>
      <c r="TRC210" s="212"/>
      <c r="TRD210" s="214"/>
      <c r="TRE210" s="211"/>
      <c r="TRF210" s="212"/>
      <c r="TRG210" s="212"/>
      <c r="TRH210" s="212"/>
      <c r="TRI210" s="212"/>
      <c r="TRJ210" s="212"/>
      <c r="TRK210" s="212"/>
      <c r="TRL210" s="212"/>
      <c r="TRM210" s="212"/>
      <c r="TRN210" s="212"/>
      <c r="TRO210" s="212"/>
      <c r="TRP210" s="212"/>
      <c r="TRQ210" s="212"/>
      <c r="TRR210" s="212"/>
      <c r="TRS210" s="212"/>
      <c r="TRT210" s="212"/>
      <c r="TRU210" s="212"/>
      <c r="TRV210" s="212"/>
      <c r="TRW210" s="212"/>
      <c r="TRX210" s="212"/>
      <c r="TRY210" s="212"/>
      <c r="TRZ210" s="212"/>
      <c r="TSA210" s="212"/>
      <c r="TSB210" s="212"/>
      <c r="TSC210" s="212"/>
      <c r="TSD210" s="212"/>
      <c r="TSE210" s="212"/>
      <c r="TSF210" s="212"/>
      <c r="TSG210" s="212"/>
      <c r="TSH210" s="212"/>
      <c r="TSI210" s="212"/>
      <c r="TSJ210" s="212"/>
      <c r="TSK210" s="212"/>
      <c r="TSL210" s="212"/>
      <c r="TSM210" s="212"/>
      <c r="TSN210" s="212"/>
      <c r="TSO210" s="212"/>
      <c r="TSP210" s="212"/>
      <c r="TSQ210" s="212"/>
      <c r="TSR210" s="212"/>
      <c r="TSS210" s="212"/>
      <c r="TST210" s="212"/>
      <c r="TSU210" s="212"/>
      <c r="TSV210" s="214"/>
      <c r="TSW210" s="211"/>
      <c r="TSX210" s="212"/>
      <c r="TSY210" s="212"/>
      <c r="TSZ210" s="212"/>
      <c r="TTA210" s="212"/>
      <c r="TTB210" s="212"/>
      <c r="TTC210" s="212"/>
      <c r="TTD210" s="212"/>
      <c r="TTE210" s="212"/>
      <c r="TTF210" s="212"/>
      <c r="TTG210" s="212"/>
      <c r="TTH210" s="212"/>
      <c r="TTI210" s="212"/>
      <c r="TTJ210" s="212"/>
      <c r="TTK210" s="212"/>
      <c r="TTL210" s="212"/>
      <c r="TTM210" s="212"/>
      <c r="TTN210" s="212"/>
      <c r="TTO210" s="212"/>
      <c r="TTP210" s="212"/>
      <c r="TTQ210" s="212"/>
      <c r="TTR210" s="212"/>
      <c r="TTS210" s="212"/>
      <c r="TTT210" s="212"/>
      <c r="TTU210" s="212"/>
      <c r="TTV210" s="212"/>
      <c r="TTW210" s="212"/>
      <c r="TTX210" s="212"/>
      <c r="TTY210" s="212"/>
      <c r="TTZ210" s="212"/>
      <c r="TUA210" s="212"/>
      <c r="TUB210" s="212"/>
      <c r="TUC210" s="212"/>
      <c r="TUD210" s="212"/>
      <c r="TUE210" s="212"/>
      <c r="TUF210" s="212"/>
      <c r="TUG210" s="212"/>
      <c r="TUH210" s="212"/>
      <c r="TUI210" s="212"/>
      <c r="TUJ210" s="212"/>
      <c r="TUK210" s="212"/>
      <c r="TUL210" s="212"/>
      <c r="TUM210" s="212"/>
      <c r="TUN210" s="214"/>
      <c r="TUO210" s="211"/>
      <c r="TUP210" s="212"/>
      <c r="TUQ210" s="212"/>
      <c r="TUR210" s="212"/>
      <c r="TUS210" s="212"/>
      <c r="TUT210" s="212"/>
      <c r="TUU210" s="212"/>
      <c r="TUV210" s="212"/>
      <c r="TUW210" s="212"/>
      <c r="TUX210" s="212"/>
      <c r="TUY210" s="212"/>
      <c r="TUZ210" s="212"/>
      <c r="TVA210" s="212"/>
      <c r="TVB210" s="212"/>
      <c r="TVC210" s="212"/>
      <c r="TVD210" s="212"/>
      <c r="TVE210" s="212"/>
      <c r="TVF210" s="212"/>
      <c r="TVG210" s="212"/>
      <c r="TVH210" s="212"/>
      <c r="TVI210" s="212"/>
      <c r="TVJ210" s="212"/>
      <c r="TVK210" s="212"/>
      <c r="TVL210" s="212"/>
      <c r="TVM210" s="212"/>
      <c r="TVN210" s="212"/>
      <c r="TVO210" s="212"/>
      <c r="TVP210" s="212"/>
      <c r="TVQ210" s="212"/>
      <c r="TVR210" s="212"/>
      <c r="TVS210" s="212"/>
      <c r="TVT210" s="212"/>
      <c r="TVU210" s="212"/>
      <c r="TVV210" s="212"/>
      <c r="TVW210" s="212"/>
      <c r="TVX210" s="212"/>
      <c r="TVY210" s="212"/>
      <c r="TVZ210" s="212"/>
      <c r="TWA210" s="212"/>
      <c r="TWB210" s="212"/>
      <c r="TWC210" s="212"/>
      <c r="TWD210" s="212"/>
      <c r="TWE210" s="212"/>
      <c r="TWF210" s="214"/>
      <c r="TWG210" s="211"/>
      <c r="TWH210" s="212"/>
      <c r="TWI210" s="212"/>
      <c r="TWJ210" s="212"/>
      <c r="TWK210" s="212"/>
      <c r="TWL210" s="212"/>
      <c r="TWM210" s="212"/>
      <c r="TWN210" s="212"/>
      <c r="TWO210" s="212"/>
      <c r="TWP210" s="212"/>
      <c r="TWQ210" s="212"/>
      <c r="TWR210" s="212"/>
      <c r="TWS210" s="212"/>
      <c r="TWT210" s="212"/>
      <c r="TWU210" s="212"/>
      <c r="TWV210" s="212"/>
      <c r="TWW210" s="212"/>
      <c r="TWX210" s="212"/>
      <c r="TWY210" s="212"/>
      <c r="TWZ210" s="212"/>
      <c r="TXA210" s="212"/>
      <c r="TXB210" s="212"/>
      <c r="TXC210" s="212"/>
      <c r="TXD210" s="212"/>
      <c r="TXE210" s="212"/>
      <c r="TXF210" s="212"/>
      <c r="TXG210" s="212"/>
      <c r="TXH210" s="212"/>
      <c r="TXI210" s="212"/>
      <c r="TXJ210" s="212"/>
      <c r="TXK210" s="212"/>
      <c r="TXL210" s="212"/>
      <c r="TXM210" s="212"/>
      <c r="TXN210" s="212"/>
      <c r="TXO210" s="212"/>
      <c r="TXP210" s="212"/>
      <c r="TXQ210" s="212"/>
      <c r="TXR210" s="212"/>
      <c r="TXS210" s="212"/>
      <c r="TXT210" s="212"/>
      <c r="TXU210" s="212"/>
      <c r="TXV210" s="212"/>
      <c r="TXW210" s="212"/>
      <c r="TXX210" s="214"/>
      <c r="TXY210" s="211"/>
      <c r="TXZ210" s="212"/>
      <c r="TYA210" s="212"/>
      <c r="TYB210" s="212"/>
      <c r="TYC210" s="212"/>
      <c r="TYD210" s="212"/>
      <c r="TYE210" s="212"/>
      <c r="TYF210" s="212"/>
      <c r="TYG210" s="212"/>
      <c r="TYH210" s="212"/>
      <c r="TYI210" s="212"/>
      <c r="TYJ210" s="212"/>
      <c r="TYK210" s="212"/>
      <c r="TYL210" s="212"/>
      <c r="TYM210" s="212"/>
      <c r="TYN210" s="212"/>
      <c r="TYO210" s="212"/>
      <c r="TYP210" s="212"/>
      <c r="TYQ210" s="212"/>
      <c r="TYR210" s="212"/>
      <c r="TYS210" s="212"/>
      <c r="TYT210" s="212"/>
      <c r="TYU210" s="212"/>
      <c r="TYV210" s="212"/>
      <c r="TYW210" s="212"/>
      <c r="TYX210" s="212"/>
      <c r="TYY210" s="212"/>
      <c r="TYZ210" s="212"/>
      <c r="TZA210" s="212"/>
      <c r="TZB210" s="212"/>
      <c r="TZC210" s="212"/>
      <c r="TZD210" s="212"/>
      <c r="TZE210" s="212"/>
      <c r="TZF210" s="212"/>
      <c r="TZG210" s="212"/>
      <c r="TZH210" s="212"/>
      <c r="TZI210" s="212"/>
      <c r="TZJ210" s="212"/>
      <c r="TZK210" s="212"/>
      <c r="TZL210" s="212"/>
      <c r="TZM210" s="212"/>
      <c r="TZN210" s="212"/>
      <c r="TZO210" s="212"/>
      <c r="TZP210" s="214"/>
      <c r="TZQ210" s="211"/>
      <c r="TZR210" s="212"/>
      <c r="TZS210" s="212"/>
      <c r="TZT210" s="212"/>
      <c r="TZU210" s="212"/>
      <c r="TZV210" s="212"/>
      <c r="TZW210" s="212"/>
      <c r="TZX210" s="212"/>
      <c r="TZY210" s="212"/>
      <c r="TZZ210" s="212"/>
      <c r="UAA210" s="212"/>
      <c r="UAB210" s="212"/>
      <c r="UAC210" s="212"/>
      <c r="UAD210" s="212"/>
      <c r="UAE210" s="212"/>
      <c r="UAF210" s="212"/>
      <c r="UAG210" s="212"/>
      <c r="UAH210" s="212"/>
      <c r="UAI210" s="212"/>
      <c r="UAJ210" s="212"/>
      <c r="UAK210" s="212"/>
      <c r="UAL210" s="212"/>
      <c r="UAM210" s="212"/>
      <c r="UAN210" s="212"/>
      <c r="UAO210" s="212"/>
      <c r="UAP210" s="212"/>
      <c r="UAQ210" s="212"/>
      <c r="UAR210" s="212"/>
      <c r="UAS210" s="212"/>
      <c r="UAT210" s="212"/>
      <c r="UAU210" s="212"/>
      <c r="UAV210" s="212"/>
      <c r="UAW210" s="212"/>
      <c r="UAX210" s="212"/>
      <c r="UAY210" s="212"/>
      <c r="UAZ210" s="212"/>
      <c r="UBA210" s="212"/>
      <c r="UBB210" s="212"/>
      <c r="UBC210" s="212"/>
      <c r="UBD210" s="212"/>
      <c r="UBE210" s="212"/>
      <c r="UBF210" s="212"/>
      <c r="UBG210" s="212"/>
      <c r="UBH210" s="214"/>
      <c r="UBI210" s="211"/>
      <c r="UBJ210" s="212"/>
      <c r="UBK210" s="212"/>
      <c r="UBL210" s="212"/>
      <c r="UBM210" s="212"/>
      <c r="UBN210" s="212"/>
      <c r="UBO210" s="212"/>
      <c r="UBP210" s="212"/>
      <c r="UBQ210" s="212"/>
      <c r="UBR210" s="212"/>
      <c r="UBS210" s="212"/>
      <c r="UBT210" s="212"/>
      <c r="UBU210" s="212"/>
      <c r="UBV210" s="212"/>
      <c r="UBW210" s="212"/>
      <c r="UBX210" s="212"/>
      <c r="UBY210" s="212"/>
      <c r="UBZ210" s="212"/>
      <c r="UCA210" s="212"/>
      <c r="UCB210" s="212"/>
      <c r="UCC210" s="212"/>
      <c r="UCD210" s="212"/>
      <c r="UCE210" s="212"/>
      <c r="UCF210" s="212"/>
      <c r="UCG210" s="212"/>
      <c r="UCH210" s="212"/>
      <c r="UCI210" s="212"/>
      <c r="UCJ210" s="212"/>
      <c r="UCK210" s="212"/>
      <c r="UCL210" s="212"/>
      <c r="UCM210" s="212"/>
      <c r="UCN210" s="212"/>
      <c r="UCO210" s="212"/>
      <c r="UCP210" s="212"/>
      <c r="UCQ210" s="212"/>
      <c r="UCR210" s="212"/>
      <c r="UCS210" s="212"/>
      <c r="UCT210" s="212"/>
      <c r="UCU210" s="212"/>
      <c r="UCV210" s="212"/>
      <c r="UCW210" s="212"/>
      <c r="UCX210" s="212"/>
      <c r="UCY210" s="212"/>
      <c r="UCZ210" s="214"/>
      <c r="UDA210" s="211"/>
      <c r="UDB210" s="212"/>
      <c r="UDC210" s="212"/>
      <c r="UDD210" s="212"/>
      <c r="UDE210" s="212"/>
      <c r="UDF210" s="212"/>
      <c r="UDG210" s="212"/>
      <c r="UDH210" s="212"/>
      <c r="UDI210" s="212"/>
      <c r="UDJ210" s="212"/>
      <c r="UDK210" s="212"/>
      <c r="UDL210" s="212"/>
      <c r="UDM210" s="212"/>
      <c r="UDN210" s="212"/>
      <c r="UDO210" s="212"/>
      <c r="UDP210" s="212"/>
      <c r="UDQ210" s="212"/>
      <c r="UDR210" s="212"/>
      <c r="UDS210" s="212"/>
      <c r="UDT210" s="212"/>
      <c r="UDU210" s="212"/>
      <c r="UDV210" s="212"/>
      <c r="UDW210" s="212"/>
      <c r="UDX210" s="212"/>
      <c r="UDY210" s="212"/>
      <c r="UDZ210" s="212"/>
      <c r="UEA210" s="212"/>
      <c r="UEB210" s="212"/>
      <c r="UEC210" s="212"/>
      <c r="UED210" s="212"/>
      <c r="UEE210" s="212"/>
      <c r="UEF210" s="212"/>
      <c r="UEG210" s="212"/>
      <c r="UEH210" s="212"/>
      <c r="UEI210" s="212"/>
      <c r="UEJ210" s="212"/>
      <c r="UEK210" s="212"/>
      <c r="UEL210" s="212"/>
      <c r="UEM210" s="212"/>
      <c r="UEN210" s="212"/>
      <c r="UEO210" s="212"/>
      <c r="UEP210" s="212"/>
      <c r="UEQ210" s="212"/>
      <c r="UER210" s="214"/>
      <c r="UES210" s="211"/>
      <c r="UET210" s="212"/>
      <c r="UEU210" s="212"/>
      <c r="UEV210" s="212"/>
      <c r="UEW210" s="212"/>
      <c r="UEX210" s="212"/>
      <c r="UEY210" s="212"/>
      <c r="UEZ210" s="212"/>
      <c r="UFA210" s="212"/>
      <c r="UFB210" s="212"/>
      <c r="UFC210" s="212"/>
      <c r="UFD210" s="212"/>
      <c r="UFE210" s="212"/>
      <c r="UFF210" s="212"/>
      <c r="UFG210" s="212"/>
      <c r="UFH210" s="212"/>
      <c r="UFI210" s="212"/>
      <c r="UFJ210" s="212"/>
      <c r="UFK210" s="212"/>
      <c r="UFL210" s="212"/>
      <c r="UFM210" s="212"/>
      <c r="UFN210" s="212"/>
      <c r="UFO210" s="212"/>
      <c r="UFP210" s="212"/>
      <c r="UFQ210" s="212"/>
      <c r="UFR210" s="212"/>
      <c r="UFS210" s="212"/>
      <c r="UFT210" s="212"/>
      <c r="UFU210" s="212"/>
      <c r="UFV210" s="212"/>
      <c r="UFW210" s="212"/>
      <c r="UFX210" s="212"/>
      <c r="UFY210" s="212"/>
      <c r="UFZ210" s="212"/>
      <c r="UGA210" s="212"/>
      <c r="UGB210" s="212"/>
      <c r="UGC210" s="212"/>
      <c r="UGD210" s="212"/>
      <c r="UGE210" s="212"/>
      <c r="UGF210" s="212"/>
      <c r="UGG210" s="212"/>
      <c r="UGH210" s="212"/>
      <c r="UGI210" s="212"/>
      <c r="UGJ210" s="214"/>
      <c r="UGK210" s="211"/>
      <c r="UGL210" s="212"/>
      <c r="UGM210" s="212"/>
      <c r="UGN210" s="212"/>
      <c r="UGO210" s="212"/>
      <c r="UGP210" s="212"/>
      <c r="UGQ210" s="212"/>
      <c r="UGR210" s="212"/>
      <c r="UGS210" s="212"/>
      <c r="UGT210" s="212"/>
      <c r="UGU210" s="212"/>
      <c r="UGV210" s="212"/>
      <c r="UGW210" s="212"/>
      <c r="UGX210" s="212"/>
      <c r="UGY210" s="212"/>
      <c r="UGZ210" s="212"/>
      <c r="UHA210" s="212"/>
      <c r="UHB210" s="212"/>
      <c r="UHC210" s="212"/>
      <c r="UHD210" s="212"/>
      <c r="UHE210" s="212"/>
      <c r="UHF210" s="212"/>
      <c r="UHG210" s="212"/>
      <c r="UHH210" s="212"/>
      <c r="UHI210" s="212"/>
      <c r="UHJ210" s="212"/>
      <c r="UHK210" s="212"/>
      <c r="UHL210" s="212"/>
      <c r="UHM210" s="212"/>
      <c r="UHN210" s="212"/>
      <c r="UHO210" s="212"/>
      <c r="UHP210" s="212"/>
      <c r="UHQ210" s="212"/>
      <c r="UHR210" s="212"/>
      <c r="UHS210" s="212"/>
      <c r="UHT210" s="212"/>
      <c r="UHU210" s="212"/>
      <c r="UHV210" s="212"/>
      <c r="UHW210" s="212"/>
      <c r="UHX210" s="212"/>
      <c r="UHY210" s="212"/>
      <c r="UHZ210" s="212"/>
      <c r="UIA210" s="212"/>
      <c r="UIB210" s="214"/>
      <c r="UIC210" s="211"/>
      <c r="UID210" s="212"/>
      <c r="UIE210" s="212"/>
      <c r="UIF210" s="212"/>
      <c r="UIG210" s="212"/>
      <c r="UIH210" s="212"/>
      <c r="UII210" s="212"/>
      <c r="UIJ210" s="212"/>
      <c r="UIK210" s="212"/>
      <c r="UIL210" s="212"/>
      <c r="UIM210" s="212"/>
      <c r="UIN210" s="212"/>
      <c r="UIO210" s="212"/>
      <c r="UIP210" s="212"/>
      <c r="UIQ210" s="212"/>
      <c r="UIR210" s="212"/>
      <c r="UIS210" s="212"/>
      <c r="UIT210" s="212"/>
      <c r="UIU210" s="212"/>
      <c r="UIV210" s="212"/>
      <c r="UIW210" s="212"/>
      <c r="UIX210" s="212"/>
      <c r="UIY210" s="212"/>
      <c r="UIZ210" s="212"/>
      <c r="UJA210" s="212"/>
      <c r="UJB210" s="212"/>
      <c r="UJC210" s="212"/>
      <c r="UJD210" s="212"/>
      <c r="UJE210" s="212"/>
      <c r="UJF210" s="212"/>
      <c r="UJG210" s="212"/>
      <c r="UJH210" s="212"/>
      <c r="UJI210" s="212"/>
      <c r="UJJ210" s="212"/>
      <c r="UJK210" s="212"/>
      <c r="UJL210" s="212"/>
      <c r="UJM210" s="212"/>
      <c r="UJN210" s="212"/>
      <c r="UJO210" s="212"/>
      <c r="UJP210" s="212"/>
      <c r="UJQ210" s="212"/>
      <c r="UJR210" s="212"/>
      <c r="UJS210" s="212"/>
      <c r="UJT210" s="214"/>
      <c r="UJU210" s="211"/>
      <c r="UJV210" s="212"/>
      <c r="UJW210" s="212"/>
      <c r="UJX210" s="212"/>
      <c r="UJY210" s="212"/>
      <c r="UJZ210" s="212"/>
      <c r="UKA210" s="212"/>
      <c r="UKB210" s="212"/>
      <c r="UKC210" s="212"/>
      <c r="UKD210" s="212"/>
      <c r="UKE210" s="212"/>
      <c r="UKF210" s="212"/>
      <c r="UKG210" s="212"/>
      <c r="UKH210" s="212"/>
      <c r="UKI210" s="212"/>
      <c r="UKJ210" s="212"/>
      <c r="UKK210" s="212"/>
      <c r="UKL210" s="212"/>
      <c r="UKM210" s="212"/>
      <c r="UKN210" s="212"/>
      <c r="UKO210" s="212"/>
      <c r="UKP210" s="212"/>
      <c r="UKQ210" s="212"/>
      <c r="UKR210" s="212"/>
      <c r="UKS210" s="212"/>
      <c r="UKT210" s="212"/>
      <c r="UKU210" s="212"/>
      <c r="UKV210" s="212"/>
      <c r="UKW210" s="212"/>
      <c r="UKX210" s="212"/>
      <c r="UKY210" s="212"/>
      <c r="UKZ210" s="212"/>
      <c r="ULA210" s="212"/>
      <c r="ULB210" s="212"/>
      <c r="ULC210" s="212"/>
      <c r="ULD210" s="212"/>
      <c r="ULE210" s="212"/>
      <c r="ULF210" s="212"/>
      <c r="ULG210" s="212"/>
      <c r="ULH210" s="212"/>
      <c r="ULI210" s="212"/>
      <c r="ULJ210" s="212"/>
      <c r="ULK210" s="212"/>
      <c r="ULL210" s="214"/>
      <c r="ULM210" s="211"/>
      <c r="ULN210" s="212"/>
      <c r="ULO210" s="212"/>
      <c r="ULP210" s="212"/>
      <c r="ULQ210" s="212"/>
      <c r="ULR210" s="212"/>
      <c r="ULS210" s="212"/>
      <c r="ULT210" s="212"/>
      <c r="ULU210" s="212"/>
      <c r="ULV210" s="212"/>
      <c r="ULW210" s="212"/>
      <c r="ULX210" s="212"/>
      <c r="ULY210" s="212"/>
      <c r="ULZ210" s="212"/>
      <c r="UMA210" s="212"/>
      <c r="UMB210" s="212"/>
      <c r="UMC210" s="212"/>
      <c r="UMD210" s="212"/>
      <c r="UME210" s="212"/>
      <c r="UMF210" s="212"/>
      <c r="UMG210" s="212"/>
      <c r="UMH210" s="212"/>
      <c r="UMI210" s="212"/>
      <c r="UMJ210" s="212"/>
      <c r="UMK210" s="212"/>
      <c r="UML210" s="212"/>
      <c r="UMM210" s="212"/>
      <c r="UMN210" s="212"/>
      <c r="UMO210" s="212"/>
      <c r="UMP210" s="212"/>
      <c r="UMQ210" s="212"/>
      <c r="UMR210" s="212"/>
      <c r="UMS210" s="212"/>
      <c r="UMT210" s="212"/>
      <c r="UMU210" s="212"/>
      <c r="UMV210" s="212"/>
      <c r="UMW210" s="212"/>
      <c r="UMX210" s="212"/>
      <c r="UMY210" s="212"/>
      <c r="UMZ210" s="212"/>
      <c r="UNA210" s="212"/>
      <c r="UNB210" s="212"/>
      <c r="UNC210" s="212"/>
      <c r="UND210" s="214"/>
      <c r="UNE210" s="211"/>
      <c r="UNF210" s="212"/>
      <c r="UNG210" s="212"/>
      <c r="UNH210" s="212"/>
      <c r="UNI210" s="212"/>
      <c r="UNJ210" s="212"/>
      <c r="UNK210" s="212"/>
      <c r="UNL210" s="212"/>
      <c r="UNM210" s="212"/>
      <c r="UNN210" s="212"/>
      <c r="UNO210" s="212"/>
      <c r="UNP210" s="212"/>
      <c r="UNQ210" s="212"/>
      <c r="UNR210" s="212"/>
      <c r="UNS210" s="212"/>
      <c r="UNT210" s="212"/>
      <c r="UNU210" s="212"/>
      <c r="UNV210" s="212"/>
      <c r="UNW210" s="212"/>
      <c r="UNX210" s="212"/>
      <c r="UNY210" s="212"/>
      <c r="UNZ210" s="212"/>
      <c r="UOA210" s="212"/>
      <c r="UOB210" s="212"/>
      <c r="UOC210" s="212"/>
      <c r="UOD210" s="212"/>
      <c r="UOE210" s="212"/>
      <c r="UOF210" s="212"/>
      <c r="UOG210" s="212"/>
      <c r="UOH210" s="212"/>
      <c r="UOI210" s="212"/>
      <c r="UOJ210" s="212"/>
      <c r="UOK210" s="212"/>
      <c r="UOL210" s="212"/>
      <c r="UOM210" s="212"/>
      <c r="UON210" s="212"/>
      <c r="UOO210" s="212"/>
      <c r="UOP210" s="212"/>
      <c r="UOQ210" s="212"/>
      <c r="UOR210" s="212"/>
      <c r="UOS210" s="212"/>
      <c r="UOT210" s="212"/>
      <c r="UOU210" s="212"/>
      <c r="UOV210" s="214"/>
      <c r="UOW210" s="211"/>
      <c r="UOX210" s="212"/>
      <c r="UOY210" s="212"/>
      <c r="UOZ210" s="212"/>
      <c r="UPA210" s="212"/>
      <c r="UPB210" s="212"/>
      <c r="UPC210" s="212"/>
      <c r="UPD210" s="212"/>
      <c r="UPE210" s="212"/>
      <c r="UPF210" s="212"/>
      <c r="UPG210" s="212"/>
      <c r="UPH210" s="212"/>
      <c r="UPI210" s="212"/>
      <c r="UPJ210" s="212"/>
      <c r="UPK210" s="212"/>
      <c r="UPL210" s="212"/>
      <c r="UPM210" s="212"/>
      <c r="UPN210" s="212"/>
      <c r="UPO210" s="212"/>
      <c r="UPP210" s="212"/>
      <c r="UPQ210" s="212"/>
      <c r="UPR210" s="212"/>
      <c r="UPS210" s="212"/>
      <c r="UPT210" s="212"/>
      <c r="UPU210" s="212"/>
      <c r="UPV210" s="212"/>
      <c r="UPW210" s="212"/>
      <c r="UPX210" s="212"/>
      <c r="UPY210" s="212"/>
      <c r="UPZ210" s="212"/>
      <c r="UQA210" s="212"/>
      <c r="UQB210" s="212"/>
      <c r="UQC210" s="212"/>
      <c r="UQD210" s="212"/>
      <c r="UQE210" s="212"/>
      <c r="UQF210" s="212"/>
      <c r="UQG210" s="212"/>
      <c r="UQH210" s="212"/>
      <c r="UQI210" s="212"/>
      <c r="UQJ210" s="212"/>
      <c r="UQK210" s="212"/>
      <c r="UQL210" s="212"/>
      <c r="UQM210" s="212"/>
      <c r="UQN210" s="214"/>
      <c r="UQO210" s="211"/>
      <c r="UQP210" s="212"/>
      <c r="UQQ210" s="212"/>
      <c r="UQR210" s="212"/>
      <c r="UQS210" s="212"/>
      <c r="UQT210" s="212"/>
      <c r="UQU210" s="212"/>
      <c r="UQV210" s="212"/>
      <c r="UQW210" s="212"/>
      <c r="UQX210" s="212"/>
      <c r="UQY210" s="212"/>
      <c r="UQZ210" s="212"/>
      <c r="URA210" s="212"/>
      <c r="URB210" s="212"/>
      <c r="URC210" s="212"/>
      <c r="URD210" s="212"/>
      <c r="URE210" s="212"/>
      <c r="URF210" s="212"/>
      <c r="URG210" s="212"/>
      <c r="URH210" s="212"/>
      <c r="URI210" s="212"/>
      <c r="URJ210" s="212"/>
      <c r="URK210" s="212"/>
      <c r="URL210" s="212"/>
      <c r="URM210" s="212"/>
      <c r="URN210" s="212"/>
      <c r="URO210" s="212"/>
      <c r="URP210" s="212"/>
      <c r="URQ210" s="212"/>
      <c r="URR210" s="212"/>
      <c r="URS210" s="212"/>
      <c r="URT210" s="212"/>
      <c r="URU210" s="212"/>
      <c r="URV210" s="212"/>
      <c r="URW210" s="212"/>
      <c r="URX210" s="212"/>
      <c r="URY210" s="212"/>
      <c r="URZ210" s="212"/>
      <c r="USA210" s="212"/>
      <c r="USB210" s="212"/>
      <c r="USC210" s="212"/>
      <c r="USD210" s="212"/>
      <c r="USE210" s="212"/>
      <c r="USF210" s="214"/>
      <c r="USG210" s="211"/>
      <c r="USH210" s="212"/>
      <c r="USI210" s="212"/>
      <c r="USJ210" s="212"/>
      <c r="USK210" s="212"/>
      <c r="USL210" s="212"/>
      <c r="USM210" s="212"/>
      <c r="USN210" s="212"/>
      <c r="USO210" s="212"/>
      <c r="USP210" s="212"/>
      <c r="USQ210" s="212"/>
      <c r="USR210" s="212"/>
      <c r="USS210" s="212"/>
      <c r="UST210" s="212"/>
      <c r="USU210" s="212"/>
      <c r="USV210" s="212"/>
      <c r="USW210" s="212"/>
      <c r="USX210" s="212"/>
      <c r="USY210" s="212"/>
      <c r="USZ210" s="212"/>
      <c r="UTA210" s="212"/>
      <c r="UTB210" s="212"/>
      <c r="UTC210" s="212"/>
      <c r="UTD210" s="212"/>
      <c r="UTE210" s="212"/>
      <c r="UTF210" s="212"/>
      <c r="UTG210" s="212"/>
      <c r="UTH210" s="212"/>
      <c r="UTI210" s="212"/>
      <c r="UTJ210" s="212"/>
      <c r="UTK210" s="212"/>
      <c r="UTL210" s="212"/>
      <c r="UTM210" s="212"/>
      <c r="UTN210" s="212"/>
      <c r="UTO210" s="212"/>
      <c r="UTP210" s="212"/>
      <c r="UTQ210" s="212"/>
      <c r="UTR210" s="212"/>
      <c r="UTS210" s="212"/>
      <c r="UTT210" s="212"/>
      <c r="UTU210" s="212"/>
      <c r="UTV210" s="212"/>
      <c r="UTW210" s="212"/>
      <c r="UTX210" s="214"/>
      <c r="UTY210" s="211"/>
      <c r="UTZ210" s="212"/>
      <c r="UUA210" s="212"/>
      <c r="UUB210" s="212"/>
      <c r="UUC210" s="212"/>
      <c r="UUD210" s="212"/>
      <c r="UUE210" s="212"/>
      <c r="UUF210" s="212"/>
      <c r="UUG210" s="212"/>
      <c r="UUH210" s="212"/>
      <c r="UUI210" s="212"/>
      <c r="UUJ210" s="212"/>
      <c r="UUK210" s="212"/>
      <c r="UUL210" s="212"/>
      <c r="UUM210" s="212"/>
      <c r="UUN210" s="212"/>
      <c r="UUO210" s="212"/>
      <c r="UUP210" s="212"/>
      <c r="UUQ210" s="212"/>
      <c r="UUR210" s="212"/>
      <c r="UUS210" s="212"/>
      <c r="UUT210" s="212"/>
      <c r="UUU210" s="212"/>
      <c r="UUV210" s="212"/>
      <c r="UUW210" s="212"/>
      <c r="UUX210" s="212"/>
      <c r="UUY210" s="212"/>
      <c r="UUZ210" s="212"/>
      <c r="UVA210" s="212"/>
      <c r="UVB210" s="212"/>
      <c r="UVC210" s="212"/>
      <c r="UVD210" s="212"/>
      <c r="UVE210" s="212"/>
      <c r="UVF210" s="212"/>
      <c r="UVG210" s="212"/>
      <c r="UVH210" s="212"/>
      <c r="UVI210" s="212"/>
      <c r="UVJ210" s="212"/>
      <c r="UVK210" s="212"/>
      <c r="UVL210" s="212"/>
      <c r="UVM210" s="212"/>
      <c r="UVN210" s="212"/>
      <c r="UVO210" s="212"/>
      <c r="UVP210" s="214"/>
      <c r="UVQ210" s="211"/>
      <c r="UVR210" s="212"/>
      <c r="UVS210" s="212"/>
      <c r="UVT210" s="212"/>
      <c r="UVU210" s="212"/>
      <c r="UVV210" s="212"/>
      <c r="UVW210" s="212"/>
      <c r="UVX210" s="212"/>
      <c r="UVY210" s="212"/>
      <c r="UVZ210" s="212"/>
      <c r="UWA210" s="212"/>
      <c r="UWB210" s="212"/>
      <c r="UWC210" s="212"/>
      <c r="UWD210" s="212"/>
      <c r="UWE210" s="212"/>
      <c r="UWF210" s="212"/>
      <c r="UWG210" s="212"/>
      <c r="UWH210" s="212"/>
      <c r="UWI210" s="212"/>
      <c r="UWJ210" s="212"/>
      <c r="UWK210" s="212"/>
      <c r="UWL210" s="212"/>
      <c r="UWM210" s="212"/>
      <c r="UWN210" s="212"/>
      <c r="UWO210" s="212"/>
      <c r="UWP210" s="212"/>
      <c r="UWQ210" s="212"/>
      <c r="UWR210" s="212"/>
      <c r="UWS210" s="212"/>
      <c r="UWT210" s="212"/>
      <c r="UWU210" s="212"/>
      <c r="UWV210" s="212"/>
      <c r="UWW210" s="212"/>
      <c r="UWX210" s="212"/>
      <c r="UWY210" s="212"/>
      <c r="UWZ210" s="212"/>
      <c r="UXA210" s="212"/>
      <c r="UXB210" s="212"/>
      <c r="UXC210" s="212"/>
      <c r="UXD210" s="212"/>
      <c r="UXE210" s="212"/>
      <c r="UXF210" s="212"/>
      <c r="UXG210" s="212"/>
      <c r="UXH210" s="214"/>
      <c r="UXI210" s="211"/>
      <c r="UXJ210" s="212"/>
      <c r="UXK210" s="212"/>
      <c r="UXL210" s="212"/>
      <c r="UXM210" s="212"/>
      <c r="UXN210" s="212"/>
      <c r="UXO210" s="212"/>
      <c r="UXP210" s="212"/>
      <c r="UXQ210" s="212"/>
      <c r="UXR210" s="212"/>
      <c r="UXS210" s="212"/>
      <c r="UXT210" s="212"/>
      <c r="UXU210" s="212"/>
      <c r="UXV210" s="212"/>
      <c r="UXW210" s="212"/>
      <c r="UXX210" s="212"/>
      <c r="UXY210" s="212"/>
      <c r="UXZ210" s="212"/>
      <c r="UYA210" s="212"/>
      <c r="UYB210" s="212"/>
      <c r="UYC210" s="212"/>
      <c r="UYD210" s="212"/>
      <c r="UYE210" s="212"/>
      <c r="UYF210" s="212"/>
      <c r="UYG210" s="212"/>
      <c r="UYH210" s="212"/>
      <c r="UYI210" s="212"/>
      <c r="UYJ210" s="212"/>
      <c r="UYK210" s="212"/>
      <c r="UYL210" s="212"/>
      <c r="UYM210" s="212"/>
      <c r="UYN210" s="212"/>
      <c r="UYO210" s="212"/>
      <c r="UYP210" s="212"/>
      <c r="UYQ210" s="212"/>
      <c r="UYR210" s="212"/>
      <c r="UYS210" s="212"/>
      <c r="UYT210" s="212"/>
      <c r="UYU210" s="212"/>
      <c r="UYV210" s="212"/>
      <c r="UYW210" s="212"/>
      <c r="UYX210" s="212"/>
      <c r="UYY210" s="212"/>
      <c r="UYZ210" s="214"/>
      <c r="UZA210" s="211"/>
      <c r="UZB210" s="212"/>
      <c r="UZC210" s="212"/>
      <c r="UZD210" s="212"/>
      <c r="UZE210" s="212"/>
      <c r="UZF210" s="212"/>
      <c r="UZG210" s="212"/>
      <c r="UZH210" s="212"/>
      <c r="UZI210" s="212"/>
      <c r="UZJ210" s="212"/>
      <c r="UZK210" s="212"/>
      <c r="UZL210" s="212"/>
      <c r="UZM210" s="212"/>
      <c r="UZN210" s="212"/>
      <c r="UZO210" s="212"/>
      <c r="UZP210" s="212"/>
      <c r="UZQ210" s="212"/>
      <c r="UZR210" s="212"/>
      <c r="UZS210" s="212"/>
      <c r="UZT210" s="212"/>
      <c r="UZU210" s="212"/>
      <c r="UZV210" s="212"/>
      <c r="UZW210" s="212"/>
      <c r="UZX210" s="212"/>
      <c r="UZY210" s="212"/>
      <c r="UZZ210" s="212"/>
      <c r="VAA210" s="212"/>
      <c r="VAB210" s="212"/>
      <c r="VAC210" s="212"/>
      <c r="VAD210" s="212"/>
      <c r="VAE210" s="212"/>
      <c r="VAF210" s="212"/>
      <c r="VAG210" s="212"/>
      <c r="VAH210" s="212"/>
      <c r="VAI210" s="212"/>
      <c r="VAJ210" s="212"/>
      <c r="VAK210" s="212"/>
      <c r="VAL210" s="212"/>
      <c r="VAM210" s="212"/>
      <c r="VAN210" s="212"/>
      <c r="VAO210" s="212"/>
      <c r="VAP210" s="212"/>
      <c r="VAQ210" s="212"/>
      <c r="VAR210" s="214"/>
      <c r="VAS210" s="211"/>
      <c r="VAT210" s="212"/>
      <c r="VAU210" s="212"/>
      <c r="VAV210" s="212"/>
      <c r="VAW210" s="212"/>
      <c r="VAX210" s="212"/>
      <c r="VAY210" s="212"/>
      <c r="VAZ210" s="212"/>
      <c r="VBA210" s="212"/>
      <c r="VBB210" s="212"/>
      <c r="VBC210" s="212"/>
      <c r="VBD210" s="212"/>
      <c r="VBE210" s="212"/>
      <c r="VBF210" s="212"/>
      <c r="VBG210" s="212"/>
      <c r="VBH210" s="212"/>
      <c r="VBI210" s="212"/>
      <c r="VBJ210" s="212"/>
      <c r="VBK210" s="212"/>
      <c r="VBL210" s="212"/>
      <c r="VBM210" s="212"/>
      <c r="VBN210" s="212"/>
      <c r="VBO210" s="212"/>
      <c r="VBP210" s="212"/>
      <c r="VBQ210" s="212"/>
      <c r="VBR210" s="212"/>
      <c r="VBS210" s="212"/>
      <c r="VBT210" s="212"/>
      <c r="VBU210" s="212"/>
      <c r="VBV210" s="212"/>
      <c r="VBW210" s="212"/>
      <c r="VBX210" s="212"/>
      <c r="VBY210" s="212"/>
      <c r="VBZ210" s="212"/>
      <c r="VCA210" s="212"/>
      <c r="VCB210" s="212"/>
      <c r="VCC210" s="212"/>
      <c r="VCD210" s="212"/>
      <c r="VCE210" s="212"/>
      <c r="VCF210" s="212"/>
      <c r="VCG210" s="212"/>
      <c r="VCH210" s="212"/>
      <c r="VCI210" s="212"/>
      <c r="VCJ210" s="214"/>
      <c r="VCK210" s="211"/>
      <c r="VCL210" s="212"/>
      <c r="VCM210" s="212"/>
      <c r="VCN210" s="212"/>
      <c r="VCO210" s="212"/>
      <c r="VCP210" s="212"/>
      <c r="VCQ210" s="212"/>
      <c r="VCR210" s="212"/>
      <c r="VCS210" s="212"/>
      <c r="VCT210" s="212"/>
      <c r="VCU210" s="212"/>
      <c r="VCV210" s="212"/>
      <c r="VCW210" s="212"/>
      <c r="VCX210" s="212"/>
      <c r="VCY210" s="212"/>
      <c r="VCZ210" s="212"/>
      <c r="VDA210" s="212"/>
      <c r="VDB210" s="212"/>
      <c r="VDC210" s="212"/>
      <c r="VDD210" s="212"/>
      <c r="VDE210" s="212"/>
      <c r="VDF210" s="212"/>
      <c r="VDG210" s="212"/>
      <c r="VDH210" s="212"/>
      <c r="VDI210" s="212"/>
      <c r="VDJ210" s="212"/>
      <c r="VDK210" s="212"/>
      <c r="VDL210" s="212"/>
      <c r="VDM210" s="212"/>
      <c r="VDN210" s="212"/>
      <c r="VDO210" s="212"/>
      <c r="VDP210" s="212"/>
      <c r="VDQ210" s="212"/>
      <c r="VDR210" s="212"/>
      <c r="VDS210" s="212"/>
      <c r="VDT210" s="212"/>
      <c r="VDU210" s="212"/>
      <c r="VDV210" s="212"/>
      <c r="VDW210" s="212"/>
      <c r="VDX210" s="212"/>
      <c r="VDY210" s="212"/>
      <c r="VDZ210" s="212"/>
      <c r="VEA210" s="212"/>
      <c r="VEB210" s="214"/>
      <c r="VEC210" s="211"/>
      <c r="VED210" s="212"/>
      <c r="VEE210" s="212"/>
      <c r="VEF210" s="212"/>
      <c r="VEG210" s="212"/>
      <c r="VEH210" s="212"/>
      <c r="VEI210" s="212"/>
      <c r="VEJ210" s="212"/>
      <c r="VEK210" s="212"/>
      <c r="VEL210" s="212"/>
      <c r="VEM210" s="212"/>
      <c r="VEN210" s="212"/>
      <c r="VEO210" s="212"/>
      <c r="VEP210" s="212"/>
      <c r="VEQ210" s="212"/>
      <c r="VER210" s="212"/>
      <c r="VES210" s="212"/>
      <c r="VET210" s="212"/>
      <c r="VEU210" s="212"/>
      <c r="VEV210" s="212"/>
      <c r="VEW210" s="212"/>
      <c r="VEX210" s="212"/>
      <c r="VEY210" s="212"/>
      <c r="VEZ210" s="212"/>
      <c r="VFA210" s="212"/>
      <c r="VFB210" s="212"/>
      <c r="VFC210" s="212"/>
      <c r="VFD210" s="212"/>
      <c r="VFE210" s="212"/>
      <c r="VFF210" s="212"/>
      <c r="VFG210" s="212"/>
      <c r="VFH210" s="212"/>
      <c r="VFI210" s="212"/>
      <c r="VFJ210" s="212"/>
      <c r="VFK210" s="212"/>
      <c r="VFL210" s="212"/>
      <c r="VFM210" s="212"/>
      <c r="VFN210" s="212"/>
      <c r="VFO210" s="212"/>
      <c r="VFP210" s="212"/>
      <c r="VFQ210" s="212"/>
      <c r="VFR210" s="212"/>
      <c r="VFS210" s="212"/>
      <c r="VFT210" s="214"/>
      <c r="VFU210" s="211"/>
      <c r="VFV210" s="212"/>
      <c r="VFW210" s="212"/>
      <c r="VFX210" s="212"/>
      <c r="VFY210" s="212"/>
      <c r="VFZ210" s="212"/>
      <c r="VGA210" s="212"/>
      <c r="VGB210" s="212"/>
      <c r="VGC210" s="212"/>
      <c r="VGD210" s="212"/>
      <c r="VGE210" s="212"/>
      <c r="VGF210" s="212"/>
      <c r="VGG210" s="212"/>
      <c r="VGH210" s="212"/>
      <c r="VGI210" s="212"/>
      <c r="VGJ210" s="212"/>
      <c r="VGK210" s="212"/>
      <c r="VGL210" s="212"/>
      <c r="VGM210" s="212"/>
      <c r="VGN210" s="212"/>
      <c r="VGO210" s="212"/>
      <c r="VGP210" s="212"/>
      <c r="VGQ210" s="212"/>
      <c r="VGR210" s="212"/>
      <c r="VGS210" s="212"/>
      <c r="VGT210" s="212"/>
      <c r="VGU210" s="212"/>
      <c r="VGV210" s="212"/>
      <c r="VGW210" s="212"/>
      <c r="VGX210" s="212"/>
      <c r="VGY210" s="212"/>
      <c r="VGZ210" s="212"/>
      <c r="VHA210" s="212"/>
      <c r="VHB210" s="212"/>
      <c r="VHC210" s="212"/>
      <c r="VHD210" s="212"/>
      <c r="VHE210" s="212"/>
      <c r="VHF210" s="212"/>
      <c r="VHG210" s="212"/>
      <c r="VHH210" s="212"/>
      <c r="VHI210" s="212"/>
      <c r="VHJ210" s="212"/>
      <c r="VHK210" s="212"/>
      <c r="VHL210" s="214"/>
      <c r="VHM210" s="211"/>
      <c r="VHN210" s="212"/>
      <c r="VHO210" s="212"/>
      <c r="VHP210" s="212"/>
      <c r="VHQ210" s="212"/>
      <c r="VHR210" s="212"/>
      <c r="VHS210" s="212"/>
      <c r="VHT210" s="212"/>
      <c r="VHU210" s="212"/>
      <c r="VHV210" s="212"/>
      <c r="VHW210" s="212"/>
      <c r="VHX210" s="212"/>
      <c r="VHY210" s="212"/>
      <c r="VHZ210" s="212"/>
      <c r="VIA210" s="212"/>
      <c r="VIB210" s="212"/>
      <c r="VIC210" s="212"/>
      <c r="VID210" s="212"/>
      <c r="VIE210" s="212"/>
      <c r="VIF210" s="212"/>
      <c r="VIG210" s="212"/>
      <c r="VIH210" s="212"/>
      <c r="VII210" s="212"/>
      <c r="VIJ210" s="212"/>
      <c r="VIK210" s="212"/>
      <c r="VIL210" s="212"/>
      <c r="VIM210" s="212"/>
      <c r="VIN210" s="212"/>
      <c r="VIO210" s="212"/>
      <c r="VIP210" s="212"/>
      <c r="VIQ210" s="212"/>
      <c r="VIR210" s="212"/>
      <c r="VIS210" s="212"/>
      <c r="VIT210" s="212"/>
      <c r="VIU210" s="212"/>
      <c r="VIV210" s="212"/>
      <c r="VIW210" s="212"/>
      <c r="VIX210" s="212"/>
      <c r="VIY210" s="212"/>
      <c r="VIZ210" s="212"/>
      <c r="VJA210" s="212"/>
      <c r="VJB210" s="212"/>
      <c r="VJC210" s="212"/>
      <c r="VJD210" s="214"/>
      <c r="VJE210" s="211"/>
      <c r="VJF210" s="212"/>
      <c r="VJG210" s="212"/>
      <c r="VJH210" s="212"/>
      <c r="VJI210" s="212"/>
      <c r="VJJ210" s="212"/>
      <c r="VJK210" s="212"/>
      <c r="VJL210" s="212"/>
      <c r="VJM210" s="212"/>
      <c r="VJN210" s="212"/>
      <c r="VJO210" s="212"/>
      <c r="VJP210" s="212"/>
      <c r="VJQ210" s="212"/>
      <c r="VJR210" s="212"/>
      <c r="VJS210" s="212"/>
      <c r="VJT210" s="212"/>
      <c r="VJU210" s="212"/>
      <c r="VJV210" s="212"/>
      <c r="VJW210" s="212"/>
      <c r="VJX210" s="212"/>
      <c r="VJY210" s="212"/>
      <c r="VJZ210" s="212"/>
      <c r="VKA210" s="212"/>
      <c r="VKB210" s="212"/>
      <c r="VKC210" s="212"/>
      <c r="VKD210" s="212"/>
      <c r="VKE210" s="212"/>
      <c r="VKF210" s="212"/>
      <c r="VKG210" s="212"/>
      <c r="VKH210" s="212"/>
      <c r="VKI210" s="212"/>
      <c r="VKJ210" s="212"/>
      <c r="VKK210" s="212"/>
      <c r="VKL210" s="212"/>
      <c r="VKM210" s="212"/>
      <c r="VKN210" s="212"/>
      <c r="VKO210" s="212"/>
      <c r="VKP210" s="212"/>
      <c r="VKQ210" s="212"/>
      <c r="VKR210" s="212"/>
      <c r="VKS210" s="212"/>
      <c r="VKT210" s="212"/>
      <c r="VKU210" s="212"/>
      <c r="VKV210" s="214"/>
      <c r="VKW210" s="211"/>
      <c r="VKX210" s="212"/>
      <c r="VKY210" s="212"/>
      <c r="VKZ210" s="212"/>
      <c r="VLA210" s="212"/>
      <c r="VLB210" s="212"/>
      <c r="VLC210" s="212"/>
      <c r="VLD210" s="212"/>
      <c r="VLE210" s="212"/>
      <c r="VLF210" s="212"/>
      <c r="VLG210" s="212"/>
      <c r="VLH210" s="212"/>
      <c r="VLI210" s="212"/>
      <c r="VLJ210" s="212"/>
      <c r="VLK210" s="212"/>
      <c r="VLL210" s="212"/>
      <c r="VLM210" s="212"/>
      <c r="VLN210" s="212"/>
      <c r="VLO210" s="212"/>
      <c r="VLP210" s="212"/>
      <c r="VLQ210" s="212"/>
      <c r="VLR210" s="212"/>
      <c r="VLS210" s="212"/>
      <c r="VLT210" s="212"/>
      <c r="VLU210" s="212"/>
      <c r="VLV210" s="212"/>
      <c r="VLW210" s="212"/>
      <c r="VLX210" s="212"/>
      <c r="VLY210" s="212"/>
      <c r="VLZ210" s="212"/>
      <c r="VMA210" s="212"/>
      <c r="VMB210" s="212"/>
      <c r="VMC210" s="212"/>
      <c r="VMD210" s="212"/>
      <c r="VME210" s="212"/>
      <c r="VMF210" s="212"/>
      <c r="VMG210" s="212"/>
      <c r="VMH210" s="212"/>
      <c r="VMI210" s="212"/>
      <c r="VMJ210" s="212"/>
      <c r="VMK210" s="212"/>
      <c r="VML210" s="212"/>
      <c r="VMM210" s="212"/>
      <c r="VMN210" s="214"/>
      <c r="VMO210" s="211"/>
      <c r="VMP210" s="212"/>
      <c r="VMQ210" s="212"/>
      <c r="VMR210" s="212"/>
      <c r="VMS210" s="212"/>
      <c r="VMT210" s="212"/>
      <c r="VMU210" s="212"/>
      <c r="VMV210" s="212"/>
      <c r="VMW210" s="212"/>
      <c r="VMX210" s="212"/>
      <c r="VMY210" s="212"/>
      <c r="VMZ210" s="212"/>
      <c r="VNA210" s="212"/>
      <c r="VNB210" s="212"/>
      <c r="VNC210" s="212"/>
      <c r="VND210" s="212"/>
      <c r="VNE210" s="212"/>
      <c r="VNF210" s="212"/>
      <c r="VNG210" s="212"/>
      <c r="VNH210" s="212"/>
      <c r="VNI210" s="212"/>
      <c r="VNJ210" s="212"/>
      <c r="VNK210" s="212"/>
      <c r="VNL210" s="212"/>
      <c r="VNM210" s="212"/>
      <c r="VNN210" s="212"/>
      <c r="VNO210" s="212"/>
      <c r="VNP210" s="212"/>
      <c r="VNQ210" s="212"/>
      <c r="VNR210" s="212"/>
      <c r="VNS210" s="212"/>
      <c r="VNT210" s="212"/>
      <c r="VNU210" s="212"/>
      <c r="VNV210" s="212"/>
      <c r="VNW210" s="212"/>
      <c r="VNX210" s="212"/>
      <c r="VNY210" s="212"/>
      <c r="VNZ210" s="212"/>
      <c r="VOA210" s="212"/>
      <c r="VOB210" s="212"/>
      <c r="VOC210" s="212"/>
      <c r="VOD210" s="212"/>
      <c r="VOE210" s="212"/>
      <c r="VOF210" s="214"/>
      <c r="VOG210" s="211"/>
      <c r="VOH210" s="212"/>
      <c r="VOI210" s="212"/>
      <c r="VOJ210" s="212"/>
      <c r="VOK210" s="212"/>
      <c r="VOL210" s="212"/>
      <c r="VOM210" s="212"/>
      <c r="VON210" s="212"/>
      <c r="VOO210" s="212"/>
      <c r="VOP210" s="212"/>
      <c r="VOQ210" s="212"/>
      <c r="VOR210" s="212"/>
      <c r="VOS210" s="212"/>
      <c r="VOT210" s="212"/>
      <c r="VOU210" s="212"/>
      <c r="VOV210" s="212"/>
      <c r="VOW210" s="212"/>
      <c r="VOX210" s="212"/>
      <c r="VOY210" s="212"/>
      <c r="VOZ210" s="212"/>
      <c r="VPA210" s="212"/>
      <c r="VPB210" s="212"/>
      <c r="VPC210" s="212"/>
      <c r="VPD210" s="212"/>
      <c r="VPE210" s="212"/>
      <c r="VPF210" s="212"/>
      <c r="VPG210" s="212"/>
      <c r="VPH210" s="212"/>
      <c r="VPI210" s="212"/>
      <c r="VPJ210" s="212"/>
      <c r="VPK210" s="212"/>
      <c r="VPL210" s="212"/>
      <c r="VPM210" s="212"/>
      <c r="VPN210" s="212"/>
      <c r="VPO210" s="212"/>
      <c r="VPP210" s="212"/>
      <c r="VPQ210" s="212"/>
      <c r="VPR210" s="212"/>
      <c r="VPS210" s="212"/>
      <c r="VPT210" s="212"/>
      <c r="VPU210" s="212"/>
      <c r="VPV210" s="212"/>
      <c r="VPW210" s="212"/>
      <c r="VPX210" s="214"/>
      <c r="VPY210" s="211"/>
      <c r="VPZ210" s="212"/>
      <c r="VQA210" s="212"/>
      <c r="VQB210" s="212"/>
      <c r="VQC210" s="212"/>
      <c r="VQD210" s="212"/>
      <c r="VQE210" s="212"/>
      <c r="VQF210" s="212"/>
      <c r="VQG210" s="212"/>
      <c r="VQH210" s="212"/>
      <c r="VQI210" s="212"/>
      <c r="VQJ210" s="212"/>
      <c r="VQK210" s="212"/>
      <c r="VQL210" s="212"/>
      <c r="VQM210" s="212"/>
      <c r="VQN210" s="212"/>
      <c r="VQO210" s="212"/>
      <c r="VQP210" s="212"/>
      <c r="VQQ210" s="212"/>
      <c r="VQR210" s="212"/>
      <c r="VQS210" s="212"/>
      <c r="VQT210" s="212"/>
      <c r="VQU210" s="212"/>
      <c r="VQV210" s="212"/>
      <c r="VQW210" s="212"/>
      <c r="VQX210" s="212"/>
      <c r="VQY210" s="212"/>
      <c r="VQZ210" s="212"/>
      <c r="VRA210" s="212"/>
      <c r="VRB210" s="212"/>
      <c r="VRC210" s="212"/>
      <c r="VRD210" s="212"/>
      <c r="VRE210" s="212"/>
      <c r="VRF210" s="212"/>
      <c r="VRG210" s="212"/>
      <c r="VRH210" s="212"/>
      <c r="VRI210" s="212"/>
      <c r="VRJ210" s="212"/>
      <c r="VRK210" s="212"/>
      <c r="VRL210" s="212"/>
      <c r="VRM210" s="212"/>
      <c r="VRN210" s="212"/>
      <c r="VRO210" s="212"/>
      <c r="VRP210" s="214"/>
      <c r="VRQ210" s="211"/>
      <c r="VRR210" s="212"/>
      <c r="VRS210" s="212"/>
      <c r="VRT210" s="212"/>
      <c r="VRU210" s="212"/>
      <c r="VRV210" s="212"/>
      <c r="VRW210" s="212"/>
      <c r="VRX210" s="212"/>
      <c r="VRY210" s="212"/>
      <c r="VRZ210" s="212"/>
      <c r="VSA210" s="212"/>
      <c r="VSB210" s="212"/>
      <c r="VSC210" s="212"/>
      <c r="VSD210" s="212"/>
      <c r="VSE210" s="212"/>
      <c r="VSF210" s="212"/>
      <c r="VSG210" s="212"/>
      <c r="VSH210" s="212"/>
      <c r="VSI210" s="212"/>
      <c r="VSJ210" s="212"/>
      <c r="VSK210" s="212"/>
      <c r="VSL210" s="212"/>
      <c r="VSM210" s="212"/>
      <c r="VSN210" s="212"/>
      <c r="VSO210" s="212"/>
      <c r="VSP210" s="212"/>
      <c r="VSQ210" s="212"/>
      <c r="VSR210" s="212"/>
      <c r="VSS210" s="212"/>
      <c r="VST210" s="212"/>
      <c r="VSU210" s="212"/>
      <c r="VSV210" s="212"/>
      <c r="VSW210" s="212"/>
      <c r="VSX210" s="212"/>
      <c r="VSY210" s="212"/>
      <c r="VSZ210" s="212"/>
      <c r="VTA210" s="212"/>
      <c r="VTB210" s="212"/>
      <c r="VTC210" s="212"/>
      <c r="VTD210" s="212"/>
      <c r="VTE210" s="212"/>
      <c r="VTF210" s="212"/>
      <c r="VTG210" s="212"/>
      <c r="VTH210" s="214"/>
      <c r="VTI210" s="211"/>
      <c r="VTJ210" s="212"/>
      <c r="VTK210" s="212"/>
      <c r="VTL210" s="212"/>
      <c r="VTM210" s="212"/>
      <c r="VTN210" s="212"/>
      <c r="VTO210" s="212"/>
      <c r="VTP210" s="212"/>
      <c r="VTQ210" s="212"/>
      <c r="VTR210" s="212"/>
      <c r="VTS210" s="212"/>
      <c r="VTT210" s="212"/>
      <c r="VTU210" s="212"/>
      <c r="VTV210" s="212"/>
      <c r="VTW210" s="212"/>
      <c r="VTX210" s="212"/>
      <c r="VTY210" s="212"/>
      <c r="VTZ210" s="212"/>
      <c r="VUA210" s="212"/>
      <c r="VUB210" s="212"/>
      <c r="VUC210" s="212"/>
      <c r="VUD210" s="212"/>
      <c r="VUE210" s="212"/>
      <c r="VUF210" s="212"/>
      <c r="VUG210" s="212"/>
      <c r="VUH210" s="212"/>
      <c r="VUI210" s="212"/>
      <c r="VUJ210" s="212"/>
      <c r="VUK210" s="212"/>
      <c r="VUL210" s="212"/>
      <c r="VUM210" s="212"/>
      <c r="VUN210" s="212"/>
      <c r="VUO210" s="212"/>
      <c r="VUP210" s="212"/>
      <c r="VUQ210" s="212"/>
      <c r="VUR210" s="212"/>
      <c r="VUS210" s="212"/>
      <c r="VUT210" s="212"/>
      <c r="VUU210" s="212"/>
      <c r="VUV210" s="212"/>
      <c r="VUW210" s="212"/>
      <c r="VUX210" s="212"/>
      <c r="VUY210" s="212"/>
      <c r="VUZ210" s="214"/>
      <c r="VVA210" s="211"/>
      <c r="VVB210" s="212"/>
      <c r="VVC210" s="212"/>
      <c r="VVD210" s="212"/>
      <c r="VVE210" s="212"/>
      <c r="VVF210" s="212"/>
      <c r="VVG210" s="212"/>
      <c r="VVH210" s="212"/>
      <c r="VVI210" s="212"/>
      <c r="VVJ210" s="212"/>
      <c r="VVK210" s="212"/>
      <c r="VVL210" s="212"/>
      <c r="VVM210" s="212"/>
      <c r="VVN210" s="212"/>
      <c r="VVO210" s="212"/>
      <c r="VVP210" s="212"/>
      <c r="VVQ210" s="212"/>
      <c r="VVR210" s="212"/>
      <c r="VVS210" s="212"/>
      <c r="VVT210" s="212"/>
      <c r="VVU210" s="212"/>
      <c r="VVV210" s="212"/>
      <c r="VVW210" s="212"/>
      <c r="VVX210" s="212"/>
      <c r="VVY210" s="212"/>
      <c r="VVZ210" s="212"/>
      <c r="VWA210" s="212"/>
      <c r="VWB210" s="212"/>
      <c r="VWC210" s="212"/>
      <c r="VWD210" s="212"/>
      <c r="VWE210" s="212"/>
      <c r="VWF210" s="212"/>
      <c r="VWG210" s="212"/>
      <c r="VWH210" s="212"/>
      <c r="VWI210" s="212"/>
      <c r="VWJ210" s="212"/>
      <c r="VWK210" s="212"/>
      <c r="VWL210" s="212"/>
      <c r="VWM210" s="212"/>
      <c r="VWN210" s="212"/>
      <c r="VWO210" s="212"/>
      <c r="VWP210" s="212"/>
      <c r="VWQ210" s="212"/>
      <c r="VWR210" s="214"/>
      <c r="VWS210" s="211"/>
      <c r="VWT210" s="212"/>
      <c r="VWU210" s="212"/>
      <c r="VWV210" s="212"/>
      <c r="VWW210" s="212"/>
      <c r="VWX210" s="212"/>
      <c r="VWY210" s="212"/>
      <c r="VWZ210" s="212"/>
      <c r="VXA210" s="212"/>
      <c r="VXB210" s="212"/>
      <c r="VXC210" s="212"/>
      <c r="VXD210" s="212"/>
      <c r="VXE210" s="212"/>
      <c r="VXF210" s="212"/>
      <c r="VXG210" s="212"/>
      <c r="VXH210" s="212"/>
      <c r="VXI210" s="212"/>
      <c r="VXJ210" s="212"/>
      <c r="VXK210" s="212"/>
      <c r="VXL210" s="212"/>
      <c r="VXM210" s="212"/>
      <c r="VXN210" s="212"/>
      <c r="VXO210" s="212"/>
      <c r="VXP210" s="212"/>
      <c r="VXQ210" s="212"/>
      <c r="VXR210" s="212"/>
      <c r="VXS210" s="212"/>
      <c r="VXT210" s="212"/>
      <c r="VXU210" s="212"/>
      <c r="VXV210" s="212"/>
      <c r="VXW210" s="212"/>
      <c r="VXX210" s="212"/>
      <c r="VXY210" s="212"/>
      <c r="VXZ210" s="212"/>
      <c r="VYA210" s="212"/>
      <c r="VYB210" s="212"/>
      <c r="VYC210" s="212"/>
      <c r="VYD210" s="212"/>
      <c r="VYE210" s="212"/>
      <c r="VYF210" s="212"/>
      <c r="VYG210" s="212"/>
      <c r="VYH210" s="212"/>
      <c r="VYI210" s="212"/>
      <c r="VYJ210" s="214"/>
      <c r="VYK210" s="211"/>
      <c r="VYL210" s="212"/>
      <c r="VYM210" s="212"/>
      <c r="VYN210" s="212"/>
      <c r="VYO210" s="212"/>
      <c r="VYP210" s="212"/>
      <c r="VYQ210" s="212"/>
      <c r="VYR210" s="212"/>
      <c r="VYS210" s="212"/>
      <c r="VYT210" s="212"/>
      <c r="VYU210" s="212"/>
      <c r="VYV210" s="212"/>
      <c r="VYW210" s="212"/>
      <c r="VYX210" s="212"/>
      <c r="VYY210" s="212"/>
      <c r="VYZ210" s="212"/>
      <c r="VZA210" s="212"/>
      <c r="VZB210" s="212"/>
      <c r="VZC210" s="212"/>
      <c r="VZD210" s="212"/>
      <c r="VZE210" s="212"/>
      <c r="VZF210" s="212"/>
      <c r="VZG210" s="212"/>
      <c r="VZH210" s="212"/>
      <c r="VZI210" s="212"/>
      <c r="VZJ210" s="212"/>
      <c r="VZK210" s="212"/>
      <c r="VZL210" s="212"/>
      <c r="VZM210" s="212"/>
      <c r="VZN210" s="212"/>
      <c r="VZO210" s="212"/>
      <c r="VZP210" s="212"/>
      <c r="VZQ210" s="212"/>
      <c r="VZR210" s="212"/>
      <c r="VZS210" s="212"/>
      <c r="VZT210" s="212"/>
      <c r="VZU210" s="212"/>
      <c r="VZV210" s="212"/>
      <c r="VZW210" s="212"/>
      <c r="VZX210" s="212"/>
      <c r="VZY210" s="212"/>
      <c r="VZZ210" s="212"/>
      <c r="WAA210" s="212"/>
      <c r="WAB210" s="214"/>
      <c r="WAC210" s="211"/>
      <c r="WAD210" s="212"/>
      <c r="WAE210" s="212"/>
      <c r="WAF210" s="212"/>
      <c r="WAG210" s="212"/>
      <c r="WAH210" s="212"/>
      <c r="WAI210" s="212"/>
      <c r="WAJ210" s="212"/>
      <c r="WAK210" s="212"/>
      <c r="WAL210" s="212"/>
      <c r="WAM210" s="212"/>
      <c r="WAN210" s="212"/>
      <c r="WAO210" s="212"/>
      <c r="WAP210" s="212"/>
      <c r="WAQ210" s="212"/>
      <c r="WAR210" s="212"/>
      <c r="WAS210" s="212"/>
      <c r="WAT210" s="212"/>
      <c r="WAU210" s="212"/>
      <c r="WAV210" s="212"/>
      <c r="WAW210" s="212"/>
      <c r="WAX210" s="212"/>
      <c r="WAY210" s="212"/>
      <c r="WAZ210" s="212"/>
      <c r="WBA210" s="212"/>
      <c r="WBB210" s="212"/>
      <c r="WBC210" s="212"/>
      <c r="WBD210" s="212"/>
      <c r="WBE210" s="212"/>
      <c r="WBF210" s="212"/>
      <c r="WBG210" s="212"/>
      <c r="WBH210" s="212"/>
      <c r="WBI210" s="212"/>
      <c r="WBJ210" s="212"/>
      <c r="WBK210" s="212"/>
      <c r="WBL210" s="212"/>
      <c r="WBM210" s="212"/>
      <c r="WBN210" s="212"/>
      <c r="WBO210" s="212"/>
      <c r="WBP210" s="212"/>
      <c r="WBQ210" s="212"/>
      <c r="WBR210" s="212"/>
      <c r="WBS210" s="212"/>
      <c r="WBT210" s="214"/>
      <c r="WBU210" s="211"/>
      <c r="WBV210" s="212"/>
      <c r="WBW210" s="212"/>
      <c r="WBX210" s="212"/>
      <c r="WBY210" s="212"/>
      <c r="WBZ210" s="212"/>
      <c r="WCA210" s="212"/>
      <c r="WCB210" s="212"/>
      <c r="WCC210" s="212"/>
      <c r="WCD210" s="212"/>
      <c r="WCE210" s="212"/>
      <c r="WCF210" s="212"/>
      <c r="WCG210" s="212"/>
      <c r="WCH210" s="212"/>
      <c r="WCI210" s="212"/>
      <c r="WCJ210" s="212"/>
      <c r="WCK210" s="212"/>
      <c r="WCL210" s="212"/>
      <c r="WCM210" s="212"/>
      <c r="WCN210" s="212"/>
      <c r="WCO210" s="212"/>
      <c r="WCP210" s="212"/>
      <c r="WCQ210" s="212"/>
      <c r="WCR210" s="212"/>
      <c r="WCS210" s="212"/>
      <c r="WCT210" s="212"/>
      <c r="WCU210" s="212"/>
      <c r="WCV210" s="212"/>
      <c r="WCW210" s="212"/>
      <c r="WCX210" s="212"/>
      <c r="WCY210" s="212"/>
      <c r="WCZ210" s="212"/>
      <c r="WDA210" s="212"/>
      <c r="WDB210" s="212"/>
      <c r="WDC210" s="212"/>
      <c r="WDD210" s="212"/>
      <c r="WDE210" s="212"/>
      <c r="WDF210" s="212"/>
      <c r="WDG210" s="212"/>
      <c r="WDH210" s="212"/>
      <c r="WDI210" s="212"/>
      <c r="WDJ210" s="212"/>
      <c r="WDK210" s="212"/>
      <c r="WDL210" s="214"/>
      <c r="WDM210" s="211"/>
      <c r="WDN210" s="212"/>
      <c r="WDO210" s="212"/>
      <c r="WDP210" s="212"/>
      <c r="WDQ210" s="212"/>
      <c r="WDR210" s="212"/>
      <c r="WDS210" s="212"/>
      <c r="WDT210" s="212"/>
      <c r="WDU210" s="212"/>
      <c r="WDV210" s="212"/>
      <c r="WDW210" s="212"/>
      <c r="WDX210" s="212"/>
      <c r="WDY210" s="212"/>
      <c r="WDZ210" s="212"/>
      <c r="WEA210" s="212"/>
      <c r="WEB210" s="212"/>
      <c r="WEC210" s="212"/>
      <c r="WED210" s="212"/>
      <c r="WEE210" s="212"/>
      <c r="WEF210" s="212"/>
      <c r="WEG210" s="212"/>
      <c r="WEH210" s="212"/>
      <c r="WEI210" s="212"/>
      <c r="WEJ210" s="212"/>
      <c r="WEK210" s="212"/>
      <c r="WEL210" s="212"/>
      <c r="WEM210" s="212"/>
      <c r="WEN210" s="212"/>
      <c r="WEO210" s="212"/>
      <c r="WEP210" s="212"/>
      <c r="WEQ210" s="212"/>
      <c r="WER210" s="212"/>
      <c r="WES210" s="212"/>
      <c r="WET210" s="212"/>
      <c r="WEU210" s="212"/>
      <c r="WEV210" s="212"/>
      <c r="WEW210" s="212"/>
      <c r="WEX210" s="212"/>
      <c r="WEY210" s="212"/>
      <c r="WEZ210" s="212"/>
      <c r="WFA210" s="212"/>
      <c r="WFB210" s="212"/>
      <c r="WFC210" s="212"/>
      <c r="WFD210" s="214"/>
      <c r="WFE210" s="211"/>
      <c r="WFF210" s="212"/>
      <c r="WFG210" s="212"/>
      <c r="WFH210" s="212"/>
      <c r="WFI210" s="212"/>
      <c r="WFJ210" s="212"/>
      <c r="WFK210" s="212"/>
      <c r="WFL210" s="212"/>
      <c r="WFM210" s="212"/>
      <c r="WFN210" s="212"/>
      <c r="WFO210" s="212"/>
      <c r="WFP210" s="212"/>
      <c r="WFQ210" s="212"/>
      <c r="WFR210" s="212"/>
      <c r="WFS210" s="212"/>
      <c r="WFT210" s="212"/>
      <c r="WFU210" s="212"/>
      <c r="WFV210" s="212"/>
      <c r="WFW210" s="212"/>
      <c r="WFX210" s="212"/>
      <c r="WFY210" s="212"/>
      <c r="WFZ210" s="212"/>
      <c r="WGA210" s="212"/>
      <c r="WGB210" s="212"/>
      <c r="WGC210" s="212"/>
      <c r="WGD210" s="212"/>
      <c r="WGE210" s="212"/>
      <c r="WGF210" s="212"/>
      <c r="WGG210" s="212"/>
      <c r="WGH210" s="212"/>
      <c r="WGI210" s="212"/>
      <c r="WGJ210" s="212"/>
      <c r="WGK210" s="212"/>
      <c r="WGL210" s="212"/>
      <c r="WGM210" s="212"/>
      <c r="WGN210" s="212"/>
      <c r="WGO210" s="212"/>
      <c r="WGP210" s="212"/>
      <c r="WGQ210" s="212"/>
      <c r="WGR210" s="212"/>
      <c r="WGS210" s="212"/>
      <c r="WGT210" s="212"/>
      <c r="WGU210" s="212"/>
      <c r="WGV210" s="214"/>
      <c r="WGW210" s="211"/>
      <c r="WGX210" s="212"/>
      <c r="WGY210" s="212"/>
      <c r="WGZ210" s="212"/>
      <c r="WHA210" s="212"/>
      <c r="WHB210" s="212"/>
      <c r="WHC210" s="212"/>
      <c r="WHD210" s="212"/>
      <c r="WHE210" s="212"/>
      <c r="WHF210" s="212"/>
      <c r="WHG210" s="212"/>
      <c r="WHH210" s="212"/>
      <c r="WHI210" s="212"/>
      <c r="WHJ210" s="212"/>
      <c r="WHK210" s="212"/>
      <c r="WHL210" s="212"/>
      <c r="WHM210" s="212"/>
      <c r="WHN210" s="212"/>
      <c r="WHO210" s="212"/>
      <c r="WHP210" s="212"/>
      <c r="WHQ210" s="212"/>
      <c r="WHR210" s="212"/>
      <c r="WHS210" s="212"/>
      <c r="WHT210" s="212"/>
      <c r="WHU210" s="212"/>
      <c r="WHV210" s="212"/>
      <c r="WHW210" s="212"/>
      <c r="WHX210" s="212"/>
      <c r="WHY210" s="212"/>
      <c r="WHZ210" s="212"/>
      <c r="WIA210" s="212"/>
      <c r="WIB210" s="212"/>
      <c r="WIC210" s="212"/>
      <c r="WID210" s="212"/>
      <c r="WIE210" s="212"/>
      <c r="WIF210" s="212"/>
      <c r="WIG210" s="212"/>
      <c r="WIH210" s="212"/>
      <c r="WII210" s="212"/>
      <c r="WIJ210" s="212"/>
      <c r="WIK210" s="212"/>
      <c r="WIL210" s="212"/>
      <c r="WIM210" s="212"/>
      <c r="WIN210" s="214"/>
      <c r="WIO210" s="211"/>
      <c r="WIP210" s="212"/>
      <c r="WIQ210" s="212"/>
      <c r="WIR210" s="212"/>
      <c r="WIS210" s="212"/>
      <c r="WIT210" s="212"/>
      <c r="WIU210" s="212"/>
      <c r="WIV210" s="212"/>
      <c r="WIW210" s="212"/>
      <c r="WIX210" s="212"/>
      <c r="WIY210" s="212"/>
      <c r="WIZ210" s="212"/>
      <c r="WJA210" s="212"/>
      <c r="WJB210" s="212"/>
      <c r="WJC210" s="212"/>
      <c r="WJD210" s="212"/>
      <c r="WJE210" s="212"/>
      <c r="WJF210" s="212"/>
      <c r="WJG210" s="212"/>
      <c r="WJH210" s="212"/>
      <c r="WJI210" s="212"/>
      <c r="WJJ210" s="212"/>
      <c r="WJK210" s="212"/>
      <c r="WJL210" s="212"/>
      <c r="WJM210" s="212"/>
      <c r="WJN210" s="212"/>
      <c r="WJO210" s="212"/>
      <c r="WJP210" s="212"/>
      <c r="WJQ210" s="212"/>
      <c r="WJR210" s="212"/>
      <c r="WJS210" s="212"/>
      <c r="WJT210" s="212"/>
      <c r="WJU210" s="212"/>
      <c r="WJV210" s="212"/>
      <c r="WJW210" s="212"/>
      <c r="WJX210" s="212"/>
      <c r="WJY210" s="212"/>
      <c r="WJZ210" s="212"/>
      <c r="WKA210" s="212"/>
      <c r="WKB210" s="212"/>
      <c r="WKC210" s="212"/>
      <c r="WKD210" s="212"/>
      <c r="WKE210" s="212"/>
      <c r="WKF210" s="214"/>
      <c r="WKG210" s="211"/>
      <c r="WKH210" s="212"/>
      <c r="WKI210" s="212"/>
      <c r="WKJ210" s="212"/>
      <c r="WKK210" s="212"/>
      <c r="WKL210" s="212"/>
      <c r="WKM210" s="212"/>
      <c r="WKN210" s="212"/>
      <c r="WKO210" s="212"/>
      <c r="WKP210" s="212"/>
      <c r="WKQ210" s="212"/>
      <c r="WKR210" s="212"/>
      <c r="WKS210" s="212"/>
      <c r="WKT210" s="212"/>
      <c r="WKU210" s="212"/>
      <c r="WKV210" s="212"/>
      <c r="WKW210" s="212"/>
      <c r="WKX210" s="212"/>
      <c r="WKY210" s="212"/>
      <c r="WKZ210" s="212"/>
      <c r="WLA210" s="212"/>
      <c r="WLB210" s="212"/>
      <c r="WLC210" s="212"/>
      <c r="WLD210" s="212"/>
      <c r="WLE210" s="212"/>
      <c r="WLF210" s="212"/>
      <c r="WLG210" s="212"/>
      <c r="WLH210" s="212"/>
      <c r="WLI210" s="212"/>
      <c r="WLJ210" s="212"/>
      <c r="WLK210" s="212"/>
      <c r="WLL210" s="212"/>
      <c r="WLM210" s="212"/>
      <c r="WLN210" s="212"/>
      <c r="WLO210" s="212"/>
      <c r="WLP210" s="212"/>
      <c r="WLQ210" s="212"/>
      <c r="WLR210" s="212"/>
      <c r="WLS210" s="212"/>
      <c r="WLT210" s="212"/>
      <c r="WLU210" s="212"/>
      <c r="WLV210" s="212"/>
      <c r="WLW210" s="212"/>
      <c r="WLX210" s="214"/>
      <c r="WLY210" s="211"/>
      <c r="WLZ210" s="212"/>
      <c r="WMA210" s="212"/>
      <c r="WMB210" s="212"/>
      <c r="WMC210" s="212"/>
      <c r="WMD210" s="212"/>
      <c r="WME210" s="212"/>
      <c r="WMF210" s="212"/>
      <c r="WMG210" s="212"/>
      <c r="WMH210" s="212"/>
      <c r="WMI210" s="212"/>
      <c r="WMJ210" s="212"/>
      <c r="WMK210" s="212"/>
      <c r="WML210" s="212"/>
      <c r="WMM210" s="212"/>
      <c r="WMN210" s="212"/>
      <c r="WMO210" s="212"/>
      <c r="WMP210" s="212"/>
      <c r="WMQ210" s="212"/>
      <c r="WMR210" s="212"/>
      <c r="WMS210" s="212"/>
      <c r="WMT210" s="212"/>
      <c r="WMU210" s="212"/>
      <c r="WMV210" s="212"/>
      <c r="WMW210" s="212"/>
      <c r="WMX210" s="212"/>
      <c r="WMY210" s="212"/>
      <c r="WMZ210" s="212"/>
      <c r="WNA210" s="212"/>
      <c r="WNB210" s="212"/>
      <c r="WNC210" s="212"/>
      <c r="WND210" s="212"/>
      <c r="WNE210" s="212"/>
      <c r="WNF210" s="212"/>
      <c r="WNG210" s="212"/>
      <c r="WNH210" s="212"/>
      <c r="WNI210" s="212"/>
      <c r="WNJ210" s="212"/>
      <c r="WNK210" s="212"/>
      <c r="WNL210" s="212"/>
      <c r="WNM210" s="212"/>
      <c r="WNN210" s="212"/>
      <c r="WNO210" s="212"/>
      <c r="WNP210" s="214"/>
      <c r="WNQ210" s="211"/>
      <c r="WNR210" s="212"/>
      <c r="WNS210" s="212"/>
      <c r="WNT210" s="212"/>
      <c r="WNU210" s="212"/>
      <c r="WNV210" s="212"/>
      <c r="WNW210" s="212"/>
      <c r="WNX210" s="212"/>
      <c r="WNY210" s="212"/>
      <c r="WNZ210" s="212"/>
      <c r="WOA210" s="212"/>
      <c r="WOB210" s="212"/>
      <c r="WOC210" s="212"/>
      <c r="WOD210" s="212"/>
      <c r="WOE210" s="212"/>
      <c r="WOF210" s="212"/>
      <c r="WOG210" s="212"/>
      <c r="WOH210" s="212"/>
      <c r="WOI210" s="212"/>
      <c r="WOJ210" s="212"/>
      <c r="WOK210" s="212"/>
      <c r="WOL210" s="212"/>
      <c r="WOM210" s="212"/>
      <c r="WON210" s="212"/>
      <c r="WOO210" s="212"/>
      <c r="WOP210" s="212"/>
      <c r="WOQ210" s="212"/>
      <c r="WOR210" s="212"/>
      <c r="WOS210" s="212"/>
      <c r="WOT210" s="212"/>
      <c r="WOU210" s="212"/>
      <c r="WOV210" s="212"/>
      <c r="WOW210" s="212"/>
      <c r="WOX210" s="212"/>
      <c r="WOY210" s="212"/>
      <c r="WOZ210" s="212"/>
      <c r="WPA210" s="212"/>
      <c r="WPB210" s="212"/>
      <c r="WPC210" s="212"/>
      <c r="WPD210" s="212"/>
      <c r="WPE210" s="212"/>
      <c r="WPF210" s="212"/>
      <c r="WPG210" s="212"/>
      <c r="WPH210" s="214"/>
      <c r="WPI210" s="211"/>
      <c r="WPJ210" s="212"/>
      <c r="WPK210" s="212"/>
      <c r="WPL210" s="212"/>
      <c r="WPM210" s="212"/>
      <c r="WPN210" s="212"/>
      <c r="WPO210" s="212"/>
      <c r="WPP210" s="212"/>
      <c r="WPQ210" s="212"/>
      <c r="WPR210" s="212"/>
      <c r="WPS210" s="212"/>
      <c r="WPT210" s="212"/>
      <c r="WPU210" s="212"/>
      <c r="WPV210" s="212"/>
      <c r="WPW210" s="212"/>
      <c r="WPX210" s="212"/>
      <c r="WPY210" s="212"/>
      <c r="WPZ210" s="212"/>
      <c r="WQA210" s="212"/>
      <c r="WQB210" s="212"/>
      <c r="WQC210" s="212"/>
      <c r="WQD210" s="212"/>
      <c r="WQE210" s="212"/>
      <c r="WQF210" s="212"/>
      <c r="WQG210" s="212"/>
      <c r="WQH210" s="212"/>
      <c r="WQI210" s="212"/>
      <c r="WQJ210" s="212"/>
      <c r="WQK210" s="212"/>
      <c r="WQL210" s="212"/>
      <c r="WQM210" s="212"/>
      <c r="WQN210" s="212"/>
      <c r="WQO210" s="212"/>
      <c r="WQP210" s="212"/>
      <c r="WQQ210" s="212"/>
      <c r="WQR210" s="212"/>
      <c r="WQS210" s="212"/>
      <c r="WQT210" s="212"/>
      <c r="WQU210" s="212"/>
      <c r="WQV210" s="212"/>
      <c r="WQW210" s="212"/>
      <c r="WQX210" s="212"/>
      <c r="WQY210" s="212"/>
      <c r="WQZ210" s="214"/>
      <c r="WRA210" s="211"/>
      <c r="WRB210" s="212"/>
      <c r="WRC210" s="212"/>
      <c r="WRD210" s="212"/>
      <c r="WRE210" s="212"/>
      <c r="WRF210" s="212"/>
      <c r="WRG210" s="212"/>
      <c r="WRH210" s="212"/>
      <c r="WRI210" s="212"/>
      <c r="WRJ210" s="212"/>
      <c r="WRK210" s="212"/>
      <c r="WRL210" s="212"/>
      <c r="WRM210" s="212"/>
      <c r="WRN210" s="212"/>
      <c r="WRO210" s="212"/>
      <c r="WRP210" s="212"/>
      <c r="WRQ210" s="212"/>
      <c r="WRR210" s="212"/>
      <c r="WRS210" s="212"/>
      <c r="WRT210" s="212"/>
      <c r="WRU210" s="212"/>
      <c r="WRV210" s="212"/>
      <c r="WRW210" s="212"/>
      <c r="WRX210" s="212"/>
      <c r="WRY210" s="212"/>
      <c r="WRZ210" s="212"/>
      <c r="WSA210" s="212"/>
      <c r="WSB210" s="212"/>
      <c r="WSC210" s="212"/>
      <c r="WSD210" s="212"/>
      <c r="WSE210" s="212"/>
      <c r="WSF210" s="212"/>
      <c r="WSG210" s="212"/>
      <c r="WSH210" s="212"/>
      <c r="WSI210" s="212"/>
      <c r="WSJ210" s="212"/>
      <c r="WSK210" s="212"/>
      <c r="WSL210" s="212"/>
      <c r="WSM210" s="212"/>
      <c r="WSN210" s="212"/>
      <c r="WSO210" s="212"/>
      <c r="WSP210" s="212"/>
      <c r="WSQ210" s="212"/>
      <c r="WSR210" s="214"/>
      <c r="WSS210" s="211"/>
      <c r="WST210" s="212"/>
      <c r="WSU210" s="212"/>
      <c r="WSV210" s="212"/>
      <c r="WSW210" s="212"/>
      <c r="WSX210" s="212"/>
      <c r="WSY210" s="212"/>
      <c r="WSZ210" s="212"/>
      <c r="WTA210" s="212"/>
      <c r="WTB210" s="212"/>
      <c r="WTC210" s="212"/>
      <c r="WTD210" s="212"/>
      <c r="WTE210" s="212"/>
      <c r="WTF210" s="212"/>
      <c r="WTG210" s="212"/>
      <c r="WTH210" s="212"/>
      <c r="WTI210" s="212"/>
      <c r="WTJ210" s="212"/>
      <c r="WTK210" s="212"/>
      <c r="WTL210" s="212"/>
      <c r="WTM210" s="212"/>
      <c r="WTN210" s="212"/>
      <c r="WTO210" s="212"/>
      <c r="WTP210" s="212"/>
      <c r="WTQ210" s="212"/>
      <c r="WTR210" s="212"/>
      <c r="WTS210" s="212"/>
      <c r="WTT210" s="212"/>
      <c r="WTU210" s="212"/>
      <c r="WTV210" s="212"/>
      <c r="WTW210" s="212"/>
      <c r="WTX210" s="212"/>
      <c r="WTY210" s="212"/>
      <c r="WTZ210" s="212"/>
      <c r="WUA210" s="212"/>
      <c r="WUB210" s="212"/>
      <c r="WUC210" s="212"/>
      <c r="WUD210" s="212"/>
      <c r="WUE210" s="212"/>
      <c r="WUF210" s="212"/>
      <c r="WUG210" s="212"/>
      <c r="WUH210" s="212"/>
      <c r="WUI210" s="212"/>
      <c r="WUJ210" s="214"/>
      <c r="WUK210" s="211"/>
      <c r="WUL210" s="212"/>
      <c r="WUM210" s="212"/>
      <c r="WUN210" s="212"/>
      <c r="WUO210" s="212"/>
      <c r="WUP210" s="212"/>
      <c r="WUQ210" s="212"/>
      <c r="WUR210" s="212"/>
      <c r="WUS210" s="212"/>
      <c r="WUT210" s="212"/>
      <c r="WUU210" s="212"/>
      <c r="WUV210" s="212"/>
      <c r="WUW210" s="212"/>
      <c r="WUX210" s="212"/>
      <c r="WUY210" s="212"/>
      <c r="WUZ210" s="212"/>
      <c r="WVA210" s="212"/>
      <c r="WVB210" s="212"/>
      <c r="WVC210" s="212"/>
      <c r="WVD210" s="212"/>
      <c r="WVE210" s="212"/>
      <c r="WVF210" s="212"/>
      <c r="WVG210" s="212"/>
      <c r="WVH210" s="212"/>
      <c r="WVI210" s="212"/>
      <c r="WVJ210" s="212"/>
      <c r="WVK210" s="212"/>
      <c r="WVL210" s="212"/>
      <c r="WVM210" s="212"/>
      <c r="WVN210" s="212"/>
      <c r="WVO210" s="212"/>
      <c r="WVP210" s="212"/>
      <c r="WVQ210" s="212"/>
      <c r="WVR210" s="212"/>
      <c r="WVS210" s="212"/>
      <c r="WVT210" s="212"/>
      <c r="WVU210" s="212"/>
      <c r="WVV210" s="212"/>
      <c r="WVW210" s="212"/>
      <c r="WVX210" s="212"/>
      <c r="WVY210" s="212"/>
      <c r="WVZ210" s="212"/>
      <c r="WWA210" s="212"/>
      <c r="WWB210" s="214"/>
      <c r="WWC210" s="211"/>
      <c r="WWD210" s="212"/>
      <c r="WWE210" s="212"/>
      <c r="WWF210" s="212"/>
      <c r="WWG210" s="212"/>
      <c r="WWH210" s="212"/>
      <c r="WWI210" s="212"/>
      <c r="WWJ210" s="212"/>
      <c r="WWK210" s="212"/>
      <c r="WWL210" s="212"/>
      <c r="WWM210" s="212"/>
      <c r="WWN210" s="212"/>
      <c r="WWO210" s="212"/>
      <c r="WWP210" s="212"/>
      <c r="WWQ210" s="212"/>
      <c r="WWR210" s="212"/>
      <c r="WWS210" s="212"/>
      <c r="WWT210" s="212"/>
      <c r="WWU210" s="212"/>
      <c r="WWV210" s="212"/>
      <c r="WWW210" s="212"/>
      <c r="WWX210" s="212"/>
      <c r="WWY210" s="212"/>
      <c r="WWZ210" s="212"/>
      <c r="WXA210" s="212"/>
      <c r="WXB210" s="212"/>
      <c r="WXC210" s="212"/>
      <c r="WXD210" s="212"/>
      <c r="WXE210" s="212"/>
      <c r="WXF210" s="212"/>
      <c r="WXG210" s="212"/>
      <c r="WXH210" s="212"/>
      <c r="WXI210" s="212"/>
      <c r="WXJ210" s="212"/>
      <c r="WXK210" s="212"/>
      <c r="WXL210" s="212"/>
      <c r="WXM210" s="212"/>
      <c r="WXN210" s="212"/>
      <c r="WXO210" s="212"/>
      <c r="WXP210" s="212"/>
      <c r="WXQ210" s="212"/>
      <c r="WXR210" s="212"/>
      <c r="WXS210" s="212"/>
      <c r="WXT210" s="214"/>
      <c r="WXU210" s="211"/>
      <c r="WXV210" s="212"/>
      <c r="WXW210" s="212"/>
      <c r="WXX210" s="212"/>
      <c r="WXY210" s="212"/>
      <c r="WXZ210" s="212"/>
      <c r="WYA210" s="212"/>
      <c r="WYB210" s="212"/>
      <c r="WYC210" s="212"/>
      <c r="WYD210" s="212"/>
      <c r="WYE210" s="212"/>
      <c r="WYF210" s="212"/>
      <c r="WYG210" s="212"/>
      <c r="WYH210" s="212"/>
      <c r="WYI210" s="212"/>
      <c r="WYJ210" s="212"/>
      <c r="WYK210" s="212"/>
      <c r="WYL210" s="212"/>
      <c r="WYM210" s="212"/>
      <c r="WYN210" s="212"/>
      <c r="WYO210" s="212"/>
      <c r="WYP210" s="212"/>
      <c r="WYQ210" s="212"/>
      <c r="WYR210" s="212"/>
      <c r="WYS210" s="212"/>
      <c r="WYT210" s="212"/>
      <c r="WYU210" s="212"/>
      <c r="WYV210" s="212"/>
      <c r="WYW210" s="212"/>
      <c r="WYX210" s="212"/>
      <c r="WYY210" s="212"/>
      <c r="WYZ210" s="212"/>
      <c r="WZA210" s="212"/>
      <c r="WZB210" s="212"/>
      <c r="WZC210" s="212"/>
      <c r="WZD210" s="212"/>
      <c r="WZE210" s="212"/>
      <c r="WZF210" s="212"/>
      <c r="WZG210" s="212"/>
      <c r="WZH210" s="212"/>
      <c r="WZI210" s="212"/>
      <c r="WZJ210" s="212"/>
      <c r="WZK210" s="212"/>
      <c r="WZL210" s="214"/>
      <c r="WZM210" s="211"/>
      <c r="WZN210" s="212"/>
      <c r="WZO210" s="212"/>
      <c r="WZP210" s="212"/>
      <c r="WZQ210" s="212"/>
      <c r="WZR210" s="212"/>
      <c r="WZS210" s="212"/>
      <c r="WZT210" s="212"/>
      <c r="WZU210" s="212"/>
      <c r="WZV210" s="212"/>
      <c r="WZW210" s="212"/>
      <c r="WZX210" s="212"/>
      <c r="WZY210" s="212"/>
      <c r="WZZ210" s="212"/>
      <c r="XAA210" s="212"/>
      <c r="XAB210" s="212"/>
      <c r="XAC210" s="212"/>
      <c r="XAD210" s="212"/>
      <c r="XAE210" s="212"/>
      <c r="XAF210" s="212"/>
      <c r="XAG210" s="212"/>
      <c r="XAH210" s="212"/>
      <c r="XAI210" s="212"/>
      <c r="XAJ210" s="212"/>
      <c r="XAK210" s="212"/>
      <c r="XAL210" s="212"/>
      <c r="XAM210" s="212"/>
      <c r="XAN210" s="212"/>
      <c r="XAO210" s="212"/>
      <c r="XAP210" s="212"/>
      <c r="XAQ210" s="212"/>
      <c r="XAR210" s="212"/>
      <c r="XAS210" s="212"/>
      <c r="XAT210" s="212"/>
      <c r="XAU210" s="212"/>
      <c r="XAV210" s="212"/>
      <c r="XAW210" s="212"/>
      <c r="XAX210" s="212"/>
      <c r="XAY210" s="212"/>
      <c r="XAZ210" s="212"/>
      <c r="XBA210" s="212"/>
      <c r="XBB210" s="212"/>
      <c r="XBC210" s="212"/>
      <c r="XBD210" s="214"/>
      <c r="XBE210" s="211"/>
      <c r="XBF210" s="212"/>
      <c r="XBG210" s="212"/>
      <c r="XBH210" s="212"/>
      <c r="XBI210" s="212"/>
      <c r="XBJ210" s="212"/>
      <c r="XBK210" s="212"/>
      <c r="XBL210" s="212"/>
      <c r="XBM210" s="212"/>
      <c r="XBN210" s="212"/>
      <c r="XBO210" s="212"/>
      <c r="XBP210" s="212"/>
      <c r="XBQ210" s="212"/>
      <c r="XBR210" s="212"/>
      <c r="XBS210" s="212"/>
      <c r="XBT210" s="212"/>
      <c r="XBU210" s="212"/>
      <c r="XBV210" s="212"/>
      <c r="XBW210" s="212"/>
      <c r="XBX210" s="212"/>
      <c r="XBY210" s="212"/>
      <c r="XBZ210" s="212"/>
      <c r="XCA210" s="212"/>
      <c r="XCB210" s="212"/>
      <c r="XCC210" s="212"/>
      <c r="XCD210" s="212"/>
      <c r="XCE210" s="212"/>
      <c r="XCF210" s="212"/>
      <c r="XCG210" s="212"/>
      <c r="XCH210" s="212"/>
      <c r="XCI210" s="212"/>
      <c r="XCJ210" s="212"/>
      <c r="XCK210" s="212"/>
      <c r="XCL210" s="212"/>
      <c r="XCM210" s="212"/>
      <c r="XCN210" s="212"/>
      <c r="XCO210" s="212"/>
      <c r="XCP210" s="212"/>
      <c r="XCQ210" s="212"/>
      <c r="XCR210" s="212"/>
      <c r="XCS210" s="212"/>
      <c r="XCT210" s="212"/>
      <c r="XCU210" s="212"/>
      <c r="XCV210" s="214"/>
      <c r="XCW210" s="211"/>
      <c r="XCX210" s="212"/>
      <c r="XCY210" s="212"/>
      <c r="XCZ210" s="212"/>
      <c r="XDA210" s="212"/>
      <c r="XDB210" s="212"/>
      <c r="XDC210" s="212"/>
      <c r="XDD210" s="212"/>
      <c r="XDE210" s="212"/>
      <c r="XDF210" s="212"/>
      <c r="XDG210" s="212"/>
      <c r="XDH210" s="212"/>
      <c r="XDI210" s="212"/>
      <c r="XDJ210" s="212"/>
      <c r="XDK210" s="212"/>
      <c r="XDL210" s="212"/>
      <c r="XDM210" s="212"/>
      <c r="XDN210" s="212"/>
      <c r="XDO210" s="212"/>
      <c r="XDP210" s="212"/>
      <c r="XDQ210" s="212"/>
      <c r="XDR210" s="212"/>
      <c r="XDS210" s="212"/>
      <c r="XDT210" s="212"/>
      <c r="XDU210" s="212"/>
      <c r="XDV210" s="212"/>
      <c r="XDW210" s="212"/>
      <c r="XDX210" s="212"/>
      <c r="XDY210" s="212"/>
      <c r="XDZ210" s="212"/>
      <c r="XEA210" s="212"/>
      <c r="XEB210" s="212"/>
      <c r="XEC210" s="212"/>
      <c r="XED210" s="212"/>
      <c r="XEE210" s="212"/>
      <c r="XEF210" s="212"/>
      <c r="XEG210" s="212"/>
      <c r="XEH210" s="212"/>
      <c r="XEI210" s="212"/>
      <c r="XEJ210" s="212"/>
      <c r="XEK210" s="212"/>
      <c r="XEL210" s="212"/>
      <c r="XEM210" s="212"/>
      <c r="XEN210" s="214"/>
      <c r="XEO210" s="211"/>
      <c r="XEP210" s="212"/>
      <c r="XEQ210" s="212"/>
      <c r="XER210" s="212"/>
      <c r="XES210" s="212"/>
      <c r="XET210" s="212"/>
      <c r="XEU210" s="212"/>
      <c r="XEV210" s="212"/>
      <c r="XEW210" s="212"/>
      <c r="XEX210" s="212"/>
      <c r="XEY210" s="212"/>
      <c r="XEZ210" s="212"/>
      <c r="XFA210" s="212"/>
      <c r="XFB210" s="212"/>
      <c r="XFC210" s="212"/>
      <c r="XFD210" s="212"/>
    </row>
    <row r="211" spans="1:16384" x14ac:dyDescent="0.55000000000000004">
      <c r="A211" s="137" t="s">
        <v>187</v>
      </c>
      <c r="B211" s="138">
        <v>99</v>
      </c>
      <c r="C211" s="123">
        <v>2167</v>
      </c>
      <c r="D211" s="17">
        <v>0</v>
      </c>
      <c r="E211" s="14">
        <v>3</v>
      </c>
      <c r="F211" s="14">
        <v>0</v>
      </c>
      <c r="G211" s="13">
        <f>0</f>
        <v>0</v>
      </c>
      <c r="H211" s="14">
        <v>15</v>
      </c>
      <c r="I211" s="23">
        <f>0</f>
        <v>0</v>
      </c>
      <c r="J211" s="13">
        <v>1.1000000000000001</v>
      </c>
      <c r="K211" s="14">
        <v>2</v>
      </c>
      <c r="L211" s="15">
        <v>1.7</v>
      </c>
      <c r="M211" s="13"/>
      <c r="N211" s="17"/>
      <c r="O211" s="15">
        <f>ROUND(C211*H211/1000,0)</f>
        <v>33</v>
      </c>
      <c r="P211" s="14">
        <f>ROUND(C211*H211/1000,0)</f>
        <v>33</v>
      </c>
      <c r="Q211" s="14">
        <f t="shared" ref="Q211" si="222">ROUND(C211*H211/1000,0)</f>
        <v>33</v>
      </c>
      <c r="R211" s="14"/>
      <c r="S211" s="14"/>
      <c r="T211" s="18"/>
      <c r="U211" s="13"/>
      <c r="V211" s="17"/>
      <c r="W211" s="13">
        <f>ROUND(C211*K211,0)</f>
        <v>4334</v>
      </c>
      <c r="X211" s="14">
        <f>ROUND(C211*K211,0)</f>
        <v>4334</v>
      </c>
      <c r="Y211" s="14">
        <f>ROUND(C211*K211,0)</f>
        <v>4334</v>
      </c>
      <c r="Z211" s="13"/>
      <c r="AA211" s="13"/>
      <c r="AB211" s="71"/>
      <c r="AC211" s="17"/>
      <c r="AD211" s="17"/>
      <c r="AE211" s="13">
        <f>ROUND(O211*95,0)</f>
        <v>3135</v>
      </c>
      <c r="AF211" s="14">
        <f t="shared" ref="AF211:AF212" si="223">ROUND(P211*95,0)</f>
        <v>3135</v>
      </c>
      <c r="AG211" s="14">
        <f t="shared" ref="AG211:AG212" si="224">ROUND(Q211*95,0)</f>
        <v>3135</v>
      </c>
      <c r="AH211" s="13"/>
      <c r="AI211" s="13"/>
      <c r="AJ211" s="71"/>
      <c r="AK211" s="100"/>
      <c r="AL211" s="14"/>
      <c r="AM211" s="14">
        <f>W211+AE211</f>
        <v>7469</v>
      </c>
      <c r="AN211" s="14">
        <f>X211+AF211</f>
        <v>7469</v>
      </c>
      <c r="AO211" s="14">
        <f>Y211+AG211</f>
        <v>7469</v>
      </c>
      <c r="AP211" s="14"/>
      <c r="AQ211" s="14"/>
      <c r="AR211" s="14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  <c r="BN211" s="56"/>
      <c r="BO211" s="56"/>
      <c r="BP211" s="56"/>
      <c r="BQ211" s="56"/>
      <c r="BR211" s="56"/>
      <c r="BS211" s="56"/>
      <c r="BT211" s="56"/>
      <c r="BU211" s="56"/>
      <c r="BV211" s="56"/>
      <c r="BW211" s="56"/>
      <c r="BX211" s="56"/>
      <c r="BY211" s="56"/>
      <c r="BZ211" s="56"/>
      <c r="CA211" s="56"/>
      <c r="CB211" s="56"/>
      <c r="CC211" s="56"/>
      <c r="CD211" s="56"/>
      <c r="CE211" s="56"/>
      <c r="CF211" s="56"/>
      <c r="CG211" s="56"/>
      <c r="CH211" s="56"/>
      <c r="CI211" s="56"/>
      <c r="CJ211" s="56"/>
      <c r="CK211" s="56"/>
      <c r="CL211" s="56"/>
      <c r="CM211" s="56"/>
      <c r="CN211" s="56"/>
      <c r="CO211" s="56"/>
      <c r="CP211" s="56"/>
      <c r="CQ211" s="56"/>
      <c r="CR211" s="56"/>
      <c r="CS211" s="56"/>
      <c r="CT211" s="56"/>
      <c r="CU211" s="56"/>
      <c r="CV211" s="56"/>
      <c r="CW211" s="56"/>
      <c r="CX211" s="56"/>
      <c r="CY211" s="56"/>
      <c r="CZ211" s="56"/>
      <c r="DA211" s="56"/>
      <c r="DB211" s="56"/>
      <c r="DC211" s="56"/>
      <c r="DD211" s="56"/>
      <c r="DE211" s="56"/>
      <c r="DF211" s="56"/>
      <c r="DG211" s="56"/>
      <c r="DH211" s="56"/>
      <c r="DI211" s="56"/>
      <c r="DJ211" s="56"/>
      <c r="DK211" s="56"/>
      <c r="DL211" s="56"/>
      <c r="DM211" s="56"/>
      <c r="DN211" s="56"/>
      <c r="DO211" s="56"/>
      <c r="DP211" s="56"/>
      <c r="DQ211" s="56"/>
      <c r="DR211" s="56"/>
      <c r="DS211" s="56"/>
      <c r="DT211" s="56"/>
      <c r="DU211" s="56"/>
      <c r="DV211" s="56"/>
      <c r="DW211" s="56"/>
      <c r="DX211" s="56"/>
      <c r="DY211" s="56"/>
      <c r="DZ211" s="56"/>
      <c r="EA211" s="56"/>
      <c r="EB211" s="56"/>
      <c r="EC211" s="56"/>
      <c r="ED211" s="56"/>
      <c r="EE211" s="56"/>
      <c r="EF211" s="56"/>
      <c r="EG211" s="56"/>
      <c r="EH211" s="56"/>
      <c r="EI211" s="56"/>
      <c r="EJ211" s="56"/>
      <c r="EK211" s="56"/>
    </row>
    <row r="212" spans="1:16384" ht="24.75" thickBot="1" x14ac:dyDescent="0.6">
      <c r="A212" s="137" t="s">
        <v>189</v>
      </c>
      <c r="B212" s="138">
        <v>105</v>
      </c>
      <c r="C212" s="123">
        <v>2320</v>
      </c>
      <c r="D212" s="17">
        <v>0</v>
      </c>
      <c r="E212" s="14">
        <v>3</v>
      </c>
      <c r="F212" s="14">
        <v>0</v>
      </c>
      <c r="G212" s="13">
        <f>0</f>
        <v>0</v>
      </c>
      <c r="H212" s="14">
        <v>15</v>
      </c>
      <c r="I212" s="23">
        <f>0</f>
        <v>0</v>
      </c>
      <c r="J212" s="13">
        <v>1.1000000000000001</v>
      </c>
      <c r="K212" s="14">
        <v>2</v>
      </c>
      <c r="L212" s="15">
        <v>1.7</v>
      </c>
      <c r="M212" s="13"/>
      <c r="N212" s="17"/>
      <c r="O212" s="15">
        <f>ROUND(C212*H212/1000,0)</f>
        <v>35</v>
      </c>
      <c r="P212" s="14">
        <f t="shared" ref="P212" si="225">ROUND(C212*H212/1000,0)</f>
        <v>35</v>
      </c>
      <c r="Q212" s="14">
        <f>ROUND(C212*H212/1000,0)</f>
        <v>35</v>
      </c>
      <c r="R212" s="14"/>
      <c r="S212" s="14"/>
      <c r="T212" s="18"/>
      <c r="U212" s="13"/>
      <c r="V212" s="17"/>
      <c r="W212" s="13">
        <f>ROUND(C212*K212,0)</f>
        <v>4640</v>
      </c>
      <c r="X212" s="14">
        <f>ROUND(C212*K212,0)</f>
        <v>4640</v>
      </c>
      <c r="Y212" s="14">
        <f>ROUND(C212*K212,0)</f>
        <v>4640</v>
      </c>
      <c r="Z212" s="13"/>
      <c r="AA212" s="13"/>
      <c r="AB212" s="71"/>
      <c r="AC212" s="17"/>
      <c r="AD212" s="17"/>
      <c r="AE212" s="13">
        <f>ROUND(O212*95,0)</f>
        <v>3325</v>
      </c>
      <c r="AF212" s="14">
        <f t="shared" si="223"/>
        <v>3325</v>
      </c>
      <c r="AG212" s="14">
        <f t="shared" si="224"/>
        <v>3325</v>
      </c>
      <c r="AH212" s="13"/>
      <c r="AI212" s="13"/>
      <c r="AJ212" s="71"/>
      <c r="AK212" s="100"/>
      <c r="AL212" s="14"/>
      <c r="AM212" s="14">
        <f t="shared" ref="AM212" si="226">W212+AE212</f>
        <v>7965</v>
      </c>
      <c r="AN212" s="14">
        <f t="shared" ref="AN212" si="227">X212+AF212</f>
        <v>7965</v>
      </c>
      <c r="AO212" s="14">
        <f t="shared" ref="AO212" si="228">Y212+AG212</f>
        <v>7965</v>
      </c>
      <c r="AP212" s="14"/>
      <c r="AQ212" s="14"/>
      <c r="AR212" s="14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/>
      <c r="BT212" s="56"/>
      <c r="BU212" s="56"/>
      <c r="BV212" s="56"/>
      <c r="BW212" s="56"/>
      <c r="BX212" s="56"/>
      <c r="BY212" s="56"/>
      <c r="BZ212" s="56"/>
      <c r="CA212" s="56"/>
      <c r="CB212" s="56"/>
      <c r="CC212" s="56"/>
      <c r="CD212" s="56"/>
      <c r="CE212" s="56"/>
      <c r="CF212" s="56"/>
      <c r="CG212" s="56"/>
      <c r="CH212" s="56"/>
      <c r="CI212" s="56"/>
      <c r="CJ212" s="56"/>
      <c r="CK212" s="56"/>
      <c r="CL212" s="56"/>
      <c r="CM212" s="56"/>
      <c r="CN212" s="56"/>
      <c r="CO212" s="56"/>
      <c r="CP212" s="56"/>
      <c r="CQ212" s="56"/>
      <c r="CR212" s="56"/>
      <c r="CS212" s="56"/>
      <c r="CT212" s="56"/>
      <c r="CU212" s="56"/>
      <c r="CV212" s="56"/>
      <c r="CW212" s="56"/>
      <c r="CX212" s="56"/>
      <c r="CY212" s="56"/>
      <c r="CZ212" s="56"/>
      <c r="DA212" s="56"/>
      <c r="DB212" s="56"/>
      <c r="DC212" s="56"/>
      <c r="DD212" s="56"/>
      <c r="DE212" s="56"/>
      <c r="DF212" s="56"/>
      <c r="DG212" s="56"/>
      <c r="DH212" s="56"/>
      <c r="DI212" s="56"/>
      <c r="DJ212" s="56"/>
      <c r="DK212" s="56"/>
      <c r="DL212" s="56"/>
      <c r="DM212" s="56"/>
      <c r="DN212" s="56"/>
      <c r="DO212" s="56"/>
      <c r="DP212" s="56"/>
      <c r="DQ212" s="56"/>
      <c r="DR212" s="56"/>
      <c r="DS212" s="56"/>
      <c r="DT212" s="56"/>
      <c r="DU212" s="56"/>
      <c r="DV212" s="56"/>
      <c r="DW212" s="56"/>
      <c r="DX212" s="56"/>
      <c r="DY212" s="56"/>
      <c r="DZ212" s="56"/>
      <c r="EA212" s="56"/>
      <c r="EB212" s="56"/>
      <c r="EC212" s="56"/>
      <c r="ED212" s="56"/>
      <c r="EE212" s="56"/>
      <c r="EF212" s="56"/>
      <c r="EG212" s="56"/>
      <c r="EH212" s="56"/>
      <c r="EI212" s="56"/>
      <c r="EJ212" s="56"/>
      <c r="EK212" s="56"/>
    </row>
    <row r="213" spans="1:16384" ht="24.75" thickBot="1" x14ac:dyDescent="0.6">
      <c r="A213" s="883" t="s">
        <v>188</v>
      </c>
      <c r="B213" s="885">
        <f>SUM(B211:B212)</f>
        <v>204</v>
      </c>
      <c r="C213" s="885">
        <f>SUM(C211:C212)</f>
        <v>4487</v>
      </c>
      <c r="D213" s="887"/>
      <c r="E213" s="888"/>
      <c r="F213" s="888"/>
      <c r="G213" s="888"/>
      <c r="H213" s="888"/>
      <c r="I213" s="888"/>
      <c r="J213" s="888"/>
      <c r="K213" s="888"/>
      <c r="L213" s="889"/>
      <c r="M213" s="158">
        <f>SUM(M210:M211)</f>
        <v>0</v>
      </c>
      <c r="N213" s="158">
        <f>SUM(N210:N211)</f>
        <v>0</v>
      </c>
      <c r="O213" s="160">
        <f>SUM(O211:O212)</f>
        <v>68</v>
      </c>
      <c r="P213" s="160">
        <f>SUM(P211:P212)</f>
        <v>68</v>
      </c>
      <c r="Q213" s="160">
        <f>SUM(Q211:Q212)</f>
        <v>68</v>
      </c>
      <c r="R213" s="161">
        <f>SUM(R210:R211)</f>
        <v>0</v>
      </c>
      <c r="S213" s="161">
        <f>SUM(S210:S211)</f>
        <v>0</v>
      </c>
      <c r="T213" s="163">
        <f>SUM(T210:T211)</f>
        <v>0</v>
      </c>
      <c r="U213" s="158">
        <f>SUM(U210:U211)</f>
        <v>0</v>
      </c>
      <c r="V213" s="188">
        <f>0</f>
        <v>0</v>
      </c>
      <c r="W213" s="157">
        <f>SUM(W211:W212)</f>
        <v>8974</v>
      </c>
      <c r="X213" s="157">
        <f>SUM(X211:X212)</f>
        <v>8974</v>
      </c>
      <c r="Y213" s="157">
        <f>SUM(Y211:Y212)</f>
        <v>8974</v>
      </c>
      <c r="Z213" s="164" t="s">
        <v>164</v>
      </c>
      <c r="AA213" s="164"/>
      <c r="AB213" s="164"/>
      <c r="AC213" s="157">
        <f>SUM(AC210:AC211)</f>
        <v>0</v>
      </c>
      <c r="AD213" s="157">
        <f>SUM(AD210:AD211)</f>
        <v>0</v>
      </c>
      <c r="AE213" s="166">
        <f>SUM(AE211:AE212)</f>
        <v>6460</v>
      </c>
      <c r="AF213" s="166">
        <f>SUM(AF211:AF212)</f>
        <v>6460</v>
      </c>
      <c r="AG213" s="166">
        <f>SUM(AG211:AG212)</f>
        <v>6460</v>
      </c>
      <c r="AH213" s="175">
        <f>0</f>
        <v>0</v>
      </c>
      <c r="AI213" s="175">
        <f>0</f>
        <v>0</v>
      </c>
      <c r="AJ213" s="175">
        <f>0</f>
        <v>0</v>
      </c>
      <c r="AK213" s="165">
        <f>SUM(AK211:AK211)</f>
        <v>0</v>
      </c>
      <c r="AL213" s="165">
        <f>0</f>
        <v>0</v>
      </c>
      <c r="AM213" s="166">
        <f>SUM(AM211:AM212)</f>
        <v>15434</v>
      </c>
      <c r="AN213" s="166">
        <f>SUM(AN211:AN212)</f>
        <v>15434</v>
      </c>
      <c r="AO213" s="166">
        <f>SUM(AO211:AO212)</f>
        <v>15434</v>
      </c>
      <c r="AP213" s="175"/>
      <c r="AQ213" s="164"/>
      <c r="AR213" s="167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16384" ht="27" thickBot="1" x14ac:dyDescent="0.75">
      <c r="A214" s="884"/>
      <c r="B214" s="886"/>
      <c r="C214" s="886"/>
      <c r="D214" s="890"/>
      <c r="E214" s="891"/>
      <c r="F214" s="891"/>
      <c r="G214" s="891"/>
      <c r="H214" s="891"/>
      <c r="I214" s="891"/>
      <c r="J214" s="891"/>
      <c r="K214" s="891"/>
      <c r="L214" s="892"/>
      <c r="M214" s="893">
        <f>M213+N213</f>
        <v>0</v>
      </c>
      <c r="N214" s="894">
        <f>M213+N213</f>
        <v>0</v>
      </c>
      <c r="O214" s="895">
        <f>+O213+P213+Q213</f>
        <v>204</v>
      </c>
      <c r="P214" s="896"/>
      <c r="Q214" s="897"/>
      <c r="R214" s="898">
        <f>+R213+S213+T213</f>
        <v>0</v>
      </c>
      <c r="S214" s="899"/>
      <c r="T214" s="900"/>
      <c r="U214" s="901">
        <f>0</f>
        <v>0</v>
      </c>
      <c r="V214" s="902"/>
      <c r="W214" s="903">
        <f>W213+X213+Y213</f>
        <v>26922</v>
      </c>
      <c r="X214" s="904"/>
      <c r="Y214" s="905"/>
      <c r="Z214" s="906">
        <f>0</f>
        <v>0</v>
      </c>
      <c r="AA214" s="907"/>
      <c r="AB214" s="908"/>
      <c r="AC214" s="909">
        <f>AC213+AD213</f>
        <v>0</v>
      </c>
      <c r="AD214" s="910">
        <f t="shared" ref="AD214" si="229">ROUND(N214*960,0)</f>
        <v>0</v>
      </c>
      <c r="AE214" s="911">
        <f>AE213+AF213+AG213</f>
        <v>19380</v>
      </c>
      <c r="AF214" s="912"/>
      <c r="AG214" s="913"/>
      <c r="AH214" s="914">
        <f>AH213+AI213+AJ213</f>
        <v>0</v>
      </c>
      <c r="AI214" s="915"/>
      <c r="AJ214" s="916"/>
      <c r="AK214" s="917">
        <f>AK213+AL213</f>
        <v>0</v>
      </c>
      <c r="AL214" s="918">
        <f t="shared" ref="AL214" si="230">V214+AD214</f>
        <v>0</v>
      </c>
      <c r="AM214" s="911">
        <f>AM213+AN213+AO213</f>
        <v>46302</v>
      </c>
      <c r="AN214" s="912"/>
      <c r="AO214" s="913"/>
      <c r="AP214" s="919">
        <f>AP213+AQ213+AR213</f>
        <v>0</v>
      </c>
      <c r="AQ214" s="920"/>
      <c r="AR214" s="92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16384" ht="24.75" thickBot="1" x14ac:dyDescent="0.6">
      <c r="A215" s="137" t="s">
        <v>190</v>
      </c>
      <c r="B215" s="138">
        <v>130</v>
      </c>
      <c r="C215" s="123">
        <v>2865</v>
      </c>
      <c r="D215" s="17">
        <v>0</v>
      </c>
      <c r="E215" s="14">
        <v>3</v>
      </c>
      <c r="F215" s="14">
        <v>0</v>
      </c>
      <c r="G215" s="13">
        <f>0</f>
        <v>0</v>
      </c>
      <c r="H215" s="14">
        <v>15</v>
      </c>
      <c r="I215" s="23">
        <f>0</f>
        <v>0</v>
      </c>
      <c r="J215" s="13">
        <v>1.1000000000000001</v>
      </c>
      <c r="K215" s="14">
        <v>2</v>
      </c>
      <c r="L215" s="15">
        <v>1.7</v>
      </c>
      <c r="M215" s="13"/>
      <c r="N215" s="17"/>
      <c r="O215" s="15">
        <f>ROUND(C215*H215/1000,0)</f>
        <v>43</v>
      </c>
      <c r="P215" s="14">
        <f>ROUND(C215*H215/1000,0)</f>
        <v>43</v>
      </c>
      <c r="Q215" s="14">
        <f>ROUND(C215*H215/1000,0)</f>
        <v>43</v>
      </c>
      <c r="R215" s="14"/>
      <c r="S215" s="14"/>
      <c r="T215" s="18"/>
      <c r="U215" s="13"/>
      <c r="V215" s="17"/>
      <c r="W215" s="13">
        <f>ROUND(C215*K215,0)</f>
        <v>5730</v>
      </c>
      <c r="X215" s="14">
        <f>ROUND(C215*K215,0)</f>
        <v>5730</v>
      </c>
      <c r="Y215" s="14">
        <f>ROUND(C215*K215,0)</f>
        <v>5730</v>
      </c>
      <c r="Z215" s="13"/>
      <c r="AA215" s="13"/>
      <c r="AB215" s="71"/>
      <c r="AC215" s="17"/>
      <c r="AD215" s="17"/>
      <c r="AE215" s="13">
        <f>ROUND(O215*95,0)</f>
        <v>4085</v>
      </c>
      <c r="AF215" s="14">
        <f t="shared" ref="AF215" si="231">ROUND(P215*95,0)</f>
        <v>4085</v>
      </c>
      <c r="AG215" s="14">
        <f t="shared" ref="AG215" si="232">ROUND(Q215*95,0)</f>
        <v>4085</v>
      </c>
      <c r="AH215" s="13"/>
      <c r="AI215" s="13"/>
      <c r="AJ215" s="71"/>
      <c r="AK215" s="100"/>
      <c r="AL215" s="14"/>
      <c r="AM215" s="14">
        <f>W215+AE215</f>
        <v>9815</v>
      </c>
      <c r="AN215" s="14">
        <f t="shared" ref="AN215" si="233">X215+AF215</f>
        <v>9815</v>
      </c>
      <c r="AO215" s="14">
        <f t="shared" ref="AO215" si="234">Y215+AG215</f>
        <v>9815</v>
      </c>
      <c r="AP215" s="14"/>
      <c r="AQ215" s="14"/>
      <c r="AR215" s="14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  <c r="BN215" s="56"/>
      <c r="BO215" s="56"/>
      <c r="BP215" s="56"/>
      <c r="BQ215" s="56"/>
      <c r="BR215" s="56"/>
      <c r="BS215" s="56"/>
      <c r="BT215" s="56"/>
      <c r="BU215" s="56"/>
      <c r="BV215" s="56"/>
      <c r="BW215" s="56"/>
      <c r="BX215" s="56"/>
      <c r="BY215" s="56"/>
      <c r="BZ215" s="56"/>
      <c r="CA215" s="56"/>
      <c r="CB215" s="56"/>
      <c r="CC215" s="56"/>
      <c r="CD215" s="56"/>
      <c r="CE215" s="56"/>
      <c r="CF215" s="56"/>
      <c r="CG215" s="56"/>
      <c r="CH215" s="56"/>
      <c r="CI215" s="56"/>
      <c r="CJ215" s="56"/>
      <c r="CK215" s="56"/>
      <c r="CL215" s="56"/>
      <c r="CM215" s="56"/>
      <c r="CN215" s="56"/>
      <c r="CO215" s="56"/>
      <c r="CP215" s="56"/>
      <c r="CQ215" s="56"/>
      <c r="CR215" s="56"/>
      <c r="CS215" s="56"/>
      <c r="CT215" s="56"/>
      <c r="CU215" s="56"/>
      <c r="CV215" s="56"/>
      <c r="CW215" s="56"/>
      <c r="CX215" s="56"/>
      <c r="CY215" s="56"/>
      <c r="CZ215" s="56"/>
      <c r="DA215" s="56"/>
      <c r="DB215" s="56"/>
      <c r="DC215" s="56"/>
      <c r="DD215" s="56"/>
      <c r="DE215" s="56"/>
      <c r="DF215" s="56"/>
      <c r="DG215" s="56"/>
      <c r="DH215" s="56"/>
      <c r="DI215" s="56"/>
      <c r="DJ215" s="56"/>
      <c r="DK215" s="56"/>
      <c r="DL215" s="56"/>
      <c r="DM215" s="56"/>
      <c r="DN215" s="56"/>
      <c r="DO215" s="56"/>
      <c r="DP215" s="56"/>
      <c r="DQ215" s="56"/>
      <c r="DR215" s="56"/>
      <c r="DS215" s="56"/>
      <c r="DT215" s="56"/>
      <c r="DU215" s="56"/>
      <c r="DV215" s="56"/>
      <c r="DW215" s="56"/>
      <c r="DX215" s="56"/>
      <c r="DY215" s="56"/>
      <c r="DZ215" s="56"/>
      <c r="EA215" s="56"/>
      <c r="EB215" s="56"/>
      <c r="EC215" s="56"/>
      <c r="ED215" s="56"/>
      <c r="EE215" s="56"/>
      <c r="EF215" s="56"/>
      <c r="EG215" s="56"/>
      <c r="EH215" s="56"/>
      <c r="EI215" s="56"/>
      <c r="EJ215" s="56"/>
      <c r="EK215" s="56"/>
    </row>
    <row r="216" spans="1:16384" ht="24.75" thickBot="1" x14ac:dyDescent="0.6">
      <c r="A216" s="883" t="s">
        <v>191</v>
      </c>
      <c r="B216" s="885">
        <f>SUM(B215:B215)</f>
        <v>130</v>
      </c>
      <c r="C216" s="885">
        <f>SUM(C215:C215)</f>
        <v>2865</v>
      </c>
      <c r="D216" s="887"/>
      <c r="E216" s="888"/>
      <c r="F216" s="888"/>
      <c r="G216" s="888"/>
      <c r="H216" s="888"/>
      <c r="I216" s="888"/>
      <c r="J216" s="888"/>
      <c r="K216" s="888"/>
      <c r="L216" s="889"/>
      <c r="M216" s="158">
        <f>SUM(M214:M214)</f>
        <v>0</v>
      </c>
      <c r="N216" s="158">
        <f>SUM(N214:N214)</f>
        <v>0</v>
      </c>
      <c r="O216" s="160">
        <f>SUM(O215:O215)</f>
        <v>43</v>
      </c>
      <c r="P216" s="160">
        <f>SUM(P215:P215)</f>
        <v>43</v>
      </c>
      <c r="Q216" s="160">
        <f>SUM(Q215:Q215)</f>
        <v>43</v>
      </c>
      <c r="R216" s="161">
        <f>SUM(R214:R214)</f>
        <v>0</v>
      </c>
      <c r="S216" s="161">
        <f>SUM(S214:S214)</f>
        <v>0</v>
      </c>
      <c r="T216" s="163">
        <f>SUM(T214:T214)</f>
        <v>0</v>
      </c>
      <c r="U216" s="158">
        <f>SUM(U214:U214)</f>
        <v>0</v>
      </c>
      <c r="V216" s="188">
        <f>0</f>
        <v>0</v>
      </c>
      <c r="W216" s="157">
        <f>SUM(W215:W215)</f>
        <v>5730</v>
      </c>
      <c r="X216" s="157">
        <f>SUM(X215:X215)</f>
        <v>5730</v>
      </c>
      <c r="Y216" s="157">
        <f>SUM(Y215:Y215)</f>
        <v>5730</v>
      </c>
      <c r="Z216" s="164" t="s">
        <v>164</v>
      </c>
      <c r="AA216" s="164"/>
      <c r="AB216" s="164"/>
      <c r="AC216" s="157">
        <f>SUM(AC214:AC214)</f>
        <v>0</v>
      </c>
      <c r="AD216" s="157">
        <f>SUM(AD214:AD214)</f>
        <v>0</v>
      </c>
      <c r="AE216" s="166">
        <f>SUM(AE215:AE215)</f>
        <v>4085</v>
      </c>
      <c r="AF216" s="166">
        <f>SUM(AF215:AF215)</f>
        <v>4085</v>
      </c>
      <c r="AG216" s="166">
        <f>SUM(AG215:AG215)</f>
        <v>4085</v>
      </c>
      <c r="AH216" s="175">
        <f>0</f>
        <v>0</v>
      </c>
      <c r="AI216" s="175">
        <f>0</f>
        <v>0</v>
      </c>
      <c r="AJ216" s="175">
        <f>0</f>
        <v>0</v>
      </c>
      <c r="AK216" s="165">
        <f>0</f>
        <v>0</v>
      </c>
      <c r="AL216" s="165">
        <f>0</f>
        <v>0</v>
      </c>
      <c r="AM216" s="166">
        <f>SUM(AM215:AM215)</f>
        <v>9815</v>
      </c>
      <c r="AN216" s="166">
        <f>SUM(AN215:AN215)</f>
        <v>9815</v>
      </c>
      <c r="AO216" s="166">
        <f>SUM(AO215:AO215)</f>
        <v>9815</v>
      </c>
      <c r="AP216" s="175"/>
      <c r="AQ216" s="164"/>
      <c r="AR216" s="167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16384" ht="27" thickBot="1" x14ac:dyDescent="0.75">
      <c r="A217" s="884"/>
      <c r="B217" s="886"/>
      <c r="C217" s="886"/>
      <c r="D217" s="890"/>
      <c r="E217" s="891"/>
      <c r="F217" s="891"/>
      <c r="G217" s="891"/>
      <c r="H217" s="891"/>
      <c r="I217" s="891"/>
      <c r="J217" s="891"/>
      <c r="K217" s="891"/>
      <c r="L217" s="892"/>
      <c r="M217" s="893">
        <f>M216+N216</f>
        <v>0</v>
      </c>
      <c r="N217" s="894">
        <f>M216+N216</f>
        <v>0</v>
      </c>
      <c r="O217" s="895">
        <f>+O216+P216+Q216</f>
        <v>129</v>
      </c>
      <c r="P217" s="896"/>
      <c r="Q217" s="897"/>
      <c r="R217" s="898">
        <f>+R216+S216+T216</f>
        <v>0</v>
      </c>
      <c r="S217" s="899"/>
      <c r="T217" s="900"/>
      <c r="U217" s="901">
        <f>0</f>
        <v>0</v>
      </c>
      <c r="V217" s="902"/>
      <c r="W217" s="903">
        <f>W216+X216+Y216</f>
        <v>17190</v>
      </c>
      <c r="X217" s="904"/>
      <c r="Y217" s="905"/>
      <c r="Z217" s="906">
        <f>0</f>
        <v>0</v>
      </c>
      <c r="AA217" s="907"/>
      <c r="AB217" s="908"/>
      <c r="AC217" s="909">
        <f>AC216+AD216</f>
        <v>0</v>
      </c>
      <c r="AD217" s="910">
        <f t="shared" ref="AD217" si="235">ROUND(N217*960,0)</f>
        <v>0</v>
      </c>
      <c r="AE217" s="911">
        <f>AE216+AF216+AG216</f>
        <v>12255</v>
      </c>
      <c r="AF217" s="912"/>
      <c r="AG217" s="913"/>
      <c r="AH217" s="914">
        <f>AH216+AI216+AJ216</f>
        <v>0</v>
      </c>
      <c r="AI217" s="915"/>
      <c r="AJ217" s="916"/>
      <c r="AK217" s="917">
        <f>AK216+AL216</f>
        <v>0</v>
      </c>
      <c r="AL217" s="918">
        <f t="shared" ref="AL217" si="236">V217+AD217</f>
        <v>0</v>
      </c>
      <c r="AM217" s="911">
        <f>AM216+AN216+AO216</f>
        <v>29445</v>
      </c>
      <c r="AN217" s="912"/>
      <c r="AO217" s="913"/>
      <c r="AP217" s="919">
        <f>AP216+AQ216+AR216</f>
        <v>0</v>
      </c>
      <c r="AQ217" s="920"/>
      <c r="AR217" s="92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16384" s="180" customFormat="1" ht="39.950000000000003" customHeight="1" thickBot="1" x14ac:dyDescent="0.6">
      <c r="A218" s="922" t="s">
        <v>192</v>
      </c>
      <c r="B218" s="923"/>
      <c r="C218" s="923"/>
      <c r="D218" s="923"/>
      <c r="E218" s="923"/>
      <c r="F218" s="923"/>
      <c r="G218" s="923"/>
      <c r="H218" s="923"/>
      <c r="I218" s="923"/>
      <c r="J218" s="923"/>
      <c r="K218" s="923"/>
      <c r="L218" s="923"/>
      <c r="M218" s="923"/>
      <c r="N218" s="923"/>
      <c r="O218" s="923"/>
      <c r="P218" s="923"/>
      <c r="Q218" s="923"/>
      <c r="R218" s="923"/>
      <c r="S218" s="923"/>
      <c r="T218" s="923"/>
      <c r="U218" s="923"/>
      <c r="V218" s="923"/>
      <c r="W218" s="923"/>
      <c r="X218" s="923"/>
      <c r="Y218" s="923"/>
      <c r="Z218" s="923"/>
      <c r="AA218" s="923"/>
      <c r="AB218" s="923"/>
      <c r="AC218" s="923"/>
      <c r="AD218" s="923"/>
      <c r="AE218" s="923"/>
      <c r="AF218" s="923"/>
      <c r="AG218" s="923"/>
      <c r="AH218" s="923"/>
      <c r="AI218" s="923"/>
      <c r="AJ218" s="923"/>
      <c r="AK218" s="923"/>
      <c r="AL218" s="923"/>
      <c r="AM218" s="923"/>
      <c r="AN218" s="923"/>
      <c r="AO218" s="923"/>
      <c r="AP218" s="923"/>
      <c r="AQ218" s="923"/>
      <c r="AR218" s="924"/>
      <c r="AS218" s="176"/>
      <c r="AT218" s="176"/>
      <c r="AU218" s="176"/>
      <c r="AV218" s="176"/>
      <c r="AW218" s="176"/>
      <c r="AX218" s="176"/>
      <c r="AY218" s="176"/>
      <c r="AZ218" s="176"/>
      <c r="BA218" s="176"/>
      <c r="BB218" s="176"/>
      <c r="BC218" s="176"/>
      <c r="BD218" s="176"/>
      <c r="BE218" s="176"/>
      <c r="BF218" s="176"/>
      <c r="BG218" s="176"/>
      <c r="BH218" s="176"/>
      <c r="BI218" s="176"/>
      <c r="BJ218" s="176"/>
      <c r="BK218" s="176"/>
      <c r="BL218" s="176"/>
      <c r="BM218" s="176"/>
      <c r="BN218" s="176"/>
      <c r="BO218" s="176"/>
      <c r="BP218" s="176"/>
      <c r="BQ218" s="176"/>
      <c r="BR218" s="176"/>
      <c r="BS218" s="176"/>
      <c r="BT218" s="176"/>
      <c r="BU218" s="176"/>
      <c r="BV218" s="176"/>
      <c r="BW218" s="176"/>
      <c r="BX218" s="176"/>
      <c r="BY218" s="176"/>
      <c r="BZ218" s="176"/>
      <c r="CA218" s="176"/>
      <c r="CB218" s="176"/>
      <c r="CC218" s="176"/>
      <c r="CD218" s="176"/>
      <c r="CE218" s="176"/>
      <c r="CF218" s="176"/>
      <c r="CG218" s="176"/>
      <c r="CH218" s="176"/>
      <c r="CI218" s="176"/>
      <c r="CJ218" s="176"/>
      <c r="CK218" s="176"/>
      <c r="CL218" s="176"/>
      <c r="CM218" s="176"/>
      <c r="CN218" s="176"/>
      <c r="CO218" s="176"/>
      <c r="CP218" s="176"/>
      <c r="CQ218" s="176"/>
      <c r="CR218" s="176"/>
      <c r="CS218" s="176"/>
      <c r="CT218" s="176"/>
      <c r="CU218" s="176"/>
      <c r="CV218" s="176"/>
      <c r="CW218" s="176"/>
      <c r="CX218" s="176"/>
      <c r="CY218" s="176"/>
      <c r="CZ218" s="176"/>
      <c r="DA218" s="176"/>
      <c r="DB218" s="176"/>
      <c r="DC218" s="176"/>
      <c r="DD218" s="176"/>
      <c r="DE218" s="176"/>
      <c r="DF218" s="176"/>
      <c r="DG218" s="176"/>
      <c r="DH218" s="176"/>
      <c r="DI218" s="176"/>
      <c r="DJ218" s="176"/>
      <c r="DK218" s="176"/>
      <c r="DL218" s="176"/>
      <c r="DM218" s="176"/>
      <c r="DN218" s="176"/>
      <c r="DO218" s="176"/>
      <c r="DP218" s="176"/>
      <c r="DQ218" s="176"/>
      <c r="DR218" s="176"/>
      <c r="DS218" s="176"/>
      <c r="DT218" s="176"/>
      <c r="DU218" s="176"/>
      <c r="DV218" s="176"/>
      <c r="DW218" s="176"/>
      <c r="DX218" s="176"/>
      <c r="DY218" s="176"/>
      <c r="DZ218" s="176"/>
      <c r="EA218" s="176"/>
      <c r="EB218" s="176"/>
      <c r="EC218" s="176"/>
      <c r="ED218" s="176"/>
      <c r="EE218" s="176"/>
      <c r="EF218" s="176"/>
      <c r="EG218" s="176"/>
      <c r="EH218" s="176"/>
      <c r="EI218" s="176"/>
      <c r="EJ218" s="176"/>
      <c r="EK218" s="176"/>
    </row>
    <row r="219" spans="1:16384" s="215" customFormat="1" ht="39.950000000000003" customHeight="1" thickBot="1" x14ac:dyDescent="0.6">
      <c r="A219" s="925" t="s">
        <v>193</v>
      </c>
      <c r="B219" s="926"/>
      <c r="C219" s="926"/>
      <c r="D219" s="926"/>
      <c r="E219" s="926"/>
      <c r="F219" s="926"/>
      <c r="G219" s="926"/>
      <c r="H219" s="926"/>
      <c r="I219" s="926"/>
      <c r="J219" s="926"/>
      <c r="K219" s="926"/>
      <c r="L219" s="926"/>
      <c r="M219" s="926"/>
      <c r="N219" s="926"/>
      <c r="O219" s="926"/>
      <c r="P219" s="926"/>
      <c r="Q219" s="926"/>
      <c r="R219" s="926"/>
      <c r="S219" s="926"/>
      <c r="T219" s="926"/>
      <c r="U219" s="926"/>
      <c r="V219" s="926"/>
      <c r="W219" s="926"/>
      <c r="X219" s="926"/>
      <c r="Y219" s="926"/>
      <c r="Z219" s="926"/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26"/>
      <c r="AN219" s="926"/>
      <c r="AO219" s="926"/>
      <c r="AP219" s="926"/>
      <c r="AQ219" s="926"/>
      <c r="AR219" s="927"/>
      <c r="AS219" s="211"/>
      <c r="AT219" s="212"/>
      <c r="AU219" s="212"/>
      <c r="AV219" s="212"/>
      <c r="AW219" s="212"/>
      <c r="AX219" s="212"/>
      <c r="AY219" s="212"/>
      <c r="AZ219" s="212"/>
      <c r="BA219" s="212"/>
      <c r="BB219" s="212"/>
      <c r="BC219" s="212"/>
      <c r="BD219" s="212"/>
      <c r="BE219" s="212"/>
      <c r="BF219" s="212"/>
      <c r="BG219" s="212"/>
      <c r="BH219" s="212"/>
      <c r="BI219" s="212"/>
      <c r="BJ219" s="212"/>
      <c r="BK219" s="212"/>
      <c r="BL219" s="212"/>
      <c r="BM219" s="212"/>
      <c r="BN219" s="212"/>
      <c r="BO219" s="212"/>
      <c r="BP219" s="212"/>
      <c r="BQ219" s="212"/>
      <c r="BR219" s="212"/>
      <c r="BS219" s="212"/>
      <c r="BT219" s="212"/>
      <c r="BU219" s="212"/>
      <c r="BV219" s="212"/>
      <c r="BW219" s="212"/>
      <c r="BX219" s="212"/>
      <c r="BY219" s="212"/>
      <c r="BZ219" s="212"/>
      <c r="CA219" s="212"/>
      <c r="CB219" s="212"/>
      <c r="CC219" s="212"/>
      <c r="CD219" s="212"/>
      <c r="CE219" s="212"/>
      <c r="CF219" s="212"/>
      <c r="CG219" s="212"/>
      <c r="CH219" s="212"/>
      <c r="CI219" s="212"/>
      <c r="CJ219" s="214"/>
      <c r="CK219" s="211"/>
      <c r="CL219" s="212"/>
      <c r="CM219" s="212"/>
      <c r="CN219" s="212"/>
      <c r="CO219" s="212"/>
      <c r="CP219" s="212"/>
      <c r="CQ219" s="212"/>
      <c r="CR219" s="212"/>
      <c r="CS219" s="212"/>
      <c r="CT219" s="212"/>
      <c r="CU219" s="212"/>
      <c r="CV219" s="212"/>
      <c r="CW219" s="212"/>
      <c r="CX219" s="212"/>
      <c r="CY219" s="212"/>
      <c r="CZ219" s="212"/>
      <c r="DA219" s="212"/>
      <c r="DB219" s="212"/>
      <c r="DC219" s="212"/>
      <c r="DD219" s="212"/>
      <c r="DE219" s="212"/>
      <c r="DF219" s="212"/>
      <c r="DG219" s="212"/>
      <c r="DH219" s="212"/>
      <c r="DI219" s="212"/>
      <c r="DJ219" s="212"/>
      <c r="DK219" s="212"/>
      <c r="DL219" s="212"/>
      <c r="DM219" s="212"/>
      <c r="DN219" s="212"/>
      <c r="DO219" s="212"/>
      <c r="DP219" s="212"/>
      <c r="DQ219" s="212"/>
      <c r="DR219" s="212"/>
      <c r="DS219" s="212"/>
      <c r="DT219" s="212"/>
      <c r="DU219" s="212"/>
      <c r="DV219" s="212"/>
      <c r="DW219" s="212"/>
      <c r="DX219" s="212"/>
      <c r="DY219" s="212"/>
      <c r="DZ219" s="212"/>
      <c r="EA219" s="212"/>
      <c r="EB219" s="214"/>
      <c r="EC219" s="211"/>
      <c r="ED219" s="212"/>
      <c r="EE219" s="212"/>
      <c r="EF219" s="212"/>
      <c r="EG219" s="212"/>
      <c r="EH219" s="212"/>
      <c r="EI219" s="212"/>
      <c r="EJ219" s="212"/>
      <c r="EK219" s="212"/>
      <c r="EL219" s="212"/>
      <c r="EM219" s="212"/>
      <c r="EN219" s="212"/>
      <c r="EO219" s="212"/>
      <c r="EP219" s="212"/>
      <c r="EQ219" s="212"/>
      <c r="ER219" s="212"/>
      <c r="ES219" s="212"/>
      <c r="ET219" s="212"/>
      <c r="EU219" s="212"/>
      <c r="EV219" s="212"/>
      <c r="EW219" s="212"/>
      <c r="EX219" s="212"/>
      <c r="EY219" s="212"/>
      <c r="EZ219" s="212"/>
      <c r="FA219" s="212"/>
      <c r="FB219" s="212"/>
      <c r="FC219" s="212"/>
      <c r="FD219" s="212"/>
      <c r="FE219" s="212"/>
      <c r="FF219" s="212"/>
      <c r="FG219" s="212"/>
      <c r="FH219" s="212"/>
      <c r="FI219" s="212"/>
      <c r="FJ219" s="212"/>
      <c r="FK219" s="212"/>
      <c r="FL219" s="212"/>
      <c r="FM219" s="212"/>
      <c r="FN219" s="212"/>
      <c r="FO219" s="212"/>
      <c r="FP219" s="212"/>
      <c r="FQ219" s="212"/>
      <c r="FR219" s="212"/>
      <c r="FS219" s="212"/>
      <c r="FT219" s="214"/>
      <c r="FU219" s="211"/>
      <c r="FV219" s="212"/>
      <c r="FW219" s="212"/>
      <c r="FX219" s="212"/>
      <c r="FY219" s="212"/>
      <c r="FZ219" s="212"/>
      <c r="GA219" s="212"/>
      <c r="GB219" s="212"/>
      <c r="GC219" s="212"/>
      <c r="GD219" s="212"/>
      <c r="GE219" s="212"/>
      <c r="GF219" s="212"/>
      <c r="GG219" s="212"/>
      <c r="GH219" s="212"/>
      <c r="GI219" s="212"/>
      <c r="GJ219" s="212"/>
      <c r="GK219" s="212"/>
      <c r="GL219" s="212"/>
      <c r="GM219" s="212"/>
      <c r="GN219" s="212"/>
      <c r="GO219" s="212"/>
      <c r="GP219" s="212"/>
      <c r="GQ219" s="212"/>
      <c r="GR219" s="212"/>
      <c r="GS219" s="212"/>
      <c r="GT219" s="212"/>
      <c r="GU219" s="212"/>
      <c r="GV219" s="212"/>
      <c r="GW219" s="212"/>
      <c r="GX219" s="212"/>
      <c r="GY219" s="212"/>
      <c r="GZ219" s="212"/>
      <c r="HA219" s="212"/>
      <c r="HB219" s="212"/>
      <c r="HC219" s="212"/>
      <c r="HD219" s="212"/>
      <c r="HE219" s="212"/>
      <c r="HF219" s="212"/>
      <c r="HG219" s="212"/>
      <c r="HH219" s="212"/>
      <c r="HI219" s="212"/>
      <c r="HJ219" s="212"/>
      <c r="HK219" s="212"/>
      <c r="HL219" s="214"/>
      <c r="HM219" s="211"/>
      <c r="HN219" s="212"/>
      <c r="HO219" s="212"/>
      <c r="HP219" s="212"/>
      <c r="HQ219" s="212"/>
      <c r="HR219" s="212"/>
      <c r="HS219" s="212"/>
      <c r="HT219" s="212"/>
      <c r="HU219" s="212"/>
      <c r="HV219" s="212"/>
      <c r="HW219" s="212"/>
      <c r="HX219" s="212"/>
      <c r="HY219" s="212"/>
      <c r="HZ219" s="212"/>
      <c r="IA219" s="212"/>
      <c r="IB219" s="212"/>
      <c r="IC219" s="212"/>
      <c r="ID219" s="212"/>
      <c r="IE219" s="212"/>
      <c r="IF219" s="212"/>
      <c r="IG219" s="212"/>
      <c r="IH219" s="212"/>
      <c r="II219" s="212"/>
      <c r="IJ219" s="212"/>
      <c r="IK219" s="212"/>
      <c r="IL219" s="212"/>
      <c r="IM219" s="212"/>
      <c r="IN219" s="212"/>
      <c r="IO219" s="212"/>
      <c r="IP219" s="212"/>
      <c r="IQ219" s="212"/>
      <c r="IR219" s="212"/>
      <c r="IS219" s="212"/>
      <c r="IT219" s="212"/>
      <c r="IU219" s="212"/>
      <c r="IV219" s="212"/>
      <c r="IW219" s="212"/>
      <c r="IX219" s="212"/>
      <c r="IY219" s="212"/>
      <c r="IZ219" s="212"/>
      <c r="JA219" s="212"/>
      <c r="JB219" s="212"/>
      <c r="JC219" s="212"/>
      <c r="JD219" s="214"/>
      <c r="JE219" s="211"/>
      <c r="JF219" s="212"/>
      <c r="JG219" s="212"/>
      <c r="JH219" s="212"/>
      <c r="JI219" s="212"/>
      <c r="JJ219" s="212"/>
      <c r="JK219" s="212"/>
      <c r="JL219" s="212"/>
      <c r="JM219" s="212"/>
      <c r="JN219" s="212"/>
      <c r="JO219" s="212"/>
      <c r="JP219" s="212"/>
      <c r="JQ219" s="212"/>
      <c r="JR219" s="212"/>
      <c r="JS219" s="212"/>
      <c r="JT219" s="212"/>
      <c r="JU219" s="212"/>
      <c r="JV219" s="212"/>
      <c r="JW219" s="212"/>
      <c r="JX219" s="212"/>
      <c r="JY219" s="212"/>
      <c r="JZ219" s="212"/>
      <c r="KA219" s="212"/>
      <c r="KB219" s="212"/>
      <c r="KC219" s="212"/>
      <c r="KD219" s="212"/>
      <c r="KE219" s="212"/>
      <c r="KF219" s="212"/>
      <c r="KG219" s="212"/>
      <c r="KH219" s="212"/>
      <c r="KI219" s="212"/>
      <c r="KJ219" s="212"/>
      <c r="KK219" s="212"/>
      <c r="KL219" s="212"/>
      <c r="KM219" s="212"/>
      <c r="KN219" s="212"/>
      <c r="KO219" s="212"/>
      <c r="KP219" s="212"/>
      <c r="KQ219" s="212"/>
      <c r="KR219" s="212"/>
      <c r="KS219" s="212"/>
      <c r="KT219" s="212"/>
      <c r="KU219" s="212"/>
      <c r="KV219" s="214"/>
      <c r="KW219" s="211"/>
      <c r="KX219" s="212"/>
      <c r="KY219" s="212"/>
      <c r="KZ219" s="212"/>
      <c r="LA219" s="212"/>
      <c r="LB219" s="212"/>
      <c r="LC219" s="212"/>
      <c r="LD219" s="212"/>
      <c r="LE219" s="212"/>
      <c r="LF219" s="212"/>
      <c r="LG219" s="212"/>
      <c r="LH219" s="212"/>
      <c r="LI219" s="212"/>
      <c r="LJ219" s="212"/>
      <c r="LK219" s="212"/>
      <c r="LL219" s="212"/>
      <c r="LM219" s="212"/>
      <c r="LN219" s="212"/>
      <c r="LO219" s="212"/>
      <c r="LP219" s="212"/>
      <c r="LQ219" s="212"/>
      <c r="LR219" s="212"/>
      <c r="LS219" s="212"/>
      <c r="LT219" s="212"/>
      <c r="LU219" s="212"/>
      <c r="LV219" s="212"/>
      <c r="LW219" s="212"/>
      <c r="LX219" s="212"/>
      <c r="LY219" s="212"/>
      <c r="LZ219" s="212"/>
      <c r="MA219" s="212"/>
      <c r="MB219" s="212"/>
      <c r="MC219" s="212"/>
      <c r="MD219" s="212"/>
      <c r="ME219" s="212"/>
      <c r="MF219" s="212"/>
      <c r="MG219" s="212"/>
      <c r="MH219" s="212"/>
      <c r="MI219" s="212"/>
      <c r="MJ219" s="212"/>
      <c r="MK219" s="212"/>
      <c r="ML219" s="212"/>
      <c r="MM219" s="212"/>
      <c r="MN219" s="214"/>
      <c r="MO219" s="211"/>
      <c r="MP219" s="212"/>
      <c r="MQ219" s="212"/>
      <c r="MR219" s="212"/>
      <c r="MS219" s="212"/>
      <c r="MT219" s="212"/>
      <c r="MU219" s="212"/>
      <c r="MV219" s="212"/>
      <c r="MW219" s="212"/>
      <c r="MX219" s="212"/>
      <c r="MY219" s="212"/>
      <c r="MZ219" s="212"/>
      <c r="NA219" s="212"/>
      <c r="NB219" s="212"/>
      <c r="NC219" s="212"/>
      <c r="ND219" s="212"/>
      <c r="NE219" s="212"/>
      <c r="NF219" s="212"/>
      <c r="NG219" s="212"/>
      <c r="NH219" s="212"/>
      <c r="NI219" s="212"/>
      <c r="NJ219" s="212"/>
      <c r="NK219" s="212"/>
      <c r="NL219" s="212"/>
      <c r="NM219" s="212"/>
      <c r="NN219" s="212"/>
      <c r="NO219" s="212"/>
      <c r="NP219" s="212"/>
      <c r="NQ219" s="212"/>
      <c r="NR219" s="212"/>
      <c r="NS219" s="212"/>
      <c r="NT219" s="212"/>
      <c r="NU219" s="212"/>
      <c r="NV219" s="212"/>
      <c r="NW219" s="212"/>
      <c r="NX219" s="212"/>
      <c r="NY219" s="212"/>
      <c r="NZ219" s="212"/>
      <c r="OA219" s="212"/>
      <c r="OB219" s="212"/>
      <c r="OC219" s="212"/>
      <c r="OD219" s="212"/>
      <c r="OE219" s="212"/>
      <c r="OF219" s="214"/>
      <c r="OG219" s="211"/>
      <c r="OH219" s="212"/>
      <c r="OI219" s="212"/>
      <c r="OJ219" s="212"/>
      <c r="OK219" s="212"/>
      <c r="OL219" s="212"/>
      <c r="OM219" s="212"/>
      <c r="ON219" s="212"/>
      <c r="OO219" s="212"/>
      <c r="OP219" s="212"/>
      <c r="OQ219" s="212"/>
      <c r="OR219" s="212"/>
      <c r="OS219" s="212"/>
      <c r="OT219" s="212"/>
      <c r="OU219" s="212"/>
      <c r="OV219" s="212"/>
      <c r="OW219" s="212"/>
      <c r="OX219" s="212"/>
      <c r="OY219" s="212"/>
      <c r="OZ219" s="212"/>
      <c r="PA219" s="212"/>
      <c r="PB219" s="212"/>
      <c r="PC219" s="212"/>
      <c r="PD219" s="212"/>
      <c r="PE219" s="212"/>
      <c r="PF219" s="212"/>
      <c r="PG219" s="212"/>
      <c r="PH219" s="212"/>
      <c r="PI219" s="212"/>
      <c r="PJ219" s="212"/>
      <c r="PK219" s="212"/>
      <c r="PL219" s="212"/>
      <c r="PM219" s="212"/>
      <c r="PN219" s="212"/>
      <c r="PO219" s="212"/>
      <c r="PP219" s="212"/>
      <c r="PQ219" s="212"/>
      <c r="PR219" s="212"/>
      <c r="PS219" s="212"/>
      <c r="PT219" s="212"/>
      <c r="PU219" s="212"/>
      <c r="PV219" s="212"/>
      <c r="PW219" s="212"/>
      <c r="PX219" s="214"/>
      <c r="PY219" s="211"/>
      <c r="PZ219" s="212"/>
      <c r="QA219" s="212"/>
      <c r="QB219" s="212"/>
      <c r="QC219" s="212"/>
      <c r="QD219" s="212"/>
      <c r="QE219" s="212"/>
      <c r="QF219" s="212"/>
      <c r="QG219" s="212"/>
      <c r="QH219" s="212"/>
      <c r="QI219" s="212"/>
      <c r="QJ219" s="212"/>
      <c r="QK219" s="212"/>
      <c r="QL219" s="212"/>
      <c r="QM219" s="212"/>
      <c r="QN219" s="212"/>
      <c r="QO219" s="212"/>
      <c r="QP219" s="212"/>
      <c r="QQ219" s="212"/>
      <c r="QR219" s="212"/>
      <c r="QS219" s="212"/>
      <c r="QT219" s="212"/>
      <c r="QU219" s="212"/>
      <c r="QV219" s="212"/>
      <c r="QW219" s="212"/>
      <c r="QX219" s="212"/>
      <c r="QY219" s="212"/>
      <c r="QZ219" s="212"/>
      <c r="RA219" s="212"/>
      <c r="RB219" s="212"/>
      <c r="RC219" s="212"/>
      <c r="RD219" s="212"/>
      <c r="RE219" s="212"/>
      <c r="RF219" s="212"/>
      <c r="RG219" s="212"/>
      <c r="RH219" s="212"/>
      <c r="RI219" s="212"/>
      <c r="RJ219" s="212"/>
      <c r="RK219" s="212"/>
      <c r="RL219" s="212"/>
      <c r="RM219" s="212"/>
      <c r="RN219" s="212"/>
      <c r="RO219" s="212"/>
      <c r="RP219" s="214"/>
      <c r="RQ219" s="211"/>
      <c r="RR219" s="212"/>
      <c r="RS219" s="212"/>
      <c r="RT219" s="212"/>
      <c r="RU219" s="212"/>
      <c r="RV219" s="212"/>
      <c r="RW219" s="212"/>
      <c r="RX219" s="212"/>
      <c r="RY219" s="212"/>
      <c r="RZ219" s="212"/>
      <c r="SA219" s="212"/>
      <c r="SB219" s="212"/>
      <c r="SC219" s="212"/>
      <c r="SD219" s="212"/>
      <c r="SE219" s="212"/>
      <c r="SF219" s="212"/>
      <c r="SG219" s="212"/>
      <c r="SH219" s="212"/>
      <c r="SI219" s="212"/>
      <c r="SJ219" s="212"/>
      <c r="SK219" s="212"/>
      <c r="SL219" s="212"/>
      <c r="SM219" s="212"/>
      <c r="SN219" s="212"/>
      <c r="SO219" s="212"/>
      <c r="SP219" s="212"/>
      <c r="SQ219" s="212"/>
      <c r="SR219" s="212"/>
      <c r="SS219" s="212"/>
      <c r="ST219" s="212"/>
      <c r="SU219" s="212"/>
      <c r="SV219" s="212"/>
      <c r="SW219" s="212"/>
      <c r="SX219" s="212"/>
      <c r="SY219" s="212"/>
      <c r="SZ219" s="212"/>
      <c r="TA219" s="212"/>
      <c r="TB219" s="212"/>
      <c r="TC219" s="212"/>
      <c r="TD219" s="212"/>
      <c r="TE219" s="212"/>
      <c r="TF219" s="212"/>
      <c r="TG219" s="212"/>
      <c r="TH219" s="214"/>
      <c r="TI219" s="211"/>
      <c r="TJ219" s="212"/>
      <c r="TK219" s="212"/>
      <c r="TL219" s="212"/>
      <c r="TM219" s="212"/>
      <c r="TN219" s="212"/>
      <c r="TO219" s="212"/>
      <c r="TP219" s="212"/>
      <c r="TQ219" s="212"/>
      <c r="TR219" s="212"/>
      <c r="TS219" s="212"/>
      <c r="TT219" s="212"/>
      <c r="TU219" s="212"/>
      <c r="TV219" s="212"/>
      <c r="TW219" s="212"/>
      <c r="TX219" s="212"/>
      <c r="TY219" s="212"/>
      <c r="TZ219" s="212"/>
      <c r="UA219" s="212"/>
      <c r="UB219" s="212"/>
      <c r="UC219" s="212"/>
      <c r="UD219" s="212"/>
      <c r="UE219" s="212"/>
      <c r="UF219" s="212"/>
      <c r="UG219" s="212"/>
      <c r="UH219" s="212"/>
      <c r="UI219" s="212"/>
      <c r="UJ219" s="212"/>
      <c r="UK219" s="212"/>
      <c r="UL219" s="212"/>
      <c r="UM219" s="212"/>
      <c r="UN219" s="212"/>
      <c r="UO219" s="212"/>
      <c r="UP219" s="212"/>
      <c r="UQ219" s="212"/>
      <c r="UR219" s="212"/>
      <c r="US219" s="212"/>
      <c r="UT219" s="212"/>
      <c r="UU219" s="212"/>
      <c r="UV219" s="212"/>
      <c r="UW219" s="212"/>
      <c r="UX219" s="212"/>
      <c r="UY219" s="212"/>
      <c r="UZ219" s="214"/>
      <c r="VA219" s="211"/>
      <c r="VB219" s="212"/>
      <c r="VC219" s="212"/>
      <c r="VD219" s="212"/>
      <c r="VE219" s="212"/>
      <c r="VF219" s="212"/>
      <c r="VG219" s="212"/>
      <c r="VH219" s="212"/>
      <c r="VI219" s="212"/>
      <c r="VJ219" s="212"/>
      <c r="VK219" s="212"/>
      <c r="VL219" s="212"/>
      <c r="VM219" s="212"/>
      <c r="VN219" s="212"/>
      <c r="VO219" s="212"/>
      <c r="VP219" s="212"/>
      <c r="VQ219" s="212"/>
      <c r="VR219" s="212"/>
      <c r="VS219" s="212"/>
      <c r="VT219" s="212"/>
      <c r="VU219" s="212"/>
      <c r="VV219" s="212"/>
      <c r="VW219" s="212"/>
      <c r="VX219" s="212"/>
      <c r="VY219" s="212"/>
      <c r="VZ219" s="212"/>
      <c r="WA219" s="212"/>
      <c r="WB219" s="212"/>
      <c r="WC219" s="212"/>
      <c r="WD219" s="212"/>
      <c r="WE219" s="212"/>
      <c r="WF219" s="212"/>
      <c r="WG219" s="212"/>
      <c r="WH219" s="212"/>
      <c r="WI219" s="212"/>
      <c r="WJ219" s="212"/>
      <c r="WK219" s="212"/>
      <c r="WL219" s="212"/>
      <c r="WM219" s="212"/>
      <c r="WN219" s="212"/>
      <c r="WO219" s="212"/>
      <c r="WP219" s="212"/>
      <c r="WQ219" s="212"/>
      <c r="WR219" s="214"/>
      <c r="WS219" s="211"/>
      <c r="WT219" s="212"/>
      <c r="WU219" s="212"/>
      <c r="WV219" s="212"/>
      <c r="WW219" s="212"/>
      <c r="WX219" s="212"/>
      <c r="WY219" s="212"/>
      <c r="WZ219" s="212"/>
      <c r="XA219" s="212"/>
      <c r="XB219" s="212"/>
      <c r="XC219" s="212"/>
      <c r="XD219" s="212"/>
      <c r="XE219" s="212"/>
      <c r="XF219" s="212"/>
      <c r="XG219" s="212"/>
      <c r="XH219" s="212"/>
      <c r="XI219" s="212"/>
      <c r="XJ219" s="212"/>
      <c r="XK219" s="212"/>
      <c r="XL219" s="212"/>
      <c r="XM219" s="212"/>
      <c r="XN219" s="212"/>
      <c r="XO219" s="212"/>
      <c r="XP219" s="212"/>
      <c r="XQ219" s="212"/>
      <c r="XR219" s="212"/>
      <c r="XS219" s="212"/>
      <c r="XT219" s="212"/>
      <c r="XU219" s="212"/>
      <c r="XV219" s="212"/>
      <c r="XW219" s="212"/>
      <c r="XX219" s="212"/>
      <c r="XY219" s="212"/>
      <c r="XZ219" s="212"/>
      <c r="YA219" s="212"/>
      <c r="YB219" s="212"/>
      <c r="YC219" s="212"/>
      <c r="YD219" s="212"/>
      <c r="YE219" s="212"/>
      <c r="YF219" s="212"/>
      <c r="YG219" s="212"/>
      <c r="YH219" s="212"/>
      <c r="YI219" s="212"/>
      <c r="YJ219" s="214"/>
      <c r="YK219" s="211"/>
      <c r="YL219" s="212"/>
      <c r="YM219" s="212"/>
      <c r="YN219" s="212"/>
      <c r="YO219" s="212"/>
      <c r="YP219" s="212"/>
      <c r="YQ219" s="212"/>
      <c r="YR219" s="212"/>
      <c r="YS219" s="212"/>
      <c r="YT219" s="212"/>
      <c r="YU219" s="212"/>
      <c r="YV219" s="212"/>
      <c r="YW219" s="212"/>
      <c r="YX219" s="212"/>
      <c r="YY219" s="212"/>
      <c r="YZ219" s="212"/>
      <c r="ZA219" s="212"/>
      <c r="ZB219" s="212"/>
      <c r="ZC219" s="212"/>
      <c r="ZD219" s="212"/>
      <c r="ZE219" s="212"/>
      <c r="ZF219" s="212"/>
      <c r="ZG219" s="212"/>
      <c r="ZH219" s="212"/>
      <c r="ZI219" s="212"/>
      <c r="ZJ219" s="212"/>
      <c r="ZK219" s="212"/>
      <c r="ZL219" s="212"/>
      <c r="ZM219" s="212"/>
      <c r="ZN219" s="212"/>
      <c r="ZO219" s="212"/>
      <c r="ZP219" s="212"/>
      <c r="ZQ219" s="212"/>
      <c r="ZR219" s="212"/>
      <c r="ZS219" s="212"/>
      <c r="ZT219" s="212"/>
      <c r="ZU219" s="212"/>
      <c r="ZV219" s="212"/>
      <c r="ZW219" s="212"/>
      <c r="ZX219" s="212"/>
      <c r="ZY219" s="212"/>
      <c r="ZZ219" s="212"/>
      <c r="AAA219" s="212"/>
      <c r="AAB219" s="214"/>
      <c r="AAC219" s="211"/>
      <c r="AAD219" s="212"/>
      <c r="AAE219" s="212"/>
      <c r="AAF219" s="212"/>
      <c r="AAG219" s="212"/>
      <c r="AAH219" s="212"/>
      <c r="AAI219" s="212"/>
      <c r="AAJ219" s="212"/>
      <c r="AAK219" s="212"/>
      <c r="AAL219" s="212"/>
      <c r="AAM219" s="212"/>
      <c r="AAN219" s="212"/>
      <c r="AAO219" s="212"/>
      <c r="AAP219" s="212"/>
      <c r="AAQ219" s="212"/>
      <c r="AAR219" s="212"/>
      <c r="AAS219" s="212"/>
      <c r="AAT219" s="212"/>
      <c r="AAU219" s="212"/>
      <c r="AAV219" s="212"/>
      <c r="AAW219" s="212"/>
      <c r="AAX219" s="212"/>
      <c r="AAY219" s="212"/>
      <c r="AAZ219" s="212"/>
      <c r="ABA219" s="212"/>
      <c r="ABB219" s="212"/>
      <c r="ABC219" s="212"/>
      <c r="ABD219" s="212"/>
      <c r="ABE219" s="212"/>
      <c r="ABF219" s="212"/>
      <c r="ABG219" s="212"/>
      <c r="ABH219" s="212"/>
      <c r="ABI219" s="212"/>
      <c r="ABJ219" s="212"/>
      <c r="ABK219" s="212"/>
      <c r="ABL219" s="212"/>
      <c r="ABM219" s="212"/>
      <c r="ABN219" s="212"/>
      <c r="ABO219" s="212"/>
      <c r="ABP219" s="212"/>
      <c r="ABQ219" s="212"/>
      <c r="ABR219" s="212"/>
      <c r="ABS219" s="212"/>
      <c r="ABT219" s="214"/>
      <c r="ABU219" s="211"/>
      <c r="ABV219" s="212"/>
      <c r="ABW219" s="212"/>
      <c r="ABX219" s="212"/>
      <c r="ABY219" s="212"/>
      <c r="ABZ219" s="212"/>
      <c r="ACA219" s="212"/>
      <c r="ACB219" s="212"/>
      <c r="ACC219" s="212"/>
      <c r="ACD219" s="212"/>
      <c r="ACE219" s="212"/>
      <c r="ACF219" s="212"/>
      <c r="ACG219" s="212"/>
      <c r="ACH219" s="212"/>
      <c r="ACI219" s="212"/>
      <c r="ACJ219" s="212"/>
      <c r="ACK219" s="212"/>
      <c r="ACL219" s="212"/>
      <c r="ACM219" s="212"/>
      <c r="ACN219" s="212"/>
      <c r="ACO219" s="212"/>
      <c r="ACP219" s="212"/>
      <c r="ACQ219" s="212"/>
      <c r="ACR219" s="212"/>
      <c r="ACS219" s="212"/>
      <c r="ACT219" s="212"/>
      <c r="ACU219" s="212"/>
      <c r="ACV219" s="212"/>
      <c r="ACW219" s="212"/>
      <c r="ACX219" s="212"/>
      <c r="ACY219" s="212"/>
      <c r="ACZ219" s="212"/>
      <c r="ADA219" s="212"/>
      <c r="ADB219" s="212"/>
      <c r="ADC219" s="212"/>
      <c r="ADD219" s="212"/>
      <c r="ADE219" s="212"/>
      <c r="ADF219" s="212"/>
      <c r="ADG219" s="212"/>
      <c r="ADH219" s="212"/>
      <c r="ADI219" s="212"/>
      <c r="ADJ219" s="212"/>
      <c r="ADK219" s="212"/>
      <c r="ADL219" s="214"/>
      <c r="ADM219" s="211"/>
      <c r="ADN219" s="212"/>
      <c r="ADO219" s="212"/>
      <c r="ADP219" s="212"/>
      <c r="ADQ219" s="212"/>
      <c r="ADR219" s="212"/>
      <c r="ADS219" s="212"/>
      <c r="ADT219" s="212"/>
      <c r="ADU219" s="212"/>
      <c r="ADV219" s="212"/>
      <c r="ADW219" s="212"/>
      <c r="ADX219" s="212"/>
      <c r="ADY219" s="212"/>
      <c r="ADZ219" s="212"/>
      <c r="AEA219" s="212"/>
      <c r="AEB219" s="212"/>
      <c r="AEC219" s="212"/>
      <c r="AED219" s="212"/>
      <c r="AEE219" s="212"/>
      <c r="AEF219" s="212"/>
      <c r="AEG219" s="212"/>
      <c r="AEH219" s="212"/>
      <c r="AEI219" s="212"/>
      <c r="AEJ219" s="212"/>
      <c r="AEK219" s="212"/>
      <c r="AEL219" s="212"/>
      <c r="AEM219" s="212"/>
      <c r="AEN219" s="212"/>
      <c r="AEO219" s="212"/>
      <c r="AEP219" s="212"/>
      <c r="AEQ219" s="212"/>
      <c r="AER219" s="212"/>
      <c r="AES219" s="212"/>
      <c r="AET219" s="212"/>
      <c r="AEU219" s="212"/>
      <c r="AEV219" s="212"/>
      <c r="AEW219" s="212"/>
      <c r="AEX219" s="212"/>
      <c r="AEY219" s="212"/>
      <c r="AEZ219" s="212"/>
      <c r="AFA219" s="212"/>
      <c r="AFB219" s="212"/>
      <c r="AFC219" s="212"/>
      <c r="AFD219" s="214"/>
      <c r="AFE219" s="211"/>
      <c r="AFF219" s="212"/>
      <c r="AFG219" s="212"/>
      <c r="AFH219" s="212"/>
      <c r="AFI219" s="212"/>
      <c r="AFJ219" s="212"/>
      <c r="AFK219" s="212"/>
      <c r="AFL219" s="212"/>
      <c r="AFM219" s="212"/>
      <c r="AFN219" s="212"/>
      <c r="AFO219" s="212"/>
      <c r="AFP219" s="212"/>
      <c r="AFQ219" s="212"/>
      <c r="AFR219" s="212"/>
      <c r="AFS219" s="212"/>
      <c r="AFT219" s="212"/>
      <c r="AFU219" s="212"/>
      <c r="AFV219" s="212"/>
      <c r="AFW219" s="212"/>
      <c r="AFX219" s="212"/>
      <c r="AFY219" s="212"/>
      <c r="AFZ219" s="212"/>
      <c r="AGA219" s="212"/>
      <c r="AGB219" s="212"/>
      <c r="AGC219" s="212"/>
      <c r="AGD219" s="212"/>
      <c r="AGE219" s="212"/>
      <c r="AGF219" s="212"/>
      <c r="AGG219" s="212"/>
      <c r="AGH219" s="212"/>
      <c r="AGI219" s="212"/>
      <c r="AGJ219" s="212"/>
      <c r="AGK219" s="212"/>
      <c r="AGL219" s="212"/>
      <c r="AGM219" s="212"/>
      <c r="AGN219" s="212"/>
      <c r="AGO219" s="212"/>
      <c r="AGP219" s="212"/>
      <c r="AGQ219" s="212"/>
      <c r="AGR219" s="212"/>
      <c r="AGS219" s="212"/>
      <c r="AGT219" s="212"/>
      <c r="AGU219" s="212"/>
      <c r="AGV219" s="214"/>
      <c r="AGW219" s="211"/>
      <c r="AGX219" s="212"/>
      <c r="AGY219" s="212"/>
      <c r="AGZ219" s="212"/>
      <c r="AHA219" s="212"/>
      <c r="AHB219" s="212"/>
      <c r="AHC219" s="212"/>
      <c r="AHD219" s="212"/>
      <c r="AHE219" s="212"/>
      <c r="AHF219" s="212"/>
      <c r="AHG219" s="212"/>
      <c r="AHH219" s="212"/>
      <c r="AHI219" s="212"/>
      <c r="AHJ219" s="212"/>
      <c r="AHK219" s="212"/>
      <c r="AHL219" s="212"/>
      <c r="AHM219" s="212"/>
      <c r="AHN219" s="212"/>
      <c r="AHO219" s="212"/>
      <c r="AHP219" s="212"/>
      <c r="AHQ219" s="212"/>
      <c r="AHR219" s="212"/>
      <c r="AHS219" s="212"/>
      <c r="AHT219" s="212"/>
      <c r="AHU219" s="212"/>
      <c r="AHV219" s="212"/>
      <c r="AHW219" s="212"/>
      <c r="AHX219" s="212"/>
      <c r="AHY219" s="212"/>
      <c r="AHZ219" s="212"/>
      <c r="AIA219" s="212"/>
      <c r="AIB219" s="212"/>
      <c r="AIC219" s="212"/>
      <c r="AID219" s="212"/>
      <c r="AIE219" s="212"/>
      <c r="AIF219" s="212"/>
      <c r="AIG219" s="212"/>
      <c r="AIH219" s="212"/>
      <c r="AII219" s="212"/>
      <c r="AIJ219" s="212"/>
      <c r="AIK219" s="212"/>
      <c r="AIL219" s="212"/>
      <c r="AIM219" s="212"/>
      <c r="AIN219" s="214"/>
      <c r="AIO219" s="211"/>
      <c r="AIP219" s="212"/>
      <c r="AIQ219" s="212"/>
      <c r="AIR219" s="212"/>
      <c r="AIS219" s="212"/>
      <c r="AIT219" s="212"/>
      <c r="AIU219" s="212"/>
      <c r="AIV219" s="212"/>
      <c r="AIW219" s="212"/>
      <c r="AIX219" s="212"/>
      <c r="AIY219" s="212"/>
      <c r="AIZ219" s="212"/>
      <c r="AJA219" s="212"/>
      <c r="AJB219" s="212"/>
      <c r="AJC219" s="212"/>
      <c r="AJD219" s="212"/>
      <c r="AJE219" s="212"/>
      <c r="AJF219" s="212"/>
      <c r="AJG219" s="212"/>
      <c r="AJH219" s="212"/>
      <c r="AJI219" s="212"/>
      <c r="AJJ219" s="212"/>
      <c r="AJK219" s="212"/>
      <c r="AJL219" s="212"/>
      <c r="AJM219" s="212"/>
      <c r="AJN219" s="212"/>
      <c r="AJO219" s="212"/>
      <c r="AJP219" s="212"/>
      <c r="AJQ219" s="212"/>
      <c r="AJR219" s="212"/>
      <c r="AJS219" s="212"/>
      <c r="AJT219" s="212"/>
      <c r="AJU219" s="212"/>
      <c r="AJV219" s="212"/>
      <c r="AJW219" s="212"/>
      <c r="AJX219" s="212"/>
      <c r="AJY219" s="212"/>
      <c r="AJZ219" s="212"/>
      <c r="AKA219" s="212"/>
      <c r="AKB219" s="212"/>
      <c r="AKC219" s="212"/>
      <c r="AKD219" s="212"/>
      <c r="AKE219" s="212"/>
      <c r="AKF219" s="214"/>
      <c r="AKG219" s="211"/>
      <c r="AKH219" s="212"/>
      <c r="AKI219" s="212"/>
      <c r="AKJ219" s="212"/>
      <c r="AKK219" s="212"/>
      <c r="AKL219" s="212"/>
      <c r="AKM219" s="212"/>
      <c r="AKN219" s="212"/>
      <c r="AKO219" s="212"/>
      <c r="AKP219" s="212"/>
      <c r="AKQ219" s="212"/>
      <c r="AKR219" s="212"/>
      <c r="AKS219" s="212"/>
      <c r="AKT219" s="212"/>
      <c r="AKU219" s="212"/>
      <c r="AKV219" s="212"/>
      <c r="AKW219" s="212"/>
      <c r="AKX219" s="212"/>
      <c r="AKY219" s="212"/>
      <c r="AKZ219" s="212"/>
      <c r="ALA219" s="212"/>
      <c r="ALB219" s="212"/>
      <c r="ALC219" s="212"/>
      <c r="ALD219" s="212"/>
      <c r="ALE219" s="212"/>
      <c r="ALF219" s="212"/>
      <c r="ALG219" s="212"/>
      <c r="ALH219" s="212"/>
      <c r="ALI219" s="212"/>
      <c r="ALJ219" s="212"/>
      <c r="ALK219" s="212"/>
      <c r="ALL219" s="212"/>
      <c r="ALM219" s="212"/>
      <c r="ALN219" s="212"/>
      <c r="ALO219" s="212"/>
      <c r="ALP219" s="212"/>
      <c r="ALQ219" s="212"/>
      <c r="ALR219" s="212"/>
      <c r="ALS219" s="212"/>
      <c r="ALT219" s="212"/>
      <c r="ALU219" s="212"/>
      <c r="ALV219" s="212"/>
      <c r="ALW219" s="212"/>
      <c r="ALX219" s="214"/>
      <c r="ALY219" s="211"/>
      <c r="ALZ219" s="212"/>
      <c r="AMA219" s="212"/>
      <c r="AMB219" s="212"/>
      <c r="AMC219" s="212"/>
      <c r="AMD219" s="212"/>
      <c r="AME219" s="212"/>
      <c r="AMF219" s="212"/>
      <c r="AMG219" s="212"/>
      <c r="AMH219" s="212"/>
      <c r="AMI219" s="212"/>
      <c r="AMJ219" s="212"/>
      <c r="AMK219" s="212"/>
      <c r="AML219" s="212"/>
      <c r="AMM219" s="212"/>
      <c r="AMN219" s="212"/>
      <c r="AMO219" s="212"/>
      <c r="AMP219" s="212"/>
      <c r="AMQ219" s="212"/>
      <c r="AMR219" s="212"/>
      <c r="AMS219" s="212"/>
      <c r="AMT219" s="212"/>
      <c r="AMU219" s="212"/>
      <c r="AMV219" s="212"/>
      <c r="AMW219" s="212"/>
      <c r="AMX219" s="212"/>
      <c r="AMY219" s="212"/>
      <c r="AMZ219" s="212"/>
      <c r="ANA219" s="212"/>
      <c r="ANB219" s="212"/>
      <c r="ANC219" s="212"/>
      <c r="AND219" s="212"/>
      <c r="ANE219" s="212"/>
      <c r="ANF219" s="212"/>
      <c r="ANG219" s="212"/>
      <c r="ANH219" s="212"/>
      <c r="ANI219" s="212"/>
      <c r="ANJ219" s="212"/>
      <c r="ANK219" s="212"/>
      <c r="ANL219" s="212"/>
      <c r="ANM219" s="212"/>
      <c r="ANN219" s="212"/>
      <c r="ANO219" s="212"/>
      <c r="ANP219" s="214"/>
      <c r="ANQ219" s="211"/>
      <c r="ANR219" s="212"/>
      <c r="ANS219" s="212"/>
      <c r="ANT219" s="212"/>
      <c r="ANU219" s="212"/>
      <c r="ANV219" s="212"/>
      <c r="ANW219" s="212"/>
      <c r="ANX219" s="212"/>
      <c r="ANY219" s="212"/>
      <c r="ANZ219" s="212"/>
      <c r="AOA219" s="212"/>
      <c r="AOB219" s="212"/>
      <c r="AOC219" s="212"/>
      <c r="AOD219" s="212"/>
      <c r="AOE219" s="212"/>
      <c r="AOF219" s="212"/>
      <c r="AOG219" s="212"/>
      <c r="AOH219" s="212"/>
      <c r="AOI219" s="212"/>
      <c r="AOJ219" s="212"/>
      <c r="AOK219" s="212"/>
      <c r="AOL219" s="212"/>
      <c r="AOM219" s="212"/>
      <c r="AON219" s="212"/>
      <c r="AOO219" s="212"/>
      <c r="AOP219" s="212"/>
      <c r="AOQ219" s="212"/>
      <c r="AOR219" s="212"/>
      <c r="AOS219" s="212"/>
      <c r="AOT219" s="212"/>
      <c r="AOU219" s="212"/>
      <c r="AOV219" s="212"/>
      <c r="AOW219" s="212"/>
      <c r="AOX219" s="212"/>
      <c r="AOY219" s="212"/>
      <c r="AOZ219" s="212"/>
      <c r="APA219" s="212"/>
      <c r="APB219" s="212"/>
      <c r="APC219" s="212"/>
      <c r="APD219" s="212"/>
      <c r="APE219" s="212"/>
      <c r="APF219" s="212"/>
      <c r="APG219" s="212"/>
      <c r="APH219" s="214"/>
      <c r="API219" s="211"/>
      <c r="APJ219" s="212"/>
      <c r="APK219" s="212"/>
      <c r="APL219" s="212"/>
      <c r="APM219" s="212"/>
      <c r="APN219" s="212"/>
      <c r="APO219" s="212"/>
      <c r="APP219" s="212"/>
      <c r="APQ219" s="212"/>
      <c r="APR219" s="212"/>
      <c r="APS219" s="212"/>
      <c r="APT219" s="212"/>
      <c r="APU219" s="212"/>
      <c r="APV219" s="212"/>
      <c r="APW219" s="212"/>
      <c r="APX219" s="212"/>
      <c r="APY219" s="212"/>
      <c r="APZ219" s="212"/>
      <c r="AQA219" s="212"/>
      <c r="AQB219" s="212"/>
      <c r="AQC219" s="212"/>
      <c r="AQD219" s="212"/>
      <c r="AQE219" s="212"/>
      <c r="AQF219" s="212"/>
      <c r="AQG219" s="212"/>
      <c r="AQH219" s="212"/>
      <c r="AQI219" s="212"/>
      <c r="AQJ219" s="212"/>
      <c r="AQK219" s="212"/>
      <c r="AQL219" s="212"/>
      <c r="AQM219" s="212"/>
      <c r="AQN219" s="212"/>
      <c r="AQO219" s="212"/>
      <c r="AQP219" s="212"/>
      <c r="AQQ219" s="212"/>
      <c r="AQR219" s="212"/>
      <c r="AQS219" s="212"/>
      <c r="AQT219" s="212"/>
      <c r="AQU219" s="212"/>
      <c r="AQV219" s="212"/>
      <c r="AQW219" s="212"/>
      <c r="AQX219" s="212"/>
      <c r="AQY219" s="212"/>
      <c r="AQZ219" s="214"/>
      <c r="ARA219" s="211"/>
      <c r="ARB219" s="212"/>
      <c r="ARC219" s="212"/>
      <c r="ARD219" s="212"/>
      <c r="ARE219" s="212"/>
      <c r="ARF219" s="212"/>
      <c r="ARG219" s="212"/>
      <c r="ARH219" s="212"/>
      <c r="ARI219" s="212"/>
      <c r="ARJ219" s="212"/>
      <c r="ARK219" s="212"/>
      <c r="ARL219" s="212"/>
      <c r="ARM219" s="212"/>
      <c r="ARN219" s="212"/>
      <c r="ARO219" s="212"/>
      <c r="ARP219" s="212"/>
      <c r="ARQ219" s="212"/>
      <c r="ARR219" s="212"/>
      <c r="ARS219" s="212"/>
      <c r="ART219" s="212"/>
      <c r="ARU219" s="212"/>
      <c r="ARV219" s="212"/>
      <c r="ARW219" s="212"/>
      <c r="ARX219" s="212"/>
      <c r="ARY219" s="212"/>
      <c r="ARZ219" s="212"/>
      <c r="ASA219" s="212"/>
      <c r="ASB219" s="212"/>
      <c r="ASC219" s="212"/>
      <c r="ASD219" s="212"/>
      <c r="ASE219" s="212"/>
      <c r="ASF219" s="212"/>
      <c r="ASG219" s="212"/>
      <c r="ASH219" s="212"/>
      <c r="ASI219" s="212"/>
      <c r="ASJ219" s="212"/>
      <c r="ASK219" s="212"/>
      <c r="ASL219" s="212"/>
      <c r="ASM219" s="212"/>
      <c r="ASN219" s="212"/>
      <c r="ASO219" s="212"/>
      <c r="ASP219" s="212"/>
      <c r="ASQ219" s="212"/>
      <c r="ASR219" s="214"/>
      <c r="ASS219" s="211"/>
      <c r="AST219" s="212"/>
      <c r="ASU219" s="212"/>
      <c r="ASV219" s="212"/>
      <c r="ASW219" s="212"/>
      <c r="ASX219" s="212"/>
      <c r="ASY219" s="212"/>
      <c r="ASZ219" s="212"/>
      <c r="ATA219" s="212"/>
      <c r="ATB219" s="212"/>
      <c r="ATC219" s="212"/>
      <c r="ATD219" s="212"/>
      <c r="ATE219" s="212"/>
      <c r="ATF219" s="212"/>
      <c r="ATG219" s="212"/>
      <c r="ATH219" s="212"/>
      <c r="ATI219" s="212"/>
      <c r="ATJ219" s="212"/>
      <c r="ATK219" s="212"/>
      <c r="ATL219" s="212"/>
      <c r="ATM219" s="212"/>
      <c r="ATN219" s="212"/>
      <c r="ATO219" s="212"/>
      <c r="ATP219" s="212"/>
      <c r="ATQ219" s="212"/>
      <c r="ATR219" s="212"/>
      <c r="ATS219" s="212"/>
      <c r="ATT219" s="212"/>
      <c r="ATU219" s="212"/>
      <c r="ATV219" s="212"/>
      <c r="ATW219" s="212"/>
      <c r="ATX219" s="212"/>
      <c r="ATY219" s="212"/>
      <c r="ATZ219" s="212"/>
      <c r="AUA219" s="212"/>
      <c r="AUB219" s="212"/>
      <c r="AUC219" s="212"/>
      <c r="AUD219" s="212"/>
      <c r="AUE219" s="212"/>
      <c r="AUF219" s="212"/>
      <c r="AUG219" s="212"/>
      <c r="AUH219" s="212"/>
      <c r="AUI219" s="212"/>
      <c r="AUJ219" s="214"/>
      <c r="AUK219" s="211"/>
      <c r="AUL219" s="212"/>
      <c r="AUM219" s="212"/>
      <c r="AUN219" s="212"/>
      <c r="AUO219" s="212"/>
      <c r="AUP219" s="212"/>
      <c r="AUQ219" s="212"/>
      <c r="AUR219" s="212"/>
      <c r="AUS219" s="212"/>
      <c r="AUT219" s="212"/>
      <c r="AUU219" s="212"/>
      <c r="AUV219" s="212"/>
      <c r="AUW219" s="212"/>
      <c r="AUX219" s="212"/>
      <c r="AUY219" s="212"/>
      <c r="AUZ219" s="212"/>
      <c r="AVA219" s="212"/>
      <c r="AVB219" s="212"/>
      <c r="AVC219" s="212"/>
      <c r="AVD219" s="212"/>
      <c r="AVE219" s="212"/>
      <c r="AVF219" s="212"/>
      <c r="AVG219" s="212"/>
      <c r="AVH219" s="212"/>
      <c r="AVI219" s="212"/>
      <c r="AVJ219" s="212"/>
      <c r="AVK219" s="212"/>
      <c r="AVL219" s="212"/>
      <c r="AVM219" s="212"/>
      <c r="AVN219" s="212"/>
      <c r="AVO219" s="212"/>
      <c r="AVP219" s="212"/>
      <c r="AVQ219" s="212"/>
      <c r="AVR219" s="212"/>
      <c r="AVS219" s="212"/>
      <c r="AVT219" s="212"/>
      <c r="AVU219" s="212"/>
      <c r="AVV219" s="212"/>
      <c r="AVW219" s="212"/>
      <c r="AVX219" s="212"/>
      <c r="AVY219" s="212"/>
      <c r="AVZ219" s="212"/>
      <c r="AWA219" s="212"/>
      <c r="AWB219" s="214"/>
      <c r="AWC219" s="211"/>
      <c r="AWD219" s="212"/>
      <c r="AWE219" s="212"/>
      <c r="AWF219" s="212"/>
      <c r="AWG219" s="212"/>
      <c r="AWH219" s="212"/>
      <c r="AWI219" s="212"/>
      <c r="AWJ219" s="212"/>
      <c r="AWK219" s="212"/>
      <c r="AWL219" s="212"/>
      <c r="AWM219" s="212"/>
      <c r="AWN219" s="212"/>
      <c r="AWO219" s="212"/>
      <c r="AWP219" s="212"/>
      <c r="AWQ219" s="212"/>
      <c r="AWR219" s="212"/>
      <c r="AWS219" s="212"/>
      <c r="AWT219" s="212"/>
      <c r="AWU219" s="212"/>
      <c r="AWV219" s="212"/>
      <c r="AWW219" s="212"/>
      <c r="AWX219" s="212"/>
      <c r="AWY219" s="212"/>
      <c r="AWZ219" s="212"/>
      <c r="AXA219" s="212"/>
      <c r="AXB219" s="212"/>
      <c r="AXC219" s="212"/>
      <c r="AXD219" s="212"/>
      <c r="AXE219" s="212"/>
      <c r="AXF219" s="212"/>
      <c r="AXG219" s="212"/>
      <c r="AXH219" s="212"/>
      <c r="AXI219" s="212"/>
      <c r="AXJ219" s="212"/>
      <c r="AXK219" s="212"/>
      <c r="AXL219" s="212"/>
      <c r="AXM219" s="212"/>
      <c r="AXN219" s="212"/>
      <c r="AXO219" s="212"/>
      <c r="AXP219" s="212"/>
      <c r="AXQ219" s="212"/>
      <c r="AXR219" s="212"/>
      <c r="AXS219" s="212"/>
      <c r="AXT219" s="214"/>
      <c r="AXU219" s="211"/>
      <c r="AXV219" s="212"/>
      <c r="AXW219" s="212"/>
      <c r="AXX219" s="212"/>
      <c r="AXY219" s="212"/>
      <c r="AXZ219" s="212"/>
      <c r="AYA219" s="212"/>
      <c r="AYB219" s="212"/>
      <c r="AYC219" s="212"/>
      <c r="AYD219" s="212"/>
      <c r="AYE219" s="212"/>
      <c r="AYF219" s="212"/>
      <c r="AYG219" s="212"/>
      <c r="AYH219" s="212"/>
      <c r="AYI219" s="212"/>
      <c r="AYJ219" s="212"/>
      <c r="AYK219" s="212"/>
      <c r="AYL219" s="212"/>
      <c r="AYM219" s="212"/>
      <c r="AYN219" s="212"/>
      <c r="AYO219" s="212"/>
      <c r="AYP219" s="212"/>
      <c r="AYQ219" s="212"/>
      <c r="AYR219" s="212"/>
      <c r="AYS219" s="212"/>
      <c r="AYT219" s="212"/>
      <c r="AYU219" s="212"/>
      <c r="AYV219" s="212"/>
      <c r="AYW219" s="212"/>
      <c r="AYX219" s="212"/>
      <c r="AYY219" s="212"/>
      <c r="AYZ219" s="212"/>
      <c r="AZA219" s="212"/>
      <c r="AZB219" s="212"/>
      <c r="AZC219" s="212"/>
      <c r="AZD219" s="212"/>
      <c r="AZE219" s="212"/>
      <c r="AZF219" s="212"/>
      <c r="AZG219" s="212"/>
      <c r="AZH219" s="212"/>
      <c r="AZI219" s="212"/>
      <c r="AZJ219" s="212"/>
      <c r="AZK219" s="212"/>
      <c r="AZL219" s="214"/>
      <c r="AZM219" s="211"/>
      <c r="AZN219" s="212"/>
      <c r="AZO219" s="212"/>
      <c r="AZP219" s="212"/>
      <c r="AZQ219" s="212"/>
      <c r="AZR219" s="212"/>
      <c r="AZS219" s="212"/>
      <c r="AZT219" s="212"/>
      <c r="AZU219" s="212"/>
      <c r="AZV219" s="212"/>
      <c r="AZW219" s="212"/>
      <c r="AZX219" s="212"/>
      <c r="AZY219" s="212"/>
      <c r="AZZ219" s="212"/>
      <c r="BAA219" s="212"/>
      <c r="BAB219" s="212"/>
      <c r="BAC219" s="212"/>
      <c r="BAD219" s="212"/>
      <c r="BAE219" s="212"/>
      <c r="BAF219" s="212"/>
      <c r="BAG219" s="212"/>
      <c r="BAH219" s="212"/>
      <c r="BAI219" s="212"/>
      <c r="BAJ219" s="212"/>
      <c r="BAK219" s="212"/>
      <c r="BAL219" s="212"/>
      <c r="BAM219" s="212"/>
      <c r="BAN219" s="212"/>
      <c r="BAO219" s="212"/>
      <c r="BAP219" s="212"/>
      <c r="BAQ219" s="212"/>
      <c r="BAR219" s="212"/>
      <c r="BAS219" s="212"/>
      <c r="BAT219" s="212"/>
      <c r="BAU219" s="212"/>
      <c r="BAV219" s="212"/>
      <c r="BAW219" s="212"/>
      <c r="BAX219" s="212"/>
      <c r="BAY219" s="212"/>
      <c r="BAZ219" s="212"/>
      <c r="BBA219" s="212"/>
      <c r="BBB219" s="212"/>
      <c r="BBC219" s="212"/>
      <c r="BBD219" s="214"/>
      <c r="BBE219" s="211"/>
      <c r="BBF219" s="212"/>
      <c r="BBG219" s="212"/>
      <c r="BBH219" s="212"/>
      <c r="BBI219" s="212"/>
      <c r="BBJ219" s="212"/>
      <c r="BBK219" s="212"/>
      <c r="BBL219" s="212"/>
      <c r="BBM219" s="212"/>
      <c r="BBN219" s="212"/>
      <c r="BBO219" s="212"/>
      <c r="BBP219" s="212"/>
      <c r="BBQ219" s="212"/>
      <c r="BBR219" s="212"/>
      <c r="BBS219" s="212"/>
      <c r="BBT219" s="212"/>
      <c r="BBU219" s="212"/>
      <c r="BBV219" s="212"/>
      <c r="BBW219" s="212"/>
      <c r="BBX219" s="212"/>
      <c r="BBY219" s="212"/>
      <c r="BBZ219" s="212"/>
      <c r="BCA219" s="212"/>
      <c r="BCB219" s="212"/>
      <c r="BCC219" s="212"/>
      <c r="BCD219" s="212"/>
      <c r="BCE219" s="212"/>
      <c r="BCF219" s="212"/>
      <c r="BCG219" s="212"/>
      <c r="BCH219" s="212"/>
      <c r="BCI219" s="212"/>
      <c r="BCJ219" s="212"/>
      <c r="BCK219" s="212"/>
      <c r="BCL219" s="212"/>
      <c r="BCM219" s="212"/>
      <c r="BCN219" s="212"/>
      <c r="BCO219" s="212"/>
      <c r="BCP219" s="212"/>
      <c r="BCQ219" s="212"/>
      <c r="BCR219" s="212"/>
      <c r="BCS219" s="212"/>
      <c r="BCT219" s="212"/>
      <c r="BCU219" s="212"/>
      <c r="BCV219" s="214"/>
      <c r="BCW219" s="211"/>
      <c r="BCX219" s="212"/>
      <c r="BCY219" s="212"/>
      <c r="BCZ219" s="212"/>
      <c r="BDA219" s="212"/>
      <c r="BDB219" s="212"/>
      <c r="BDC219" s="212"/>
      <c r="BDD219" s="212"/>
      <c r="BDE219" s="212"/>
      <c r="BDF219" s="212"/>
      <c r="BDG219" s="212"/>
      <c r="BDH219" s="212"/>
      <c r="BDI219" s="212"/>
      <c r="BDJ219" s="212"/>
      <c r="BDK219" s="212"/>
      <c r="BDL219" s="212"/>
      <c r="BDM219" s="212"/>
      <c r="BDN219" s="212"/>
      <c r="BDO219" s="212"/>
      <c r="BDP219" s="212"/>
      <c r="BDQ219" s="212"/>
      <c r="BDR219" s="212"/>
      <c r="BDS219" s="212"/>
      <c r="BDT219" s="212"/>
      <c r="BDU219" s="212"/>
      <c r="BDV219" s="212"/>
      <c r="BDW219" s="212"/>
      <c r="BDX219" s="212"/>
      <c r="BDY219" s="212"/>
      <c r="BDZ219" s="212"/>
      <c r="BEA219" s="212"/>
      <c r="BEB219" s="212"/>
      <c r="BEC219" s="212"/>
      <c r="BED219" s="212"/>
      <c r="BEE219" s="212"/>
      <c r="BEF219" s="212"/>
      <c r="BEG219" s="212"/>
      <c r="BEH219" s="212"/>
      <c r="BEI219" s="212"/>
      <c r="BEJ219" s="212"/>
      <c r="BEK219" s="212"/>
      <c r="BEL219" s="212"/>
      <c r="BEM219" s="212"/>
      <c r="BEN219" s="214"/>
      <c r="BEO219" s="211"/>
      <c r="BEP219" s="212"/>
      <c r="BEQ219" s="212"/>
      <c r="BER219" s="212"/>
      <c r="BES219" s="212"/>
      <c r="BET219" s="212"/>
      <c r="BEU219" s="212"/>
      <c r="BEV219" s="212"/>
      <c r="BEW219" s="212"/>
      <c r="BEX219" s="212"/>
      <c r="BEY219" s="212"/>
      <c r="BEZ219" s="212"/>
      <c r="BFA219" s="212"/>
      <c r="BFB219" s="212"/>
      <c r="BFC219" s="212"/>
      <c r="BFD219" s="212"/>
      <c r="BFE219" s="212"/>
      <c r="BFF219" s="212"/>
      <c r="BFG219" s="212"/>
      <c r="BFH219" s="212"/>
      <c r="BFI219" s="212"/>
      <c r="BFJ219" s="212"/>
      <c r="BFK219" s="212"/>
      <c r="BFL219" s="212"/>
      <c r="BFM219" s="212"/>
      <c r="BFN219" s="212"/>
      <c r="BFO219" s="212"/>
      <c r="BFP219" s="212"/>
      <c r="BFQ219" s="212"/>
      <c r="BFR219" s="212"/>
      <c r="BFS219" s="212"/>
      <c r="BFT219" s="212"/>
      <c r="BFU219" s="212"/>
      <c r="BFV219" s="212"/>
      <c r="BFW219" s="212"/>
      <c r="BFX219" s="212"/>
      <c r="BFY219" s="212"/>
      <c r="BFZ219" s="212"/>
      <c r="BGA219" s="212"/>
      <c r="BGB219" s="212"/>
      <c r="BGC219" s="212"/>
      <c r="BGD219" s="212"/>
      <c r="BGE219" s="212"/>
      <c r="BGF219" s="214"/>
      <c r="BGG219" s="211"/>
      <c r="BGH219" s="212"/>
      <c r="BGI219" s="212"/>
      <c r="BGJ219" s="212"/>
      <c r="BGK219" s="212"/>
      <c r="BGL219" s="212"/>
      <c r="BGM219" s="212"/>
      <c r="BGN219" s="212"/>
      <c r="BGO219" s="212"/>
      <c r="BGP219" s="212"/>
      <c r="BGQ219" s="212"/>
      <c r="BGR219" s="212"/>
      <c r="BGS219" s="212"/>
      <c r="BGT219" s="212"/>
      <c r="BGU219" s="212"/>
      <c r="BGV219" s="212"/>
      <c r="BGW219" s="212"/>
      <c r="BGX219" s="212"/>
      <c r="BGY219" s="212"/>
      <c r="BGZ219" s="212"/>
      <c r="BHA219" s="212"/>
      <c r="BHB219" s="212"/>
      <c r="BHC219" s="212"/>
      <c r="BHD219" s="212"/>
      <c r="BHE219" s="212"/>
      <c r="BHF219" s="212"/>
      <c r="BHG219" s="212"/>
      <c r="BHH219" s="212"/>
      <c r="BHI219" s="212"/>
      <c r="BHJ219" s="212"/>
      <c r="BHK219" s="212"/>
      <c r="BHL219" s="212"/>
      <c r="BHM219" s="212"/>
      <c r="BHN219" s="212"/>
      <c r="BHO219" s="212"/>
      <c r="BHP219" s="212"/>
      <c r="BHQ219" s="212"/>
      <c r="BHR219" s="212"/>
      <c r="BHS219" s="212"/>
      <c r="BHT219" s="212"/>
      <c r="BHU219" s="212"/>
      <c r="BHV219" s="212"/>
      <c r="BHW219" s="212"/>
      <c r="BHX219" s="214"/>
      <c r="BHY219" s="211"/>
      <c r="BHZ219" s="212"/>
      <c r="BIA219" s="212"/>
      <c r="BIB219" s="212"/>
      <c r="BIC219" s="212"/>
      <c r="BID219" s="212"/>
      <c r="BIE219" s="212"/>
      <c r="BIF219" s="212"/>
      <c r="BIG219" s="212"/>
      <c r="BIH219" s="212"/>
      <c r="BII219" s="212"/>
      <c r="BIJ219" s="212"/>
      <c r="BIK219" s="212"/>
      <c r="BIL219" s="212"/>
      <c r="BIM219" s="212"/>
      <c r="BIN219" s="212"/>
      <c r="BIO219" s="212"/>
      <c r="BIP219" s="212"/>
      <c r="BIQ219" s="212"/>
      <c r="BIR219" s="212"/>
      <c r="BIS219" s="212"/>
      <c r="BIT219" s="212"/>
      <c r="BIU219" s="212"/>
      <c r="BIV219" s="212"/>
      <c r="BIW219" s="212"/>
      <c r="BIX219" s="212"/>
      <c r="BIY219" s="212"/>
      <c r="BIZ219" s="212"/>
      <c r="BJA219" s="212"/>
      <c r="BJB219" s="212"/>
      <c r="BJC219" s="212"/>
      <c r="BJD219" s="212"/>
      <c r="BJE219" s="212"/>
      <c r="BJF219" s="212"/>
      <c r="BJG219" s="212"/>
      <c r="BJH219" s="212"/>
      <c r="BJI219" s="212"/>
      <c r="BJJ219" s="212"/>
      <c r="BJK219" s="212"/>
      <c r="BJL219" s="212"/>
      <c r="BJM219" s="212"/>
      <c r="BJN219" s="212"/>
      <c r="BJO219" s="212"/>
      <c r="BJP219" s="214"/>
      <c r="BJQ219" s="211"/>
      <c r="BJR219" s="212"/>
      <c r="BJS219" s="212"/>
      <c r="BJT219" s="212"/>
      <c r="BJU219" s="212"/>
      <c r="BJV219" s="212"/>
      <c r="BJW219" s="212"/>
      <c r="BJX219" s="212"/>
      <c r="BJY219" s="212"/>
      <c r="BJZ219" s="212"/>
      <c r="BKA219" s="212"/>
      <c r="BKB219" s="212"/>
      <c r="BKC219" s="212"/>
      <c r="BKD219" s="212"/>
      <c r="BKE219" s="212"/>
      <c r="BKF219" s="212"/>
      <c r="BKG219" s="212"/>
      <c r="BKH219" s="212"/>
      <c r="BKI219" s="212"/>
      <c r="BKJ219" s="212"/>
      <c r="BKK219" s="212"/>
      <c r="BKL219" s="212"/>
      <c r="BKM219" s="212"/>
      <c r="BKN219" s="212"/>
      <c r="BKO219" s="212"/>
      <c r="BKP219" s="212"/>
      <c r="BKQ219" s="212"/>
      <c r="BKR219" s="212"/>
      <c r="BKS219" s="212"/>
      <c r="BKT219" s="212"/>
      <c r="BKU219" s="212"/>
      <c r="BKV219" s="212"/>
      <c r="BKW219" s="212"/>
      <c r="BKX219" s="212"/>
      <c r="BKY219" s="212"/>
      <c r="BKZ219" s="212"/>
      <c r="BLA219" s="212"/>
      <c r="BLB219" s="212"/>
      <c r="BLC219" s="212"/>
      <c r="BLD219" s="212"/>
      <c r="BLE219" s="212"/>
      <c r="BLF219" s="212"/>
      <c r="BLG219" s="212"/>
      <c r="BLH219" s="214"/>
      <c r="BLI219" s="211"/>
      <c r="BLJ219" s="212"/>
      <c r="BLK219" s="212"/>
      <c r="BLL219" s="212"/>
      <c r="BLM219" s="212"/>
      <c r="BLN219" s="212"/>
      <c r="BLO219" s="212"/>
      <c r="BLP219" s="212"/>
      <c r="BLQ219" s="212"/>
      <c r="BLR219" s="212"/>
      <c r="BLS219" s="212"/>
      <c r="BLT219" s="212"/>
      <c r="BLU219" s="212"/>
      <c r="BLV219" s="212"/>
      <c r="BLW219" s="212"/>
      <c r="BLX219" s="212"/>
      <c r="BLY219" s="212"/>
      <c r="BLZ219" s="212"/>
      <c r="BMA219" s="212"/>
      <c r="BMB219" s="212"/>
      <c r="BMC219" s="212"/>
      <c r="BMD219" s="212"/>
      <c r="BME219" s="212"/>
      <c r="BMF219" s="212"/>
      <c r="BMG219" s="212"/>
      <c r="BMH219" s="212"/>
      <c r="BMI219" s="212"/>
      <c r="BMJ219" s="212"/>
      <c r="BMK219" s="212"/>
      <c r="BML219" s="212"/>
      <c r="BMM219" s="212"/>
      <c r="BMN219" s="212"/>
      <c r="BMO219" s="212"/>
      <c r="BMP219" s="212"/>
      <c r="BMQ219" s="212"/>
      <c r="BMR219" s="212"/>
      <c r="BMS219" s="212"/>
      <c r="BMT219" s="212"/>
      <c r="BMU219" s="212"/>
      <c r="BMV219" s="212"/>
      <c r="BMW219" s="212"/>
      <c r="BMX219" s="212"/>
      <c r="BMY219" s="212"/>
      <c r="BMZ219" s="214"/>
      <c r="BNA219" s="211"/>
      <c r="BNB219" s="212"/>
      <c r="BNC219" s="212"/>
      <c r="BND219" s="212"/>
      <c r="BNE219" s="212"/>
      <c r="BNF219" s="212"/>
      <c r="BNG219" s="212"/>
      <c r="BNH219" s="212"/>
      <c r="BNI219" s="212"/>
      <c r="BNJ219" s="212"/>
      <c r="BNK219" s="212"/>
      <c r="BNL219" s="212"/>
      <c r="BNM219" s="212"/>
      <c r="BNN219" s="212"/>
      <c r="BNO219" s="212"/>
      <c r="BNP219" s="212"/>
      <c r="BNQ219" s="212"/>
      <c r="BNR219" s="212"/>
      <c r="BNS219" s="212"/>
      <c r="BNT219" s="212"/>
      <c r="BNU219" s="212"/>
      <c r="BNV219" s="212"/>
      <c r="BNW219" s="212"/>
      <c r="BNX219" s="212"/>
      <c r="BNY219" s="212"/>
      <c r="BNZ219" s="212"/>
      <c r="BOA219" s="212"/>
      <c r="BOB219" s="212"/>
      <c r="BOC219" s="212"/>
      <c r="BOD219" s="212"/>
      <c r="BOE219" s="212"/>
      <c r="BOF219" s="212"/>
      <c r="BOG219" s="212"/>
      <c r="BOH219" s="212"/>
      <c r="BOI219" s="212"/>
      <c r="BOJ219" s="212"/>
      <c r="BOK219" s="212"/>
      <c r="BOL219" s="212"/>
      <c r="BOM219" s="212"/>
      <c r="BON219" s="212"/>
      <c r="BOO219" s="212"/>
      <c r="BOP219" s="212"/>
      <c r="BOQ219" s="212"/>
      <c r="BOR219" s="214"/>
      <c r="BOS219" s="211"/>
      <c r="BOT219" s="212"/>
      <c r="BOU219" s="212"/>
      <c r="BOV219" s="212"/>
      <c r="BOW219" s="212"/>
      <c r="BOX219" s="212"/>
      <c r="BOY219" s="212"/>
      <c r="BOZ219" s="212"/>
      <c r="BPA219" s="212"/>
      <c r="BPB219" s="212"/>
      <c r="BPC219" s="212"/>
      <c r="BPD219" s="212"/>
      <c r="BPE219" s="212"/>
      <c r="BPF219" s="212"/>
      <c r="BPG219" s="212"/>
      <c r="BPH219" s="212"/>
      <c r="BPI219" s="212"/>
      <c r="BPJ219" s="212"/>
      <c r="BPK219" s="212"/>
      <c r="BPL219" s="212"/>
      <c r="BPM219" s="212"/>
      <c r="BPN219" s="212"/>
      <c r="BPO219" s="212"/>
      <c r="BPP219" s="212"/>
      <c r="BPQ219" s="212"/>
      <c r="BPR219" s="212"/>
      <c r="BPS219" s="212"/>
      <c r="BPT219" s="212"/>
      <c r="BPU219" s="212"/>
      <c r="BPV219" s="212"/>
      <c r="BPW219" s="212"/>
      <c r="BPX219" s="212"/>
      <c r="BPY219" s="212"/>
      <c r="BPZ219" s="212"/>
      <c r="BQA219" s="212"/>
      <c r="BQB219" s="212"/>
      <c r="BQC219" s="212"/>
      <c r="BQD219" s="212"/>
      <c r="BQE219" s="212"/>
      <c r="BQF219" s="212"/>
      <c r="BQG219" s="212"/>
      <c r="BQH219" s="212"/>
      <c r="BQI219" s="212"/>
      <c r="BQJ219" s="214"/>
      <c r="BQK219" s="211"/>
      <c r="BQL219" s="212"/>
      <c r="BQM219" s="212"/>
      <c r="BQN219" s="212"/>
      <c r="BQO219" s="212"/>
      <c r="BQP219" s="212"/>
      <c r="BQQ219" s="212"/>
      <c r="BQR219" s="212"/>
      <c r="BQS219" s="212"/>
      <c r="BQT219" s="212"/>
      <c r="BQU219" s="212"/>
      <c r="BQV219" s="212"/>
      <c r="BQW219" s="212"/>
      <c r="BQX219" s="212"/>
      <c r="BQY219" s="212"/>
      <c r="BQZ219" s="212"/>
      <c r="BRA219" s="212"/>
      <c r="BRB219" s="212"/>
      <c r="BRC219" s="212"/>
      <c r="BRD219" s="212"/>
      <c r="BRE219" s="212"/>
      <c r="BRF219" s="212"/>
      <c r="BRG219" s="212"/>
      <c r="BRH219" s="212"/>
      <c r="BRI219" s="212"/>
      <c r="BRJ219" s="212"/>
      <c r="BRK219" s="212"/>
      <c r="BRL219" s="212"/>
      <c r="BRM219" s="212"/>
      <c r="BRN219" s="212"/>
      <c r="BRO219" s="212"/>
      <c r="BRP219" s="212"/>
      <c r="BRQ219" s="212"/>
      <c r="BRR219" s="212"/>
      <c r="BRS219" s="212"/>
      <c r="BRT219" s="212"/>
      <c r="BRU219" s="212"/>
      <c r="BRV219" s="212"/>
      <c r="BRW219" s="212"/>
      <c r="BRX219" s="212"/>
      <c r="BRY219" s="212"/>
      <c r="BRZ219" s="212"/>
      <c r="BSA219" s="212"/>
      <c r="BSB219" s="214"/>
      <c r="BSC219" s="211"/>
      <c r="BSD219" s="212"/>
      <c r="BSE219" s="212"/>
      <c r="BSF219" s="212"/>
      <c r="BSG219" s="212"/>
      <c r="BSH219" s="212"/>
      <c r="BSI219" s="212"/>
      <c r="BSJ219" s="212"/>
      <c r="BSK219" s="212"/>
      <c r="BSL219" s="212"/>
      <c r="BSM219" s="212"/>
      <c r="BSN219" s="212"/>
      <c r="BSO219" s="212"/>
      <c r="BSP219" s="212"/>
      <c r="BSQ219" s="212"/>
      <c r="BSR219" s="212"/>
      <c r="BSS219" s="212"/>
      <c r="BST219" s="212"/>
      <c r="BSU219" s="212"/>
      <c r="BSV219" s="212"/>
      <c r="BSW219" s="212"/>
      <c r="BSX219" s="212"/>
      <c r="BSY219" s="212"/>
      <c r="BSZ219" s="212"/>
      <c r="BTA219" s="212"/>
      <c r="BTB219" s="212"/>
      <c r="BTC219" s="212"/>
      <c r="BTD219" s="212"/>
      <c r="BTE219" s="212"/>
      <c r="BTF219" s="212"/>
      <c r="BTG219" s="212"/>
      <c r="BTH219" s="212"/>
      <c r="BTI219" s="212"/>
      <c r="BTJ219" s="212"/>
      <c r="BTK219" s="212"/>
      <c r="BTL219" s="212"/>
      <c r="BTM219" s="212"/>
      <c r="BTN219" s="212"/>
      <c r="BTO219" s="212"/>
      <c r="BTP219" s="212"/>
      <c r="BTQ219" s="212"/>
      <c r="BTR219" s="212"/>
      <c r="BTS219" s="212"/>
      <c r="BTT219" s="214"/>
      <c r="BTU219" s="211"/>
      <c r="BTV219" s="212"/>
      <c r="BTW219" s="212"/>
      <c r="BTX219" s="212"/>
      <c r="BTY219" s="212"/>
      <c r="BTZ219" s="212"/>
      <c r="BUA219" s="212"/>
      <c r="BUB219" s="212"/>
      <c r="BUC219" s="212"/>
      <c r="BUD219" s="212"/>
      <c r="BUE219" s="212"/>
      <c r="BUF219" s="212"/>
      <c r="BUG219" s="212"/>
      <c r="BUH219" s="212"/>
      <c r="BUI219" s="212"/>
      <c r="BUJ219" s="212"/>
      <c r="BUK219" s="212"/>
      <c r="BUL219" s="212"/>
      <c r="BUM219" s="212"/>
      <c r="BUN219" s="212"/>
      <c r="BUO219" s="212"/>
      <c r="BUP219" s="212"/>
      <c r="BUQ219" s="212"/>
      <c r="BUR219" s="212"/>
      <c r="BUS219" s="212"/>
      <c r="BUT219" s="212"/>
      <c r="BUU219" s="212"/>
      <c r="BUV219" s="212"/>
      <c r="BUW219" s="212"/>
      <c r="BUX219" s="212"/>
      <c r="BUY219" s="212"/>
      <c r="BUZ219" s="212"/>
      <c r="BVA219" s="212"/>
      <c r="BVB219" s="212"/>
      <c r="BVC219" s="212"/>
      <c r="BVD219" s="212"/>
      <c r="BVE219" s="212"/>
      <c r="BVF219" s="212"/>
      <c r="BVG219" s="212"/>
      <c r="BVH219" s="212"/>
      <c r="BVI219" s="212"/>
      <c r="BVJ219" s="212"/>
      <c r="BVK219" s="212"/>
      <c r="BVL219" s="214"/>
      <c r="BVM219" s="211"/>
      <c r="BVN219" s="212"/>
      <c r="BVO219" s="212"/>
      <c r="BVP219" s="212"/>
      <c r="BVQ219" s="212"/>
      <c r="BVR219" s="212"/>
      <c r="BVS219" s="212"/>
      <c r="BVT219" s="212"/>
      <c r="BVU219" s="212"/>
      <c r="BVV219" s="212"/>
      <c r="BVW219" s="212"/>
      <c r="BVX219" s="212"/>
      <c r="BVY219" s="212"/>
      <c r="BVZ219" s="212"/>
      <c r="BWA219" s="212"/>
      <c r="BWB219" s="212"/>
      <c r="BWC219" s="212"/>
      <c r="BWD219" s="212"/>
      <c r="BWE219" s="212"/>
      <c r="BWF219" s="212"/>
      <c r="BWG219" s="212"/>
      <c r="BWH219" s="212"/>
      <c r="BWI219" s="212"/>
      <c r="BWJ219" s="212"/>
      <c r="BWK219" s="212"/>
      <c r="BWL219" s="212"/>
      <c r="BWM219" s="212"/>
      <c r="BWN219" s="212"/>
      <c r="BWO219" s="212"/>
      <c r="BWP219" s="212"/>
      <c r="BWQ219" s="212"/>
      <c r="BWR219" s="212"/>
      <c r="BWS219" s="212"/>
      <c r="BWT219" s="212"/>
      <c r="BWU219" s="212"/>
      <c r="BWV219" s="212"/>
      <c r="BWW219" s="212"/>
      <c r="BWX219" s="212"/>
      <c r="BWY219" s="212"/>
      <c r="BWZ219" s="212"/>
      <c r="BXA219" s="212"/>
      <c r="BXB219" s="212"/>
      <c r="BXC219" s="212"/>
      <c r="BXD219" s="214"/>
      <c r="BXE219" s="211"/>
      <c r="BXF219" s="212"/>
      <c r="BXG219" s="212"/>
      <c r="BXH219" s="212"/>
      <c r="BXI219" s="212"/>
      <c r="BXJ219" s="212"/>
      <c r="BXK219" s="212"/>
      <c r="BXL219" s="212"/>
      <c r="BXM219" s="212"/>
      <c r="BXN219" s="212"/>
      <c r="BXO219" s="212"/>
      <c r="BXP219" s="212"/>
      <c r="BXQ219" s="212"/>
      <c r="BXR219" s="212"/>
      <c r="BXS219" s="212"/>
      <c r="BXT219" s="212"/>
      <c r="BXU219" s="212"/>
      <c r="BXV219" s="212"/>
      <c r="BXW219" s="212"/>
      <c r="BXX219" s="212"/>
      <c r="BXY219" s="212"/>
      <c r="BXZ219" s="212"/>
      <c r="BYA219" s="212"/>
      <c r="BYB219" s="212"/>
      <c r="BYC219" s="212"/>
      <c r="BYD219" s="212"/>
      <c r="BYE219" s="212"/>
      <c r="BYF219" s="212"/>
      <c r="BYG219" s="212"/>
      <c r="BYH219" s="212"/>
      <c r="BYI219" s="212"/>
      <c r="BYJ219" s="212"/>
      <c r="BYK219" s="212"/>
      <c r="BYL219" s="212"/>
      <c r="BYM219" s="212"/>
      <c r="BYN219" s="212"/>
      <c r="BYO219" s="212"/>
      <c r="BYP219" s="212"/>
      <c r="BYQ219" s="212"/>
      <c r="BYR219" s="212"/>
      <c r="BYS219" s="212"/>
      <c r="BYT219" s="212"/>
      <c r="BYU219" s="212"/>
      <c r="BYV219" s="214"/>
      <c r="BYW219" s="211"/>
      <c r="BYX219" s="212"/>
      <c r="BYY219" s="212"/>
      <c r="BYZ219" s="212"/>
      <c r="BZA219" s="212"/>
      <c r="BZB219" s="212"/>
      <c r="BZC219" s="212"/>
      <c r="BZD219" s="212"/>
      <c r="BZE219" s="212"/>
      <c r="BZF219" s="212"/>
      <c r="BZG219" s="212"/>
      <c r="BZH219" s="212"/>
      <c r="BZI219" s="212"/>
      <c r="BZJ219" s="212"/>
      <c r="BZK219" s="212"/>
      <c r="BZL219" s="212"/>
      <c r="BZM219" s="212"/>
      <c r="BZN219" s="212"/>
      <c r="BZO219" s="212"/>
      <c r="BZP219" s="212"/>
      <c r="BZQ219" s="212"/>
      <c r="BZR219" s="212"/>
      <c r="BZS219" s="212"/>
      <c r="BZT219" s="212"/>
      <c r="BZU219" s="212"/>
      <c r="BZV219" s="212"/>
      <c r="BZW219" s="212"/>
      <c r="BZX219" s="212"/>
      <c r="BZY219" s="212"/>
      <c r="BZZ219" s="212"/>
      <c r="CAA219" s="212"/>
      <c r="CAB219" s="212"/>
      <c r="CAC219" s="212"/>
      <c r="CAD219" s="212"/>
      <c r="CAE219" s="212"/>
      <c r="CAF219" s="212"/>
      <c r="CAG219" s="212"/>
      <c r="CAH219" s="212"/>
      <c r="CAI219" s="212"/>
      <c r="CAJ219" s="212"/>
      <c r="CAK219" s="212"/>
      <c r="CAL219" s="212"/>
      <c r="CAM219" s="212"/>
      <c r="CAN219" s="214"/>
      <c r="CAO219" s="211"/>
      <c r="CAP219" s="212"/>
      <c r="CAQ219" s="212"/>
      <c r="CAR219" s="212"/>
      <c r="CAS219" s="212"/>
      <c r="CAT219" s="212"/>
      <c r="CAU219" s="212"/>
      <c r="CAV219" s="212"/>
      <c r="CAW219" s="212"/>
      <c r="CAX219" s="212"/>
      <c r="CAY219" s="212"/>
      <c r="CAZ219" s="212"/>
      <c r="CBA219" s="212"/>
      <c r="CBB219" s="212"/>
      <c r="CBC219" s="212"/>
      <c r="CBD219" s="212"/>
      <c r="CBE219" s="212"/>
      <c r="CBF219" s="212"/>
      <c r="CBG219" s="212"/>
      <c r="CBH219" s="212"/>
      <c r="CBI219" s="212"/>
      <c r="CBJ219" s="212"/>
      <c r="CBK219" s="212"/>
      <c r="CBL219" s="212"/>
      <c r="CBM219" s="212"/>
      <c r="CBN219" s="212"/>
      <c r="CBO219" s="212"/>
      <c r="CBP219" s="212"/>
      <c r="CBQ219" s="212"/>
      <c r="CBR219" s="212"/>
      <c r="CBS219" s="212"/>
      <c r="CBT219" s="212"/>
      <c r="CBU219" s="212"/>
      <c r="CBV219" s="212"/>
      <c r="CBW219" s="212"/>
      <c r="CBX219" s="212"/>
      <c r="CBY219" s="212"/>
      <c r="CBZ219" s="212"/>
      <c r="CCA219" s="212"/>
      <c r="CCB219" s="212"/>
      <c r="CCC219" s="212"/>
      <c r="CCD219" s="212"/>
      <c r="CCE219" s="212"/>
      <c r="CCF219" s="214"/>
      <c r="CCG219" s="211"/>
      <c r="CCH219" s="212"/>
      <c r="CCI219" s="212"/>
      <c r="CCJ219" s="212"/>
      <c r="CCK219" s="212"/>
      <c r="CCL219" s="212"/>
      <c r="CCM219" s="212"/>
      <c r="CCN219" s="212"/>
      <c r="CCO219" s="212"/>
      <c r="CCP219" s="212"/>
      <c r="CCQ219" s="212"/>
      <c r="CCR219" s="212"/>
      <c r="CCS219" s="212"/>
      <c r="CCT219" s="212"/>
      <c r="CCU219" s="212"/>
      <c r="CCV219" s="212"/>
      <c r="CCW219" s="212"/>
      <c r="CCX219" s="212"/>
      <c r="CCY219" s="212"/>
      <c r="CCZ219" s="212"/>
      <c r="CDA219" s="212"/>
      <c r="CDB219" s="212"/>
      <c r="CDC219" s="212"/>
      <c r="CDD219" s="212"/>
      <c r="CDE219" s="212"/>
      <c r="CDF219" s="212"/>
      <c r="CDG219" s="212"/>
      <c r="CDH219" s="212"/>
      <c r="CDI219" s="212"/>
      <c r="CDJ219" s="212"/>
      <c r="CDK219" s="212"/>
      <c r="CDL219" s="212"/>
      <c r="CDM219" s="212"/>
      <c r="CDN219" s="212"/>
      <c r="CDO219" s="212"/>
      <c r="CDP219" s="212"/>
      <c r="CDQ219" s="212"/>
      <c r="CDR219" s="212"/>
      <c r="CDS219" s="212"/>
      <c r="CDT219" s="212"/>
      <c r="CDU219" s="212"/>
      <c r="CDV219" s="212"/>
      <c r="CDW219" s="212"/>
      <c r="CDX219" s="214"/>
      <c r="CDY219" s="211"/>
      <c r="CDZ219" s="212"/>
      <c r="CEA219" s="212"/>
      <c r="CEB219" s="212"/>
      <c r="CEC219" s="212"/>
      <c r="CED219" s="212"/>
      <c r="CEE219" s="212"/>
      <c r="CEF219" s="212"/>
      <c r="CEG219" s="212"/>
      <c r="CEH219" s="212"/>
      <c r="CEI219" s="212"/>
      <c r="CEJ219" s="212"/>
      <c r="CEK219" s="212"/>
      <c r="CEL219" s="212"/>
      <c r="CEM219" s="212"/>
      <c r="CEN219" s="212"/>
      <c r="CEO219" s="212"/>
      <c r="CEP219" s="212"/>
      <c r="CEQ219" s="212"/>
      <c r="CER219" s="212"/>
      <c r="CES219" s="212"/>
      <c r="CET219" s="212"/>
      <c r="CEU219" s="212"/>
      <c r="CEV219" s="212"/>
      <c r="CEW219" s="212"/>
      <c r="CEX219" s="212"/>
      <c r="CEY219" s="212"/>
      <c r="CEZ219" s="212"/>
      <c r="CFA219" s="212"/>
      <c r="CFB219" s="212"/>
      <c r="CFC219" s="212"/>
      <c r="CFD219" s="212"/>
      <c r="CFE219" s="212"/>
      <c r="CFF219" s="212"/>
      <c r="CFG219" s="212"/>
      <c r="CFH219" s="212"/>
      <c r="CFI219" s="212"/>
      <c r="CFJ219" s="212"/>
      <c r="CFK219" s="212"/>
      <c r="CFL219" s="212"/>
      <c r="CFM219" s="212"/>
      <c r="CFN219" s="212"/>
      <c r="CFO219" s="212"/>
      <c r="CFP219" s="214"/>
      <c r="CFQ219" s="211"/>
      <c r="CFR219" s="212"/>
      <c r="CFS219" s="212"/>
      <c r="CFT219" s="212"/>
      <c r="CFU219" s="212"/>
      <c r="CFV219" s="212"/>
      <c r="CFW219" s="212"/>
      <c r="CFX219" s="212"/>
      <c r="CFY219" s="212"/>
      <c r="CFZ219" s="212"/>
      <c r="CGA219" s="212"/>
      <c r="CGB219" s="212"/>
      <c r="CGC219" s="212"/>
      <c r="CGD219" s="212"/>
      <c r="CGE219" s="212"/>
      <c r="CGF219" s="212"/>
      <c r="CGG219" s="212"/>
      <c r="CGH219" s="212"/>
      <c r="CGI219" s="212"/>
      <c r="CGJ219" s="212"/>
      <c r="CGK219" s="212"/>
      <c r="CGL219" s="212"/>
      <c r="CGM219" s="212"/>
      <c r="CGN219" s="212"/>
      <c r="CGO219" s="212"/>
      <c r="CGP219" s="212"/>
      <c r="CGQ219" s="212"/>
      <c r="CGR219" s="212"/>
      <c r="CGS219" s="212"/>
      <c r="CGT219" s="212"/>
      <c r="CGU219" s="212"/>
      <c r="CGV219" s="212"/>
      <c r="CGW219" s="212"/>
      <c r="CGX219" s="212"/>
      <c r="CGY219" s="212"/>
      <c r="CGZ219" s="212"/>
      <c r="CHA219" s="212"/>
      <c r="CHB219" s="212"/>
      <c r="CHC219" s="212"/>
      <c r="CHD219" s="212"/>
      <c r="CHE219" s="212"/>
      <c r="CHF219" s="212"/>
      <c r="CHG219" s="212"/>
      <c r="CHH219" s="214"/>
      <c r="CHI219" s="211"/>
      <c r="CHJ219" s="212"/>
      <c r="CHK219" s="212"/>
      <c r="CHL219" s="212"/>
      <c r="CHM219" s="212"/>
      <c r="CHN219" s="212"/>
      <c r="CHO219" s="212"/>
      <c r="CHP219" s="212"/>
      <c r="CHQ219" s="212"/>
      <c r="CHR219" s="212"/>
      <c r="CHS219" s="212"/>
      <c r="CHT219" s="212"/>
      <c r="CHU219" s="212"/>
      <c r="CHV219" s="212"/>
      <c r="CHW219" s="212"/>
      <c r="CHX219" s="212"/>
      <c r="CHY219" s="212"/>
      <c r="CHZ219" s="212"/>
      <c r="CIA219" s="212"/>
      <c r="CIB219" s="212"/>
      <c r="CIC219" s="212"/>
      <c r="CID219" s="212"/>
      <c r="CIE219" s="212"/>
      <c r="CIF219" s="212"/>
      <c r="CIG219" s="212"/>
      <c r="CIH219" s="212"/>
      <c r="CII219" s="212"/>
      <c r="CIJ219" s="212"/>
      <c r="CIK219" s="212"/>
      <c r="CIL219" s="212"/>
      <c r="CIM219" s="212"/>
      <c r="CIN219" s="212"/>
      <c r="CIO219" s="212"/>
      <c r="CIP219" s="212"/>
      <c r="CIQ219" s="212"/>
      <c r="CIR219" s="212"/>
      <c r="CIS219" s="212"/>
      <c r="CIT219" s="212"/>
      <c r="CIU219" s="212"/>
      <c r="CIV219" s="212"/>
      <c r="CIW219" s="212"/>
      <c r="CIX219" s="212"/>
      <c r="CIY219" s="212"/>
      <c r="CIZ219" s="214"/>
      <c r="CJA219" s="211"/>
      <c r="CJB219" s="212"/>
      <c r="CJC219" s="212"/>
      <c r="CJD219" s="212"/>
      <c r="CJE219" s="212"/>
      <c r="CJF219" s="212"/>
      <c r="CJG219" s="212"/>
      <c r="CJH219" s="212"/>
      <c r="CJI219" s="212"/>
      <c r="CJJ219" s="212"/>
      <c r="CJK219" s="212"/>
      <c r="CJL219" s="212"/>
      <c r="CJM219" s="212"/>
      <c r="CJN219" s="212"/>
      <c r="CJO219" s="212"/>
      <c r="CJP219" s="212"/>
      <c r="CJQ219" s="212"/>
      <c r="CJR219" s="212"/>
      <c r="CJS219" s="212"/>
      <c r="CJT219" s="212"/>
      <c r="CJU219" s="212"/>
      <c r="CJV219" s="212"/>
      <c r="CJW219" s="212"/>
      <c r="CJX219" s="212"/>
      <c r="CJY219" s="212"/>
      <c r="CJZ219" s="212"/>
      <c r="CKA219" s="212"/>
      <c r="CKB219" s="212"/>
      <c r="CKC219" s="212"/>
      <c r="CKD219" s="212"/>
      <c r="CKE219" s="212"/>
      <c r="CKF219" s="212"/>
      <c r="CKG219" s="212"/>
      <c r="CKH219" s="212"/>
      <c r="CKI219" s="212"/>
      <c r="CKJ219" s="212"/>
      <c r="CKK219" s="212"/>
      <c r="CKL219" s="212"/>
      <c r="CKM219" s="212"/>
      <c r="CKN219" s="212"/>
      <c r="CKO219" s="212"/>
      <c r="CKP219" s="212"/>
      <c r="CKQ219" s="212"/>
      <c r="CKR219" s="214"/>
      <c r="CKS219" s="211"/>
      <c r="CKT219" s="212"/>
      <c r="CKU219" s="212"/>
      <c r="CKV219" s="212"/>
      <c r="CKW219" s="212"/>
      <c r="CKX219" s="212"/>
      <c r="CKY219" s="212"/>
      <c r="CKZ219" s="212"/>
      <c r="CLA219" s="212"/>
      <c r="CLB219" s="212"/>
      <c r="CLC219" s="212"/>
      <c r="CLD219" s="212"/>
      <c r="CLE219" s="212"/>
      <c r="CLF219" s="212"/>
      <c r="CLG219" s="212"/>
      <c r="CLH219" s="212"/>
      <c r="CLI219" s="212"/>
      <c r="CLJ219" s="212"/>
      <c r="CLK219" s="212"/>
      <c r="CLL219" s="212"/>
      <c r="CLM219" s="212"/>
      <c r="CLN219" s="212"/>
      <c r="CLO219" s="212"/>
      <c r="CLP219" s="212"/>
      <c r="CLQ219" s="212"/>
      <c r="CLR219" s="212"/>
      <c r="CLS219" s="212"/>
      <c r="CLT219" s="212"/>
      <c r="CLU219" s="212"/>
      <c r="CLV219" s="212"/>
      <c r="CLW219" s="212"/>
      <c r="CLX219" s="212"/>
      <c r="CLY219" s="212"/>
      <c r="CLZ219" s="212"/>
      <c r="CMA219" s="212"/>
      <c r="CMB219" s="212"/>
      <c r="CMC219" s="212"/>
      <c r="CMD219" s="212"/>
      <c r="CME219" s="212"/>
      <c r="CMF219" s="212"/>
      <c r="CMG219" s="212"/>
      <c r="CMH219" s="212"/>
      <c r="CMI219" s="212"/>
      <c r="CMJ219" s="214"/>
      <c r="CMK219" s="211"/>
      <c r="CML219" s="212"/>
      <c r="CMM219" s="212"/>
      <c r="CMN219" s="212"/>
      <c r="CMO219" s="212"/>
      <c r="CMP219" s="212"/>
      <c r="CMQ219" s="212"/>
      <c r="CMR219" s="212"/>
      <c r="CMS219" s="212"/>
      <c r="CMT219" s="212"/>
      <c r="CMU219" s="212"/>
      <c r="CMV219" s="212"/>
      <c r="CMW219" s="212"/>
      <c r="CMX219" s="212"/>
      <c r="CMY219" s="212"/>
      <c r="CMZ219" s="212"/>
      <c r="CNA219" s="212"/>
      <c r="CNB219" s="212"/>
      <c r="CNC219" s="212"/>
      <c r="CND219" s="212"/>
      <c r="CNE219" s="212"/>
      <c r="CNF219" s="212"/>
      <c r="CNG219" s="212"/>
      <c r="CNH219" s="212"/>
      <c r="CNI219" s="212"/>
      <c r="CNJ219" s="212"/>
      <c r="CNK219" s="212"/>
      <c r="CNL219" s="212"/>
      <c r="CNM219" s="212"/>
      <c r="CNN219" s="212"/>
      <c r="CNO219" s="212"/>
      <c r="CNP219" s="212"/>
      <c r="CNQ219" s="212"/>
      <c r="CNR219" s="212"/>
      <c r="CNS219" s="212"/>
      <c r="CNT219" s="212"/>
      <c r="CNU219" s="212"/>
      <c r="CNV219" s="212"/>
      <c r="CNW219" s="212"/>
      <c r="CNX219" s="212"/>
      <c r="CNY219" s="212"/>
      <c r="CNZ219" s="212"/>
      <c r="COA219" s="212"/>
      <c r="COB219" s="214"/>
      <c r="COC219" s="211"/>
      <c r="COD219" s="212"/>
      <c r="COE219" s="212"/>
      <c r="COF219" s="212"/>
      <c r="COG219" s="212"/>
      <c r="COH219" s="212"/>
      <c r="COI219" s="212"/>
      <c r="COJ219" s="212"/>
      <c r="COK219" s="212"/>
      <c r="COL219" s="212"/>
      <c r="COM219" s="212"/>
      <c r="CON219" s="212"/>
      <c r="COO219" s="212"/>
      <c r="COP219" s="212"/>
      <c r="COQ219" s="212"/>
      <c r="COR219" s="212"/>
      <c r="COS219" s="212"/>
      <c r="COT219" s="212"/>
      <c r="COU219" s="212"/>
      <c r="COV219" s="212"/>
      <c r="COW219" s="212"/>
      <c r="COX219" s="212"/>
      <c r="COY219" s="212"/>
      <c r="COZ219" s="212"/>
      <c r="CPA219" s="212"/>
      <c r="CPB219" s="212"/>
      <c r="CPC219" s="212"/>
      <c r="CPD219" s="212"/>
      <c r="CPE219" s="212"/>
      <c r="CPF219" s="212"/>
      <c r="CPG219" s="212"/>
      <c r="CPH219" s="212"/>
      <c r="CPI219" s="212"/>
      <c r="CPJ219" s="212"/>
      <c r="CPK219" s="212"/>
      <c r="CPL219" s="212"/>
      <c r="CPM219" s="212"/>
      <c r="CPN219" s="212"/>
      <c r="CPO219" s="212"/>
      <c r="CPP219" s="212"/>
      <c r="CPQ219" s="212"/>
      <c r="CPR219" s="212"/>
      <c r="CPS219" s="212"/>
      <c r="CPT219" s="214"/>
      <c r="CPU219" s="211"/>
      <c r="CPV219" s="212"/>
      <c r="CPW219" s="212"/>
      <c r="CPX219" s="212"/>
      <c r="CPY219" s="212"/>
      <c r="CPZ219" s="212"/>
      <c r="CQA219" s="212"/>
      <c r="CQB219" s="212"/>
      <c r="CQC219" s="212"/>
      <c r="CQD219" s="212"/>
      <c r="CQE219" s="212"/>
      <c r="CQF219" s="212"/>
      <c r="CQG219" s="212"/>
      <c r="CQH219" s="212"/>
      <c r="CQI219" s="212"/>
      <c r="CQJ219" s="212"/>
      <c r="CQK219" s="212"/>
      <c r="CQL219" s="212"/>
      <c r="CQM219" s="212"/>
      <c r="CQN219" s="212"/>
      <c r="CQO219" s="212"/>
      <c r="CQP219" s="212"/>
      <c r="CQQ219" s="212"/>
      <c r="CQR219" s="212"/>
      <c r="CQS219" s="212"/>
      <c r="CQT219" s="212"/>
      <c r="CQU219" s="212"/>
      <c r="CQV219" s="212"/>
      <c r="CQW219" s="212"/>
      <c r="CQX219" s="212"/>
      <c r="CQY219" s="212"/>
      <c r="CQZ219" s="212"/>
      <c r="CRA219" s="212"/>
      <c r="CRB219" s="212"/>
      <c r="CRC219" s="212"/>
      <c r="CRD219" s="212"/>
      <c r="CRE219" s="212"/>
      <c r="CRF219" s="212"/>
      <c r="CRG219" s="212"/>
      <c r="CRH219" s="212"/>
      <c r="CRI219" s="212"/>
      <c r="CRJ219" s="212"/>
      <c r="CRK219" s="212"/>
      <c r="CRL219" s="214"/>
      <c r="CRM219" s="211"/>
      <c r="CRN219" s="212"/>
      <c r="CRO219" s="212"/>
      <c r="CRP219" s="212"/>
      <c r="CRQ219" s="212"/>
      <c r="CRR219" s="212"/>
      <c r="CRS219" s="212"/>
      <c r="CRT219" s="212"/>
      <c r="CRU219" s="212"/>
      <c r="CRV219" s="212"/>
      <c r="CRW219" s="212"/>
      <c r="CRX219" s="212"/>
      <c r="CRY219" s="212"/>
      <c r="CRZ219" s="212"/>
      <c r="CSA219" s="212"/>
      <c r="CSB219" s="212"/>
      <c r="CSC219" s="212"/>
      <c r="CSD219" s="212"/>
      <c r="CSE219" s="212"/>
      <c r="CSF219" s="212"/>
      <c r="CSG219" s="212"/>
      <c r="CSH219" s="212"/>
      <c r="CSI219" s="212"/>
      <c r="CSJ219" s="212"/>
      <c r="CSK219" s="212"/>
      <c r="CSL219" s="212"/>
      <c r="CSM219" s="212"/>
      <c r="CSN219" s="212"/>
      <c r="CSO219" s="212"/>
      <c r="CSP219" s="212"/>
      <c r="CSQ219" s="212"/>
      <c r="CSR219" s="212"/>
      <c r="CSS219" s="212"/>
      <c r="CST219" s="212"/>
      <c r="CSU219" s="212"/>
      <c r="CSV219" s="212"/>
      <c r="CSW219" s="212"/>
      <c r="CSX219" s="212"/>
      <c r="CSY219" s="212"/>
      <c r="CSZ219" s="212"/>
      <c r="CTA219" s="212"/>
      <c r="CTB219" s="212"/>
      <c r="CTC219" s="212"/>
      <c r="CTD219" s="214"/>
      <c r="CTE219" s="211"/>
      <c r="CTF219" s="212"/>
      <c r="CTG219" s="212"/>
      <c r="CTH219" s="212"/>
      <c r="CTI219" s="212"/>
      <c r="CTJ219" s="212"/>
      <c r="CTK219" s="212"/>
      <c r="CTL219" s="212"/>
      <c r="CTM219" s="212"/>
      <c r="CTN219" s="212"/>
      <c r="CTO219" s="212"/>
      <c r="CTP219" s="212"/>
      <c r="CTQ219" s="212"/>
      <c r="CTR219" s="212"/>
      <c r="CTS219" s="212"/>
      <c r="CTT219" s="212"/>
      <c r="CTU219" s="212"/>
      <c r="CTV219" s="212"/>
      <c r="CTW219" s="212"/>
      <c r="CTX219" s="212"/>
      <c r="CTY219" s="212"/>
      <c r="CTZ219" s="212"/>
      <c r="CUA219" s="212"/>
      <c r="CUB219" s="212"/>
      <c r="CUC219" s="212"/>
      <c r="CUD219" s="212"/>
      <c r="CUE219" s="212"/>
      <c r="CUF219" s="212"/>
      <c r="CUG219" s="212"/>
      <c r="CUH219" s="212"/>
      <c r="CUI219" s="212"/>
      <c r="CUJ219" s="212"/>
      <c r="CUK219" s="212"/>
      <c r="CUL219" s="212"/>
      <c r="CUM219" s="212"/>
      <c r="CUN219" s="212"/>
      <c r="CUO219" s="212"/>
      <c r="CUP219" s="212"/>
      <c r="CUQ219" s="212"/>
      <c r="CUR219" s="212"/>
      <c r="CUS219" s="212"/>
      <c r="CUT219" s="212"/>
      <c r="CUU219" s="212"/>
      <c r="CUV219" s="214"/>
      <c r="CUW219" s="211"/>
      <c r="CUX219" s="212"/>
      <c r="CUY219" s="212"/>
      <c r="CUZ219" s="212"/>
      <c r="CVA219" s="212"/>
      <c r="CVB219" s="212"/>
      <c r="CVC219" s="212"/>
      <c r="CVD219" s="212"/>
      <c r="CVE219" s="212"/>
      <c r="CVF219" s="212"/>
      <c r="CVG219" s="212"/>
      <c r="CVH219" s="212"/>
      <c r="CVI219" s="212"/>
      <c r="CVJ219" s="212"/>
      <c r="CVK219" s="212"/>
      <c r="CVL219" s="212"/>
      <c r="CVM219" s="212"/>
      <c r="CVN219" s="212"/>
      <c r="CVO219" s="212"/>
      <c r="CVP219" s="212"/>
      <c r="CVQ219" s="212"/>
      <c r="CVR219" s="212"/>
      <c r="CVS219" s="212"/>
      <c r="CVT219" s="212"/>
      <c r="CVU219" s="212"/>
      <c r="CVV219" s="212"/>
      <c r="CVW219" s="212"/>
      <c r="CVX219" s="212"/>
      <c r="CVY219" s="212"/>
      <c r="CVZ219" s="212"/>
      <c r="CWA219" s="212"/>
      <c r="CWB219" s="212"/>
      <c r="CWC219" s="212"/>
      <c r="CWD219" s="212"/>
      <c r="CWE219" s="212"/>
      <c r="CWF219" s="212"/>
      <c r="CWG219" s="212"/>
      <c r="CWH219" s="212"/>
      <c r="CWI219" s="212"/>
      <c r="CWJ219" s="212"/>
      <c r="CWK219" s="212"/>
      <c r="CWL219" s="212"/>
      <c r="CWM219" s="212"/>
      <c r="CWN219" s="214"/>
      <c r="CWO219" s="211"/>
      <c r="CWP219" s="212"/>
      <c r="CWQ219" s="212"/>
      <c r="CWR219" s="212"/>
      <c r="CWS219" s="212"/>
      <c r="CWT219" s="212"/>
      <c r="CWU219" s="212"/>
      <c r="CWV219" s="212"/>
      <c r="CWW219" s="212"/>
      <c r="CWX219" s="212"/>
      <c r="CWY219" s="212"/>
      <c r="CWZ219" s="212"/>
      <c r="CXA219" s="212"/>
      <c r="CXB219" s="212"/>
      <c r="CXC219" s="212"/>
      <c r="CXD219" s="212"/>
      <c r="CXE219" s="212"/>
      <c r="CXF219" s="212"/>
      <c r="CXG219" s="212"/>
      <c r="CXH219" s="212"/>
      <c r="CXI219" s="212"/>
      <c r="CXJ219" s="212"/>
      <c r="CXK219" s="212"/>
      <c r="CXL219" s="212"/>
      <c r="CXM219" s="212"/>
      <c r="CXN219" s="212"/>
      <c r="CXO219" s="212"/>
      <c r="CXP219" s="212"/>
      <c r="CXQ219" s="212"/>
      <c r="CXR219" s="212"/>
      <c r="CXS219" s="212"/>
      <c r="CXT219" s="212"/>
      <c r="CXU219" s="212"/>
      <c r="CXV219" s="212"/>
      <c r="CXW219" s="212"/>
      <c r="CXX219" s="212"/>
      <c r="CXY219" s="212"/>
      <c r="CXZ219" s="212"/>
      <c r="CYA219" s="212"/>
      <c r="CYB219" s="212"/>
      <c r="CYC219" s="212"/>
      <c r="CYD219" s="212"/>
      <c r="CYE219" s="212"/>
      <c r="CYF219" s="214"/>
      <c r="CYG219" s="211"/>
      <c r="CYH219" s="212"/>
      <c r="CYI219" s="212"/>
      <c r="CYJ219" s="212"/>
      <c r="CYK219" s="212"/>
      <c r="CYL219" s="212"/>
      <c r="CYM219" s="212"/>
      <c r="CYN219" s="212"/>
      <c r="CYO219" s="212"/>
      <c r="CYP219" s="212"/>
      <c r="CYQ219" s="212"/>
      <c r="CYR219" s="212"/>
      <c r="CYS219" s="212"/>
      <c r="CYT219" s="212"/>
      <c r="CYU219" s="212"/>
      <c r="CYV219" s="212"/>
      <c r="CYW219" s="212"/>
      <c r="CYX219" s="212"/>
      <c r="CYY219" s="212"/>
      <c r="CYZ219" s="212"/>
      <c r="CZA219" s="212"/>
      <c r="CZB219" s="212"/>
      <c r="CZC219" s="212"/>
      <c r="CZD219" s="212"/>
      <c r="CZE219" s="212"/>
      <c r="CZF219" s="212"/>
      <c r="CZG219" s="212"/>
      <c r="CZH219" s="212"/>
      <c r="CZI219" s="212"/>
      <c r="CZJ219" s="212"/>
      <c r="CZK219" s="212"/>
      <c r="CZL219" s="212"/>
      <c r="CZM219" s="212"/>
      <c r="CZN219" s="212"/>
      <c r="CZO219" s="212"/>
      <c r="CZP219" s="212"/>
      <c r="CZQ219" s="212"/>
      <c r="CZR219" s="212"/>
      <c r="CZS219" s="212"/>
      <c r="CZT219" s="212"/>
      <c r="CZU219" s="212"/>
      <c r="CZV219" s="212"/>
      <c r="CZW219" s="212"/>
      <c r="CZX219" s="214"/>
      <c r="CZY219" s="211"/>
      <c r="CZZ219" s="212"/>
      <c r="DAA219" s="212"/>
      <c r="DAB219" s="212"/>
      <c r="DAC219" s="212"/>
      <c r="DAD219" s="212"/>
      <c r="DAE219" s="212"/>
      <c r="DAF219" s="212"/>
      <c r="DAG219" s="212"/>
      <c r="DAH219" s="212"/>
      <c r="DAI219" s="212"/>
      <c r="DAJ219" s="212"/>
      <c r="DAK219" s="212"/>
      <c r="DAL219" s="212"/>
      <c r="DAM219" s="212"/>
      <c r="DAN219" s="212"/>
      <c r="DAO219" s="212"/>
      <c r="DAP219" s="212"/>
      <c r="DAQ219" s="212"/>
      <c r="DAR219" s="212"/>
      <c r="DAS219" s="212"/>
      <c r="DAT219" s="212"/>
      <c r="DAU219" s="212"/>
      <c r="DAV219" s="212"/>
      <c r="DAW219" s="212"/>
      <c r="DAX219" s="212"/>
      <c r="DAY219" s="212"/>
      <c r="DAZ219" s="212"/>
      <c r="DBA219" s="212"/>
      <c r="DBB219" s="212"/>
      <c r="DBC219" s="212"/>
      <c r="DBD219" s="212"/>
      <c r="DBE219" s="212"/>
      <c r="DBF219" s="212"/>
      <c r="DBG219" s="212"/>
      <c r="DBH219" s="212"/>
      <c r="DBI219" s="212"/>
      <c r="DBJ219" s="212"/>
      <c r="DBK219" s="212"/>
      <c r="DBL219" s="212"/>
      <c r="DBM219" s="212"/>
      <c r="DBN219" s="212"/>
      <c r="DBO219" s="212"/>
      <c r="DBP219" s="214"/>
      <c r="DBQ219" s="211"/>
      <c r="DBR219" s="212"/>
      <c r="DBS219" s="212"/>
      <c r="DBT219" s="212"/>
      <c r="DBU219" s="212"/>
      <c r="DBV219" s="212"/>
      <c r="DBW219" s="212"/>
      <c r="DBX219" s="212"/>
      <c r="DBY219" s="212"/>
      <c r="DBZ219" s="212"/>
      <c r="DCA219" s="212"/>
      <c r="DCB219" s="212"/>
      <c r="DCC219" s="212"/>
      <c r="DCD219" s="212"/>
      <c r="DCE219" s="212"/>
      <c r="DCF219" s="212"/>
      <c r="DCG219" s="212"/>
      <c r="DCH219" s="212"/>
      <c r="DCI219" s="212"/>
      <c r="DCJ219" s="212"/>
      <c r="DCK219" s="212"/>
      <c r="DCL219" s="212"/>
      <c r="DCM219" s="212"/>
      <c r="DCN219" s="212"/>
      <c r="DCO219" s="212"/>
      <c r="DCP219" s="212"/>
      <c r="DCQ219" s="212"/>
      <c r="DCR219" s="212"/>
      <c r="DCS219" s="212"/>
      <c r="DCT219" s="212"/>
      <c r="DCU219" s="212"/>
      <c r="DCV219" s="212"/>
      <c r="DCW219" s="212"/>
      <c r="DCX219" s="212"/>
      <c r="DCY219" s="212"/>
      <c r="DCZ219" s="212"/>
      <c r="DDA219" s="212"/>
      <c r="DDB219" s="212"/>
      <c r="DDC219" s="212"/>
      <c r="DDD219" s="212"/>
      <c r="DDE219" s="212"/>
      <c r="DDF219" s="212"/>
      <c r="DDG219" s="212"/>
      <c r="DDH219" s="214"/>
      <c r="DDI219" s="211"/>
      <c r="DDJ219" s="212"/>
      <c r="DDK219" s="212"/>
      <c r="DDL219" s="212"/>
      <c r="DDM219" s="212"/>
      <c r="DDN219" s="212"/>
      <c r="DDO219" s="212"/>
      <c r="DDP219" s="212"/>
      <c r="DDQ219" s="212"/>
      <c r="DDR219" s="212"/>
      <c r="DDS219" s="212"/>
      <c r="DDT219" s="212"/>
      <c r="DDU219" s="212"/>
      <c r="DDV219" s="212"/>
      <c r="DDW219" s="212"/>
      <c r="DDX219" s="212"/>
      <c r="DDY219" s="212"/>
      <c r="DDZ219" s="212"/>
      <c r="DEA219" s="212"/>
      <c r="DEB219" s="212"/>
      <c r="DEC219" s="212"/>
      <c r="DED219" s="212"/>
      <c r="DEE219" s="212"/>
      <c r="DEF219" s="212"/>
      <c r="DEG219" s="212"/>
      <c r="DEH219" s="212"/>
      <c r="DEI219" s="212"/>
      <c r="DEJ219" s="212"/>
      <c r="DEK219" s="212"/>
      <c r="DEL219" s="212"/>
      <c r="DEM219" s="212"/>
      <c r="DEN219" s="212"/>
      <c r="DEO219" s="212"/>
      <c r="DEP219" s="212"/>
      <c r="DEQ219" s="212"/>
      <c r="DER219" s="212"/>
      <c r="DES219" s="212"/>
      <c r="DET219" s="212"/>
      <c r="DEU219" s="212"/>
      <c r="DEV219" s="212"/>
      <c r="DEW219" s="212"/>
      <c r="DEX219" s="212"/>
      <c r="DEY219" s="212"/>
      <c r="DEZ219" s="214"/>
      <c r="DFA219" s="211"/>
      <c r="DFB219" s="212"/>
      <c r="DFC219" s="212"/>
      <c r="DFD219" s="212"/>
      <c r="DFE219" s="212"/>
      <c r="DFF219" s="212"/>
      <c r="DFG219" s="212"/>
      <c r="DFH219" s="212"/>
      <c r="DFI219" s="212"/>
      <c r="DFJ219" s="212"/>
      <c r="DFK219" s="212"/>
      <c r="DFL219" s="212"/>
      <c r="DFM219" s="212"/>
      <c r="DFN219" s="212"/>
      <c r="DFO219" s="212"/>
      <c r="DFP219" s="212"/>
      <c r="DFQ219" s="212"/>
      <c r="DFR219" s="212"/>
      <c r="DFS219" s="212"/>
      <c r="DFT219" s="212"/>
      <c r="DFU219" s="212"/>
      <c r="DFV219" s="212"/>
      <c r="DFW219" s="212"/>
      <c r="DFX219" s="212"/>
      <c r="DFY219" s="212"/>
      <c r="DFZ219" s="212"/>
      <c r="DGA219" s="212"/>
      <c r="DGB219" s="212"/>
      <c r="DGC219" s="212"/>
      <c r="DGD219" s="212"/>
      <c r="DGE219" s="212"/>
      <c r="DGF219" s="212"/>
      <c r="DGG219" s="212"/>
      <c r="DGH219" s="212"/>
      <c r="DGI219" s="212"/>
      <c r="DGJ219" s="212"/>
      <c r="DGK219" s="212"/>
      <c r="DGL219" s="212"/>
      <c r="DGM219" s="212"/>
      <c r="DGN219" s="212"/>
      <c r="DGO219" s="212"/>
      <c r="DGP219" s="212"/>
      <c r="DGQ219" s="212"/>
      <c r="DGR219" s="214"/>
      <c r="DGS219" s="211"/>
      <c r="DGT219" s="212"/>
      <c r="DGU219" s="212"/>
      <c r="DGV219" s="212"/>
      <c r="DGW219" s="212"/>
      <c r="DGX219" s="212"/>
      <c r="DGY219" s="212"/>
      <c r="DGZ219" s="212"/>
      <c r="DHA219" s="212"/>
      <c r="DHB219" s="212"/>
      <c r="DHC219" s="212"/>
      <c r="DHD219" s="212"/>
      <c r="DHE219" s="212"/>
      <c r="DHF219" s="212"/>
      <c r="DHG219" s="212"/>
      <c r="DHH219" s="212"/>
      <c r="DHI219" s="212"/>
      <c r="DHJ219" s="212"/>
      <c r="DHK219" s="212"/>
      <c r="DHL219" s="212"/>
      <c r="DHM219" s="212"/>
      <c r="DHN219" s="212"/>
      <c r="DHO219" s="212"/>
      <c r="DHP219" s="212"/>
      <c r="DHQ219" s="212"/>
      <c r="DHR219" s="212"/>
      <c r="DHS219" s="212"/>
      <c r="DHT219" s="212"/>
      <c r="DHU219" s="212"/>
      <c r="DHV219" s="212"/>
      <c r="DHW219" s="212"/>
      <c r="DHX219" s="212"/>
      <c r="DHY219" s="212"/>
      <c r="DHZ219" s="212"/>
      <c r="DIA219" s="212"/>
      <c r="DIB219" s="212"/>
      <c r="DIC219" s="212"/>
      <c r="DID219" s="212"/>
      <c r="DIE219" s="212"/>
      <c r="DIF219" s="212"/>
      <c r="DIG219" s="212"/>
      <c r="DIH219" s="212"/>
      <c r="DII219" s="212"/>
      <c r="DIJ219" s="214"/>
      <c r="DIK219" s="211"/>
      <c r="DIL219" s="212"/>
      <c r="DIM219" s="212"/>
      <c r="DIN219" s="212"/>
      <c r="DIO219" s="212"/>
      <c r="DIP219" s="212"/>
      <c r="DIQ219" s="212"/>
      <c r="DIR219" s="212"/>
      <c r="DIS219" s="212"/>
      <c r="DIT219" s="212"/>
      <c r="DIU219" s="212"/>
      <c r="DIV219" s="212"/>
      <c r="DIW219" s="212"/>
      <c r="DIX219" s="212"/>
      <c r="DIY219" s="212"/>
      <c r="DIZ219" s="212"/>
      <c r="DJA219" s="212"/>
      <c r="DJB219" s="212"/>
      <c r="DJC219" s="212"/>
      <c r="DJD219" s="212"/>
      <c r="DJE219" s="212"/>
      <c r="DJF219" s="212"/>
      <c r="DJG219" s="212"/>
      <c r="DJH219" s="212"/>
      <c r="DJI219" s="212"/>
      <c r="DJJ219" s="212"/>
      <c r="DJK219" s="212"/>
      <c r="DJL219" s="212"/>
      <c r="DJM219" s="212"/>
      <c r="DJN219" s="212"/>
      <c r="DJO219" s="212"/>
      <c r="DJP219" s="212"/>
      <c r="DJQ219" s="212"/>
      <c r="DJR219" s="212"/>
      <c r="DJS219" s="212"/>
      <c r="DJT219" s="212"/>
      <c r="DJU219" s="212"/>
      <c r="DJV219" s="212"/>
      <c r="DJW219" s="212"/>
      <c r="DJX219" s="212"/>
      <c r="DJY219" s="212"/>
      <c r="DJZ219" s="212"/>
      <c r="DKA219" s="212"/>
      <c r="DKB219" s="214"/>
      <c r="DKC219" s="211"/>
      <c r="DKD219" s="212"/>
      <c r="DKE219" s="212"/>
      <c r="DKF219" s="212"/>
      <c r="DKG219" s="212"/>
      <c r="DKH219" s="212"/>
      <c r="DKI219" s="212"/>
      <c r="DKJ219" s="212"/>
      <c r="DKK219" s="212"/>
      <c r="DKL219" s="212"/>
      <c r="DKM219" s="212"/>
      <c r="DKN219" s="212"/>
      <c r="DKO219" s="212"/>
      <c r="DKP219" s="212"/>
      <c r="DKQ219" s="212"/>
      <c r="DKR219" s="212"/>
      <c r="DKS219" s="212"/>
      <c r="DKT219" s="212"/>
      <c r="DKU219" s="212"/>
      <c r="DKV219" s="212"/>
      <c r="DKW219" s="212"/>
      <c r="DKX219" s="212"/>
      <c r="DKY219" s="212"/>
      <c r="DKZ219" s="212"/>
      <c r="DLA219" s="212"/>
      <c r="DLB219" s="212"/>
      <c r="DLC219" s="212"/>
      <c r="DLD219" s="212"/>
      <c r="DLE219" s="212"/>
      <c r="DLF219" s="212"/>
      <c r="DLG219" s="212"/>
      <c r="DLH219" s="212"/>
      <c r="DLI219" s="212"/>
      <c r="DLJ219" s="212"/>
      <c r="DLK219" s="212"/>
      <c r="DLL219" s="212"/>
      <c r="DLM219" s="212"/>
      <c r="DLN219" s="212"/>
      <c r="DLO219" s="212"/>
      <c r="DLP219" s="212"/>
      <c r="DLQ219" s="212"/>
      <c r="DLR219" s="212"/>
      <c r="DLS219" s="212"/>
      <c r="DLT219" s="214"/>
      <c r="DLU219" s="211"/>
      <c r="DLV219" s="212"/>
      <c r="DLW219" s="212"/>
      <c r="DLX219" s="212"/>
      <c r="DLY219" s="212"/>
      <c r="DLZ219" s="212"/>
      <c r="DMA219" s="212"/>
      <c r="DMB219" s="212"/>
      <c r="DMC219" s="212"/>
      <c r="DMD219" s="212"/>
      <c r="DME219" s="212"/>
      <c r="DMF219" s="212"/>
      <c r="DMG219" s="212"/>
      <c r="DMH219" s="212"/>
      <c r="DMI219" s="212"/>
      <c r="DMJ219" s="212"/>
      <c r="DMK219" s="212"/>
      <c r="DML219" s="212"/>
      <c r="DMM219" s="212"/>
      <c r="DMN219" s="212"/>
      <c r="DMO219" s="212"/>
      <c r="DMP219" s="212"/>
      <c r="DMQ219" s="212"/>
      <c r="DMR219" s="212"/>
      <c r="DMS219" s="212"/>
      <c r="DMT219" s="212"/>
      <c r="DMU219" s="212"/>
      <c r="DMV219" s="212"/>
      <c r="DMW219" s="212"/>
      <c r="DMX219" s="212"/>
      <c r="DMY219" s="212"/>
      <c r="DMZ219" s="212"/>
      <c r="DNA219" s="212"/>
      <c r="DNB219" s="212"/>
      <c r="DNC219" s="212"/>
      <c r="DND219" s="212"/>
      <c r="DNE219" s="212"/>
      <c r="DNF219" s="212"/>
      <c r="DNG219" s="212"/>
      <c r="DNH219" s="212"/>
      <c r="DNI219" s="212"/>
      <c r="DNJ219" s="212"/>
      <c r="DNK219" s="212"/>
      <c r="DNL219" s="214"/>
      <c r="DNM219" s="211"/>
      <c r="DNN219" s="212"/>
      <c r="DNO219" s="212"/>
      <c r="DNP219" s="212"/>
      <c r="DNQ219" s="212"/>
      <c r="DNR219" s="212"/>
      <c r="DNS219" s="212"/>
      <c r="DNT219" s="212"/>
      <c r="DNU219" s="212"/>
      <c r="DNV219" s="212"/>
      <c r="DNW219" s="212"/>
      <c r="DNX219" s="212"/>
      <c r="DNY219" s="212"/>
      <c r="DNZ219" s="212"/>
      <c r="DOA219" s="212"/>
      <c r="DOB219" s="212"/>
      <c r="DOC219" s="212"/>
      <c r="DOD219" s="212"/>
      <c r="DOE219" s="212"/>
      <c r="DOF219" s="212"/>
      <c r="DOG219" s="212"/>
      <c r="DOH219" s="212"/>
      <c r="DOI219" s="212"/>
      <c r="DOJ219" s="212"/>
      <c r="DOK219" s="212"/>
      <c r="DOL219" s="212"/>
      <c r="DOM219" s="212"/>
      <c r="DON219" s="212"/>
      <c r="DOO219" s="212"/>
      <c r="DOP219" s="212"/>
      <c r="DOQ219" s="212"/>
      <c r="DOR219" s="212"/>
      <c r="DOS219" s="212"/>
      <c r="DOT219" s="212"/>
      <c r="DOU219" s="212"/>
      <c r="DOV219" s="212"/>
      <c r="DOW219" s="212"/>
      <c r="DOX219" s="212"/>
      <c r="DOY219" s="212"/>
      <c r="DOZ219" s="212"/>
      <c r="DPA219" s="212"/>
      <c r="DPB219" s="212"/>
      <c r="DPC219" s="212"/>
      <c r="DPD219" s="214"/>
      <c r="DPE219" s="211"/>
      <c r="DPF219" s="212"/>
      <c r="DPG219" s="212"/>
      <c r="DPH219" s="212"/>
      <c r="DPI219" s="212"/>
      <c r="DPJ219" s="212"/>
      <c r="DPK219" s="212"/>
      <c r="DPL219" s="212"/>
      <c r="DPM219" s="212"/>
      <c r="DPN219" s="212"/>
      <c r="DPO219" s="212"/>
      <c r="DPP219" s="212"/>
      <c r="DPQ219" s="212"/>
      <c r="DPR219" s="212"/>
      <c r="DPS219" s="212"/>
      <c r="DPT219" s="212"/>
      <c r="DPU219" s="212"/>
      <c r="DPV219" s="212"/>
      <c r="DPW219" s="212"/>
      <c r="DPX219" s="212"/>
      <c r="DPY219" s="212"/>
      <c r="DPZ219" s="212"/>
      <c r="DQA219" s="212"/>
      <c r="DQB219" s="212"/>
      <c r="DQC219" s="212"/>
      <c r="DQD219" s="212"/>
      <c r="DQE219" s="212"/>
      <c r="DQF219" s="212"/>
      <c r="DQG219" s="212"/>
      <c r="DQH219" s="212"/>
      <c r="DQI219" s="212"/>
      <c r="DQJ219" s="212"/>
      <c r="DQK219" s="212"/>
      <c r="DQL219" s="212"/>
      <c r="DQM219" s="212"/>
      <c r="DQN219" s="212"/>
      <c r="DQO219" s="212"/>
      <c r="DQP219" s="212"/>
      <c r="DQQ219" s="212"/>
      <c r="DQR219" s="212"/>
      <c r="DQS219" s="212"/>
      <c r="DQT219" s="212"/>
      <c r="DQU219" s="212"/>
      <c r="DQV219" s="214"/>
      <c r="DQW219" s="211"/>
      <c r="DQX219" s="212"/>
      <c r="DQY219" s="212"/>
      <c r="DQZ219" s="212"/>
      <c r="DRA219" s="212"/>
      <c r="DRB219" s="212"/>
      <c r="DRC219" s="212"/>
      <c r="DRD219" s="212"/>
      <c r="DRE219" s="212"/>
      <c r="DRF219" s="212"/>
      <c r="DRG219" s="212"/>
      <c r="DRH219" s="212"/>
      <c r="DRI219" s="212"/>
      <c r="DRJ219" s="212"/>
      <c r="DRK219" s="212"/>
      <c r="DRL219" s="212"/>
      <c r="DRM219" s="212"/>
      <c r="DRN219" s="212"/>
      <c r="DRO219" s="212"/>
      <c r="DRP219" s="212"/>
      <c r="DRQ219" s="212"/>
      <c r="DRR219" s="212"/>
      <c r="DRS219" s="212"/>
      <c r="DRT219" s="212"/>
      <c r="DRU219" s="212"/>
      <c r="DRV219" s="212"/>
      <c r="DRW219" s="212"/>
      <c r="DRX219" s="212"/>
      <c r="DRY219" s="212"/>
      <c r="DRZ219" s="212"/>
      <c r="DSA219" s="212"/>
      <c r="DSB219" s="212"/>
      <c r="DSC219" s="212"/>
      <c r="DSD219" s="212"/>
      <c r="DSE219" s="212"/>
      <c r="DSF219" s="212"/>
      <c r="DSG219" s="212"/>
      <c r="DSH219" s="212"/>
      <c r="DSI219" s="212"/>
      <c r="DSJ219" s="212"/>
      <c r="DSK219" s="212"/>
      <c r="DSL219" s="212"/>
      <c r="DSM219" s="212"/>
      <c r="DSN219" s="214"/>
      <c r="DSO219" s="211"/>
      <c r="DSP219" s="212"/>
      <c r="DSQ219" s="212"/>
      <c r="DSR219" s="212"/>
      <c r="DSS219" s="212"/>
      <c r="DST219" s="212"/>
      <c r="DSU219" s="212"/>
      <c r="DSV219" s="212"/>
      <c r="DSW219" s="212"/>
      <c r="DSX219" s="212"/>
      <c r="DSY219" s="212"/>
      <c r="DSZ219" s="212"/>
      <c r="DTA219" s="212"/>
      <c r="DTB219" s="212"/>
      <c r="DTC219" s="212"/>
      <c r="DTD219" s="212"/>
      <c r="DTE219" s="212"/>
      <c r="DTF219" s="212"/>
      <c r="DTG219" s="212"/>
      <c r="DTH219" s="212"/>
      <c r="DTI219" s="212"/>
      <c r="DTJ219" s="212"/>
      <c r="DTK219" s="212"/>
      <c r="DTL219" s="212"/>
      <c r="DTM219" s="212"/>
      <c r="DTN219" s="212"/>
      <c r="DTO219" s="212"/>
      <c r="DTP219" s="212"/>
      <c r="DTQ219" s="212"/>
      <c r="DTR219" s="212"/>
      <c r="DTS219" s="212"/>
      <c r="DTT219" s="212"/>
      <c r="DTU219" s="212"/>
      <c r="DTV219" s="212"/>
      <c r="DTW219" s="212"/>
      <c r="DTX219" s="212"/>
      <c r="DTY219" s="212"/>
      <c r="DTZ219" s="212"/>
      <c r="DUA219" s="212"/>
      <c r="DUB219" s="212"/>
      <c r="DUC219" s="212"/>
      <c r="DUD219" s="212"/>
      <c r="DUE219" s="212"/>
      <c r="DUF219" s="214"/>
      <c r="DUG219" s="211"/>
      <c r="DUH219" s="212"/>
      <c r="DUI219" s="212"/>
      <c r="DUJ219" s="212"/>
      <c r="DUK219" s="212"/>
      <c r="DUL219" s="212"/>
      <c r="DUM219" s="212"/>
      <c r="DUN219" s="212"/>
      <c r="DUO219" s="212"/>
      <c r="DUP219" s="212"/>
      <c r="DUQ219" s="212"/>
      <c r="DUR219" s="212"/>
      <c r="DUS219" s="212"/>
      <c r="DUT219" s="212"/>
      <c r="DUU219" s="212"/>
      <c r="DUV219" s="212"/>
      <c r="DUW219" s="212"/>
      <c r="DUX219" s="212"/>
      <c r="DUY219" s="212"/>
      <c r="DUZ219" s="212"/>
      <c r="DVA219" s="212"/>
      <c r="DVB219" s="212"/>
      <c r="DVC219" s="212"/>
      <c r="DVD219" s="212"/>
      <c r="DVE219" s="212"/>
      <c r="DVF219" s="212"/>
      <c r="DVG219" s="212"/>
      <c r="DVH219" s="212"/>
      <c r="DVI219" s="212"/>
      <c r="DVJ219" s="212"/>
      <c r="DVK219" s="212"/>
      <c r="DVL219" s="212"/>
      <c r="DVM219" s="212"/>
      <c r="DVN219" s="212"/>
      <c r="DVO219" s="212"/>
      <c r="DVP219" s="212"/>
      <c r="DVQ219" s="212"/>
      <c r="DVR219" s="212"/>
      <c r="DVS219" s="212"/>
      <c r="DVT219" s="212"/>
      <c r="DVU219" s="212"/>
      <c r="DVV219" s="212"/>
      <c r="DVW219" s="212"/>
      <c r="DVX219" s="214"/>
      <c r="DVY219" s="211"/>
      <c r="DVZ219" s="212"/>
      <c r="DWA219" s="212"/>
      <c r="DWB219" s="212"/>
      <c r="DWC219" s="212"/>
      <c r="DWD219" s="212"/>
      <c r="DWE219" s="212"/>
      <c r="DWF219" s="212"/>
      <c r="DWG219" s="212"/>
      <c r="DWH219" s="212"/>
      <c r="DWI219" s="212"/>
      <c r="DWJ219" s="212"/>
      <c r="DWK219" s="212"/>
      <c r="DWL219" s="212"/>
      <c r="DWM219" s="212"/>
      <c r="DWN219" s="212"/>
      <c r="DWO219" s="212"/>
      <c r="DWP219" s="212"/>
      <c r="DWQ219" s="212"/>
      <c r="DWR219" s="212"/>
      <c r="DWS219" s="212"/>
      <c r="DWT219" s="212"/>
      <c r="DWU219" s="212"/>
      <c r="DWV219" s="212"/>
      <c r="DWW219" s="212"/>
      <c r="DWX219" s="212"/>
      <c r="DWY219" s="212"/>
      <c r="DWZ219" s="212"/>
      <c r="DXA219" s="212"/>
      <c r="DXB219" s="212"/>
      <c r="DXC219" s="212"/>
      <c r="DXD219" s="212"/>
      <c r="DXE219" s="212"/>
      <c r="DXF219" s="212"/>
      <c r="DXG219" s="212"/>
      <c r="DXH219" s="212"/>
      <c r="DXI219" s="212"/>
      <c r="DXJ219" s="212"/>
      <c r="DXK219" s="212"/>
      <c r="DXL219" s="212"/>
      <c r="DXM219" s="212"/>
      <c r="DXN219" s="212"/>
      <c r="DXO219" s="212"/>
      <c r="DXP219" s="214"/>
      <c r="DXQ219" s="211"/>
      <c r="DXR219" s="212"/>
      <c r="DXS219" s="212"/>
      <c r="DXT219" s="212"/>
      <c r="DXU219" s="212"/>
      <c r="DXV219" s="212"/>
      <c r="DXW219" s="212"/>
      <c r="DXX219" s="212"/>
      <c r="DXY219" s="212"/>
      <c r="DXZ219" s="212"/>
      <c r="DYA219" s="212"/>
      <c r="DYB219" s="212"/>
      <c r="DYC219" s="212"/>
      <c r="DYD219" s="212"/>
      <c r="DYE219" s="212"/>
      <c r="DYF219" s="212"/>
      <c r="DYG219" s="212"/>
      <c r="DYH219" s="212"/>
      <c r="DYI219" s="212"/>
      <c r="DYJ219" s="212"/>
      <c r="DYK219" s="212"/>
      <c r="DYL219" s="212"/>
      <c r="DYM219" s="212"/>
      <c r="DYN219" s="212"/>
      <c r="DYO219" s="212"/>
      <c r="DYP219" s="212"/>
      <c r="DYQ219" s="212"/>
      <c r="DYR219" s="212"/>
      <c r="DYS219" s="212"/>
      <c r="DYT219" s="212"/>
      <c r="DYU219" s="212"/>
      <c r="DYV219" s="212"/>
      <c r="DYW219" s="212"/>
      <c r="DYX219" s="212"/>
      <c r="DYY219" s="212"/>
      <c r="DYZ219" s="212"/>
      <c r="DZA219" s="212"/>
      <c r="DZB219" s="212"/>
      <c r="DZC219" s="212"/>
      <c r="DZD219" s="212"/>
      <c r="DZE219" s="212"/>
      <c r="DZF219" s="212"/>
      <c r="DZG219" s="212"/>
      <c r="DZH219" s="214"/>
      <c r="DZI219" s="211"/>
      <c r="DZJ219" s="212"/>
      <c r="DZK219" s="212"/>
      <c r="DZL219" s="212"/>
      <c r="DZM219" s="212"/>
      <c r="DZN219" s="212"/>
      <c r="DZO219" s="212"/>
      <c r="DZP219" s="212"/>
      <c r="DZQ219" s="212"/>
      <c r="DZR219" s="212"/>
      <c r="DZS219" s="212"/>
      <c r="DZT219" s="212"/>
      <c r="DZU219" s="212"/>
      <c r="DZV219" s="212"/>
      <c r="DZW219" s="212"/>
      <c r="DZX219" s="212"/>
      <c r="DZY219" s="212"/>
      <c r="DZZ219" s="212"/>
      <c r="EAA219" s="212"/>
      <c r="EAB219" s="212"/>
      <c r="EAC219" s="212"/>
      <c r="EAD219" s="212"/>
      <c r="EAE219" s="212"/>
      <c r="EAF219" s="212"/>
      <c r="EAG219" s="212"/>
      <c r="EAH219" s="212"/>
      <c r="EAI219" s="212"/>
      <c r="EAJ219" s="212"/>
      <c r="EAK219" s="212"/>
      <c r="EAL219" s="212"/>
      <c r="EAM219" s="212"/>
      <c r="EAN219" s="212"/>
      <c r="EAO219" s="212"/>
      <c r="EAP219" s="212"/>
      <c r="EAQ219" s="212"/>
      <c r="EAR219" s="212"/>
      <c r="EAS219" s="212"/>
      <c r="EAT219" s="212"/>
      <c r="EAU219" s="212"/>
      <c r="EAV219" s="212"/>
      <c r="EAW219" s="212"/>
      <c r="EAX219" s="212"/>
      <c r="EAY219" s="212"/>
      <c r="EAZ219" s="214"/>
      <c r="EBA219" s="211"/>
      <c r="EBB219" s="212"/>
      <c r="EBC219" s="212"/>
      <c r="EBD219" s="212"/>
      <c r="EBE219" s="212"/>
      <c r="EBF219" s="212"/>
      <c r="EBG219" s="212"/>
      <c r="EBH219" s="212"/>
      <c r="EBI219" s="212"/>
      <c r="EBJ219" s="212"/>
      <c r="EBK219" s="212"/>
      <c r="EBL219" s="212"/>
      <c r="EBM219" s="212"/>
      <c r="EBN219" s="212"/>
      <c r="EBO219" s="212"/>
      <c r="EBP219" s="212"/>
      <c r="EBQ219" s="212"/>
      <c r="EBR219" s="212"/>
      <c r="EBS219" s="212"/>
      <c r="EBT219" s="212"/>
      <c r="EBU219" s="212"/>
      <c r="EBV219" s="212"/>
      <c r="EBW219" s="212"/>
      <c r="EBX219" s="212"/>
      <c r="EBY219" s="212"/>
      <c r="EBZ219" s="212"/>
      <c r="ECA219" s="212"/>
      <c r="ECB219" s="212"/>
      <c r="ECC219" s="212"/>
      <c r="ECD219" s="212"/>
      <c r="ECE219" s="212"/>
      <c r="ECF219" s="212"/>
      <c r="ECG219" s="212"/>
      <c r="ECH219" s="212"/>
      <c r="ECI219" s="212"/>
      <c r="ECJ219" s="212"/>
      <c r="ECK219" s="212"/>
      <c r="ECL219" s="212"/>
      <c r="ECM219" s="212"/>
      <c r="ECN219" s="212"/>
      <c r="ECO219" s="212"/>
      <c r="ECP219" s="212"/>
      <c r="ECQ219" s="212"/>
      <c r="ECR219" s="214"/>
      <c r="ECS219" s="211"/>
      <c r="ECT219" s="212"/>
      <c r="ECU219" s="212"/>
      <c r="ECV219" s="212"/>
      <c r="ECW219" s="212"/>
      <c r="ECX219" s="212"/>
      <c r="ECY219" s="212"/>
      <c r="ECZ219" s="212"/>
      <c r="EDA219" s="212"/>
      <c r="EDB219" s="212"/>
      <c r="EDC219" s="212"/>
      <c r="EDD219" s="212"/>
      <c r="EDE219" s="212"/>
      <c r="EDF219" s="212"/>
      <c r="EDG219" s="212"/>
      <c r="EDH219" s="212"/>
      <c r="EDI219" s="212"/>
      <c r="EDJ219" s="212"/>
      <c r="EDK219" s="212"/>
      <c r="EDL219" s="212"/>
      <c r="EDM219" s="212"/>
      <c r="EDN219" s="212"/>
      <c r="EDO219" s="212"/>
      <c r="EDP219" s="212"/>
      <c r="EDQ219" s="212"/>
      <c r="EDR219" s="212"/>
      <c r="EDS219" s="212"/>
      <c r="EDT219" s="212"/>
      <c r="EDU219" s="212"/>
      <c r="EDV219" s="212"/>
      <c r="EDW219" s="212"/>
      <c r="EDX219" s="212"/>
      <c r="EDY219" s="212"/>
      <c r="EDZ219" s="212"/>
      <c r="EEA219" s="212"/>
      <c r="EEB219" s="212"/>
      <c r="EEC219" s="212"/>
      <c r="EED219" s="212"/>
      <c r="EEE219" s="212"/>
      <c r="EEF219" s="212"/>
      <c r="EEG219" s="212"/>
      <c r="EEH219" s="212"/>
      <c r="EEI219" s="212"/>
      <c r="EEJ219" s="214"/>
      <c r="EEK219" s="211"/>
      <c r="EEL219" s="212"/>
      <c r="EEM219" s="212"/>
      <c r="EEN219" s="212"/>
      <c r="EEO219" s="212"/>
      <c r="EEP219" s="212"/>
      <c r="EEQ219" s="212"/>
      <c r="EER219" s="212"/>
      <c r="EES219" s="212"/>
      <c r="EET219" s="212"/>
      <c r="EEU219" s="212"/>
      <c r="EEV219" s="212"/>
      <c r="EEW219" s="212"/>
      <c r="EEX219" s="212"/>
      <c r="EEY219" s="212"/>
      <c r="EEZ219" s="212"/>
      <c r="EFA219" s="212"/>
      <c r="EFB219" s="212"/>
      <c r="EFC219" s="212"/>
      <c r="EFD219" s="212"/>
      <c r="EFE219" s="212"/>
      <c r="EFF219" s="212"/>
      <c r="EFG219" s="212"/>
      <c r="EFH219" s="212"/>
      <c r="EFI219" s="212"/>
      <c r="EFJ219" s="212"/>
      <c r="EFK219" s="212"/>
      <c r="EFL219" s="212"/>
      <c r="EFM219" s="212"/>
      <c r="EFN219" s="212"/>
      <c r="EFO219" s="212"/>
      <c r="EFP219" s="212"/>
      <c r="EFQ219" s="212"/>
      <c r="EFR219" s="212"/>
      <c r="EFS219" s="212"/>
      <c r="EFT219" s="212"/>
      <c r="EFU219" s="212"/>
      <c r="EFV219" s="212"/>
      <c r="EFW219" s="212"/>
      <c r="EFX219" s="212"/>
      <c r="EFY219" s="212"/>
      <c r="EFZ219" s="212"/>
      <c r="EGA219" s="212"/>
      <c r="EGB219" s="214"/>
      <c r="EGC219" s="211"/>
      <c r="EGD219" s="212"/>
      <c r="EGE219" s="212"/>
      <c r="EGF219" s="212"/>
      <c r="EGG219" s="212"/>
      <c r="EGH219" s="212"/>
      <c r="EGI219" s="212"/>
      <c r="EGJ219" s="212"/>
      <c r="EGK219" s="212"/>
      <c r="EGL219" s="212"/>
      <c r="EGM219" s="212"/>
      <c r="EGN219" s="212"/>
      <c r="EGO219" s="212"/>
      <c r="EGP219" s="212"/>
      <c r="EGQ219" s="212"/>
      <c r="EGR219" s="212"/>
      <c r="EGS219" s="212"/>
      <c r="EGT219" s="212"/>
      <c r="EGU219" s="212"/>
      <c r="EGV219" s="212"/>
      <c r="EGW219" s="212"/>
      <c r="EGX219" s="212"/>
      <c r="EGY219" s="212"/>
      <c r="EGZ219" s="212"/>
      <c r="EHA219" s="212"/>
      <c r="EHB219" s="212"/>
      <c r="EHC219" s="212"/>
      <c r="EHD219" s="212"/>
      <c r="EHE219" s="212"/>
      <c r="EHF219" s="212"/>
      <c r="EHG219" s="212"/>
      <c r="EHH219" s="212"/>
      <c r="EHI219" s="212"/>
      <c r="EHJ219" s="212"/>
      <c r="EHK219" s="212"/>
      <c r="EHL219" s="212"/>
      <c r="EHM219" s="212"/>
      <c r="EHN219" s="212"/>
      <c r="EHO219" s="212"/>
      <c r="EHP219" s="212"/>
      <c r="EHQ219" s="212"/>
      <c r="EHR219" s="212"/>
      <c r="EHS219" s="212"/>
      <c r="EHT219" s="214"/>
      <c r="EHU219" s="211"/>
      <c r="EHV219" s="212"/>
      <c r="EHW219" s="212"/>
      <c r="EHX219" s="212"/>
      <c r="EHY219" s="212"/>
      <c r="EHZ219" s="212"/>
      <c r="EIA219" s="212"/>
      <c r="EIB219" s="212"/>
      <c r="EIC219" s="212"/>
      <c r="EID219" s="212"/>
      <c r="EIE219" s="212"/>
      <c r="EIF219" s="212"/>
      <c r="EIG219" s="212"/>
      <c r="EIH219" s="212"/>
      <c r="EII219" s="212"/>
      <c r="EIJ219" s="212"/>
      <c r="EIK219" s="212"/>
      <c r="EIL219" s="212"/>
      <c r="EIM219" s="212"/>
      <c r="EIN219" s="212"/>
      <c r="EIO219" s="212"/>
      <c r="EIP219" s="212"/>
      <c r="EIQ219" s="212"/>
      <c r="EIR219" s="212"/>
      <c r="EIS219" s="212"/>
      <c r="EIT219" s="212"/>
      <c r="EIU219" s="212"/>
      <c r="EIV219" s="212"/>
      <c r="EIW219" s="212"/>
      <c r="EIX219" s="212"/>
      <c r="EIY219" s="212"/>
      <c r="EIZ219" s="212"/>
      <c r="EJA219" s="212"/>
      <c r="EJB219" s="212"/>
      <c r="EJC219" s="212"/>
      <c r="EJD219" s="212"/>
      <c r="EJE219" s="212"/>
      <c r="EJF219" s="212"/>
      <c r="EJG219" s="212"/>
      <c r="EJH219" s="212"/>
      <c r="EJI219" s="212"/>
      <c r="EJJ219" s="212"/>
      <c r="EJK219" s="212"/>
      <c r="EJL219" s="214"/>
      <c r="EJM219" s="211"/>
      <c r="EJN219" s="212"/>
      <c r="EJO219" s="212"/>
      <c r="EJP219" s="212"/>
      <c r="EJQ219" s="212"/>
      <c r="EJR219" s="212"/>
      <c r="EJS219" s="212"/>
      <c r="EJT219" s="212"/>
      <c r="EJU219" s="212"/>
      <c r="EJV219" s="212"/>
      <c r="EJW219" s="212"/>
      <c r="EJX219" s="212"/>
      <c r="EJY219" s="212"/>
      <c r="EJZ219" s="212"/>
      <c r="EKA219" s="212"/>
      <c r="EKB219" s="212"/>
      <c r="EKC219" s="212"/>
      <c r="EKD219" s="212"/>
      <c r="EKE219" s="212"/>
      <c r="EKF219" s="212"/>
      <c r="EKG219" s="212"/>
      <c r="EKH219" s="212"/>
      <c r="EKI219" s="212"/>
      <c r="EKJ219" s="212"/>
      <c r="EKK219" s="212"/>
      <c r="EKL219" s="212"/>
      <c r="EKM219" s="212"/>
      <c r="EKN219" s="212"/>
      <c r="EKO219" s="212"/>
      <c r="EKP219" s="212"/>
      <c r="EKQ219" s="212"/>
      <c r="EKR219" s="212"/>
      <c r="EKS219" s="212"/>
      <c r="EKT219" s="212"/>
      <c r="EKU219" s="212"/>
      <c r="EKV219" s="212"/>
      <c r="EKW219" s="212"/>
      <c r="EKX219" s="212"/>
      <c r="EKY219" s="212"/>
      <c r="EKZ219" s="212"/>
      <c r="ELA219" s="212"/>
      <c r="ELB219" s="212"/>
      <c r="ELC219" s="212"/>
      <c r="ELD219" s="214"/>
      <c r="ELE219" s="211"/>
      <c r="ELF219" s="212"/>
      <c r="ELG219" s="212"/>
      <c r="ELH219" s="212"/>
      <c r="ELI219" s="212"/>
      <c r="ELJ219" s="212"/>
      <c r="ELK219" s="212"/>
      <c r="ELL219" s="212"/>
      <c r="ELM219" s="212"/>
      <c r="ELN219" s="212"/>
      <c r="ELO219" s="212"/>
      <c r="ELP219" s="212"/>
      <c r="ELQ219" s="212"/>
      <c r="ELR219" s="212"/>
      <c r="ELS219" s="212"/>
      <c r="ELT219" s="212"/>
      <c r="ELU219" s="212"/>
      <c r="ELV219" s="212"/>
      <c r="ELW219" s="212"/>
      <c r="ELX219" s="212"/>
      <c r="ELY219" s="212"/>
      <c r="ELZ219" s="212"/>
      <c r="EMA219" s="212"/>
      <c r="EMB219" s="212"/>
      <c r="EMC219" s="212"/>
      <c r="EMD219" s="212"/>
      <c r="EME219" s="212"/>
      <c r="EMF219" s="212"/>
      <c r="EMG219" s="212"/>
      <c r="EMH219" s="212"/>
      <c r="EMI219" s="212"/>
      <c r="EMJ219" s="212"/>
      <c r="EMK219" s="212"/>
      <c r="EML219" s="212"/>
      <c r="EMM219" s="212"/>
      <c r="EMN219" s="212"/>
      <c r="EMO219" s="212"/>
      <c r="EMP219" s="212"/>
      <c r="EMQ219" s="212"/>
      <c r="EMR219" s="212"/>
      <c r="EMS219" s="212"/>
      <c r="EMT219" s="212"/>
      <c r="EMU219" s="212"/>
      <c r="EMV219" s="214"/>
      <c r="EMW219" s="211"/>
      <c r="EMX219" s="212"/>
      <c r="EMY219" s="212"/>
      <c r="EMZ219" s="212"/>
      <c r="ENA219" s="212"/>
      <c r="ENB219" s="212"/>
      <c r="ENC219" s="212"/>
      <c r="END219" s="212"/>
      <c r="ENE219" s="212"/>
      <c r="ENF219" s="212"/>
      <c r="ENG219" s="212"/>
      <c r="ENH219" s="212"/>
      <c r="ENI219" s="212"/>
      <c r="ENJ219" s="212"/>
      <c r="ENK219" s="212"/>
      <c r="ENL219" s="212"/>
      <c r="ENM219" s="212"/>
      <c r="ENN219" s="212"/>
      <c r="ENO219" s="212"/>
      <c r="ENP219" s="212"/>
      <c r="ENQ219" s="212"/>
      <c r="ENR219" s="212"/>
      <c r="ENS219" s="212"/>
      <c r="ENT219" s="212"/>
      <c r="ENU219" s="212"/>
      <c r="ENV219" s="212"/>
      <c r="ENW219" s="212"/>
      <c r="ENX219" s="212"/>
      <c r="ENY219" s="212"/>
      <c r="ENZ219" s="212"/>
      <c r="EOA219" s="212"/>
      <c r="EOB219" s="212"/>
      <c r="EOC219" s="212"/>
      <c r="EOD219" s="212"/>
      <c r="EOE219" s="212"/>
      <c r="EOF219" s="212"/>
      <c r="EOG219" s="212"/>
      <c r="EOH219" s="212"/>
      <c r="EOI219" s="212"/>
      <c r="EOJ219" s="212"/>
      <c r="EOK219" s="212"/>
      <c r="EOL219" s="212"/>
      <c r="EOM219" s="212"/>
      <c r="EON219" s="214"/>
      <c r="EOO219" s="211"/>
      <c r="EOP219" s="212"/>
      <c r="EOQ219" s="212"/>
      <c r="EOR219" s="212"/>
      <c r="EOS219" s="212"/>
      <c r="EOT219" s="212"/>
      <c r="EOU219" s="212"/>
      <c r="EOV219" s="212"/>
      <c r="EOW219" s="212"/>
      <c r="EOX219" s="212"/>
      <c r="EOY219" s="212"/>
      <c r="EOZ219" s="212"/>
      <c r="EPA219" s="212"/>
      <c r="EPB219" s="212"/>
      <c r="EPC219" s="212"/>
      <c r="EPD219" s="212"/>
      <c r="EPE219" s="212"/>
      <c r="EPF219" s="212"/>
      <c r="EPG219" s="212"/>
      <c r="EPH219" s="212"/>
      <c r="EPI219" s="212"/>
      <c r="EPJ219" s="212"/>
      <c r="EPK219" s="212"/>
      <c r="EPL219" s="212"/>
      <c r="EPM219" s="212"/>
      <c r="EPN219" s="212"/>
      <c r="EPO219" s="212"/>
      <c r="EPP219" s="212"/>
      <c r="EPQ219" s="212"/>
      <c r="EPR219" s="212"/>
      <c r="EPS219" s="212"/>
      <c r="EPT219" s="212"/>
      <c r="EPU219" s="212"/>
      <c r="EPV219" s="212"/>
      <c r="EPW219" s="212"/>
      <c r="EPX219" s="212"/>
      <c r="EPY219" s="212"/>
      <c r="EPZ219" s="212"/>
      <c r="EQA219" s="212"/>
      <c r="EQB219" s="212"/>
      <c r="EQC219" s="212"/>
      <c r="EQD219" s="212"/>
      <c r="EQE219" s="212"/>
      <c r="EQF219" s="214"/>
      <c r="EQG219" s="211"/>
      <c r="EQH219" s="212"/>
      <c r="EQI219" s="212"/>
      <c r="EQJ219" s="212"/>
      <c r="EQK219" s="212"/>
      <c r="EQL219" s="212"/>
      <c r="EQM219" s="212"/>
      <c r="EQN219" s="212"/>
      <c r="EQO219" s="212"/>
      <c r="EQP219" s="212"/>
      <c r="EQQ219" s="212"/>
      <c r="EQR219" s="212"/>
      <c r="EQS219" s="212"/>
      <c r="EQT219" s="212"/>
      <c r="EQU219" s="212"/>
      <c r="EQV219" s="212"/>
      <c r="EQW219" s="212"/>
      <c r="EQX219" s="212"/>
      <c r="EQY219" s="212"/>
      <c r="EQZ219" s="212"/>
      <c r="ERA219" s="212"/>
      <c r="ERB219" s="212"/>
      <c r="ERC219" s="212"/>
      <c r="ERD219" s="212"/>
      <c r="ERE219" s="212"/>
      <c r="ERF219" s="212"/>
      <c r="ERG219" s="212"/>
      <c r="ERH219" s="212"/>
      <c r="ERI219" s="212"/>
      <c r="ERJ219" s="212"/>
      <c r="ERK219" s="212"/>
      <c r="ERL219" s="212"/>
      <c r="ERM219" s="212"/>
      <c r="ERN219" s="212"/>
      <c r="ERO219" s="212"/>
      <c r="ERP219" s="212"/>
      <c r="ERQ219" s="212"/>
      <c r="ERR219" s="212"/>
      <c r="ERS219" s="212"/>
      <c r="ERT219" s="212"/>
      <c r="ERU219" s="212"/>
      <c r="ERV219" s="212"/>
      <c r="ERW219" s="212"/>
      <c r="ERX219" s="214"/>
      <c r="ERY219" s="211"/>
      <c r="ERZ219" s="212"/>
      <c r="ESA219" s="212"/>
      <c r="ESB219" s="212"/>
      <c r="ESC219" s="212"/>
      <c r="ESD219" s="212"/>
      <c r="ESE219" s="212"/>
      <c r="ESF219" s="212"/>
      <c r="ESG219" s="212"/>
      <c r="ESH219" s="212"/>
      <c r="ESI219" s="212"/>
      <c r="ESJ219" s="212"/>
      <c r="ESK219" s="212"/>
      <c r="ESL219" s="212"/>
      <c r="ESM219" s="212"/>
      <c r="ESN219" s="212"/>
      <c r="ESO219" s="212"/>
      <c r="ESP219" s="212"/>
      <c r="ESQ219" s="212"/>
      <c r="ESR219" s="212"/>
      <c r="ESS219" s="212"/>
      <c r="EST219" s="212"/>
      <c r="ESU219" s="212"/>
      <c r="ESV219" s="212"/>
      <c r="ESW219" s="212"/>
      <c r="ESX219" s="212"/>
      <c r="ESY219" s="212"/>
      <c r="ESZ219" s="212"/>
      <c r="ETA219" s="212"/>
      <c r="ETB219" s="212"/>
      <c r="ETC219" s="212"/>
      <c r="ETD219" s="212"/>
      <c r="ETE219" s="212"/>
      <c r="ETF219" s="212"/>
      <c r="ETG219" s="212"/>
      <c r="ETH219" s="212"/>
      <c r="ETI219" s="212"/>
      <c r="ETJ219" s="212"/>
      <c r="ETK219" s="212"/>
      <c r="ETL219" s="212"/>
      <c r="ETM219" s="212"/>
      <c r="ETN219" s="212"/>
      <c r="ETO219" s="212"/>
      <c r="ETP219" s="214"/>
      <c r="ETQ219" s="211"/>
      <c r="ETR219" s="212"/>
      <c r="ETS219" s="212"/>
      <c r="ETT219" s="212"/>
      <c r="ETU219" s="212"/>
      <c r="ETV219" s="212"/>
      <c r="ETW219" s="212"/>
      <c r="ETX219" s="212"/>
      <c r="ETY219" s="212"/>
      <c r="ETZ219" s="212"/>
      <c r="EUA219" s="212"/>
      <c r="EUB219" s="212"/>
      <c r="EUC219" s="212"/>
      <c r="EUD219" s="212"/>
      <c r="EUE219" s="212"/>
      <c r="EUF219" s="212"/>
      <c r="EUG219" s="212"/>
      <c r="EUH219" s="212"/>
      <c r="EUI219" s="212"/>
      <c r="EUJ219" s="212"/>
      <c r="EUK219" s="212"/>
      <c r="EUL219" s="212"/>
      <c r="EUM219" s="212"/>
      <c r="EUN219" s="212"/>
      <c r="EUO219" s="212"/>
      <c r="EUP219" s="212"/>
      <c r="EUQ219" s="212"/>
      <c r="EUR219" s="212"/>
      <c r="EUS219" s="212"/>
      <c r="EUT219" s="212"/>
      <c r="EUU219" s="212"/>
      <c r="EUV219" s="212"/>
      <c r="EUW219" s="212"/>
      <c r="EUX219" s="212"/>
      <c r="EUY219" s="212"/>
      <c r="EUZ219" s="212"/>
      <c r="EVA219" s="212"/>
      <c r="EVB219" s="212"/>
      <c r="EVC219" s="212"/>
      <c r="EVD219" s="212"/>
      <c r="EVE219" s="212"/>
      <c r="EVF219" s="212"/>
      <c r="EVG219" s="212"/>
      <c r="EVH219" s="214"/>
      <c r="EVI219" s="211"/>
      <c r="EVJ219" s="212"/>
      <c r="EVK219" s="212"/>
      <c r="EVL219" s="212"/>
      <c r="EVM219" s="212"/>
      <c r="EVN219" s="212"/>
      <c r="EVO219" s="212"/>
      <c r="EVP219" s="212"/>
      <c r="EVQ219" s="212"/>
      <c r="EVR219" s="212"/>
      <c r="EVS219" s="212"/>
      <c r="EVT219" s="212"/>
      <c r="EVU219" s="212"/>
      <c r="EVV219" s="212"/>
      <c r="EVW219" s="212"/>
      <c r="EVX219" s="212"/>
      <c r="EVY219" s="212"/>
      <c r="EVZ219" s="212"/>
      <c r="EWA219" s="212"/>
      <c r="EWB219" s="212"/>
      <c r="EWC219" s="212"/>
      <c r="EWD219" s="212"/>
      <c r="EWE219" s="212"/>
      <c r="EWF219" s="212"/>
      <c r="EWG219" s="212"/>
      <c r="EWH219" s="212"/>
      <c r="EWI219" s="212"/>
      <c r="EWJ219" s="212"/>
      <c r="EWK219" s="212"/>
      <c r="EWL219" s="212"/>
      <c r="EWM219" s="212"/>
      <c r="EWN219" s="212"/>
      <c r="EWO219" s="212"/>
      <c r="EWP219" s="212"/>
      <c r="EWQ219" s="212"/>
      <c r="EWR219" s="212"/>
      <c r="EWS219" s="212"/>
      <c r="EWT219" s="212"/>
      <c r="EWU219" s="212"/>
      <c r="EWV219" s="212"/>
      <c r="EWW219" s="212"/>
      <c r="EWX219" s="212"/>
      <c r="EWY219" s="212"/>
      <c r="EWZ219" s="214"/>
      <c r="EXA219" s="211"/>
      <c r="EXB219" s="212"/>
      <c r="EXC219" s="212"/>
      <c r="EXD219" s="212"/>
      <c r="EXE219" s="212"/>
      <c r="EXF219" s="212"/>
      <c r="EXG219" s="212"/>
      <c r="EXH219" s="212"/>
      <c r="EXI219" s="212"/>
      <c r="EXJ219" s="212"/>
      <c r="EXK219" s="212"/>
      <c r="EXL219" s="212"/>
      <c r="EXM219" s="212"/>
      <c r="EXN219" s="212"/>
      <c r="EXO219" s="212"/>
      <c r="EXP219" s="212"/>
      <c r="EXQ219" s="212"/>
      <c r="EXR219" s="212"/>
      <c r="EXS219" s="212"/>
      <c r="EXT219" s="212"/>
      <c r="EXU219" s="212"/>
      <c r="EXV219" s="212"/>
      <c r="EXW219" s="212"/>
      <c r="EXX219" s="212"/>
      <c r="EXY219" s="212"/>
      <c r="EXZ219" s="212"/>
      <c r="EYA219" s="212"/>
      <c r="EYB219" s="212"/>
      <c r="EYC219" s="212"/>
      <c r="EYD219" s="212"/>
      <c r="EYE219" s="212"/>
      <c r="EYF219" s="212"/>
      <c r="EYG219" s="212"/>
      <c r="EYH219" s="212"/>
      <c r="EYI219" s="212"/>
      <c r="EYJ219" s="212"/>
      <c r="EYK219" s="212"/>
      <c r="EYL219" s="212"/>
      <c r="EYM219" s="212"/>
      <c r="EYN219" s="212"/>
      <c r="EYO219" s="212"/>
      <c r="EYP219" s="212"/>
      <c r="EYQ219" s="212"/>
      <c r="EYR219" s="214"/>
      <c r="EYS219" s="211"/>
      <c r="EYT219" s="212"/>
      <c r="EYU219" s="212"/>
      <c r="EYV219" s="212"/>
      <c r="EYW219" s="212"/>
      <c r="EYX219" s="212"/>
      <c r="EYY219" s="212"/>
      <c r="EYZ219" s="212"/>
      <c r="EZA219" s="212"/>
      <c r="EZB219" s="212"/>
      <c r="EZC219" s="212"/>
      <c r="EZD219" s="212"/>
      <c r="EZE219" s="212"/>
      <c r="EZF219" s="212"/>
      <c r="EZG219" s="212"/>
      <c r="EZH219" s="212"/>
      <c r="EZI219" s="212"/>
      <c r="EZJ219" s="212"/>
      <c r="EZK219" s="212"/>
      <c r="EZL219" s="212"/>
      <c r="EZM219" s="212"/>
      <c r="EZN219" s="212"/>
      <c r="EZO219" s="212"/>
      <c r="EZP219" s="212"/>
      <c r="EZQ219" s="212"/>
      <c r="EZR219" s="212"/>
      <c r="EZS219" s="212"/>
      <c r="EZT219" s="212"/>
      <c r="EZU219" s="212"/>
      <c r="EZV219" s="212"/>
      <c r="EZW219" s="212"/>
      <c r="EZX219" s="212"/>
      <c r="EZY219" s="212"/>
      <c r="EZZ219" s="212"/>
      <c r="FAA219" s="212"/>
      <c r="FAB219" s="212"/>
      <c r="FAC219" s="212"/>
      <c r="FAD219" s="212"/>
      <c r="FAE219" s="212"/>
      <c r="FAF219" s="212"/>
      <c r="FAG219" s="212"/>
      <c r="FAH219" s="212"/>
      <c r="FAI219" s="212"/>
      <c r="FAJ219" s="214"/>
      <c r="FAK219" s="211"/>
      <c r="FAL219" s="212"/>
      <c r="FAM219" s="212"/>
      <c r="FAN219" s="212"/>
      <c r="FAO219" s="212"/>
      <c r="FAP219" s="212"/>
      <c r="FAQ219" s="212"/>
      <c r="FAR219" s="212"/>
      <c r="FAS219" s="212"/>
      <c r="FAT219" s="212"/>
      <c r="FAU219" s="212"/>
      <c r="FAV219" s="212"/>
      <c r="FAW219" s="212"/>
      <c r="FAX219" s="212"/>
      <c r="FAY219" s="212"/>
      <c r="FAZ219" s="212"/>
      <c r="FBA219" s="212"/>
      <c r="FBB219" s="212"/>
      <c r="FBC219" s="212"/>
      <c r="FBD219" s="212"/>
      <c r="FBE219" s="212"/>
      <c r="FBF219" s="212"/>
      <c r="FBG219" s="212"/>
      <c r="FBH219" s="212"/>
      <c r="FBI219" s="212"/>
      <c r="FBJ219" s="212"/>
      <c r="FBK219" s="212"/>
      <c r="FBL219" s="212"/>
      <c r="FBM219" s="212"/>
      <c r="FBN219" s="212"/>
      <c r="FBO219" s="212"/>
      <c r="FBP219" s="212"/>
      <c r="FBQ219" s="212"/>
      <c r="FBR219" s="212"/>
      <c r="FBS219" s="212"/>
      <c r="FBT219" s="212"/>
      <c r="FBU219" s="212"/>
      <c r="FBV219" s="212"/>
      <c r="FBW219" s="212"/>
      <c r="FBX219" s="212"/>
      <c r="FBY219" s="212"/>
      <c r="FBZ219" s="212"/>
      <c r="FCA219" s="212"/>
      <c r="FCB219" s="214"/>
      <c r="FCC219" s="211"/>
      <c r="FCD219" s="212"/>
      <c r="FCE219" s="212"/>
      <c r="FCF219" s="212"/>
      <c r="FCG219" s="212"/>
      <c r="FCH219" s="212"/>
      <c r="FCI219" s="212"/>
      <c r="FCJ219" s="212"/>
      <c r="FCK219" s="212"/>
      <c r="FCL219" s="212"/>
      <c r="FCM219" s="212"/>
      <c r="FCN219" s="212"/>
      <c r="FCO219" s="212"/>
      <c r="FCP219" s="212"/>
      <c r="FCQ219" s="212"/>
      <c r="FCR219" s="212"/>
      <c r="FCS219" s="212"/>
      <c r="FCT219" s="212"/>
      <c r="FCU219" s="212"/>
      <c r="FCV219" s="212"/>
      <c r="FCW219" s="212"/>
      <c r="FCX219" s="212"/>
      <c r="FCY219" s="212"/>
      <c r="FCZ219" s="212"/>
      <c r="FDA219" s="212"/>
      <c r="FDB219" s="212"/>
      <c r="FDC219" s="212"/>
      <c r="FDD219" s="212"/>
      <c r="FDE219" s="212"/>
      <c r="FDF219" s="212"/>
      <c r="FDG219" s="212"/>
      <c r="FDH219" s="212"/>
      <c r="FDI219" s="212"/>
      <c r="FDJ219" s="212"/>
      <c r="FDK219" s="212"/>
      <c r="FDL219" s="212"/>
      <c r="FDM219" s="212"/>
      <c r="FDN219" s="212"/>
      <c r="FDO219" s="212"/>
      <c r="FDP219" s="212"/>
      <c r="FDQ219" s="212"/>
      <c r="FDR219" s="212"/>
      <c r="FDS219" s="212"/>
      <c r="FDT219" s="214"/>
      <c r="FDU219" s="211"/>
      <c r="FDV219" s="212"/>
      <c r="FDW219" s="212"/>
      <c r="FDX219" s="212"/>
      <c r="FDY219" s="212"/>
      <c r="FDZ219" s="212"/>
      <c r="FEA219" s="212"/>
      <c r="FEB219" s="212"/>
      <c r="FEC219" s="212"/>
      <c r="FED219" s="212"/>
      <c r="FEE219" s="212"/>
      <c r="FEF219" s="212"/>
      <c r="FEG219" s="212"/>
      <c r="FEH219" s="212"/>
      <c r="FEI219" s="212"/>
      <c r="FEJ219" s="212"/>
      <c r="FEK219" s="212"/>
      <c r="FEL219" s="212"/>
      <c r="FEM219" s="212"/>
      <c r="FEN219" s="212"/>
      <c r="FEO219" s="212"/>
      <c r="FEP219" s="212"/>
      <c r="FEQ219" s="212"/>
      <c r="FER219" s="212"/>
      <c r="FES219" s="212"/>
      <c r="FET219" s="212"/>
      <c r="FEU219" s="212"/>
      <c r="FEV219" s="212"/>
      <c r="FEW219" s="212"/>
      <c r="FEX219" s="212"/>
      <c r="FEY219" s="212"/>
      <c r="FEZ219" s="212"/>
      <c r="FFA219" s="212"/>
      <c r="FFB219" s="212"/>
      <c r="FFC219" s="212"/>
      <c r="FFD219" s="212"/>
      <c r="FFE219" s="212"/>
      <c r="FFF219" s="212"/>
      <c r="FFG219" s="212"/>
      <c r="FFH219" s="212"/>
      <c r="FFI219" s="212"/>
      <c r="FFJ219" s="212"/>
      <c r="FFK219" s="212"/>
      <c r="FFL219" s="214"/>
      <c r="FFM219" s="211"/>
      <c r="FFN219" s="212"/>
      <c r="FFO219" s="212"/>
      <c r="FFP219" s="212"/>
      <c r="FFQ219" s="212"/>
      <c r="FFR219" s="212"/>
      <c r="FFS219" s="212"/>
      <c r="FFT219" s="212"/>
      <c r="FFU219" s="212"/>
      <c r="FFV219" s="212"/>
      <c r="FFW219" s="212"/>
      <c r="FFX219" s="212"/>
      <c r="FFY219" s="212"/>
      <c r="FFZ219" s="212"/>
      <c r="FGA219" s="212"/>
      <c r="FGB219" s="212"/>
      <c r="FGC219" s="212"/>
      <c r="FGD219" s="212"/>
      <c r="FGE219" s="212"/>
      <c r="FGF219" s="212"/>
      <c r="FGG219" s="212"/>
      <c r="FGH219" s="212"/>
      <c r="FGI219" s="212"/>
      <c r="FGJ219" s="212"/>
      <c r="FGK219" s="212"/>
      <c r="FGL219" s="212"/>
      <c r="FGM219" s="212"/>
      <c r="FGN219" s="212"/>
      <c r="FGO219" s="212"/>
      <c r="FGP219" s="212"/>
      <c r="FGQ219" s="212"/>
      <c r="FGR219" s="212"/>
      <c r="FGS219" s="212"/>
      <c r="FGT219" s="212"/>
      <c r="FGU219" s="212"/>
      <c r="FGV219" s="212"/>
      <c r="FGW219" s="212"/>
      <c r="FGX219" s="212"/>
      <c r="FGY219" s="212"/>
      <c r="FGZ219" s="212"/>
      <c r="FHA219" s="212"/>
      <c r="FHB219" s="212"/>
      <c r="FHC219" s="212"/>
      <c r="FHD219" s="214"/>
      <c r="FHE219" s="211"/>
      <c r="FHF219" s="212"/>
      <c r="FHG219" s="212"/>
      <c r="FHH219" s="212"/>
      <c r="FHI219" s="212"/>
      <c r="FHJ219" s="212"/>
      <c r="FHK219" s="212"/>
      <c r="FHL219" s="212"/>
      <c r="FHM219" s="212"/>
      <c r="FHN219" s="212"/>
      <c r="FHO219" s="212"/>
      <c r="FHP219" s="212"/>
      <c r="FHQ219" s="212"/>
      <c r="FHR219" s="212"/>
      <c r="FHS219" s="212"/>
      <c r="FHT219" s="212"/>
      <c r="FHU219" s="212"/>
      <c r="FHV219" s="212"/>
      <c r="FHW219" s="212"/>
      <c r="FHX219" s="212"/>
      <c r="FHY219" s="212"/>
      <c r="FHZ219" s="212"/>
      <c r="FIA219" s="212"/>
      <c r="FIB219" s="212"/>
      <c r="FIC219" s="212"/>
      <c r="FID219" s="212"/>
      <c r="FIE219" s="212"/>
      <c r="FIF219" s="212"/>
      <c r="FIG219" s="212"/>
      <c r="FIH219" s="212"/>
      <c r="FII219" s="212"/>
      <c r="FIJ219" s="212"/>
      <c r="FIK219" s="212"/>
      <c r="FIL219" s="212"/>
      <c r="FIM219" s="212"/>
      <c r="FIN219" s="212"/>
      <c r="FIO219" s="212"/>
      <c r="FIP219" s="212"/>
      <c r="FIQ219" s="212"/>
      <c r="FIR219" s="212"/>
      <c r="FIS219" s="212"/>
      <c r="FIT219" s="212"/>
      <c r="FIU219" s="212"/>
      <c r="FIV219" s="214"/>
      <c r="FIW219" s="211"/>
      <c r="FIX219" s="212"/>
      <c r="FIY219" s="212"/>
      <c r="FIZ219" s="212"/>
      <c r="FJA219" s="212"/>
      <c r="FJB219" s="212"/>
      <c r="FJC219" s="212"/>
      <c r="FJD219" s="212"/>
      <c r="FJE219" s="212"/>
      <c r="FJF219" s="212"/>
      <c r="FJG219" s="212"/>
      <c r="FJH219" s="212"/>
      <c r="FJI219" s="212"/>
      <c r="FJJ219" s="212"/>
      <c r="FJK219" s="212"/>
      <c r="FJL219" s="212"/>
      <c r="FJM219" s="212"/>
      <c r="FJN219" s="212"/>
      <c r="FJO219" s="212"/>
      <c r="FJP219" s="212"/>
      <c r="FJQ219" s="212"/>
      <c r="FJR219" s="212"/>
      <c r="FJS219" s="212"/>
      <c r="FJT219" s="212"/>
      <c r="FJU219" s="212"/>
      <c r="FJV219" s="212"/>
      <c r="FJW219" s="212"/>
      <c r="FJX219" s="212"/>
      <c r="FJY219" s="212"/>
      <c r="FJZ219" s="212"/>
      <c r="FKA219" s="212"/>
      <c r="FKB219" s="212"/>
      <c r="FKC219" s="212"/>
      <c r="FKD219" s="212"/>
      <c r="FKE219" s="212"/>
      <c r="FKF219" s="212"/>
      <c r="FKG219" s="212"/>
      <c r="FKH219" s="212"/>
      <c r="FKI219" s="212"/>
      <c r="FKJ219" s="212"/>
      <c r="FKK219" s="212"/>
      <c r="FKL219" s="212"/>
      <c r="FKM219" s="212"/>
      <c r="FKN219" s="214"/>
      <c r="FKO219" s="211"/>
      <c r="FKP219" s="212"/>
      <c r="FKQ219" s="212"/>
      <c r="FKR219" s="212"/>
      <c r="FKS219" s="212"/>
      <c r="FKT219" s="212"/>
      <c r="FKU219" s="212"/>
      <c r="FKV219" s="212"/>
      <c r="FKW219" s="212"/>
      <c r="FKX219" s="212"/>
      <c r="FKY219" s="212"/>
      <c r="FKZ219" s="212"/>
      <c r="FLA219" s="212"/>
      <c r="FLB219" s="212"/>
      <c r="FLC219" s="212"/>
      <c r="FLD219" s="212"/>
      <c r="FLE219" s="212"/>
      <c r="FLF219" s="212"/>
      <c r="FLG219" s="212"/>
      <c r="FLH219" s="212"/>
      <c r="FLI219" s="212"/>
      <c r="FLJ219" s="212"/>
      <c r="FLK219" s="212"/>
      <c r="FLL219" s="212"/>
      <c r="FLM219" s="212"/>
      <c r="FLN219" s="212"/>
      <c r="FLO219" s="212"/>
      <c r="FLP219" s="212"/>
      <c r="FLQ219" s="212"/>
      <c r="FLR219" s="212"/>
      <c r="FLS219" s="212"/>
      <c r="FLT219" s="212"/>
      <c r="FLU219" s="212"/>
      <c r="FLV219" s="212"/>
      <c r="FLW219" s="212"/>
      <c r="FLX219" s="212"/>
      <c r="FLY219" s="212"/>
      <c r="FLZ219" s="212"/>
      <c r="FMA219" s="212"/>
      <c r="FMB219" s="212"/>
      <c r="FMC219" s="212"/>
      <c r="FMD219" s="212"/>
      <c r="FME219" s="212"/>
      <c r="FMF219" s="214"/>
      <c r="FMG219" s="211"/>
      <c r="FMH219" s="212"/>
      <c r="FMI219" s="212"/>
      <c r="FMJ219" s="212"/>
      <c r="FMK219" s="212"/>
      <c r="FML219" s="212"/>
      <c r="FMM219" s="212"/>
      <c r="FMN219" s="212"/>
      <c r="FMO219" s="212"/>
      <c r="FMP219" s="212"/>
      <c r="FMQ219" s="212"/>
      <c r="FMR219" s="212"/>
      <c r="FMS219" s="212"/>
      <c r="FMT219" s="212"/>
      <c r="FMU219" s="212"/>
      <c r="FMV219" s="212"/>
      <c r="FMW219" s="212"/>
      <c r="FMX219" s="212"/>
      <c r="FMY219" s="212"/>
      <c r="FMZ219" s="212"/>
      <c r="FNA219" s="212"/>
      <c r="FNB219" s="212"/>
      <c r="FNC219" s="212"/>
      <c r="FND219" s="212"/>
      <c r="FNE219" s="212"/>
      <c r="FNF219" s="212"/>
      <c r="FNG219" s="212"/>
      <c r="FNH219" s="212"/>
      <c r="FNI219" s="212"/>
      <c r="FNJ219" s="212"/>
      <c r="FNK219" s="212"/>
      <c r="FNL219" s="212"/>
      <c r="FNM219" s="212"/>
      <c r="FNN219" s="212"/>
      <c r="FNO219" s="212"/>
      <c r="FNP219" s="212"/>
      <c r="FNQ219" s="212"/>
      <c r="FNR219" s="212"/>
      <c r="FNS219" s="212"/>
      <c r="FNT219" s="212"/>
      <c r="FNU219" s="212"/>
      <c r="FNV219" s="212"/>
      <c r="FNW219" s="212"/>
      <c r="FNX219" s="214"/>
      <c r="FNY219" s="211"/>
      <c r="FNZ219" s="212"/>
      <c r="FOA219" s="212"/>
      <c r="FOB219" s="212"/>
      <c r="FOC219" s="212"/>
      <c r="FOD219" s="212"/>
      <c r="FOE219" s="212"/>
      <c r="FOF219" s="212"/>
      <c r="FOG219" s="212"/>
      <c r="FOH219" s="212"/>
      <c r="FOI219" s="212"/>
      <c r="FOJ219" s="212"/>
      <c r="FOK219" s="212"/>
      <c r="FOL219" s="212"/>
      <c r="FOM219" s="212"/>
      <c r="FON219" s="212"/>
      <c r="FOO219" s="212"/>
      <c r="FOP219" s="212"/>
      <c r="FOQ219" s="212"/>
      <c r="FOR219" s="212"/>
      <c r="FOS219" s="212"/>
      <c r="FOT219" s="212"/>
      <c r="FOU219" s="212"/>
      <c r="FOV219" s="212"/>
      <c r="FOW219" s="212"/>
      <c r="FOX219" s="212"/>
      <c r="FOY219" s="212"/>
      <c r="FOZ219" s="212"/>
      <c r="FPA219" s="212"/>
      <c r="FPB219" s="212"/>
      <c r="FPC219" s="212"/>
      <c r="FPD219" s="212"/>
      <c r="FPE219" s="212"/>
      <c r="FPF219" s="212"/>
      <c r="FPG219" s="212"/>
      <c r="FPH219" s="212"/>
      <c r="FPI219" s="212"/>
      <c r="FPJ219" s="212"/>
      <c r="FPK219" s="212"/>
      <c r="FPL219" s="212"/>
      <c r="FPM219" s="212"/>
      <c r="FPN219" s="212"/>
      <c r="FPO219" s="212"/>
      <c r="FPP219" s="214"/>
      <c r="FPQ219" s="211"/>
      <c r="FPR219" s="212"/>
      <c r="FPS219" s="212"/>
      <c r="FPT219" s="212"/>
      <c r="FPU219" s="212"/>
      <c r="FPV219" s="212"/>
      <c r="FPW219" s="212"/>
      <c r="FPX219" s="212"/>
      <c r="FPY219" s="212"/>
      <c r="FPZ219" s="212"/>
      <c r="FQA219" s="212"/>
      <c r="FQB219" s="212"/>
      <c r="FQC219" s="212"/>
      <c r="FQD219" s="212"/>
      <c r="FQE219" s="212"/>
      <c r="FQF219" s="212"/>
      <c r="FQG219" s="212"/>
      <c r="FQH219" s="212"/>
      <c r="FQI219" s="212"/>
      <c r="FQJ219" s="212"/>
      <c r="FQK219" s="212"/>
      <c r="FQL219" s="212"/>
      <c r="FQM219" s="212"/>
      <c r="FQN219" s="212"/>
      <c r="FQO219" s="212"/>
      <c r="FQP219" s="212"/>
      <c r="FQQ219" s="212"/>
      <c r="FQR219" s="212"/>
      <c r="FQS219" s="212"/>
      <c r="FQT219" s="212"/>
      <c r="FQU219" s="212"/>
      <c r="FQV219" s="212"/>
      <c r="FQW219" s="212"/>
      <c r="FQX219" s="212"/>
      <c r="FQY219" s="212"/>
      <c r="FQZ219" s="212"/>
      <c r="FRA219" s="212"/>
      <c r="FRB219" s="212"/>
      <c r="FRC219" s="212"/>
      <c r="FRD219" s="212"/>
      <c r="FRE219" s="212"/>
      <c r="FRF219" s="212"/>
      <c r="FRG219" s="212"/>
      <c r="FRH219" s="214"/>
      <c r="FRI219" s="211"/>
      <c r="FRJ219" s="212"/>
      <c r="FRK219" s="212"/>
      <c r="FRL219" s="212"/>
      <c r="FRM219" s="212"/>
      <c r="FRN219" s="212"/>
      <c r="FRO219" s="212"/>
      <c r="FRP219" s="212"/>
      <c r="FRQ219" s="212"/>
      <c r="FRR219" s="212"/>
      <c r="FRS219" s="212"/>
      <c r="FRT219" s="212"/>
      <c r="FRU219" s="212"/>
      <c r="FRV219" s="212"/>
      <c r="FRW219" s="212"/>
      <c r="FRX219" s="212"/>
      <c r="FRY219" s="212"/>
      <c r="FRZ219" s="212"/>
      <c r="FSA219" s="212"/>
      <c r="FSB219" s="212"/>
      <c r="FSC219" s="212"/>
      <c r="FSD219" s="212"/>
      <c r="FSE219" s="212"/>
      <c r="FSF219" s="212"/>
      <c r="FSG219" s="212"/>
      <c r="FSH219" s="212"/>
      <c r="FSI219" s="212"/>
      <c r="FSJ219" s="212"/>
      <c r="FSK219" s="212"/>
      <c r="FSL219" s="212"/>
      <c r="FSM219" s="212"/>
      <c r="FSN219" s="212"/>
      <c r="FSO219" s="212"/>
      <c r="FSP219" s="212"/>
      <c r="FSQ219" s="212"/>
      <c r="FSR219" s="212"/>
      <c r="FSS219" s="212"/>
      <c r="FST219" s="212"/>
      <c r="FSU219" s="212"/>
      <c r="FSV219" s="212"/>
      <c r="FSW219" s="212"/>
      <c r="FSX219" s="212"/>
      <c r="FSY219" s="212"/>
      <c r="FSZ219" s="214"/>
      <c r="FTA219" s="211"/>
      <c r="FTB219" s="212"/>
      <c r="FTC219" s="212"/>
      <c r="FTD219" s="212"/>
      <c r="FTE219" s="212"/>
      <c r="FTF219" s="212"/>
      <c r="FTG219" s="212"/>
      <c r="FTH219" s="212"/>
      <c r="FTI219" s="212"/>
      <c r="FTJ219" s="212"/>
      <c r="FTK219" s="212"/>
      <c r="FTL219" s="212"/>
      <c r="FTM219" s="212"/>
      <c r="FTN219" s="212"/>
      <c r="FTO219" s="212"/>
      <c r="FTP219" s="212"/>
      <c r="FTQ219" s="212"/>
      <c r="FTR219" s="212"/>
      <c r="FTS219" s="212"/>
      <c r="FTT219" s="212"/>
      <c r="FTU219" s="212"/>
      <c r="FTV219" s="212"/>
      <c r="FTW219" s="212"/>
      <c r="FTX219" s="212"/>
      <c r="FTY219" s="212"/>
      <c r="FTZ219" s="212"/>
      <c r="FUA219" s="212"/>
      <c r="FUB219" s="212"/>
      <c r="FUC219" s="212"/>
      <c r="FUD219" s="212"/>
      <c r="FUE219" s="212"/>
      <c r="FUF219" s="212"/>
      <c r="FUG219" s="212"/>
      <c r="FUH219" s="212"/>
      <c r="FUI219" s="212"/>
      <c r="FUJ219" s="212"/>
      <c r="FUK219" s="212"/>
      <c r="FUL219" s="212"/>
      <c r="FUM219" s="212"/>
      <c r="FUN219" s="212"/>
      <c r="FUO219" s="212"/>
      <c r="FUP219" s="212"/>
      <c r="FUQ219" s="212"/>
      <c r="FUR219" s="214"/>
      <c r="FUS219" s="211"/>
      <c r="FUT219" s="212"/>
      <c r="FUU219" s="212"/>
      <c r="FUV219" s="212"/>
      <c r="FUW219" s="212"/>
      <c r="FUX219" s="212"/>
      <c r="FUY219" s="212"/>
      <c r="FUZ219" s="212"/>
      <c r="FVA219" s="212"/>
      <c r="FVB219" s="212"/>
      <c r="FVC219" s="212"/>
      <c r="FVD219" s="212"/>
      <c r="FVE219" s="212"/>
      <c r="FVF219" s="212"/>
      <c r="FVG219" s="212"/>
      <c r="FVH219" s="212"/>
      <c r="FVI219" s="212"/>
      <c r="FVJ219" s="212"/>
      <c r="FVK219" s="212"/>
      <c r="FVL219" s="212"/>
      <c r="FVM219" s="212"/>
      <c r="FVN219" s="212"/>
      <c r="FVO219" s="212"/>
      <c r="FVP219" s="212"/>
      <c r="FVQ219" s="212"/>
      <c r="FVR219" s="212"/>
      <c r="FVS219" s="212"/>
      <c r="FVT219" s="212"/>
      <c r="FVU219" s="212"/>
      <c r="FVV219" s="212"/>
      <c r="FVW219" s="212"/>
      <c r="FVX219" s="212"/>
      <c r="FVY219" s="212"/>
      <c r="FVZ219" s="212"/>
      <c r="FWA219" s="212"/>
      <c r="FWB219" s="212"/>
      <c r="FWC219" s="212"/>
      <c r="FWD219" s="212"/>
      <c r="FWE219" s="212"/>
      <c r="FWF219" s="212"/>
      <c r="FWG219" s="212"/>
      <c r="FWH219" s="212"/>
      <c r="FWI219" s="212"/>
      <c r="FWJ219" s="214"/>
      <c r="FWK219" s="211"/>
      <c r="FWL219" s="212"/>
      <c r="FWM219" s="212"/>
      <c r="FWN219" s="212"/>
      <c r="FWO219" s="212"/>
      <c r="FWP219" s="212"/>
      <c r="FWQ219" s="212"/>
      <c r="FWR219" s="212"/>
      <c r="FWS219" s="212"/>
      <c r="FWT219" s="212"/>
      <c r="FWU219" s="212"/>
      <c r="FWV219" s="212"/>
      <c r="FWW219" s="212"/>
      <c r="FWX219" s="212"/>
      <c r="FWY219" s="212"/>
      <c r="FWZ219" s="212"/>
      <c r="FXA219" s="212"/>
      <c r="FXB219" s="212"/>
      <c r="FXC219" s="212"/>
      <c r="FXD219" s="212"/>
      <c r="FXE219" s="212"/>
      <c r="FXF219" s="212"/>
      <c r="FXG219" s="212"/>
      <c r="FXH219" s="212"/>
      <c r="FXI219" s="212"/>
      <c r="FXJ219" s="212"/>
      <c r="FXK219" s="212"/>
      <c r="FXL219" s="212"/>
      <c r="FXM219" s="212"/>
      <c r="FXN219" s="212"/>
      <c r="FXO219" s="212"/>
      <c r="FXP219" s="212"/>
      <c r="FXQ219" s="212"/>
      <c r="FXR219" s="212"/>
      <c r="FXS219" s="212"/>
      <c r="FXT219" s="212"/>
      <c r="FXU219" s="212"/>
      <c r="FXV219" s="212"/>
      <c r="FXW219" s="212"/>
      <c r="FXX219" s="212"/>
      <c r="FXY219" s="212"/>
      <c r="FXZ219" s="212"/>
      <c r="FYA219" s="212"/>
      <c r="FYB219" s="214"/>
      <c r="FYC219" s="211"/>
      <c r="FYD219" s="212"/>
      <c r="FYE219" s="212"/>
      <c r="FYF219" s="212"/>
      <c r="FYG219" s="212"/>
      <c r="FYH219" s="212"/>
      <c r="FYI219" s="212"/>
      <c r="FYJ219" s="212"/>
      <c r="FYK219" s="212"/>
      <c r="FYL219" s="212"/>
      <c r="FYM219" s="212"/>
      <c r="FYN219" s="212"/>
      <c r="FYO219" s="212"/>
      <c r="FYP219" s="212"/>
      <c r="FYQ219" s="212"/>
      <c r="FYR219" s="212"/>
      <c r="FYS219" s="212"/>
      <c r="FYT219" s="212"/>
      <c r="FYU219" s="212"/>
      <c r="FYV219" s="212"/>
      <c r="FYW219" s="212"/>
      <c r="FYX219" s="212"/>
      <c r="FYY219" s="212"/>
      <c r="FYZ219" s="212"/>
      <c r="FZA219" s="212"/>
      <c r="FZB219" s="212"/>
      <c r="FZC219" s="212"/>
      <c r="FZD219" s="212"/>
      <c r="FZE219" s="212"/>
      <c r="FZF219" s="212"/>
      <c r="FZG219" s="212"/>
      <c r="FZH219" s="212"/>
      <c r="FZI219" s="212"/>
      <c r="FZJ219" s="212"/>
      <c r="FZK219" s="212"/>
      <c r="FZL219" s="212"/>
      <c r="FZM219" s="212"/>
      <c r="FZN219" s="212"/>
      <c r="FZO219" s="212"/>
      <c r="FZP219" s="212"/>
      <c r="FZQ219" s="212"/>
      <c r="FZR219" s="212"/>
      <c r="FZS219" s="212"/>
      <c r="FZT219" s="214"/>
      <c r="FZU219" s="211"/>
      <c r="FZV219" s="212"/>
      <c r="FZW219" s="212"/>
      <c r="FZX219" s="212"/>
      <c r="FZY219" s="212"/>
      <c r="FZZ219" s="212"/>
      <c r="GAA219" s="212"/>
      <c r="GAB219" s="212"/>
      <c r="GAC219" s="212"/>
      <c r="GAD219" s="212"/>
      <c r="GAE219" s="212"/>
      <c r="GAF219" s="212"/>
      <c r="GAG219" s="212"/>
      <c r="GAH219" s="212"/>
      <c r="GAI219" s="212"/>
      <c r="GAJ219" s="212"/>
      <c r="GAK219" s="212"/>
      <c r="GAL219" s="212"/>
      <c r="GAM219" s="212"/>
      <c r="GAN219" s="212"/>
      <c r="GAO219" s="212"/>
      <c r="GAP219" s="212"/>
      <c r="GAQ219" s="212"/>
      <c r="GAR219" s="212"/>
      <c r="GAS219" s="212"/>
      <c r="GAT219" s="212"/>
      <c r="GAU219" s="212"/>
      <c r="GAV219" s="212"/>
      <c r="GAW219" s="212"/>
      <c r="GAX219" s="212"/>
      <c r="GAY219" s="212"/>
      <c r="GAZ219" s="212"/>
      <c r="GBA219" s="212"/>
      <c r="GBB219" s="212"/>
      <c r="GBC219" s="212"/>
      <c r="GBD219" s="212"/>
      <c r="GBE219" s="212"/>
      <c r="GBF219" s="212"/>
      <c r="GBG219" s="212"/>
      <c r="GBH219" s="212"/>
      <c r="GBI219" s="212"/>
      <c r="GBJ219" s="212"/>
      <c r="GBK219" s="212"/>
      <c r="GBL219" s="214"/>
      <c r="GBM219" s="211"/>
      <c r="GBN219" s="212"/>
      <c r="GBO219" s="212"/>
      <c r="GBP219" s="212"/>
      <c r="GBQ219" s="212"/>
      <c r="GBR219" s="212"/>
      <c r="GBS219" s="212"/>
      <c r="GBT219" s="212"/>
      <c r="GBU219" s="212"/>
      <c r="GBV219" s="212"/>
      <c r="GBW219" s="212"/>
      <c r="GBX219" s="212"/>
      <c r="GBY219" s="212"/>
      <c r="GBZ219" s="212"/>
      <c r="GCA219" s="212"/>
      <c r="GCB219" s="212"/>
      <c r="GCC219" s="212"/>
      <c r="GCD219" s="212"/>
      <c r="GCE219" s="212"/>
      <c r="GCF219" s="212"/>
      <c r="GCG219" s="212"/>
      <c r="GCH219" s="212"/>
      <c r="GCI219" s="212"/>
      <c r="GCJ219" s="212"/>
      <c r="GCK219" s="212"/>
      <c r="GCL219" s="212"/>
      <c r="GCM219" s="212"/>
      <c r="GCN219" s="212"/>
      <c r="GCO219" s="212"/>
      <c r="GCP219" s="212"/>
      <c r="GCQ219" s="212"/>
      <c r="GCR219" s="212"/>
      <c r="GCS219" s="212"/>
      <c r="GCT219" s="212"/>
      <c r="GCU219" s="212"/>
      <c r="GCV219" s="212"/>
      <c r="GCW219" s="212"/>
      <c r="GCX219" s="212"/>
      <c r="GCY219" s="212"/>
      <c r="GCZ219" s="212"/>
      <c r="GDA219" s="212"/>
      <c r="GDB219" s="212"/>
      <c r="GDC219" s="212"/>
      <c r="GDD219" s="214"/>
      <c r="GDE219" s="211"/>
      <c r="GDF219" s="212"/>
      <c r="GDG219" s="212"/>
      <c r="GDH219" s="212"/>
      <c r="GDI219" s="212"/>
      <c r="GDJ219" s="212"/>
      <c r="GDK219" s="212"/>
      <c r="GDL219" s="212"/>
      <c r="GDM219" s="212"/>
      <c r="GDN219" s="212"/>
      <c r="GDO219" s="212"/>
      <c r="GDP219" s="212"/>
      <c r="GDQ219" s="212"/>
      <c r="GDR219" s="212"/>
      <c r="GDS219" s="212"/>
      <c r="GDT219" s="212"/>
      <c r="GDU219" s="212"/>
      <c r="GDV219" s="212"/>
      <c r="GDW219" s="212"/>
      <c r="GDX219" s="212"/>
      <c r="GDY219" s="212"/>
      <c r="GDZ219" s="212"/>
      <c r="GEA219" s="212"/>
      <c r="GEB219" s="212"/>
      <c r="GEC219" s="212"/>
      <c r="GED219" s="212"/>
      <c r="GEE219" s="212"/>
      <c r="GEF219" s="212"/>
      <c r="GEG219" s="212"/>
      <c r="GEH219" s="212"/>
      <c r="GEI219" s="212"/>
      <c r="GEJ219" s="212"/>
      <c r="GEK219" s="212"/>
      <c r="GEL219" s="212"/>
      <c r="GEM219" s="212"/>
      <c r="GEN219" s="212"/>
      <c r="GEO219" s="212"/>
      <c r="GEP219" s="212"/>
      <c r="GEQ219" s="212"/>
      <c r="GER219" s="212"/>
      <c r="GES219" s="212"/>
      <c r="GET219" s="212"/>
      <c r="GEU219" s="212"/>
      <c r="GEV219" s="214"/>
      <c r="GEW219" s="211"/>
      <c r="GEX219" s="212"/>
      <c r="GEY219" s="212"/>
      <c r="GEZ219" s="212"/>
      <c r="GFA219" s="212"/>
      <c r="GFB219" s="212"/>
      <c r="GFC219" s="212"/>
      <c r="GFD219" s="212"/>
      <c r="GFE219" s="212"/>
      <c r="GFF219" s="212"/>
      <c r="GFG219" s="212"/>
      <c r="GFH219" s="212"/>
      <c r="GFI219" s="212"/>
      <c r="GFJ219" s="212"/>
      <c r="GFK219" s="212"/>
      <c r="GFL219" s="212"/>
      <c r="GFM219" s="212"/>
      <c r="GFN219" s="212"/>
      <c r="GFO219" s="212"/>
      <c r="GFP219" s="212"/>
      <c r="GFQ219" s="212"/>
      <c r="GFR219" s="212"/>
      <c r="GFS219" s="212"/>
      <c r="GFT219" s="212"/>
      <c r="GFU219" s="212"/>
      <c r="GFV219" s="212"/>
      <c r="GFW219" s="212"/>
      <c r="GFX219" s="212"/>
      <c r="GFY219" s="212"/>
      <c r="GFZ219" s="212"/>
      <c r="GGA219" s="212"/>
      <c r="GGB219" s="212"/>
      <c r="GGC219" s="212"/>
      <c r="GGD219" s="212"/>
      <c r="GGE219" s="212"/>
      <c r="GGF219" s="212"/>
      <c r="GGG219" s="212"/>
      <c r="GGH219" s="212"/>
      <c r="GGI219" s="212"/>
      <c r="GGJ219" s="212"/>
      <c r="GGK219" s="212"/>
      <c r="GGL219" s="212"/>
      <c r="GGM219" s="212"/>
      <c r="GGN219" s="214"/>
      <c r="GGO219" s="211"/>
      <c r="GGP219" s="212"/>
      <c r="GGQ219" s="212"/>
      <c r="GGR219" s="212"/>
      <c r="GGS219" s="212"/>
      <c r="GGT219" s="212"/>
      <c r="GGU219" s="212"/>
      <c r="GGV219" s="212"/>
      <c r="GGW219" s="212"/>
      <c r="GGX219" s="212"/>
      <c r="GGY219" s="212"/>
      <c r="GGZ219" s="212"/>
      <c r="GHA219" s="212"/>
      <c r="GHB219" s="212"/>
      <c r="GHC219" s="212"/>
      <c r="GHD219" s="212"/>
      <c r="GHE219" s="212"/>
      <c r="GHF219" s="212"/>
      <c r="GHG219" s="212"/>
      <c r="GHH219" s="212"/>
      <c r="GHI219" s="212"/>
      <c r="GHJ219" s="212"/>
      <c r="GHK219" s="212"/>
      <c r="GHL219" s="212"/>
      <c r="GHM219" s="212"/>
      <c r="GHN219" s="212"/>
      <c r="GHO219" s="212"/>
      <c r="GHP219" s="212"/>
      <c r="GHQ219" s="212"/>
      <c r="GHR219" s="212"/>
      <c r="GHS219" s="212"/>
      <c r="GHT219" s="212"/>
      <c r="GHU219" s="212"/>
      <c r="GHV219" s="212"/>
      <c r="GHW219" s="212"/>
      <c r="GHX219" s="212"/>
      <c r="GHY219" s="212"/>
      <c r="GHZ219" s="212"/>
      <c r="GIA219" s="212"/>
      <c r="GIB219" s="212"/>
      <c r="GIC219" s="212"/>
      <c r="GID219" s="212"/>
      <c r="GIE219" s="212"/>
      <c r="GIF219" s="214"/>
      <c r="GIG219" s="211"/>
      <c r="GIH219" s="212"/>
      <c r="GII219" s="212"/>
      <c r="GIJ219" s="212"/>
      <c r="GIK219" s="212"/>
      <c r="GIL219" s="212"/>
      <c r="GIM219" s="212"/>
      <c r="GIN219" s="212"/>
      <c r="GIO219" s="212"/>
      <c r="GIP219" s="212"/>
      <c r="GIQ219" s="212"/>
      <c r="GIR219" s="212"/>
      <c r="GIS219" s="212"/>
      <c r="GIT219" s="212"/>
      <c r="GIU219" s="212"/>
      <c r="GIV219" s="212"/>
      <c r="GIW219" s="212"/>
      <c r="GIX219" s="212"/>
      <c r="GIY219" s="212"/>
      <c r="GIZ219" s="212"/>
      <c r="GJA219" s="212"/>
      <c r="GJB219" s="212"/>
      <c r="GJC219" s="212"/>
      <c r="GJD219" s="212"/>
      <c r="GJE219" s="212"/>
      <c r="GJF219" s="212"/>
      <c r="GJG219" s="212"/>
      <c r="GJH219" s="212"/>
      <c r="GJI219" s="212"/>
      <c r="GJJ219" s="212"/>
      <c r="GJK219" s="212"/>
      <c r="GJL219" s="212"/>
      <c r="GJM219" s="212"/>
      <c r="GJN219" s="212"/>
      <c r="GJO219" s="212"/>
      <c r="GJP219" s="212"/>
      <c r="GJQ219" s="212"/>
      <c r="GJR219" s="212"/>
      <c r="GJS219" s="212"/>
      <c r="GJT219" s="212"/>
      <c r="GJU219" s="212"/>
      <c r="GJV219" s="212"/>
      <c r="GJW219" s="212"/>
      <c r="GJX219" s="214"/>
      <c r="GJY219" s="211"/>
      <c r="GJZ219" s="212"/>
      <c r="GKA219" s="212"/>
      <c r="GKB219" s="212"/>
      <c r="GKC219" s="212"/>
      <c r="GKD219" s="212"/>
      <c r="GKE219" s="212"/>
      <c r="GKF219" s="212"/>
      <c r="GKG219" s="212"/>
      <c r="GKH219" s="212"/>
      <c r="GKI219" s="212"/>
      <c r="GKJ219" s="212"/>
      <c r="GKK219" s="212"/>
      <c r="GKL219" s="212"/>
      <c r="GKM219" s="212"/>
      <c r="GKN219" s="212"/>
      <c r="GKO219" s="212"/>
      <c r="GKP219" s="212"/>
      <c r="GKQ219" s="212"/>
      <c r="GKR219" s="212"/>
      <c r="GKS219" s="212"/>
      <c r="GKT219" s="212"/>
      <c r="GKU219" s="212"/>
      <c r="GKV219" s="212"/>
      <c r="GKW219" s="212"/>
      <c r="GKX219" s="212"/>
      <c r="GKY219" s="212"/>
      <c r="GKZ219" s="212"/>
      <c r="GLA219" s="212"/>
      <c r="GLB219" s="212"/>
      <c r="GLC219" s="212"/>
      <c r="GLD219" s="212"/>
      <c r="GLE219" s="212"/>
      <c r="GLF219" s="212"/>
      <c r="GLG219" s="212"/>
      <c r="GLH219" s="212"/>
      <c r="GLI219" s="212"/>
      <c r="GLJ219" s="212"/>
      <c r="GLK219" s="212"/>
      <c r="GLL219" s="212"/>
      <c r="GLM219" s="212"/>
      <c r="GLN219" s="212"/>
      <c r="GLO219" s="212"/>
      <c r="GLP219" s="214"/>
      <c r="GLQ219" s="211"/>
      <c r="GLR219" s="212"/>
      <c r="GLS219" s="212"/>
      <c r="GLT219" s="212"/>
      <c r="GLU219" s="212"/>
      <c r="GLV219" s="212"/>
      <c r="GLW219" s="212"/>
      <c r="GLX219" s="212"/>
      <c r="GLY219" s="212"/>
      <c r="GLZ219" s="212"/>
      <c r="GMA219" s="212"/>
      <c r="GMB219" s="212"/>
      <c r="GMC219" s="212"/>
      <c r="GMD219" s="212"/>
      <c r="GME219" s="212"/>
      <c r="GMF219" s="212"/>
      <c r="GMG219" s="212"/>
      <c r="GMH219" s="212"/>
      <c r="GMI219" s="212"/>
      <c r="GMJ219" s="212"/>
      <c r="GMK219" s="212"/>
      <c r="GML219" s="212"/>
      <c r="GMM219" s="212"/>
      <c r="GMN219" s="212"/>
      <c r="GMO219" s="212"/>
      <c r="GMP219" s="212"/>
      <c r="GMQ219" s="212"/>
      <c r="GMR219" s="212"/>
      <c r="GMS219" s="212"/>
      <c r="GMT219" s="212"/>
      <c r="GMU219" s="212"/>
      <c r="GMV219" s="212"/>
      <c r="GMW219" s="212"/>
      <c r="GMX219" s="212"/>
      <c r="GMY219" s="212"/>
      <c r="GMZ219" s="212"/>
      <c r="GNA219" s="212"/>
      <c r="GNB219" s="212"/>
      <c r="GNC219" s="212"/>
      <c r="GND219" s="212"/>
      <c r="GNE219" s="212"/>
      <c r="GNF219" s="212"/>
      <c r="GNG219" s="212"/>
      <c r="GNH219" s="214"/>
      <c r="GNI219" s="211"/>
      <c r="GNJ219" s="212"/>
      <c r="GNK219" s="212"/>
      <c r="GNL219" s="212"/>
      <c r="GNM219" s="212"/>
      <c r="GNN219" s="212"/>
      <c r="GNO219" s="212"/>
      <c r="GNP219" s="212"/>
      <c r="GNQ219" s="212"/>
      <c r="GNR219" s="212"/>
      <c r="GNS219" s="212"/>
      <c r="GNT219" s="212"/>
      <c r="GNU219" s="212"/>
      <c r="GNV219" s="212"/>
      <c r="GNW219" s="212"/>
      <c r="GNX219" s="212"/>
      <c r="GNY219" s="212"/>
      <c r="GNZ219" s="212"/>
      <c r="GOA219" s="212"/>
      <c r="GOB219" s="212"/>
      <c r="GOC219" s="212"/>
      <c r="GOD219" s="212"/>
      <c r="GOE219" s="212"/>
      <c r="GOF219" s="212"/>
      <c r="GOG219" s="212"/>
      <c r="GOH219" s="212"/>
      <c r="GOI219" s="212"/>
      <c r="GOJ219" s="212"/>
      <c r="GOK219" s="212"/>
      <c r="GOL219" s="212"/>
      <c r="GOM219" s="212"/>
      <c r="GON219" s="212"/>
      <c r="GOO219" s="212"/>
      <c r="GOP219" s="212"/>
      <c r="GOQ219" s="212"/>
      <c r="GOR219" s="212"/>
      <c r="GOS219" s="212"/>
      <c r="GOT219" s="212"/>
      <c r="GOU219" s="212"/>
      <c r="GOV219" s="212"/>
      <c r="GOW219" s="212"/>
      <c r="GOX219" s="212"/>
      <c r="GOY219" s="212"/>
      <c r="GOZ219" s="214"/>
      <c r="GPA219" s="211"/>
      <c r="GPB219" s="212"/>
      <c r="GPC219" s="212"/>
      <c r="GPD219" s="212"/>
      <c r="GPE219" s="212"/>
      <c r="GPF219" s="212"/>
      <c r="GPG219" s="212"/>
      <c r="GPH219" s="212"/>
      <c r="GPI219" s="212"/>
      <c r="GPJ219" s="212"/>
      <c r="GPK219" s="212"/>
      <c r="GPL219" s="212"/>
      <c r="GPM219" s="212"/>
      <c r="GPN219" s="212"/>
      <c r="GPO219" s="212"/>
      <c r="GPP219" s="212"/>
      <c r="GPQ219" s="212"/>
      <c r="GPR219" s="212"/>
      <c r="GPS219" s="212"/>
      <c r="GPT219" s="212"/>
      <c r="GPU219" s="212"/>
      <c r="GPV219" s="212"/>
      <c r="GPW219" s="212"/>
      <c r="GPX219" s="212"/>
      <c r="GPY219" s="212"/>
      <c r="GPZ219" s="212"/>
      <c r="GQA219" s="212"/>
      <c r="GQB219" s="212"/>
      <c r="GQC219" s="212"/>
      <c r="GQD219" s="212"/>
      <c r="GQE219" s="212"/>
      <c r="GQF219" s="212"/>
      <c r="GQG219" s="212"/>
      <c r="GQH219" s="212"/>
      <c r="GQI219" s="212"/>
      <c r="GQJ219" s="212"/>
      <c r="GQK219" s="212"/>
      <c r="GQL219" s="212"/>
      <c r="GQM219" s="212"/>
      <c r="GQN219" s="212"/>
      <c r="GQO219" s="212"/>
      <c r="GQP219" s="212"/>
      <c r="GQQ219" s="212"/>
      <c r="GQR219" s="214"/>
      <c r="GQS219" s="211"/>
      <c r="GQT219" s="212"/>
      <c r="GQU219" s="212"/>
      <c r="GQV219" s="212"/>
      <c r="GQW219" s="212"/>
      <c r="GQX219" s="212"/>
      <c r="GQY219" s="212"/>
      <c r="GQZ219" s="212"/>
      <c r="GRA219" s="212"/>
      <c r="GRB219" s="212"/>
      <c r="GRC219" s="212"/>
      <c r="GRD219" s="212"/>
      <c r="GRE219" s="212"/>
      <c r="GRF219" s="212"/>
      <c r="GRG219" s="212"/>
      <c r="GRH219" s="212"/>
      <c r="GRI219" s="212"/>
      <c r="GRJ219" s="212"/>
      <c r="GRK219" s="212"/>
      <c r="GRL219" s="212"/>
      <c r="GRM219" s="212"/>
      <c r="GRN219" s="212"/>
      <c r="GRO219" s="212"/>
      <c r="GRP219" s="212"/>
      <c r="GRQ219" s="212"/>
      <c r="GRR219" s="212"/>
      <c r="GRS219" s="212"/>
      <c r="GRT219" s="212"/>
      <c r="GRU219" s="212"/>
      <c r="GRV219" s="212"/>
      <c r="GRW219" s="212"/>
      <c r="GRX219" s="212"/>
      <c r="GRY219" s="212"/>
      <c r="GRZ219" s="212"/>
      <c r="GSA219" s="212"/>
      <c r="GSB219" s="212"/>
      <c r="GSC219" s="212"/>
      <c r="GSD219" s="212"/>
      <c r="GSE219" s="212"/>
      <c r="GSF219" s="212"/>
      <c r="GSG219" s="212"/>
      <c r="GSH219" s="212"/>
      <c r="GSI219" s="212"/>
      <c r="GSJ219" s="214"/>
      <c r="GSK219" s="211"/>
      <c r="GSL219" s="212"/>
      <c r="GSM219" s="212"/>
      <c r="GSN219" s="212"/>
      <c r="GSO219" s="212"/>
      <c r="GSP219" s="212"/>
      <c r="GSQ219" s="212"/>
      <c r="GSR219" s="212"/>
      <c r="GSS219" s="212"/>
      <c r="GST219" s="212"/>
      <c r="GSU219" s="212"/>
      <c r="GSV219" s="212"/>
      <c r="GSW219" s="212"/>
      <c r="GSX219" s="212"/>
      <c r="GSY219" s="212"/>
      <c r="GSZ219" s="212"/>
      <c r="GTA219" s="212"/>
      <c r="GTB219" s="212"/>
      <c r="GTC219" s="212"/>
      <c r="GTD219" s="212"/>
      <c r="GTE219" s="212"/>
      <c r="GTF219" s="212"/>
      <c r="GTG219" s="212"/>
      <c r="GTH219" s="212"/>
      <c r="GTI219" s="212"/>
      <c r="GTJ219" s="212"/>
      <c r="GTK219" s="212"/>
      <c r="GTL219" s="212"/>
      <c r="GTM219" s="212"/>
      <c r="GTN219" s="212"/>
      <c r="GTO219" s="212"/>
      <c r="GTP219" s="212"/>
      <c r="GTQ219" s="212"/>
      <c r="GTR219" s="212"/>
      <c r="GTS219" s="212"/>
      <c r="GTT219" s="212"/>
      <c r="GTU219" s="212"/>
      <c r="GTV219" s="212"/>
      <c r="GTW219" s="212"/>
      <c r="GTX219" s="212"/>
      <c r="GTY219" s="212"/>
      <c r="GTZ219" s="212"/>
      <c r="GUA219" s="212"/>
      <c r="GUB219" s="214"/>
      <c r="GUC219" s="211"/>
      <c r="GUD219" s="212"/>
      <c r="GUE219" s="212"/>
      <c r="GUF219" s="212"/>
      <c r="GUG219" s="212"/>
      <c r="GUH219" s="212"/>
      <c r="GUI219" s="212"/>
      <c r="GUJ219" s="212"/>
      <c r="GUK219" s="212"/>
      <c r="GUL219" s="212"/>
      <c r="GUM219" s="212"/>
      <c r="GUN219" s="212"/>
      <c r="GUO219" s="212"/>
      <c r="GUP219" s="212"/>
      <c r="GUQ219" s="212"/>
      <c r="GUR219" s="212"/>
      <c r="GUS219" s="212"/>
      <c r="GUT219" s="212"/>
      <c r="GUU219" s="212"/>
      <c r="GUV219" s="212"/>
      <c r="GUW219" s="212"/>
      <c r="GUX219" s="212"/>
      <c r="GUY219" s="212"/>
      <c r="GUZ219" s="212"/>
      <c r="GVA219" s="212"/>
      <c r="GVB219" s="212"/>
      <c r="GVC219" s="212"/>
      <c r="GVD219" s="212"/>
      <c r="GVE219" s="212"/>
      <c r="GVF219" s="212"/>
      <c r="GVG219" s="212"/>
      <c r="GVH219" s="212"/>
      <c r="GVI219" s="212"/>
      <c r="GVJ219" s="212"/>
      <c r="GVK219" s="212"/>
      <c r="GVL219" s="212"/>
      <c r="GVM219" s="212"/>
      <c r="GVN219" s="212"/>
      <c r="GVO219" s="212"/>
      <c r="GVP219" s="212"/>
      <c r="GVQ219" s="212"/>
      <c r="GVR219" s="212"/>
      <c r="GVS219" s="212"/>
      <c r="GVT219" s="214"/>
      <c r="GVU219" s="211"/>
      <c r="GVV219" s="212"/>
      <c r="GVW219" s="212"/>
      <c r="GVX219" s="212"/>
      <c r="GVY219" s="212"/>
      <c r="GVZ219" s="212"/>
      <c r="GWA219" s="212"/>
      <c r="GWB219" s="212"/>
      <c r="GWC219" s="212"/>
      <c r="GWD219" s="212"/>
      <c r="GWE219" s="212"/>
      <c r="GWF219" s="212"/>
      <c r="GWG219" s="212"/>
      <c r="GWH219" s="212"/>
      <c r="GWI219" s="212"/>
      <c r="GWJ219" s="212"/>
      <c r="GWK219" s="212"/>
      <c r="GWL219" s="212"/>
      <c r="GWM219" s="212"/>
      <c r="GWN219" s="212"/>
      <c r="GWO219" s="212"/>
      <c r="GWP219" s="212"/>
      <c r="GWQ219" s="212"/>
      <c r="GWR219" s="212"/>
      <c r="GWS219" s="212"/>
      <c r="GWT219" s="212"/>
      <c r="GWU219" s="212"/>
      <c r="GWV219" s="212"/>
      <c r="GWW219" s="212"/>
      <c r="GWX219" s="212"/>
      <c r="GWY219" s="212"/>
      <c r="GWZ219" s="212"/>
      <c r="GXA219" s="212"/>
      <c r="GXB219" s="212"/>
      <c r="GXC219" s="212"/>
      <c r="GXD219" s="212"/>
      <c r="GXE219" s="212"/>
      <c r="GXF219" s="212"/>
      <c r="GXG219" s="212"/>
      <c r="GXH219" s="212"/>
      <c r="GXI219" s="212"/>
      <c r="GXJ219" s="212"/>
      <c r="GXK219" s="212"/>
      <c r="GXL219" s="214"/>
      <c r="GXM219" s="211"/>
      <c r="GXN219" s="212"/>
      <c r="GXO219" s="212"/>
      <c r="GXP219" s="212"/>
      <c r="GXQ219" s="212"/>
      <c r="GXR219" s="212"/>
      <c r="GXS219" s="212"/>
      <c r="GXT219" s="212"/>
      <c r="GXU219" s="212"/>
      <c r="GXV219" s="212"/>
      <c r="GXW219" s="212"/>
      <c r="GXX219" s="212"/>
      <c r="GXY219" s="212"/>
      <c r="GXZ219" s="212"/>
      <c r="GYA219" s="212"/>
      <c r="GYB219" s="212"/>
      <c r="GYC219" s="212"/>
      <c r="GYD219" s="212"/>
      <c r="GYE219" s="212"/>
      <c r="GYF219" s="212"/>
      <c r="GYG219" s="212"/>
      <c r="GYH219" s="212"/>
      <c r="GYI219" s="212"/>
      <c r="GYJ219" s="212"/>
      <c r="GYK219" s="212"/>
      <c r="GYL219" s="212"/>
      <c r="GYM219" s="212"/>
      <c r="GYN219" s="212"/>
      <c r="GYO219" s="212"/>
      <c r="GYP219" s="212"/>
      <c r="GYQ219" s="212"/>
      <c r="GYR219" s="212"/>
      <c r="GYS219" s="212"/>
      <c r="GYT219" s="212"/>
      <c r="GYU219" s="212"/>
      <c r="GYV219" s="212"/>
      <c r="GYW219" s="212"/>
      <c r="GYX219" s="212"/>
      <c r="GYY219" s="212"/>
      <c r="GYZ219" s="212"/>
      <c r="GZA219" s="212"/>
      <c r="GZB219" s="212"/>
      <c r="GZC219" s="212"/>
      <c r="GZD219" s="214"/>
      <c r="GZE219" s="211"/>
      <c r="GZF219" s="212"/>
      <c r="GZG219" s="212"/>
      <c r="GZH219" s="212"/>
      <c r="GZI219" s="212"/>
      <c r="GZJ219" s="212"/>
      <c r="GZK219" s="212"/>
      <c r="GZL219" s="212"/>
      <c r="GZM219" s="212"/>
      <c r="GZN219" s="212"/>
      <c r="GZO219" s="212"/>
      <c r="GZP219" s="212"/>
      <c r="GZQ219" s="212"/>
      <c r="GZR219" s="212"/>
      <c r="GZS219" s="212"/>
      <c r="GZT219" s="212"/>
      <c r="GZU219" s="212"/>
      <c r="GZV219" s="212"/>
      <c r="GZW219" s="212"/>
      <c r="GZX219" s="212"/>
      <c r="GZY219" s="212"/>
      <c r="GZZ219" s="212"/>
      <c r="HAA219" s="212"/>
      <c r="HAB219" s="212"/>
      <c r="HAC219" s="212"/>
      <c r="HAD219" s="212"/>
      <c r="HAE219" s="212"/>
      <c r="HAF219" s="212"/>
      <c r="HAG219" s="212"/>
      <c r="HAH219" s="212"/>
      <c r="HAI219" s="212"/>
      <c r="HAJ219" s="212"/>
      <c r="HAK219" s="212"/>
      <c r="HAL219" s="212"/>
      <c r="HAM219" s="212"/>
      <c r="HAN219" s="212"/>
      <c r="HAO219" s="212"/>
      <c r="HAP219" s="212"/>
      <c r="HAQ219" s="212"/>
      <c r="HAR219" s="212"/>
      <c r="HAS219" s="212"/>
      <c r="HAT219" s="212"/>
      <c r="HAU219" s="212"/>
      <c r="HAV219" s="214"/>
      <c r="HAW219" s="211"/>
      <c r="HAX219" s="212"/>
      <c r="HAY219" s="212"/>
      <c r="HAZ219" s="212"/>
      <c r="HBA219" s="212"/>
      <c r="HBB219" s="212"/>
      <c r="HBC219" s="212"/>
      <c r="HBD219" s="212"/>
      <c r="HBE219" s="212"/>
      <c r="HBF219" s="212"/>
      <c r="HBG219" s="212"/>
      <c r="HBH219" s="212"/>
      <c r="HBI219" s="212"/>
      <c r="HBJ219" s="212"/>
      <c r="HBK219" s="212"/>
      <c r="HBL219" s="212"/>
      <c r="HBM219" s="212"/>
      <c r="HBN219" s="212"/>
      <c r="HBO219" s="212"/>
      <c r="HBP219" s="212"/>
      <c r="HBQ219" s="212"/>
      <c r="HBR219" s="212"/>
      <c r="HBS219" s="212"/>
      <c r="HBT219" s="212"/>
      <c r="HBU219" s="212"/>
      <c r="HBV219" s="212"/>
      <c r="HBW219" s="212"/>
      <c r="HBX219" s="212"/>
      <c r="HBY219" s="212"/>
      <c r="HBZ219" s="212"/>
      <c r="HCA219" s="212"/>
      <c r="HCB219" s="212"/>
      <c r="HCC219" s="212"/>
      <c r="HCD219" s="212"/>
      <c r="HCE219" s="212"/>
      <c r="HCF219" s="212"/>
      <c r="HCG219" s="212"/>
      <c r="HCH219" s="212"/>
      <c r="HCI219" s="212"/>
      <c r="HCJ219" s="212"/>
      <c r="HCK219" s="212"/>
      <c r="HCL219" s="212"/>
      <c r="HCM219" s="212"/>
      <c r="HCN219" s="214"/>
      <c r="HCO219" s="211"/>
      <c r="HCP219" s="212"/>
      <c r="HCQ219" s="212"/>
      <c r="HCR219" s="212"/>
      <c r="HCS219" s="212"/>
      <c r="HCT219" s="212"/>
      <c r="HCU219" s="212"/>
      <c r="HCV219" s="212"/>
      <c r="HCW219" s="212"/>
      <c r="HCX219" s="212"/>
      <c r="HCY219" s="212"/>
      <c r="HCZ219" s="212"/>
      <c r="HDA219" s="212"/>
      <c r="HDB219" s="212"/>
      <c r="HDC219" s="212"/>
      <c r="HDD219" s="212"/>
      <c r="HDE219" s="212"/>
      <c r="HDF219" s="212"/>
      <c r="HDG219" s="212"/>
      <c r="HDH219" s="212"/>
      <c r="HDI219" s="212"/>
      <c r="HDJ219" s="212"/>
      <c r="HDK219" s="212"/>
      <c r="HDL219" s="212"/>
      <c r="HDM219" s="212"/>
      <c r="HDN219" s="212"/>
      <c r="HDO219" s="212"/>
      <c r="HDP219" s="212"/>
      <c r="HDQ219" s="212"/>
      <c r="HDR219" s="212"/>
      <c r="HDS219" s="212"/>
      <c r="HDT219" s="212"/>
      <c r="HDU219" s="212"/>
      <c r="HDV219" s="212"/>
      <c r="HDW219" s="212"/>
      <c r="HDX219" s="212"/>
      <c r="HDY219" s="212"/>
      <c r="HDZ219" s="212"/>
      <c r="HEA219" s="212"/>
      <c r="HEB219" s="212"/>
      <c r="HEC219" s="212"/>
      <c r="HED219" s="212"/>
      <c r="HEE219" s="212"/>
      <c r="HEF219" s="214"/>
      <c r="HEG219" s="211"/>
      <c r="HEH219" s="212"/>
      <c r="HEI219" s="212"/>
      <c r="HEJ219" s="212"/>
      <c r="HEK219" s="212"/>
      <c r="HEL219" s="212"/>
      <c r="HEM219" s="212"/>
      <c r="HEN219" s="212"/>
      <c r="HEO219" s="212"/>
      <c r="HEP219" s="212"/>
      <c r="HEQ219" s="212"/>
      <c r="HER219" s="212"/>
      <c r="HES219" s="212"/>
      <c r="HET219" s="212"/>
      <c r="HEU219" s="212"/>
      <c r="HEV219" s="212"/>
      <c r="HEW219" s="212"/>
      <c r="HEX219" s="212"/>
      <c r="HEY219" s="212"/>
      <c r="HEZ219" s="212"/>
      <c r="HFA219" s="212"/>
      <c r="HFB219" s="212"/>
      <c r="HFC219" s="212"/>
      <c r="HFD219" s="212"/>
      <c r="HFE219" s="212"/>
      <c r="HFF219" s="212"/>
      <c r="HFG219" s="212"/>
      <c r="HFH219" s="212"/>
      <c r="HFI219" s="212"/>
      <c r="HFJ219" s="212"/>
      <c r="HFK219" s="212"/>
      <c r="HFL219" s="212"/>
      <c r="HFM219" s="212"/>
      <c r="HFN219" s="212"/>
      <c r="HFO219" s="212"/>
      <c r="HFP219" s="212"/>
      <c r="HFQ219" s="212"/>
      <c r="HFR219" s="212"/>
      <c r="HFS219" s="212"/>
      <c r="HFT219" s="212"/>
      <c r="HFU219" s="212"/>
      <c r="HFV219" s="212"/>
      <c r="HFW219" s="212"/>
      <c r="HFX219" s="214"/>
      <c r="HFY219" s="211"/>
      <c r="HFZ219" s="212"/>
      <c r="HGA219" s="212"/>
      <c r="HGB219" s="212"/>
      <c r="HGC219" s="212"/>
      <c r="HGD219" s="212"/>
      <c r="HGE219" s="212"/>
      <c r="HGF219" s="212"/>
      <c r="HGG219" s="212"/>
      <c r="HGH219" s="212"/>
      <c r="HGI219" s="212"/>
      <c r="HGJ219" s="212"/>
      <c r="HGK219" s="212"/>
      <c r="HGL219" s="212"/>
      <c r="HGM219" s="212"/>
      <c r="HGN219" s="212"/>
      <c r="HGO219" s="212"/>
      <c r="HGP219" s="212"/>
      <c r="HGQ219" s="212"/>
      <c r="HGR219" s="212"/>
      <c r="HGS219" s="212"/>
      <c r="HGT219" s="212"/>
      <c r="HGU219" s="212"/>
      <c r="HGV219" s="212"/>
      <c r="HGW219" s="212"/>
      <c r="HGX219" s="212"/>
      <c r="HGY219" s="212"/>
      <c r="HGZ219" s="212"/>
      <c r="HHA219" s="212"/>
      <c r="HHB219" s="212"/>
      <c r="HHC219" s="212"/>
      <c r="HHD219" s="212"/>
      <c r="HHE219" s="212"/>
      <c r="HHF219" s="212"/>
      <c r="HHG219" s="212"/>
      <c r="HHH219" s="212"/>
      <c r="HHI219" s="212"/>
      <c r="HHJ219" s="212"/>
      <c r="HHK219" s="212"/>
      <c r="HHL219" s="212"/>
      <c r="HHM219" s="212"/>
      <c r="HHN219" s="212"/>
      <c r="HHO219" s="212"/>
      <c r="HHP219" s="214"/>
      <c r="HHQ219" s="211"/>
      <c r="HHR219" s="212"/>
      <c r="HHS219" s="212"/>
      <c r="HHT219" s="212"/>
      <c r="HHU219" s="212"/>
      <c r="HHV219" s="212"/>
      <c r="HHW219" s="212"/>
      <c r="HHX219" s="212"/>
      <c r="HHY219" s="212"/>
      <c r="HHZ219" s="212"/>
      <c r="HIA219" s="212"/>
      <c r="HIB219" s="212"/>
      <c r="HIC219" s="212"/>
      <c r="HID219" s="212"/>
      <c r="HIE219" s="212"/>
      <c r="HIF219" s="212"/>
      <c r="HIG219" s="212"/>
      <c r="HIH219" s="212"/>
      <c r="HII219" s="212"/>
      <c r="HIJ219" s="212"/>
      <c r="HIK219" s="212"/>
      <c r="HIL219" s="212"/>
      <c r="HIM219" s="212"/>
      <c r="HIN219" s="212"/>
      <c r="HIO219" s="212"/>
      <c r="HIP219" s="212"/>
      <c r="HIQ219" s="212"/>
      <c r="HIR219" s="212"/>
      <c r="HIS219" s="212"/>
      <c r="HIT219" s="212"/>
      <c r="HIU219" s="212"/>
      <c r="HIV219" s="212"/>
      <c r="HIW219" s="212"/>
      <c r="HIX219" s="212"/>
      <c r="HIY219" s="212"/>
      <c r="HIZ219" s="212"/>
      <c r="HJA219" s="212"/>
      <c r="HJB219" s="212"/>
      <c r="HJC219" s="212"/>
      <c r="HJD219" s="212"/>
      <c r="HJE219" s="212"/>
      <c r="HJF219" s="212"/>
      <c r="HJG219" s="212"/>
      <c r="HJH219" s="214"/>
      <c r="HJI219" s="211"/>
      <c r="HJJ219" s="212"/>
      <c r="HJK219" s="212"/>
      <c r="HJL219" s="212"/>
      <c r="HJM219" s="212"/>
      <c r="HJN219" s="212"/>
      <c r="HJO219" s="212"/>
      <c r="HJP219" s="212"/>
      <c r="HJQ219" s="212"/>
      <c r="HJR219" s="212"/>
      <c r="HJS219" s="212"/>
      <c r="HJT219" s="212"/>
      <c r="HJU219" s="212"/>
      <c r="HJV219" s="212"/>
      <c r="HJW219" s="212"/>
      <c r="HJX219" s="212"/>
      <c r="HJY219" s="212"/>
      <c r="HJZ219" s="212"/>
      <c r="HKA219" s="212"/>
      <c r="HKB219" s="212"/>
      <c r="HKC219" s="212"/>
      <c r="HKD219" s="212"/>
      <c r="HKE219" s="212"/>
      <c r="HKF219" s="212"/>
      <c r="HKG219" s="212"/>
      <c r="HKH219" s="212"/>
      <c r="HKI219" s="212"/>
      <c r="HKJ219" s="212"/>
      <c r="HKK219" s="212"/>
      <c r="HKL219" s="212"/>
      <c r="HKM219" s="212"/>
      <c r="HKN219" s="212"/>
      <c r="HKO219" s="212"/>
      <c r="HKP219" s="212"/>
      <c r="HKQ219" s="212"/>
      <c r="HKR219" s="212"/>
      <c r="HKS219" s="212"/>
      <c r="HKT219" s="212"/>
      <c r="HKU219" s="212"/>
      <c r="HKV219" s="212"/>
      <c r="HKW219" s="212"/>
      <c r="HKX219" s="212"/>
      <c r="HKY219" s="212"/>
      <c r="HKZ219" s="214"/>
      <c r="HLA219" s="211"/>
      <c r="HLB219" s="212"/>
      <c r="HLC219" s="212"/>
      <c r="HLD219" s="212"/>
      <c r="HLE219" s="212"/>
      <c r="HLF219" s="212"/>
      <c r="HLG219" s="212"/>
      <c r="HLH219" s="212"/>
      <c r="HLI219" s="212"/>
      <c r="HLJ219" s="212"/>
      <c r="HLK219" s="212"/>
      <c r="HLL219" s="212"/>
      <c r="HLM219" s="212"/>
      <c r="HLN219" s="212"/>
      <c r="HLO219" s="212"/>
      <c r="HLP219" s="212"/>
      <c r="HLQ219" s="212"/>
      <c r="HLR219" s="212"/>
      <c r="HLS219" s="212"/>
      <c r="HLT219" s="212"/>
      <c r="HLU219" s="212"/>
      <c r="HLV219" s="212"/>
      <c r="HLW219" s="212"/>
      <c r="HLX219" s="212"/>
      <c r="HLY219" s="212"/>
      <c r="HLZ219" s="212"/>
      <c r="HMA219" s="212"/>
      <c r="HMB219" s="212"/>
      <c r="HMC219" s="212"/>
      <c r="HMD219" s="212"/>
      <c r="HME219" s="212"/>
      <c r="HMF219" s="212"/>
      <c r="HMG219" s="212"/>
      <c r="HMH219" s="212"/>
      <c r="HMI219" s="212"/>
      <c r="HMJ219" s="212"/>
      <c r="HMK219" s="212"/>
      <c r="HML219" s="212"/>
      <c r="HMM219" s="212"/>
      <c r="HMN219" s="212"/>
      <c r="HMO219" s="212"/>
      <c r="HMP219" s="212"/>
      <c r="HMQ219" s="212"/>
      <c r="HMR219" s="214"/>
      <c r="HMS219" s="211"/>
      <c r="HMT219" s="212"/>
      <c r="HMU219" s="212"/>
      <c r="HMV219" s="212"/>
      <c r="HMW219" s="212"/>
      <c r="HMX219" s="212"/>
      <c r="HMY219" s="212"/>
      <c r="HMZ219" s="212"/>
      <c r="HNA219" s="212"/>
      <c r="HNB219" s="212"/>
      <c r="HNC219" s="212"/>
      <c r="HND219" s="212"/>
      <c r="HNE219" s="212"/>
      <c r="HNF219" s="212"/>
      <c r="HNG219" s="212"/>
      <c r="HNH219" s="212"/>
      <c r="HNI219" s="212"/>
      <c r="HNJ219" s="212"/>
      <c r="HNK219" s="212"/>
      <c r="HNL219" s="212"/>
      <c r="HNM219" s="212"/>
      <c r="HNN219" s="212"/>
      <c r="HNO219" s="212"/>
      <c r="HNP219" s="212"/>
      <c r="HNQ219" s="212"/>
      <c r="HNR219" s="212"/>
      <c r="HNS219" s="212"/>
      <c r="HNT219" s="212"/>
      <c r="HNU219" s="212"/>
      <c r="HNV219" s="212"/>
      <c r="HNW219" s="212"/>
      <c r="HNX219" s="212"/>
      <c r="HNY219" s="212"/>
      <c r="HNZ219" s="212"/>
      <c r="HOA219" s="212"/>
      <c r="HOB219" s="212"/>
      <c r="HOC219" s="212"/>
      <c r="HOD219" s="212"/>
      <c r="HOE219" s="212"/>
      <c r="HOF219" s="212"/>
      <c r="HOG219" s="212"/>
      <c r="HOH219" s="212"/>
      <c r="HOI219" s="212"/>
      <c r="HOJ219" s="214"/>
      <c r="HOK219" s="211"/>
      <c r="HOL219" s="212"/>
      <c r="HOM219" s="212"/>
      <c r="HON219" s="212"/>
      <c r="HOO219" s="212"/>
      <c r="HOP219" s="212"/>
      <c r="HOQ219" s="212"/>
      <c r="HOR219" s="212"/>
      <c r="HOS219" s="212"/>
      <c r="HOT219" s="212"/>
      <c r="HOU219" s="212"/>
      <c r="HOV219" s="212"/>
      <c r="HOW219" s="212"/>
      <c r="HOX219" s="212"/>
      <c r="HOY219" s="212"/>
      <c r="HOZ219" s="212"/>
      <c r="HPA219" s="212"/>
      <c r="HPB219" s="212"/>
      <c r="HPC219" s="212"/>
      <c r="HPD219" s="212"/>
      <c r="HPE219" s="212"/>
      <c r="HPF219" s="212"/>
      <c r="HPG219" s="212"/>
      <c r="HPH219" s="212"/>
      <c r="HPI219" s="212"/>
      <c r="HPJ219" s="212"/>
      <c r="HPK219" s="212"/>
      <c r="HPL219" s="212"/>
      <c r="HPM219" s="212"/>
      <c r="HPN219" s="212"/>
      <c r="HPO219" s="212"/>
      <c r="HPP219" s="212"/>
      <c r="HPQ219" s="212"/>
      <c r="HPR219" s="212"/>
      <c r="HPS219" s="212"/>
      <c r="HPT219" s="212"/>
      <c r="HPU219" s="212"/>
      <c r="HPV219" s="212"/>
      <c r="HPW219" s="212"/>
      <c r="HPX219" s="212"/>
      <c r="HPY219" s="212"/>
      <c r="HPZ219" s="212"/>
      <c r="HQA219" s="212"/>
      <c r="HQB219" s="214"/>
      <c r="HQC219" s="211"/>
      <c r="HQD219" s="212"/>
      <c r="HQE219" s="212"/>
      <c r="HQF219" s="212"/>
      <c r="HQG219" s="212"/>
      <c r="HQH219" s="212"/>
      <c r="HQI219" s="212"/>
      <c r="HQJ219" s="212"/>
      <c r="HQK219" s="212"/>
      <c r="HQL219" s="212"/>
      <c r="HQM219" s="212"/>
      <c r="HQN219" s="212"/>
      <c r="HQO219" s="212"/>
      <c r="HQP219" s="212"/>
      <c r="HQQ219" s="212"/>
      <c r="HQR219" s="212"/>
      <c r="HQS219" s="212"/>
      <c r="HQT219" s="212"/>
      <c r="HQU219" s="212"/>
      <c r="HQV219" s="212"/>
      <c r="HQW219" s="212"/>
      <c r="HQX219" s="212"/>
      <c r="HQY219" s="212"/>
      <c r="HQZ219" s="212"/>
      <c r="HRA219" s="212"/>
      <c r="HRB219" s="212"/>
      <c r="HRC219" s="212"/>
      <c r="HRD219" s="212"/>
      <c r="HRE219" s="212"/>
      <c r="HRF219" s="212"/>
      <c r="HRG219" s="212"/>
      <c r="HRH219" s="212"/>
      <c r="HRI219" s="212"/>
      <c r="HRJ219" s="212"/>
      <c r="HRK219" s="212"/>
      <c r="HRL219" s="212"/>
      <c r="HRM219" s="212"/>
      <c r="HRN219" s="212"/>
      <c r="HRO219" s="212"/>
      <c r="HRP219" s="212"/>
      <c r="HRQ219" s="212"/>
      <c r="HRR219" s="212"/>
      <c r="HRS219" s="212"/>
      <c r="HRT219" s="214"/>
      <c r="HRU219" s="211"/>
      <c r="HRV219" s="212"/>
      <c r="HRW219" s="212"/>
      <c r="HRX219" s="212"/>
      <c r="HRY219" s="212"/>
      <c r="HRZ219" s="212"/>
      <c r="HSA219" s="212"/>
      <c r="HSB219" s="212"/>
      <c r="HSC219" s="212"/>
      <c r="HSD219" s="212"/>
      <c r="HSE219" s="212"/>
      <c r="HSF219" s="212"/>
      <c r="HSG219" s="212"/>
      <c r="HSH219" s="212"/>
      <c r="HSI219" s="212"/>
      <c r="HSJ219" s="212"/>
      <c r="HSK219" s="212"/>
      <c r="HSL219" s="212"/>
      <c r="HSM219" s="212"/>
      <c r="HSN219" s="212"/>
      <c r="HSO219" s="212"/>
      <c r="HSP219" s="212"/>
      <c r="HSQ219" s="212"/>
      <c r="HSR219" s="212"/>
      <c r="HSS219" s="212"/>
      <c r="HST219" s="212"/>
      <c r="HSU219" s="212"/>
      <c r="HSV219" s="212"/>
      <c r="HSW219" s="212"/>
      <c r="HSX219" s="212"/>
      <c r="HSY219" s="212"/>
      <c r="HSZ219" s="212"/>
      <c r="HTA219" s="212"/>
      <c r="HTB219" s="212"/>
      <c r="HTC219" s="212"/>
      <c r="HTD219" s="212"/>
      <c r="HTE219" s="212"/>
      <c r="HTF219" s="212"/>
      <c r="HTG219" s="212"/>
      <c r="HTH219" s="212"/>
      <c r="HTI219" s="212"/>
      <c r="HTJ219" s="212"/>
      <c r="HTK219" s="212"/>
      <c r="HTL219" s="214"/>
      <c r="HTM219" s="211"/>
      <c r="HTN219" s="212"/>
      <c r="HTO219" s="212"/>
      <c r="HTP219" s="212"/>
      <c r="HTQ219" s="212"/>
      <c r="HTR219" s="212"/>
      <c r="HTS219" s="212"/>
      <c r="HTT219" s="212"/>
      <c r="HTU219" s="212"/>
      <c r="HTV219" s="212"/>
      <c r="HTW219" s="212"/>
      <c r="HTX219" s="212"/>
      <c r="HTY219" s="212"/>
      <c r="HTZ219" s="212"/>
      <c r="HUA219" s="212"/>
      <c r="HUB219" s="212"/>
      <c r="HUC219" s="212"/>
      <c r="HUD219" s="212"/>
      <c r="HUE219" s="212"/>
      <c r="HUF219" s="212"/>
      <c r="HUG219" s="212"/>
      <c r="HUH219" s="212"/>
      <c r="HUI219" s="212"/>
      <c r="HUJ219" s="212"/>
      <c r="HUK219" s="212"/>
      <c r="HUL219" s="212"/>
      <c r="HUM219" s="212"/>
      <c r="HUN219" s="212"/>
      <c r="HUO219" s="212"/>
      <c r="HUP219" s="212"/>
      <c r="HUQ219" s="212"/>
      <c r="HUR219" s="212"/>
      <c r="HUS219" s="212"/>
      <c r="HUT219" s="212"/>
      <c r="HUU219" s="212"/>
      <c r="HUV219" s="212"/>
      <c r="HUW219" s="212"/>
      <c r="HUX219" s="212"/>
      <c r="HUY219" s="212"/>
      <c r="HUZ219" s="212"/>
      <c r="HVA219" s="212"/>
      <c r="HVB219" s="212"/>
      <c r="HVC219" s="212"/>
      <c r="HVD219" s="214"/>
      <c r="HVE219" s="211"/>
      <c r="HVF219" s="212"/>
      <c r="HVG219" s="212"/>
      <c r="HVH219" s="212"/>
      <c r="HVI219" s="212"/>
      <c r="HVJ219" s="212"/>
      <c r="HVK219" s="212"/>
      <c r="HVL219" s="212"/>
      <c r="HVM219" s="212"/>
      <c r="HVN219" s="212"/>
      <c r="HVO219" s="212"/>
      <c r="HVP219" s="212"/>
      <c r="HVQ219" s="212"/>
      <c r="HVR219" s="212"/>
      <c r="HVS219" s="212"/>
      <c r="HVT219" s="212"/>
      <c r="HVU219" s="212"/>
      <c r="HVV219" s="212"/>
      <c r="HVW219" s="212"/>
      <c r="HVX219" s="212"/>
      <c r="HVY219" s="212"/>
      <c r="HVZ219" s="212"/>
      <c r="HWA219" s="212"/>
      <c r="HWB219" s="212"/>
      <c r="HWC219" s="212"/>
      <c r="HWD219" s="212"/>
      <c r="HWE219" s="212"/>
      <c r="HWF219" s="212"/>
      <c r="HWG219" s="212"/>
      <c r="HWH219" s="212"/>
      <c r="HWI219" s="212"/>
      <c r="HWJ219" s="212"/>
      <c r="HWK219" s="212"/>
      <c r="HWL219" s="212"/>
      <c r="HWM219" s="212"/>
      <c r="HWN219" s="212"/>
      <c r="HWO219" s="212"/>
      <c r="HWP219" s="212"/>
      <c r="HWQ219" s="212"/>
      <c r="HWR219" s="212"/>
      <c r="HWS219" s="212"/>
      <c r="HWT219" s="212"/>
      <c r="HWU219" s="212"/>
      <c r="HWV219" s="214"/>
      <c r="HWW219" s="211"/>
      <c r="HWX219" s="212"/>
      <c r="HWY219" s="212"/>
      <c r="HWZ219" s="212"/>
      <c r="HXA219" s="212"/>
      <c r="HXB219" s="212"/>
      <c r="HXC219" s="212"/>
      <c r="HXD219" s="212"/>
      <c r="HXE219" s="212"/>
      <c r="HXF219" s="212"/>
      <c r="HXG219" s="212"/>
      <c r="HXH219" s="212"/>
      <c r="HXI219" s="212"/>
      <c r="HXJ219" s="212"/>
      <c r="HXK219" s="212"/>
      <c r="HXL219" s="212"/>
      <c r="HXM219" s="212"/>
      <c r="HXN219" s="212"/>
      <c r="HXO219" s="212"/>
      <c r="HXP219" s="212"/>
      <c r="HXQ219" s="212"/>
      <c r="HXR219" s="212"/>
      <c r="HXS219" s="212"/>
      <c r="HXT219" s="212"/>
      <c r="HXU219" s="212"/>
      <c r="HXV219" s="212"/>
      <c r="HXW219" s="212"/>
      <c r="HXX219" s="212"/>
      <c r="HXY219" s="212"/>
      <c r="HXZ219" s="212"/>
      <c r="HYA219" s="212"/>
      <c r="HYB219" s="212"/>
      <c r="HYC219" s="212"/>
      <c r="HYD219" s="212"/>
      <c r="HYE219" s="212"/>
      <c r="HYF219" s="212"/>
      <c r="HYG219" s="212"/>
      <c r="HYH219" s="212"/>
      <c r="HYI219" s="212"/>
      <c r="HYJ219" s="212"/>
      <c r="HYK219" s="212"/>
      <c r="HYL219" s="212"/>
      <c r="HYM219" s="212"/>
      <c r="HYN219" s="214"/>
      <c r="HYO219" s="211"/>
      <c r="HYP219" s="212"/>
      <c r="HYQ219" s="212"/>
      <c r="HYR219" s="212"/>
      <c r="HYS219" s="212"/>
      <c r="HYT219" s="212"/>
      <c r="HYU219" s="212"/>
      <c r="HYV219" s="212"/>
      <c r="HYW219" s="212"/>
      <c r="HYX219" s="212"/>
      <c r="HYY219" s="212"/>
      <c r="HYZ219" s="212"/>
      <c r="HZA219" s="212"/>
      <c r="HZB219" s="212"/>
      <c r="HZC219" s="212"/>
      <c r="HZD219" s="212"/>
      <c r="HZE219" s="212"/>
      <c r="HZF219" s="212"/>
      <c r="HZG219" s="212"/>
      <c r="HZH219" s="212"/>
      <c r="HZI219" s="212"/>
      <c r="HZJ219" s="212"/>
      <c r="HZK219" s="212"/>
      <c r="HZL219" s="212"/>
      <c r="HZM219" s="212"/>
      <c r="HZN219" s="212"/>
      <c r="HZO219" s="212"/>
      <c r="HZP219" s="212"/>
      <c r="HZQ219" s="212"/>
      <c r="HZR219" s="212"/>
      <c r="HZS219" s="212"/>
      <c r="HZT219" s="212"/>
      <c r="HZU219" s="212"/>
      <c r="HZV219" s="212"/>
      <c r="HZW219" s="212"/>
      <c r="HZX219" s="212"/>
      <c r="HZY219" s="212"/>
      <c r="HZZ219" s="212"/>
      <c r="IAA219" s="212"/>
      <c r="IAB219" s="212"/>
      <c r="IAC219" s="212"/>
      <c r="IAD219" s="212"/>
      <c r="IAE219" s="212"/>
      <c r="IAF219" s="214"/>
      <c r="IAG219" s="211"/>
      <c r="IAH219" s="212"/>
      <c r="IAI219" s="212"/>
      <c r="IAJ219" s="212"/>
      <c r="IAK219" s="212"/>
      <c r="IAL219" s="212"/>
      <c r="IAM219" s="212"/>
      <c r="IAN219" s="212"/>
      <c r="IAO219" s="212"/>
      <c r="IAP219" s="212"/>
      <c r="IAQ219" s="212"/>
      <c r="IAR219" s="212"/>
      <c r="IAS219" s="212"/>
      <c r="IAT219" s="212"/>
      <c r="IAU219" s="212"/>
      <c r="IAV219" s="212"/>
      <c r="IAW219" s="212"/>
      <c r="IAX219" s="212"/>
      <c r="IAY219" s="212"/>
      <c r="IAZ219" s="212"/>
      <c r="IBA219" s="212"/>
      <c r="IBB219" s="212"/>
      <c r="IBC219" s="212"/>
      <c r="IBD219" s="212"/>
      <c r="IBE219" s="212"/>
      <c r="IBF219" s="212"/>
      <c r="IBG219" s="212"/>
      <c r="IBH219" s="212"/>
      <c r="IBI219" s="212"/>
      <c r="IBJ219" s="212"/>
      <c r="IBK219" s="212"/>
      <c r="IBL219" s="212"/>
      <c r="IBM219" s="212"/>
      <c r="IBN219" s="212"/>
      <c r="IBO219" s="212"/>
      <c r="IBP219" s="212"/>
      <c r="IBQ219" s="212"/>
      <c r="IBR219" s="212"/>
      <c r="IBS219" s="212"/>
      <c r="IBT219" s="212"/>
      <c r="IBU219" s="212"/>
      <c r="IBV219" s="212"/>
      <c r="IBW219" s="212"/>
      <c r="IBX219" s="214"/>
      <c r="IBY219" s="211"/>
      <c r="IBZ219" s="212"/>
      <c r="ICA219" s="212"/>
      <c r="ICB219" s="212"/>
      <c r="ICC219" s="212"/>
      <c r="ICD219" s="212"/>
      <c r="ICE219" s="212"/>
      <c r="ICF219" s="212"/>
      <c r="ICG219" s="212"/>
      <c r="ICH219" s="212"/>
      <c r="ICI219" s="212"/>
      <c r="ICJ219" s="212"/>
      <c r="ICK219" s="212"/>
      <c r="ICL219" s="212"/>
      <c r="ICM219" s="212"/>
      <c r="ICN219" s="212"/>
      <c r="ICO219" s="212"/>
      <c r="ICP219" s="212"/>
      <c r="ICQ219" s="212"/>
      <c r="ICR219" s="212"/>
      <c r="ICS219" s="212"/>
      <c r="ICT219" s="212"/>
      <c r="ICU219" s="212"/>
      <c r="ICV219" s="212"/>
      <c r="ICW219" s="212"/>
      <c r="ICX219" s="212"/>
      <c r="ICY219" s="212"/>
      <c r="ICZ219" s="212"/>
      <c r="IDA219" s="212"/>
      <c r="IDB219" s="212"/>
      <c r="IDC219" s="212"/>
      <c r="IDD219" s="212"/>
      <c r="IDE219" s="212"/>
      <c r="IDF219" s="212"/>
      <c r="IDG219" s="212"/>
      <c r="IDH219" s="212"/>
      <c r="IDI219" s="212"/>
      <c r="IDJ219" s="212"/>
      <c r="IDK219" s="212"/>
      <c r="IDL219" s="212"/>
      <c r="IDM219" s="212"/>
      <c r="IDN219" s="212"/>
      <c r="IDO219" s="212"/>
      <c r="IDP219" s="214"/>
      <c r="IDQ219" s="211"/>
      <c r="IDR219" s="212"/>
      <c r="IDS219" s="212"/>
      <c r="IDT219" s="212"/>
      <c r="IDU219" s="212"/>
      <c r="IDV219" s="212"/>
      <c r="IDW219" s="212"/>
      <c r="IDX219" s="212"/>
      <c r="IDY219" s="212"/>
      <c r="IDZ219" s="212"/>
      <c r="IEA219" s="212"/>
      <c r="IEB219" s="212"/>
      <c r="IEC219" s="212"/>
      <c r="IED219" s="212"/>
      <c r="IEE219" s="212"/>
      <c r="IEF219" s="212"/>
      <c r="IEG219" s="212"/>
      <c r="IEH219" s="212"/>
      <c r="IEI219" s="212"/>
      <c r="IEJ219" s="212"/>
      <c r="IEK219" s="212"/>
      <c r="IEL219" s="212"/>
      <c r="IEM219" s="212"/>
      <c r="IEN219" s="212"/>
      <c r="IEO219" s="212"/>
      <c r="IEP219" s="212"/>
      <c r="IEQ219" s="212"/>
      <c r="IER219" s="212"/>
      <c r="IES219" s="212"/>
      <c r="IET219" s="212"/>
      <c r="IEU219" s="212"/>
      <c r="IEV219" s="212"/>
      <c r="IEW219" s="212"/>
      <c r="IEX219" s="212"/>
      <c r="IEY219" s="212"/>
      <c r="IEZ219" s="212"/>
      <c r="IFA219" s="212"/>
      <c r="IFB219" s="212"/>
      <c r="IFC219" s="212"/>
      <c r="IFD219" s="212"/>
      <c r="IFE219" s="212"/>
      <c r="IFF219" s="212"/>
      <c r="IFG219" s="212"/>
      <c r="IFH219" s="214"/>
      <c r="IFI219" s="211"/>
      <c r="IFJ219" s="212"/>
      <c r="IFK219" s="212"/>
      <c r="IFL219" s="212"/>
      <c r="IFM219" s="212"/>
      <c r="IFN219" s="212"/>
      <c r="IFO219" s="212"/>
      <c r="IFP219" s="212"/>
      <c r="IFQ219" s="212"/>
      <c r="IFR219" s="212"/>
      <c r="IFS219" s="212"/>
      <c r="IFT219" s="212"/>
      <c r="IFU219" s="212"/>
      <c r="IFV219" s="212"/>
      <c r="IFW219" s="212"/>
      <c r="IFX219" s="212"/>
      <c r="IFY219" s="212"/>
      <c r="IFZ219" s="212"/>
      <c r="IGA219" s="212"/>
      <c r="IGB219" s="212"/>
      <c r="IGC219" s="212"/>
      <c r="IGD219" s="212"/>
      <c r="IGE219" s="212"/>
      <c r="IGF219" s="212"/>
      <c r="IGG219" s="212"/>
      <c r="IGH219" s="212"/>
      <c r="IGI219" s="212"/>
      <c r="IGJ219" s="212"/>
      <c r="IGK219" s="212"/>
      <c r="IGL219" s="212"/>
      <c r="IGM219" s="212"/>
      <c r="IGN219" s="212"/>
      <c r="IGO219" s="212"/>
      <c r="IGP219" s="212"/>
      <c r="IGQ219" s="212"/>
      <c r="IGR219" s="212"/>
      <c r="IGS219" s="212"/>
      <c r="IGT219" s="212"/>
      <c r="IGU219" s="212"/>
      <c r="IGV219" s="212"/>
      <c r="IGW219" s="212"/>
      <c r="IGX219" s="212"/>
      <c r="IGY219" s="212"/>
      <c r="IGZ219" s="214"/>
      <c r="IHA219" s="211"/>
      <c r="IHB219" s="212"/>
      <c r="IHC219" s="212"/>
      <c r="IHD219" s="212"/>
      <c r="IHE219" s="212"/>
      <c r="IHF219" s="212"/>
      <c r="IHG219" s="212"/>
      <c r="IHH219" s="212"/>
      <c r="IHI219" s="212"/>
      <c r="IHJ219" s="212"/>
      <c r="IHK219" s="212"/>
      <c r="IHL219" s="212"/>
      <c r="IHM219" s="212"/>
      <c r="IHN219" s="212"/>
      <c r="IHO219" s="212"/>
      <c r="IHP219" s="212"/>
      <c r="IHQ219" s="212"/>
      <c r="IHR219" s="212"/>
      <c r="IHS219" s="212"/>
      <c r="IHT219" s="212"/>
      <c r="IHU219" s="212"/>
      <c r="IHV219" s="212"/>
      <c r="IHW219" s="212"/>
      <c r="IHX219" s="212"/>
      <c r="IHY219" s="212"/>
      <c r="IHZ219" s="212"/>
      <c r="IIA219" s="212"/>
      <c r="IIB219" s="212"/>
      <c r="IIC219" s="212"/>
      <c r="IID219" s="212"/>
      <c r="IIE219" s="212"/>
      <c r="IIF219" s="212"/>
      <c r="IIG219" s="212"/>
      <c r="IIH219" s="212"/>
      <c r="III219" s="212"/>
      <c r="IIJ219" s="212"/>
      <c r="IIK219" s="212"/>
      <c r="IIL219" s="212"/>
      <c r="IIM219" s="212"/>
      <c r="IIN219" s="212"/>
      <c r="IIO219" s="212"/>
      <c r="IIP219" s="212"/>
      <c r="IIQ219" s="212"/>
      <c r="IIR219" s="214"/>
      <c r="IIS219" s="211"/>
      <c r="IIT219" s="212"/>
      <c r="IIU219" s="212"/>
      <c r="IIV219" s="212"/>
      <c r="IIW219" s="212"/>
      <c r="IIX219" s="212"/>
      <c r="IIY219" s="212"/>
      <c r="IIZ219" s="212"/>
      <c r="IJA219" s="212"/>
      <c r="IJB219" s="212"/>
      <c r="IJC219" s="212"/>
      <c r="IJD219" s="212"/>
      <c r="IJE219" s="212"/>
      <c r="IJF219" s="212"/>
      <c r="IJG219" s="212"/>
      <c r="IJH219" s="212"/>
      <c r="IJI219" s="212"/>
      <c r="IJJ219" s="212"/>
      <c r="IJK219" s="212"/>
      <c r="IJL219" s="212"/>
      <c r="IJM219" s="212"/>
      <c r="IJN219" s="212"/>
      <c r="IJO219" s="212"/>
      <c r="IJP219" s="212"/>
      <c r="IJQ219" s="212"/>
      <c r="IJR219" s="212"/>
      <c r="IJS219" s="212"/>
      <c r="IJT219" s="212"/>
      <c r="IJU219" s="212"/>
      <c r="IJV219" s="212"/>
      <c r="IJW219" s="212"/>
      <c r="IJX219" s="212"/>
      <c r="IJY219" s="212"/>
      <c r="IJZ219" s="212"/>
      <c r="IKA219" s="212"/>
      <c r="IKB219" s="212"/>
      <c r="IKC219" s="212"/>
      <c r="IKD219" s="212"/>
      <c r="IKE219" s="212"/>
      <c r="IKF219" s="212"/>
      <c r="IKG219" s="212"/>
      <c r="IKH219" s="212"/>
      <c r="IKI219" s="212"/>
      <c r="IKJ219" s="214"/>
      <c r="IKK219" s="211"/>
      <c r="IKL219" s="212"/>
      <c r="IKM219" s="212"/>
      <c r="IKN219" s="212"/>
      <c r="IKO219" s="212"/>
      <c r="IKP219" s="212"/>
      <c r="IKQ219" s="212"/>
      <c r="IKR219" s="212"/>
      <c r="IKS219" s="212"/>
      <c r="IKT219" s="212"/>
      <c r="IKU219" s="212"/>
      <c r="IKV219" s="212"/>
      <c r="IKW219" s="212"/>
      <c r="IKX219" s="212"/>
      <c r="IKY219" s="212"/>
      <c r="IKZ219" s="212"/>
      <c r="ILA219" s="212"/>
      <c r="ILB219" s="212"/>
      <c r="ILC219" s="212"/>
      <c r="ILD219" s="212"/>
      <c r="ILE219" s="212"/>
      <c r="ILF219" s="212"/>
      <c r="ILG219" s="212"/>
      <c r="ILH219" s="212"/>
      <c r="ILI219" s="212"/>
      <c r="ILJ219" s="212"/>
      <c r="ILK219" s="212"/>
      <c r="ILL219" s="212"/>
      <c r="ILM219" s="212"/>
      <c r="ILN219" s="212"/>
      <c r="ILO219" s="212"/>
      <c r="ILP219" s="212"/>
      <c r="ILQ219" s="212"/>
      <c r="ILR219" s="212"/>
      <c r="ILS219" s="212"/>
      <c r="ILT219" s="212"/>
      <c r="ILU219" s="212"/>
      <c r="ILV219" s="212"/>
      <c r="ILW219" s="212"/>
      <c r="ILX219" s="212"/>
      <c r="ILY219" s="212"/>
      <c r="ILZ219" s="212"/>
      <c r="IMA219" s="212"/>
      <c r="IMB219" s="214"/>
      <c r="IMC219" s="211"/>
      <c r="IMD219" s="212"/>
      <c r="IME219" s="212"/>
      <c r="IMF219" s="212"/>
      <c r="IMG219" s="212"/>
      <c r="IMH219" s="212"/>
      <c r="IMI219" s="212"/>
      <c r="IMJ219" s="212"/>
      <c r="IMK219" s="212"/>
      <c r="IML219" s="212"/>
      <c r="IMM219" s="212"/>
      <c r="IMN219" s="212"/>
      <c r="IMO219" s="212"/>
      <c r="IMP219" s="212"/>
      <c r="IMQ219" s="212"/>
      <c r="IMR219" s="212"/>
      <c r="IMS219" s="212"/>
      <c r="IMT219" s="212"/>
      <c r="IMU219" s="212"/>
      <c r="IMV219" s="212"/>
      <c r="IMW219" s="212"/>
      <c r="IMX219" s="212"/>
      <c r="IMY219" s="212"/>
      <c r="IMZ219" s="212"/>
      <c r="INA219" s="212"/>
      <c r="INB219" s="212"/>
      <c r="INC219" s="212"/>
      <c r="IND219" s="212"/>
      <c r="INE219" s="212"/>
      <c r="INF219" s="212"/>
      <c r="ING219" s="212"/>
      <c r="INH219" s="212"/>
      <c r="INI219" s="212"/>
      <c r="INJ219" s="212"/>
      <c r="INK219" s="212"/>
      <c r="INL219" s="212"/>
      <c r="INM219" s="212"/>
      <c r="INN219" s="212"/>
      <c r="INO219" s="212"/>
      <c r="INP219" s="212"/>
      <c r="INQ219" s="212"/>
      <c r="INR219" s="212"/>
      <c r="INS219" s="212"/>
      <c r="INT219" s="214"/>
      <c r="INU219" s="211"/>
      <c r="INV219" s="212"/>
      <c r="INW219" s="212"/>
      <c r="INX219" s="212"/>
      <c r="INY219" s="212"/>
      <c r="INZ219" s="212"/>
      <c r="IOA219" s="212"/>
      <c r="IOB219" s="212"/>
      <c r="IOC219" s="212"/>
      <c r="IOD219" s="212"/>
      <c r="IOE219" s="212"/>
      <c r="IOF219" s="212"/>
      <c r="IOG219" s="212"/>
      <c r="IOH219" s="212"/>
      <c r="IOI219" s="212"/>
      <c r="IOJ219" s="212"/>
      <c r="IOK219" s="212"/>
      <c r="IOL219" s="212"/>
      <c r="IOM219" s="212"/>
      <c r="ION219" s="212"/>
      <c r="IOO219" s="212"/>
      <c r="IOP219" s="212"/>
      <c r="IOQ219" s="212"/>
      <c r="IOR219" s="212"/>
      <c r="IOS219" s="212"/>
      <c r="IOT219" s="212"/>
      <c r="IOU219" s="212"/>
      <c r="IOV219" s="212"/>
      <c r="IOW219" s="212"/>
      <c r="IOX219" s="212"/>
      <c r="IOY219" s="212"/>
      <c r="IOZ219" s="212"/>
      <c r="IPA219" s="212"/>
      <c r="IPB219" s="212"/>
      <c r="IPC219" s="212"/>
      <c r="IPD219" s="212"/>
      <c r="IPE219" s="212"/>
      <c r="IPF219" s="212"/>
      <c r="IPG219" s="212"/>
      <c r="IPH219" s="212"/>
      <c r="IPI219" s="212"/>
      <c r="IPJ219" s="212"/>
      <c r="IPK219" s="212"/>
      <c r="IPL219" s="214"/>
      <c r="IPM219" s="211"/>
      <c r="IPN219" s="212"/>
      <c r="IPO219" s="212"/>
      <c r="IPP219" s="212"/>
      <c r="IPQ219" s="212"/>
      <c r="IPR219" s="212"/>
      <c r="IPS219" s="212"/>
      <c r="IPT219" s="212"/>
      <c r="IPU219" s="212"/>
      <c r="IPV219" s="212"/>
      <c r="IPW219" s="212"/>
      <c r="IPX219" s="212"/>
      <c r="IPY219" s="212"/>
      <c r="IPZ219" s="212"/>
      <c r="IQA219" s="212"/>
      <c r="IQB219" s="212"/>
      <c r="IQC219" s="212"/>
      <c r="IQD219" s="212"/>
      <c r="IQE219" s="212"/>
      <c r="IQF219" s="212"/>
      <c r="IQG219" s="212"/>
      <c r="IQH219" s="212"/>
      <c r="IQI219" s="212"/>
      <c r="IQJ219" s="212"/>
      <c r="IQK219" s="212"/>
      <c r="IQL219" s="212"/>
      <c r="IQM219" s="212"/>
      <c r="IQN219" s="212"/>
      <c r="IQO219" s="212"/>
      <c r="IQP219" s="212"/>
      <c r="IQQ219" s="212"/>
      <c r="IQR219" s="212"/>
      <c r="IQS219" s="212"/>
      <c r="IQT219" s="212"/>
      <c r="IQU219" s="212"/>
      <c r="IQV219" s="212"/>
      <c r="IQW219" s="212"/>
      <c r="IQX219" s="212"/>
      <c r="IQY219" s="212"/>
      <c r="IQZ219" s="212"/>
      <c r="IRA219" s="212"/>
      <c r="IRB219" s="212"/>
      <c r="IRC219" s="212"/>
      <c r="IRD219" s="214"/>
      <c r="IRE219" s="211"/>
      <c r="IRF219" s="212"/>
      <c r="IRG219" s="212"/>
      <c r="IRH219" s="212"/>
      <c r="IRI219" s="212"/>
      <c r="IRJ219" s="212"/>
      <c r="IRK219" s="212"/>
      <c r="IRL219" s="212"/>
      <c r="IRM219" s="212"/>
      <c r="IRN219" s="212"/>
      <c r="IRO219" s="212"/>
      <c r="IRP219" s="212"/>
      <c r="IRQ219" s="212"/>
      <c r="IRR219" s="212"/>
      <c r="IRS219" s="212"/>
      <c r="IRT219" s="212"/>
      <c r="IRU219" s="212"/>
      <c r="IRV219" s="212"/>
      <c r="IRW219" s="212"/>
      <c r="IRX219" s="212"/>
      <c r="IRY219" s="212"/>
      <c r="IRZ219" s="212"/>
      <c r="ISA219" s="212"/>
      <c r="ISB219" s="212"/>
      <c r="ISC219" s="212"/>
      <c r="ISD219" s="212"/>
      <c r="ISE219" s="212"/>
      <c r="ISF219" s="212"/>
      <c r="ISG219" s="212"/>
      <c r="ISH219" s="212"/>
      <c r="ISI219" s="212"/>
      <c r="ISJ219" s="212"/>
      <c r="ISK219" s="212"/>
      <c r="ISL219" s="212"/>
      <c r="ISM219" s="212"/>
      <c r="ISN219" s="212"/>
      <c r="ISO219" s="212"/>
      <c r="ISP219" s="212"/>
      <c r="ISQ219" s="212"/>
      <c r="ISR219" s="212"/>
      <c r="ISS219" s="212"/>
      <c r="IST219" s="212"/>
      <c r="ISU219" s="212"/>
      <c r="ISV219" s="214"/>
      <c r="ISW219" s="211"/>
      <c r="ISX219" s="212"/>
      <c r="ISY219" s="212"/>
      <c r="ISZ219" s="212"/>
      <c r="ITA219" s="212"/>
      <c r="ITB219" s="212"/>
      <c r="ITC219" s="212"/>
      <c r="ITD219" s="212"/>
      <c r="ITE219" s="212"/>
      <c r="ITF219" s="212"/>
      <c r="ITG219" s="212"/>
      <c r="ITH219" s="212"/>
      <c r="ITI219" s="212"/>
      <c r="ITJ219" s="212"/>
      <c r="ITK219" s="212"/>
      <c r="ITL219" s="212"/>
      <c r="ITM219" s="212"/>
      <c r="ITN219" s="212"/>
      <c r="ITO219" s="212"/>
      <c r="ITP219" s="212"/>
      <c r="ITQ219" s="212"/>
      <c r="ITR219" s="212"/>
      <c r="ITS219" s="212"/>
      <c r="ITT219" s="212"/>
      <c r="ITU219" s="212"/>
      <c r="ITV219" s="212"/>
      <c r="ITW219" s="212"/>
      <c r="ITX219" s="212"/>
      <c r="ITY219" s="212"/>
      <c r="ITZ219" s="212"/>
      <c r="IUA219" s="212"/>
      <c r="IUB219" s="212"/>
      <c r="IUC219" s="212"/>
      <c r="IUD219" s="212"/>
      <c r="IUE219" s="212"/>
      <c r="IUF219" s="212"/>
      <c r="IUG219" s="212"/>
      <c r="IUH219" s="212"/>
      <c r="IUI219" s="212"/>
      <c r="IUJ219" s="212"/>
      <c r="IUK219" s="212"/>
      <c r="IUL219" s="212"/>
      <c r="IUM219" s="212"/>
      <c r="IUN219" s="214"/>
      <c r="IUO219" s="211"/>
      <c r="IUP219" s="212"/>
      <c r="IUQ219" s="212"/>
      <c r="IUR219" s="212"/>
      <c r="IUS219" s="212"/>
      <c r="IUT219" s="212"/>
      <c r="IUU219" s="212"/>
      <c r="IUV219" s="212"/>
      <c r="IUW219" s="212"/>
      <c r="IUX219" s="212"/>
      <c r="IUY219" s="212"/>
      <c r="IUZ219" s="212"/>
      <c r="IVA219" s="212"/>
      <c r="IVB219" s="212"/>
      <c r="IVC219" s="212"/>
      <c r="IVD219" s="212"/>
      <c r="IVE219" s="212"/>
      <c r="IVF219" s="212"/>
      <c r="IVG219" s="212"/>
      <c r="IVH219" s="212"/>
      <c r="IVI219" s="212"/>
      <c r="IVJ219" s="212"/>
      <c r="IVK219" s="212"/>
      <c r="IVL219" s="212"/>
      <c r="IVM219" s="212"/>
      <c r="IVN219" s="212"/>
      <c r="IVO219" s="212"/>
      <c r="IVP219" s="212"/>
      <c r="IVQ219" s="212"/>
      <c r="IVR219" s="212"/>
      <c r="IVS219" s="212"/>
      <c r="IVT219" s="212"/>
      <c r="IVU219" s="212"/>
      <c r="IVV219" s="212"/>
      <c r="IVW219" s="212"/>
      <c r="IVX219" s="212"/>
      <c r="IVY219" s="212"/>
      <c r="IVZ219" s="212"/>
      <c r="IWA219" s="212"/>
      <c r="IWB219" s="212"/>
      <c r="IWC219" s="212"/>
      <c r="IWD219" s="212"/>
      <c r="IWE219" s="212"/>
      <c r="IWF219" s="214"/>
      <c r="IWG219" s="211"/>
      <c r="IWH219" s="212"/>
      <c r="IWI219" s="212"/>
      <c r="IWJ219" s="212"/>
      <c r="IWK219" s="212"/>
      <c r="IWL219" s="212"/>
      <c r="IWM219" s="212"/>
      <c r="IWN219" s="212"/>
      <c r="IWO219" s="212"/>
      <c r="IWP219" s="212"/>
      <c r="IWQ219" s="212"/>
      <c r="IWR219" s="212"/>
      <c r="IWS219" s="212"/>
      <c r="IWT219" s="212"/>
      <c r="IWU219" s="212"/>
      <c r="IWV219" s="212"/>
      <c r="IWW219" s="212"/>
      <c r="IWX219" s="212"/>
      <c r="IWY219" s="212"/>
      <c r="IWZ219" s="212"/>
      <c r="IXA219" s="212"/>
      <c r="IXB219" s="212"/>
      <c r="IXC219" s="212"/>
      <c r="IXD219" s="212"/>
      <c r="IXE219" s="212"/>
      <c r="IXF219" s="212"/>
      <c r="IXG219" s="212"/>
      <c r="IXH219" s="212"/>
      <c r="IXI219" s="212"/>
      <c r="IXJ219" s="212"/>
      <c r="IXK219" s="212"/>
      <c r="IXL219" s="212"/>
      <c r="IXM219" s="212"/>
      <c r="IXN219" s="212"/>
      <c r="IXO219" s="212"/>
      <c r="IXP219" s="212"/>
      <c r="IXQ219" s="212"/>
      <c r="IXR219" s="212"/>
      <c r="IXS219" s="212"/>
      <c r="IXT219" s="212"/>
      <c r="IXU219" s="212"/>
      <c r="IXV219" s="212"/>
      <c r="IXW219" s="212"/>
      <c r="IXX219" s="214"/>
      <c r="IXY219" s="211"/>
      <c r="IXZ219" s="212"/>
      <c r="IYA219" s="212"/>
      <c r="IYB219" s="212"/>
      <c r="IYC219" s="212"/>
      <c r="IYD219" s="212"/>
      <c r="IYE219" s="212"/>
      <c r="IYF219" s="212"/>
      <c r="IYG219" s="212"/>
      <c r="IYH219" s="212"/>
      <c r="IYI219" s="212"/>
      <c r="IYJ219" s="212"/>
      <c r="IYK219" s="212"/>
      <c r="IYL219" s="212"/>
      <c r="IYM219" s="212"/>
      <c r="IYN219" s="212"/>
      <c r="IYO219" s="212"/>
      <c r="IYP219" s="212"/>
      <c r="IYQ219" s="212"/>
      <c r="IYR219" s="212"/>
      <c r="IYS219" s="212"/>
      <c r="IYT219" s="212"/>
      <c r="IYU219" s="212"/>
      <c r="IYV219" s="212"/>
      <c r="IYW219" s="212"/>
      <c r="IYX219" s="212"/>
      <c r="IYY219" s="212"/>
      <c r="IYZ219" s="212"/>
      <c r="IZA219" s="212"/>
      <c r="IZB219" s="212"/>
      <c r="IZC219" s="212"/>
      <c r="IZD219" s="212"/>
      <c r="IZE219" s="212"/>
      <c r="IZF219" s="212"/>
      <c r="IZG219" s="212"/>
      <c r="IZH219" s="212"/>
      <c r="IZI219" s="212"/>
      <c r="IZJ219" s="212"/>
      <c r="IZK219" s="212"/>
      <c r="IZL219" s="212"/>
      <c r="IZM219" s="212"/>
      <c r="IZN219" s="212"/>
      <c r="IZO219" s="212"/>
      <c r="IZP219" s="214"/>
      <c r="IZQ219" s="211"/>
      <c r="IZR219" s="212"/>
      <c r="IZS219" s="212"/>
      <c r="IZT219" s="212"/>
      <c r="IZU219" s="212"/>
      <c r="IZV219" s="212"/>
      <c r="IZW219" s="212"/>
      <c r="IZX219" s="212"/>
      <c r="IZY219" s="212"/>
      <c r="IZZ219" s="212"/>
      <c r="JAA219" s="212"/>
      <c r="JAB219" s="212"/>
      <c r="JAC219" s="212"/>
      <c r="JAD219" s="212"/>
      <c r="JAE219" s="212"/>
      <c r="JAF219" s="212"/>
      <c r="JAG219" s="212"/>
      <c r="JAH219" s="212"/>
      <c r="JAI219" s="212"/>
      <c r="JAJ219" s="212"/>
      <c r="JAK219" s="212"/>
      <c r="JAL219" s="212"/>
      <c r="JAM219" s="212"/>
      <c r="JAN219" s="212"/>
      <c r="JAO219" s="212"/>
      <c r="JAP219" s="212"/>
      <c r="JAQ219" s="212"/>
      <c r="JAR219" s="212"/>
      <c r="JAS219" s="212"/>
      <c r="JAT219" s="212"/>
      <c r="JAU219" s="212"/>
      <c r="JAV219" s="212"/>
      <c r="JAW219" s="212"/>
      <c r="JAX219" s="212"/>
      <c r="JAY219" s="212"/>
      <c r="JAZ219" s="212"/>
      <c r="JBA219" s="212"/>
      <c r="JBB219" s="212"/>
      <c r="JBC219" s="212"/>
      <c r="JBD219" s="212"/>
      <c r="JBE219" s="212"/>
      <c r="JBF219" s="212"/>
      <c r="JBG219" s="212"/>
      <c r="JBH219" s="214"/>
      <c r="JBI219" s="211"/>
      <c r="JBJ219" s="212"/>
      <c r="JBK219" s="212"/>
      <c r="JBL219" s="212"/>
      <c r="JBM219" s="212"/>
      <c r="JBN219" s="212"/>
      <c r="JBO219" s="212"/>
      <c r="JBP219" s="212"/>
      <c r="JBQ219" s="212"/>
      <c r="JBR219" s="212"/>
      <c r="JBS219" s="212"/>
      <c r="JBT219" s="212"/>
      <c r="JBU219" s="212"/>
      <c r="JBV219" s="212"/>
      <c r="JBW219" s="212"/>
      <c r="JBX219" s="212"/>
      <c r="JBY219" s="212"/>
      <c r="JBZ219" s="212"/>
      <c r="JCA219" s="212"/>
      <c r="JCB219" s="212"/>
      <c r="JCC219" s="212"/>
      <c r="JCD219" s="212"/>
      <c r="JCE219" s="212"/>
      <c r="JCF219" s="212"/>
      <c r="JCG219" s="212"/>
      <c r="JCH219" s="212"/>
      <c r="JCI219" s="212"/>
      <c r="JCJ219" s="212"/>
      <c r="JCK219" s="212"/>
      <c r="JCL219" s="212"/>
      <c r="JCM219" s="212"/>
      <c r="JCN219" s="212"/>
      <c r="JCO219" s="212"/>
      <c r="JCP219" s="212"/>
      <c r="JCQ219" s="212"/>
      <c r="JCR219" s="212"/>
      <c r="JCS219" s="212"/>
      <c r="JCT219" s="212"/>
      <c r="JCU219" s="212"/>
      <c r="JCV219" s="212"/>
      <c r="JCW219" s="212"/>
      <c r="JCX219" s="212"/>
      <c r="JCY219" s="212"/>
      <c r="JCZ219" s="214"/>
      <c r="JDA219" s="211"/>
      <c r="JDB219" s="212"/>
      <c r="JDC219" s="212"/>
      <c r="JDD219" s="212"/>
      <c r="JDE219" s="212"/>
      <c r="JDF219" s="212"/>
      <c r="JDG219" s="212"/>
      <c r="JDH219" s="212"/>
      <c r="JDI219" s="212"/>
      <c r="JDJ219" s="212"/>
      <c r="JDK219" s="212"/>
      <c r="JDL219" s="212"/>
      <c r="JDM219" s="212"/>
      <c r="JDN219" s="212"/>
      <c r="JDO219" s="212"/>
      <c r="JDP219" s="212"/>
      <c r="JDQ219" s="212"/>
      <c r="JDR219" s="212"/>
      <c r="JDS219" s="212"/>
      <c r="JDT219" s="212"/>
      <c r="JDU219" s="212"/>
      <c r="JDV219" s="212"/>
      <c r="JDW219" s="212"/>
      <c r="JDX219" s="212"/>
      <c r="JDY219" s="212"/>
      <c r="JDZ219" s="212"/>
      <c r="JEA219" s="212"/>
      <c r="JEB219" s="212"/>
      <c r="JEC219" s="212"/>
      <c r="JED219" s="212"/>
      <c r="JEE219" s="212"/>
      <c r="JEF219" s="212"/>
      <c r="JEG219" s="212"/>
      <c r="JEH219" s="212"/>
      <c r="JEI219" s="212"/>
      <c r="JEJ219" s="212"/>
      <c r="JEK219" s="212"/>
      <c r="JEL219" s="212"/>
      <c r="JEM219" s="212"/>
      <c r="JEN219" s="212"/>
      <c r="JEO219" s="212"/>
      <c r="JEP219" s="212"/>
      <c r="JEQ219" s="212"/>
      <c r="JER219" s="214"/>
      <c r="JES219" s="211"/>
      <c r="JET219" s="212"/>
      <c r="JEU219" s="212"/>
      <c r="JEV219" s="212"/>
      <c r="JEW219" s="212"/>
      <c r="JEX219" s="212"/>
      <c r="JEY219" s="212"/>
      <c r="JEZ219" s="212"/>
      <c r="JFA219" s="212"/>
      <c r="JFB219" s="212"/>
      <c r="JFC219" s="212"/>
      <c r="JFD219" s="212"/>
      <c r="JFE219" s="212"/>
      <c r="JFF219" s="212"/>
      <c r="JFG219" s="212"/>
      <c r="JFH219" s="212"/>
      <c r="JFI219" s="212"/>
      <c r="JFJ219" s="212"/>
      <c r="JFK219" s="212"/>
      <c r="JFL219" s="212"/>
      <c r="JFM219" s="212"/>
      <c r="JFN219" s="212"/>
      <c r="JFO219" s="212"/>
      <c r="JFP219" s="212"/>
      <c r="JFQ219" s="212"/>
      <c r="JFR219" s="212"/>
      <c r="JFS219" s="212"/>
      <c r="JFT219" s="212"/>
      <c r="JFU219" s="212"/>
      <c r="JFV219" s="212"/>
      <c r="JFW219" s="212"/>
      <c r="JFX219" s="212"/>
      <c r="JFY219" s="212"/>
      <c r="JFZ219" s="212"/>
      <c r="JGA219" s="212"/>
      <c r="JGB219" s="212"/>
      <c r="JGC219" s="212"/>
      <c r="JGD219" s="212"/>
      <c r="JGE219" s="212"/>
      <c r="JGF219" s="212"/>
      <c r="JGG219" s="212"/>
      <c r="JGH219" s="212"/>
      <c r="JGI219" s="212"/>
      <c r="JGJ219" s="214"/>
      <c r="JGK219" s="211"/>
      <c r="JGL219" s="212"/>
      <c r="JGM219" s="212"/>
      <c r="JGN219" s="212"/>
      <c r="JGO219" s="212"/>
      <c r="JGP219" s="212"/>
      <c r="JGQ219" s="212"/>
      <c r="JGR219" s="212"/>
      <c r="JGS219" s="212"/>
      <c r="JGT219" s="212"/>
      <c r="JGU219" s="212"/>
      <c r="JGV219" s="212"/>
      <c r="JGW219" s="212"/>
      <c r="JGX219" s="212"/>
      <c r="JGY219" s="212"/>
      <c r="JGZ219" s="212"/>
      <c r="JHA219" s="212"/>
      <c r="JHB219" s="212"/>
      <c r="JHC219" s="212"/>
      <c r="JHD219" s="212"/>
      <c r="JHE219" s="212"/>
      <c r="JHF219" s="212"/>
      <c r="JHG219" s="212"/>
      <c r="JHH219" s="212"/>
      <c r="JHI219" s="212"/>
      <c r="JHJ219" s="212"/>
      <c r="JHK219" s="212"/>
      <c r="JHL219" s="212"/>
      <c r="JHM219" s="212"/>
      <c r="JHN219" s="212"/>
      <c r="JHO219" s="212"/>
      <c r="JHP219" s="212"/>
      <c r="JHQ219" s="212"/>
      <c r="JHR219" s="212"/>
      <c r="JHS219" s="212"/>
      <c r="JHT219" s="212"/>
      <c r="JHU219" s="212"/>
      <c r="JHV219" s="212"/>
      <c r="JHW219" s="212"/>
      <c r="JHX219" s="212"/>
      <c r="JHY219" s="212"/>
      <c r="JHZ219" s="212"/>
      <c r="JIA219" s="212"/>
      <c r="JIB219" s="214"/>
      <c r="JIC219" s="211"/>
      <c r="JID219" s="212"/>
      <c r="JIE219" s="212"/>
      <c r="JIF219" s="212"/>
      <c r="JIG219" s="212"/>
      <c r="JIH219" s="212"/>
      <c r="JII219" s="212"/>
      <c r="JIJ219" s="212"/>
      <c r="JIK219" s="212"/>
      <c r="JIL219" s="212"/>
      <c r="JIM219" s="212"/>
      <c r="JIN219" s="212"/>
      <c r="JIO219" s="212"/>
      <c r="JIP219" s="212"/>
      <c r="JIQ219" s="212"/>
      <c r="JIR219" s="212"/>
      <c r="JIS219" s="212"/>
      <c r="JIT219" s="212"/>
      <c r="JIU219" s="212"/>
      <c r="JIV219" s="212"/>
      <c r="JIW219" s="212"/>
      <c r="JIX219" s="212"/>
      <c r="JIY219" s="212"/>
      <c r="JIZ219" s="212"/>
      <c r="JJA219" s="212"/>
      <c r="JJB219" s="212"/>
      <c r="JJC219" s="212"/>
      <c r="JJD219" s="212"/>
      <c r="JJE219" s="212"/>
      <c r="JJF219" s="212"/>
      <c r="JJG219" s="212"/>
      <c r="JJH219" s="212"/>
      <c r="JJI219" s="212"/>
      <c r="JJJ219" s="212"/>
      <c r="JJK219" s="212"/>
      <c r="JJL219" s="212"/>
      <c r="JJM219" s="212"/>
      <c r="JJN219" s="212"/>
      <c r="JJO219" s="212"/>
      <c r="JJP219" s="212"/>
      <c r="JJQ219" s="212"/>
      <c r="JJR219" s="212"/>
      <c r="JJS219" s="212"/>
      <c r="JJT219" s="214"/>
      <c r="JJU219" s="211"/>
      <c r="JJV219" s="212"/>
      <c r="JJW219" s="212"/>
      <c r="JJX219" s="212"/>
      <c r="JJY219" s="212"/>
      <c r="JJZ219" s="212"/>
      <c r="JKA219" s="212"/>
      <c r="JKB219" s="212"/>
      <c r="JKC219" s="212"/>
      <c r="JKD219" s="212"/>
      <c r="JKE219" s="212"/>
      <c r="JKF219" s="212"/>
      <c r="JKG219" s="212"/>
      <c r="JKH219" s="212"/>
      <c r="JKI219" s="212"/>
      <c r="JKJ219" s="212"/>
      <c r="JKK219" s="212"/>
      <c r="JKL219" s="212"/>
      <c r="JKM219" s="212"/>
      <c r="JKN219" s="212"/>
      <c r="JKO219" s="212"/>
      <c r="JKP219" s="212"/>
      <c r="JKQ219" s="212"/>
      <c r="JKR219" s="212"/>
      <c r="JKS219" s="212"/>
      <c r="JKT219" s="212"/>
      <c r="JKU219" s="212"/>
      <c r="JKV219" s="212"/>
      <c r="JKW219" s="212"/>
      <c r="JKX219" s="212"/>
      <c r="JKY219" s="212"/>
      <c r="JKZ219" s="212"/>
      <c r="JLA219" s="212"/>
      <c r="JLB219" s="212"/>
      <c r="JLC219" s="212"/>
      <c r="JLD219" s="212"/>
      <c r="JLE219" s="212"/>
      <c r="JLF219" s="212"/>
      <c r="JLG219" s="212"/>
      <c r="JLH219" s="212"/>
      <c r="JLI219" s="212"/>
      <c r="JLJ219" s="212"/>
      <c r="JLK219" s="212"/>
      <c r="JLL219" s="214"/>
      <c r="JLM219" s="211"/>
      <c r="JLN219" s="212"/>
      <c r="JLO219" s="212"/>
      <c r="JLP219" s="212"/>
      <c r="JLQ219" s="212"/>
      <c r="JLR219" s="212"/>
      <c r="JLS219" s="212"/>
      <c r="JLT219" s="212"/>
      <c r="JLU219" s="212"/>
      <c r="JLV219" s="212"/>
      <c r="JLW219" s="212"/>
      <c r="JLX219" s="212"/>
      <c r="JLY219" s="212"/>
      <c r="JLZ219" s="212"/>
      <c r="JMA219" s="212"/>
      <c r="JMB219" s="212"/>
      <c r="JMC219" s="212"/>
      <c r="JMD219" s="212"/>
      <c r="JME219" s="212"/>
      <c r="JMF219" s="212"/>
      <c r="JMG219" s="212"/>
      <c r="JMH219" s="212"/>
      <c r="JMI219" s="212"/>
      <c r="JMJ219" s="212"/>
      <c r="JMK219" s="212"/>
      <c r="JML219" s="212"/>
      <c r="JMM219" s="212"/>
      <c r="JMN219" s="212"/>
      <c r="JMO219" s="212"/>
      <c r="JMP219" s="212"/>
      <c r="JMQ219" s="212"/>
      <c r="JMR219" s="212"/>
      <c r="JMS219" s="212"/>
      <c r="JMT219" s="212"/>
      <c r="JMU219" s="212"/>
      <c r="JMV219" s="212"/>
      <c r="JMW219" s="212"/>
      <c r="JMX219" s="212"/>
      <c r="JMY219" s="212"/>
      <c r="JMZ219" s="212"/>
      <c r="JNA219" s="212"/>
      <c r="JNB219" s="212"/>
      <c r="JNC219" s="212"/>
      <c r="JND219" s="214"/>
      <c r="JNE219" s="211"/>
      <c r="JNF219" s="212"/>
      <c r="JNG219" s="212"/>
      <c r="JNH219" s="212"/>
      <c r="JNI219" s="212"/>
      <c r="JNJ219" s="212"/>
      <c r="JNK219" s="212"/>
      <c r="JNL219" s="212"/>
      <c r="JNM219" s="212"/>
      <c r="JNN219" s="212"/>
      <c r="JNO219" s="212"/>
      <c r="JNP219" s="212"/>
      <c r="JNQ219" s="212"/>
      <c r="JNR219" s="212"/>
      <c r="JNS219" s="212"/>
      <c r="JNT219" s="212"/>
      <c r="JNU219" s="212"/>
      <c r="JNV219" s="212"/>
      <c r="JNW219" s="212"/>
      <c r="JNX219" s="212"/>
      <c r="JNY219" s="212"/>
      <c r="JNZ219" s="212"/>
      <c r="JOA219" s="212"/>
      <c r="JOB219" s="212"/>
      <c r="JOC219" s="212"/>
      <c r="JOD219" s="212"/>
      <c r="JOE219" s="212"/>
      <c r="JOF219" s="212"/>
      <c r="JOG219" s="212"/>
      <c r="JOH219" s="212"/>
      <c r="JOI219" s="212"/>
      <c r="JOJ219" s="212"/>
      <c r="JOK219" s="212"/>
      <c r="JOL219" s="212"/>
      <c r="JOM219" s="212"/>
      <c r="JON219" s="212"/>
      <c r="JOO219" s="212"/>
      <c r="JOP219" s="212"/>
      <c r="JOQ219" s="212"/>
      <c r="JOR219" s="212"/>
      <c r="JOS219" s="212"/>
      <c r="JOT219" s="212"/>
      <c r="JOU219" s="212"/>
      <c r="JOV219" s="214"/>
      <c r="JOW219" s="211"/>
      <c r="JOX219" s="212"/>
      <c r="JOY219" s="212"/>
      <c r="JOZ219" s="212"/>
      <c r="JPA219" s="212"/>
      <c r="JPB219" s="212"/>
      <c r="JPC219" s="212"/>
      <c r="JPD219" s="212"/>
      <c r="JPE219" s="212"/>
      <c r="JPF219" s="212"/>
      <c r="JPG219" s="212"/>
      <c r="JPH219" s="212"/>
      <c r="JPI219" s="212"/>
      <c r="JPJ219" s="212"/>
      <c r="JPK219" s="212"/>
      <c r="JPL219" s="212"/>
      <c r="JPM219" s="212"/>
      <c r="JPN219" s="212"/>
      <c r="JPO219" s="212"/>
      <c r="JPP219" s="212"/>
      <c r="JPQ219" s="212"/>
      <c r="JPR219" s="212"/>
      <c r="JPS219" s="212"/>
      <c r="JPT219" s="212"/>
      <c r="JPU219" s="212"/>
      <c r="JPV219" s="212"/>
      <c r="JPW219" s="212"/>
      <c r="JPX219" s="212"/>
      <c r="JPY219" s="212"/>
      <c r="JPZ219" s="212"/>
      <c r="JQA219" s="212"/>
      <c r="JQB219" s="212"/>
      <c r="JQC219" s="212"/>
      <c r="JQD219" s="212"/>
      <c r="JQE219" s="212"/>
      <c r="JQF219" s="212"/>
      <c r="JQG219" s="212"/>
      <c r="JQH219" s="212"/>
      <c r="JQI219" s="212"/>
      <c r="JQJ219" s="212"/>
      <c r="JQK219" s="212"/>
      <c r="JQL219" s="212"/>
      <c r="JQM219" s="212"/>
      <c r="JQN219" s="214"/>
      <c r="JQO219" s="211"/>
      <c r="JQP219" s="212"/>
      <c r="JQQ219" s="212"/>
      <c r="JQR219" s="212"/>
      <c r="JQS219" s="212"/>
      <c r="JQT219" s="212"/>
      <c r="JQU219" s="212"/>
      <c r="JQV219" s="212"/>
      <c r="JQW219" s="212"/>
      <c r="JQX219" s="212"/>
      <c r="JQY219" s="212"/>
      <c r="JQZ219" s="212"/>
      <c r="JRA219" s="212"/>
      <c r="JRB219" s="212"/>
      <c r="JRC219" s="212"/>
      <c r="JRD219" s="212"/>
      <c r="JRE219" s="212"/>
      <c r="JRF219" s="212"/>
      <c r="JRG219" s="212"/>
      <c r="JRH219" s="212"/>
      <c r="JRI219" s="212"/>
      <c r="JRJ219" s="212"/>
      <c r="JRK219" s="212"/>
      <c r="JRL219" s="212"/>
      <c r="JRM219" s="212"/>
      <c r="JRN219" s="212"/>
      <c r="JRO219" s="212"/>
      <c r="JRP219" s="212"/>
      <c r="JRQ219" s="212"/>
      <c r="JRR219" s="212"/>
      <c r="JRS219" s="212"/>
      <c r="JRT219" s="212"/>
      <c r="JRU219" s="212"/>
      <c r="JRV219" s="212"/>
      <c r="JRW219" s="212"/>
      <c r="JRX219" s="212"/>
      <c r="JRY219" s="212"/>
      <c r="JRZ219" s="212"/>
      <c r="JSA219" s="212"/>
      <c r="JSB219" s="212"/>
      <c r="JSC219" s="212"/>
      <c r="JSD219" s="212"/>
      <c r="JSE219" s="212"/>
      <c r="JSF219" s="214"/>
      <c r="JSG219" s="211"/>
      <c r="JSH219" s="212"/>
      <c r="JSI219" s="212"/>
      <c r="JSJ219" s="212"/>
      <c r="JSK219" s="212"/>
      <c r="JSL219" s="212"/>
      <c r="JSM219" s="212"/>
      <c r="JSN219" s="212"/>
      <c r="JSO219" s="212"/>
      <c r="JSP219" s="212"/>
      <c r="JSQ219" s="212"/>
      <c r="JSR219" s="212"/>
      <c r="JSS219" s="212"/>
      <c r="JST219" s="212"/>
      <c r="JSU219" s="212"/>
      <c r="JSV219" s="212"/>
      <c r="JSW219" s="212"/>
      <c r="JSX219" s="212"/>
      <c r="JSY219" s="212"/>
      <c r="JSZ219" s="212"/>
      <c r="JTA219" s="212"/>
      <c r="JTB219" s="212"/>
      <c r="JTC219" s="212"/>
      <c r="JTD219" s="212"/>
      <c r="JTE219" s="212"/>
      <c r="JTF219" s="212"/>
      <c r="JTG219" s="212"/>
      <c r="JTH219" s="212"/>
      <c r="JTI219" s="212"/>
      <c r="JTJ219" s="212"/>
      <c r="JTK219" s="212"/>
      <c r="JTL219" s="212"/>
      <c r="JTM219" s="212"/>
      <c r="JTN219" s="212"/>
      <c r="JTO219" s="212"/>
      <c r="JTP219" s="212"/>
      <c r="JTQ219" s="212"/>
      <c r="JTR219" s="212"/>
      <c r="JTS219" s="212"/>
      <c r="JTT219" s="212"/>
      <c r="JTU219" s="212"/>
      <c r="JTV219" s="212"/>
      <c r="JTW219" s="212"/>
      <c r="JTX219" s="214"/>
      <c r="JTY219" s="211"/>
      <c r="JTZ219" s="212"/>
      <c r="JUA219" s="212"/>
      <c r="JUB219" s="212"/>
      <c r="JUC219" s="212"/>
      <c r="JUD219" s="212"/>
      <c r="JUE219" s="212"/>
      <c r="JUF219" s="212"/>
      <c r="JUG219" s="212"/>
      <c r="JUH219" s="212"/>
      <c r="JUI219" s="212"/>
      <c r="JUJ219" s="212"/>
      <c r="JUK219" s="212"/>
      <c r="JUL219" s="212"/>
      <c r="JUM219" s="212"/>
      <c r="JUN219" s="212"/>
      <c r="JUO219" s="212"/>
      <c r="JUP219" s="212"/>
      <c r="JUQ219" s="212"/>
      <c r="JUR219" s="212"/>
      <c r="JUS219" s="212"/>
      <c r="JUT219" s="212"/>
      <c r="JUU219" s="212"/>
      <c r="JUV219" s="212"/>
      <c r="JUW219" s="212"/>
      <c r="JUX219" s="212"/>
      <c r="JUY219" s="212"/>
      <c r="JUZ219" s="212"/>
      <c r="JVA219" s="212"/>
      <c r="JVB219" s="212"/>
      <c r="JVC219" s="212"/>
      <c r="JVD219" s="212"/>
      <c r="JVE219" s="212"/>
      <c r="JVF219" s="212"/>
      <c r="JVG219" s="212"/>
      <c r="JVH219" s="212"/>
      <c r="JVI219" s="212"/>
      <c r="JVJ219" s="212"/>
      <c r="JVK219" s="212"/>
      <c r="JVL219" s="212"/>
      <c r="JVM219" s="212"/>
      <c r="JVN219" s="212"/>
      <c r="JVO219" s="212"/>
      <c r="JVP219" s="214"/>
      <c r="JVQ219" s="211"/>
      <c r="JVR219" s="212"/>
      <c r="JVS219" s="212"/>
      <c r="JVT219" s="212"/>
      <c r="JVU219" s="212"/>
      <c r="JVV219" s="212"/>
      <c r="JVW219" s="212"/>
      <c r="JVX219" s="212"/>
      <c r="JVY219" s="212"/>
      <c r="JVZ219" s="212"/>
      <c r="JWA219" s="212"/>
      <c r="JWB219" s="212"/>
      <c r="JWC219" s="212"/>
      <c r="JWD219" s="212"/>
      <c r="JWE219" s="212"/>
      <c r="JWF219" s="212"/>
      <c r="JWG219" s="212"/>
      <c r="JWH219" s="212"/>
      <c r="JWI219" s="212"/>
      <c r="JWJ219" s="212"/>
      <c r="JWK219" s="212"/>
      <c r="JWL219" s="212"/>
      <c r="JWM219" s="212"/>
      <c r="JWN219" s="212"/>
      <c r="JWO219" s="212"/>
      <c r="JWP219" s="212"/>
      <c r="JWQ219" s="212"/>
      <c r="JWR219" s="212"/>
      <c r="JWS219" s="212"/>
      <c r="JWT219" s="212"/>
      <c r="JWU219" s="212"/>
      <c r="JWV219" s="212"/>
      <c r="JWW219" s="212"/>
      <c r="JWX219" s="212"/>
      <c r="JWY219" s="212"/>
      <c r="JWZ219" s="212"/>
      <c r="JXA219" s="212"/>
      <c r="JXB219" s="212"/>
      <c r="JXC219" s="212"/>
      <c r="JXD219" s="212"/>
      <c r="JXE219" s="212"/>
      <c r="JXF219" s="212"/>
      <c r="JXG219" s="212"/>
      <c r="JXH219" s="214"/>
      <c r="JXI219" s="211"/>
      <c r="JXJ219" s="212"/>
      <c r="JXK219" s="212"/>
      <c r="JXL219" s="212"/>
      <c r="JXM219" s="212"/>
      <c r="JXN219" s="212"/>
      <c r="JXO219" s="212"/>
      <c r="JXP219" s="212"/>
      <c r="JXQ219" s="212"/>
      <c r="JXR219" s="212"/>
      <c r="JXS219" s="212"/>
      <c r="JXT219" s="212"/>
      <c r="JXU219" s="212"/>
      <c r="JXV219" s="212"/>
      <c r="JXW219" s="212"/>
      <c r="JXX219" s="212"/>
      <c r="JXY219" s="212"/>
      <c r="JXZ219" s="212"/>
      <c r="JYA219" s="212"/>
      <c r="JYB219" s="212"/>
      <c r="JYC219" s="212"/>
      <c r="JYD219" s="212"/>
      <c r="JYE219" s="212"/>
      <c r="JYF219" s="212"/>
      <c r="JYG219" s="212"/>
      <c r="JYH219" s="212"/>
      <c r="JYI219" s="212"/>
      <c r="JYJ219" s="212"/>
      <c r="JYK219" s="212"/>
      <c r="JYL219" s="212"/>
      <c r="JYM219" s="212"/>
      <c r="JYN219" s="212"/>
      <c r="JYO219" s="212"/>
      <c r="JYP219" s="212"/>
      <c r="JYQ219" s="212"/>
      <c r="JYR219" s="212"/>
      <c r="JYS219" s="212"/>
      <c r="JYT219" s="212"/>
      <c r="JYU219" s="212"/>
      <c r="JYV219" s="212"/>
      <c r="JYW219" s="212"/>
      <c r="JYX219" s="212"/>
      <c r="JYY219" s="212"/>
      <c r="JYZ219" s="214"/>
      <c r="JZA219" s="211"/>
      <c r="JZB219" s="212"/>
      <c r="JZC219" s="212"/>
      <c r="JZD219" s="212"/>
      <c r="JZE219" s="212"/>
      <c r="JZF219" s="212"/>
      <c r="JZG219" s="212"/>
      <c r="JZH219" s="212"/>
      <c r="JZI219" s="212"/>
      <c r="JZJ219" s="212"/>
      <c r="JZK219" s="212"/>
      <c r="JZL219" s="212"/>
      <c r="JZM219" s="212"/>
      <c r="JZN219" s="212"/>
      <c r="JZO219" s="212"/>
      <c r="JZP219" s="212"/>
      <c r="JZQ219" s="212"/>
      <c r="JZR219" s="212"/>
      <c r="JZS219" s="212"/>
      <c r="JZT219" s="212"/>
      <c r="JZU219" s="212"/>
      <c r="JZV219" s="212"/>
      <c r="JZW219" s="212"/>
      <c r="JZX219" s="212"/>
      <c r="JZY219" s="212"/>
      <c r="JZZ219" s="212"/>
      <c r="KAA219" s="212"/>
      <c r="KAB219" s="212"/>
      <c r="KAC219" s="212"/>
      <c r="KAD219" s="212"/>
      <c r="KAE219" s="212"/>
      <c r="KAF219" s="212"/>
      <c r="KAG219" s="212"/>
      <c r="KAH219" s="212"/>
      <c r="KAI219" s="212"/>
      <c r="KAJ219" s="212"/>
      <c r="KAK219" s="212"/>
      <c r="KAL219" s="212"/>
      <c r="KAM219" s="212"/>
      <c r="KAN219" s="212"/>
      <c r="KAO219" s="212"/>
      <c r="KAP219" s="212"/>
      <c r="KAQ219" s="212"/>
      <c r="KAR219" s="214"/>
      <c r="KAS219" s="211"/>
      <c r="KAT219" s="212"/>
      <c r="KAU219" s="212"/>
      <c r="KAV219" s="212"/>
      <c r="KAW219" s="212"/>
      <c r="KAX219" s="212"/>
      <c r="KAY219" s="212"/>
      <c r="KAZ219" s="212"/>
      <c r="KBA219" s="212"/>
      <c r="KBB219" s="212"/>
      <c r="KBC219" s="212"/>
      <c r="KBD219" s="212"/>
      <c r="KBE219" s="212"/>
      <c r="KBF219" s="212"/>
      <c r="KBG219" s="212"/>
      <c r="KBH219" s="212"/>
      <c r="KBI219" s="212"/>
      <c r="KBJ219" s="212"/>
      <c r="KBK219" s="212"/>
      <c r="KBL219" s="212"/>
      <c r="KBM219" s="212"/>
      <c r="KBN219" s="212"/>
      <c r="KBO219" s="212"/>
      <c r="KBP219" s="212"/>
      <c r="KBQ219" s="212"/>
      <c r="KBR219" s="212"/>
      <c r="KBS219" s="212"/>
      <c r="KBT219" s="212"/>
      <c r="KBU219" s="212"/>
      <c r="KBV219" s="212"/>
      <c r="KBW219" s="212"/>
      <c r="KBX219" s="212"/>
      <c r="KBY219" s="212"/>
      <c r="KBZ219" s="212"/>
      <c r="KCA219" s="212"/>
      <c r="KCB219" s="212"/>
      <c r="KCC219" s="212"/>
      <c r="KCD219" s="212"/>
      <c r="KCE219" s="212"/>
      <c r="KCF219" s="212"/>
      <c r="KCG219" s="212"/>
      <c r="KCH219" s="212"/>
      <c r="KCI219" s="212"/>
      <c r="KCJ219" s="214"/>
      <c r="KCK219" s="211"/>
      <c r="KCL219" s="212"/>
      <c r="KCM219" s="212"/>
      <c r="KCN219" s="212"/>
      <c r="KCO219" s="212"/>
      <c r="KCP219" s="212"/>
      <c r="KCQ219" s="212"/>
      <c r="KCR219" s="212"/>
      <c r="KCS219" s="212"/>
      <c r="KCT219" s="212"/>
      <c r="KCU219" s="212"/>
      <c r="KCV219" s="212"/>
      <c r="KCW219" s="212"/>
      <c r="KCX219" s="212"/>
      <c r="KCY219" s="212"/>
      <c r="KCZ219" s="212"/>
      <c r="KDA219" s="212"/>
      <c r="KDB219" s="212"/>
      <c r="KDC219" s="212"/>
      <c r="KDD219" s="212"/>
      <c r="KDE219" s="212"/>
      <c r="KDF219" s="212"/>
      <c r="KDG219" s="212"/>
      <c r="KDH219" s="212"/>
      <c r="KDI219" s="212"/>
      <c r="KDJ219" s="212"/>
      <c r="KDK219" s="212"/>
      <c r="KDL219" s="212"/>
      <c r="KDM219" s="212"/>
      <c r="KDN219" s="212"/>
      <c r="KDO219" s="212"/>
      <c r="KDP219" s="212"/>
      <c r="KDQ219" s="212"/>
      <c r="KDR219" s="212"/>
      <c r="KDS219" s="212"/>
      <c r="KDT219" s="212"/>
      <c r="KDU219" s="212"/>
      <c r="KDV219" s="212"/>
      <c r="KDW219" s="212"/>
      <c r="KDX219" s="212"/>
      <c r="KDY219" s="212"/>
      <c r="KDZ219" s="212"/>
      <c r="KEA219" s="212"/>
      <c r="KEB219" s="214"/>
      <c r="KEC219" s="211"/>
      <c r="KED219" s="212"/>
      <c r="KEE219" s="212"/>
      <c r="KEF219" s="212"/>
      <c r="KEG219" s="212"/>
      <c r="KEH219" s="212"/>
      <c r="KEI219" s="212"/>
      <c r="KEJ219" s="212"/>
      <c r="KEK219" s="212"/>
      <c r="KEL219" s="212"/>
      <c r="KEM219" s="212"/>
      <c r="KEN219" s="212"/>
      <c r="KEO219" s="212"/>
      <c r="KEP219" s="212"/>
      <c r="KEQ219" s="212"/>
      <c r="KER219" s="212"/>
      <c r="KES219" s="212"/>
      <c r="KET219" s="212"/>
      <c r="KEU219" s="212"/>
      <c r="KEV219" s="212"/>
      <c r="KEW219" s="212"/>
      <c r="KEX219" s="212"/>
      <c r="KEY219" s="212"/>
      <c r="KEZ219" s="212"/>
      <c r="KFA219" s="212"/>
      <c r="KFB219" s="212"/>
      <c r="KFC219" s="212"/>
      <c r="KFD219" s="212"/>
      <c r="KFE219" s="212"/>
      <c r="KFF219" s="212"/>
      <c r="KFG219" s="212"/>
      <c r="KFH219" s="212"/>
      <c r="KFI219" s="212"/>
      <c r="KFJ219" s="212"/>
      <c r="KFK219" s="212"/>
      <c r="KFL219" s="212"/>
      <c r="KFM219" s="212"/>
      <c r="KFN219" s="212"/>
      <c r="KFO219" s="212"/>
      <c r="KFP219" s="212"/>
      <c r="KFQ219" s="212"/>
      <c r="KFR219" s="212"/>
      <c r="KFS219" s="212"/>
      <c r="KFT219" s="214"/>
      <c r="KFU219" s="211"/>
      <c r="KFV219" s="212"/>
      <c r="KFW219" s="212"/>
      <c r="KFX219" s="212"/>
      <c r="KFY219" s="212"/>
      <c r="KFZ219" s="212"/>
      <c r="KGA219" s="212"/>
      <c r="KGB219" s="212"/>
      <c r="KGC219" s="212"/>
      <c r="KGD219" s="212"/>
      <c r="KGE219" s="212"/>
      <c r="KGF219" s="212"/>
      <c r="KGG219" s="212"/>
      <c r="KGH219" s="212"/>
      <c r="KGI219" s="212"/>
      <c r="KGJ219" s="212"/>
      <c r="KGK219" s="212"/>
      <c r="KGL219" s="212"/>
      <c r="KGM219" s="212"/>
      <c r="KGN219" s="212"/>
      <c r="KGO219" s="212"/>
      <c r="KGP219" s="212"/>
      <c r="KGQ219" s="212"/>
      <c r="KGR219" s="212"/>
      <c r="KGS219" s="212"/>
      <c r="KGT219" s="212"/>
      <c r="KGU219" s="212"/>
      <c r="KGV219" s="212"/>
      <c r="KGW219" s="212"/>
      <c r="KGX219" s="212"/>
      <c r="KGY219" s="212"/>
      <c r="KGZ219" s="212"/>
      <c r="KHA219" s="212"/>
      <c r="KHB219" s="212"/>
      <c r="KHC219" s="212"/>
      <c r="KHD219" s="212"/>
      <c r="KHE219" s="212"/>
      <c r="KHF219" s="212"/>
      <c r="KHG219" s="212"/>
      <c r="KHH219" s="212"/>
      <c r="KHI219" s="212"/>
      <c r="KHJ219" s="212"/>
      <c r="KHK219" s="212"/>
      <c r="KHL219" s="214"/>
      <c r="KHM219" s="211"/>
      <c r="KHN219" s="212"/>
      <c r="KHO219" s="212"/>
      <c r="KHP219" s="212"/>
      <c r="KHQ219" s="212"/>
      <c r="KHR219" s="212"/>
      <c r="KHS219" s="212"/>
      <c r="KHT219" s="212"/>
      <c r="KHU219" s="212"/>
      <c r="KHV219" s="212"/>
      <c r="KHW219" s="212"/>
      <c r="KHX219" s="212"/>
      <c r="KHY219" s="212"/>
      <c r="KHZ219" s="212"/>
      <c r="KIA219" s="212"/>
      <c r="KIB219" s="212"/>
      <c r="KIC219" s="212"/>
      <c r="KID219" s="212"/>
      <c r="KIE219" s="212"/>
      <c r="KIF219" s="212"/>
      <c r="KIG219" s="212"/>
      <c r="KIH219" s="212"/>
      <c r="KII219" s="212"/>
      <c r="KIJ219" s="212"/>
      <c r="KIK219" s="212"/>
      <c r="KIL219" s="212"/>
      <c r="KIM219" s="212"/>
      <c r="KIN219" s="212"/>
      <c r="KIO219" s="212"/>
      <c r="KIP219" s="212"/>
      <c r="KIQ219" s="212"/>
      <c r="KIR219" s="212"/>
      <c r="KIS219" s="212"/>
      <c r="KIT219" s="212"/>
      <c r="KIU219" s="212"/>
      <c r="KIV219" s="212"/>
      <c r="KIW219" s="212"/>
      <c r="KIX219" s="212"/>
      <c r="KIY219" s="212"/>
      <c r="KIZ219" s="212"/>
      <c r="KJA219" s="212"/>
      <c r="KJB219" s="212"/>
      <c r="KJC219" s="212"/>
      <c r="KJD219" s="214"/>
      <c r="KJE219" s="211"/>
      <c r="KJF219" s="212"/>
      <c r="KJG219" s="212"/>
      <c r="KJH219" s="212"/>
      <c r="KJI219" s="212"/>
      <c r="KJJ219" s="212"/>
      <c r="KJK219" s="212"/>
      <c r="KJL219" s="212"/>
      <c r="KJM219" s="212"/>
      <c r="KJN219" s="212"/>
      <c r="KJO219" s="212"/>
      <c r="KJP219" s="212"/>
      <c r="KJQ219" s="212"/>
      <c r="KJR219" s="212"/>
      <c r="KJS219" s="212"/>
      <c r="KJT219" s="212"/>
      <c r="KJU219" s="212"/>
      <c r="KJV219" s="212"/>
      <c r="KJW219" s="212"/>
      <c r="KJX219" s="212"/>
      <c r="KJY219" s="212"/>
      <c r="KJZ219" s="212"/>
      <c r="KKA219" s="212"/>
      <c r="KKB219" s="212"/>
      <c r="KKC219" s="212"/>
      <c r="KKD219" s="212"/>
      <c r="KKE219" s="212"/>
      <c r="KKF219" s="212"/>
      <c r="KKG219" s="212"/>
      <c r="KKH219" s="212"/>
      <c r="KKI219" s="212"/>
      <c r="KKJ219" s="212"/>
      <c r="KKK219" s="212"/>
      <c r="KKL219" s="212"/>
      <c r="KKM219" s="212"/>
      <c r="KKN219" s="212"/>
      <c r="KKO219" s="212"/>
      <c r="KKP219" s="212"/>
      <c r="KKQ219" s="212"/>
      <c r="KKR219" s="212"/>
      <c r="KKS219" s="212"/>
      <c r="KKT219" s="212"/>
      <c r="KKU219" s="212"/>
      <c r="KKV219" s="214"/>
      <c r="KKW219" s="211"/>
      <c r="KKX219" s="212"/>
      <c r="KKY219" s="212"/>
      <c r="KKZ219" s="212"/>
      <c r="KLA219" s="212"/>
      <c r="KLB219" s="212"/>
      <c r="KLC219" s="212"/>
      <c r="KLD219" s="212"/>
      <c r="KLE219" s="212"/>
      <c r="KLF219" s="212"/>
      <c r="KLG219" s="212"/>
      <c r="KLH219" s="212"/>
      <c r="KLI219" s="212"/>
      <c r="KLJ219" s="212"/>
      <c r="KLK219" s="212"/>
      <c r="KLL219" s="212"/>
      <c r="KLM219" s="212"/>
      <c r="KLN219" s="212"/>
      <c r="KLO219" s="212"/>
      <c r="KLP219" s="212"/>
      <c r="KLQ219" s="212"/>
      <c r="KLR219" s="212"/>
      <c r="KLS219" s="212"/>
      <c r="KLT219" s="212"/>
      <c r="KLU219" s="212"/>
      <c r="KLV219" s="212"/>
      <c r="KLW219" s="212"/>
      <c r="KLX219" s="212"/>
      <c r="KLY219" s="212"/>
      <c r="KLZ219" s="212"/>
      <c r="KMA219" s="212"/>
      <c r="KMB219" s="212"/>
      <c r="KMC219" s="212"/>
      <c r="KMD219" s="212"/>
      <c r="KME219" s="212"/>
      <c r="KMF219" s="212"/>
      <c r="KMG219" s="212"/>
      <c r="KMH219" s="212"/>
      <c r="KMI219" s="212"/>
      <c r="KMJ219" s="212"/>
      <c r="KMK219" s="212"/>
      <c r="KML219" s="212"/>
      <c r="KMM219" s="212"/>
      <c r="KMN219" s="214"/>
      <c r="KMO219" s="211"/>
      <c r="KMP219" s="212"/>
      <c r="KMQ219" s="212"/>
      <c r="KMR219" s="212"/>
      <c r="KMS219" s="212"/>
      <c r="KMT219" s="212"/>
      <c r="KMU219" s="212"/>
      <c r="KMV219" s="212"/>
      <c r="KMW219" s="212"/>
      <c r="KMX219" s="212"/>
      <c r="KMY219" s="212"/>
      <c r="KMZ219" s="212"/>
      <c r="KNA219" s="212"/>
      <c r="KNB219" s="212"/>
      <c r="KNC219" s="212"/>
      <c r="KND219" s="212"/>
      <c r="KNE219" s="212"/>
      <c r="KNF219" s="212"/>
      <c r="KNG219" s="212"/>
      <c r="KNH219" s="212"/>
      <c r="KNI219" s="212"/>
      <c r="KNJ219" s="212"/>
      <c r="KNK219" s="212"/>
      <c r="KNL219" s="212"/>
      <c r="KNM219" s="212"/>
      <c r="KNN219" s="212"/>
      <c r="KNO219" s="212"/>
      <c r="KNP219" s="212"/>
      <c r="KNQ219" s="212"/>
      <c r="KNR219" s="212"/>
      <c r="KNS219" s="212"/>
      <c r="KNT219" s="212"/>
      <c r="KNU219" s="212"/>
      <c r="KNV219" s="212"/>
      <c r="KNW219" s="212"/>
      <c r="KNX219" s="212"/>
      <c r="KNY219" s="212"/>
      <c r="KNZ219" s="212"/>
      <c r="KOA219" s="212"/>
      <c r="KOB219" s="212"/>
      <c r="KOC219" s="212"/>
      <c r="KOD219" s="212"/>
      <c r="KOE219" s="212"/>
      <c r="KOF219" s="214"/>
      <c r="KOG219" s="211"/>
      <c r="KOH219" s="212"/>
      <c r="KOI219" s="212"/>
      <c r="KOJ219" s="212"/>
      <c r="KOK219" s="212"/>
      <c r="KOL219" s="212"/>
      <c r="KOM219" s="212"/>
      <c r="KON219" s="212"/>
      <c r="KOO219" s="212"/>
      <c r="KOP219" s="212"/>
      <c r="KOQ219" s="212"/>
      <c r="KOR219" s="212"/>
      <c r="KOS219" s="212"/>
      <c r="KOT219" s="212"/>
      <c r="KOU219" s="212"/>
      <c r="KOV219" s="212"/>
      <c r="KOW219" s="212"/>
      <c r="KOX219" s="212"/>
      <c r="KOY219" s="212"/>
      <c r="KOZ219" s="212"/>
      <c r="KPA219" s="212"/>
      <c r="KPB219" s="212"/>
      <c r="KPC219" s="212"/>
      <c r="KPD219" s="212"/>
      <c r="KPE219" s="212"/>
      <c r="KPF219" s="212"/>
      <c r="KPG219" s="212"/>
      <c r="KPH219" s="212"/>
      <c r="KPI219" s="212"/>
      <c r="KPJ219" s="212"/>
      <c r="KPK219" s="212"/>
      <c r="KPL219" s="212"/>
      <c r="KPM219" s="212"/>
      <c r="KPN219" s="212"/>
      <c r="KPO219" s="212"/>
      <c r="KPP219" s="212"/>
      <c r="KPQ219" s="212"/>
      <c r="KPR219" s="212"/>
      <c r="KPS219" s="212"/>
      <c r="KPT219" s="212"/>
      <c r="KPU219" s="212"/>
      <c r="KPV219" s="212"/>
      <c r="KPW219" s="212"/>
      <c r="KPX219" s="214"/>
      <c r="KPY219" s="211"/>
      <c r="KPZ219" s="212"/>
      <c r="KQA219" s="212"/>
      <c r="KQB219" s="212"/>
      <c r="KQC219" s="212"/>
      <c r="KQD219" s="212"/>
      <c r="KQE219" s="212"/>
      <c r="KQF219" s="212"/>
      <c r="KQG219" s="212"/>
      <c r="KQH219" s="212"/>
      <c r="KQI219" s="212"/>
      <c r="KQJ219" s="212"/>
      <c r="KQK219" s="212"/>
      <c r="KQL219" s="212"/>
      <c r="KQM219" s="212"/>
      <c r="KQN219" s="212"/>
      <c r="KQO219" s="212"/>
      <c r="KQP219" s="212"/>
      <c r="KQQ219" s="212"/>
      <c r="KQR219" s="212"/>
      <c r="KQS219" s="212"/>
      <c r="KQT219" s="212"/>
      <c r="KQU219" s="212"/>
      <c r="KQV219" s="212"/>
      <c r="KQW219" s="212"/>
      <c r="KQX219" s="212"/>
      <c r="KQY219" s="212"/>
      <c r="KQZ219" s="212"/>
      <c r="KRA219" s="212"/>
      <c r="KRB219" s="212"/>
      <c r="KRC219" s="212"/>
      <c r="KRD219" s="212"/>
      <c r="KRE219" s="212"/>
      <c r="KRF219" s="212"/>
      <c r="KRG219" s="212"/>
      <c r="KRH219" s="212"/>
      <c r="KRI219" s="212"/>
      <c r="KRJ219" s="212"/>
      <c r="KRK219" s="212"/>
      <c r="KRL219" s="212"/>
      <c r="KRM219" s="212"/>
      <c r="KRN219" s="212"/>
      <c r="KRO219" s="212"/>
      <c r="KRP219" s="214"/>
      <c r="KRQ219" s="211"/>
      <c r="KRR219" s="212"/>
      <c r="KRS219" s="212"/>
      <c r="KRT219" s="212"/>
      <c r="KRU219" s="212"/>
      <c r="KRV219" s="212"/>
      <c r="KRW219" s="212"/>
      <c r="KRX219" s="212"/>
      <c r="KRY219" s="212"/>
      <c r="KRZ219" s="212"/>
      <c r="KSA219" s="212"/>
      <c r="KSB219" s="212"/>
      <c r="KSC219" s="212"/>
      <c r="KSD219" s="212"/>
      <c r="KSE219" s="212"/>
      <c r="KSF219" s="212"/>
      <c r="KSG219" s="212"/>
      <c r="KSH219" s="212"/>
      <c r="KSI219" s="212"/>
      <c r="KSJ219" s="212"/>
      <c r="KSK219" s="212"/>
      <c r="KSL219" s="212"/>
      <c r="KSM219" s="212"/>
      <c r="KSN219" s="212"/>
      <c r="KSO219" s="212"/>
      <c r="KSP219" s="212"/>
      <c r="KSQ219" s="212"/>
      <c r="KSR219" s="212"/>
      <c r="KSS219" s="212"/>
      <c r="KST219" s="212"/>
      <c r="KSU219" s="212"/>
      <c r="KSV219" s="212"/>
      <c r="KSW219" s="212"/>
      <c r="KSX219" s="212"/>
      <c r="KSY219" s="212"/>
      <c r="KSZ219" s="212"/>
      <c r="KTA219" s="212"/>
      <c r="KTB219" s="212"/>
      <c r="KTC219" s="212"/>
      <c r="KTD219" s="212"/>
      <c r="KTE219" s="212"/>
      <c r="KTF219" s="212"/>
      <c r="KTG219" s="212"/>
      <c r="KTH219" s="214"/>
      <c r="KTI219" s="211"/>
      <c r="KTJ219" s="212"/>
      <c r="KTK219" s="212"/>
      <c r="KTL219" s="212"/>
      <c r="KTM219" s="212"/>
      <c r="KTN219" s="212"/>
      <c r="KTO219" s="212"/>
      <c r="KTP219" s="212"/>
      <c r="KTQ219" s="212"/>
      <c r="KTR219" s="212"/>
      <c r="KTS219" s="212"/>
      <c r="KTT219" s="212"/>
      <c r="KTU219" s="212"/>
      <c r="KTV219" s="212"/>
      <c r="KTW219" s="212"/>
      <c r="KTX219" s="212"/>
      <c r="KTY219" s="212"/>
      <c r="KTZ219" s="212"/>
      <c r="KUA219" s="212"/>
      <c r="KUB219" s="212"/>
      <c r="KUC219" s="212"/>
      <c r="KUD219" s="212"/>
      <c r="KUE219" s="212"/>
      <c r="KUF219" s="212"/>
      <c r="KUG219" s="212"/>
      <c r="KUH219" s="212"/>
      <c r="KUI219" s="212"/>
      <c r="KUJ219" s="212"/>
      <c r="KUK219" s="212"/>
      <c r="KUL219" s="212"/>
      <c r="KUM219" s="212"/>
      <c r="KUN219" s="212"/>
      <c r="KUO219" s="212"/>
      <c r="KUP219" s="212"/>
      <c r="KUQ219" s="212"/>
      <c r="KUR219" s="212"/>
      <c r="KUS219" s="212"/>
      <c r="KUT219" s="212"/>
      <c r="KUU219" s="212"/>
      <c r="KUV219" s="212"/>
      <c r="KUW219" s="212"/>
      <c r="KUX219" s="212"/>
      <c r="KUY219" s="212"/>
      <c r="KUZ219" s="214"/>
      <c r="KVA219" s="211"/>
      <c r="KVB219" s="212"/>
      <c r="KVC219" s="212"/>
      <c r="KVD219" s="212"/>
      <c r="KVE219" s="212"/>
      <c r="KVF219" s="212"/>
      <c r="KVG219" s="212"/>
      <c r="KVH219" s="212"/>
      <c r="KVI219" s="212"/>
      <c r="KVJ219" s="212"/>
      <c r="KVK219" s="212"/>
      <c r="KVL219" s="212"/>
      <c r="KVM219" s="212"/>
      <c r="KVN219" s="212"/>
      <c r="KVO219" s="212"/>
      <c r="KVP219" s="212"/>
      <c r="KVQ219" s="212"/>
      <c r="KVR219" s="212"/>
      <c r="KVS219" s="212"/>
      <c r="KVT219" s="212"/>
      <c r="KVU219" s="212"/>
      <c r="KVV219" s="212"/>
      <c r="KVW219" s="212"/>
      <c r="KVX219" s="212"/>
      <c r="KVY219" s="212"/>
      <c r="KVZ219" s="212"/>
      <c r="KWA219" s="212"/>
      <c r="KWB219" s="212"/>
      <c r="KWC219" s="212"/>
      <c r="KWD219" s="212"/>
      <c r="KWE219" s="212"/>
      <c r="KWF219" s="212"/>
      <c r="KWG219" s="212"/>
      <c r="KWH219" s="212"/>
      <c r="KWI219" s="212"/>
      <c r="KWJ219" s="212"/>
      <c r="KWK219" s="212"/>
      <c r="KWL219" s="212"/>
      <c r="KWM219" s="212"/>
      <c r="KWN219" s="212"/>
      <c r="KWO219" s="212"/>
      <c r="KWP219" s="212"/>
      <c r="KWQ219" s="212"/>
      <c r="KWR219" s="214"/>
      <c r="KWS219" s="211"/>
      <c r="KWT219" s="212"/>
      <c r="KWU219" s="212"/>
      <c r="KWV219" s="212"/>
      <c r="KWW219" s="212"/>
      <c r="KWX219" s="212"/>
      <c r="KWY219" s="212"/>
      <c r="KWZ219" s="212"/>
      <c r="KXA219" s="212"/>
      <c r="KXB219" s="212"/>
      <c r="KXC219" s="212"/>
      <c r="KXD219" s="212"/>
      <c r="KXE219" s="212"/>
      <c r="KXF219" s="212"/>
      <c r="KXG219" s="212"/>
      <c r="KXH219" s="212"/>
      <c r="KXI219" s="212"/>
      <c r="KXJ219" s="212"/>
      <c r="KXK219" s="212"/>
      <c r="KXL219" s="212"/>
      <c r="KXM219" s="212"/>
      <c r="KXN219" s="212"/>
      <c r="KXO219" s="212"/>
      <c r="KXP219" s="212"/>
      <c r="KXQ219" s="212"/>
      <c r="KXR219" s="212"/>
      <c r="KXS219" s="212"/>
      <c r="KXT219" s="212"/>
      <c r="KXU219" s="212"/>
      <c r="KXV219" s="212"/>
      <c r="KXW219" s="212"/>
      <c r="KXX219" s="212"/>
      <c r="KXY219" s="212"/>
      <c r="KXZ219" s="212"/>
      <c r="KYA219" s="212"/>
      <c r="KYB219" s="212"/>
      <c r="KYC219" s="212"/>
      <c r="KYD219" s="212"/>
      <c r="KYE219" s="212"/>
      <c r="KYF219" s="212"/>
      <c r="KYG219" s="212"/>
      <c r="KYH219" s="212"/>
      <c r="KYI219" s="212"/>
      <c r="KYJ219" s="214"/>
      <c r="KYK219" s="211"/>
      <c r="KYL219" s="212"/>
      <c r="KYM219" s="212"/>
      <c r="KYN219" s="212"/>
      <c r="KYO219" s="212"/>
      <c r="KYP219" s="212"/>
      <c r="KYQ219" s="212"/>
      <c r="KYR219" s="212"/>
      <c r="KYS219" s="212"/>
      <c r="KYT219" s="212"/>
      <c r="KYU219" s="212"/>
      <c r="KYV219" s="212"/>
      <c r="KYW219" s="212"/>
      <c r="KYX219" s="212"/>
      <c r="KYY219" s="212"/>
      <c r="KYZ219" s="212"/>
      <c r="KZA219" s="212"/>
      <c r="KZB219" s="212"/>
      <c r="KZC219" s="212"/>
      <c r="KZD219" s="212"/>
      <c r="KZE219" s="212"/>
      <c r="KZF219" s="212"/>
      <c r="KZG219" s="212"/>
      <c r="KZH219" s="212"/>
      <c r="KZI219" s="212"/>
      <c r="KZJ219" s="212"/>
      <c r="KZK219" s="212"/>
      <c r="KZL219" s="212"/>
      <c r="KZM219" s="212"/>
      <c r="KZN219" s="212"/>
      <c r="KZO219" s="212"/>
      <c r="KZP219" s="212"/>
      <c r="KZQ219" s="212"/>
      <c r="KZR219" s="212"/>
      <c r="KZS219" s="212"/>
      <c r="KZT219" s="212"/>
      <c r="KZU219" s="212"/>
      <c r="KZV219" s="212"/>
      <c r="KZW219" s="212"/>
      <c r="KZX219" s="212"/>
      <c r="KZY219" s="212"/>
      <c r="KZZ219" s="212"/>
      <c r="LAA219" s="212"/>
      <c r="LAB219" s="214"/>
      <c r="LAC219" s="211"/>
      <c r="LAD219" s="212"/>
      <c r="LAE219" s="212"/>
      <c r="LAF219" s="212"/>
      <c r="LAG219" s="212"/>
      <c r="LAH219" s="212"/>
      <c r="LAI219" s="212"/>
      <c r="LAJ219" s="212"/>
      <c r="LAK219" s="212"/>
      <c r="LAL219" s="212"/>
      <c r="LAM219" s="212"/>
      <c r="LAN219" s="212"/>
      <c r="LAO219" s="212"/>
      <c r="LAP219" s="212"/>
      <c r="LAQ219" s="212"/>
      <c r="LAR219" s="212"/>
      <c r="LAS219" s="212"/>
      <c r="LAT219" s="212"/>
      <c r="LAU219" s="212"/>
      <c r="LAV219" s="212"/>
      <c r="LAW219" s="212"/>
      <c r="LAX219" s="212"/>
      <c r="LAY219" s="212"/>
      <c r="LAZ219" s="212"/>
      <c r="LBA219" s="212"/>
      <c r="LBB219" s="212"/>
      <c r="LBC219" s="212"/>
      <c r="LBD219" s="212"/>
      <c r="LBE219" s="212"/>
      <c r="LBF219" s="212"/>
      <c r="LBG219" s="212"/>
      <c r="LBH219" s="212"/>
      <c r="LBI219" s="212"/>
      <c r="LBJ219" s="212"/>
      <c r="LBK219" s="212"/>
      <c r="LBL219" s="212"/>
      <c r="LBM219" s="212"/>
      <c r="LBN219" s="212"/>
      <c r="LBO219" s="212"/>
      <c r="LBP219" s="212"/>
      <c r="LBQ219" s="212"/>
      <c r="LBR219" s="212"/>
      <c r="LBS219" s="212"/>
      <c r="LBT219" s="214"/>
      <c r="LBU219" s="211"/>
      <c r="LBV219" s="212"/>
      <c r="LBW219" s="212"/>
      <c r="LBX219" s="212"/>
      <c r="LBY219" s="212"/>
      <c r="LBZ219" s="212"/>
      <c r="LCA219" s="212"/>
      <c r="LCB219" s="212"/>
      <c r="LCC219" s="212"/>
      <c r="LCD219" s="212"/>
      <c r="LCE219" s="212"/>
      <c r="LCF219" s="212"/>
      <c r="LCG219" s="212"/>
      <c r="LCH219" s="212"/>
      <c r="LCI219" s="212"/>
      <c r="LCJ219" s="212"/>
      <c r="LCK219" s="212"/>
      <c r="LCL219" s="212"/>
      <c r="LCM219" s="212"/>
      <c r="LCN219" s="212"/>
      <c r="LCO219" s="212"/>
      <c r="LCP219" s="212"/>
      <c r="LCQ219" s="212"/>
      <c r="LCR219" s="212"/>
      <c r="LCS219" s="212"/>
      <c r="LCT219" s="212"/>
      <c r="LCU219" s="212"/>
      <c r="LCV219" s="212"/>
      <c r="LCW219" s="212"/>
      <c r="LCX219" s="212"/>
      <c r="LCY219" s="212"/>
      <c r="LCZ219" s="212"/>
      <c r="LDA219" s="212"/>
      <c r="LDB219" s="212"/>
      <c r="LDC219" s="212"/>
      <c r="LDD219" s="212"/>
      <c r="LDE219" s="212"/>
      <c r="LDF219" s="212"/>
      <c r="LDG219" s="212"/>
      <c r="LDH219" s="212"/>
      <c r="LDI219" s="212"/>
      <c r="LDJ219" s="212"/>
      <c r="LDK219" s="212"/>
      <c r="LDL219" s="214"/>
      <c r="LDM219" s="211"/>
      <c r="LDN219" s="212"/>
      <c r="LDO219" s="212"/>
      <c r="LDP219" s="212"/>
      <c r="LDQ219" s="212"/>
      <c r="LDR219" s="212"/>
      <c r="LDS219" s="212"/>
      <c r="LDT219" s="212"/>
      <c r="LDU219" s="212"/>
      <c r="LDV219" s="212"/>
      <c r="LDW219" s="212"/>
      <c r="LDX219" s="212"/>
      <c r="LDY219" s="212"/>
      <c r="LDZ219" s="212"/>
      <c r="LEA219" s="212"/>
      <c r="LEB219" s="212"/>
      <c r="LEC219" s="212"/>
      <c r="LED219" s="212"/>
      <c r="LEE219" s="212"/>
      <c r="LEF219" s="212"/>
      <c r="LEG219" s="212"/>
      <c r="LEH219" s="212"/>
      <c r="LEI219" s="212"/>
      <c r="LEJ219" s="212"/>
      <c r="LEK219" s="212"/>
      <c r="LEL219" s="212"/>
      <c r="LEM219" s="212"/>
      <c r="LEN219" s="212"/>
      <c r="LEO219" s="212"/>
      <c r="LEP219" s="212"/>
      <c r="LEQ219" s="212"/>
      <c r="LER219" s="212"/>
      <c r="LES219" s="212"/>
      <c r="LET219" s="212"/>
      <c r="LEU219" s="212"/>
      <c r="LEV219" s="212"/>
      <c r="LEW219" s="212"/>
      <c r="LEX219" s="212"/>
      <c r="LEY219" s="212"/>
      <c r="LEZ219" s="212"/>
      <c r="LFA219" s="212"/>
      <c r="LFB219" s="212"/>
      <c r="LFC219" s="212"/>
      <c r="LFD219" s="214"/>
      <c r="LFE219" s="211"/>
      <c r="LFF219" s="212"/>
      <c r="LFG219" s="212"/>
      <c r="LFH219" s="212"/>
      <c r="LFI219" s="212"/>
      <c r="LFJ219" s="212"/>
      <c r="LFK219" s="212"/>
      <c r="LFL219" s="212"/>
      <c r="LFM219" s="212"/>
      <c r="LFN219" s="212"/>
      <c r="LFO219" s="212"/>
      <c r="LFP219" s="212"/>
      <c r="LFQ219" s="212"/>
      <c r="LFR219" s="212"/>
      <c r="LFS219" s="212"/>
      <c r="LFT219" s="212"/>
      <c r="LFU219" s="212"/>
      <c r="LFV219" s="212"/>
      <c r="LFW219" s="212"/>
      <c r="LFX219" s="212"/>
      <c r="LFY219" s="212"/>
      <c r="LFZ219" s="212"/>
      <c r="LGA219" s="212"/>
      <c r="LGB219" s="212"/>
      <c r="LGC219" s="212"/>
      <c r="LGD219" s="212"/>
      <c r="LGE219" s="212"/>
      <c r="LGF219" s="212"/>
      <c r="LGG219" s="212"/>
      <c r="LGH219" s="212"/>
      <c r="LGI219" s="212"/>
      <c r="LGJ219" s="212"/>
      <c r="LGK219" s="212"/>
      <c r="LGL219" s="212"/>
      <c r="LGM219" s="212"/>
      <c r="LGN219" s="212"/>
      <c r="LGO219" s="212"/>
      <c r="LGP219" s="212"/>
      <c r="LGQ219" s="212"/>
      <c r="LGR219" s="212"/>
      <c r="LGS219" s="212"/>
      <c r="LGT219" s="212"/>
      <c r="LGU219" s="212"/>
      <c r="LGV219" s="214"/>
      <c r="LGW219" s="211"/>
      <c r="LGX219" s="212"/>
      <c r="LGY219" s="212"/>
      <c r="LGZ219" s="212"/>
      <c r="LHA219" s="212"/>
      <c r="LHB219" s="212"/>
      <c r="LHC219" s="212"/>
      <c r="LHD219" s="212"/>
      <c r="LHE219" s="212"/>
      <c r="LHF219" s="212"/>
      <c r="LHG219" s="212"/>
      <c r="LHH219" s="212"/>
      <c r="LHI219" s="212"/>
      <c r="LHJ219" s="212"/>
      <c r="LHK219" s="212"/>
      <c r="LHL219" s="212"/>
      <c r="LHM219" s="212"/>
      <c r="LHN219" s="212"/>
      <c r="LHO219" s="212"/>
      <c r="LHP219" s="212"/>
      <c r="LHQ219" s="212"/>
      <c r="LHR219" s="212"/>
      <c r="LHS219" s="212"/>
      <c r="LHT219" s="212"/>
      <c r="LHU219" s="212"/>
      <c r="LHV219" s="212"/>
      <c r="LHW219" s="212"/>
      <c r="LHX219" s="212"/>
      <c r="LHY219" s="212"/>
      <c r="LHZ219" s="212"/>
      <c r="LIA219" s="212"/>
      <c r="LIB219" s="212"/>
      <c r="LIC219" s="212"/>
      <c r="LID219" s="212"/>
      <c r="LIE219" s="212"/>
      <c r="LIF219" s="212"/>
      <c r="LIG219" s="212"/>
      <c r="LIH219" s="212"/>
      <c r="LII219" s="212"/>
      <c r="LIJ219" s="212"/>
      <c r="LIK219" s="212"/>
      <c r="LIL219" s="212"/>
      <c r="LIM219" s="212"/>
      <c r="LIN219" s="214"/>
      <c r="LIO219" s="211"/>
      <c r="LIP219" s="212"/>
      <c r="LIQ219" s="212"/>
      <c r="LIR219" s="212"/>
      <c r="LIS219" s="212"/>
      <c r="LIT219" s="212"/>
      <c r="LIU219" s="212"/>
      <c r="LIV219" s="212"/>
      <c r="LIW219" s="212"/>
      <c r="LIX219" s="212"/>
      <c r="LIY219" s="212"/>
      <c r="LIZ219" s="212"/>
      <c r="LJA219" s="212"/>
      <c r="LJB219" s="212"/>
      <c r="LJC219" s="212"/>
      <c r="LJD219" s="212"/>
      <c r="LJE219" s="212"/>
      <c r="LJF219" s="212"/>
      <c r="LJG219" s="212"/>
      <c r="LJH219" s="212"/>
      <c r="LJI219" s="212"/>
      <c r="LJJ219" s="212"/>
      <c r="LJK219" s="212"/>
      <c r="LJL219" s="212"/>
      <c r="LJM219" s="212"/>
      <c r="LJN219" s="212"/>
      <c r="LJO219" s="212"/>
      <c r="LJP219" s="212"/>
      <c r="LJQ219" s="212"/>
      <c r="LJR219" s="212"/>
      <c r="LJS219" s="212"/>
      <c r="LJT219" s="212"/>
      <c r="LJU219" s="212"/>
      <c r="LJV219" s="212"/>
      <c r="LJW219" s="212"/>
      <c r="LJX219" s="212"/>
      <c r="LJY219" s="212"/>
      <c r="LJZ219" s="212"/>
      <c r="LKA219" s="212"/>
      <c r="LKB219" s="212"/>
      <c r="LKC219" s="212"/>
      <c r="LKD219" s="212"/>
      <c r="LKE219" s="212"/>
      <c r="LKF219" s="214"/>
      <c r="LKG219" s="211"/>
      <c r="LKH219" s="212"/>
      <c r="LKI219" s="212"/>
      <c r="LKJ219" s="212"/>
      <c r="LKK219" s="212"/>
      <c r="LKL219" s="212"/>
      <c r="LKM219" s="212"/>
      <c r="LKN219" s="212"/>
      <c r="LKO219" s="212"/>
      <c r="LKP219" s="212"/>
      <c r="LKQ219" s="212"/>
      <c r="LKR219" s="212"/>
      <c r="LKS219" s="212"/>
      <c r="LKT219" s="212"/>
      <c r="LKU219" s="212"/>
      <c r="LKV219" s="212"/>
      <c r="LKW219" s="212"/>
      <c r="LKX219" s="212"/>
      <c r="LKY219" s="212"/>
      <c r="LKZ219" s="212"/>
      <c r="LLA219" s="212"/>
      <c r="LLB219" s="212"/>
      <c r="LLC219" s="212"/>
      <c r="LLD219" s="212"/>
      <c r="LLE219" s="212"/>
      <c r="LLF219" s="212"/>
      <c r="LLG219" s="212"/>
      <c r="LLH219" s="212"/>
      <c r="LLI219" s="212"/>
      <c r="LLJ219" s="212"/>
      <c r="LLK219" s="212"/>
      <c r="LLL219" s="212"/>
      <c r="LLM219" s="212"/>
      <c r="LLN219" s="212"/>
      <c r="LLO219" s="212"/>
      <c r="LLP219" s="212"/>
      <c r="LLQ219" s="212"/>
      <c r="LLR219" s="212"/>
      <c r="LLS219" s="212"/>
      <c r="LLT219" s="212"/>
      <c r="LLU219" s="212"/>
      <c r="LLV219" s="212"/>
      <c r="LLW219" s="212"/>
      <c r="LLX219" s="214"/>
      <c r="LLY219" s="211"/>
      <c r="LLZ219" s="212"/>
      <c r="LMA219" s="212"/>
      <c r="LMB219" s="212"/>
      <c r="LMC219" s="212"/>
      <c r="LMD219" s="212"/>
      <c r="LME219" s="212"/>
      <c r="LMF219" s="212"/>
      <c r="LMG219" s="212"/>
      <c r="LMH219" s="212"/>
      <c r="LMI219" s="212"/>
      <c r="LMJ219" s="212"/>
      <c r="LMK219" s="212"/>
      <c r="LML219" s="212"/>
      <c r="LMM219" s="212"/>
      <c r="LMN219" s="212"/>
      <c r="LMO219" s="212"/>
      <c r="LMP219" s="212"/>
      <c r="LMQ219" s="212"/>
      <c r="LMR219" s="212"/>
      <c r="LMS219" s="212"/>
      <c r="LMT219" s="212"/>
      <c r="LMU219" s="212"/>
      <c r="LMV219" s="212"/>
      <c r="LMW219" s="212"/>
      <c r="LMX219" s="212"/>
      <c r="LMY219" s="212"/>
      <c r="LMZ219" s="212"/>
      <c r="LNA219" s="212"/>
      <c r="LNB219" s="212"/>
      <c r="LNC219" s="212"/>
      <c r="LND219" s="212"/>
      <c r="LNE219" s="212"/>
      <c r="LNF219" s="212"/>
      <c r="LNG219" s="212"/>
      <c r="LNH219" s="212"/>
      <c r="LNI219" s="212"/>
      <c r="LNJ219" s="212"/>
      <c r="LNK219" s="212"/>
      <c r="LNL219" s="212"/>
      <c r="LNM219" s="212"/>
      <c r="LNN219" s="212"/>
      <c r="LNO219" s="212"/>
      <c r="LNP219" s="214"/>
      <c r="LNQ219" s="211"/>
      <c r="LNR219" s="212"/>
      <c r="LNS219" s="212"/>
      <c r="LNT219" s="212"/>
      <c r="LNU219" s="212"/>
      <c r="LNV219" s="212"/>
      <c r="LNW219" s="212"/>
      <c r="LNX219" s="212"/>
      <c r="LNY219" s="212"/>
      <c r="LNZ219" s="212"/>
      <c r="LOA219" s="212"/>
      <c r="LOB219" s="212"/>
      <c r="LOC219" s="212"/>
      <c r="LOD219" s="212"/>
      <c r="LOE219" s="212"/>
      <c r="LOF219" s="212"/>
      <c r="LOG219" s="212"/>
      <c r="LOH219" s="212"/>
      <c r="LOI219" s="212"/>
      <c r="LOJ219" s="212"/>
      <c r="LOK219" s="212"/>
      <c r="LOL219" s="212"/>
      <c r="LOM219" s="212"/>
      <c r="LON219" s="212"/>
      <c r="LOO219" s="212"/>
      <c r="LOP219" s="212"/>
      <c r="LOQ219" s="212"/>
      <c r="LOR219" s="212"/>
      <c r="LOS219" s="212"/>
      <c r="LOT219" s="212"/>
      <c r="LOU219" s="212"/>
      <c r="LOV219" s="212"/>
      <c r="LOW219" s="212"/>
      <c r="LOX219" s="212"/>
      <c r="LOY219" s="212"/>
      <c r="LOZ219" s="212"/>
      <c r="LPA219" s="212"/>
      <c r="LPB219" s="212"/>
      <c r="LPC219" s="212"/>
      <c r="LPD219" s="212"/>
      <c r="LPE219" s="212"/>
      <c r="LPF219" s="212"/>
      <c r="LPG219" s="212"/>
      <c r="LPH219" s="214"/>
      <c r="LPI219" s="211"/>
      <c r="LPJ219" s="212"/>
      <c r="LPK219" s="212"/>
      <c r="LPL219" s="212"/>
      <c r="LPM219" s="212"/>
      <c r="LPN219" s="212"/>
      <c r="LPO219" s="212"/>
      <c r="LPP219" s="212"/>
      <c r="LPQ219" s="212"/>
      <c r="LPR219" s="212"/>
      <c r="LPS219" s="212"/>
      <c r="LPT219" s="212"/>
      <c r="LPU219" s="212"/>
      <c r="LPV219" s="212"/>
      <c r="LPW219" s="212"/>
      <c r="LPX219" s="212"/>
      <c r="LPY219" s="212"/>
      <c r="LPZ219" s="212"/>
      <c r="LQA219" s="212"/>
      <c r="LQB219" s="212"/>
      <c r="LQC219" s="212"/>
      <c r="LQD219" s="212"/>
      <c r="LQE219" s="212"/>
      <c r="LQF219" s="212"/>
      <c r="LQG219" s="212"/>
      <c r="LQH219" s="212"/>
      <c r="LQI219" s="212"/>
      <c r="LQJ219" s="212"/>
      <c r="LQK219" s="212"/>
      <c r="LQL219" s="212"/>
      <c r="LQM219" s="212"/>
      <c r="LQN219" s="212"/>
      <c r="LQO219" s="212"/>
      <c r="LQP219" s="212"/>
      <c r="LQQ219" s="212"/>
      <c r="LQR219" s="212"/>
      <c r="LQS219" s="212"/>
      <c r="LQT219" s="212"/>
      <c r="LQU219" s="212"/>
      <c r="LQV219" s="212"/>
      <c r="LQW219" s="212"/>
      <c r="LQX219" s="212"/>
      <c r="LQY219" s="212"/>
      <c r="LQZ219" s="214"/>
      <c r="LRA219" s="211"/>
      <c r="LRB219" s="212"/>
      <c r="LRC219" s="212"/>
      <c r="LRD219" s="212"/>
      <c r="LRE219" s="212"/>
      <c r="LRF219" s="212"/>
      <c r="LRG219" s="212"/>
      <c r="LRH219" s="212"/>
      <c r="LRI219" s="212"/>
      <c r="LRJ219" s="212"/>
      <c r="LRK219" s="212"/>
      <c r="LRL219" s="212"/>
      <c r="LRM219" s="212"/>
      <c r="LRN219" s="212"/>
      <c r="LRO219" s="212"/>
      <c r="LRP219" s="212"/>
      <c r="LRQ219" s="212"/>
      <c r="LRR219" s="212"/>
      <c r="LRS219" s="212"/>
      <c r="LRT219" s="212"/>
      <c r="LRU219" s="212"/>
      <c r="LRV219" s="212"/>
      <c r="LRW219" s="212"/>
      <c r="LRX219" s="212"/>
      <c r="LRY219" s="212"/>
      <c r="LRZ219" s="212"/>
      <c r="LSA219" s="212"/>
      <c r="LSB219" s="212"/>
      <c r="LSC219" s="212"/>
      <c r="LSD219" s="212"/>
      <c r="LSE219" s="212"/>
      <c r="LSF219" s="212"/>
      <c r="LSG219" s="212"/>
      <c r="LSH219" s="212"/>
      <c r="LSI219" s="212"/>
      <c r="LSJ219" s="212"/>
      <c r="LSK219" s="212"/>
      <c r="LSL219" s="212"/>
      <c r="LSM219" s="212"/>
      <c r="LSN219" s="212"/>
      <c r="LSO219" s="212"/>
      <c r="LSP219" s="212"/>
      <c r="LSQ219" s="212"/>
      <c r="LSR219" s="214"/>
      <c r="LSS219" s="211"/>
      <c r="LST219" s="212"/>
      <c r="LSU219" s="212"/>
      <c r="LSV219" s="212"/>
      <c r="LSW219" s="212"/>
      <c r="LSX219" s="212"/>
      <c r="LSY219" s="212"/>
      <c r="LSZ219" s="212"/>
      <c r="LTA219" s="212"/>
      <c r="LTB219" s="212"/>
      <c r="LTC219" s="212"/>
      <c r="LTD219" s="212"/>
      <c r="LTE219" s="212"/>
      <c r="LTF219" s="212"/>
      <c r="LTG219" s="212"/>
      <c r="LTH219" s="212"/>
      <c r="LTI219" s="212"/>
      <c r="LTJ219" s="212"/>
      <c r="LTK219" s="212"/>
      <c r="LTL219" s="212"/>
      <c r="LTM219" s="212"/>
      <c r="LTN219" s="212"/>
      <c r="LTO219" s="212"/>
      <c r="LTP219" s="212"/>
      <c r="LTQ219" s="212"/>
      <c r="LTR219" s="212"/>
      <c r="LTS219" s="212"/>
      <c r="LTT219" s="212"/>
      <c r="LTU219" s="212"/>
      <c r="LTV219" s="212"/>
      <c r="LTW219" s="212"/>
      <c r="LTX219" s="212"/>
      <c r="LTY219" s="212"/>
      <c r="LTZ219" s="212"/>
      <c r="LUA219" s="212"/>
      <c r="LUB219" s="212"/>
      <c r="LUC219" s="212"/>
      <c r="LUD219" s="212"/>
      <c r="LUE219" s="212"/>
      <c r="LUF219" s="212"/>
      <c r="LUG219" s="212"/>
      <c r="LUH219" s="212"/>
      <c r="LUI219" s="212"/>
      <c r="LUJ219" s="214"/>
      <c r="LUK219" s="211"/>
      <c r="LUL219" s="212"/>
      <c r="LUM219" s="212"/>
      <c r="LUN219" s="212"/>
      <c r="LUO219" s="212"/>
      <c r="LUP219" s="212"/>
      <c r="LUQ219" s="212"/>
      <c r="LUR219" s="212"/>
      <c r="LUS219" s="212"/>
      <c r="LUT219" s="212"/>
      <c r="LUU219" s="212"/>
      <c r="LUV219" s="212"/>
      <c r="LUW219" s="212"/>
      <c r="LUX219" s="212"/>
      <c r="LUY219" s="212"/>
      <c r="LUZ219" s="212"/>
      <c r="LVA219" s="212"/>
      <c r="LVB219" s="212"/>
      <c r="LVC219" s="212"/>
      <c r="LVD219" s="212"/>
      <c r="LVE219" s="212"/>
      <c r="LVF219" s="212"/>
      <c r="LVG219" s="212"/>
      <c r="LVH219" s="212"/>
      <c r="LVI219" s="212"/>
      <c r="LVJ219" s="212"/>
      <c r="LVK219" s="212"/>
      <c r="LVL219" s="212"/>
      <c r="LVM219" s="212"/>
      <c r="LVN219" s="212"/>
      <c r="LVO219" s="212"/>
      <c r="LVP219" s="212"/>
      <c r="LVQ219" s="212"/>
      <c r="LVR219" s="212"/>
      <c r="LVS219" s="212"/>
      <c r="LVT219" s="212"/>
      <c r="LVU219" s="212"/>
      <c r="LVV219" s="212"/>
      <c r="LVW219" s="212"/>
      <c r="LVX219" s="212"/>
      <c r="LVY219" s="212"/>
      <c r="LVZ219" s="212"/>
      <c r="LWA219" s="212"/>
      <c r="LWB219" s="214"/>
      <c r="LWC219" s="211"/>
      <c r="LWD219" s="212"/>
      <c r="LWE219" s="212"/>
      <c r="LWF219" s="212"/>
      <c r="LWG219" s="212"/>
      <c r="LWH219" s="212"/>
      <c r="LWI219" s="212"/>
      <c r="LWJ219" s="212"/>
      <c r="LWK219" s="212"/>
      <c r="LWL219" s="212"/>
      <c r="LWM219" s="212"/>
      <c r="LWN219" s="212"/>
      <c r="LWO219" s="212"/>
      <c r="LWP219" s="212"/>
      <c r="LWQ219" s="212"/>
      <c r="LWR219" s="212"/>
      <c r="LWS219" s="212"/>
      <c r="LWT219" s="212"/>
      <c r="LWU219" s="212"/>
      <c r="LWV219" s="212"/>
      <c r="LWW219" s="212"/>
      <c r="LWX219" s="212"/>
      <c r="LWY219" s="212"/>
      <c r="LWZ219" s="212"/>
      <c r="LXA219" s="212"/>
      <c r="LXB219" s="212"/>
      <c r="LXC219" s="212"/>
      <c r="LXD219" s="212"/>
      <c r="LXE219" s="212"/>
      <c r="LXF219" s="212"/>
      <c r="LXG219" s="212"/>
      <c r="LXH219" s="212"/>
      <c r="LXI219" s="212"/>
      <c r="LXJ219" s="212"/>
      <c r="LXK219" s="212"/>
      <c r="LXL219" s="212"/>
      <c r="LXM219" s="212"/>
      <c r="LXN219" s="212"/>
      <c r="LXO219" s="212"/>
      <c r="LXP219" s="212"/>
      <c r="LXQ219" s="212"/>
      <c r="LXR219" s="212"/>
      <c r="LXS219" s="212"/>
      <c r="LXT219" s="214"/>
      <c r="LXU219" s="211"/>
      <c r="LXV219" s="212"/>
      <c r="LXW219" s="212"/>
      <c r="LXX219" s="212"/>
      <c r="LXY219" s="212"/>
      <c r="LXZ219" s="212"/>
      <c r="LYA219" s="212"/>
      <c r="LYB219" s="212"/>
      <c r="LYC219" s="212"/>
      <c r="LYD219" s="212"/>
      <c r="LYE219" s="212"/>
      <c r="LYF219" s="212"/>
      <c r="LYG219" s="212"/>
      <c r="LYH219" s="212"/>
      <c r="LYI219" s="212"/>
      <c r="LYJ219" s="212"/>
      <c r="LYK219" s="212"/>
      <c r="LYL219" s="212"/>
      <c r="LYM219" s="212"/>
      <c r="LYN219" s="212"/>
      <c r="LYO219" s="212"/>
      <c r="LYP219" s="212"/>
      <c r="LYQ219" s="212"/>
      <c r="LYR219" s="212"/>
      <c r="LYS219" s="212"/>
      <c r="LYT219" s="212"/>
      <c r="LYU219" s="212"/>
      <c r="LYV219" s="212"/>
      <c r="LYW219" s="212"/>
      <c r="LYX219" s="212"/>
      <c r="LYY219" s="212"/>
      <c r="LYZ219" s="212"/>
      <c r="LZA219" s="212"/>
      <c r="LZB219" s="212"/>
      <c r="LZC219" s="212"/>
      <c r="LZD219" s="212"/>
      <c r="LZE219" s="212"/>
      <c r="LZF219" s="212"/>
      <c r="LZG219" s="212"/>
      <c r="LZH219" s="212"/>
      <c r="LZI219" s="212"/>
      <c r="LZJ219" s="212"/>
      <c r="LZK219" s="212"/>
      <c r="LZL219" s="214"/>
      <c r="LZM219" s="211"/>
      <c r="LZN219" s="212"/>
      <c r="LZO219" s="212"/>
      <c r="LZP219" s="212"/>
      <c r="LZQ219" s="212"/>
      <c r="LZR219" s="212"/>
      <c r="LZS219" s="212"/>
      <c r="LZT219" s="212"/>
      <c r="LZU219" s="212"/>
      <c r="LZV219" s="212"/>
      <c r="LZW219" s="212"/>
      <c r="LZX219" s="212"/>
      <c r="LZY219" s="212"/>
      <c r="LZZ219" s="212"/>
      <c r="MAA219" s="212"/>
      <c r="MAB219" s="212"/>
      <c r="MAC219" s="212"/>
      <c r="MAD219" s="212"/>
      <c r="MAE219" s="212"/>
      <c r="MAF219" s="212"/>
      <c r="MAG219" s="212"/>
      <c r="MAH219" s="212"/>
      <c r="MAI219" s="212"/>
      <c r="MAJ219" s="212"/>
      <c r="MAK219" s="212"/>
      <c r="MAL219" s="212"/>
      <c r="MAM219" s="212"/>
      <c r="MAN219" s="212"/>
      <c r="MAO219" s="212"/>
      <c r="MAP219" s="212"/>
      <c r="MAQ219" s="212"/>
      <c r="MAR219" s="212"/>
      <c r="MAS219" s="212"/>
      <c r="MAT219" s="212"/>
      <c r="MAU219" s="212"/>
      <c r="MAV219" s="212"/>
      <c r="MAW219" s="212"/>
      <c r="MAX219" s="212"/>
      <c r="MAY219" s="212"/>
      <c r="MAZ219" s="212"/>
      <c r="MBA219" s="212"/>
      <c r="MBB219" s="212"/>
      <c r="MBC219" s="212"/>
      <c r="MBD219" s="214"/>
      <c r="MBE219" s="211"/>
      <c r="MBF219" s="212"/>
      <c r="MBG219" s="212"/>
      <c r="MBH219" s="212"/>
      <c r="MBI219" s="212"/>
      <c r="MBJ219" s="212"/>
      <c r="MBK219" s="212"/>
      <c r="MBL219" s="212"/>
      <c r="MBM219" s="212"/>
      <c r="MBN219" s="212"/>
      <c r="MBO219" s="212"/>
      <c r="MBP219" s="212"/>
      <c r="MBQ219" s="212"/>
      <c r="MBR219" s="212"/>
      <c r="MBS219" s="212"/>
      <c r="MBT219" s="212"/>
      <c r="MBU219" s="212"/>
      <c r="MBV219" s="212"/>
      <c r="MBW219" s="212"/>
      <c r="MBX219" s="212"/>
      <c r="MBY219" s="212"/>
      <c r="MBZ219" s="212"/>
      <c r="MCA219" s="212"/>
      <c r="MCB219" s="212"/>
      <c r="MCC219" s="212"/>
      <c r="MCD219" s="212"/>
      <c r="MCE219" s="212"/>
      <c r="MCF219" s="212"/>
      <c r="MCG219" s="212"/>
      <c r="MCH219" s="212"/>
      <c r="MCI219" s="212"/>
      <c r="MCJ219" s="212"/>
      <c r="MCK219" s="212"/>
      <c r="MCL219" s="212"/>
      <c r="MCM219" s="212"/>
      <c r="MCN219" s="212"/>
      <c r="MCO219" s="212"/>
      <c r="MCP219" s="212"/>
      <c r="MCQ219" s="212"/>
      <c r="MCR219" s="212"/>
      <c r="MCS219" s="212"/>
      <c r="MCT219" s="212"/>
      <c r="MCU219" s="212"/>
      <c r="MCV219" s="214"/>
      <c r="MCW219" s="211"/>
      <c r="MCX219" s="212"/>
      <c r="MCY219" s="212"/>
      <c r="MCZ219" s="212"/>
      <c r="MDA219" s="212"/>
      <c r="MDB219" s="212"/>
      <c r="MDC219" s="212"/>
      <c r="MDD219" s="212"/>
      <c r="MDE219" s="212"/>
      <c r="MDF219" s="212"/>
      <c r="MDG219" s="212"/>
      <c r="MDH219" s="212"/>
      <c r="MDI219" s="212"/>
      <c r="MDJ219" s="212"/>
      <c r="MDK219" s="212"/>
      <c r="MDL219" s="212"/>
      <c r="MDM219" s="212"/>
      <c r="MDN219" s="212"/>
      <c r="MDO219" s="212"/>
      <c r="MDP219" s="212"/>
      <c r="MDQ219" s="212"/>
      <c r="MDR219" s="212"/>
      <c r="MDS219" s="212"/>
      <c r="MDT219" s="212"/>
      <c r="MDU219" s="212"/>
      <c r="MDV219" s="212"/>
      <c r="MDW219" s="212"/>
      <c r="MDX219" s="212"/>
      <c r="MDY219" s="212"/>
      <c r="MDZ219" s="212"/>
      <c r="MEA219" s="212"/>
      <c r="MEB219" s="212"/>
      <c r="MEC219" s="212"/>
      <c r="MED219" s="212"/>
      <c r="MEE219" s="212"/>
      <c r="MEF219" s="212"/>
      <c r="MEG219" s="212"/>
      <c r="MEH219" s="212"/>
      <c r="MEI219" s="212"/>
      <c r="MEJ219" s="212"/>
      <c r="MEK219" s="212"/>
      <c r="MEL219" s="212"/>
      <c r="MEM219" s="212"/>
      <c r="MEN219" s="214"/>
      <c r="MEO219" s="211"/>
      <c r="MEP219" s="212"/>
      <c r="MEQ219" s="212"/>
      <c r="MER219" s="212"/>
      <c r="MES219" s="212"/>
      <c r="MET219" s="212"/>
      <c r="MEU219" s="212"/>
      <c r="MEV219" s="212"/>
      <c r="MEW219" s="212"/>
      <c r="MEX219" s="212"/>
      <c r="MEY219" s="212"/>
      <c r="MEZ219" s="212"/>
      <c r="MFA219" s="212"/>
      <c r="MFB219" s="212"/>
      <c r="MFC219" s="212"/>
      <c r="MFD219" s="212"/>
      <c r="MFE219" s="212"/>
      <c r="MFF219" s="212"/>
      <c r="MFG219" s="212"/>
      <c r="MFH219" s="212"/>
      <c r="MFI219" s="212"/>
      <c r="MFJ219" s="212"/>
      <c r="MFK219" s="212"/>
      <c r="MFL219" s="212"/>
      <c r="MFM219" s="212"/>
      <c r="MFN219" s="212"/>
      <c r="MFO219" s="212"/>
      <c r="MFP219" s="212"/>
      <c r="MFQ219" s="212"/>
      <c r="MFR219" s="212"/>
      <c r="MFS219" s="212"/>
      <c r="MFT219" s="212"/>
      <c r="MFU219" s="212"/>
      <c r="MFV219" s="212"/>
      <c r="MFW219" s="212"/>
      <c r="MFX219" s="212"/>
      <c r="MFY219" s="212"/>
      <c r="MFZ219" s="212"/>
      <c r="MGA219" s="212"/>
      <c r="MGB219" s="212"/>
      <c r="MGC219" s="212"/>
      <c r="MGD219" s="212"/>
      <c r="MGE219" s="212"/>
      <c r="MGF219" s="214"/>
      <c r="MGG219" s="211"/>
      <c r="MGH219" s="212"/>
      <c r="MGI219" s="212"/>
      <c r="MGJ219" s="212"/>
      <c r="MGK219" s="212"/>
      <c r="MGL219" s="212"/>
      <c r="MGM219" s="212"/>
      <c r="MGN219" s="212"/>
      <c r="MGO219" s="212"/>
      <c r="MGP219" s="212"/>
      <c r="MGQ219" s="212"/>
      <c r="MGR219" s="212"/>
      <c r="MGS219" s="212"/>
      <c r="MGT219" s="212"/>
      <c r="MGU219" s="212"/>
      <c r="MGV219" s="212"/>
      <c r="MGW219" s="212"/>
      <c r="MGX219" s="212"/>
      <c r="MGY219" s="212"/>
      <c r="MGZ219" s="212"/>
      <c r="MHA219" s="212"/>
      <c r="MHB219" s="212"/>
      <c r="MHC219" s="212"/>
      <c r="MHD219" s="212"/>
      <c r="MHE219" s="212"/>
      <c r="MHF219" s="212"/>
      <c r="MHG219" s="212"/>
      <c r="MHH219" s="212"/>
      <c r="MHI219" s="212"/>
      <c r="MHJ219" s="212"/>
      <c r="MHK219" s="212"/>
      <c r="MHL219" s="212"/>
      <c r="MHM219" s="212"/>
      <c r="MHN219" s="212"/>
      <c r="MHO219" s="212"/>
      <c r="MHP219" s="212"/>
      <c r="MHQ219" s="212"/>
      <c r="MHR219" s="212"/>
      <c r="MHS219" s="212"/>
      <c r="MHT219" s="212"/>
      <c r="MHU219" s="212"/>
      <c r="MHV219" s="212"/>
      <c r="MHW219" s="212"/>
      <c r="MHX219" s="214"/>
      <c r="MHY219" s="211"/>
      <c r="MHZ219" s="212"/>
      <c r="MIA219" s="212"/>
      <c r="MIB219" s="212"/>
      <c r="MIC219" s="212"/>
      <c r="MID219" s="212"/>
      <c r="MIE219" s="212"/>
      <c r="MIF219" s="212"/>
      <c r="MIG219" s="212"/>
      <c r="MIH219" s="212"/>
      <c r="MII219" s="212"/>
      <c r="MIJ219" s="212"/>
      <c r="MIK219" s="212"/>
      <c r="MIL219" s="212"/>
      <c r="MIM219" s="212"/>
      <c r="MIN219" s="212"/>
      <c r="MIO219" s="212"/>
      <c r="MIP219" s="212"/>
      <c r="MIQ219" s="212"/>
      <c r="MIR219" s="212"/>
      <c r="MIS219" s="212"/>
      <c r="MIT219" s="212"/>
      <c r="MIU219" s="212"/>
      <c r="MIV219" s="212"/>
      <c r="MIW219" s="212"/>
      <c r="MIX219" s="212"/>
      <c r="MIY219" s="212"/>
      <c r="MIZ219" s="212"/>
      <c r="MJA219" s="212"/>
      <c r="MJB219" s="212"/>
      <c r="MJC219" s="212"/>
      <c r="MJD219" s="212"/>
      <c r="MJE219" s="212"/>
      <c r="MJF219" s="212"/>
      <c r="MJG219" s="212"/>
      <c r="MJH219" s="212"/>
      <c r="MJI219" s="212"/>
      <c r="MJJ219" s="212"/>
      <c r="MJK219" s="212"/>
      <c r="MJL219" s="212"/>
      <c r="MJM219" s="212"/>
      <c r="MJN219" s="212"/>
      <c r="MJO219" s="212"/>
      <c r="MJP219" s="214"/>
      <c r="MJQ219" s="211"/>
      <c r="MJR219" s="212"/>
      <c r="MJS219" s="212"/>
      <c r="MJT219" s="212"/>
      <c r="MJU219" s="212"/>
      <c r="MJV219" s="212"/>
      <c r="MJW219" s="212"/>
      <c r="MJX219" s="212"/>
      <c r="MJY219" s="212"/>
      <c r="MJZ219" s="212"/>
      <c r="MKA219" s="212"/>
      <c r="MKB219" s="212"/>
      <c r="MKC219" s="212"/>
      <c r="MKD219" s="212"/>
      <c r="MKE219" s="212"/>
      <c r="MKF219" s="212"/>
      <c r="MKG219" s="212"/>
      <c r="MKH219" s="212"/>
      <c r="MKI219" s="212"/>
      <c r="MKJ219" s="212"/>
      <c r="MKK219" s="212"/>
      <c r="MKL219" s="212"/>
      <c r="MKM219" s="212"/>
      <c r="MKN219" s="212"/>
      <c r="MKO219" s="212"/>
      <c r="MKP219" s="212"/>
      <c r="MKQ219" s="212"/>
      <c r="MKR219" s="212"/>
      <c r="MKS219" s="212"/>
      <c r="MKT219" s="212"/>
      <c r="MKU219" s="212"/>
      <c r="MKV219" s="212"/>
      <c r="MKW219" s="212"/>
      <c r="MKX219" s="212"/>
      <c r="MKY219" s="212"/>
      <c r="MKZ219" s="212"/>
      <c r="MLA219" s="212"/>
      <c r="MLB219" s="212"/>
      <c r="MLC219" s="212"/>
      <c r="MLD219" s="212"/>
      <c r="MLE219" s="212"/>
      <c r="MLF219" s="212"/>
      <c r="MLG219" s="212"/>
      <c r="MLH219" s="214"/>
      <c r="MLI219" s="211"/>
      <c r="MLJ219" s="212"/>
      <c r="MLK219" s="212"/>
      <c r="MLL219" s="212"/>
      <c r="MLM219" s="212"/>
      <c r="MLN219" s="212"/>
      <c r="MLO219" s="212"/>
      <c r="MLP219" s="212"/>
      <c r="MLQ219" s="212"/>
      <c r="MLR219" s="212"/>
      <c r="MLS219" s="212"/>
      <c r="MLT219" s="212"/>
      <c r="MLU219" s="212"/>
      <c r="MLV219" s="212"/>
      <c r="MLW219" s="212"/>
      <c r="MLX219" s="212"/>
      <c r="MLY219" s="212"/>
      <c r="MLZ219" s="212"/>
      <c r="MMA219" s="212"/>
      <c r="MMB219" s="212"/>
      <c r="MMC219" s="212"/>
      <c r="MMD219" s="212"/>
      <c r="MME219" s="212"/>
      <c r="MMF219" s="212"/>
      <c r="MMG219" s="212"/>
      <c r="MMH219" s="212"/>
      <c r="MMI219" s="212"/>
      <c r="MMJ219" s="212"/>
      <c r="MMK219" s="212"/>
      <c r="MML219" s="212"/>
      <c r="MMM219" s="212"/>
      <c r="MMN219" s="212"/>
      <c r="MMO219" s="212"/>
      <c r="MMP219" s="212"/>
      <c r="MMQ219" s="212"/>
      <c r="MMR219" s="212"/>
      <c r="MMS219" s="212"/>
      <c r="MMT219" s="212"/>
      <c r="MMU219" s="212"/>
      <c r="MMV219" s="212"/>
      <c r="MMW219" s="212"/>
      <c r="MMX219" s="212"/>
      <c r="MMY219" s="212"/>
      <c r="MMZ219" s="214"/>
      <c r="MNA219" s="211"/>
      <c r="MNB219" s="212"/>
      <c r="MNC219" s="212"/>
      <c r="MND219" s="212"/>
      <c r="MNE219" s="212"/>
      <c r="MNF219" s="212"/>
      <c r="MNG219" s="212"/>
      <c r="MNH219" s="212"/>
      <c r="MNI219" s="212"/>
      <c r="MNJ219" s="212"/>
      <c r="MNK219" s="212"/>
      <c r="MNL219" s="212"/>
      <c r="MNM219" s="212"/>
      <c r="MNN219" s="212"/>
      <c r="MNO219" s="212"/>
      <c r="MNP219" s="212"/>
      <c r="MNQ219" s="212"/>
      <c r="MNR219" s="212"/>
      <c r="MNS219" s="212"/>
      <c r="MNT219" s="212"/>
      <c r="MNU219" s="212"/>
      <c r="MNV219" s="212"/>
      <c r="MNW219" s="212"/>
      <c r="MNX219" s="212"/>
      <c r="MNY219" s="212"/>
      <c r="MNZ219" s="212"/>
      <c r="MOA219" s="212"/>
      <c r="MOB219" s="212"/>
      <c r="MOC219" s="212"/>
      <c r="MOD219" s="212"/>
      <c r="MOE219" s="212"/>
      <c r="MOF219" s="212"/>
      <c r="MOG219" s="212"/>
      <c r="MOH219" s="212"/>
      <c r="MOI219" s="212"/>
      <c r="MOJ219" s="212"/>
      <c r="MOK219" s="212"/>
      <c r="MOL219" s="212"/>
      <c r="MOM219" s="212"/>
      <c r="MON219" s="212"/>
      <c r="MOO219" s="212"/>
      <c r="MOP219" s="212"/>
      <c r="MOQ219" s="212"/>
      <c r="MOR219" s="214"/>
      <c r="MOS219" s="211"/>
      <c r="MOT219" s="212"/>
      <c r="MOU219" s="212"/>
      <c r="MOV219" s="212"/>
      <c r="MOW219" s="212"/>
      <c r="MOX219" s="212"/>
      <c r="MOY219" s="212"/>
      <c r="MOZ219" s="212"/>
      <c r="MPA219" s="212"/>
      <c r="MPB219" s="212"/>
      <c r="MPC219" s="212"/>
      <c r="MPD219" s="212"/>
      <c r="MPE219" s="212"/>
      <c r="MPF219" s="212"/>
      <c r="MPG219" s="212"/>
      <c r="MPH219" s="212"/>
      <c r="MPI219" s="212"/>
      <c r="MPJ219" s="212"/>
      <c r="MPK219" s="212"/>
      <c r="MPL219" s="212"/>
      <c r="MPM219" s="212"/>
      <c r="MPN219" s="212"/>
      <c r="MPO219" s="212"/>
      <c r="MPP219" s="212"/>
      <c r="MPQ219" s="212"/>
      <c r="MPR219" s="212"/>
      <c r="MPS219" s="212"/>
      <c r="MPT219" s="212"/>
      <c r="MPU219" s="212"/>
      <c r="MPV219" s="212"/>
      <c r="MPW219" s="212"/>
      <c r="MPX219" s="212"/>
      <c r="MPY219" s="212"/>
      <c r="MPZ219" s="212"/>
      <c r="MQA219" s="212"/>
      <c r="MQB219" s="212"/>
      <c r="MQC219" s="212"/>
      <c r="MQD219" s="212"/>
      <c r="MQE219" s="212"/>
      <c r="MQF219" s="212"/>
      <c r="MQG219" s="212"/>
      <c r="MQH219" s="212"/>
      <c r="MQI219" s="212"/>
      <c r="MQJ219" s="214"/>
      <c r="MQK219" s="211"/>
      <c r="MQL219" s="212"/>
      <c r="MQM219" s="212"/>
      <c r="MQN219" s="212"/>
      <c r="MQO219" s="212"/>
      <c r="MQP219" s="212"/>
      <c r="MQQ219" s="212"/>
      <c r="MQR219" s="212"/>
      <c r="MQS219" s="212"/>
      <c r="MQT219" s="212"/>
      <c r="MQU219" s="212"/>
      <c r="MQV219" s="212"/>
      <c r="MQW219" s="212"/>
      <c r="MQX219" s="212"/>
      <c r="MQY219" s="212"/>
      <c r="MQZ219" s="212"/>
      <c r="MRA219" s="212"/>
      <c r="MRB219" s="212"/>
      <c r="MRC219" s="212"/>
      <c r="MRD219" s="212"/>
      <c r="MRE219" s="212"/>
      <c r="MRF219" s="212"/>
      <c r="MRG219" s="212"/>
      <c r="MRH219" s="212"/>
      <c r="MRI219" s="212"/>
      <c r="MRJ219" s="212"/>
      <c r="MRK219" s="212"/>
      <c r="MRL219" s="212"/>
      <c r="MRM219" s="212"/>
      <c r="MRN219" s="212"/>
      <c r="MRO219" s="212"/>
      <c r="MRP219" s="212"/>
      <c r="MRQ219" s="212"/>
      <c r="MRR219" s="212"/>
      <c r="MRS219" s="212"/>
      <c r="MRT219" s="212"/>
      <c r="MRU219" s="212"/>
      <c r="MRV219" s="212"/>
      <c r="MRW219" s="212"/>
      <c r="MRX219" s="212"/>
      <c r="MRY219" s="212"/>
      <c r="MRZ219" s="212"/>
      <c r="MSA219" s="212"/>
      <c r="MSB219" s="214"/>
      <c r="MSC219" s="211"/>
      <c r="MSD219" s="212"/>
      <c r="MSE219" s="212"/>
      <c r="MSF219" s="212"/>
      <c r="MSG219" s="212"/>
      <c r="MSH219" s="212"/>
      <c r="MSI219" s="212"/>
      <c r="MSJ219" s="212"/>
      <c r="MSK219" s="212"/>
      <c r="MSL219" s="212"/>
      <c r="MSM219" s="212"/>
      <c r="MSN219" s="212"/>
      <c r="MSO219" s="212"/>
      <c r="MSP219" s="212"/>
      <c r="MSQ219" s="212"/>
      <c r="MSR219" s="212"/>
      <c r="MSS219" s="212"/>
      <c r="MST219" s="212"/>
      <c r="MSU219" s="212"/>
      <c r="MSV219" s="212"/>
      <c r="MSW219" s="212"/>
      <c r="MSX219" s="212"/>
      <c r="MSY219" s="212"/>
      <c r="MSZ219" s="212"/>
      <c r="MTA219" s="212"/>
      <c r="MTB219" s="212"/>
      <c r="MTC219" s="212"/>
      <c r="MTD219" s="212"/>
      <c r="MTE219" s="212"/>
      <c r="MTF219" s="212"/>
      <c r="MTG219" s="212"/>
      <c r="MTH219" s="212"/>
      <c r="MTI219" s="212"/>
      <c r="MTJ219" s="212"/>
      <c r="MTK219" s="212"/>
      <c r="MTL219" s="212"/>
      <c r="MTM219" s="212"/>
      <c r="MTN219" s="212"/>
      <c r="MTO219" s="212"/>
      <c r="MTP219" s="212"/>
      <c r="MTQ219" s="212"/>
      <c r="MTR219" s="212"/>
      <c r="MTS219" s="212"/>
      <c r="MTT219" s="214"/>
      <c r="MTU219" s="211"/>
      <c r="MTV219" s="212"/>
      <c r="MTW219" s="212"/>
      <c r="MTX219" s="212"/>
      <c r="MTY219" s="212"/>
      <c r="MTZ219" s="212"/>
      <c r="MUA219" s="212"/>
      <c r="MUB219" s="212"/>
      <c r="MUC219" s="212"/>
      <c r="MUD219" s="212"/>
      <c r="MUE219" s="212"/>
      <c r="MUF219" s="212"/>
      <c r="MUG219" s="212"/>
      <c r="MUH219" s="212"/>
      <c r="MUI219" s="212"/>
      <c r="MUJ219" s="212"/>
      <c r="MUK219" s="212"/>
      <c r="MUL219" s="212"/>
      <c r="MUM219" s="212"/>
      <c r="MUN219" s="212"/>
      <c r="MUO219" s="212"/>
      <c r="MUP219" s="212"/>
      <c r="MUQ219" s="212"/>
      <c r="MUR219" s="212"/>
      <c r="MUS219" s="212"/>
      <c r="MUT219" s="212"/>
      <c r="MUU219" s="212"/>
      <c r="MUV219" s="212"/>
      <c r="MUW219" s="212"/>
      <c r="MUX219" s="212"/>
      <c r="MUY219" s="212"/>
      <c r="MUZ219" s="212"/>
      <c r="MVA219" s="212"/>
      <c r="MVB219" s="212"/>
      <c r="MVC219" s="212"/>
      <c r="MVD219" s="212"/>
      <c r="MVE219" s="212"/>
      <c r="MVF219" s="212"/>
      <c r="MVG219" s="212"/>
      <c r="MVH219" s="212"/>
      <c r="MVI219" s="212"/>
      <c r="MVJ219" s="212"/>
      <c r="MVK219" s="212"/>
      <c r="MVL219" s="214"/>
      <c r="MVM219" s="211"/>
      <c r="MVN219" s="212"/>
      <c r="MVO219" s="212"/>
      <c r="MVP219" s="212"/>
      <c r="MVQ219" s="212"/>
      <c r="MVR219" s="212"/>
      <c r="MVS219" s="212"/>
      <c r="MVT219" s="212"/>
      <c r="MVU219" s="212"/>
      <c r="MVV219" s="212"/>
      <c r="MVW219" s="212"/>
      <c r="MVX219" s="212"/>
      <c r="MVY219" s="212"/>
      <c r="MVZ219" s="212"/>
      <c r="MWA219" s="212"/>
      <c r="MWB219" s="212"/>
      <c r="MWC219" s="212"/>
      <c r="MWD219" s="212"/>
      <c r="MWE219" s="212"/>
      <c r="MWF219" s="212"/>
      <c r="MWG219" s="212"/>
      <c r="MWH219" s="212"/>
      <c r="MWI219" s="212"/>
      <c r="MWJ219" s="212"/>
      <c r="MWK219" s="212"/>
      <c r="MWL219" s="212"/>
      <c r="MWM219" s="212"/>
      <c r="MWN219" s="212"/>
      <c r="MWO219" s="212"/>
      <c r="MWP219" s="212"/>
      <c r="MWQ219" s="212"/>
      <c r="MWR219" s="212"/>
      <c r="MWS219" s="212"/>
      <c r="MWT219" s="212"/>
      <c r="MWU219" s="212"/>
      <c r="MWV219" s="212"/>
      <c r="MWW219" s="212"/>
      <c r="MWX219" s="212"/>
      <c r="MWY219" s="212"/>
      <c r="MWZ219" s="212"/>
      <c r="MXA219" s="212"/>
      <c r="MXB219" s="212"/>
      <c r="MXC219" s="212"/>
      <c r="MXD219" s="214"/>
      <c r="MXE219" s="211"/>
      <c r="MXF219" s="212"/>
      <c r="MXG219" s="212"/>
      <c r="MXH219" s="212"/>
      <c r="MXI219" s="212"/>
      <c r="MXJ219" s="212"/>
      <c r="MXK219" s="212"/>
      <c r="MXL219" s="212"/>
      <c r="MXM219" s="212"/>
      <c r="MXN219" s="212"/>
      <c r="MXO219" s="212"/>
      <c r="MXP219" s="212"/>
      <c r="MXQ219" s="212"/>
      <c r="MXR219" s="212"/>
      <c r="MXS219" s="212"/>
      <c r="MXT219" s="212"/>
      <c r="MXU219" s="212"/>
      <c r="MXV219" s="212"/>
      <c r="MXW219" s="212"/>
      <c r="MXX219" s="212"/>
      <c r="MXY219" s="212"/>
      <c r="MXZ219" s="212"/>
      <c r="MYA219" s="212"/>
      <c r="MYB219" s="212"/>
      <c r="MYC219" s="212"/>
      <c r="MYD219" s="212"/>
      <c r="MYE219" s="212"/>
      <c r="MYF219" s="212"/>
      <c r="MYG219" s="212"/>
      <c r="MYH219" s="212"/>
      <c r="MYI219" s="212"/>
      <c r="MYJ219" s="212"/>
      <c r="MYK219" s="212"/>
      <c r="MYL219" s="212"/>
      <c r="MYM219" s="212"/>
      <c r="MYN219" s="212"/>
      <c r="MYO219" s="212"/>
      <c r="MYP219" s="212"/>
      <c r="MYQ219" s="212"/>
      <c r="MYR219" s="212"/>
      <c r="MYS219" s="212"/>
      <c r="MYT219" s="212"/>
      <c r="MYU219" s="212"/>
      <c r="MYV219" s="214"/>
      <c r="MYW219" s="211"/>
      <c r="MYX219" s="212"/>
      <c r="MYY219" s="212"/>
      <c r="MYZ219" s="212"/>
      <c r="MZA219" s="212"/>
      <c r="MZB219" s="212"/>
      <c r="MZC219" s="212"/>
      <c r="MZD219" s="212"/>
      <c r="MZE219" s="212"/>
      <c r="MZF219" s="212"/>
      <c r="MZG219" s="212"/>
      <c r="MZH219" s="212"/>
      <c r="MZI219" s="212"/>
      <c r="MZJ219" s="212"/>
      <c r="MZK219" s="212"/>
      <c r="MZL219" s="212"/>
      <c r="MZM219" s="212"/>
      <c r="MZN219" s="212"/>
      <c r="MZO219" s="212"/>
      <c r="MZP219" s="212"/>
      <c r="MZQ219" s="212"/>
      <c r="MZR219" s="212"/>
      <c r="MZS219" s="212"/>
      <c r="MZT219" s="212"/>
      <c r="MZU219" s="212"/>
      <c r="MZV219" s="212"/>
      <c r="MZW219" s="212"/>
      <c r="MZX219" s="212"/>
      <c r="MZY219" s="212"/>
      <c r="MZZ219" s="212"/>
      <c r="NAA219" s="212"/>
      <c r="NAB219" s="212"/>
      <c r="NAC219" s="212"/>
      <c r="NAD219" s="212"/>
      <c r="NAE219" s="212"/>
      <c r="NAF219" s="212"/>
      <c r="NAG219" s="212"/>
      <c r="NAH219" s="212"/>
      <c r="NAI219" s="212"/>
      <c r="NAJ219" s="212"/>
      <c r="NAK219" s="212"/>
      <c r="NAL219" s="212"/>
      <c r="NAM219" s="212"/>
      <c r="NAN219" s="214"/>
      <c r="NAO219" s="211"/>
      <c r="NAP219" s="212"/>
      <c r="NAQ219" s="212"/>
      <c r="NAR219" s="212"/>
      <c r="NAS219" s="212"/>
      <c r="NAT219" s="212"/>
      <c r="NAU219" s="212"/>
      <c r="NAV219" s="212"/>
      <c r="NAW219" s="212"/>
      <c r="NAX219" s="212"/>
      <c r="NAY219" s="212"/>
      <c r="NAZ219" s="212"/>
      <c r="NBA219" s="212"/>
      <c r="NBB219" s="212"/>
      <c r="NBC219" s="212"/>
      <c r="NBD219" s="212"/>
      <c r="NBE219" s="212"/>
      <c r="NBF219" s="212"/>
      <c r="NBG219" s="212"/>
      <c r="NBH219" s="212"/>
      <c r="NBI219" s="212"/>
      <c r="NBJ219" s="212"/>
      <c r="NBK219" s="212"/>
      <c r="NBL219" s="212"/>
      <c r="NBM219" s="212"/>
      <c r="NBN219" s="212"/>
      <c r="NBO219" s="212"/>
      <c r="NBP219" s="212"/>
      <c r="NBQ219" s="212"/>
      <c r="NBR219" s="212"/>
      <c r="NBS219" s="212"/>
      <c r="NBT219" s="212"/>
      <c r="NBU219" s="212"/>
      <c r="NBV219" s="212"/>
      <c r="NBW219" s="212"/>
      <c r="NBX219" s="212"/>
      <c r="NBY219" s="212"/>
      <c r="NBZ219" s="212"/>
      <c r="NCA219" s="212"/>
      <c r="NCB219" s="212"/>
      <c r="NCC219" s="212"/>
      <c r="NCD219" s="212"/>
      <c r="NCE219" s="212"/>
      <c r="NCF219" s="214"/>
      <c r="NCG219" s="211"/>
      <c r="NCH219" s="212"/>
      <c r="NCI219" s="212"/>
      <c r="NCJ219" s="212"/>
      <c r="NCK219" s="212"/>
      <c r="NCL219" s="212"/>
      <c r="NCM219" s="212"/>
      <c r="NCN219" s="212"/>
      <c r="NCO219" s="212"/>
      <c r="NCP219" s="212"/>
      <c r="NCQ219" s="212"/>
      <c r="NCR219" s="212"/>
      <c r="NCS219" s="212"/>
      <c r="NCT219" s="212"/>
      <c r="NCU219" s="212"/>
      <c r="NCV219" s="212"/>
      <c r="NCW219" s="212"/>
      <c r="NCX219" s="212"/>
      <c r="NCY219" s="212"/>
      <c r="NCZ219" s="212"/>
      <c r="NDA219" s="212"/>
      <c r="NDB219" s="212"/>
      <c r="NDC219" s="212"/>
      <c r="NDD219" s="212"/>
      <c r="NDE219" s="212"/>
      <c r="NDF219" s="212"/>
      <c r="NDG219" s="212"/>
      <c r="NDH219" s="212"/>
      <c r="NDI219" s="212"/>
      <c r="NDJ219" s="212"/>
      <c r="NDK219" s="212"/>
      <c r="NDL219" s="212"/>
      <c r="NDM219" s="212"/>
      <c r="NDN219" s="212"/>
      <c r="NDO219" s="212"/>
      <c r="NDP219" s="212"/>
      <c r="NDQ219" s="212"/>
      <c r="NDR219" s="212"/>
      <c r="NDS219" s="212"/>
      <c r="NDT219" s="212"/>
      <c r="NDU219" s="212"/>
      <c r="NDV219" s="212"/>
      <c r="NDW219" s="212"/>
      <c r="NDX219" s="214"/>
      <c r="NDY219" s="211"/>
      <c r="NDZ219" s="212"/>
      <c r="NEA219" s="212"/>
      <c r="NEB219" s="212"/>
      <c r="NEC219" s="212"/>
      <c r="NED219" s="212"/>
      <c r="NEE219" s="212"/>
      <c r="NEF219" s="212"/>
      <c r="NEG219" s="212"/>
      <c r="NEH219" s="212"/>
      <c r="NEI219" s="212"/>
      <c r="NEJ219" s="212"/>
      <c r="NEK219" s="212"/>
      <c r="NEL219" s="212"/>
      <c r="NEM219" s="212"/>
      <c r="NEN219" s="212"/>
      <c r="NEO219" s="212"/>
      <c r="NEP219" s="212"/>
      <c r="NEQ219" s="212"/>
      <c r="NER219" s="212"/>
      <c r="NES219" s="212"/>
      <c r="NET219" s="212"/>
      <c r="NEU219" s="212"/>
      <c r="NEV219" s="212"/>
      <c r="NEW219" s="212"/>
      <c r="NEX219" s="212"/>
      <c r="NEY219" s="212"/>
      <c r="NEZ219" s="212"/>
      <c r="NFA219" s="212"/>
      <c r="NFB219" s="212"/>
      <c r="NFC219" s="212"/>
      <c r="NFD219" s="212"/>
      <c r="NFE219" s="212"/>
      <c r="NFF219" s="212"/>
      <c r="NFG219" s="212"/>
      <c r="NFH219" s="212"/>
      <c r="NFI219" s="212"/>
      <c r="NFJ219" s="212"/>
      <c r="NFK219" s="212"/>
      <c r="NFL219" s="212"/>
      <c r="NFM219" s="212"/>
      <c r="NFN219" s="212"/>
      <c r="NFO219" s="212"/>
      <c r="NFP219" s="214"/>
      <c r="NFQ219" s="211"/>
      <c r="NFR219" s="212"/>
      <c r="NFS219" s="212"/>
      <c r="NFT219" s="212"/>
      <c r="NFU219" s="212"/>
      <c r="NFV219" s="212"/>
      <c r="NFW219" s="212"/>
      <c r="NFX219" s="212"/>
      <c r="NFY219" s="212"/>
      <c r="NFZ219" s="212"/>
      <c r="NGA219" s="212"/>
      <c r="NGB219" s="212"/>
      <c r="NGC219" s="212"/>
      <c r="NGD219" s="212"/>
      <c r="NGE219" s="212"/>
      <c r="NGF219" s="212"/>
      <c r="NGG219" s="212"/>
      <c r="NGH219" s="212"/>
      <c r="NGI219" s="212"/>
      <c r="NGJ219" s="212"/>
      <c r="NGK219" s="212"/>
      <c r="NGL219" s="212"/>
      <c r="NGM219" s="212"/>
      <c r="NGN219" s="212"/>
      <c r="NGO219" s="212"/>
      <c r="NGP219" s="212"/>
      <c r="NGQ219" s="212"/>
      <c r="NGR219" s="212"/>
      <c r="NGS219" s="212"/>
      <c r="NGT219" s="212"/>
      <c r="NGU219" s="212"/>
      <c r="NGV219" s="212"/>
      <c r="NGW219" s="212"/>
      <c r="NGX219" s="212"/>
      <c r="NGY219" s="212"/>
      <c r="NGZ219" s="212"/>
      <c r="NHA219" s="212"/>
      <c r="NHB219" s="212"/>
      <c r="NHC219" s="212"/>
      <c r="NHD219" s="212"/>
      <c r="NHE219" s="212"/>
      <c r="NHF219" s="212"/>
      <c r="NHG219" s="212"/>
      <c r="NHH219" s="214"/>
      <c r="NHI219" s="211"/>
      <c r="NHJ219" s="212"/>
      <c r="NHK219" s="212"/>
      <c r="NHL219" s="212"/>
      <c r="NHM219" s="212"/>
      <c r="NHN219" s="212"/>
      <c r="NHO219" s="212"/>
      <c r="NHP219" s="212"/>
      <c r="NHQ219" s="212"/>
      <c r="NHR219" s="212"/>
      <c r="NHS219" s="212"/>
      <c r="NHT219" s="212"/>
      <c r="NHU219" s="212"/>
      <c r="NHV219" s="212"/>
      <c r="NHW219" s="212"/>
      <c r="NHX219" s="212"/>
      <c r="NHY219" s="212"/>
      <c r="NHZ219" s="212"/>
      <c r="NIA219" s="212"/>
      <c r="NIB219" s="212"/>
      <c r="NIC219" s="212"/>
      <c r="NID219" s="212"/>
      <c r="NIE219" s="212"/>
      <c r="NIF219" s="212"/>
      <c r="NIG219" s="212"/>
      <c r="NIH219" s="212"/>
      <c r="NII219" s="212"/>
      <c r="NIJ219" s="212"/>
      <c r="NIK219" s="212"/>
      <c r="NIL219" s="212"/>
      <c r="NIM219" s="212"/>
      <c r="NIN219" s="212"/>
      <c r="NIO219" s="212"/>
      <c r="NIP219" s="212"/>
      <c r="NIQ219" s="212"/>
      <c r="NIR219" s="212"/>
      <c r="NIS219" s="212"/>
      <c r="NIT219" s="212"/>
      <c r="NIU219" s="212"/>
      <c r="NIV219" s="212"/>
      <c r="NIW219" s="212"/>
      <c r="NIX219" s="212"/>
      <c r="NIY219" s="212"/>
      <c r="NIZ219" s="214"/>
      <c r="NJA219" s="211"/>
      <c r="NJB219" s="212"/>
      <c r="NJC219" s="212"/>
      <c r="NJD219" s="212"/>
      <c r="NJE219" s="212"/>
      <c r="NJF219" s="212"/>
      <c r="NJG219" s="212"/>
      <c r="NJH219" s="212"/>
      <c r="NJI219" s="212"/>
      <c r="NJJ219" s="212"/>
      <c r="NJK219" s="212"/>
      <c r="NJL219" s="212"/>
      <c r="NJM219" s="212"/>
      <c r="NJN219" s="212"/>
      <c r="NJO219" s="212"/>
      <c r="NJP219" s="212"/>
      <c r="NJQ219" s="212"/>
      <c r="NJR219" s="212"/>
      <c r="NJS219" s="212"/>
      <c r="NJT219" s="212"/>
      <c r="NJU219" s="212"/>
      <c r="NJV219" s="212"/>
      <c r="NJW219" s="212"/>
      <c r="NJX219" s="212"/>
      <c r="NJY219" s="212"/>
      <c r="NJZ219" s="212"/>
      <c r="NKA219" s="212"/>
      <c r="NKB219" s="212"/>
      <c r="NKC219" s="212"/>
      <c r="NKD219" s="212"/>
      <c r="NKE219" s="212"/>
      <c r="NKF219" s="212"/>
      <c r="NKG219" s="212"/>
      <c r="NKH219" s="212"/>
      <c r="NKI219" s="212"/>
      <c r="NKJ219" s="212"/>
      <c r="NKK219" s="212"/>
      <c r="NKL219" s="212"/>
      <c r="NKM219" s="212"/>
      <c r="NKN219" s="212"/>
      <c r="NKO219" s="212"/>
      <c r="NKP219" s="212"/>
      <c r="NKQ219" s="212"/>
      <c r="NKR219" s="214"/>
      <c r="NKS219" s="211"/>
      <c r="NKT219" s="212"/>
      <c r="NKU219" s="212"/>
      <c r="NKV219" s="212"/>
      <c r="NKW219" s="212"/>
      <c r="NKX219" s="212"/>
      <c r="NKY219" s="212"/>
      <c r="NKZ219" s="212"/>
      <c r="NLA219" s="212"/>
      <c r="NLB219" s="212"/>
      <c r="NLC219" s="212"/>
      <c r="NLD219" s="212"/>
      <c r="NLE219" s="212"/>
      <c r="NLF219" s="212"/>
      <c r="NLG219" s="212"/>
      <c r="NLH219" s="212"/>
      <c r="NLI219" s="212"/>
      <c r="NLJ219" s="212"/>
      <c r="NLK219" s="212"/>
      <c r="NLL219" s="212"/>
      <c r="NLM219" s="212"/>
      <c r="NLN219" s="212"/>
      <c r="NLO219" s="212"/>
      <c r="NLP219" s="212"/>
      <c r="NLQ219" s="212"/>
      <c r="NLR219" s="212"/>
      <c r="NLS219" s="212"/>
      <c r="NLT219" s="212"/>
      <c r="NLU219" s="212"/>
      <c r="NLV219" s="212"/>
      <c r="NLW219" s="212"/>
      <c r="NLX219" s="212"/>
      <c r="NLY219" s="212"/>
      <c r="NLZ219" s="212"/>
      <c r="NMA219" s="212"/>
      <c r="NMB219" s="212"/>
      <c r="NMC219" s="212"/>
      <c r="NMD219" s="212"/>
      <c r="NME219" s="212"/>
      <c r="NMF219" s="212"/>
      <c r="NMG219" s="212"/>
      <c r="NMH219" s="212"/>
      <c r="NMI219" s="212"/>
      <c r="NMJ219" s="214"/>
      <c r="NMK219" s="211"/>
      <c r="NML219" s="212"/>
      <c r="NMM219" s="212"/>
      <c r="NMN219" s="212"/>
      <c r="NMO219" s="212"/>
      <c r="NMP219" s="212"/>
      <c r="NMQ219" s="212"/>
      <c r="NMR219" s="212"/>
      <c r="NMS219" s="212"/>
      <c r="NMT219" s="212"/>
      <c r="NMU219" s="212"/>
      <c r="NMV219" s="212"/>
      <c r="NMW219" s="212"/>
      <c r="NMX219" s="212"/>
      <c r="NMY219" s="212"/>
      <c r="NMZ219" s="212"/>
      <c r="NNA219" s="212"/>
      <c r="NNB219" s="212"/>
      <c r="NNC219" s="212"/>
      <c r="NND219" s="212"/>
      <c r="NNE219" s="212"/>
      <c r="NNF219" s="212"/>
      <c r="NNG219" s="212"/>
      <c r="NNH219" s="212"/>
      <c r="NNI219" s="212"/>
      <c r="NNJ219" s="212"/>
      <c r="NNK219" s="212"/>
      <c r="NNL219" s="212"/>
      <c r="NNM219" s="212"/>
      <c r="NNN219" s="212"/>
      <c r="NNO219" s="212"/>
      <c r="NNP219" s="212"/>
      <c r="NNQ219" s="212"/>
      <c r="NNR219" s="212"/>
      <c r="NNS219" s="212"/>
      <c r="NNT219" s="212"/>
      <c r="NNU219" s="212"/>
      <c r="NNV219" s="212"/>
      <c r="NNW219" s="212"/>
      <c r="NNX219" s="212"/>
      <c r="NNY219" s="212"/>
      <c r="NNZ219" s="212"/>
      <c r="NOA219" s="212"/>
      <c r="NOB219" s="214"/>
      <c r="NOC219" s="211"/>
      <c r="NOD219" s="212"/>
      <c r="NOE219" s="212"/>
      <c r="NOF219" s="212"/>
      <c r="NOG219" s="212"/>
      <c r="NOH219" s="212"/>
      <c r="NOI219" s="212"/>
      <c r="NOJ219" s="212"/>
      <c r="NOK219" s="212"/>
      <c r="NOL219" s="212"/>
      <c r="NOM219" s="212"/>
      <c r="NON219" s="212"/>
      <c r="NOO219" s="212"/>
      <c r="NOP219" s="212"/>
      <c r="NOQ219" s="212"/>
      <c r="NOR219" s="212"/>
      <c r="NOS219" s="212"/>
      <c r="NOT219" s="212"/>
      <c r="NOU219" s="212"/>
      <c r="NOV219" s="212"/>
      <c r="NOW219" s="212"/>
      <c r="NOX219" s="212"/>
      <c r="NOY219" s="212"/>
      <c r="NOZ219" s="212"/>
      <c r="NPA219" s="212"/>
      <c r="NPB219" s="212"/>
      <c r="NPC219" s="212"/>
      <c r="NPD219" s="212"/>
      <c r="NPE219" s="212"/>
      <c r="NPF219" s="212"/>
      <c r="NPG219" s="212"/>
      <c r="NPH219" s="212"/>
      <c r="NPI219" s="212"/>
      <c r="NPJ219" s="212"/>
      <c r="NPK219" s="212"/>
      <c r="NPL219" s="212"/>
      <c r="NPM219" s="212"/>
      <c r="NPN219" s="212"/>
      <c r="NPO219" s="212"/>
      <c r="NPP219" s="212"/>
      <c r="NPQ219" s="212"/>
      <c r="NPR219" s="212"/>
      <c r="NPS219" s="212"/>
      <c r="NPT219" s="214"/>
      <c r="NPU219" s="211"/>
      <c r="NPV219" s="212"/>
      <c r="NPW219" s="212"/>
      <c r="NPX219" s="212"/>
      <c r="NPY219" s="212"/>
      <c r="NPZ219" s="212"/>
      <c r="NQA219" s="212"/>
      <c r="NQB219" s="212"/>
      <c r="NQC219" s="212"/>
      <c r="NQD219" s="212"/>
      <c r="NQE219" s="212"/>
      <c r="NQF219" s="212"/>
      <c r="NQG219" s="212"/>
      <c r="NQH219" s="212"/>
      <c r="NQI219" s="212"/>
      <c r="NQJ219" s="212"/>
      <c r="NQK219" s="212"/>
      <c r="NQL219" s="212"/>
      <c r="NQM219" s="212"/>
      <c r="NQN219" s="212"/>
      <c r="NQO219" s="212"/>
      <c r="NQP219" s="212"/>
      <c r="NQQ219" s="212"/>
      <c r="NQR219" s="212"/>
      <c r="NQS219" s="212"/>
      <c r="NQT219" s="212"/>
      <c r="NQU219" s="212"/>
      <c r="NQV219" s="212"/>
      <c r="NQW219" s="212"/>
      <c r="NQX219" s="212"/>
      <c r="NQY219" s="212"/>
      <c r="NQZ219" s="212"/>
      <c r="NRA219" s="212"/>
      <c r="NRB219" s="212"/>
      <c r="NRC219" s="212"/>
      <c r="NRD219" s="212"/>
      <c r="NRE219" s="212"/>
      <c r="NRF219" s="212"/>
      <c r="NRG219" s="212"/>
      <c r="NRH219" s="212"/>
      <c r="NRI219" s="212"/>
      <c r="NRJ219" s="212"/>
      <c r="NRK219" s="212"/>
      <c r="NRL219" s="214"/>
      <c r="NRM219" s="211"/>
      <c r="NRN219" s="212"/>
      <c r="NRO219" s="212"/>
      <c r="NRP219" s="212"/>
      <c r="NRQ219" s="212"/>
      <c r="NRR219" s="212"/>
      <c r="NRS219" s="212"/>
      <c r="NRT219" s="212"/>
      <c r="NRU219" s="212"/>
      <c r="NRV219" s="212"/>
      <c r="NRW219" s="212"/>
      <c r="NRX219" s="212"/>
      <c r="NRY219" s="212"/>
      <c r="NRZ219" s="212"/>
      <c r="NSA219" s="212"/>
      <c r="NSB219" s="212"/>
      <c r="NSC219" s="212"/>
      <c r="NSD219" s="212"/>
      <c r="NSE219" s="212"/>
      <c r="NSF219" s="212"/>
      <c r="NSG219" s="212"/>
      <c r="NSH219" s="212"/>
      <c r="NSI219" s="212"/>
      <c r="NSJ219" s="212"/>
      <c r="NSK219" s="212"/>
      <c r="NSL219" s="212"/>
      <c r="NSM219" s="212"/>
      <c r="NSN219" s="212"/>
      <c r="NSO219" s="212"/>
      <c r="NSP219" s="212"/>
      <c r="NSQ219" s="212"/>
      <c r="NSR219" s="212"/>
      <c r="NSS219" s="212"/>
      <c r="NST219" s="212"/>
      <c r="NSU219" s="212"/>
      <c r="NSV219" s="212"/>
      <c r="NSW219" s="212"/>
      <c r="NSX219" s="212"/>
      <c r="NSY219" s="212"/>
      <c r="NSZ219" s="212"/>
      <c r="NTA219" s="212"/>
      <c r="NTB219" s="212"/>
      <c r="NTC219" s="212"/>
      <c r="NTD219" s="214"/>
      <c r="NTE219" s="211"/>
      <c r="NTF219" s="212"/>
      <c r="NTG219" s="212"/>
      <c r="NTH219" s="212"/>
      <c r="NTI219" s="212"/>
      <c r="NTJ219" s="212"/>
      <c r="NTK219" s="212"/>
      <c r="NTL219" s="212"/>
      <c r="NTM219" s="212"/>
      <c r="NTN219" s="212"/>
      <c r="NTO219" s="212"/>
      <c r="NTP219" s="212"/>
      <c r="NTQ219" s="212"/>
      <c r="NTR219" s="212"/>
      <c r="NTS219" s="212"/>
      <c r="NTT219" s="212"/>
      <c r="NTU219" s="212"/>
      <c r="NTV219" s="212"/>
      <c r="NTW219" s="212"/>
      <c r="NTX219" s="212"/>
      <c r="NTY219" s="212"/>
      <c r="NTZ219" s="212"/>
      <c r="NUA219" s="212"/>
      <c r="NUB219" s="212"/>
      <c r="NUC219" s="212"/>
      <c r="NUD219" s="212"/>
      <c r="NUE219" s="212"/>
      <c r="NUF219" s="212"/>
      <c r="NUG219" s="212"/>
      <c r="NUH219" s="212"/>
      <c r="NUI219" s="212"/>
      <c r="NUJ219" s="212"/>
      <c r="NUK219" s="212"/>
      <c r="NUL219" s="212"/>
      <c r="NUM219" s="212"/>
      <c r="NUN219" s="212"/>
      <c r="NUO219" s="212"/>
      <c r="NUP219" s="212"/>
      <c r="NUQ219" s="212"/>
      <c r="NUR219" s="212"/>
      <c r="NUS219" s="212"/>
      <c r="NUT219" s="212"/>
      <c r="NUU219" s="212"/>
      <c r="NUV219" s="214"/>
      <c r="NUW219" s="211"/>
      <c r="NUX219" s="212"/>
      <c r="NUY219" s="212"/>
      <c r="NUZ219" s="212"/>
      <c r="NVA219" s="212"/>
      <c r="NVB219" s="212"/>
      <c r="NVC219" s="212"/>
      <c r="NVD219" s="212"/>
      <c r="NVE219" s="212"/>
      <c r="NVF219" s="212"/>
      <c r="NVG219" s="212"/>
      <c r="NVH219" s="212"/>
      <c r="NVI219" s="212"/>
      <c r="NVJ219" s="212"/>
      <c r="NVK219" s="212"/>
      <c r="NVL219" s="212"/>
      <c r="NVM219" s="212"/>
      <c r="NVN219" s="212"/>
      <c r="NVO219" s="212"/>
      <c r="NVP219" s="212"/>
      <c r="NVQ219" s="212"/>
      <c r="NVR219" s="212"/>
      <c r="NVS219" s="212"/>
      <c r="NVT219" s="212"/>
      <c r="NVU219" s="212"/>
      <c r="NVV219" s="212"/>
      <c r="NVW219" s="212"/>
      <c r="NVX219" s="212"/>
      <c r="NVY219" s="212"/>
      <c r="NVZ219" s="212"/>
      <c r="NWA219" s="212"/>
      <c r="NWB219" s="212"/>
      <c r="NWC219" s="212"/>
      <c r="NWD219" s="212"/>
      <c r="NWE219" s="212"/>
      <c r="NWF219" s="212"/>
      <c r="NWG219" s="212"/>
      <c r="NWH219" s="212"/>
      <c r="NWI219" s="212"/>
      <c r="NWJ219" s="212"/>
      <c r="NWK219" s="212"/>
      <c r="NWL219" s="212"/>
      <c r="NWM219" s="212"/>
      <c r="NWN219" s="214"/>
      <c r="NWO219" s="211"/>
      <c r="NWP219" s="212"/>
      <c r="NWQ219" s="212"/>
      <c r="NWR219" s="212"/>
      <c r="NWS219" s="212"/>
      <c r="NWT219" s="212"/>
      <c r="NWU219" s="212"/>
      <c r="NWV219" s="212"/>
      <c r="NWW219" s="212"/>
      <c r="NWX219" s="212"/>
      <c r="NWY219" s="212"/>
      <c r="NWZ219" s="212"/>
      <c r="NXA219" s="212"/>
      <c r="NXB219" s="212"/>
      <c r="NXC219" s="212"/>
      <c r="NXD219" s="212"/>
      <c r="NXE219" s="212"/>
      <c r="NXF219" s="212"/>
      <c r="NXG219" s="212"/>
      <c r="NXH219" s="212"/>
      <c r="NXI219" s="212"/>
      <c r="NXJ219" s="212"/>
      <c r="NXK219" s="212"/>
      <c r="NXL219" s="212"/>
      <c r="NXM219" s="212"/>
      <c r="NXN219" s="212"/>
      <c r="NXO219" s="212"/>
      <c r="NXP219" s="212"/>
      <c r="NXQ219" s="212"/>
      <c r="NXR219" s="212"/>
      <c r="NXS219" s="212"/>
      <c r="NXT219" s="212"/>
      <c r="NXU219" s="212"/>
      <c r="NXV219" s="212"/>
      <c r="NXW219" s="212"/>
      <c r="NXX219" s="212"/>
      <c r="NXY219" s="212"/>
      <c r="NXZ219" s="212"/>
      <c r="NYA219" s="212"/>
      <c r="NYB219" s="212"/>
      <c r="NYC219" s="212"/>
      <c r="NYD219" s="212"/>
      <c r="NYE219" s="212"/>
      <c r="NYF219" s="214"/>
      <c r="NYG219" s="211"/>
      <c r="NYH219" s="212"/>
      <c r="NYI219" s="212"/>
      <c r="NYJ219" s="212"/>
      <c r="NYK219" s="212"/>
      <c r="NYL219" s="212"/>
      <c r="NYM219" s="212"/>
      <c r="NYN219" s="212"/>
      <c r="NYO219" s="212"/>
      <c r="NYP219" s="212"/>
      <c r="NYQ219" s="212"/>
      <c r="NYR219" s="212"/>
      <c r="NYS219" s="212"/>
      <c r="NYT219" s="212"/>
      <c r="NYU219" s="212"/>
      <c r="NYV219" s="212"/>
      <c r="NYW219" s="212"/>
      <c r="NYX219" s="212"/>
      <c r="NYY219" s="212"/>
      <c r="NYZ219" s="212"/>
      <c r="NZA219" s="212"/>
      <c r="NZB219" s="212"/>
      <c r="NZC219" s="212"/>
      <c r="NZD219" s="212"/>
      <c r="NZE219" s="212"/>
      <c r="NZF219" s="212"/>
      <c r="NZG219" s="212"/>
      <c r="NZH219" s="212"/>
      <c r="NZI219" s="212"/>
      <c r="NZJ219" s="212"/>
      <c r="NZK219" s="212"/>
      <c r="NZL219" s="212"/>
      <c r="NZM219" s="212"/>
      <c r="NZN219" s="212"/>
      <c r="NZO219" s="212"/>
      <c r="NZP219" s="212"/>
      <c r="NZQ219" s="212"/>
      <c r="NZR219" s="212"/>
      <c r="NZS219" s="212"/>
      <c r="NZT219" s="212"/>
      <c r="NZU219" s="212"/>
      <c r="NZV219" s="212"/>
      <c r="NZW219" s="212"/>
      <c r="NZX219" s="214"/>
      <c r="NZY219" s="211"/>
      <c r="NZZ219" s="212"/>
      <c r="OAA219" s="212"/>
      <c r="OAB219" s="212"/>
      <c r="OAC219" s="212"/>
      <c r="OAD219" s="212"/>
      <c r="OAE219" s="212"/>
      <c r="OAF219" s="212"/>
      <c r="OAG219" s="212"/>
      <c r="OAH219" s="212"/>
      <c r="OAI219" s="212"/>
      <c r="OAJ219" s="212"/>
      <c r="OAK219" s="212"/>
      <c r="OAL219" s="212"/>
      <c r="OAM219" s="212"/>
      <c r="OAN219" s="212"/>
      <c r="OAO219" s="212"/>
      <c r="OAP219" s="212"/>
      <c r="OAQ219" s="212"/>
      <c r="OAR219" s="212"/>
      <c r="OAS219" s="212"/>
      <c r="OAT219" s="212"/>
      <c r="OAU219" s="212"/>
      <c r="OAV219" s="212"/>
      <c r="OAW219" s="212"/>
      <c r="OAX219" s="212"/>
      <c r="OAY219" s="212"/>
      <c r="OAZ219" s="212"/>
      <c r="OBA219" s="212"/>
      <c r="OBB219" s="212"/>
      <c r="OBC219" s="212"/>
      <c r="OBD219" s="212"/>
      <c r="OBE219" s="212"/>
      <c r="OBF219" s="212"/>
      <c r="OBG219" s="212"/>
      <c r="OBH219" s="212"/>
      <c r="OBI219" s="212"/>
      <c r="OBJ219" s="212"/>
      <c r="OBK219" s="212"/>
      <c r="OBL219" s="212"/>
      <c r="OBM219" s="212"/>
      <c r="OBN219" s="212"/>
      <c r="OBO219" s="212"/>
      <c r="OBP219" s="214"/>
      <c r="OBQ219" s="211"/>
      <c r="OBR219" s="212"/>
      <c r="OBS219" s="212"/>
      <c r="OBT219" s="212"/>
      <c r="OBU219" s="212"/>
      <c r="OBV219" s="212"/>
      <c r="OBW219" s="212"/>
      <c r="OBX219" s="212"/>
      <c r="OBY219" s="212"/>
      <c r="OBZ219" s="212"/>
      <c r="OCA219" s="212"/>
      <c r="OCB219" s="212"/>
      <c r="OCC219" s="212"/>
      <c r="OCD219" s="212"/>
      <c r="OCE219" s="212"/>
      <c r="OCF219" s="212"/>
      <c r="OCG219" s="212"/>
      <c r="OCH219" s="212"/>
      <c r="OCI219" s="212"/>
      <c r="OCJ219" s="212"/>
      <c r="OCK219" s="212"/>
      <c r="OCL219" s="212"/>
      <c r="OCM219" s="212"/>
      <c r="OCN219" s="212"/>
      <c r="OCO219" s="212"/>
      <c r="OCP219" s="212"/>
      <c r="OCQ219" s="212"/>
      <c r="OCR219" s="212"/>
      <c r="OCS219" s="212"/>
      <c r="OCT219" s="212"/>
      <c r="OCU219" s="212"/>
      <c r="OCV219" s="212"/>
      <c r="OCW219" s="212"/>
      <c r="OCX219" s="212"/>
      <c r="OCY219" s="212"/>
      <c r="OCZ219" s="212"/>
      <c r="ODA219" s="212"/>
      <c r="ODB219" s="212"/>
      <c r="ODC219" s="212"/>
      <c r="ODD219" s="212"/>
      <c r="ODE219" s="212"/>
      <c r="ODF219" s="212"/>
      <c r="ODG219" s="212"/>
      <c r="ODH219" s="214"/>
      <c r="ODI219" s="211"/>
      <c r="ODJ219" s="212"/>
      <c r="ODK219" s="212"/>
      <c r="ODL219" s="212"/>
      <c r="ODM219" s="212"/>
      <c r="ODN219" s="212"/>
      <c r="ODO219" s="212"/>
      <c r="ODP219" s="212"/>
      <c r="ODQ219" s="212"/>
      <c r="ODR219" s="212"/>
      <c r="ODS219" s="212"/>
      <c r="ODT219" s="212"/>
      <c r="ODU219" s="212"/>
      <c r="ODV219" s="212"/>
      <c r="ODW219" s="212"/>
      <c r="ODX219" s="212"/>
      <c r="ODY219" s="212"/>
      <c r="ODZ219" s="212"/>
      <c r="OEA219" s="212"/>
      <c r="OEB219" s="212"/>
      <c r="OEC219" s="212"/>
      <c r="OED219" s="212"/>
      <c r="OEE219" s="212"/>
      <c r="OEF219" s="212"/>
      <c r="OEG219" s="212"/>
      <c r="OEH219" s="212"/>
      <c r="OEI219" s="212"/>
      <c r="OEJ219" s="212"/>
      <c r="OEK219" s="212"/>
      <c r="OEL219" s="212"/>
      <c r="OEM219" s="212"/>
      <c r="OEN219" s="212"/>
      <c r="OEO219" s="212"/>
      <c r="OEP219" s="212"/>
      <c r="OEQ219" s="212"/>
      <c r="OER219" s="212"/>
      <c r="OES219" s="212"/>
      <c r="OET219" s="212"/>
      <c r="OEU219" s="212"/>
      <c r="OEV219" s="212"/>
      <c r="OEW219" s="212"/>
      <c r="OEX219" s="212"/>
      <c r="OEY219" s="212"/>
      <c r="OEZ219" s="214"/>
      <c r="OFA219" s="211"/>
      <c r="OFB219" s="212"/>
      <c r="OFC219" s="212"/>
      <c r="OFD219" s="212"/>
      <c r="OFE219" s="212"/>
      <c r="OFF219" s="212"/>
      <c r="OFG219" s="212"/>
      <c r="OFH219" s="212"/>
      <c r="OFI219" s="212"/>
      <c r="OFJ219" s="212"/>
      <c r="OFK219" s="212"/>
      <c r="OFL219" s="212"/>
      <c r="OFM219" s="212"/>
      <c r="OFN219" s="212"/>
      <c r="OFO219" s="212"/>
      <c r="OFP219" s="212"/>
      <c r="OFQ219" s="212"/>
      <c r="OFR219" s="212"/>
      <c r="OFS219" s="212"/>
      <c r="OFT219" s="212"/>
      <c r="OFU219" s="212"/>
      <c r="OFV219" s="212"/>
      <c r="OFW219" s="212"/>
      <c r="OFX219" s="212"/>
      <c r="OFY219" s="212"/>
      <c r="OFZ219" s="212"/>
      <c r="OGA219" s="212"/>
      <c r="OGB219" s="212"/>
      <c r="OGC219" s="212"/>
      <c r="OGD219" s="212"/>
      <c r="OGE219" s="212"/>
      <c r="OGF219" s="212"/>
      <c r="OGG219" s="212"/>
      <c r="OGH219" s="212"/>
      <c r="OGI219" s="212"/>
      <c r="OGJ219" s="212"/>
      <c r="OGK219" s="212"/>
      <c r="OGL219" s="212"/>
      <c r="OGM219" s="212"/>
      <c r="OGN219" s="212"/>
      <c r="OGO219" s="212"/>
      <c r="OGP219" s="212"/>
      <c r="OGQ219" s="212"/>
      <c r="OGR219" s="214"/>
      <c r="OGS219" s="211"/>
      <c r="OGT219" s="212"/>
      <c r="OGU219" s="212"/>
      <c r="OGV219" s="212"/>
      <c r="OGW219" s="212"/>
      <c r="OGX219" s="212"/>
      <c r="OGY219" s="212"/>
      <c r="OGZ219" s="212"/>
      <c r="OHA219" s="212"/>
      <c r="OHB219" s="212"/>
      <c r="OHC219" s="212"/>
      <c r="OHD219" s="212"/>
      <c r="OHE219" s="212"/>
      <c r="OHF219" s="212"/>
      <c r="OHG219" s="212"/>
      <c r="OHH219" s="212"/>
      <c r="OHI219" s="212"/>
      <c r="OHJ219" s="212"/>
      <c r="OHK219" s="212"/>
      <c r="OHL219" s="212"/>
      <c r="OHM219" s="212"/>
      <c r="OHN219" s="212"/>
      <c r="OHO219" s="212"/>
      <c r="OHP219" s="212"/>
      <c r="OHQ219" s="212"/>
      <c r="OHR219" s="212"/>
      <c r="OHS219" s="212"/>
      <c r="OHT219" s="212"/>
      <c r="OHU219" s="212"/>
      <c r="OHV219" s="212"/>
      <c r="OHW219" s="212"/>
      <c r="OHX219" s="212"/>
      <c r="OHY219" s="212"/>
      <c r="OHZ219" s="212"/>
      <c r="OIA219" s="212"/>
      <c r="OIB219" s="212"/>
      <c r="OIC219" s="212"/>
      <c r="OID219" s="212"/>
      <c r="OIE219" s="212"/>
      <c r="OIF219" s="212"/>
      <c r="OIG219" s="212"/>
      <c r="OIH219" s="212"/>
      <c r="OII219" s="212"/>
      <c r="OIJ219" s="214"/>
      <c r="OIK219" s="211"/>
      <c r="OIL219" s="212"/>
      <c r="OIM219" s="212"/>
      <c r="OIN219" s="212"/>
      <c r="OIO219" s="212"/>
      <c r="OIP219" s="212"/>
      <c r="OIQ219" s="212"/>
      <c r="OIR219" s="212"/>
      <c r="OIS219" s="212"/>
      <c r="OIT219" s="212"/>
      <c r="OIU219" s="212"/>
      <c r="OIV219" s="212"/>
      <c r="OIW219" s="212"/>
      <c r="OIX219" s="212"/>
      <c r="OIY219" s="212"/>
      <c r="OIZ219" s="212"/>
      <c r="OJA219" s="212"/>
      <c r="OJB219" s="212"/>
      <c r="OJC219" s="212"/>
      <c r="OJD219" s="212"/>
      <c r="OJE219" s="212"/>
      <c r="OJF219" s="212"/>
      <c r="OJG219" s="212"/>
      <c r="OJH219" s="212"/>
      <c r="OJI219" s="212"/>
      <c r="OJJ219" s="212"/>
      <c r="OJK219" s="212"/>
      <c r="OJL219" s="212"/>
      <c r="OJM219" s="212"/>
      <c r="OJN219" s="212"/>
      <c r="OJO219" s="212"/>
      <c r="OJP219" s="212"/>
      <c r="OJQ219" s="212"/>
      <c r="OJR219" s="212"/>
      <c r="OJS219" s="212"/>
      <c r="OJT219" s="212"/>
      <c r="OJU219" s="212"/>
      <c r="OJV219" s="212"/>
      <c r="OJW219" s="212"/>
      <c r="OJX219" s="212"/>
      <c r="OJY219" s="212"/>
      <c r="OJZ219" s="212"/>
      <c r="OKA219" s="212"/>
      <c r="OKB219" s="214"/>
      <c r="OKC219" s="211"/>
      <c r="OKD219" s="212"/>
      <c r="OKE219" s="212"/>
      <c r="OKF219" s="212"/>
      <c r="OKG219" s="212"/>
      <c r="OKH219" s="212"/>
      <c r="OKI219" s="212"/>
      <c r="OKJ219" s="212"/>
      <c r="OKK219" s="212"/>
      <c r="OKL219" s="212"/>
      <c r="OKM219" s="212"/>
      <c r="OKN219" s="212"/>
      <c r="OKO219" s="212"/>
      <c r="OKP219" s="212"/>
      <c r="OKQ219" s="212"/>
      <c r="OKR219" s="212"/>
      <c r="OKS219" s="212"/>
      <c r="OKT219" s="212"/>
      <c r="OKU219" s="212"/>
      <c r="OKV219" s="212"/>
      <c r="OKW219" s="212"/>
      <c r="OKX219" s="212"/>
      <c r="OKY219" s="212"/>
      <c r="OKZ219" s="212"/>
      <c r="OLA219" s="212"/>
      <c r="OLB219" s="212"/>
      <c r="OLC219" s="212"/>
      <c r="OLD219" s="212"/>
      <c r="OLE219" s="212"/>
      <c r="OLF219" s="212"/>
      <c r="OLG219" s="212"/>
      <c r="OLH219" s="212"/>
      <c r="OLI219" s="212"/>
      <c r="OLJ219" s="212"/>
      <c r="OLK219" s="212"/>
      <c r="OLL219" s="212"/>
      <c r="OLM219" s="212"/>
      <c r="OLN219" s="212"/>
      <c r="OLO219" s="212"/>
      <c r="OLP219" s="212"/>
      <c r="OLQ219" s="212"/>
      <c r="OLR219" s="212"/>
      <c r="OLS219" s="212"/>
      <c r="OLT219" s="214"/>
      <c r="OLU219" s="211"/>
      <c r="OLV219" s="212"/>
      <c r="OLW219" s="212"/>
      <c r="OLX219" s="212"/>
      <c r="OLY219" s="212"/>
      <c r="OLZ219" s="212"/>
      <c r="OMA219" s="212"/>
      <c r="OMB219" s="212"/>
      <c r="OMC219" s="212"/>
      <c r="OMD219" s="212"/>
      <c r="OME219" s="212"/>
      <c r="OMF219" s="212"/>
      <c r="OMG219" s="212"/>
      <c r="OMH219" s="212"/>
      <c r="OMI219" s="212"/>
      <c r="OMJ219" s="212"/>
      <c r="OMK219" s="212"/>
      <c r="OML219" s="212"/>
      <c r="OMM219" s="212"/>
      <c r="OMN219" s="212"/>
      <c r="OMO219" s="212"/>
      <c r="OMP219" s="212"/>
      <c r="OMQ219" s="212"/>
      <c r="OMR219" s="212"/>
      <c r="OMS219" s="212"/>
      <c r="OMT219" s="212"/>
      <c r="OMU219" s="212"/>
      <c r="OMV219" s="212"/>
      <c r="OMW219" s="212"/>
      <c r="OMX219" s="212"/>
      <c r="OMY219" s="212"/>
      <c r="OMZ219" s="212"/>
      <c r="ONA219" s="212"/>
      <c r="ONB219" s="212"/>
      <c r="ONC219" s="212"/>
      <c r="OND219" s="212"/>
      <c r="ONE219" s="212"/>
      <c r="ONF219" s="212"/>
      <c r="ONG219" s="212"/>
      <c r="ONH219" s="212"/>
      <c r="ONI219" s="212"/>
      <c r="ONJ219" s="212"/>
      <c r="ONK219" s="212"/>
      <c r="ONL219" s="214"/>
      <c r="ONM219" s="211"/>
      <c r="ONN219" s="212"/>
      <c r="ONO219" s="212"/>
      <c r="ONP219" s="212"/>
      <c r="ONQ219" s="212"/>
      <c r="ONR219" s="212"/>
      <c r="ONS219" s="212"/>
      <c r="ONT219" s="212"/>
      <c r="ONU219" s="212"/>
      <c r="ONV219" s="212"/>
      <c r="ONW219" s="212"/>
      <c r="ONX219" s="212"/>
      <c r="ONY219" s="212"/>
      <c r="ONZ219" s="212"/>
      <c r="OOA219" s="212"/>
      <c r="OOB219" s="212"/>
      <c r="OOC219" s="212"/>
      <c r="OOD219" s="212"/>
      <c r="OOE219" s="212"/>
      <c r="OOF219" s="212"/>
      <c r="OOG219" s="212"/>
      <c r="OOH219" s="212"/>
      <c r="OOI219" s="212"/>
      <c r="OOJ219" s="212"/>
      <c r="OOK219" s="212"/>
      <c r="OOL219" s="212"/>
      <c r="OOM219" s="212"/>
      <c r="OON219" s="212"/>
      <c r="OOO219" s="212"/>
      <c r="OOP219" s="212"/>
      <c r="OOQ219" s="212"/>
      <c r="OOR219" s="212"/>
      <c r="OOS219" s="212"/>
      <c r="OOT219" s="212"/>
      <c r="OOU219" s="212"/>
      <c r="OOV219" s="212"/>
      <c r="OOW219" s="212"/>
      <c r="OOX219" s="212"/>
      <c r="OOY219" s="212"/>
      <c r="OOZ219" s="212"/>
      <c r="OPA219" s="212"/>
      <c r="OPB219" s="212"/>
      <c r="OPC219" s="212"/>
      <c r="OPD219" s="214"/>
      <c r="OPE219" s="211"/>
      <c r="OPF219" s="212"/>
      <c r="OPG219" s="212"/>
      <c r="OPH219" s="212"/>
      <c r="OPI219" s="212"/>
      <c r="OPJ219" s="212"/>
      <c r="OPK219" s="212"/>
      <c r="OPL219" s="212"/>
      <c r="OPM219" s="212"/>
      <c r="OPN219" s="212"/>
      <c r="OPO219" s="212"/>
      <c r="OPP219" s="212"/>
      <c r="OPQ219" s="212"/>
      <c r="OPR219" s="212"/>
      <c r="OPS219" s="212"/>
      <c r="OPT219" s="212"/>
      <c r="OPU219" s="212"/>
      <c r="OPV219" s="212"/>
      <c r="OPW219" s="212"/>
      <c r="OPX219" s="212"/>
      <c r="OPY219" s="212"/>
      <c r="OPZ219" s="212"/>
      <c r="OQA219" s="212"/>
      <c r="OQB219" s="212"/>
      <c r="OQC219" s="212"/>
      <c r="OQD219" s="212"/>
      <c r="OQE219" s="212"/>
      <c r="OQF219" s="212"/>
      <c r="OQG219" s="212"/>
      <c r="OQH219" s="212"/>
      <c r="OQI219" s="212"/>
      <c r="OQJ219" s="212"/>
      <c r="OQK219" s="212"/>
      <c r="OQL219" s="212"/>
      <c r="OQM219" s="212"/>
      <c r="OQN219" s="212"/>
      <c r="OQO219" s="212"/>
      <c r="OQP219" s="212"/>
      <c r="OQQ219" s="212"/>
      <c r="OQR219" s="212"/>
      <c r="OQS219" s="212"/>
      <c r="OQT219" s="212"/>
      <c r="OQU219" s="212"/>
      <c r="OQV219" s="214"/>
      <c r="OQW219" s="211"/>
      <c r="OQX219" s="212"/>
      <c r="OQY219" s="212"/>
      <c r="OQZ219" s="212"/>
      <c r="ORA219" s="212"/>
      <c r="ORB219" s="212"/>
      <c r="ORC219" s="212"/>
      <c r="ORD219" s="212"/>
      <c r="ORE219" s="212"/>
      <c r="ORF219" s="212"/>
      <c r="ORG219" s="212"/>
      <c r="ORH219" s="212"/>
      <c r="ORI219" s="212"/>
      <c r="ORJ219" s="212"/>
      <c r="ORK219" s="212"/>
      <c r="ORL219" s="212"/>
      <c r="ORM219" s="212"/>
      <c r="ORN219" s="212"/>
      <c r="ORO219" s="212"/>
      <c r="ORP219" s="212"/>
      <c r="ORQ219" s="212"/>
      <c r="ORR219" s="212"/>
      <c r="ORS219" s="212"/>
      <c r="ORT219" s="212"/>
      <c r="ORU219" s="212"/>
      <c r="ORV219" s="212"/>
      <c r="ORW219" s="212"/>
      <c r="ORX219" s="212"/>
      <c r="ORY219" s="212"/>
      <c r="ORZ219" s="212"/>
      <c r="OSA219" s="212"/>
      <c r="OSB219" s="212"/>
      <c r="OSC219" s="212"/>
      <c r="OSD219" s="212"/>
      <c r="OSE219" s="212"/>
      <c r="OSF219" s="212"/>
      <c r="OSG219" s="212"/>
      <c r="OSH219" s="212"/>
      <c r="OSI219" s="212"/>
      <c r="OSJ219" s="212"/>
      <c r="OSK219" s="212"/>
      <c r="OSL219" s="212"/>
      <c r="OSM219" s="212"/>
      <c r="OSN219" s="214"/>
      <c r="OSO219" s="211"/>
      <c r="OSP219" s="212"/>
      <c r="OSQ219" s="212"/>
      <c r="OSR219" s="212"/>
      <c r="OSS219" s="212"/>
      <c r="OST219" s="212"/>
      <c r="OSU219" s="212"/>
      <c r="OSV219" s="212"/>
      <c r="OSW219" s="212"/>
      <c r="OSX219" s="212"/>
      <c r="OSY219" s="212"/>
      <c r="OSZ219" s="212"/>
      <c r="OTA219" s="212"/>
      <c r="OTB219" s="212"/>
      <c r="OTC219" s="212"/>
      <c r="OTD219" s="212"/>
      <c r="OTE219" s="212"/>
      <c r="OTF219" s="212"/>
      <c r="OTG219" s="212"/>
      <c r="OTH219" s="212"/>
      <c r="OTI219" s="212"/>
      <c r="OTJ219" s="212"/>
      <c r="OTK219" s="212"/>
      <c r="OTL219" s="212"/>
      <c r="OTM219" s="212"/>
      <c r="OTN219" s="212"/>
      <c r="OTO219" s="212"/>
      <c r="OTP219" s="212"/>
      <c r="OTQ219" s="212"/>
      <c r="OTR219" s="212"/>
      <c r="OTS219" s="212"/>
      <c r="OTT219" s="212"/>
      <c r="OTU219" s="212"/>
      <c r="OTV219" s="212"/>
      <c r="OTW219" s="212"/>
      <c r="OTX219" s="212"/>
      <c r="OTY219" s="212"/>
      <c r="OTZ219" s="212"/>
      <c r="OUA219" s="212"/>
      <c r="OUB219" s="212"/>
      <c r="OUC219" s="212"/>
      <c r="OUD219" s="212"/>
      <c r="OUE219" s="212"/>
      <c r="OUF219" s="214"/>
      <c r="OUG219" s="211"/>
      <c r="OUH219" s="212"/>
      <c r="OUI219" s="212"/>
      <c r="OUJ219" s="212"/>
      <c r="OUK219" s="212"/>
      <c r="OUL219" s="212"/>
      <c r="OUM219" s="212"/>
      <c r="OUN219" s="212"/>
      <c r="OUO219" s="212"/>
      <c r="OUP219" s="212"/>
      <c r="OUQ219" s="212"/>
      <c r="OUR219" s="212"/>
      <c r="OUS219" s="212"/>
      <c r="OUT219" s="212"/>
      <c r="OUU219" s="212"/>
      <c r="OUV219" s="212"/>
      <c r="OUW219" s="212"/>
      <c r="OUX219" s="212"/>
      <c r="OUY219" s="212"/>
      <c r="OUZ219" s="212"/>
      <c r="OVA219" s="212"/>
      <c r="OVB219" s="212"/>
      <c r="OVC219" s="212"/>
      <c r="OVD219" s="212"/>
      <c r="OVE219" s="212"/>
      <c r="OVF219" s="212"/>
      <c r="OVG219" s="212"/>
      <c r="OVH219" s="212"/>
      <c r="OVI219" s="212"/>
      <c r="OVJ219" s="212"/>
      <c r="OVK219" s="212"/>
      <c r="OVL219" s="212"/>
      <c r="OVM219" s="212"/>
      <c r="OVN219" s="212"/>
      <c r="OVO219" s="212"/>
      <c r="OVP219" s="212"/>
      <c r="OVQ219" s="212"/>
      <c r="OVR219" s="212"/>
      <c r="OVS219" s="212"/>
      <c r="OVT219" s="212"/>
      <c r="OVU219" s="212"/>
      <c r="OVV219" s="212"/>
      <c r="OVW219" s="212"/>
      <c r="OVX219" s="214"/>
      <c r="OVY219" s="211"/>
      <c r="OVZ219" s="212"/>
      <c r="OWA219" s="212"/>
      <c r="OWB219" s="212"/>
      <c r="OWC219" s="212"/>
      <c r="OWD219" s="212"/>
      <c r="OWE219" s="212"/>
      <c r="OWF219" s="212"/>
      <c r="OWG219" s="212"/>
      <c r="OWH219" s="212"/>
      <c r="OWI219" s="212"/>
      <c r="OWJ219" s="212"/>
      <c r="OWK219" s="212"/>
      <c r="OWL219" s="212"/>
      <c r="OWM219" s="212"/>
      <c r="OWN219" s="212"/>
      <c r="OWO219" s="212"/>
      <c r="OWP219" s="212"/>
      <c r="OWQ219" s="212"/>
      <c r="OWR219" s="212"/>
      <c r="OWS219" s="212"/>
      <c r="OWT219" s="212"/>
      <c r="OWU219" s="212"/>
      <c r="OWV219" s="212"/>
      <c r="OWW219" s="212"/>
      <c r="OWX219" s="212"/>
      <c r="OWY219" s="212"/>
      <c r="OWZ219" s="212"/>
      <c r="OXA219" s="212"/>
      <c r="OXB219" s="212"/>
      <c r="OXC219" s="212"/>
      <c r="OXD219" s="212"/>
      <c r="OXE219" s="212"/>
      <c r="OXF219" s="212"/>
      <c r="OXG219" s="212"/>
      <c r="OXH219" s="212"/>
      <c r="OXI219" s="212"/>
      <c r="OXJ219" s="212"/>
      <c r="OXK219" s="212"/>
      <c r="OXL219" s="212"/>
      <c r="OXM219" s="212"/>
      <c r="OXN219" s="212"/>
      <c r="OXO219" s="212"/>
      <c r="OXP219" s="214"/>
      <c r="OXQ219" s="211"/>
      <c r="OXR219" s="212"/>
      <c r="OXS219" s="212"/>
      <c r="OXT219" s="212"/>
      <c r="OXU219" s="212"/>
      <c r="OXV219" s="212"/>
      <c r="OXW219" s="212"/>
      <c r="OXX219" s="212"/>
      <c r="OXY219" s="212"/>
      <c r="OXZ219" s="212"/>
      <c r="OYA219" s="212"/>
      <c r="OYB219" s="212"/>
      <c r="OYC219" s="212"/>
      <c r="OYD219" s="212"/>
      <c r="OYE219" s="212"/>
      <c r="OYF219" s="212"/>
      <c r="OYG219" s="212"/>
      <c r="OYH219" s="212"/>
      <c r="OYI219" s="212"/>
      <c r="OYJ219" s="212"/>
      <c r="OYK219" s="212"/>
      <c r="OYL219" s="212"/>
      <c r="OYM219" s="212"/>
      <c r="OYN219" s="212"/>
      <c r="OYO219" s="212"/>
      <c r="OYP219" s="212"/>
      <c r="OYQ219" s="212"/>
      <c r="OYR219" s="212"/>
      <c r="OYS219" s="212"/>
      <c r="OYT219" s="212"/>
      <c r="OYU219" s="212"/>
      <c r="OYV219" s="212"/>
      <c r="OYW219" s="212"/>
      <c r="OYX219" s="212"/>
      <c r="OYY219" s="212"/>
      <c r="OYZ219" s="212"/>
      <c r="OZA219" s="212"/>
      <c r="OZB219" s="212"/>
      <c r="OZC219" s="212"/>
      <c r="OZD219" s="212"/>
      <c r="OZE219" s="212"/>
      <c r="OZF219" s="212"/>
      <c r="OZG219" s="212"/>
      <c r="OZH219" s="214"/>
      <c r="OZI219" s="211"/>
      <c r="OZJ219" s="212"/>
      <c r="OZK219" s="212"/>
      <c r="OZL219" s="212"/>
      <c r="OZM219" s="212"/>
      <c r="OZN219" s="212"/>
      <c r="OZO219" s="212"/>
      <c r="OZP219" s="212"/>
      <c r="OZQ219" s="212"/>
      <c r="OZR219" s="212"/>
      <c r="OZS219" s="212"/>
      <c r="OZT219" s="212"/>
      <c r="OZU219" s="212"/>
      <c r="OZV219" s="212"/>
      <c r="OZW219" s="212"/>
      <c r="OZX219" s="212"/>
      <c r="OZY219" s="212"/>
      <c r="OZZ219" s="212"/>
      <c r="PAA219" s="212"/>
      <c r="PAB219" s="212"/>
      <c r="PAC219" s="212"/>
      <c r="PAD219" s="212"/>
      <c r="PAE219" s="212"/>
      <c r="PAF219" s="212"/>
      <c r="PAG219" s="212"/>
      <c r="PAH219" s="212"/>
      <c r="PAI219" s="212"/>
      <c r="PAJ219" s="212"/>
      <c r="PAK219" s="212"/>
      <c r="PAL219" s="212"/>
      <c r="PAM219" s="212"/>
      <c r="PAN219" s="212"/>
      <c r="PAO219" s="212"/>
      <c r="PAP219" s="212"/>
      <c r="PAQ219" s="212"/>
      <c r="PAR219" s="212"/>
      <c r="PAS219" s="212"/>
      <c r="PAT219" s="212"/>
      <c r="PAU219" s="212"/>
      <c r="PAV219" s="212"/>
      <c r="PAW219" s="212"/>
      <c r="PAX219" s="212"/>
      <c r="PAY219" s="212"/>
      <c r="PAZ219" s="214"/>
      <c r="PBA219" s="211"/>
      <c r="PBB219" s="212"/>
      <c r="PBC219" s="212"/>
      <c r="PBD219" s="212"/>
      <c r="PBE219" s="212"/>
      <c r="PBF219" s="212"/>
      <c r="PBG219" s="212"/>
      <c r="PBH219" s="212"/>
      <c r="PBI219" s="212"/>
      <c r="PBJ219" s="212"/>
      <c r="PBK219" s="212"/>
      <c r="PBL219" s="212"/>
      <c r="PBM219" s="212"/>
      <c r="PBN219" s="212"/>
      <c r="PBO219" s="212"/>
      <c r="PBP219" s="212"/>
      <c r="PBQ219" s="212"/>
      <c r="PBR219" s="212"/>
      <c r="PBS219" s="212"/>
      <c r="PBT219" s="212"/>
      <c r="PBU219" s="212"/>
      <c r="PBV219" s="212"/>
      <c r="PBW219" s="212"/>
      <c r="PBX219" s="212"/>
      <c r="PBY219" s="212"/>
      <c r="PBZ219" s="212"/>
      <c r="PCA219" s="212"/>
      <c r="PCB219" s="212"/>
      <c r="PCC219" s="212"/>
      <c r="PCD219" s="212"/>
      <c r="PCE219" s="212"/>
      <c r="PCF219" s="212"/>
      <c r="PCG219" s="212"/>
      <c r="PCH219" s="212"/>
      <c r="PCI219" s="212"/>
      <c r="PCJ219" s="212"/>
      <c r="PCK219" s="212"/>
      <c r="PCL219" s="212"/>
      <c r="PCM219" s="212"/>
      <c r="PCN219" s="212"/>
      <c r="PCO219" s="212"/>
      <c r="PCP219" s="212"/>
      <c r="PCQ219" s="212"/>
      <c r="PCR219" s="214"/>
      <c r="PCS219" s="211"/>
      <c r="PCT219" s="212"/>
      <c r="PCU219" s="212"/>
      <c r="PCV219" s="212"/>
      <c r="PCW219" s="212"/>
      <c r="PCX219" s="212"/>
      <c r="PCY219" s="212"/>
      <c r="PCZ219" s="212"/>
      <c r="PDA219" s="212"/>
      <c r="PDB219" s="212"/>
      <c r="PDC219" s="212"/>
      <c r="PDD219" s="212"/>
      <c r="PDE219" s="212"/>
      <c r="PDF219" s="212"/>
      <c r="PDG219" s="212"/>
      <c r="PDH219" s="212"/>
      <c r="PDI219" s="212"/>
      <c r="PDJ219" s="212"/>
      <c r="PDK219" s="212"/>
      <c r="PDL219" s="212"/>
      <c r="PDM219" s="212"/>
      <c r="PDN219" s="212"/>
      <c r="PDO219" s="212"/>
      <c r="PDP219" s="212"/>
      <c r="PDQ219" s="212"/>
      <c r="PDR219" s="212"/>
      <c r="PDS219" s="212"/>
      <c r="PDT219" s="212"/>
      <c r="PDU219" s="212"/>
      <c r="PDV219" s="212"/>
      <c r="PDW219" s="212"/>
      <c r="PDX219" s="212"/>
      <c r="PDY219" s="212"/>
      <c r="PDZ219" s="212"/>
      <c r="PEA219" s="212"/>
      <c r="PEB219" s="212"/>
      <c r="PEC219" s="212"/>
      <c r="PED219" s="212"/>
      <c r="PEE219" s="212"/>
      <c r="PEF219" s="212"/>
      <c r="PEG219" s="212"/>
      <c r="PEH219" s="212"/>
      <c r="PEI219" s="212"/>
      <c r="PEJ219" s="214"/>
      <c r="PEK219" s="211"/>
      <c r="PEL219" s="212"/>
      <c r="PEM219" s="212"/>
      <c r="PEN219" s="212"/>
      <c r="PEO219" s="212"/>
      <c r="PEP219" s="212"/>
      <c r="PEQ219" s="212"/>
      <c r="PER219" s="212"/>
      <c r="PES219" s="212"/>
      <c r="PET219" s="212"/>
      <c r="PEU219" s="212"/>
      <c r="PEV219" s="212"/>
      <c r="PEW219" s="212"/>
      <c r="PEX219" s="212"/>
      <c r="PEY219" s="212"/>
      <c r="PEZ219" s="212"/>
      <c r="PFA219" s="212"/>
      <c r="PFB219" s="212"/>
      <c r="PFC219" s="212"/>
      <c r="PFD219" s="212"/>
      <c r="PFE219" s="212"/>
      <c r="PFF219" s="212"/>
      <c r="PFG219" s="212"/>
      <c r="PFH219" s="212"/>
      <c r="PFI219" s="212"/>
      <c r="PFJ219" s="212"/>
      <c r="PFK219" s="212"/>
      <c r="PFL219" s="212"/>
      <c r="PFM219" s="212"/>
      <c r="PFN219" s="212"/>
      <c r="PFO219" s="212"/>
      <c r="PFP219" s="212"/>
      <c r="PFQ219" s="212"/>
      <c r="PFR219" s="212"/>
      <c r="PFS219" s="212"/>
      <c r="PFT219" s="212"/>
      <c r="PFU219" s="212"/>
      <c r="PFV219" s="212"/>
      <c r="PFW219" s="212"/>
      <c r="PFX219" s="212"/>
      <c r="PFY219" s="212"/>
      <c r="PFZ219" s="212"/>
      <c r="PGA219" s="212"/>
      <c r="PGB219" s="214"/>
      <c r="PGC219" s="211"/>
      <c r="PGD219" s="212"/>
      <c r="PGE219" s="212"/>
      <c r="PGF219" s="212"/>
      <c r="PGG219" s="212"/>
      <c r="PGH219" s="212"/>
      <c r="PGI219" s="212"/>
      <c r="PGJ219" s="212"/>
      <c r="PGK219" s="212"/>
      <c r="PGL219" s="212"/>
      <c r="PGM219" s="212"/>
      <c r="PGN219" s="212"/>
      <c r="PGO219" s="212"/>
      <c r="PGP219" s="212"/>
      <c r="PGQ219" s="212"/>
      <c r="PGR219" s="212"/>
      <c r="PGS219" s="212"/>
      <c r="PGT219" s="212"/>
      <c r="PGU219" s="212"/>
      <c r="PGV219" s="212"/>
      <c r="PGW219" s="212"/>
      <c r="PGX219" s="212"/>
      <c r="PGY219" s="212"/>
      <c r="PGZ219" s="212"/>
      <c r="PHA219" s="212"/>
      <c r="PHB219" s="212"/>
      <c r="PHC219" s="212"/>
      <c r="PHD219" s="212"/>
      <c r="PHE219" s="212"/>
      <c r="PHF219" s="212"/>
      <c r="PHG219" s="212"/>
      <c r="PHH219" s="212"/>
      <c r="PHI219" s="212"/>
      <c r="PHJ219" s="212"/>
      <c r="PHK219" s="212"/>
      <c r="PHL219" s="212"/>
      <c r="PHM219" s="212"/>
      <c r="PHN219" s="212"/>
      <c r="PHO219" s="212"/>
      <c r="PHP219" s="212"/>
      <c r="PHQ219" s="212"/>
      <c r="PHR219" s="212"/>
      <c r="PHS219" s="212"/>
      <c r="PHT219" s="214"/>
      <c r="PHU219" s="211"/>
      <c r="PHV219" s="212"/>
      <c r="PHW219" s="212"/>
      <c r="PHX219" s="212"/>
      <c r="PHY219" s="212"/>
      <c r="PHZ219" s="212"/>
      <c r="PIA219" s="212"/>
      <c r="PIB219" s="212"/>
      <c r="PIC219" s="212"/>
      <c r="PID219" s="212"/>
      <c r="PIE219" s="212"/>
      <c r="PIF219" s="212"/>
      <c r="PIG219" s="212"/>
      <c r="PIH219" s="212"/>
      <c r="PII219" s="212"/>
      <c r="PIJ219" s="212"/>
      <c r="PIK219" s="212"/>
      <c r="PIL219" s="212"/>
      <c r="PIM219" s="212"/>
      <c r="PIN219" s="212"/>
      <c r="PIO219" s="212"/>
      <c r="PIP219" s="212"/>
      <c r="PIQ219" s="212"/>
      <c r="PIR219" s="212"/>
      <c r="PIS219" s="212"/>
      <c r="PIT219" s="212"/>
      <c r="PIU219" s="212"/>
      <c r="PIV219" s="212"/>
      <c r="PIW219" s="212"/>
      <c r="PIX219" s="212"/>
      <c r="PIY219" s="212"/>
      <c r="PIZ219" s="212"/>
      <c r="PJA219" s="212"/>
      <c r="PJB219" s="212"/>
      <c r="PJC219" s="212"/>
      <c r="PJD219" s="212"/>
      <c r="PJE219" s="212"/>
      <c r="PJF219" s="212"/>
      <c r="PJG219" s="212"/>
      <c r="PJH219" s="212"/>
      <c r="PJI219" s="212"/>
      <c r="PJJ219" s="212"/>
      <c r="PJK219" s="212"/>
      <c r="PJL219" s="214"/>
      <c r="PJM219" s="211"/>
      <c r="PJN219" s="212"/>
      <c r="PJO219" s="212"/>
      <c r="PJP219" s="212"/>
      <c r="PJQ219" s="212"/>
      <c r="PJR219" s="212"/>
      <c r="PJS219" s="212"/>
      <c r="PJT219" s="212"/>
      <c r="PJU219" s="212"/>
      <c r="PJV219" s="212"/>
      <c r="PJW219" s="212"/>
      <c r="PJX219" s="212"/>
      <c r="PJY219" s="212"/>
      <c r="PJZ219" s="212"/>
      <c r="PKA219" s="212"/>
      <c r="PKB219" s="212"/>
      <c r="PKC219" s="212"/>
      <c r="PKD219" s="212"/>
      <c r="PKE219" s="212"/>
      <c r="PKF219" s="212"/>
      <c r="PKG219" s="212"/>
      <c r="PKH219" s="212"/>
      <c r="PKI219" s="212"/>
      <c r="PKJ219" s="212"/>
      <c r="PKK219" s="212"/>
      <c r="PKL219" s="212"/>
      <c r="PKM219" s="212"/>
      <c r="PKN219" s="212"/>
      <c r="PKO219" s="212"/>
      <c r="PKP219" s="212"/>
      <c r="PKQ219" s="212"/>
      <c r="PKR219" s="212"/>
      <c r="PKS219" s="212"/>
      <c r="PKT219" s="212"/>
      <c r="PKU219" s="212"/>
      <c r="PKV219" s="212"/>
      <c r="PKW219" s="212"/>
      <c r="PKX219" s="212"/>
      <c r="PKY219" s="212"/>
      <c r="PKZ219" s="212"/>
      <c r="PLA219" s="212"/>
      <c r="PLB219" s="212"/>
      <c r="PLC219" s="212"/>
      <c r="PLD219" s="214"/>
      <c r="PLE219" s="211"/>
      <c r="PLF219" s="212"/>
      <c r="PLG219" s="212"/>
      <c r="PLH219" s="212"/>
      <c r="PLI219" s="212"/>
      <c r="PLJ219" s="212"/>
      <c r="PLK219" s="212"/>
      <c r="PLL219" s="212"/>
      <c r="PLM219" s="212"/>
      <c r="PLN219" s="212"/>
      <c r="PLO219" s="212"/>
      <c r="PLP219" s="212"/>
      <c r="PLQ219" s="212"/>
      <c r="PLR219" s="212"/>
      <c r="PLS219" s="212"/>
      <c r="PLT219" s="212"/>
      <c r="PLU219" s="212"/>
      <c r="PLV219" s="212"/>
      <c r="PLW219" s="212"/>
      <c r="PLX219" s="212"/>
      <c r="PLY219" s="212"/>
      <c r="PLZ219" s="212"/>
      <c r="PMA219" s="212"/>
      <c r="PMB219" s="212"/>
      <c r="PMC219" s="212"/>
      <c r="PMD219" s="212"/>
      <c r="PME219" s="212"/>
      <c r="PMF219" s="212"/>
      <c r="PMG219" s="212"/>
      <c r="PMH219" s="212"/>
      <c r="PMI219" s="212"/>
      <c r="PMJ219" s="212"/>
      <c r="PMK219" s="212"/>
      <c r="PML219" s="212"/>
      <c r="PMM219" s="212"/>
      <c r="PMN219" s="212"/>
      <c r="PMO219" s="212"/>
      <c r="PMP219" s="212"/>
      <c r="PMQ219" s="212"/>
      <c r="PMR219" s="212"/>
      <c r="PMS219" s="212"/>
      <c r="PMT219" s="212"/>
      <c r="PMU219" s="212"/>
      <c r="PMV219" s="214"/>
      <c r="PMW219" s="211"/>
      <c r="PMX219" s="212"/>
      <c r="PMY219" s="212"/>
      <c r="PMZ219" s="212"/>
      <c r="PNA219" s="212"/>
      <c r="PNB219" s="212"/>
      <c r="PNC219" s="212"/>
      <c r="PND219" s="212"/>
      <c r="PNE219" s="212"/>
      <c r="PNF219" s="212"/>
      <c r="PNG219" s="212"/>
      <c r="PNH219" s="212"/>
      <c r="PNI219" s="212"/>
      <c r="PNJ219" s="212"/>
      <c r="PNK219" s="212"/>
      <c r="PNL219" s="212"/>
      <c r="PNM219" s="212"/>
      <c r="PNN219" s="212"/>
      <c r="PNO219" s="212"/>
      <c r="PNP219" s="212"/>
      <c r="PNQ219" s="212"/>
      <c r="PNR219" s="212"/>
      <c r="PNS219" s="212"/>
      <c r="PNT219" s="212"/>
      <c r="PNU219" s="212"/>
      <c r="PNV219" s="212"/>
      <c r="PNW219" s="212"/>
      <c r="PNX219" s="212"/>
      <c r="PNY219" s="212"/>
      <c r="PNZ219" s="212"/>
      <c r="POA219" s="212"/>
      <c r="POB219" s="212"/>
      <c r="POC219" s="212"/>
      <c r="POD219" s="212"/>
      <c r="POE219" s="212"/>
      <c r="POF219" s="212"/>
      <c r="POG219" s="212"/>
      <c r="POH219" s="212"/>
      <c r="POI219" s="212"/>
      <c r="POJ219" s="212"/>
      <c r="POK219" s="212"/>
      <c r="POL219" s="212"/>
      <c r="POM219" s="212"/>
      <c r="PON219" s="214"/>
      <c r="POO219" s="211"/>
      <c r="POP219" s="212"/>
      <c r="POQ219" s="212"/>
      <c r="POR219" s="212"/>
      <c r="POS219" s="212"/>
      <c r="POT219" s="212"/>
      <c r="POU219" s="212"/>
      <c r="POV219" s="212"/>
      <c r="POW219" s="212"/>
      <c r="POX219" s="212"/>
      <c r="POY219" s="212"/>
      <c r="POZ219" s="212"/>
      <c r="PPA219" s="212"/>
      <c r="PPB219" s="212"/>
      <c r="PPC219" s="212"/>
      <c r="PPD219" s="212"/>
      <c r="PPE219" s="212"/>
      <c r="PPF219" s="212"/>
      <c r="PPG219" s="212"/>
      <c r="PPH219" s="212"/>
      <c r="PPI219" s="212"/>
      <c r="PPJ219" s="212"/>
      <c r="PPK219" s="212"/>
      <c r="PPL219" s="212"/>
      <c r="PPM219" s="212"/>
      <c r="PPN219" s="212"/>
      <c r="PPO219" s="212"/>
      <c r="PPP219" s="212"/>
      <c r="PPQ219" s="212"/>
      <c r="PPR219" s="212"/>
      <c r="PPS219" s="212"/>
      <c r="PPT219" s="212"/>
      <c r="PPU219" s="212"/>
      <c r="PPV219" s="212"/>
      <c r="PPW219" s="212"/>
      <c r="PPX219" s="212"/>
      <c r="PPY219" s="212"/>
      <c r="PPZ219" s="212"/>
      <c r="PQA219" s="212"/>
      <c r="PQB219" s="212"/>
      <c r="PQC219" s="212"/>
      <c r="PQD219" s="212"/>
      <c r="PQE219" s="212"/>
      <c r="PQF219" s="214"/>
      <c r="PQG219" s="211"/>
      <c r="PQH219" s="212"/>
      <c r="PQI219" s="212"/>
      <c r="PQJ219" s="212"/>
      <c r="PQK219" s="212"/>
      <c r="PQL219" s="212"/>
      <c r="PQM219" s="212"/>
      <c r="PQN219" s="212"/>
      <c r="PQO219" s="212"/>
      <c r="PQP219" s="212"/>
      <c r="PQQ219" s="212"/>
      <c r="PQR219" s="212"/>
      <c r="PQS219" s="212"/>
      <c r="PQT219" s="212"/>
      <c r="PQU219" s="212"/>
      <c r="PQV219" s="212"/>
      <c r="PQW219" s="212"/>
      <c r="PQX219" s="212"/>
      <c r="PQY219" s="212"/>
      <c r="PQZ219" s="212"/>
      <c r="PRA219" s="212"/>
      <c r="PRB219" s="212"/>
      <c r="PRC219" s="212"/>
      <c r="PRD219" s="212"/>
      <c r="PRE219" s="212"/>
      <c r="PRF219" s="212"/>
      <c r="PRG219" s="212"/>
      <c r="PRH219" s="212"/>
      <c r="PRI219" s="212"/>
      <c r="PRJ219" s="212"/>
      <c r="PRK219" s="212"/>
      <c r="PRL219" s="212"/>
      <c r="PRM219" s="212"/>
      <c r="PRN219" s="212"/>
      <c r="PRO219" s="212"/>
      <c r="PRP219" s="212"/>
      <c r="PRQ219" s="212"/>
      <c r="PRR219" s="212"/>
      <c r="PRS219" s="212"/>
      <c r="PRT219" s="212"/>
      <c r="PRU219" s="212"/>
      <c r="PRV219" s="212"/>
      <c r="PRW219" s="212"/>
      <c r="PRX219" s="214"/>
      <c r="PRY219" s="211"/>
      <c r="PRZ219" s="212"/>
      <c r="PSA219" s="212"/>
      <c r="PSB219" s="212"/>
      <c r="PSC219" s="212"/>
      <c r="PSD219" s="212"/>
      <c r="PSE219" s="212"/>
      <c r="PSF219" s="212"/>
      <c r="PSG219" s="212"/>
      <c r="PSH219" s="212"/>
      <c r="PSI219" s="212"/>
      <c r="PSJ219" s="212"/>
      <c r="PSK219" s="212"/>
      <c r="PSL219" s="212"/>
      <c r="PSM219" s="212"/>
      <c r="PSN219" s="212"/>
      <c r="PSO219" s="212"/>
      <c r="PSP219" s="212"/>
      <c r="PSQ219" s="212"/>
      <c r="PSR219" s="212"/>
      <c r="PSS219" s="212"/>
      <c r="PST219" s="212"/>
      <c r="PSU219" s="212"/>
      <c r="PSV219" s="212"/>
      <c r="PSW219" s="212"/>
      <c r="PSX219" s="212"/>
      <c r="PSY219" s="212"/>
      <c r="PSZ219" s="212"/>
      <c r="PTA219" s="212"/>
      <c r="PTB219" s="212"/>
      <c r="PTC219" s="212"/>
      <c r="PTD219" s="212"/>
      <c r="PTE219" s="212"/>
      <c r="PTF219" s="212"/>
      <c r="PTG219" s="212"/>
      <c r="PTH219" s="212"/>
      <c r="PTI219" s="212"/>
      <c r="PTJ219" s="212"/>
      <c r="PTK219" s="212"/>
      <c r="PTL219" s="212"/>
      <c r="PTM219" s="212"/>
      <c r="PTN219" s="212"/>
      <c r="PTO219" s="212"/>
      <c r="PTP219" s="214"/>
      <c r="PTQ219" s="211"/>
      <c r="PTR219" s="212"/>
      <c r="PTS219" s="212"/>
      <c r="PTT219" s="212"/>
      <c r="PTU219" s="212"/>
      <c r="PTV219" s="212"/>
      <c r="PTW219" s="212"/>
      <c r="PTX219" s="212"/>
      <c r="PTY219" s="212"/>
      <c r="PTZ219" s="212"/>
      <c r="PUA219" s="212"/>
      <c r="PUB219" s="212"/>
      <c r="PUC219" s="212"/>
      <c r="PUD219" s="212"/>
      <c r="PUE219" s="212"/>
      <c r="PUF219" s="212"/>
      <c r="PUG219" s="212"/>
      <c r="PUH219" s="212"/>
      <c r="PUI219" s="212"/>
      <c r="PUJ219" s="212"/>
      <c r="PUK219" s="212"/>
      <c r="PUL219" s="212"/>
      <c r="PUM219" s="212"/>
      <c r="PUN219" s="212"/>
      <c r="PUO219" s="212"/>
      <c r="PUP219" s="212"/>
      <c r="PUQ219" s="212"/>
      <c r="PUR219" s="212"/>
      <c r="PUS219" s="212"/>
      <c r="PUT219" s="212"/>
      <c r="PUU219" s="212"/>
      <c r="PUV219" s="212"/>
      <c r="PUW219" s="212"/>
      <c r="PUX219" s="212"/>
      <c r="PUY219" s="212"/>
      <c r="PUZ219" s="212"/>
      <c r="PVA219" s="212"/>
      <c r="PVB219" s="212"/>
      <c r="PVC219" s="212"/>
      <c r="PVD219" s="212"/>
      <c r="PVE219" s="212"/>
      <c r="PVF219" s="212"/>
      <c r="PVG219" s="212"/>
      <c r="PVH219" s="214"/>
      <c r="PVI219" s="211"/>
      <c r="PVJ219" s="212"/>
      <c r="PVK219" s="212"/>
      <c r="PVL219" s="212"/>
      <c r="PVM219" s="212"/>
      <c r="PVN219" s="212"/>
      <c r="PVO219" s="212"/>
      <c r="PVP219" s="212"/>
      <c r="PVQ219" s="212"/>
      <c r="PVR219" s="212"/>
      <c r="PVS219" s="212"/>
      <c r="PVT219" s="212"/>
      <c r="PVU219" s="212"/>
      <c r="PVV219" s="212"/>
      <c r="PVW219" s="212"/>
      <c r="PVX219" s="212"/>
      <c r="PVY219" s="212"/>
      <c r="PVZ219" s="212"/>
      <c r="PWA219" s="212"/>
      <c r="PWB219" s="212"/>
      <c r="PWC219" s="212"/>
      <c r="PWD219" s="212"/>
      <c r="PWE219" s="212"/>
      <c r="PWF219" s="212"/>
      <c r="PWG219" s="212"/>
      <c r="PWH219" s="212"/>
      <c r="PWI219" s="212"/>
      <c r="PWJ219" s="212"/>
      <c r="PWK219" s="212"/>
      <c r="PWL219" s="212"/>
      <c r="PWM219" s="212"/>
      <c r="PWN219" s="212"/>
      <c r="PWO219" s="212"/>
      <c r="PWP219" s="212"/>
      <c r="PWQ219" s="212"/>
      <c r="PWR219" s="212"/>
      <c r="PWS219" s="212"/>
      <c r="PWT219" s="212"/>
      <c r="PWU219" s="212"/>
      <c r="PWV219" s="212"/>
      <c r="PWW219" s="212"/>
      <c r="PWX219" s="212"/>
      <c r="PWY219" s="212"/>
      <c r="PWZ219" s="214"/>
      <c r="PXA219" s="211"/>
      <c r="PXB219" s="212"/>
      <c r="PXC219" s="212"/>
      <c r="PXD219" s="212"/>
      <c r="PXE219" s="212"/>
      <c r="PXF219" s="212"/>
      <c r="PXG219" s="212"/>
      <c r="PXH219" s="212"/>
      <c r="PXI219" s="212"/>
      <c r="PXJ219" s="212"/>
      <c r="PXK219" s="212"/>
      <c r="PXL219" s="212"/>
      <c r="PXM219" s="212"/>
      <c r="PXN219" s="212"/>
      <c r="PXO219" s="212"/>
      <c r="PXP219" s="212"/>
      <c r="PXQ219" s="212"/>
      <c r="PXR219" s="212"/>
      <c r="PXS219" s="212"/>
      <c r="PXT219" s="212"/>
      <c r="PXU219" s="212"/>
      <c r="PXV219" s="212"/>
      <c r="PXW219" s="212"/>
      <c r="PXX219" s="212"/>
      <c r="PXY219" s="212"/>
      <c r="PXZ219" s="212"/>
      <c r="PYA219" s="212"/>
      <c r="PYB219" s="212"/>
      <c r="PYC219" s="212"/>
      <c r="PYD219" s="212"/>
      <c r="PYE219" s="212"/>
      <c r="PYF219" s="212"/>
      <c r="PYG219" s="212"/>
      <c r="PYH219" s="212"/>
      <c r="PYI219" s="212"/>
      <c r="PYJ219" s="212"/>
      <c r="PYK219" s="212"/>
      <c r="PYL219" s="212"/>
      <c r="PYM219" s="212"/>
      <c r="PYN219" s="212"/>
      <c r="PYO219" s="212"/>
      <c r="PYP219" s="212"/>
      <c r="PYQ219" s="212"/>
      <c r="PYR219" s="214"/>
      <c r="PYS219" s="211"/>
      <c r="PYT219" s="212"/>
      <c r="PYU219" s="212"/>
      <c r="PYV219" s="212"/>
      <c r="PYW219" s="212"/>
      <c r="PYX219" s="212"/>
      <c r="PYY219" s="212"/>
      <c r="PYZ219" s="212"/>
      <c r="PZA219" s="212"/>
      <c r="PZB219" s="212"/>
      <c r="PZC219" s="212"/>
      <c r="PZD219" s="212"/>
      <c r="PZE219" s="212"/>
      <c r="PZF219" s="212"/>
      <c r="PZG219" s="212"/>
      <c r="PZH219" s="212"/>
      <c r="PZI219" s="212"/>
      <c r="PZJ219" s="212"/>
      <c r="PZK219" s="212"/>
      <c r="PZL219" s="212"/>
      <c r="PZM219" s="212"/>
      <c r="PZN219" s="212"/>
      <c r="PZO219" s="212"/>
      <c r="PZP219" s="212"/>
      <c r="PZQ219" s="212"/>
      <c r="PZR219" s="212"/>
      <c r="PZS219" s="212"/>
      <c r="PZT219" s="212"/>
      <c r="PZU219" s="212"/>
      <c r="PZV219" s="212"/>
      <c r="PZW219" s="212"/>
      <c r="PZX219" s="212"/>
      <c r="PZY219" s="212"/>
      <c r="PZZ219" s="212"/>
      <c r="QAA219" s="212"/>
      <c r="QAB219" s="212"/>
      <c r="QAC219" s="212"/>
      <c r="QAD219" s="212"/>
      <c r="QAE219" s="212"/>
      <c r="QAF219" s="212"/>
      <c r="QAG219" s="212"/>
      <c r="QAH219" s="212"/>
      <c r="QAI219" s="212"/>
      <c r="QAJ219" s="214"/>
      <c r="QAK219" s="211"/>
      <c r="QAL219" s="212"/>
      <c r="QAM219" s="212"/>
      <c r="QAN219" s="212"/>
      <c r="QAO219" s="212"/>
      <c r="QAP219" s="212"/>
      <c r="QAQ219" s="212"/>
      <c r="QAR219" s="212"/>
      <c r="QAS219" s="212"/>
      <c r="QAT219" s="212"/>
      <c r="QAU219" s="212"/>
      <c r="QAV219" s="212"/>
      <c r="QAW219" s="212"/>
      <c r="QAX219" s="212"/>
      <c r="QAY219" s="212"/>
      <c r="QAZ219" s="212"/>
      <c r="QBA219" s="212"/>
      <c r="QBB219" s="212"/>
      <c r="QBC219" s="212"/>
      <c r="QBD219" s="212"/>
      <c r="QBE219" s="212"/>
      <c r="QBF219" s="212"/>
      <c r="QBG219" s="212"/>
      <c r="QBH219" s="212"/>
      <c r="QBI219" s="212"/>
      <c r="QBJ219" s="212"/>
      <c r="QBK219" s="212"/>
      <c r="QBL219" s="212"/>
      <c r="QBM219" s="212"/>
      <c r="QBN219" s="212"/>
      <c r="QBO219" s="212"/>
      <c r="QBP219" s="212"/>
      <c r="QBQ219" s="212"/>
      <c r="QBR219" s="212"/>
      <c r="QBS219" s="212"/>
      <c r="QBT219" s="212"/>
      <c r="QBU219" s="212"/>
      <c r="QBV219" s="212"/>
      <c r="QBW219" s="212"/>
      <c r="QBX219" s="212"/>
      <c r="QBY219" s="212"/>
      <c r="QBZ219" s="212"/>
      <c r="QCA219" s="212"/>
      <c r="QCB219" s="214"/>
      <c r="QCC219" s="211"/>
      <c r="QCD219" s="212"/>
      <c r="QCE219" s="212"/>
      <c r="QCF219" s="212"/>
      <c r="QCG219" s="212"/>
      <c r="QCH219" s="212"/>
      <c r="QCI219" s="212"/>
      <c r="QCJ219" s="212"/>
      <c r="QCK219" s="212"/>
      <c r="QCL219" s="212"/>
      <c r="QCM219" s="212"/>
      <c r="QCN219" s="212"/>
      <c r="QCO219" s="212"/>
      <c r="QCP219" s="212"/>
      <c r="QCQ219" s="212"/>
      <c r="QCR219" s="212"/>
      <c r="QCS219" s="212"/>
      <c r="QCT219" s="212"/>
      <c r="QCU219" s="212"/>
      <c r="QCV219" s="212"/>
      <c r="QCW219" s="212"/>
      <c r="QCX219" s="212"/>
      <c r="QCY219" s="212"/>
      <c r="QCZ219" s="212"/>
      <c r="QDA219" s="212"/>
      <c r="QDB219" s="212"/>
      <c r="QDC219" s="212"/>
      <c r="QDD219" s="212"/>
      <c r="QDE219" s="212"/>
      <c r="QDF219" s="212"/>
      <c r="QDG219" s="212"/>
      <c r="QDH219" s="212"/>
      <c r="QDI219" s="212"/>
      <c r="QDJ219" s="212"/>
      <c r="QDK219" s="212"/>
      <c r="QDL219" s="212"/>
      <c r="QDM219" s="212"/>
      <c r="QDN219" s="212"/>
      <c r="QDO219" s="212"/>
      <c r="QDP219" s="212"/>
      <c r="QDQ219" s="212"/>
      <c r="QDR219" s="212"/>
      <c r="QDS219" s="212"/>
      <c r="QDT219" s="214"/>
      <c r="QDU219" s="211"/>
      <c r="QDV219" s="212"/>
      <c r="QDW219" s="212"/>
      <c r="QDX219" s="212"/>
      <c r="QDY219" s="212"/>
      <c r="QDZ219" s="212"/>
      <c r="QEA219" s="212"/>
      <c r="QEB219" s="212"/>
      <c r="QEC219" s="212"/>
      <c r="QED219" s="212"/>
      <c r="QEE219" s="212"/>
      <c r="QEF219" s="212"/>
      <c r="QEG219" s="212"/>
      <c r="QEH219" s="212"/>
      <c r="QEI219" s="212"/>
      <c r="QEJ219" s="212"/>
      <c r="QEK219" s="212"/>
      <c r="QEL219" s="212"/>
      <c r="QEM219" s="212"/>
      <c r="QEN219" s="212"/>
      <c r="QEO219" s="212"/>
      <c r="QEP219" s="212"/>
      <c r="QEQ219" s="212"/>
      <c r="QER219" s="212"/>
      <c r="QES219" s="212"/>
      <c r="QET219" s="212"/>
      <c r="QEU219" s="212"/>
      <c r="QEV219" s="212"/>
      <c r="QEW219" s="212"/>
      <c r="QEX219" s="212"/>
      <c r="QEY219" s="212"/>
      <c r="QEZ219" s="212"/>
      <c r="QFA219" s="212"/>
      <c r="QFB219" s="212"/>
      <c r="QFC219" s="212"/>
      <c r="QFD219" s="212"/>
      <c r="QFE219" s="212"/>
      <c r="QFF219" s="212"/>
      <c r="QFG219" s="212"/>
      <c r="QFH219" s="212"/>
      <c r="QFI219" s="212"/>
      <c r="QFJ219" s="212"/>
      <c r="QFK219" s="212"/>
      <c r="QFL219" s="214"/>
      <c r="QFM219" s="211"/>
      <c r="QFN219" s="212"/>
      <c r="QFO219" s="212"/>
      <c r="QFP219" s="212"/>
      <c r="QFQ219" s="212"/>
      <c r="QFR219" s="212"/>
      <c r="QFS219" s="212"/>
      <c r="QFT219" s="212"/>
      <c r="QFU219" s="212"/>
      <c r="QFV219" s="212"/>
      <c r="QFW219" s="212"/>
      <c r="QFX219" s="212"/>
      <c r="QFY219" s="212"/>
      <c r="QFZ219" s="212"/>
      <c r="QGA219" s="212"/>
      <c r="QGB219" s="212"/>
      <c r="QGC219" s="212"/>
      <c r="QGD219" s="212"/>
      <c r="QGE219" s="212"/>
      <c r="QGF219" s="212"/>
      <c r="QGG219" s="212"/>
      <c r="QGH219" s="212"/>
      <c r="QGI219" s="212"/>
      <c r="QGJ219" s="212"/>
      <c r="QGK219" s="212"/>
      <c r="QGL219" s="212"/>
      <c r="QGM219" s="212"/>
      <c r="QGN219" s="212"/>
      <c r="QGO219" s="212"/>
      <c r="QGP219" s="212"/>
      <c r="QGQ219" s="212"/>
      <c r="QGR219" s="212"/>
      <c r="QGS219" s="212"/>
      <c r="QGT219" s="212"/>
      <c r="QGU219" s="212"/>
      <c r="QGV219" s="212"/>
      <c r="QGW219" s="212"/>
      <c r="QGX219" s="212"/>
      <c r="QGY219" s="212"/>
      <c r="QGZ219" s="212"/>
      <c r="QHA219" s="212"/>
      <c r="QHB219" s="212"/>
      <c r="QHC219" s="212"/>
      <c r="QHD219" s="214"/>
      <c r="QHE219" s="211"/>
      <c r="QHF219" s="212"/>
      <c r="QHG219" s="212"/>
      <c r="QHH219" s="212"/>
      <c r="QHI219" s="212"/>
      <c r="QHJ219" s="212"/>
      <c r="QHK219" s="212"/>
      <c r="QHL219" s="212"/>
      <c r="QHM219" s="212"/>
      <c r="QHN219" s="212"/>
      <c r="QHO219" s="212"/>
      <c r="QHP219" s="212"/>
      <c r="QHQ219" s="212"/>
      <c r="QHR219" s="212"/>
      <c r="QHS219" s="212"/>
      <c r="QHT219" s="212"/>
      <c r="QHU219" s="212"/>
      <c r="QHV219" s="212"/>
      <c r="QHW219" s="212"/>
      <c r="QHX219" s="212"/>
      <c r="QHY219" s="212"/>
      <c r="QHZ219" s="212"/>
      <c r="QIA219" s="212"/>
      <c r="QIB219" s="212"/>
      <c r="QIC219" s="212"/>
      <c r="QID219" s="212"/>
      <c r="QIE219" s="212"/>
      <c r="QIF219" s="212"/>
      <c r="QIG219" s="212"/>
      <c r="QIH219" s="212"/>
      <c r="QII219" s="212"/>
      <c r="QIJ219" s="212"/>
      <c r="QIK219" s="212"/>
      <c r="QIL219" s="212"/>
      <c r="QIM219" s="212"/>
      <c r="QIN219" s="212"/>
      <c r="QIO219" s="212"/>
      <c r="QIP219" s="212"/>
      <c r="QIQ219" s="212"/>
      <c r="QIR219" s="212"/>
      <c r="QIS219" s="212"/>
      <c r="QIT219" s="212"/>
      <c r="QIU219" s="212"/>
      <c r="QIV219" s="214"/>
      <c r="QIW219" s="211"/>
      <c r="QIX219" s="212"/>
      <c r="QIY219" s="212"/>
      <c r="QIZ219" s="212"/>
      <c r="QJA219" s="212"/>
      <c r="QJB219" s="212"/>
      <c r="QJC219" s="212"/>
      <c r="QJD219" s="212"/>
      <c r="QJE219" s="212"/>
      <c r="QJF219" s="212"/>
      <c r="QJG219" s="212"/>
      <c r="QJH219" s="212"/>
      <c r="QJI219" s="212"/>
      <c r="QJJ219" s="212"/>
      <c r="QJK219" s="212"/>
      <c r="QJL219" s="212"/>
      <c r="QJM219" s="212"/>
      <c r="QJN219" s="212"/>
      <c r="QJO219" s="212"/>
      <c r="QJP219" s="212"/>
      <c r="QJQ219" s="212"/>
      <c r="QJR219" s="212"/>
      <c r="QJS219" s="212"/>
      <c r="QJT219" s="212"/>
      <c r="QJU219" s="212"/>
      <c r="QJV219" s="212"/>
      <c r="QJW219" s="212"/>
      <c r="QJX219" s="212"/>
      <c r="QJY219" s="212"/>
      <c r="QJZ219" s="212"/>
      <c r="QKA219" s="212"/>
      <c r="QKB219" s="212"/>
      <c r="QKC219" s="212"/>
      <c r="QKD219" s="212"/>
      <c r="QKE219" s="212"/>
      <c r="QKF219" s="212"/>
      <c r="QKG219" s="212"/>
      <c r="QKH219" s="212"/>
      <c r="QKI219" s="212"/>
      <c r="QKJ219" s="212"/>
      <c r="QKK219" s="212"/>
      <c r="QKL219" s="212"/>
      <c r="QKM219" s="212"/>
      <c r="QKN219" s="214"/>
      <c r="QKO219" s="211"/>
      <c r="QKP219" s="212"/>
      <c r="QKQ219" s="212"/>
      <c r="QKR219" s="212"/>
      <c r="QKS219" s="212"/>
      <c r="QKT219" s="212"/>
      <c r="QKU219" s="212"/>
      <c r="QKV219" s="212"/>
      <c r="QKW219" s="212"/>
      <c r="QKX219" s="212"/>
      <c r="QKY219" s="212"/>
      <c r="QKZ219" s="212"/>
      <c r="QLA219" s="212"/>
      <c r="QLB219" s="212"/>
      <c r="QLC219" s="212"/>
      <c r="QLD219" s="212"/>
      <c r="QLE219" s="212"/>
      <c r="QLF219" s="212"/>
      <c r="QLG219" s="212"/>
      <c r="QLH219" s="212"/>
      <c r="QLI219" s="212"/>
      <c r="QLJ219" s="212"/>
      <c r="QLK219" s="212"/>
      <c r="QLL219" s="212"/>
      <c r="QLM219" s="212"/>
      <c r="QLN219" s="212"/>
      <c r="QLO219" s="212"/>
      <c r="QLP219" s="212"/>
      <c r="QLQ219" s="212"/>
      <c r="QLR219" s="212"/>
      <c r="QLS219" s="212"/>
      <c r="QLT219" s="212"/>
      <c r="QLU219" s="212"/>
      <c r="QLV219" s="212"/>
      <c r="QLW219" s="212"/>
      <c r="QLX219" s="212"/>
      <c r="QLY219" s="212"/>
      <c r="QLZ219" s="212"/>
      <c r="QMA219" s="212"/>
      <c r="QMB219" s="212"/>
      <c r="QMC219" s="212"/>
      <c r="QMD219" s="212"/>
      <c r="QME219" s="212"/>
      <c r="QMF219" s="214"/>
      <c r="QMG219" s="211"/>
      <c r="QMH219" s="212"/>
      <c r="QMI219" s="212"/>
      <c r="QMJ219" s="212"/>
      <c r="QMK219" s="212"/>
      <c r="QML219" s="212"/>
      <c r="QMM219" s="212"/>
      <c r="QMN219" s="212"/>
      <c r="QMO219" s="212"/>
      <c r="QMP219" s="212"/>
      <c r="QMQ219" s="212"/>
      <c r="QMR219" s="212"/>
      <c r="QMS219" s="212"/>
      <c r="QMT219" s="212"/>
      <c r="QMU219" s="212"/>
      <c r="QMV219" s="212"/>
      <c r="QMW219" s="212"/>
      <c r="QMX219" s="212"/>
      <c r="QMY219" s="212"/>
      <c r="QMZ219" s="212"/>
      <c r="QNA219" s="212"/>
      <c r="QNB219" s="212"/>
      <c r="QNC219" s="212"/>
      <c r="QND219" s="212"/>
      <c r="QNE219" s="212"/>
      <c r="QNF219" s="212"/>
      <c r="QNG219" s="212"/>
      <c r="QNH219" s="212"/>
      <c r="QNI219" s="212"/>
      <c r="QNJ219" s="212"/>
      <c r="QNK219" s="212"/>
      <c r="QNL219" s="212"/>
      <c r="QNM219" s="212"/>
      <c r="QNN219" s="212"/>
      <c r="QNO219" s="212"/>
      <c r="QNP219" s="212"/>
      <c r="QNQ219" s="212"/>
      <c r="QNR219" s="212"/>
      <c r="QNS219" s="212"/>
      <c r="QNT219" s="212"/>
      <c r="QNU219" s="212"/>
      <c r="QNV219" s="212"/>
      <c r="QNW219" s="212"/>
      <c r="QNX219" s="214"/>
      <c r="QNY219" s="211"/>
      <c r="QNZ219" s="212"/>
      <c r="QOA219" s="212"/>
      <c r="QOB219" s="212"/>
      <c r="QOC219" s="212"/>
      <c r="QOD219" s="212"/>
      <c r="QOE219" s="212"/>
      <c r="QOF219" s="212"/>
      <c r="QOG219" s="212"/>
      <c r="QOH219" s="212"/>
      <c r="QOI219" s="212"/>
      <c r="QOJ219" s="212"/>
      <c r="QOK219" s="212"/>
      <c r="QOL219" s="212"/>
      <c r="QOM219" s="212"/>
      <c r="QON219" s="212"/>
      <c r="QOO219" s="212"/>
      <c r="QOP219" s="212"/>
      <c r="QOQ219" s="212"/>
      <c r="QOR219" s="212"/>
      <c r="QOS219" s="212"/>
      <c r="QOT219" s="212"/>
      <c r="QOU219" s="212"/>
      <c r="QOV219" s="212"/>
      <c r="QOW219" s="212"/>
      <c r="QOX219" s="212"/>
      <c r="QOY219" s="212"/>
      <c r="QOZ219" s="212"/>
      <c r="QPA219" s="212"/>
      <c r="QPB219" s="212"/>
      <c r="QPC219" s="212"/>
      <c r="QPD219" s="212"/>
      <c r="QPE219" s="212"/>
      <c r="QPF219" s="212"/>
      <c r="QPG219" s="212"/>
      <c r="QPH219" s="212"/>
      <c r="QPI219" s="212"/>
      <c r="QPJ219" s="212"/>
      <c r="QPK219" s="212"/>
      <c r="QPL219" s="212"/>
      <c r="QPM219" s="212"/>
      <c r="QPN219" s="212"/>
      <c r="QPO219" s="212"/>
      <c r="QPP219" s="214"/>
      <c r="QPQ219" s="211"/>
      <c r="QPR219" s="212"/>
      <c r="QPS219" s="212"/>
      <c r="QPT219" s="212"/>
      <c r="QPU219" s="212"/>
      <c r="QPV219" s="212"/>
      <c r="QPW219" s="212"/>
      <c r="QPX219" s="212"/>
      <c r="QPY219" s="212"/>
      <c r="QPZ219" s="212"/>
      <c r="QQA219" s="212"/>
      <c r="QQB219" s="212"/>
      <c r="QQC219" s="212"/>
      <c r="QQD219" s="212"/>
      <c r="QQE219" s="212"/>
      <c r="QQF219" s="212"/>
      <c r="QQG219" s="212"/>
      <c r="QQH219" s="212"/>
      <c r="QQI219" s="212"/>
      <c r="QQJ219" s="212"/>
      <c r="QQK219" s="212"/>
      <c r="QQL219" s="212"/>
      <c r="QQM219" s="212"/>
      <c r="QQN219" s="212"/>
      <c r="QQO219" s="212"/>
      <c r="QQP219" s="212"/>
      <c r="QQQ219" s="212"/>
      <c r="QQR219" s="212"/>
      <c r="QQS219" s="212"/>
      <c r="QQT219" s="212"/>
      <c r="QQU219" s="212"/>
      <c r="QQV219" s="212"/>
      <c r="QQW219" s="212"/>
      <c r="QQX219" s="212"/>
      <c r="QQY219" s="212"/>
      <c r="QQZ219" s="212"/>
      <c r="QRA219" s="212"/>
      <c r="QRB219" s="212"/>
      <c r="QRC219" s="212"/>
      <c r="QRD219" s="212"/>
      <c r="QRE219" s="212"/>
      <c r="QRF219" s="212"/>
      <c r="QRG219" s="212"/>
      <c r="QRH219" s="214"/>
      <c r="QRI219" s="211"/>
      <c r="QRJ219" s="212"/>
      <c r="QRK219" s="212"/>
      <c r="QRL219" s="212"/>
      <c r="QRM219" s="212"/>
      <c r="QRN219" s="212"/>
      <c r="QRO219" s="212"/>
      <c r="QRP219" s="212"/>
      <c r="QRQ219" s="212"/>
      <c r="QRR219" s="212"/>
      <c r="QRS219" s="212"/>
      <c r="QRT219" s="212"/>
      <c r="QRU219" s="212"/>
      <c r="QRV219" s="212"/>
      <c r="QRW219" s="212"/>
      <c r="QRX219" s="212"/>
      <c r="QRY219" s="212"/>
      <c r="QRZ219" s="212"/>
      <c r="QSA219" s="212"/>
      <c r="QSB219" s="212"/>
      <c r="QSC219" s="212"/>
      <c r="QSD219" s="212"/>
      <c r="QSE219" s="212"/>
      <c r="QSF219" s="212"/>
      <c r="QSG219" s="212"/>
      <c r="QSH219" s="212"/>
      <c r="QSI219" s="212"/>
      <c r="QSJ219" s="212"/>
      <c r="QSK219" s="212"/>
      <c r="QSL219" s="212"/>
      <c r="QSM219" s="212"/>
      <c r="QSN219" s="212"/>
      <c r="QSO219" s="212"/>
      <c r="QSP219" s="212"/>
      <c r="QSQ219" s="212"/>
      <c r="QSR219" s="212"/>
      <c r="QSS219" s="212"/>
      <c r="QST219" s="212"/>
      <c r="QSU219" s="212"/>
      <c r="QSV219" s="212"/>
      <c r="QSW219" s="212"/>
      <c r="QSX219" s="212"/>
      <c r="QSY219" s="212"/>
      <c r="QSZ219" s="214"/>
      <c r="QTA219" s="211"/>
      <c r="QTB219" s="212"/>
      <c r="QTC219" s="212"/>
      <c r="QTD219" s="212"/>
      <c r="QTE219" s="212"/>
      <c r="QTF219" s="212"/>
      <c r="QTG219" s="212"/>
      <c r="QTH219" s="212"/>
      <c r="QTI219" s="212"/>
      <c r="QTJ219" s="212"/>
      <c r="QTK219" s="212"/>
      <c r="QTL219" s="212"/>
      <c r="QTM219" s="212"/>
      <c r="QTN219" s="212"/>
      <c r="QTO219" s="212"/>
      <c r="QTP219" s="212"/>
      <c r="QTQ219" s="212"/>
      <c r="QTR219" s="212"/>
      <c r="QTS219" s="212"/>
      <c r="QTT219" s="212"/>
      <c r="QTU219" s="212"/>
      <c r="QTV219" s="212"/>
      <c r="QTW219" s="212"/>
      <c r="QTX219" s="212"/>
      <c r="QTY219" s="212"/>
      <c r="QTZ219" s="212"/>
      <c r="QUA219" s="212"/>
      <c r="QUB219" s="212"/>
      <c r="QUC219" s="212"/>
      <c r="QUD219" s="212"/>
      <c r="QUE219" s="212"/>
      <c r="QUF219" s="212"/>
      <c r="QUG219" s="212"/>
      <c r="QUH219" s="212"/>
      <c r="QUI219" s="212"/>
      <c r="QUJ219" s="212"/>
      <c r="QUK219" s="212"/>
      <c r="QUL219" s="212"/>
      <c r="QUM219" s="212"/>
      <c r="QUN219" s="212"/>
      <c r="QUO219" s="212"/>
      <c r="QUP219" s="212"/>
      <c r="QUQ219" s="212"/>
      <c r="QUR219" s="214"/>
      <c r="QUS219" s="211"/>
      <c r="QUT219" s="212"/>
      <c r="QUU219" s="212"/>
      <c r="QUV219" s="212"/>
      <c r="QUW219" s="212"/>
      <c r="QUX219" s="212"/>
      <c r="QUY219" s="212"/>
      <c r="QUZ219" s="212"/>
      <c r="QVA219" s="212"/>
      <c r="QVB219" s="212"/>
      <c r="QVC219" s="212"/>
      <c r="QVD219" s="212"/>
      <c r="QVE219" s="212"/>
      <c r="QVF219" s="212"/>
      <c r="QVG219" s="212"/>
      <c r="QVH219" s="212"/>
      <c r="QVI219" s="212"/>
      <c r="QVJ219" s="212"/>
      <c r="QVK219" s="212"/>
      <c r="QVL219" s="212"/>
      <c r="QVM219" s="212"/>
      <c r="QVN219" s="212"/>
      <c r="QVO219" s="212"/>
      <c r="QVP219" s="212"/>
      <c r="QVQ219" s="212"/>
      <c r="QVR219" s="212"/>
      <c r="QVS219" s="212"/>
      <c r="QVT219" s="212"/>
      <c r="QVU219" s="212"/>
      <c r="QVV219" s="212"/>
      <c r="QVW219" s="212"/>
      <c r="QVX219" s="212"/>
      <c r="QVY219" s="212"/>
      <c r="QVZ219" s="212"/>
      <c r="QWA219" s="212"/>
      <c r="QWB219" s="212"/>
      <c r="QWC219" s="212"/>
      <c r="QWD219" s="212"/>
      <c r="QWE219" s="212"/>
      <c r="QWF219" s="212"/>
      <c r="QWG219" s="212"/>
      <c r="QWH219" s="212"/>
      <c r="QWI219" s="212"/>
      <c r="QWJ219" s="214"/>
      <c r="QWK219" s="211"/>
      <c r="QWL219" s="212"/>
      <c r="QWM219" s="212"/>
      <c r="QWN219" s="212"/>
      <c r="QWO219" s="212"/>
      <c r="QWP219" s="212"/>
      <c r="QWQ219" s="212"/>
      <c r="QWR219" s="212"/>
      <c r="QWS219" s="212"/>
      <c r="QWT219" s="212"/>
      <c r="QWU219" s="212"/>
      <c r="QWV219" s="212"/>
      <c r="QWW219" s="212"/>
      <c r="QWX219" s="212"/>
      <c r="QWY219" s="212"/>
      <c r="QWZ219" s="212"/>
      <c r="QXA219" s="212"/>
      <c r="QXB219" s="212"/>
      <c r="QXC219" s="212"/>
      <c r="QXD219" s="212"/>
      <c r="QXE219" s="212"/>
      <c r="QXF219" s="212"/>
      <c r="QXG219" s="212"/>
      <c r="QXH219" s="212"/>
      <c r="QXI219" s="212"/>
      <c r="QXJ219" s="212"/>
      <c r="QXK219" s="212"/>
      <c r="QXL219" s="212"/>
      <c r="QXM219" s="212"/>
      <c r="QXN219" s="212"/>
      <c r="QXO219" s="212"/>
      <c r="QXP219" s="212"/>
      <c r="QXQ219" s="212"/>
      <c r="QXR219" s="212"/>
      <c r="QXS219" s="212"/>
      <c r="QXT219" s="212"/>
      <c r="QXU219" s="212"/>
      <c r="QXV219" s="212"/>
      <c r="QXW219" s="212"/>
      <c r="QXX219" s="212"/>
      <c r="QXY219" s="212"/>
      <c r="QXZ219" s="212"/>
      <c r="QYA219" s="212"/>
      <c r="QYB219" s="214"/>
      <c r="QYC219" s="211"/>
      <c r="QYD219" s="212"/>
      <c r="QYE219" s="212"/>
      <c r="QYF219" s="212"/>
      <c r="QYG219" s="212"/>
      <c r="QYH219" s="212"/>
      <c r="QYI219" s="212"/>
      <c r="QYJ219" s="212"/>
      <c r="QYK219" s="212"/>
      <c r="QYL219" s="212"/>
      <c r="QYM219" s="212"/>
      <c r="QYN219" s="212"/>
      <c r="QYO219" s="212"/>
      <c r="QYP219" s="212"/>
      <c r="QYQ219" s="212"/>
      <c r="QYR219" s="212"/>
      <c r="QYS219" s="212"/>
      <c r="QYT219" s="212"/>
      <c r="QYU219" s="212"/>
      <c r="QYV219" s="212"/>
      <c r="QYW219" s="212"/>
      <c r="QYX219" s="212"/>
      <c r="QYY219" s="212"/>
      <c r="QYZ219" s="212"/>
      <c r="QZA219" s="212"/>
      <c r="QZB219" s="212"/>
      <c r="QZC219" s="212"/>
      <c r="QZD219" s="212"/>
      <c r="QZE219" s="212"/>
      <c r="QZF219" s="212"/>
      <c r="QZG219" s="212"/>
      <c r="QZH219" s="212"/>
      <c r="QZI219" s="212"/>
      <c r="QZJ219" s="212"/>
      <c r="QZK219" s="212"/>
      <c r="QZL219" s="212"/>
      <c r="QZM219" s="212"/>
      <c r="QZN219" s="212"/>
      <c r="QZO219" s="212"/>
      <c r="QZP219" s="212"/>
      <c r="QZQ219" s="212"/>
      <c r="QZR219" s="212"/>
      <c r="QZS219" s="212"/>
      <c r="QZT219" s="214"/>
      <c r="QZU219" s="211"/>
      <c r="QZV219" s="212"/>
      <c r="QZW219" s="212"/>
      <c r="QZX219" s="212"/>
      <c r="QZY219" s="212"/>
      <c r="QZZ219" s="212"/>
      <c r="RAA219" s="212"/>
      <c r="RAB219" s="212"/>
      <c r="RAC219" s="212"/>
      <c r="RAD219" s="212"/>
      <c r="RAE219" s="212"/>
      <c r="RAF219" s="212"/>
      <c r="RAG219" s="212"/>
      <c r="RAH219" s="212"/>
      <c r="RAI219" s="212"/>
      <c r="RAJ219" s="212"/>
      <c r="RAK219" s="212"/>
      <c r="RAL219" s="212"/>
      <c r="RAM219" s="212"/>
      <c r="RAN219" s="212"/>
      <c r="RAO219" s="212"/>
      <c r="RAP219" s="212"/>
      <c r="RAQ219" s="212"/>
      <c r="RAR219" s="212"/>
      <c r="RAS219" s="212"/>
      <c r="RAT219" s="212"/>
      <c r="RAU219" s="212"/>
      <c r="RAV219" s="212"/>
      <c r="RAW219" s="212"/>
      <c r="RAX219" s="212"/>
      <c r="RAY219" s="212"/>
      <c r="RAZ219" s="212"/>
      <c r="RBA219" s="212"/>
      <c r="RBB219" s="212"/>
      <c r="RBC219" s="212"/>
      <c r="RBD219" s="212"/>
      <c r="RBE219" s="212"/>
      <c r="RBF219" s="212"/>
      <c r="RBG219" s="212"/>
      <c r="RBH219" s="212"/>
      <c r="RBI219" s="212"/>
      <c r="RBJ219" s="212"/>
      <c r="RBK219" s="212"/>
      <c r="RBL219" s="214"/>
      <c r="RBM219" s="211"/>
      <c r="RBN219" s="212"/>
      <c r="RBO219" s="212"/>
      <c r="RBP219" s="212"/>
      <c r="RBQ219" s="212"/>
      <c r="RBR219" s="212"/>
      <c r="RBS219" s="212"/>
      <c r="RBT219" s="212"/>
      <c r="RBU219" s="212"/>
      <c r="RBV219" s="212"/>
      <c r="RBW219" s="212"/>
      <c r="RBX219" s="212"/>
      <c r="RBY219" s="212"/>
      <c r="RBZ219" s="212"/>
      <c r="RCA219" s="212"/>
      <c r="RCB219" s="212"/>
      <c r="RCC219" s="212"/>
      <c r="RCD219" s="212"/>
      <c r="RCE219" s="212"/>
      <c r="RCF219" s="212"/>
      <c r="RCG219" s="212"/>
      <c r="RCH219" s="212"/>
      <c r="RCI219" s="212"/>
      <c r="RCJ219" s="212"/>
      <c r="RCK219" s="212"/>
      <c r="RCL219" s="212"/>
      <c r="RCM219" s="212"/>
      <c r="RCN219" s="212"/>
      <c r="RCO219" s="212"/>
      <c r="RCP219" s="212"/>
      <c r="RCQ219" s="212"/>
      <c r="RCR219" s="212"/>
      <c r="RCS219" s="212"/>
      <c r="RCT219" s="212"/>
      <c r="RCU219" s="212"/>
      <c r="RCV219" s="212"/>
      <c r="RCW219" s="212"/>
      <c r="RCX219" s="212"/>
      <c r="RCY219" s="212"/>
      <c r="RCZ219" s="212"/>
      <c r="RDA219" s="212"/>
      <c r="RDB219" s="212"/>
      <c r="RDC219" s="212"/>
      <c r="RDD219" s="214"/>
      <c r="RDE219" s="211"/>
      <c r="RDF219" s="212"/>
      <c r="RDG219" s="212"/>
      <c r="RDH219" s="212"/>
      <c r="RDI219" s="212"/>
      <c r="RDJ219" s="212"/>
      <c r="RDK219" s="212"/>
      <c r="RDL219" s="212"/>
      <c r="RDM219" s="212"/>
      <c r="RDN219" s="212"/>
      <c r="RDO219" s="212"/>
      <c r="RDP219" s="212"/>
      <c r="RDQ219" s="212"/>
      <c r="RDR219" s="212"/>
      <c r="RDS219" s="212"/>
      <c r="RDT219" s="212"/>
      <c r="RDU219" s="212"/>
      <c r="RDV219" s="212"/>
      <c r="RDW219" s="212"/>
      <c r="RDX219" s="212"/>
      <c r="RDY219" s="212"/>
      <c r="RDZ219" s="212"/>
      <c r="REA219" s="212"/>
      <c r="REB219" s="212"/>
      <c r="REC219" s="212"/>
      <c r="RED219" s="212"/>
      <c r="REE219" s="212"/>
      <c r="REF219" s="212"/>
      <c r="REG219" s="212"/>
      <c r="REH219" s="212"/>
      <c r="REI219" s="212"/>
      <c r="REJ219" s="212"/>
      <c r="REK219" s="212"/>
      <c r="REL219" s="212"/>
      <c r="REM219" s="212"/>
      <c r="REN219" s="212"/>
      <c r="REO219" s="212"/>
      <c r="REP219" s="212"/>
      <c r="REQ219" s="212"/>
      <c r="RER219" s="212"/>
      <c r="RES219" s="212"/>
      <c r="RET219" s="212"/>
      <c r="REU219" s="212"/>
      <c r="REV219" s="214"/>
      <c r="REW219" s="211"/>
      <c r="REX219" s="212"/>
      <c r="REY219" s="212"/>
      <c r="REZ219" s="212"/>
      <c r="RFA219" s="212"/>
      <c r="RFB219" s="212"/>
      <c r="RFC219" s="212"/>
      <c r="RFD219" s="212"/>
      <c r="RFE219" s="212"/>
      <c r="RFF219" s="212"/>
      <c r="RFG219" s="212"/>
      <c r="RFH219" s="212"/>
      <c r="RFI219" s="212"/>
      <c r="RFJ219" s="212"/>
      <c r="RFK219" s="212"/>
      <c r="RFL219" s="212"/>
      <c r="RFM219" s="212"/>
      <c r="RFN219" s="212"/>
      <c r="RFO219" s="212"/>
      <c r="RFP219" s="212"/>
      <c r="RFQ219" s="212"/>
      <c r="RFR219" s="212"/>
      <c r="RFS219" s="212"/>
      <c r="RFT219" s="212"/>
      <c r="RFU219" s="212"/>
      <c r="RFV219" s="212"/>
      <c r="RFW219" s="212"/>
      <c r="RFX219" s="212"/>
      <c r="RFY219" s="212"/>
      <c r="RFZ219" s="212"/>
      <c r="RGA219" s="212"/>
      <c r="RGB219" s="212"/>
      <c r="RGC219" s="212"/>
      <c r="RGD219" s="212"/>
      <c r="RGE219" s="212"/>
      <c r="RGF219" s="212"/>
      <c r="RGG219" s="212"/>
      <c r="RGH219" s="212"/>
      <c r="RGI219" s="212"/>
      <c r="RGJ219" s="212"/>
      <c r="RGK219" s="212"/>
      <c r="RGL219" s="212"/>
      <c r="RGM219" s="212"/>
      <c r="RGN219" s="214"/>
      <c r="RGO219" s="211"/>
      <c r="RGP219" s="212"/>
      <c r="RGQ219" s="212"/>
      <c r="RGR219" s="212"/>
      <c r="RGS219" s="212"/>
      <c r="RGT219" s="212"/>
      <c r="RGU219" s="212"/>
      <c r="RGV219" s="212"/>
      <c r="RGW219" s="212"/>
      <c r="RGX219" s="212"/>
      <c r="RGY219" s="212"/>
      <c r="RGZ219" s="212"/>
      <c r="RHA219" s="212"/>
      <c r="RHB219" s="212"/>
      <c r="RHC219" s="212"/>
      <c r="RHD219" s="212"/>
      <c r="RHE219" s="212"/>
      <c r="RHF219" s="212"/>
      <c r="RHG219" s="212"/>
      <c r="RHH219" s="212"/>
      <c r="RHI219" s="212"/>
      <c r="RHJ219" s="212"/>
      <c r="RHK219" s="212"/>
      <c r="RHL219" s="212"/>
      <c r="RHM219" s="212"/>
      <c r="RHN219" s="212"/>
      <c r="RHO219" s="212"/>
      <c r="RHP219" s="212"/>
      <c r="RHQ219" s="212"/>
      <c r="RHR219" s="212"/>
      <c r="RHS219" s="212"/>
      <c r="RHT219" s="212"/>
      <c r="RHU219" s="212"/>
      <c r="RHV219" s="212"/>
      <c r="RHW219" s="212"/>
      <c r="RHX219" s="212"/>
      <c r="RHY219" s="212"/>
      <c r="RHZ219" s="212"/>
      <c r="RIA219" s="212"/>
      <c r="RIB219" s="212"/>
      <c r="RIC219" s="212"/>
      <c r="RID219" s="212"/>
      <c r="RIE219" s="212"/>
      <c r="RIF219" s="214"/>
      <c r="RIG219" s="211"/>
      <c r="RIH219" s="212"/>
      <c r="RII219" s="212"/>
      <c r="RIJ219" s="212"/>
      <c r="RIK219" s="212"/>
      <c r="RIL219" s="212"/>
      <c r="RIM219" s="212"/>
      <c r="RIN219" s="212"/>
      <c r="RIO219" s="212"/>
      <c r="RIP219" s="212"/>
      <c r="RIQ219" s="212"/>
      <c r="RIR219" s="212"/>
      <c r="RIS219" s="212"/>
      <c r="RIT219" s="212"/>
      <c r="RIU219" s="212"/>
      <c r="RIV219" s="212"/>
      <c r="RIW219" s="212"/>
      <c r="RIX219" s="212"/>
      <c r="RIY219" s="212"/>
      <c r="RIZ219" s="212"/>
      <c r="RJA219" s="212"/>
      <c r="RJB219" s="212"/>
      <c r="RJC219" s="212"/>
      <c r="RJD219" s="212"/>
      <c r="RJE219" s="212"/>
      <c r="RJF219" s="212"/>
      <c r="RJG219" s="212"/>
      <c r="RJH219" s="212"/>
      <c r="RJI219" s="212"/>
      <c r="RJJ219" s="212"/>
      <c r="RJK219" s="212"/>
      <c r="RJL219" s="212"/>
      <c r="RJM219" s="212"/>
      <c r="RJN219" s="212"/>
      <c r="RJO219" s="212"/>
      <c r="RJP219" s="212"/>
      <c r="RJQ219" s="212"/>
      <c r="RJR219" s="212"/>
      <c r="RJS219" s="212"/>
      <c r="RJT219" s="212"/>
      <c r="RJU219" s="212"/>
      <c r="RJV219" s="212"/>
      <c r="RJW219" s="212"/>
      <c r="RJX219" s="214"/>
      <c r="RJY219" s="211"/>
      <c r="RJZ219" s="212"/>
      <c r="RKA219" s="212"/>
      <c r="RKB219" s="212"/>
      <c r="RKC219" s="212"/>
      <c r="RKD219" s="212"/>
      <c r="RKE219" s="212"/>
      <c r="RKF219" s="212"/>
      <c r="RKG219" s="212"/>
      <c r="RKH219" s="212"/>
      <c r="RKI219" s="212"/>
      <c r="RKJ219" s="212"/>
      <c r="RKK219" s="212"/>
      <c r="RKL219" s="212"/>
      <c r="RKM219" s="212"/>
      <c r="RKN219" s="212"/>
      <c r="RKO219" s="212"/>
      <c r="RKP219" s="212"/>
      <c r="RKQ219" s="212"/>
      <c r="RKR219" s="212"/>
      <c r="RKS219" s="212"/>
      <c r="RKT219" s="212"/>
      <c r="RKU219" s="212"/>
      <c r="RKV219" s="212"/>
      <c r="RKW219" s="212"/>
      <c r="RKX219" s="212"/>
      <c r="RKY219" s="212"/>
      <c r="RKZ219" s="212"/>
      <c r="RLA219" s="212"/>
      <c r="RLB219" s="212"/>
      <c r="RLC219" s="212"/>
      <c r="RLD219" s="212"/>
      <c r="RLE219" s="212"/>
      <c r="RLF219" s="212"/>
      <c r="RLG219" s="212"/>
      <c r="RLH219" s="212"/>
      <c r="RLI219" s="212"/>
      <c r="RLJ219" s="212"/>
      <c r="RLK219" s="212"/>
      <c r="RLL219" s="212"/>
      <c r="RLM219" s="212"/>
      <c r="RLN219" s="212"/>
      <c r="RLO219" s="212"/>
      <c r="RLP219" s="214"/>
      <c r="RLQ219" s="211"/>
      <c r="RLR219" s="212"/>
      <c r="RLS219" s="212"/>
      <c r="RLT219" s="212"/>
      <c r="RLU219" s="212"/>
      <c r="RLV219" s="212"/>
      <c r="RLW219" s="212"/>
      <c r="RLX219" s="212"/>
      <c r="RLY219" s="212"/>
      <c r="RLZ219" s="212"/>
      <c r="RMA219" s="212"/>
      <c r="RMB219" s="212"/>
      <c r="RMC219" s="212"/>
      <c r="RMD219" s="212"/>
      <c r="RME219" s="212"/>
      <c r="RMF219" s="212"/>
      <c r="RMG219" s="212"/>
      <c r="RMH219" s="212"/>
      <c r="RMI219" s="212"/>
      <c r="RMJ219" s="212"/>
      <c r="RMK219" s="212"/>
      <c r="RML219" s="212"/>
      <c r="RMM219" s="212"/>
      <c r="RMN219" s="212"/>
      <c r="RMO219" s="212"/>
      <c r="RMP219" s="212"/>
      <c r="RMQ219" s="212"/>
      <c r="RMR219" s="212"/>
      <c r="RMS219" s="212"/>
      <c r="RMT219" s="212"/>
      <c r="RMU219" s="212"/>
      <c r="RMV219" s="212"/>
      <c r="RMW219" s="212"/>
      <c r="RMX219" s="212"/>
      <c r="RMY219" s="212"/>
      <c r="RMZ219" s="212"/>
      <c r="RNA219" s="212"/>
      <c r="RNB219" s="212"/>
      <c r="RNC219" s="212"/>
      <c r="RND219" s="212"/>
      <c r="RNE219" s="212"/>
      <c r="RNF219" s="212"/>
      <c r="RNG219" s="212"/>
      <c r="RNH219" s="214"/>
      <c r="RNI219" s="211"/>
      <c r="RNJ219" s="212"/>
      <c r="RNK219" s="212"/>
      <c r="RNL219" s="212"/>
      <c r="RNM219" s="212"/>
      <c r="RNN219" s="212"/>
      <c r="RNO219" s="212"/>
      <c r="RNP219" s="212"/>
      <c r="RNQ219" s="212"/>
      <c r="RNR219" s="212"/>
      <c r="RNS219" s="212"/>
      <c r="RNT219" s="212"/>
      <c r="RNU219" s="212"/>
      <c r="RNV219" s="212"/>
      <c r="RNW219" s="212"/>
      <c r="RNX219" s="212"/>
      <c r="RNY219" s="212"/>
      <c r="RNZ219" s="212"/>
      <c r="ROA219" s="212"/>
      <c r="ROB219" s="212"/>
      <c r="ROC219" s="212"/>
      <c r="ROD219" s="212"/>
      <c r="ROE219" s="212"/>
      <c r="ROF219" s="212"/>
      <c r="ROG219" s="212"/>
      <c r="ROH219" s="212"/>
      <c r="ROI219" s="212"/>
      <c r="ROJ219" s="212"/>
      <c r="ROK219" s="212"/>
      <c r="ROL219" s="212"/>
      <c r="ROM219" s="212"/>
      <c r="RON219" s="212"/>
      <c r="ROO219" s="212"/>
      <c r="ROP219" s="212"/>
      <c r="ROQ219" s="212"/>
      <c r="ROR219" s="212"/>
      <c r="ROS219" s="212"/>
      <c r="ROT219" s="212"/>
      <c r="ROU219" s="212"/>
      <c r="ROV219" s="212"/>
      <c r="ROW219" s="212"/>
      <c r="ROX219" s="212"/>
      <c r="ROY219" s="212"/>
      <c r="ROZ219" s="214"/>
      <c r="RPA219" s="211"/>
      <c r="RPB219" s="212"/>
      <c r="RPC219" s="212"/>
      <c r="RPD219" s="212"/>
      <c r="RPE219" s="212"/>
      <c r="RPF219" s="212"/>
      <c r="RPG219" s="212"/>
      <c r="RPH219" s="212"/>
      <c r="RPI219" s="212"/>
      <c r="RPJ219" s="212"/>
      <c r="RPK219" s="212"/>
      <c r="RPL219" s="212"/>
      <c r="RPM219" s="212"/>
      <c r="RPN219" s="212"/>
      <c r="RPO219" s="212"/>
      <c r="RPP219" s="212"/>
      <c r="RPQ219" s="212"/>
      <c r="RPR219" s="212"/>
      <c r="RPS219" s="212"/>
      <c r="RPT219" s="212"/>
      <c r="RPU219" s="212"/>
      <c r="RPV219" s="212"/>
      <c r="RPW219" s="212"/>
      <c r="RPX219" s="212"/>
      <c r="RPY219" s="212"/>
      <c r="RPZ219" s="212"/>
      <c r="RQA219" s="212"/>
      <c r="RQB219" s="212"/>
      <c r="RQC219" s="212"/>
      <c r="RQD219" s="212"/>
      <c r="RQE219" s="212"/>
      <c r="RQF219" s="212"/>
      <c r="RQG219" s="212"/>
      <c r="RQH219" s="212"/>
      <c r="RQI219" s="212"/>
      <c r="RQJ219" s="212"/>
      <c r="RQK219" s="212"/>
      <c r="RQL219" s="212"/>
      <c r="RQM219" s="212"/>
      <c r="RQN219" s="212"/>
      <c r="RQO219" s="212"/>
      <c r="RQP219" s="212"/>
      <c r="RQQ219" s="212"/>
      <c r="RQR219" s="214"/>
      <c r="RQS219" s="211"/>
      <c r="RQT219" s="212"/>
      <c r="RQU219" s="212"/>
      <c r="RQV219" s="212"/>
      <c r="RQW219" s="212"/>
      <c r="RQX219" s="212"/>
      <c r="RQY219" s="212"/>
      <c r="RQZ219" s="212"/>
      <c r="RRA219" s="212"/>
      <c r="RRB219" s="212"/>
      <c r="RRC219" s="212"/>
      <c r="RRD219" s="212"/>
      <c r="RRE219" s="212"/>
      <c r="RRF219" s="212"/>
      <c r="RRG219" s="212"/>
      <c r="RRH219" s="212"/>
      <c r="RRI219" s="212"/>
      <c r="RRJ219" s="212"/>
      <c r="RRK219" s="212"/>
      <c r="RRL219" s="212"/>
      <c r="RRM219" s="212"/>
      <c r="RRN219" s="212"/>
      <c r="RRO219" s="212"/>
      <c r="RRP219" s="212"/>
      <c r="RRQ219" s="212"/>
      <c r="RRR219" s="212"/>
      <c r="RRS219" s="212"/>
      <c r="RRT219" s="212"/>
      <c r="RRU219" s="212"/>
      <c r="RRV219" s="212"/>
      <c r="RRW219" s="212"/>
      <c r="RRX219" s="212"/>
      <c r="RRY219" s="212"/>
      <c r="RRZ219" s="212"/>
      <c r="RSA219" s="212"/>
      <c r="RSB219" s="212"/>
      <c r="RSC219" s="212"/>
      <c r="RSD219" s="212"/>
      <c r="RSE219" s="212"/>
      <c r="RSF219" s="212"/>
      <c r="RSG219" s="212"/>
      <c r="RSH219" s="212"/>
      <c r="RSI219" s="212"/>
      <c r="RSJ219" s="214"/>
      <c r="RSK219" s="211"/>
      <c r="RSL219" s="212"/>
      <c r="RSM219" s="212"/>
      <c r="RSN219" s="212"/>
      <c r="RSO219" s="212"/>
      <c r="RSP219" s="212"/>
      <c r="RSQ219" s="212"/>
      <c r="RSR219" s="212"/>
      <c r="RSS219" s="212"/>
      <c r="RST219" s="212"/>
      <c r="RSU219" s="212"/>
      <c r="RSV219" s="212"/>
      <c r="RSW219" s="212"/>
      <c r="RSX219" s="212"/>
      <c r="RSY219" s="212"/>
      <c r="RSZ219" s="212"/>
      <c r="RTA219" s="212"/>
      <c r="RTB219" s="212"/>
      <c r="RTC219" s="212"/>
      <c r="RTD219" s="212"/>
      <c r="RTE219" s="212"/>
      <c r="RTF219" s="212"/>
      <c r="RTG219" s="212"/>
      <c r="RTH219" s="212"/>
      <c r="RTI219" s="212"/>
      <c r="RTJ219" s="212"/>
      <c r="RTK219" s="212"/>
      <c r="RTL219" s="212"/>
      <c r="RTM219" s="212"/>
      <c r="RTN219" s="212"/>
      <c r="RTO219" s="212"/>
      <c r="RTP219" s="212"/>
      <c r="RTQ219" s="212"/>
      <c r="RTR219" s="212"/>
      <c r="RTS219" s="212"/>
      <c r="RTT219" s="212"/>
      <c r="RTU219" s="212"/>
      <c r="RTV219" s="212"/>
      <c r="RTW219" s="212"/>
      <c r="RTX219" s="212"/>
      <c r="RTY219" s="212"/>
      <c r="RTZ219" s="212"/>
      <c r="RUA219" s="212"/>
      <c r="RUB219" s="214"/>
      <c r="RUC219" s="211"/>
      <c r="RUD219" s="212"/>
      <c r="RUE219" s="212"/>
      <c r="RUF219" s="212"/>
      <c r="RUG219" s="212"/>
      <c r="RUH219" s="212"/>
      <c r="RUI219" s="212"/>
      <c r="RUJ219" s="212"/>
      <c r="RUK219" s="212"/>
      <c r="RUL219" s="212"/>
      <c r="RUM219" s="212"/>
      <c r="RUN219" s="212"/>
      <c r="RUO219" s="212"/>
      <c r="RUP219" s="212"/>
      <c r="RUQ219" s="212"/>
      <c r="RUR219" s="212"/>
      <c r="RUS219" s="212"/>
      <c r="RUT219" s="212"/>
      <c r="RUU219" s="212"/>
      <c r="RUV219" s="212"/>
      <c r="RUW219" s="212"/>
      <c r="RUX219" s="212"/>
      <c r="RUY219" s="212"/>
      <c r="RUZ219" s="212"/>
      <c r="RVA219" s="212"/>
      <c r="RVB219" s="212"/>
      <c r="RVC219" s="212"/>
      <c r="RVD219" s="212"/>
      <c r="RVE219" s="212"/>
      <c r="RVF219" s="212"/>
      <c r="RVG219" s="212"/>
      <c r="RVH219" s="212"/>
      <c r="RVI219" s="212"/>
      <c r="RVJ219" s="212"/>
      <c r="RVK219" s="212"/>
      <c r="RVL219" s="212"/>
      <c r="RVM219" s="212"/>
      <c r="RVN219" s="212"/>
      <c r="RVO219" s="212"/>
      <c r="RVP219" s="212"/>
      <c r="RVQ219" s="212"/>
      <c r="RVR219" s="212"/>
      <c r="RVS219" s="212"/>
      <c r="RVT219" s="214"/>
      <c r="RVU219" s="211"/>
      <c r="RVV219" s="212"/>
      <c r="RVW219" s="212"/>
      <c r="RVX219" s="212"/>
      <c r="RVY219" s="212"/>
      <c r="RVZ219" s="212"/>
      <c r="RWA219" s="212"/>
      <c r="RWB219" s="212"/>
      <c r="RWC219" s="212"/>
      <c r="RWD219" s="212"/>
      <c r="RWE219" s="212"/>
      <c r="RWF219" s="212"/>
      <c r="RWG219" s="212"/>
      <c r="RWH219" s="212"/>
      <c r="RWI219" s="212"/>
      <c r="RWJ219" s="212"/>
      <c r="RWK219" s="212"/>
      <c r="RWL219" s="212"/>
      <c r="RWM219" s="212"/>
      <c r="RWN219" s="212"/>
      <c r="RWO219" s="212"/>
      <c r="RWP219" s="212"/>
      <c r="RWQ219" s="212"/>
      <c r="RWR219" s="212"/>
      <c r="RWS219" s="212"/>
      <c r="RWT219" s="212"/>
      <c r="RWU219" s="212"/>
      <c r="RWV219" s="212"/>
      <c r="RWW219" s="212"/>
      <c r="RWX219" s="212"/>
      <c r="RWY219" s="212"/>
      <c r="RWZ219" s="212"/>
      <c r="RXA219" s="212"/>
      <c r="RXB219" s="212"/>
      <c r="RXC219" s="212"/>
      <c r="RXD219" s="212"/>
      <c r="RXE219" s="212"/>
      <c r="RXF219" s="212"/>
      <c r="RXG219" s="212"/>
      <c r="RXH219" s="212"/>
      <c r="RXI219" s="212"/>
      <c r="RXJ219" s="212"/>
      <c r="RXK219" s="212"/>
      <c r="RXL219" s="214"/>
      <c r="RXM219" s="211"/>
      <c r="RXN219" s="212"/>
      <c r="RXO219" s="212"/>
      <c r="RXP219" s="212"/>
      <c r="RXQ219" s="212"/>
      <c r="RXR219" s="212"/>
      <c r="RXS219" s="212"/>
      <c r="RXT219" s="212"/>
      <c r="RXU219" s="212"/>
      <c r="RXV219" s="212"/>
      <c r="RXW219" s="212"/>
      <c r="RXX219" s="212"/>
      <c r="RXY219" s="212"/>
      <c r="RXZ219" s="212"/>
      <c r="RYA219" s="212"/>
      <c r="RYB219" s="212"/>
      <c r="RYC219" s="212"/>
      <c r="RYD219" s="212"/>
      <c r="RYE219" s="212"/>
      <c r="RYF219" s="212"/>
      <c r="RYG219" s="212"/>
      <c r="RYH219" s="212"/>
      <c r="RYI219" s="212"/>
      <c r="RYJ219" s="212"/>
      <c r="RYK219" s="212"/>
      <c r="RYL219" s="212"/>
      <c r="RYM219" s="212"/>
      <c r="RYN219" s="212"/>
      <c r="RYO219" s="212"/>
      <c r="RYP219" s="212"/>
      <c r="RYQ219" s="212"/>
      <c r="RYR219" s="212"/>
      <c r="RYS219" s="212"/>
      <c r="RYT219" s="212"/>
      <c r="RYU219" s="212"/>
      <c r="RYV219" s="212"/>
      <c r="RYW219" s="212"/>
      <c r="RYX219" s="212"/>
      <c r="RYY219" s="212"/>
      <c r="RYZ219" s="212"/>
      <c r="RZA219" s="212"/>
      <c r="RZB219" s="212"/>
      <c r="RZC219" s="212"/>
      <c r="RZD219" s="214"/>
      <c r="RZE219" s="211"/>
      <c r="RZF219" s="212"/>
      <c r="RZG219" s="212"/>
      <c r="RZH219" s="212"/>
      <c r="RZI219" s="212"/>
      <c r="RZJ219" s="212"/>
      <c r="RZK219" s="212"/>
      <c r="RZL219" s="212"/>
      <c r="RZM219" s="212"/>
      <c r="RZN219" s="212"/>
      <c r="RZO219" s="212"/>
      <c r="RZP219" s="212"/>
      <c r="RZQ219" s="212"/>
      <c r="RZR219" s="212"/>
      <c r="RZS219" s="212"/>
      <c r="RZT219" s="212"/>
      <c r="RZU219" s="212"/>
      <c r="RZV219" s="212"/>
      <c r="RZW219" s="212"/>
      <c r="RZX219" s="212"/>
      <c r="RZY219" s="212"/>
      <c r="RZZ219" s="212"/>
      <c r="SAA219" s="212"/>
      <c r="SAB219" s="212"/>
      <c r="SAC219" s="212"/>
      <c r="SAD219" s="212"/>
      <c r="SAE219" s="212"/>
      <c r="SAF219" s="212"/>
      <c r="SAG219" s="212"/>
      <c r="SAH219" s="212"/>
      <c r="SAI219" s="212"/>
      <c r="SAJ219" s="212"/>
      <c r="SAK219" s="212"/>
      <c r="SAL219" s="212"/>
      <c r="SAM219" s="212"/>
      <c r="SAN219" s="212"/>
      <c r="SAO219" s="212"/>
      <c r="SAP219" s="212"/>
      <c r="SAQ219" s="212"/>
      <c r="SAR219" s="212"/>
      <c r="SAS219" s="212"/>
      <c r="SAT219" s="212"/>
      <c r="SAU219" s="212"/>
      <c r="SAV219" s="214"/>
      <c r="SAW219" s="211"/>
      <c r="SAX219" s="212"/>
      <c r="SAY219" s="212"/>
      <c r="SAZ219" s="212"/>
      <c r="SBA219" s="212"/>
      <c r="SBB219" s="212"/>
      <c r="SBC219" s="212"/>
      <c r="SBD219" s="212"/>
      <c r="SBE219" s="212"/>
      <c r="SBF219" s="212"/>
      <c r="SBG219" s="212"/>
      <c r="SBH219" s="212"/>
      <c r="SBI219" s="212"/>
      <c r="SBJ219" s="212"/>
      <c r="SBK219" s="212"/>
      <c r="SBL219" s="212"/>
      <c r="SBM219" s="212"/>
      <c r="SBN219" s="212"/>
      <c r="SBO219" s="212"/>
      <c r="SBP219" s="212"/>
      <c r="SBQ219" s="212"/>
      <c r="SBR219" s="212"/>
      <c r="SBS219" s="212"/>
      <c r="SBT219" s="212"/>
      <c r="SBU219" s="212"/>
      <c r="SBV219" s="212"/>
      <c r="SBW219" s="212"/>
      <c r="SBX219" s="212"/>
      <c r="SBY219" s="212"/>
      <c r="SBZ219" s="212"/>
      <c r="SCA219" s="212"/>
      <c r="SCB219" s="212"/>
      <c r="SCC219" s="212"/>
      <c r="SCD219" s="212"/>
      <c r="SCE219" s="212"/>
      <c r="SCF219" s="212"/>
      <c r="SCG219" s="212"/>
      <c r="SCH219" s="212"/>
      <c r="SCI219" s="212"/>
      <c r="SCJ219" s="212"/>
      <c r="SCK219" s="212"/>
      <c r="SCL219" s="212"/>
      <c r="SCM219" s="212"/>
      <c r="SCN219" s="214"/>
      <c r="SCO219" s="211"/>
      <c r="SCP219" s="212"/>
      <c r="SCQ219" s="212"/>
      <c r="SCR219" s="212"/>
      <c r="SCS219" s="212"/>
      <c r="SCT219" s="212"/>
      <c r="SCU219" s="212"/>
      <c r="SCV219" s="212"/>
      <c r="SCW219" s="212"/>
      <c r="SCX219" s="212"/>
      <c r="SCY219" s="212"/>
      <c r="SCZ219" s="212"/>
      <c r="SDA219" s="212"/>
      <c r="SDB219" s="212"/>
      <c r="SDC219" s="212"/>
      <c r="SDD219" s="212"/>
      <c r="SDE219" s="212"/>
      <c r="SDF219" s="212"/>
      <c r="SDG219" s="212"/>
      <c r="SDH219" s="212"/>
      <c r="SDI219" s="212"/>
      <c r="SDJ219" s="212"/>
      <c r="SDK219" s="212"/>
      <c r="SDL219" s="212"/>
      <c r="SDM219" s="212"/>
      <c r="SDN219" s="212"/>
      <c r="SDO219" s="212"/>
      <c r="SDP219" s="212"/>
      <c r="SDQ219" s="212"/>
      <c r="SDR219" s="212"/>
      <c r="SDS219" s="212"/>
      <c r="SDT219" s="212"/>
      <c r="SDU219" s="212"/>
      <c r="SDV219" s="212"/>
      <c r="SDW219" s="212"/>
      <c r="SDX219" s="212"/>
      <c r="SDY219" s="212"/>
      <c r="SDZ219" s="212"/>
      <c r="SEA219" s="212"/>
      <c r="SEB219" s="212"/>
      <c r="SEC219" s="212"/>
      <c r="SED219" s="212"/>
      <c r="SEE219" s="212"/>
      <c r="SEF219" s="214"/>
      <c r="SEG219" s="211"/>
      <c r="SEH219" s="212"/>
      <c r="SEI219" s="212"/>
      <c r="SEJ219" s="212"/>
      <c r="SEK219" s="212"/>
      <c r="SEL219" s="212"/>
      <c r="SEM219" s="212"/>
      <c r="SEN219" s="212"/>
      <c r="SEO219" s="212"/>
      <c r="SEP219" s="212"/>
      <c r="SEQ219" s="212"/>
      <c r="SER219" s="212"/>
      <c r="SES219" s="212"/>
      <c r="SET219" s="212"/>
      <c r="SEU219" s="212"/>
      <c r="SEV219" s="212"/>
      <c r="SEW219" s="212"/>
      <c r="SEX219" s="212"/>
      <c r="SEY219" s="212"/>
      <c r="SEZ219" s="212"/>
      <c r="SFA219" s="212"/>
      <c r="SFB219" s="212"/>
      <c r="SFC219" s="212"/>
      <c r="SFD219" s="212"/>
      <c r="SFE219" s="212"/>
      <c r="SFF219" s="212"/>
      <c r="SFG219" s="212"/>
      <c r="SFH219" s="212"/>
      <c r="SFI219" s="212"/>
      <c r="SFJ219" s="212"/>
      <c r="SFK219" s="212"/>
      <c r="SFL219" s="212"/>
      <c r="SFM219" s="212"/>
      <c r="SFN219" s="212"/>
      <c r="SFO219" s="212"/>
      <c r="SFP219" s="212"/>
      <c r="SFQ219" s="212"/>
      <c r="SFR219" s="212"/>
      <c r="SFS219" s="212"/>
      <c r="SFT219" s="212"/>
      <c r="SFU219" s="212"/>
      <c r="SFV219" s="212"/>
      <c r="SFW219" s="212"/>
      <c r="SFX219" s="214"/>
      <c r="SFY219" s="211"/>
      <c r="SFZ219" s="212"/>
      <c r="SGA219" s="212"/>
      <c r="SGB219" s="212"/>
      <c r="SGC219" s="212"/>
      <c r="SGD219" s="212"/>
      <c r="SGE219" s="212"/>
      <c r="SGF219" s="212"/>
      <c r="SGG219" s="212"/>
      <c r="SGH219" s="212"/>
      <c r="SGI219" s="212"/>
      <c r="SGJ219" s="212"/>
      <c r="SGK219" s="212"/>
      <c r="SGL219" s="212"/>
      <c r="SGM219" s="212"/>
      <c r="SGN219" s="212"/>
      <c r="SGO219" s="212"/>
      <c r="SGP219" s="212"/>
      <c r="SGQ219" s="212"/>
      <c r="SGR219" s="212"/>
      <c r="SGS219" s="212"/>
      <c r="SGT219" s="212"/>
      <c r="SGU219" s="212"/>
      <c r="SGV219" s="212"/>
      <c r="SGW219" s="212"/>
      <c r="SGX219" s="212"/>
      <c r="SGY219" s="212"/>
      <c r="SGZ219" s="212"/>
      <c r="SHA219" s="212"/>
      <c r="SHB219" s="212"/>
      <c r="SHC219" s="212"/>
      <c r="SHD219" s="212"/>
      <c r="SHE219" s="212"/>
      <c r="SHF219" s="212"/>
      <c r="SHG219" s="212"/>
      <c r="SHH219" s="212"/>
      <c r="SHI219" s="212"/>
      <c r="SHJ219" s="212"/>
      <c r="SHK219" s="212"/>
      <c r="SHL219" s="212"/>
      <c r="SHM219" s="212"/>
      <c r="SHN219" s="212"/>
      <c r="SHO219" s="212"/>
      <c r="SHP219" s="214"/>
      <c r="SHQ219" s="211"/>
      <c r="SHR219" s="212"/>
      <c r="SHS219" s="212"/>
      <c r="SHT219" s="212"/>
      <c r="SHU219" s="212"/>
      <c r="SHV219" s="212"/>
      <c r="SHW219" s="212"/>
      <c r="SHX219" s="212"/>
      <c r="SHY219" s="212"/>
      <c r="SHZ219" s="212"/>
      <c r="SIA219" s="212"/>
      <c r="SIB219" s="212"/>
      <c r="SIC219" s="212"/>
      <c r="SID219" s="212"/>
      <c r="SIE219" s="212"/>
      <c r="SIF219" s="212"/>
      <c r="SIG219" s="212"/>
      <c r="SIH219" s="212"/>
      <c r="SII219" s="212"/>
      <c r="SIJ219" s="212"/>
      <c r="SIK219" s="212"/>
      <c r="SIL219" s="212"/>
      <c r="SIM219" s="212"/>
      <c r="SIN219" s="212"/>
      <c r="SIO219" s="212"/>
      <c r="SIP219" s="212"/>
      <c r="SIQ219" s="212"/>
      <c r="SIR219" s="212"/>
      <c r="SIS219" s="212"/>
      <c r="SIT219" s="212"/>
      <c r="SIU219" s="212"/>
      <c r="SIV219" s="212"/>
      <c r="SIW219" s="212"/>
      <c r="SIX219" s="212"/>
      <c r="SIY219" s="212"/>
      <c r="SIZ219" s="212"/>
      <c r="SJA219" s="212"/>
      <c r="SJB219" s="212"/>
      <c r="SJC219" s="212"/>
      <c r="SJD219" s="212"/>
      <c r="SJE219" s="212"/>
      <c r="SJF219" s="212"/>
      <c r="SJG219" s="212"/>
      <c r="SJH219" s="214"/>
      <c r="SJI219" s="211"/>
      <c r="SJJ219" s="212"/>
      <c r="SJK219" s="212"/>
      <c r="SJL219" s="212"/>
      <c r="SJM219" s="212"/>
      <c r="SJN219" s="212"/>
      <c r="SJO219" s="212"/>
      <c r="SJP219" s="212"/>
      <c r="SJQ219" s="212"/>
      <c r="SJR219" s="212"/>
      <c r="SJS219" s="212"/>
      <c r="SJT219" s="212"/>
      <c r="SJU219" s="212"/>
      <c r="SJV219" s="212"/>
      <c r="SJW219" s="212"/>
      <c r="SJX219" s="212"/>
      <c r="SJY219" s="212"/>
      <c r="SJZ219" s="212"/>
      <c r="SKA219" s="212"/>
      <c r="SKB219" s="212"/>
      <c r="SKC219" s="212"/>
      <c r="SKD219" s="212"/>
      <c r="SKE219" s="212"/>
      <c r="SKF219" s="212"/>
      <c r="SKG219" s="212"/>
      <c r="SKH219" s="212"/>
      <c r="SKI219" s="212"/>
      <c r="SKJ219" s="212"/>
      <c r="SKK219" s="212"/>
      <c r="SKL219" s="212"/>
      <c r="SKM219" s="212"/>
      <c r="SKN219" s="212"/>
      <c r="SKO219" s="212"/>
      <c r="SKP219" s="212"/>
      <c r="SKQ219" s="212"/>
      <c r="SKR219" s="212"/>
      <c r="SKS219" s="212"/>
      <c r="SKT219" s="212"/>
      <c r="SKU219" s="212"/>
      <c r="SKV219" s="212"/>
      <c r="SKW219" s="212"/>
      <c r="SKX219" s="212"/>
      <c r="SKY219" s="212"/>
      <c r="SKZ219" s="214"/>
      <c r="SLA219" s="211"/>
      <c r="SLB219" s="212"/>
      <c r="SLC219" s="212"/>
      <c r="SLD219" s="212"/>
      <c r="SLE219" s="212"/>
      <c r="SLF219" s="212"/>
      <c r="SLG219" s="212"/>
      <c r="SLH219" s="212"/>
      <c r="SLI219" s="212"/>
      <c r="SLJ219" s="212"/>
      <c r="SLK219" s="212"/>
      <c r="SLL219" s="212"/>
      <c r="SLM219" s="212"/>
      <c r="SLN219" s="212"/>
      <c r="SLO219" s="212"/>
      <c r="SLP219" s="212"/>
      <c r="SLQ219" s="212"/>
      <c r="SLR219" s="212"/>
      <c r="SLS219" s="212"/>
      <c r="SLT219" s="212"/>
      <c r="SLU219" s="212"/>
      <c r="SLV219" s="212"/>
      <c r="SLW219" s="212"/>
      <c r="SLX219" s="212"/>
      <c r="SLY219" s="212"/>
      <c r="SLZ219" s="212"/>
      <c r="SMA219" s="212"/>
      <c r="SMB219" s="212"/>
      <c r="SMC219" s="212"/>
      <c r="SMD219" s="212"/>
      <c r="SME219" s="212"/>
      <c r="SMF219" s="212"/>
      <c r="SMG219" s="212"/>
      <c r="SMH219" s="212"/>
      <c r="SMI219" s="212"/>
      <c r="SMJ219" s="212"/>
      <c r="SMK219" s="212"/>
      <c r="SML219" s="212"/>
      <c r="SMM219" s="212"/>
      <c r="SMN219" s="212"/>
      <c r="SMO219" s="212"/>
      <c r="SMP219" s="212"/>
      <c r="SMQ219" s="212"/>
      <c r="SMR219" s="214"/>
      <c r="SMS219" s="211"/>
      <c r="SMT219" s="212"/>
      <c r="SMU219" s="212"/>
      <c r="SMV219" s="212"/>
      <c r="SMW219" s="212"/>
      <c r="SMX219" s="212"/>
      <c r="SMY219" s="212"/>
      <c r="SMZ219" s="212"/>
      <c r="SNA219" s="212"/>
      <c r="SNB219" s="212"/>
      <c r="SNC219" s="212"/>
      <c r="SND219" s="212"/>
      <c r="SNE219" s="212"/>
      <c r="SNF219" s="212"/>
      <c r="SNG219" s="212"/>
      <c r="SNH219" s="212"/>
      <c r="SNI219" s="212"/>
      <c r="SNJ219" s="212"/>
      <c r="SNK219" s="212"/>
      <c r="SNL219" s="212"/>
      <c r="SNM219" s="212"/>
      <c r="SNN219" s="212"/>
      <c r="SNO219" s="212"/>
      <c r="SNP219" s="212"/>
      <c r="SNQ219" s="212"/>
      <c r="SNR219" s="212"/>
      <c r="SNS219" s="212"/>
      <c r="SNT219" s="212"/>
      <c r="SNU219" s="212"/>
      <c r="SNV219" s="212"/>
      <c r="SNW219" s="212"/>
      <c r="SNX219" s="212"/>
      <c r="SNY219" s="212"/>
      <c r="SNZ219" s="212"/>
      <c r="SOA219" s="212"/>
      <c r="SOB219" s="212"/>
      <c r="SOC219" s="212"/>
      <c r="SOD219" s="212"/>
      <c r="SOE219" s="212"/>
      <c r="SOF219" s="212"/>
      <c r="SOG219" s="212"/>
      <c r="SOH219" s="212"/>
      <c r="SOI219" s="212"/>
      <c r="SOJ219" s="214"/>
      <c r="SOK219" s="211"/>
      <c r="SOL219" s="212"/>
      <c r="SOM219" s="212"/>
      <c r="SON219" s="212"/>
      <c r="SOO219" s="212"/>
      <c r="SOP219" s="212"/>
      <c r="SOQ219" s="212"/>
      <c r="SOR219" s="212"/>
      <c r="SOS219" s="212"/>
      <c r="SOT219" s="212"/>
      <c r="SOU219" s="212"/>
      <c r="SOV219" s="212"/>
      <c r="SOW219" s="212"/>
      <c r="SOX219" s="212"/>
      <c r="SOY219" s="212"/>
      <c r="SOZ219" s="212"/>
      <c r="SPA219" s="212"/>
      <c r="SPB219" s="212"/>
      <c r="SPC219" s="212"/>
      <c r="SPD219" s="212"/>
      <c r="SPE219" s="212"/>
      <c r="SPF219" s="212"/>
      <c r="SPG219" s="212"/>
      <c r="SPH219" s="212"/>
      <c r="SPI219" s="212"/>
      <c r="SPJ219" s="212"/>
      <c r="SPK219" s="212"/>
      <c r="SPL219" s="212"/>
      <c r="SPM219" s="212"/>
      <c r="SPN219" s="212"/>
      <c r="SPO219" s="212"/>
      <c r="SPP219" s="212"/>
      <c r="SPQ219" s="212"/>
      <c r="SPR219" s="212"/>
      <c r="SPS219" s="212"/>
      <c r="SPT219" s="212"/>
      <c r="SPU219" s="212"/>
      <c r="SPV219" s="212"/>
      <c r="SPW219" s="212"/>
      <c r="SPX219" s="212"/>
      <c r="SPY219" s="212"/>
      <c r="SPZ219" s="212"/>
      <c r="SQA219" s="212"/>
      <c r="SQB219" s="214"/>
      <c r="SQC219" s="211"/>
      <c r="SQD219" s="212"/>
      <c r="SQE219" s="212"/>
      <c r="SQF219" s="212"/>
      <c r="SQG219" s="212"/>
      <c r="SQH219" s="212"/>
      <c r="SQI219" s="212"/>
      <c r="SQJ219" s="212"/>
      <c r="SQK219" s="212"/>
      <c r="SQL219" s="212"/>
      <c r="SQM219" s="212"/>
      <c r="SQN219" s="212"/>
      <c r="SQO219" s="212"/>
      <c r="SQP219" s="212"/>
      <c r="SQQ219" s="212"/>
      <c r="SQR219" s="212"/>
      <c r="SQS219" s="212"/>
      <c r="SQT219" s="212"/>
      <c r="SQU219" s="212"/>
      <c r="SQV219" s="212"/>
      <c r="SQW219" s="212"/>
      <c r="SQX219" s="212"/>
      <c r="SQY219" s="212"/>
      <c r="SQZ219" s="212"/>
      <c r="SRA219" s="212"/>
      <c r="SRB219" s="212"/>
      <c r="SRC219" s="212"/>
      <c r="SRD219" s="212"/>
      <c r="SRE219" s="212"/>
      <c r="SRF219" s="212"/>
      <c r="SRG219" s="212"/>
      <c r="SRH219" s="212"/>
      <c r="SRI219" s="212"/>
      <c r="SRJ219" s="212"/>
      <c r="SRK219" s="212"/>
      <c r="SRL219" s="212"/>
      <c r="SRM219" s="212"/>
      <c r="SRN219" s="212"/>
      <c r="SRO219" s="212"/>
      <c r="SRP219" s="212"/>
      <c r="SRQ219" s="212"/>
      <c r="SRR219" s="212"/>
      <c r="SRS219" s="212"/>
      <c r="SRT219" s="214"/>
      <c r="SRU219" s="211"/>
      <c r="SRV219" s="212"/>
      <c r="SRW219" s="212"/>
      <c r="SRX219" s="212"/>
      <c r="SRY219" s="212"/>
      <c r="SRZ219" s="212"/>
      <c r="SSA219" s="212"/>
      <c r="SSB219" s="212"/>
      <c r="SSC219" s="212"/>
      <c r="SSD219" s="212"/>
      <c r="SSE219" s="212"/>
      <c r="SSF219" s="212"/>
      <c r="SSG219" s="212"/>
      <c r="SSH219" s="212"/>
      <c r="SSI219" s="212"/>
      <c r="SSJ219" s="212"/>
      <c r="SSK219" s="212"/>
      <c r="SSL219" s="212"/>
      <c r="SSM219" s="212"/>
      <c r="SSN219" s="212"/>
      <c r="SSO219" s="212"/>
      <c r="SSP219" s="212"/>
      <c r="SSQ219" s="212"/>
      <c r="SSR219" s="212"/>
      <c r="SSS219" s="212"/>
      <c r="SST219" s="212"/>
      <c r="SSU219" s="212"/>
      <c r="SSV219" s="212"/>
      <c r="SSW219" s="212"/>
      <c r="SSX219" s="212"/>
      <c r="SSY219" s="212"/>
      <c r="SSZ219" s="212"/>
      <c r="STA219" s="212"/>
      <c r="STB219" s="212"/>
      <c r="STC219" s="212"/>
      <c r="STD219" s="212"/>
      <c r="STE219" s="212"/>
      <c r="STF219" s="212"/>
      <c r="STG219" s="212"/>
      <c r="STH219" s="212"/>
      <c r="STI219" s="212"/>
      <c r="STJ219" s="212"/>
      <c r="STK219" s="212"/>
      <c r="STL219" s="214"/>
      <c r="STM219" s="211"/>
      <c r="STN219" s="212"/>
      <c r="STO219" s="212"/>
      <c r="STP219" s="212"/>
      <c r="STQ219" s="212"/>
      <c r="STR219" s="212"/>
      <c r="STS219" s="212"/>
      <c r="STT219" s="212"/>
      <c r="STU219" s="212"/>
      <c r="STV219" s="212"/>
      <c r="STW219" s="212"/>
      <c r="STX219" s="212"/>
      <c r="STY219" s="212"/>
      <c r="STZ219" s="212"/>
      <c r="SUA219" s="212"/>
      <c r="SUB219" s="212"/>
      <c r="SUC219" s="212"/>
      <c r="SUD219" s="212"/>
      <c r="SUE219" s="212"/>
      <c r="SUF219" s="212"/>
      <c r="SUG219" s="212"/>
      <c r="SUH219" s="212"/>
      <c r="SUI219" s="212"/>
      <c r="SUJ219" s="212"/>
      <c r="SUK219" s="212"/>
      <c r="SUL219" s="212"/>
      <c r="SUM219" s="212"/>
      <c r="SUN219" s="212"/>
      <c r="SUO219" s="212"/>
      <c r="SUP219" s="212"/>
      <c r="SUQ219" s="212"/>
      <c r="SUR219" s="212"/>
      <c r="SUS219" s="212"/>
      <c r="SUT219" s="212"/>
      <c r="SUU219" s="212"/>
      <c r="SUV219" s="212"/>
      <c r="SUW219" s="212"/>
      <c r="SUX219" s="212"/>
      <c r="SUY219" s="212"/>
      <c r="SUZ219" s="212"/>
      <c r="SVA219" s="212"/>
      <c r="SVB219" s="212"/>
      <c r="SVC219" s="212"/>
      <c r="SVD219" s="214"/>
      <c r="SVE219" s="211"/>
      <c r="SVF219" s="212"/>
      <c r="SVG219" s="212"/>
      <c r="SVH219" s="212"/>
      <c r="SVI219" s="212"/>
      <c r="SVJ219" s="212"/>
      <c r="SVK219" s="212"/>
      <c r="SVL219" s="212"/>
      <c r="SVM219" s="212"/>
      <c r="SVN219" s="212"/>
      <c r="SVO219" s="212"/>
      <c r="SVP219" s="212"/>
      <c r="SVQ219" s="212"/>
      <c r="SVR219" s="212"/>
      <c r="SVS219" s="212"/>
      <c r="SVT219" s="212"/>
      <c r="SVU219" s="212"/>
      <c r="SVV219" s="212"/>
      <c r="SVW219" s="212"/>
      <c r="SVX219" s="212"/>
      <c r="SVY219" s="212"/>
      <c r="SVZ219" s="212"/>
      <c r="SWA219" s="212"/>
      <c r="SWB219" s="212"/>
      <c r="SWC219" s="212"/>
      <c r="SWD219" s="212"/>
      <c r="SWE219" s="212"/>
      <c r="SWF219" s="212"/>
      <c r="SWG219" s="212"/>
      <c r="SWH219" s="212"/>
      <c r="SWI219" s="212"/>
      <c r="SWJ219" s="212"/>
      <c r="SWK219" s="212"/>
      <c r="SWL219" s="212"/>
      <c r="SWM219" s="212"/>
      <c r="SWN219" s="212"/>
      <c r="SWO219" s="212"/>
      <c r="SWP219" s="212"/>
      <c r="SWQ219" s="212"/>
      <c r="SWR219" s="212"/>
      <c r="SWS219" s="212"/>
      <c r="SWT219" s="212"/>
      <c r="SWU219" s="212"/>
      <c r="SWV219" s="214"/>
      <c r="SWW219" s="211"/>
      <c r="SWX219" s="212"/>
      <c r="SWY219" s="212"/>
      <c r="SWZ219" s="212"/>
      <c r="SXA219" s="212"/>
      <c r="SXB219" s="212"/>
      <c r="SXC219" s="212"/>
      <c r="SXD219" s="212"/>
      <c r="SXE219" s="212"/>
      <c r="SXF219" s="212"/>
      <c r="SXG219" s="212"/>
      <c r="SXH219" s="212"/>
      <c r="SXI219" s="212"/>
      <c r="SXJ219" s="212"/>
      <c r="SXK219" s="212"/>
      <c r="SXL219" s="212"/>
      <c r="SXM219" s="212"/>
      <c r="SXN219" s="212"/>
      <c r="SXO219" s="212"/>
      <c r="SXP219" s="212"/>
      <c r="SXQ219" s="212"/>
      <c r="SXR219" s="212"/>
      <c r="SXS219" s="212"/>
      <c r="SXT219" s="212"/>
      <c r="SXU219" s="212"/>
      <c r="SXV219" s="212"/>
      <c r="SXW219" s="212"/>
      <c r="SXX219" s="212"/>
      <c r="SXY219" s="212"/>
      <c r="SXZ219" s="212"/>
      <c r="SYA219" s="212"/>
      <c r="SYB219" s="212"/>
      <c r="SYC219" s="212"/>
      <c r="SYD219" s="212"/>
      <c r="SYE219" s="212"/>
      <c r="SYF219" s="212"/>
      <c r="SYG219" s="212"/>
      <c r="SYH219" s="212"/>
      <c r="SYI219" s="212"/>
      <c r="SYJ219" s="212"/>
      <c r="SYK219" s="212"/>
      <c r="SYL219" s="212"/>
      <c r="SYM219" s="212"/>
      <c r="SYN219" s="214"/>
      <c r="SYO219" s="211"/>
      <c r="SYP219" s="212"/>
      <c r="SYQ219" s="212"/>
      <c r="SYR219" s="212"/>
      <c r="SYS219" s="212"/>
      <c r="SYT219" s="212"/>
      <c r="SYU219" s="212"/>
      <c r="SYV219" s="212"/>
      <c r="SYW219" s="212"/>
      <c r="SYX219" s="212"/>
      <c r="SYY219" s="212"/>
      <c r="SYZ219" s="212"/>
      <c r="SZA219" s="212"/>
      <c r="SZB219" s="212"/>
      <c r="SZC219" s="212"/>
      <c r="SZD219" s="212"/>
      <c r="SZE219" s="212"/>
      <c r="SZF219" s="212"/>
      <c r="SZG219" s="212"/>
      <c r="SZH219" s="212"/>
      <c r="SZI219" s="212"/>
      <c r="SZJ219" s="212"/>
      <c r="SZK219" s="212"/>
      <c r="SZL219" s="212"/>
      <c r="SZM219" s="212"/>
      <c r="SZN219" s="212"/>
      <c r="SZO219" s="212"/>
      <c r="SZP219" s="212"/>
      <c r="SZQ219" s="212"/>
      <c r="SZR219" s="212"/>
      <c r="SZS219" s="212"/>
      <c r="SZT219" s="212"/>
      <c r="SZU219" s="212"/>
      <c r="SZV219" s="212"/>
      <c r="SZW219" s="212"/>
      <c r="SZX219" s="212"/>
      <c r="SZY219" s="212"/>
      <c r="SZZ219" s="212"/>
      <c r="TAA219" s="212"/>
      <c r="TAB219" s="212"/>
      <c r="TAC219" s="212"/>
      <c r="TAD219" s="212"/>
      <c r="TAE219" s="212"/>
      <c r="TAF219" s="214"/>
      <c r="TAG219" s="211"/>
      <c r="TAH219" s="212"/>
      <c r="TAI219" s="212"/>
      <c r="TAJ219" s="212"/>
      <c r="TAK219" s="212"/>
      <c r="TAL219" s="212"/>
      <c r="TAM219" s="212"/>
      <c r="TAN219" s="212"/>
      <c r="TAO219" s="212"/>
      <c r="TAP219" s="212"/>
      <c r="TAQ219" s="212"/>
      <c r="TAR219" s="212"/>
      <c r="TAS219" s="212"/>
      <c r="TAT219" s="212"/>
      <c r="TAU219" s="212"/>
      <c r="TAV219" s="212"/>
      <c r="TAW219" s="212"/>
      <c r="TAX219" s="212"/>
      <c r="TAY219" s="212"/>
      <c r="TAZ219" s="212"/>
      <c r="TBA219" s="212"/>
      <c r="TBB219" s="212"/>
      <c r="TBC219" s="212"/>
      <c r="TBD219" s="212"/>
      <c r="TBE219" s="212"/>
      <c r="TBF219" s="212"/>
      <c r="TBG219" s="212"/>
      <c r="TBH219" s="212"/>
      <c r="TBI219" s="212"/>
      <c r="TBJ219" s="212"/>
      <c r="TBK219" s="212"/>
      <c r="TBL219" s="212"/>
      <c r="TBM219" s="212"/>
      <c r="TBN219" s="212"/>
      <c r="TBO219" s="212"/>
      <c r="TBP219" s="212"/>
      <c r="TBQ219" s="212"/>
      <c r="TBR219" s="212"/>
      <c r="TBS219" s="212"/>
      <c r="TBT219" s="212"/>
      <c r="TBU219" s="212"/>
      <c r="TBV219" s="212"/>
      <c r="TBW219" s="212"/>
      <c r="TBX219" s="214"/>
      <c r="TBY219" s="211"/>
      <c r="TBZ219" s="212"/>
      <c r="TCA219" s="212"/>
      <c r="TCB219" s="212"/>
      <c r="TCC219" s="212"/>
      <c r="TCD219" s="212"/>
      <c r="TCE219" s="212"/>
      <c r="TCF219" s="212"/>
      <c r="TCG219" s="212"/>
      <c r="TCH219" s="212"/>
      <c r="TCI219" s="212"/>
      <c r="TCJ219" s="212"/>
      <c r="TCK219" s="212"/>
      <c r="TCL219" s="212"/>
      <c r="TCM219" s="212"/>
      <c r="TCN219" s="212"/>
      <c r="TCO219" s="212"/>
      <c r="TCP219" s="212"/>
      <c r="TCQ219" s="212"/>
      <c r="TCR219" s="212"/>
      <c r="TCS219" s="212"/>
      <c r="TCT219" s="212"/>
      <c r="TCU219" s="212"/>
      <c r="TCV219" s="212"/>
      <c r="TCW219" s="212"/>
      <c r="TCX219" s="212"/>
      <c r="TCY219" s="212"/>
      <c r="TCZ219" s="212"/>
      <c r="TDA219" s="212"/>
      <c r="TDB219" s="212"/>
      <c r="TDC219" s="212"/>
      <c r="TDD219" s="212"/>
      <c r="TDE219" s="212"/>
      <c r="TDF219" s="212"/>
      <c r="TDG219" s="212"/>
      <c r="TDH219" s="212"/>
      <c r="TDI219" s="212"/>
      <c r="TDJ219" s="212"/>
      <c r="TDK219" s="212"/>
      <c r="TDL219" s="212"/>
      <c r="TDM219" s="212"/>
      <c r="TDN219" s="212"/>
      <c r="TDO219" s="212"/>
      <c r="TDP219" s="214"/>
      <c r="TDQ219" s="211"/>
      <c r="TDR219" s="212"/>
      <c r="TDS219" s="212"/>
      <c r="TDT219" s="212"/>
      <c r="TDU219" s="212"/>
      <c r="TDV219" s="212"/>
      <c r="TDW219" s="212"/>
      <c r="TDX219" s="212"/>
      <c r="TDY219" s="212"/>
      <c r="TDZ219" s="212"/>
      <c r="TEA219" s="212"/>
      <c r="TEB219" s="212"/>
      <c r="TEC219" s="212"/>
      <c r="TED219" s="212"/>
      <c r="TEE219" s="212"/>
      <c r="TEF219" s="212"/>
      <c r="TEG219" s="212"/>
      <c r="TEH219" s="212"/>
      <c r="TEI219" s="212"/>
      <c r="TEJ219" s="212"/>
      <c r="TEK219" s="212"/>
      <c r="TEL219" s="212"/>
      <c r="TEM219" s="212"/>
      <c r="TEN219" s="212"/>
      <c r="TEO219" s="212"/>
      <c r="TEP219" s="212"/>
      <c r="TEQ219" s="212"/>
      <c r="TER219" s="212"/>
      <c r="TES219" s="212"/>
      <c r="TET219" s="212"/>
      <c r="TEU219" s="212"/>
      <c r="TEV219" s="212"/>
      <c r="TEW219" s="212"/>
      <c r="TEX219" s="212"/>
      <c r="TEY219" s="212"/>
      <c r="TEZ219" s="212"/>
      <c r="TFA219" s="212"/>
      <c r="TFB219" s="212"/>
      <c r="TFC219" s="212"/>
      <c r="TFD219" s="212"/>
      <c r="TFE219" s="212"/>
      <c r="TFF219" s="212"/>
      <c r="TFG219" s="212"/>
      <c r="TFH219" s="214"/>
      <c r="TFI219" s="211"/>
      <c r="TFJ219" s="212"/>
      <c r="TFK219" s="212"/>
      <c r="TFL219" s="212"/>
      <c r="TFM219" s="212"/>
      <c r="TFN219" s="212"/>
      <c r="TFO219" s="212"/>
      <c r="TFP219" s="212"/>
      <c r="TFQ219" s="212"/>
      <c r="TFR219" s="212"/>
      <c r="TFS219" s="212"/>
      <c r="TFT219" s="212"/>
      <c r="TFU219" s="212"/>
      <c r="TFV219" s="212"/>
      <c r="TFW219" s="212"/>
      <c r="TFX219" s="212"/>
      <c r="TFY219" s="212"/>
      <c r="TFZ219" s="212"/>
      <c r="TGA219" s="212"/>
      <c r="TGB219" s="212"/>
      <c r="TGC219" s="212"/>
      <c r="TGD219" s="212"/>
      <c r="TGE219" s="212"/>
      <c r="TGF219" s="212"/>
      <c r="TGG219" s="212"/>
      <c r="TGH219" s="212"/>
      <c r="TGI219" s="212"/>
      <c r="TGJ219" s="212"/>
      <c r="TGK219" s="212"/>
      <c r="TGL219" s="212"/>
      <c r="TGM219" s="212"/>
      <c r="TGN219" s="212"/>
      <c r="TGO219" s="212"/>
      <c r="TGP219" s="212"/>
      <c r="TGQ219" s="212"/>
      <c r="TGR219" s="212"/>
      <c r="TGS219" s="212"/>
      <c r="TGT219" s="212"/>
      <c r="TGU219" s="212"/>
      <c r="TGV219" s="212"/>
      <c r="TGW219" s="212"/>
      <c r="TGX219" s="212"/>
      <c r="TGY219" s="212"/>
      <c r="TGZ219" s="214"/>
      <c r="THA219" s="211"/>
      <c r="THB219" s="212"/>
      <c r="THC219" s="212"/>
      <c r="THD219" s="212"/>
      <c r="THE219" s="212"/>
      <c r="THF219" s="212"/>
      <c r="THG219" s="212"/>
      <c r="THH219" s="212"/>
      <c r="THI219" s="212"/>
      <c r="THJ219" s="212"/>
      <c r="THK219" s="212"/>
      <c r="THL219" s="212"/>
      <c r="THM219" s="212"/>
      <c r="THN219" s="212"/>
      <c r="THO219" s="212"/>
      <c r="THP219" s="212"/>
      <c r="THQ219" s="212"/>
      <c r="THR219" s="212"/>
      <c r="THS219" s="212"/>
      <c r="THT219" s="212"/>
      <c r="THU219" s="212"/>
      <c r="THV219" s="212"/>
      <c r="THW219" s="212"/>
      <c r="THX219" s="212"/>
      <c r="THY219" s="212"/>
      <c r="THZ219" s="212"/>
      <c r="TIA219" s="212"/>
      <c r="TIB219" s="212"/>
      <c r="TIC219" s="212"/>
      <c r="TID219" s="212"/>
      <c r="TIE219" s="212"/>
      <c r="TIF219" s="212"/>
      <c r="TIG219" s="212"/>
      <c r="TIH219" s="212"/>
      <c r="TII219" s="212"/>
      <c r="TIJ219" s="212"/>
      <c r="TIK219" s="212"/>
      <c r="TIL219" s="212"/>
      <c r="TIM219" s="212"/>
      <c r="TIN219" s="212"/>
      <c r="TIO219" s="212"/>
      <c r="TIP219" s="212"/>
      <c r="TIQ219" s="212"/>
      <c r="TIR219" s="214"/>
      <c r="TIS219" s="211"/>
      <c r="TIT219" s="212"/>
      <c r="TIU219" s="212"/>
      <c r="TIV219" s="212"/>
      <c r="TIW219" s="212"/>
      <c r="TIX219" s="212"/>
      <c r="TIY219" s="212"/>
      <c r="TIZ219" s="212"/>
      <c r="TJA219" s="212"/>
      <c r="TJB219" s="212"/>
      <c r="TJC219" s="212"/>
      <c r="TJD219" s="212"/>
      <c r="TJE219" s="212"/>
      <c r="TJF219" s="212"/>
      <c r="TJG219" s="212"/>
      <c r="TJH219" s="212"/>
      <c r="TJI219" s="212"/>
      <c r="TJJ219" s="212"/>
      <c r="TJK219" s="212"/>
      <c r="TJL219" s="212"/>
      <c r="TJM219" s="212"/>
      <c r="TJN219" s="212"/>
      <c r="TJO219" s="212"/>
      <c r="TJP219" s="212"/>
      <c r="TJQ219" s="212"/>
      <c r="TJR219" s="212"/>
      <c r="TJS219" s="212"/>
      <c r="TJT219" s="212"/>
      <c r="TJU219" s="212"/>
      <c r="TJV219" s="212"/>
      <c r="TJW219" s="212"/>
      <c r="TJX219" s="212"/>
      <c r="TJY219" s="212"/>
      <c r="TJZ219" s="212"/>
      <c r="TKA219" s="212"/>
      <c r="TKB219" s="212"/>
      <c r="TKC219" s="212"/>
      <c r="TKD219" s="212"/>
      <c r="TKE219" s="212"/>
      <c r="TKF219" s="212"/>
      <c r="TKG219" s="212"/>
      <c r="TKH219" s="212"/>
      <c r="TKI219" s="212"/>
      <c r="TKJ219" s="214"/>
      <c r="TKK219" s="211"/>
      <c r="TKL219" s="212"/>
      <c r="TKM219" s="212"/>
      <c r="TKN219" s="212"/>
      <c r="TKO219" s="212"/>
      <c r="TKP219" s="212"/>
      <c r="TKQ219" s="212"/>
      <c r="TKR219" s="212"/>
      <c r="TKS219" s="212"/>
      <c r="TKT219" s="212"/>
      <c r="TKU219" s="212"/>
      <c r="TKV219" s="212"/>
      <c r="TKW219" s="212"/>
      <c r="TKX219" s="212"/>
      <c r="TKY219" s="212"/>
      <c r="TKZ219" s="212"/>
      <c r="TLA219" s="212"/>
      <c r="TLB219" s="212"/>
      <c r="TLC219" s="212"/>
      <c r="TLD219" s="212"/>
      <c r="TLE219" s="212"/>
      <c r="TLF219" s="212"/>
      <c r="TLG219" s="212"/>
      <c r="TLH219" s="212"/>
      <c r="TLI219" s="212"/>
      <c r="TLJ219" s="212"/>
      <c r="TLK219" s="212"/>
      <c r="TLL219" s="212"/>
      <c r="TLM219" s="212"/>
      <c r="TLN219" s="212"/>
      <c r="TLO219" s="212"/>
      <c r="TLP219" s="212"/>
      <c r="TLQ219" s="212"/>
      <c r="TLR219" s="212"/>
      <c r="TLS219" s="212"/>
      <c r="TLT219" s="212"/>
      <c r="TLU219" s="212"/>
      <c r="TLV219" s="212"/>
      <c r="TLW219" s="212"/>
      <c r="TLX219" s="212"/>
      <c r="TLY219" s="212"/>
      <c r="TLZ219" s="212"/>
      <c r="TMA219" s="212"/>
      <c r="TMB219" s="214"/>
      <c r="TMC219" s="211"/>
      <c r="TMD219" s="212"/>
      <c r="TME219" s="212"/>
      <c r="TMF219" s="212"/>
      <c r="TMG219" s="212"/>
      <c r="TMH219" s="212"/>
      <c r="TMI219" s="212"/>
      <c r="TMJ219" s="212"/>
      <c r="TMK219" s="212"/>
      <c r="TML219" s="212"/>
      <c r="TMM219" s="212"/>
      <c r="TMN219" s="212"/>
      <c r="TMO219" s="212"/>
      <c r="TMP219" s="212"/>
      <c r="TMQ219" s="212"/>
      <c r="TMR219" s="212"/>
      <c r="TMS219" s="212"/>
      <c r="TMT219" s="212"/>
      <c r="TMU219" s="212"/>
      <c r="TMV219" s="212"/>
      <c r="TMW219" s="212"/>
      <c r="TMX219" s="212"/>
      <c r="TMY219" s="212"/>
      <c r="TMZ219" s="212"/>
      <c r="TNA219" s="212"/>
      <c r="TNB219" s="212"/>
      <c r="TNC219" s="212"/>
      <c r="TND219" s="212"/>
      <c r="TNE219" s="212"/>
      <c r="TNF219" s="212"/>
      <c r="TNG219" s="212"/>
      <c r="TNH219" s="212"/>
      <c r="TNI219" s="212"/>
      <c r="TNJ219" s="212"/>
      <c r="TNK219" s="212"/>
      <c r="TNL219" s="212"/>
      <c r="TNM219" s="212"/>
      <c r="TNN219" s="212"/>
      <c r="TNO219" s="212"/>
      <c r="TNP219" s="212"/>
      <c r="TNQ219" s="212"/>
      <c r="TNR219" s="212"/>
      <c r="TNS219" s="212"/>
      <c r="TNT219" s="214"/>
      <c r="TNU219" s="211"/>
      <c r="TNV219" s="212"/>
      <c r="TNW219" s="212"/>
      <c r="TNX219" s="212"/>
      <c r="TNY219" s="212"/>
      <c r="TNZ219" s="212"/>
      <c r="TOA219" s="212"/>
      <c r="TOB219" s="212"/>
      <c r="TOC219" s="212"/>
      <c r="TOD219" s="212"/>
      <c r="TOE219" s="212"/>
      <c r="TOF219" s="212"/>
      <c r="TOG219" s="212"/>
      <c r="TOH219" s="212"/>
      <c r="TOI219" s="212"/>
      <c r="TOJ219" s="212"/>
      <c r="TOK219" s="212"/>
      <c r="TOL219" s="212"/>
      <c r="TOM219" s="212"/>
      <c r="TON219" s="212"/>
      <c r="TOO219" s="212"/>
      <c r="TOP219" s="212"/>
      <c r="TOQ219" s="212"/>
      <c r="TOR219" s="212"/>
      <c r="TOS219" s="212"/>
      <c r="TOT219" s="212"/>
      <c r="TOU219" s="212"/>
      <c r="TOV219" s="212"/>
      <c r="TOW219" s="212"/>
      <c r="TOX219" s="212"/>
      <c r="TOY219" s="212"/>
      <c r="TOZ219" s="212"/>
      <c r="TPA219" s="212"/>
      <c r="TPB219" s="212"/>
      <c r="TPC219" s="212"/>
      <c r="TPD219" s="212"/>
      <c r="TPE219" s="212"/>
      <c r="TPF219" s="212"/>
      <c r="TPG219" s="212"/>
      <c r="TPH219" s="212"/>
      <c r="TPI219" s="212"/>
      <c r="TPJ219" s="212"/>
      <c r="TPK219" s="212"/>
      <c r="TPL219" s="214"/>
      <c r="TPM219" s="211"/>
      <c r="TPN219" s="212"/>
      <c r="TPO219" s="212"/>
      <c r="TPP219" s="212"/>
      <c r="TPQ219" s="212"/>
      <c r="TPR219" s="212"/>
      <c r="TPS219" s="212"/>
      <c r="TPT219" s="212"/>
      <c r="TPU219" s="212"/>
      <c r="TPV219" s="212"/>
      <c r="TPW219" s="212"/>
      <c r="TPX219" s="212"/>
      <c r="TPY219" s="212"/>
      <c r="TPZ219" s="212"/>
      <c r="TQA219" s="212"/>
      <c r="TQB219" s="212"/>
      <c r="TQC219" s="212"/>
      <c r="TQD219" s="212"/>
      <c r="TQE219" s="212"/>
      <c r="TQF219" s="212"/>
      <c r="TQG219" s="212"/>
      <c r="TQH219" s="212"/>
      <c r="TQI219" s="212"/>
      <c r="TQJ219" s="212"/>
      <c r="TQK219" s="212"/>
      <c r="TQL219" s="212"/>
      <c r="TQM219" s="212"/>
      <c r="TQN219" s="212"/>
      <c r="TQO219" s="212"/>
      <c r="TQP219" s="212"/>
      <c r="TQQ219" s="212"/>
      <c r="TQR219" s="212"/>
      <c r="TQS219" s="212"/>
      <c r="TQT219" s="212"/>
      <c r="TQU219" s="212"/>
      <c r="TQV219" s="212"/>
      <c r="TQW219" s="212"/>
      <c r="TQX219" s="212"/>
      <c r="TQY219" s="212"/>
      <c r="TQZ219" s="212"/>
      <c r="TRA219" s="212"/>
      <c r="TRB219" s="212"/>
      <c r="TRC219" s="212"/>
      <c r="TRD219" s="214"/>
      <c r="TRE219" s="211"/>
      <c r="TRF219" s="212"/>
      <c r="TRG219" s="212"/>
      <c r="TRH219" s="212"/>
      <c r="TRI219" s="212"/>
      <c r="TRJ219" s="212"/>
      <c r="TRK219" s="212"/>
      <c r="TRL219" s="212"/>
      <c r="TRM219" s="212"/>
      <c r="TRN219" s="212"/>
      <c r="TRO219" s="212"/>
      <c r="TRP219" s="212"/>
      <c r="TRQ219" s="212"/>
      <c r="TRR219" s="212"/>
      <c r="TRS219" s="212"/>
      <c r="TRT219" s="212"/>
      <c r="TRU219" s="212"/>
      <c r="TRV219" s="212"/>
      <c r="TRW219" s="212"/>
      <c r="TRX219" s="212"/>
      <c r="TRY219" s="212"/>
      <c r="TRZ219" s="212"/>
      <c r="TSA219" s="212"/>
      <c r="TSB219" s="212"/>
      <c r="TSC219" s="212"/>
      <c r="TSD219" s="212"/>
      <c r="TSE219" s="212"/>
      <c r="TSF219" s="212"/>
      <c r="TSG219" s="212"/>
      <c r="TSH219" s="212"/>
      <c r="TSI219" s="212"/>
      <c r="TSJ219" s="212"/>
      <c r="TSK219" s="212"/>
      <c r="TSL219" s="212"/>
      <c r="TSM219" s="212"/>
      <c r="TSN219" s="212"/>
      <c r="TSO219" s="212"/>
      <c r="TSP219" s="212"/>
      <c r="TSQ219" s="212"/>
      <c r="TSR219" s="212"/>
      <c r="TSS219" s="212"/>
      <c r="TST219" s="212"/>
      <c r="TSU219" s="212"/>
      <c r="TSV219" s="214"/>
      <c r="TSW219" s="211"/>
      <c r="TSX219" s="212"/>
      <c r="TSY219" s="212"/>
      <c r="TSZ219" s="212"/>
      <c r="TTA219" s="212"/>
      <c r="TTB219" s="212"/>
      <c r="TTC219" s="212"/>
      <c r="TTD219" s="212"/>
      <c r="TTE219" s="212"/>
      <c r="TTF219" s="212"/>
      <c r="TTG219" s="212"/>
      <c r="TTH219" s="212"/>
      <c r="TTI219" s="212"/>
      <c r="TTJ219" s="212"/>
      <c r="TTK219" s="212"/>
      <c r="TTL219" s="212"/>
      <c r="TTM219" s="212"/>
      <c r="TTN219" s="212"/>
      <c r="TTO219" s="212"/>
      <c r="TTP219" s="212"/>
      <c r="TTQ219" s="212"/>
      <c r="TTR219" s="212"/>
      <c r="TTS219" s="212"/>
      <c r="TTT219" s="212"/>
      <c r="TTU219" s="212"/>
      <c r="TTV219" s="212"/>
      <c r="TTW219" s="212"/>
      <c r="TTX219" s="212"/>
      <c r="TTY219" s="212"/>
      <c r="TTZ219" s="212"/>
      <c r="TUA219" s="212"/>
      <c r="TUB219" s="212"/>
      <c r="TUC219" s="212"/>
      <c r="TUD219" s="212"/>
      <c r="TUE219" s="212"/>
      <c r="TUF219" s="212"/>
      <c r="TUG219" s="212"/>
      <c r="TUH219" s="212"/>
      <c r="TUI219" s="212"/>
      <c r="TUJ219" s="212"/>
      <c r="TUK219" s="212"/>
      <c r="TUL219" s="212"/>
      <c r="TUM219" s="212"/>
      <c r="TUN219" s="214"/>
      <c r="TUO219" s="211"/>
      <c r="TUP219" s="212"/>
      <c r="TUQ219" s="212"/>
      <c r="TUR219" s="212"/>
      <c r="TUS219" s="212"/>
      <c r="TUT219" s="212"/>
      <c r="TUU219" s="212"/>
      <c r="TUV219" s="212"/>
      <c r="TUW219" s="212"/>
      <c r="TUX219" s="212"/>
      <c r="TUY219" s="212"/>
      <c r="TUZ219" s="212"/>
      <c r="TVA219" s="212"/>
      <c r="TVB219" s="212"/>
      <c r="TVC219" s="212"/>
      <c r="TVD219" s="212"/>
      <c r="TVE219" s="212"/>
      <c r="TVF219" s="212"/>
      <c r="TVG219" s="212"/>
      <c r="TVH219" s="212"/>
      <c r="TVI219" s="212"/>
      <c r="TVJ219" s="212"/>
      <c r="TVK219" s="212"/>
      <c r="TVL219" s="212"/>
      <c r="TVM219" s="212"/>
      <c r="TVN219" s="212"/>
      <c r="TVO219" s="212"/>
      <c r="TVP219" s="212"/>
      <c r="TVQ219" s="212"/>
      <c r="TVR219" s="212"/>
      <c r="TVS219" s="212"/>
      <c r="TVT219" s="212"/>
      <c r="TVU219" s="212"/>
      <c r="TVV219" s="212"/>
      <c r="TVW219" s="212"/>
      <c r="TVX219" s="212"/>
      <c r="TVY219" s="212"/>
      <c r="TVZ219" s="212"/>
      <c r="TWA219" s="212"/>
      <c r="TWB219" s="212"/>
      <c r="TWC219" s="212"/>
      <c r="TWD219" s="212"/>
      <c r="TWE219" s="212"/>
      <c r="TWF219" s="214"/>
      <c r="TWG219" s="211"/>
      <c r="TWH219" s="212"/>
      <c r="TWI219" s="212"/>
      <c r="TWJ219" s="212"/>
      <c r="TWK219" s="212"/>
      <c r="TWL219" s="212"/>
      <c r="TWM219" s="212"/>
      <c r="TWN219" s="212"/>
      <c r="TWO219" s="212"/>
      <c r="TWP219" s="212"/>
      <c r="TWQ219" s="212"/>
      <c r="TWR219" s="212"/>
      <c r="TWS219" s="212"/>
      <c r="TWT219" s="212"/>
      <c r="TWU219" s="212"/>
      <c r="TWV219" s="212"/>
      <c r="TWW219" s="212"/>
      <c r="TWX219" s="212"/>
      <c r="TWY219" s="212"/>
      <c r="TWZ219" s="212"/>
      <c r="TXA219" s="212"/>
      <c r="TXB219" s="212"/>
      <c r="TXC219" s="212"/>
      <c r="TXD219" s="212"/>
      <c r="TXE219" s="212"/>
      <c r="TXF219" s="212"/>
      <c r="TXG219" s="212"/>
      <c r="TXH219" s="212"/>
      <c r="TXI219" s="212"/>
      <c r="TXJ219" s="212"/>
      <c r="TXK219" s="212"/>
      <c r="TXL219" s="212"/>
      <c r="TXM219" s="212"/>
      <c r="TXN219" s="212"/>
      <c r="TXO219" s="212"/>
      <c r="TXP219" s="212"/>
      <c r="TXQ219" s="212"/>
      <c r="TXR219" s="212"/>
      <c r="TXS219" s="212"/>
      <c r="TXT219" s="212"/>
      <c r="TXU219" s="212"/>
      <c r="TXV219" s="212"/>
      <c r="TXW219" s="212"/>
      <c r="TXX219" s="214"/>
      <c r="TXY219" s="211"/>
      <c r="TXZ219" s="212"/>
      <c r="TYA219" s="212"/>
      <c r="TYB219" s="212"/>
      <c r="TYC219" s="212"/>
      <c r="TYD219" s="212"/>
      <c r="TYE219" s="212"/>
      <c r="TYF219" s="212"/>
      <c r="TYG219" s="212"/>
      <c r="TYH219" s="212"/>
      <c r="TYI219" s="212"/>
      <c r="TYJ219" s="212"/>
      <c r="TYK219" s="212"/>
      <c r="TYL219" s="212"/>
      <c r="TYM219" s="212"/>
      <c r="TYN219" s="212"/>
      <c r="TYO219" s="212"/>
      <c r="TYP219" s="212"/>
      <c r="TYQ219" s="212"/>
      <c r="TYR219" s="212"/>
      <c r="TYS219" s="212"/>
      <c r="TYT219" s="212"/>
      <c r="TYU219" s="212"/>
      <c r="TYV219" s="212"/>
      <c r="TYW219" s="212"/>
      <c r="TYX219" s="212"/>
      <c r="TYY219" s="212"/>
      <c r="TYZ219" s="212"/>
      <c r="TZA219" s="212"/>
      <c r="TZB219" s="212"/>
      <c r="TZC219" s="212"/>
      <c r="TZD219" s="212"/>
      <c r="TZE219" s="212"/>
      <c r="TZF219" s="212"/>
      <c r="TZG219" s="212"/>
      <c r="TZH219" s="212"/>
      <c r="TZI219" s="212"/>
      <c r="TZJ219" s="212"/>
      <c r="TZK219" s="212"/>
      <c r="TZL219" s="212"/>
      <c r="TZM219" s="212"/>
      <c r="TZN219" s="212"/>
      <c r="TZO219" s="212"/>
      <c r="TZP219" s="214"/>
      <c r="TZQ219" s="211"/>
      <c r="TZR219" s="212"/>
      <c r="TZS219" s="212"/>
      <c r="TZT219" s="212"/>
      <c r="TZU219" s="212"/>
      <c r="TZV219" s="212"/>
      <c r="TZW219" s="212"/>
      <c r="TZX219" s="212"/>
      <c r="TZY219" s="212"/>
      <c r="TZZ219" s="212"/>
      <c r="UAA219" s="212"/>
      <c r="UAB219" s="212"/>
      <c r="UAC219" s="212"/>
      <c r="UAD219" s="212"/>
      <c r="UAE219" s="212"/>
      <c r="UAF219" s="212"/>
      <c r="UAG219" s="212"/>
      <c r="UAH219" s="212"/>
      <c r="UAI219" s="212"/>
      <c r="UAJ219" s="212"/>
      <c r="UAK219" s="212"/>
      <c r="UAL219" s="212"/>
      <c r="UAM219" s="212"/>
      <c r="UAN219" s="212"/>
      <c r="UAO219" s="212"/>
      <c r="UAP219" s="212"/>
      <c r="UAQ219" s="212"/>
      <c r="UAR219" s="212"/>
      <c r="UAS219" s="212"/>
      <c r="UAT219" s="212"/>
      <c r="UAU219" s="212"/>
      <c r="UAV219" s="212"/>
      <c r="UAW219" s="212"/>
      <c r="UAX219" s="212"/>
      <c r="UAY219" s="212"/>
      <c r="UAZ219" s="212"/>
      <c r="UBA219" s="212"/>
      <c r="UBB219" s="212"/>
      <c r="UBC219" s="212"/>
      <c r="UBD219" s="212"/>
      <c r="UBE219" s="212"/>
      <c r="UBF219" s="212"/>
      <c r="UBG219" s="212"/>
      <c r="UBH219" s="214"/>
      <c r="UBI219" s="211"/>
      <c r="UBJ219" s="212"/>
      <c r="UBK219" s="212"/>
      <c r="UBL219" s="212"/>
      <c r="UBM219" s="212"/>
      <c r="UBN219" s="212"/>
      <c r="UBO219" s="212"/>
      <c r="UBP219" s="212"/>
      <c r="UBQ219" s="212"/>
      <c r="UBR219" s="212"/>
      <c r="UBS219" s="212"/>
      <c r="UBT219" s="212"/>
      <c r="UBU219" s="212"/>
      <c r="UBV219" s="212"/>
      <c r="UBW219" s="212"/>
      <c r="UBX219" s="212"/>
      <c r="UBY219" s="212"/>
      <c r="UBZ219" s="212"/>
      <c r="UCA219" s="212"/>
      <c r="UCB219" s="212"/>
      <c r="UCC219" s="212"/>
      <c r="UCD219" s="212"/>
      <c r="UCE219" s="212"/>
      <c r="UCF219" s="212"/>
      <c r="UCG219" s="212"/>
      <c r="UCH219" s="212"/>
      <c r="UCI219" s="212"/>
      <c r="UCJ219" s="212"/>
      <c r="UCK219" s="212"/>
      <c r="UCL219" s="212"/>
      <c r="UCM219" s="212"/>
      <c r="UCN219" s="212"/>
      <c r="UCO219" s="212"/>
      <c r="UCP219" s="212"/>
      <c r="UCQ219" s="212"/>
      <c r="UCR219" s="212"/>
      <c r="UCS219" s="212"/>
      <c r="UCT219" s="212"/>
      <c r="UCU219" s="212"/>
      <c r="UCV219" s="212"/>
      <c r="UCW219" s="212"/>
      <c r="UCX219" s="212"/>
      <c r="UCY219" s="212"/>
      <c r="UCZ219" s="214"/>
      <c r="UDA219" s="211"/>
      <c r="UDB219" s="212"/>
      <c r="UDC219" s="212"/>
      <c r="UDD219" s="212"/>
      <c r="UDE219" s="212"/>
      <c r="UDF219" s="212"/>
      <c r="UDG219" s="212"/>
      <c r="UDH219" s="212"/>
      <c r="UDI219" s="212"/>
      <c r="UDJ219" s="212"/>
      <c r="UDK219" s="212"/>
      <c r="UDL219" s="212"/>
      <c r="UDM219" s="212"/>
      <c r="UDN219" s="212"/>
      <c r="UDO219" s="212"/>
      <c r="UDP219" s="212"/>
      <c r="UDQ219" s="212"/>
      <c r="UDR219" s="212"/>
      <c r="UDS219" s="212"/>
      <c r="UDT219" s="212"/>
      <c r="UDU219" s="212"/>
      <c r="UDV219" s="212"/>
      <c r="UDW219" s="212"/>
      <c r="UDX219" s="212"/>
      <c r="UDY219" s="212"/>
      <c r="UDZ219" s="212"/>
      <c r="UEA219" s="212"/>
      <c r="UEB219" s="212"/>
      <c r="UEC219" s="212"/>
      <c r="UED219" s="212"/>
      <c r="UEE219" s="212"/>
      <c r="UEF219" s="212"/>
      <c r="UEG219" s="212"/>
      <c r="UEH219" s="212"/>
      <c r="UEI219" s="212"/>
      <c r="UEJ219" s="212"/>
      <c r="UEK219" s="212"/>
      <c r="UEL219" s="212"/>
      <c r="UEM219" s="212"/>
      <c r="UEN219" s="212"/>
      <c r="UEO219" s="212"/>
      <c r="UEP219" s="212"/>
      <c r="UEQ219" s="212"/>
      <c r="UER219" s="214"/>
      <c r="UES219" s="211"/>
      <c r="UET219" s="212"/>
      <c r="UEU219" s="212"/>
      <c r="UEV219" s="212"/>
      <c r="UEW219" s="212"/>
      <c r="UEX219" s="212"/>
      <c r="UEY219" s="212"/>
      <c r="UEZ219" s="212"/>
      <c r="UFA219" s="212"/>
      <c r="UFB219" s="212"/>
      <c r="UFC219" s="212"/>
      <c r="UFD219" s="212"/>
      <c r="UFE219" s="212"/>
      <c r="UFF219" s="212"/>
      <c r="UFG219" s="212"/>
      <c r="UFH219" s="212"/>
      <c r="UFI219" s="212"/>
      <c r="UFJ219" s="212"/>
      <c r="UFK219" s="212"/>
      <c r="UFL219" s="212"/>
      <c r="UFM219" s="212"/>
      <c r="UFN219" s="212"/>
      <c r="UFO219" s="212"/>
      <c r="UFP219" s="212"/>
      <c r="UFQ219" s="212"/>
      <c r="UFR219" s="212"/>
      <c r="UFS219" s="212"/>
      <c r="UFT219" s="212"/>
      <c r="UFU219" s="212"/>
      <c r="UFV219" s="212"/>
      <c r="UFW219" s="212"/>
      <c r="UFX219" s="212"/>
      <c r="UFY219" s="212"/>
      <c r="UFZ219" s="212"/>
      <c r="UGA219" s="212"/>
      <c r="UGB219" s="212"/>
      <c r="UGC219" s="212"/>
      <c r="UGD219" s="212"/>
      <c r="UGE219" s="212"/>
      <c r="UGF219" s="212"/>
      <c r="UGG219" s="212"/>
      <c r="UGH219" s="212"/>
      <c r="UGI219" s="212"/>
      <c r="UGJ219" s="214"/>
      <c r="UGK219" s="211"/>
      <c r="UGL219" s="212"/>
      <c r="UGM219" s="212"/>
      <c r="UGN219" s="212"/>
      <c r="UGO219" s="212"/>
      <c r="UGP219" s="212"/>
      <c r="UGQ219" s="212"/>
      <c r="UGR219" s="212"/>
      <c r="UGS219" s="212"/>
      <c r="UGT219" s="212"/>
      <c r="UGU219" s="212"/>
      <c r="UGV219" s="212"/>
      <c r="UGW219" s="212"/>
      <c r="UGX219" s="212"/>
      <c r="UGY219" s="212"/>
      <c r="UGZ219" s="212"/>
      <c r="UHA219" s="212"/>
      <c r="UHB219" s="212"/>
      <c r="UHC219" s="212"/>
      <c r="UHD219" s="212"/>
      <c r="UHE219" s="212"/>
      <c r="UHF219" s="212"/>
      <c r="UHG219" s="212"/>
      <c r="UHH219" s="212"/>
      <c r="UHI219" s="212"/>
      <c r="UHJ219" s="212"/>
      <c r="UHK219" s="212"/>
      <c r="UHL219" s="212"/>
      <c r="UHM219" s="212"/>
      <c r="UHN219" s="212"/>
      <c r="UHO219" s="212"/>
      <c r="UHP219" s="212"/>
      <c r="UHQ219" s="212"/>
      <c r="UHR219" s="212"/>
      <c r="UHS219" s="212"/>
      <c r="UHT219" s="212"/>
      <c r="UHU219" s="212"/>
      <c r="UHV219" s="212"/>
      <c r="UHW219" s="212"/>
      <c r="UHX219" s="212"/>
      <c r="UHY219" s="212"/>
      <c r="UHZ219" s="212"/>
      <c r="UIA219" s="212"/>
      <c r="UIB219" s="214"/>
      <c r="UIC219" s="211"/>
      <c r="UID219" s="212"/>
      <c r="UIE219" s="212"/>
      <c r="UIF219" s="212"/>
      <c r="UIG219" s="212"/>
      <c r="UIH219" s="212"/>
      <c r="UII219" s="212"/>
      <c r="UIJ219" s="212"/>
      <c r="UIK219" s="212"/>
      <c r="UIL219" s="212"/>
      <c r="UIM219" s="212"/>
      <c r="UIN219" s="212"/>
      <c r="UIO219" s="212"/>
      <c r="UIP219" s="212"/>
      <c r="UIQ219" s="212"/>
      <c r="UIR219" s="212"/>
      <c r="UIS219" s="212"/>
      <c r="UIT219" s="212"/>
      <c r="UIU219" s="212"/>
      <c r="UIV219" s="212"/>
      <c r="UIW219" s="212"/>
      <c r="UIX219" s="212"/>
      <c r="UIY219" s="212"/>
      <c r="UIZ219" s="212"/>
      <c r="UJA219" s="212"/>
      <c r="UJB219" s="212"/>
      <c r="UJC219" s="212"/>
      <c r="UJD219" s="212"/>
      <c r="UJE219" s="212"/>
      <c r="UJF219" s="212"/>
      <c r="UJG219" s="212"/>
      <c r="UJH219" s="212"/>
      <c r="UJI219" s="212"/>
      <c r="UJJ219" s="212"/>
      <c r="UJK219" s="212"/>
      <c r="UJL219" s="212"/>
      <c r="UJM219" s="212"/>
      <c r="UJN219" s="212"/>
      <c r="UJO219" s="212"/>
      <c r="UJP219" s="212"/>
      <c r="UJQ219" s="212"/>
      <c r="UJR219" s="212"/>
      <c r="UJS219" s="212"/>
      <c r="UJT219" s="214"/>
      <c r="UJU219" s="211"/>
      <c r="UJV219" s="212"/>
      <c r="UJW219" s="212"/>
      <c r="UJX219" s="212"/>
      <c r="UJY219" s="212"/>
      <c r="UJZ219" s="212"/>
      <c r="UKA219" s="212"/>
      <c r="UKB219" s="212"/>
      <c r="UKC219" s="212"/>
      <c r="UKD219" s="212"/>
      <c r="UKE219" s="212"/>
      <c r="UKF219" s="212"/>
      <c r="UKG219" s="212"/>
      <c r="UKH219" s="212"/>
      <c r="UKI219" s="212"/>
      <c r="UKJ219" s="212"/>
      <c r="UKK219" s="212"/>
      <c r="UKL219" s="212"/>
      <c r="UKM219" s="212"/>
      <c r="UKN219" s="212"/>
      <c r="UKO219" s="212"/>
      <c r="UKP219" s="212"/>
      <c r="UKQ219" s="212"/>
      <c r="UKR219" s="212"/>
      <c r="UKS219" s="212"/>
      <c r="UKT219" s="212"/>
      <c r="UKU219" s="212"/>
      <c r="UKV219" s="212"/>
      <c r="UKW219" s="212"/>
      <c r="UKX219" s="212"/>
      <c r="UKY219" s="212"/>
      <c r="UKZ219" s="212"/>
      <c r="ULA219" s="212"/>
      <c r="ULB219" s="212"/>
      <c r="ULC219" s="212"/>
      <c r="ULD219" s="212"/>
      <c r="ULE219" s="212"/>
      <c r="ULF219" s="212"/>
      <c r="ULG219" s="212"/>
      <c r="ULH219" s="212"/>
      <c r="ULI219" s="212"/>
      <c r="ULJ219" s="212"/>
      <c r="ULK219" s="212"/>
      <c r="ULL219" s="214"/>
      <c r="ULM219" s="211"/>
      <c r="ULN219" s="212"/>
      <c r="ULO219" s="212"/>
      <c r="ULP219" s="212"/>
      <c r="ULQ219" s="212"/>
      <c r="ULR219" s="212"/>
      <c r="ULS219" s="212"/>
      <c r="ULT219" s="212"/>
      <c r="ULU219" s="212"/>
      <c r="ULV219" s="212"/>
      <c r="ULW219" s="212"/>
      <c r="ULX219" s="212"/>
      <c r="ULY219" s="212"/>
      <c r="ULZ219" s="212"/>
      <c r="UMA219" s="212"/>
      <c r="UMB219" s="212"/>
      <c r="UMC219" s="212"/>
      <c r="UMD219" s="212"/>
      <c r="UME219" s="212"/>
      <c r="UMF219" s="212"/>
      <c r="UMG219" s="212"/>
      <c r="UMH219" s="212"/>
      <c r="UMI219" s="212"/>
      <c r="UMJ219" s="212"/>
      <c r="UMK219" s="212"/>
      <c r="UML219" s="212"/>
      <c r="UMM219" s="212"/>
      <c r="UMN219" s="212"/>
      <c r="UMO219" s="212"/>
      <c r="UMP219" s="212"/>
      <c r="UMQ219" s="212"/>
      <c r="UMR219" s="212"/>
      <c r="UMS219" s="212"/>
      <c r="UMT219" s="212"/>
      <c r="UMU219" s="212"/>
      <c r="UMV219" s="212"/>
      <c r="UMW219" s="212"/>
      <c r="UMX219" s="212"/>
      <c r="UMY219" s="212"/>
      <c r="UMZ219" s="212"/>
      <c r="UNA219" s="212"/>
      <c r="UNB219" s="212"/>
      <c r="UNC219" s="212"/>
      <c r="UND219" s="214"/>
      <c r="UNE219" s="211"/>
      <c r="UNF219" s="212"/>
      <c r="UNG219" s="212"/>
      <c r="UNH219" s="212"/>
      <c r="UNI219" s="212"/>
      <c r="UNJ219" s="212"/>
      <c r="UNK219" s="212"/>
      <c r="UNL219" s="212"/>
      <c r="UNM219" s="212"/>
      <c r="UNN219" s="212"/>
      <c r="UNO219" s="212"/>
      <c r="UNP219" s="212"/>
      <c r="UNQ219" s="212"/>
      <c r="UNR219" s="212"/>
      <c r="UNS219" s="212"/>
      <c r="UNT219" s="212"/>
      <c r="UNU219" s="212"/>
      <c r="UNV219" s="212"/>
      <c r="UNW219" s="212"/>
      <c r="UNX219" s="212"/>
      <c r="UNY219" s="212"/>
      <c r="UNZ219" s="212"/>
      <c r="UOA219" s="212"/>
      <c r="UOB219" s="212"/>
      <c r="UOC219" s="212"/>
      <c r="UOD219" s="212"/>
      <c r="UOE219" s="212"/>
      <c r="UOF219" s="212"/>
      <c r="UOG219" s="212"/>
      <c r="UOH219" s="212"/>
      <c r="UOI219" s="212"/>
      <c r="UOJ219" s="212"/>
      <c r="UOK219" s="212"/>
      <c r="UOL219" s="212"/>
      <c r="UOM219" s="212"/>
      <c r="UON219" s="212"/>
      <c r="UOO219" s="212"/>
      <c r="UOP219" s="212"/>
      <c r="UOQ219" s="212"/>
      <c r="UOR219" s="212"/>
      <c r="UOS219" s="212"/>
      <c r="UOT219" s="212"/>
      <c r="UOU219" s="212"/>
      <c r="UOV219" s="214"/>
      <c r="UOW219" s="211"/>
      <c r="UOX219" s="212"/>
      <c r="UOY219" s="212"/>
      <c r="UOZ219" s="212"/>
      <c r="UPA219" s="212"/>
      <c r="UPB219" s="212"/>
      <c r="UPC219" s="212"/>
      <c r="UPD219" s="212"/>
      <c r="UPE219" s="212"/>
      <c r="UPF219" s="212"/>
      <c r="UPG219" s="212"/>
      <c r="UPH219" s="212"/>
      <c r="UPI219" s="212"/>
      <c r="UPJ219" s="212"/>
      <c r="UPK219" s="212"/>
      <c r="UPL219" s="212"/>
      <c r="UPM219" s="212"/>
      <c r="UPN219" s="212"/>
      <c r="UPO219" s="212"/>
      <c r="UPP219" s="212"/>
      <c r="UPQ219" s="212"/>
      <c r="UPR219" s="212"/>
      <c r="UPS219" s="212"/>
      <c r="UPT219" s="212"/>
      <c r="UPU219" s="212"/>
      <c r="UPV219" s="212"/>
      <c r="UPW219" s="212"/>
      <c r="UPX219" s="212"/>
      <c r="UPY219" s="212"/>
      <c r="UPZ219" s="212"/>
      <c r="UQA219" s="212"/>
      <c r="UQB219" s="212"/>
      <c r="UQC219" s="212"/>
      <c r="UQD219" s="212"/>
      <c r="UQE219" s="212"/>
      <c r="UQF219" s="212"/>
      <c r="UQG219" s="212"/>
      <c r="UQH219" s="212"/>
      <c r="UQI219" s="212"/>
      <c r="UQJ219" s="212"/>
      <c r="UQK219" s="212"/>
      <c r="UQL219" s="212"/>
      <c r="UQM219" s="212"/>
      <c r="UQN219" s="214"/>
      <c r="UQO219" s="211"/>
      <c r="UQP219" s="212"/>
      <c r="UQQ219" s="212"/>
      <c r="UQR219" s="212"/>
      <c r="UQS219" s="212"/>
      <c r="UQT219" s="212"/>
      <c r="UQU219" s="212"/>
      <c r="UQV219" s="212"/>
      <c r="UQW219" s="212"/>
      <c r="UQX219" s="212"/>
      <c r="UQY219" s="212"/>
      <c r="UQZ219" s="212"/>
      <c r="URA219" s="212"/>
      <c r="URB219" s="212"/>
      <c r="URC219" s="212"/>
      <c r="URD219" s="212"/>
      <c r="URE219" s="212"/>
      <c r="URF219" s="212"/>
      <c r="URG219" s="212"/>
      <c r="URH219" s="212"/>
      <c r="URI219" s="212"/>
      <c r="URJ219" s="212"/>
      <c r="URK219" s="212"/>
      <c r="URL219" s="212"/>
      <c r="URM219" s="212"/>
      <c r="URN219" s="212"/>
      <c r="URO219" s="212"/>
      <c r="URP219" s="212"/>
      <c r="URQ219" s="212"/>
      <c r="URR219" s="212"/>
      <c r="URS219" s="212"/>
      <c r="URT219" s="212"/>
      <c r="URU219" s="212"/>
      <c r="URV219" s="212"/>
      <c r="URW219" s="212"/>
      <c r="URX219" s="212"/>
      <c r="URY219" s="212"/>
      <c r="URZ219" s="212"/>
      <c r="USA219" s="212"/>
      <c r="USB219" s="212"/>
      <c r="USC219" s="212"/>
      <c r="USD219" s="212"/>
      <c r="USE219" s="212"/>
      <c r="USF219" s="214"/>
      <c r="USG219" s="211"/>
      <c r="USH219" s="212"/>
      <c r="USI219" s="212"/>
      <c r="USJ219" s="212"/>
      <c r="USK219" s="212"/>
      <c r="USL219" s="212"/>
      <c r="USM219" s="212"/>
      <c r="USN219" s="212"/>
      <c r="USO219" s="212"/>
      <c r="USP219" s="212"/>
      <c r="USQ219" s="212"/>
      <c r="USR219" s="212"/>
      <c r="USS219" s="212"/>
      <c r="UST219" s="212"/>
      <c r="USU219" s="212"/>
      <c r="USV219" s="212"/>
      <c r="USW219" s="212"/>
      <c r="USX219" s="212"/>
      <c r="USY219" s="212"/>
      <c r="USZ219" s="212"/>
      <c r="UTA219" s="212"/>
      <c r="UTB219" s="212"/>
      <c r="UTC219" s="212"/>
      <c r="UTD219" s="212"/>
      <c r="UTE219" s="212"/>
      <c r="UTF219" s="212"/>
      <c r="UTG219" s="212"/>
      <c r="UTH219" s="212"/>
      <c r="UTI219" s="212"/>
      <c r="UTJ219" s="212"/>
      <c r="UTK219" s="212"/>
      <c r="UTL219" s="212"/>
      <c r="UTM219" s="212"/>
      <c r="UTN219" s="212"/>
      <c r="UTO219" s="212"/>
      <c r="UTP219" s="212"/>
      <c r="UTQ219" s="212"/>
      <c r="UTR219" s="212"/>
      <c r="UTS219" s="212"/>
      <c r="UTT219" s="212"/>
      <c r="UTU219" s="212"/>
      <c r="UTV219" s="212"/>
      <c r="UTW219" s="212"/>
      <c r="UTX219" s="214"/>
      <c r="UTY219" s="211"/>
      <c r="UTZ219" s="212"/>
      <c r="UUA219" s="212"/>
      <c r="UUB219" s="212"/>
      <c r="UUC219" s="212"/>
      <c r="UUD219" s="212"/>
      <c r="UUE219" s="212"/>
      <c r="UUF219" s="212"/>
      <c r="UUG219" s="212"/>
      <c r="UUH219" s="212"/>
      <c r="UUI219" s="212"/>
      <c r="UUJ219" s="212"/>
      <c r="UUK219" s="212"/>
      <c r="UUL219" s="212"/>
      <c r="UUM219" s="212"/>
      <c r="UUN219" s="212"/>
      <c r="UUO219" s="212"/>
      <c r="UUP219" s="212"/>
      <c r="UUQ219" s="212"/>
      <c r="UUR219" s="212"/>
      <c r="UUS219" s="212"/>
      <c r="UUT219" s="212"/>
      <c r="UUU219" s="212"/>
      <c r="UUV219" s="212"/>
      <c r="UUW219" s="212"/>
      <c r="UUX219" s="212"/>
      <c r="UUY219" s="212"/>
      <c r="UUZ219" s="212"/>
      <c r="UVA219" s="212"/>
      <c r="UVB219" s="212"/>
      <c r="UVC219" s="212"/>
      <c r="UVD219" s="212"/>
      <c r="UVE219" s="212"/>
      <c r="UVF219" s="212"/>
      <c r="UVG219" s="212"/>
      <c r="UVH219" s="212"/>
      <c r="UVI219" s="212"/>
      <c r="UVJ219" s="212"/>
      <c r="UVK219" s="212"/>
      <c r="UVL219" s="212"/>
      <c r="UVM219" s="212"/>
      <c r="UVN219" s="212"/>
      <c r="UVO219" s="212"/>
      <c r="UVP219" s="214"/>
      <c r="UVQ219" s="211"/>
      <c r="UVR219" s="212"/>
      <c r="UVS219" s="212"/>
      <c r="UVT219" s="212"/>
      <c r="UVU219" s="212"/>
      <c r="UVV219" s="212"/>
      <c r="UVW219" s="212"/>
      <c r="UVX219" s="212"/>
      <c r="UVY219" s="212"/>
      <c r="UVZ219" s="212"/>
      <c r="UWA219" s="212"/>
      <c r="UWB219" s="212"/>
      <c r="UWC219" s="212"/>
      <c r="UWD219" s="212"/>
      <c r="UWE219" s="212"/>
      <c r="UWF219" s="212"/>
      <c r="UWG219" s="212"/>
      <c r="UWH219" s="212"/>
      <c r="UWI219" s="212"/>
      <c r="UWJ219" s="212"/>
      <c r="UWK219" s="212"/>
      <c r="UWL219" s="212"/>
      <c r="UWM219" s="212"/>
      <c r="UWN219" s="212"/>
      <c r="UWO219" s="212"/>
      <c r="UWP219" s="212"/>
      <c r="UWQ219" s="212"/>
      <c r="UWR219" s="212"/>
      <c r="UWS219" s="212"/>
      <c r="UWT219" s="212"/>
      <c r="UWU219" s="212"/>
      <c r="UWV219" s="212"/>
      <c r="UWW219" s="212"/>
      <c r="UWX219" s="212"/>
      <c r="UWY219" s="212"/>
      <c r="UWZ219" s="212"/>
      <c r="UXA219" s="212"/>
      <c r="UXB219" s="212"/>
      <c r="UXC219" s="212"/>
      <c r="UXD219" s="212"/>
      <c r="UXE219" s="212"/>
      <c r="UXF219" s="212"/>
      <c r="UXG219" s="212"/>
      <c r="UXH219" s="214"/>
      <c r="UXI219" s="211"/>
      <c r="UXJ219" s="212"/>
      <c r="UXK219" s="212"/>
      <c r="UXL219" s="212"/>
      <c r="UXM219" s="212"/>
      <c r="UXN219" s="212"/>
      <c r="UXO219" s="212"/>
      <c r="UXP219" s="212"/>
      <c r="UXQ219" s="212"/>
      <c r="UXR219" s="212"/>
      <c r="UXS219" s="212"/>
      <c r="UXT219" s="212"/>
      <c r="UXU219" s="212"/>
      <c r="UXV219" s="212"/>
      <c r="UXW219" s="212"/>
      <c r="UXX219" s="212"/>
      <c r="UXY219" s="212"/>
      <c r="UXZ219" s="212"/>
      <c r="UYA219" s="212"/>
      <c r="UYB219" s="212"/>
      <c r="UYC219" s="212"/>
      <c r="UYD219" s="212"/>
      <c r="UYE219" s="212"/>
      <c r="UYF219" s="212"/>
      <c r="UYG219" s="212"/>
      <c r="UYH219" s="212"/>
      <c r="UYI219" s="212"/>
      <c r="UYJ219" s="212"/>
      <c r="UYK219" s="212"/>
      <c r="UYL219" s="212"/>
      <c r="UYM219" s="212"/>
      <c r="UYN219" s="212"/>
      <c r="UYO219" s="212"/>
      <c r="UYP219" s="212"/>
      <c r="UYQ219" s="212"/>
      <c r="UYR219" s="212"/>
      <c r="UYS219" s="212"/>
      <c r="UYT219" s="212"/>
      <c r="UYU219" s="212"/>
      <c r="UYV219" s="212"/>
      <c r="UYW219" s="212"/>
      <c r="UYX219" s="212"/>
      <c r="UYY219" s="212"/>
      <c r="UYZ219" s="214"/>
      <c r="UZA219" s="211"/>
      <c r="UZB219" s="212"/>
      <c r="UZC219" s="212"/>
      <c r="UZD219" s="212"/>
      <c r="UZE219" s="212"/>
      <c r="UZF219" s="212"/>
      <c r="UZG219" s="212"/>
      <c r="UZH219" s="212"/>
      <c r="UZI219" s="212"/>
      <c r="UZJ219" s="212"/>
      <c r="UZK219" s="212"/>
      <c r="UZL219" s="212"/>
      <c r="UZM219" s="212"/>
      <c r="UZN219" s="212"/>
      <c r="UZO219" s="212"/>
      <c r="UZP219" s="212"/>
      <c r="UZQ219" s="212"/>
      <c r="UZR219" s="212"/>
      <c r="UZS219" s="212"/>
      <c r="UZT219" s="212"/>
      <c r="UZU219" s="212"/>
      <c r="UZV219" s="212"/>
      <c r="UZW219" s="212"/>
      <c r="UZX219" s="212"/>
      <c r="UZY219" s="212"/>
      <c r="UZZ219" s="212"/>
      <c r="VAA219" s="212"/>
      <c r="VAB219" s="212"/>
      <c r="VAC219" s="212"/>
      <c r="VAD219" s="212"/>
      <c r="VAE219" s="212"/>
      <c r="VAF219" s="212"/>
      <c r="VAG219" s="212"/>
      <c r="VAH219" s="212"/>
      <c r="VAI219" s="212"/>
      <c r="VAJ219" s="212"/>
      <c r="VAK219" s="212"/>
      <c r="VAL219" s="212"/>
      <c r="VAM219" s="212"/>
      <c r="VAN219" s="212"/>
      <c r="VAO219" s="212"/>
      <c r="VAP219" s="212"/>
      <c r="VAQ219" s="212"/>
      <c r="VAR219" s="214"/>
      <c r="VAS219" s="211"/>
      <c r="VAT219" s="212"/>
      <c r="VAU219" s="212"/>
      <c r="VAV219" s="212"/>
      <c r="VAW219" s="212"/>
      <c r="VAX219" s="212"/>
      <c r="VAY219" s="212"/>
      <c r="VAZ219" s="212"/>
      <c r="VBA219" s="212"/>
      <c r="VBB219" s="212"/>
      <c r="VBC219" s="212"/>
      <c r="VBD219" s="212"/>
      <c r="VBE219" s="212"/>
      <c r="VBF219" s="212"/>
      <c r="VBG219" s="212"/>
      <c r="VBH219" s="212"/>
      <c r="VBI219" s="212"/>
      <c r="VBJ219" s="212"/>
      <c r="VBK219" s="212"/>
      <c r="VBL219" s="212"/>
      <c r="VBM219" s="212"/>
      <c r="VBN219" s="212"/>
      <c r="VBO219" s="212"/>
      <c r="VBP219" s="212"/>
      <c r="VBQ219" s="212"/>
      <c r="VBR219" s="212"/>
      <c r="VBS219" s="212"/>
      <c r="VBT219" s="212"/>
      <c r="VBU219" s="212"/>
      <c r="VBV219" s="212"/>
      <c r="VBW219" s="212"/>
      <c r="VBX219" s="212"/>
      <c r="VBY219" s="212"/>
      <c r="VBZ219" s="212"/>
      <c r="VCA219" s="212"/>
      <c r="VCB219" s="212"/>
      <c r="VCC219" s="212"/>
      <c r="VCD219" s="212"/>
      <c r="VCE219" s="212"/>
      <c r="VCF219" s="212"/>
      <c r="VCG219" s="212"/>
      <c r="VCH219" s="212"/>
      <c r="VCI219" s="212"/>
      <c r="VCJ219" s="214"/>
      <c r="VCK219" s="211"/>
      <c r="VCL219" s="212"/>
      <c r="VCM219" s="212"/>
      <c r="VCN219" s="212"/>
      <c r="VCO219" s="212"/>
      <c r="VCP219" s="212"/>
      <c r="VCQ219" s="212"/>
      <c r="VCR219" s="212"/>
      <c r="VCS219" s="212"/>
      <c r="VCT219" s="212"/>
      <c r="VCU219" s="212"/>
      <c r="VCV219" s="212"/>
      <c r="VCW219" s="212"/>
      <c r="VCX219" s="212"/>
      <c r="VCY219" s="212"/>
      <c r="VCZ219" s="212"/>
      <c r="VDA219" s="212"/>
      <c r="VDB219" s="212"/>
      <c r="VDC219" s="212"/>
      <c r="VDD219" s="212"/>
      <c r="VDE219" s="212"/>
      <c r="VDF219" s="212"/>
      <c r="VDG219" s="212"/>
      <c r="VDH219" s="212"/>
      <c r="VDI219" s="212"/>
      <c r="VDJ219" s="212"/>
      <c r="VDK219" s="212"/>
      <c r="VDL219" s="212"/>
      <c r="VDM219" s="212"/>
      <c r="VDN219" s="212"/>
      <c r="VDO219" s="212"/>
      <c r="VDP219" s="212"/>
      <c r="VDQ219" s="212"/>
      <c r="VDR219" s="212"/>
      <c r="VDS219" s="212"/>
      <c r="VDT219" s="212"/>
      <c r="VDU219" s="212"/>
      <c r="VDV219" s="212"/>
      <c r="VDW219" s="212"/>
      <c r="VDX219" s="212"/>
      <c r="VDY219" s="212"/>
      <c r="VDZ219" s="212"/>
      <c r="VEA219" s="212"/>
      <c r="VEB219" s="214"/>
      <c r="VEC219" s="211"/>
      <c r="VED219" s="212"/>
      <c r="VEE219" s="212"/>
      <c r="VEF219" s="212"/>
      <c r="VEG219" s="212"/>
      <c r="VEH219" s="212"/>
      <c r="VEI219" s="212"/>
      <c r="VEJ219" s="212"/>
      <c r="VEK219" s="212"/>
      <c r="VEL219" s="212"/>
      <c r="VEM219" s="212"/>
      <c r="VEN219" s="212"/>
      <c r="VEO219" s="212"/>
      <c r="VEP219" s="212"/>
      <c r="VEQ219" s="212"/>
      <c r="VER219" s="212"/>
      <c r="VES219" s="212"/>
      <c r="VET219" s="212"/>
      <c r="VEU219" s="212"/>
      <c r="VEV219" s="212"/>
      <c r="VEW219" s="212"/>
      <c r="VEX219" s="212"/>
      <c r="VEY219" s="212"/>
      <c r="VEZ219" s="212"/>
      <c r="VFA219" s="212"/>
      <c r="VFB219" s="212"/>
      <c r="VFC219" s="212"/>
      <c r="VFD219" s="212"/>
      <c r="VFE219" s="212"/>
      <c r="VFF219" s="212"/>
      <c r="VFG219" s="212"/>
      <c r="VFH219" s="212"/>
      <c r="VFI219" s="212"/>
      <c r="VFJ219" s="212"/>
      <c r="VFK219" s="212"/>
      <c r="VFL219" s="212"/>
      <c r="VFM219" s="212"/>
      <c r="VFN219" s="212"/>
      <c r="VFO219" s="212"/>
      <c r="VFP219" s="212"/>
      <c r="VFQ219" s="212"/>
      <c r="VFR219" s="212"/>
      <c r="VFS219" s="212"/>
      <c r="VFT219" s="214"/>
      <c r="VFU219" s="211"/>
      <c r="VFV219" s="212"/>
      <c r="VFW219" s="212"/>
      <c r="VFX219" s="212"/>
      <c r="VFY219" s="212"/>
      <c r="VFZ219" s="212"/>
      <c r="VGA219" s="212"/>
      <c r="VGB219" s="212"/>
      <c r="VGC219" s="212"/>
      <c r="VGD219" s="212"/>
      <c r="VGE219" s="212"/>
      <c r="VGF219" s="212"/>
      <c r="VGG219" s="212"/>
      <c r="VGH219" s="212"/>
      <c r="VGI219" s="212"/>
      <c r="VGJ219" s="212"/>
      <c r="VGK219" s="212"/>
      <c r="VGL219" s="212"/>
      <c r="VGM219" s="212"/>
      <c r="VGN219" s="212"/>
      <c r="VGO219" s="212"/>
      <c r="VGP219" s="212"/>
      <c r="VGQ219" s="212"/>
      <c r="VGR219" s="212"/>
      <c r="VGS219" s="212"/>
      <c r="VGT219" s="212"/>
      <c r="VGU219" s="212"/>
      <c r="VGV219" s="212"/>
      <c r="VGW219" s="212"/>
      <c r="VGX219" s="212"/>
      <c r="VGY219" s="212"/>
      <c r="VGZ219" s="212"/>
      <c r="VHA219" s="212"/>
      <c r="VHB219" s="212"/>
      <c r="VHC219" s="212"/>
      <c r="VHD219" s="212"/>
      <c r="VHE219" s="212"/>
      <c r="VHF219" s="212"/>
      <c r="VHG219" s="212"/>
      <c r="VHH219" s="212"/>
      <c r="VHI219" s="212"/>
      <c r="VHJ219" s="212"/>
      <c r="VHK219" s="212"/>
      <c r="VHL219" s="214"/>
      <c r="VHM219" s="211"/>
      <c r="VHN219" s="212"/>
      <c r="VHO219" s="212"/>
      <c r="VHP219" s="212"/>
      <c r="VHQ219" s="212"/>
      <c r="VHR219" s="212"/>
      <c r="VHS219" s="212"/>
      <c r="VHT219" s="212"/>
      <c r="VHU219" s="212"/>
      <c r="VHV219" s="212"/>
      <c r="VHW219" s="212"/>
      <c r="VHX219" s="212"/>
      <c r="VHY219" s="212"/>
      <c r="VHZ219" s="212"/>
      <c r="VIA219" s="212"/>
      <c r="VIB219" s="212"/>
      <c r="VIC219" s="212"/>
      <c r="VID219" s="212"/>
      <c r="VIE219" s="212"/>
      <c r="VIF219" s="212"/>
      <c r="VIG219" s="212"/>
      <c r="VIH219" s="212"/>
      <c r="VII219" s="212"/>
      <c r="VIJ219" s="212"/>
      <c r="VIK219" s="212"/>
      <c r="VIL219" s="212"/>
      <c r="VIM219" s="212"/>
      <c r="VIN219" s="212"/>
      <c r="VIO219" s="212"/>
      <c r="VIP219" s="212"/>
      <c r="VIQ219" s="212"/>
      <c r="VIR219" s="212"/>
      <c r="VIS219" s="212"/>
      <c r="VIT219" s="212"/>
      <c r="VIU219" s="212"/>
      <c r="VIV219" s="212"/>
      <c r="VIW219" s="212"/>
      <c r="VIX219" s="212"/>
      <c r="VIY219" s="212"/>
      <c r="VIZ219" s="212"/>
      <c r="VJA219" s="212"/>
      <c r="VJB219" s="212"/>
      <c r="VJC219" s="212"/>
      <c r="VJD219" s="214"/>
      <c r="VJE219" s="211"/>
      <c r="VJF219" s="212"/>
      <c r="VJG219" s="212"/>
      <c r="VJH219" s="212"/>
      <c r="VJI219" s="212"/>
      <c r="VJJ219" s="212"/>
      <c r="VJK219" s="212"/>
      <c r="VJL219" s="212"/>
      <c r="VJM219" s="212"/>
      <c r="VJN219" s="212"/>
      <c r="VJO219" s="212"/>
      <c r="VJP219" s="212"/>
      <c r="VJQ219" s="212"/>
      <c r="VJR219" s="212"/>
      <c r="VJS219" s="212"/>
      <c r="VJT219" s="212"/>
      <c r="VJU219" s="212"/>
      <c r="VJV219" s="212"/>
      <c r="VJW219" s="212"/>
      <c r="VJX219" s="212"/>
      <c r="VJY219" s="212"/>
      <c r="VJZ219" s="212"/>
      <c r="VKA219" s="212"/>
      <c r="VKB219" s="212"/>
      <c r="VKC219" s="212"/>
      <c r="VKD219" s="212"/>
      <c r="VKE219" s="212"/>
      <c r="VKF219" s="212"/>
      <c r="VKG219" s="212"/>
      <c r="VKH219" s="212"/>
      <c r="VKI219" s="212"/>
      <c r="VKJ219" s="212"/>
      <c r="VKK219" s="212"/>
      <c r="VKL219" s="212"/>
      <c r="VKM219" s="212"/>
      <c r="VKN219" s="212"/>
      <c r="VKO219" s="212"/>
      <c r="VKP219" s="212"/>
      <c r="VKQ219" s="212"/>
      <c r="VKR219" s="212"/>
      <c r="VKS219" s="212"/>
      <c r="VKT219" s="212"/>
      <c r="VKU219" s="212"/>
      <c r="VKV219" s="214"/>
      <c r="VKW219" s="211"/>
      <c r="VKX219" s="212"/>
      <c r="VKY219" s="212"/>
      <c r="VKZ219" s="212"/>
      <c r="VLA219" s="212"/>
      <c r="VLB219" s="212"/>
      <c r="VLC219" s="212"/>
      <c r="VLD219" s="212"/>
      <c r="VLE219" s="212"/>
      <c r="VLF219" s="212"/>
      <c r="VLG219" s="212"/>
      <c r="VLH219" s="212"/>
      <c r="VLI219" s="212"/>
      <c r="VLJ219" s="212"/>
      <c r="VLK219" s="212"/>
      <c r="VLL219" s="212"/>
      <c r="VLM219" s="212"/>
      <c r="VLN219" s="212"/>
      <c r="VLO219" s="212"/>
      <c r="VLP219" s="212"/>
      <c r="VLQ219" s="212"/>
      <c r="VLR219" s="212"/>
      <c r="VLS219" s="212"/>
      <c r="VLT219" s="212"/>
      <c r="VLU219" s="212"/>
      <c r="VLV219" s="212"/>
      <c r="VLW219" s="212"/>
      <c r="VLX219" s="212"/>
      <c r="VLY219" s="212"/>
      <c r="VLZ219" s="212"/>
      <c r="VMA219" s="212"/>
      <c r="VMB219" s="212"/>
      <c r="VMC219" s="212"/>
      <c r="VMD219" s="212"/>
      <c r="VME219" s="212"/>
      <c r="VMF219" s="212"/>
      <c r="VMG219" s="212"/>
      <c r="VMH219" s="212"/>
      <c r="VMI219" s="212"/>
      <c r="VMJ219" s="212"/>
      <c r="VMK219" s="212"/>
      <c r="VML219" s="212"/>
      <c r="VMM219" s="212"/>
      <c r="VMN219" s="214"/>
      <c r="VMO219" s="211"/>
      <c r="VMP219" s="212"/>
      <c r="VMQ219" s="212"/>
      <c r="VMR219" s="212"/>
      <c r="VMS219" s="212"/>
      <c r="VMT219" s="212"/>
      <c r="VMU219" s="212"/>
      <c r="VMV219" s="212"/>
      <c r="VMW219" s="212"/>
      <c r="VMX219" s="212"/>
      <c r="VMY219" s="212"/>
      <c r="VMZ219" s="212"/>
      <c r="VNA219" s="212"/>
      <c r="VNB219" s="212"/>
      <c r="VNC219" s="212"/>
      <c r="VND219" s="212"/>
      <c r="VNE219" s="212"/>
      <c r="VNF219" s="212"/>
      <c r="VNG219" s="212"/>
      <c r="VNH219" s="212"/>
      <c r="VNI219" s="212"/>
      <c r="VNJ219" s="212"/>
      <c r="VNK219" s="212"/>
      <c r="VNL219" s="212"/>
      <c r="VNM219" s="212"/>
      <c r="VNN219" s="212"/>
      <c r="VNO219" s="212"/>
      <c r="VNP219" s="212"/>
      <c r="VNQ219" s="212"/>
      <c r="VNR219" s="212"/>
      <c r="VNS219" s="212"/>
      <c r="VNT219" s="212"/>
      <c r="VNU219" s="212"/>
      <c r="VNV219" s="212"/>
      <c r="VNW219" s="212"/>
      <c r="VNX219" s="212"/>
      <c r="VNY219" s="212"/>
      <c r="VNZ219" s="212"/>
      <c r="VOA219" s="212"/>
      <c r="VOB219" s="212"/>
      <c r="VOC219" s="212"/>
      <c r="VOD219" s="212"/>
      <c r="VOE219" s="212"/>
      <c r="VOF219" s="214"/>
      <c r="VOG219" s="211"/>
      <c r="VOH219" s="212"/>
      <c r="VOI219" s="212"/>
      <c r="VOJ219" s="212"/>
      <c r="VOK219" s="212"/>
      <c r="VOL219" s="212"/>
      <c r="VOM219" s="212"/>
      <c r="VON219" s="212"/>
      <c r="VOO219" s="212"/>
      <c r="VOP219" s="212"/>
      <c r="VOQ219" s="212"/>
      <c r="VOR219" s="212"/>
      <c r="VOS219" s="212"/>
      <c r="VOT219" s="212"/>
      <c r="VOU219" s="212"/>
      <c r="VOV219" s="212"/>
      <c r="VOW219" s="212"/>
      <c r="VOX219" s="212"/>
      <c r="VOY219" s="212"/>
      <c r="VOZ219" s="212"/>
      <c r="VPA219" s="212"/>
      <c r="VPB219" s="212"/>
      <c r="VPC219" s="212"/>
      <c r="VPD219" s="212"/>
      <c r="VPE219" s="212"/>
      <c r="VPF219" s="212"/>
      <c r="VPG219" s="212"/>
      <c r="VPH219" s="212"/>
      <c r="VPI219" s="212"/>
      <c r="VPJ219" s="212"/>
      <c r="VPK219" s="212"/>
      <c r="VPL219" s="212"/>
      <c r="VPM219" s="212"/>
      <c r="VPN219" s="212"/>
      <c r="VPO219" s="212"/>
      <c r="VPP219" s="212"/>
      <c r="VPQ219" s="212"/>
      <c r="VPR219" s="212"/>
      <c r="VPS219" s="212"/>
      <c r="VPT219" s="212"/>
      <c r="VPU219" s="212"/>
      <c r="VPV219" s="212"/>
      <c r="VPW219" s="212"/>
      <c r="VPX219" s="214"/>
      <c r="VPY219" s="211"/>
      <c r="VPZ219" s="212"/>
      <c r="VQA219" s="212"/>
      <c r="VQB219" s="212"/>
      <c r="VQC219" s="212"/>
      <c r="VQD219" s="212"/>
      <c r="VQE219" s="212"/>
      <c r="VQF219" s="212"/>
      <c r="VQG219" s="212"/>
      <c r="VQH219" s="212"/>
      <c r="VQI219" s="212"/>
      <c r="VQJ219" s="212"/>
      <c r="VQK219" s="212"/>
      <c r="VQL219" s="212"/>
      <c r="VQM219" s="212"/>
      <c r="VQN219" s="212"/>
      <c r="VQO219" s="212"/>
      <c r="VQP219" s="212"/>
      <c r="VQQ219" s="212"/>
      <c r="VQR219" s="212"/>
      <c r="VQS219" s="212"/>
      <c r="VQT219" s="212"/>
      <c r="VQU219" s="212"/>
      <c r="VQV219" s="212"/>
      <c r="VQW219" s="212"/>
      <c r="VQX219" s="212"/>
      <c r="VQY219" s="212"/>
      <c r="VQZ219" s="212"/>
      <c r="VRA219" s="212"/>
      <c r="VRB219" s="212"/>
      <c r="VRC219" s="212"/>
      <c r="VRD219" s="212"/>
      <c r="VRE219" s="212"/>
      <c r="VRF219" s="212"/>
      <c r="VRG219" s="212"/>
      <c r="VRH219" s="212"/>
      <c r="VRI219" s="212"/>
      <c r="VRJ219" s="212"/>
      <c r="VRK219" s="212"/>
      <c r="VRL219" s="212"/>
      <c r="VRM219" s="212"/>
      <c r="VRN219" s="212"/>
      <c r="VRO219" s="212"/>
      <c r="VRP219" s="214"/>
      <c r="VRQ219" s="211"/>
      <c r="VRR219" s="212"/>
      <c r="VRS219" s="212"/>
      <c r="VRT219" s="212"/>
      <c r="VRU219" s="212"/>
      <c r="VRV219" s="212"/>
      <c r="VRW219" s="212"/>
      <c r="VRX219" s="212"/>
      <c r="VRY219" s="212"/>
      <c r="VRZ219" s="212"/>
      <c r="VSA219" s="212"/>
      <c r="VSB219" s="212"/>
      <c r="VSC219" s="212"/>
      <c r="VSD219" s="212"/>
      <c r="VSE219" s="212"/>
      <c r="VSF219" s="212"/>
      <c r="VSG219" s="212"/>
      <c r="VSH219" s="212"/>
      <c r="VSI219" s="212"/>
      <c r="VSJ219" s="212"/>
      <c r="VSK219" s="212"/>
      <c r="VSL219" s="212"/>
      <c r="VSM219" s="212"/>
      <c r="VSN219" s="212"/>
      <c r="VSO219" s="212"/>
      <c r="VSP219" s="212"/>
      <c r="VSQ219" s="212"/>
      <c r="VSR219" s="212"/>
      <c r="VSS219" s="212"/>
      <c r="VST219" s="212"/>
      <c r="VSU219" s="212"/>
      <c r="VSV219" s="212"/>
      <c r="VSW219" s="212"/>
      <c r="VSX219" s="212"/>
      <c r="VSY219" s="212"/>
      <c r="VSZ219" s="212"/>
      <c r="VTA219" s="212"/>
      <c r="VTB219" s="212"/>
      <c r="VTC219" s="212"/>
      <c r="VTD219" s="212"/>
      <c r="VTE219" s="212"/>
      <c r="VTF219" s="212"/>
      <c r="VTG219" s="212"/>
      <c r="VTH219" s="214"/>
      <c r="VTI219" s="211"/>
      <c r="VTJ219" s="212"/>
      <c r="VTK219" s="212"/>
      <c r="VTL219" s="212"/>
      <c r="VTM219" s="212"/>
      <c r="VTN219" s="212"/>
      <c r="VTO219" s="212"/>
      <c r="VTP219" s="212"/>
      <c r="VTQ219" s="212"/>
      <c r="VTR219" s="212"/>
      <c r="VTS219" s="212"/>
      <c r="VTT219" s="212"/>
      <c r="VTU219" s="212"/>
      <c r="VTV219" s="212"/>
      <c r="VTW219" s="212"/>
      <c r="VTX219" s="212"/>
      <c r="VTY219" s="212"/>
      <c r="VTZ219" s="212"/>
      <c r="VUA219" s="212"/>
      <c r="VUB219" s="212"/>
      <c r="VUC219" s="212"/>
      <c r="VUD219" s="212"/>
      <c r="VUE219" s="212"/>
      <c r="VUF219" s="212"/>
      <c r="VUG219" s="212"/>
      <c r="VUH219" s="212"/>
      <c r="VUI219" s="212"/>
      <c r="VUJ219" s="212"/>
      <c r="VUK219" s="212"/>
      <c r="VUL219" s="212"/>
      <c r="VUM219" s="212"/>
      <c r="VUN219" s="212"/>
      <c r="VUO219" s="212"/>
      <c r="VUP219" s="212"/>
      <c r="VUQ219" s="212"/>
      <c r="VUR219" s="212"/>
      <c r="VUS219" s="212"/>
      <c r="VUT219" s="212"/>
      <c r="VUU219" s="212"/>
      <c r="VUV219" s="212"/>
      <c r="VUW219" s="212"/>
      <c r="VUX219" s="212"/>
      <c r="VUY219" s="212"/>
      <c r="VUZ219" s="214"/>
      <c r="VVA219" s="211"/>
      <c r="VVB219" s="212"/>
      <c r="VVC219" s="212"/>
      <c r="VVD219" s="212"/>
      <c r="VVE219" s="212"/>
      <c r="VVF219" s="212"/>
      <c r="VVG219" s="212"/>
      <c r="VVH219" s="212"/>
      <c r="VVI219" s="212"/>
      <c r="VVJ219" s="212"/>
      <c r="VVK219" s="212"/>
      <c r="VVL219" s="212"/>
      <c r="VVM219" s="212"/>
      <c r="VVN219" s="212"/>
      <c r="VVO219" s="212"/>
      <c r="VVP219" s="212"/>
      <c r="VVQ219" s="212"/>
      <c r="VVR219" s="212"/>
      <c r="VVS219" s="212"/>
      <c r="VVT219" s="212"/>
      <c r="VVU219" s="212"/>
      <c r="VVV219" s="212"/>
      <c r="VVW219" s="212"/>
      <c r="VVX219" s="212"/>
      <c r="VVY219" s="212"/>
      <c r="VVZ219" s="212"/>
      <c r="VWA219" s="212"/>
      <c r="VWB219" s="212"/>
      <c r="VWC219" s="212"/>
      <c r="VWD219" s="212"/>
      <c r="VWE219" s="212"/>
      <c r="VWF219" s="212"/>
      <c r="VWG219" s="212"/>
      <c r="VWH219" s="212"/>
      <c r="VWI219" s="212"/>
      <c r="VWJ219" s="212"/>
      <c r="VWK219" s="212"/>
      <c r="VWL219" s="212"/>
      <c r="VWM219" s="212"/>
      <c r="VWN219" s="212"/>
      <c r="VWO219" s="212"/>
      <c r="VWP219" s="212"/>
      <c r="VWQ219" s="212"/>
      <c r="VWR219" s="214"/>
      <c r="VWS219" s="211"/>
      <c r="VWT219" s="212"/>
      <c r="VWU219" s="212"/>
      <c r="VWV219" s="212"/>
      <c r="VWW219" s="212"/>
      <c r="VWX219" s="212"/>
      <c r="VWY219" s="212"/>
      <c r="VWZ219" s="212"/>
      <c r="VXA219" s="212"/>
      <c r="VXB219" s="212"/>
      <c r="VXC219" s="212"/>
      <c r="VXD219" s="212"/>
      <c r="VXE219" s="212"/>
      <c r="VXF219" s="212"/>
      <c r="VXG219" s="212"/>
      <c r="VXH219" s="212"/>
      <c r="VXI219" s="212"/>
      <c r="VXJ219" s="212"/>
      <c r="VXK219" s="212"/>
      <c r="VXL219" s="212"/>
      <c r="VXM219" s="212"/>
      <c r="VXN219" s="212"/>
      <c r="VXO219" s="212"/>
      <c r="VXP219" s="212"/>
      <c r="VXQ219" s="212"/>
      <c r="VXR219" s="212"/>
      <c r="VXS219" s="212"/>
      <c r="VXT219" s="212"/>
      <c r="VXU219" s="212"/>
      <c r="VXV219" s="212"/>
      <c r="VXW219" s="212"/>
      <c r="VXX219" s="212"/>
      <c r="VXY219" s="212"/>
      <c r="VXZ219" s="212"/>
      <c r="VYA219" s="212"/>
      <c r="VYB219" s="212"/>
      <c r="VYC219" s="212"/>
      <c r="VYD219" s="212"/>
      <c r="VYE219" s="212"/>
      <c r="VYF219" s="212"/>
      <c r="VYG219" s="212"/>
      <c r="VYH219" s="212"/>
      <c r="VYI219" s="212"/>
      <c r="VYJ219" s="214"/>
      <c r="VYK219" s="211"/>
      <c r="VYL219" s="212"/>
      <c r="VYM219" s="212"/>
      <c r="VYN219" s="212"/>
      <c r="VYO219" s="212"/>
      <c r="VYP219" s="212"/>
      <c r="VYQ219" s="212"/>
      <c r="VYR219" s="212"/>
      <c r="VYS219" s="212"/>
      <c r="VYT219" s="212"/>
      <c r="VYU219" s="212"/>
      <c r="VYV219" s="212"/>
      <c r="VYW219" s="212"/>
      <c r="VYX219" s="212"/>
      <c r="VYY219" s="212"/>
      <c r="VYZ219" s="212"/>
      <c r="VZA219" s="212"/>
      <c r="VZB219" s="212"/>
      <c r="VZC219" s="212"/>
      <c r="VZD219" s="212"/>
      <c r="VZE219" s="212"/>
      <c r="VZF219" s="212"/>
      <c r="VZG219" s="212"/>
      <c r="VZH219" s="212"/>
      <c r="VZI219" s="212"/>
      <c r="VZJ219" s="212"/>
      <c r="VZK219" s="212"/>
      <c r="VZL219" s="212"/>
      <c r="VZM219" s="212"/>
      <c r="VZN219" s="212"/>
      <c r="VZO219" s="212"/>
      <c r="VZP219" s="212"/>
      <c r="VZQ219" s="212"/>
      <c r="VZR219" s="212"/>
      <c r="VZS219" s="212"/>
      <c r="VZT219" s="212"/>
      <c r="VZU219" s="212"/>
      <c r="VZV219" s="212"/>
      <c r="VZW219" s="212"/>
      <c r="VZX219" s="212"/>
      <c r="VZY219" s="212"/>
      <c r="VZZ219" s="212"/>
      <c r="WAA219" s="212"/>
      <c r="WAB219" s="214"/>
      <c r="WAC219" s="211"/>
      <c r="WAD219" s="212"/>
      <c r="WAE219" s="212"/>
      <c r="WAF219" s="212"/>
      <c r="WAG219" s="212"/>
      <c r="WAH219" s="212"/>
      <c r="WAI219" s="212"/>
      <c r="WAJ219" s="212"/>
      <c r="WAK219" s="212"/>
      <c r="WAL219" s="212"/>
      <c r="WAM219" s="212"/>
      <c r="WAN219" s="212"/>
      <c r="WAO219" s="212"/>
      <c r="WAP219" s="212"/>
      <c r="WAQ219" s="212"/>
      <c r="WAR219" s="212"/>
      <c r="WAS219" s="212"/>
      <c r="WAT219" s="212"/>
      <c r="WAU219" s="212"/>
      <c r="WAV219" s="212"/>
      <c r="WAW219" s="212"/>
      <c r="WAX219" s="212"/>
      <c r="WAY219" s="212"/>
      <c r="WAZ219" s="212"/>
      <c r="WBA219" s="212"/>
      <c r="WBB219" s="212"/>
      <c r="WBC219" s="212"/>
      <c r="WBD219" s="212"/>
      <c r="WBE219" s="212"/>
      <c r="WBF219" s="212"/>
      <c r="WBG219" s="212"/>
      <c r="WBH219" s="212"/>
      <c r="WBI219" s="212"/>
      <c r="WBJ219" s="212"/>
      <c r="WBK219" s="212"/>
      <c r="WBL219" s="212"/>
      <c r="WBM219" s="212"/>
      <c r="WBN219" s="212"/>
      <c r="WBO219" s="212"/>
      <c r="WBP219" s="212"/>
      <c r="WBQ219" s="212"/>
      <c r="WBR219" s="212"/>
      <c r="WBS219" s="212"/>
      <c r="WBT219" s="214"/>
      <c r="WBU219" s="211"/>
      <c r="WBV219" s="212"/>
      <c r="WBW219" s="212"/>
      <c r="WBX219" s="212"/>
      <c r="WBY219" s="212"/>
      <c r="WBZ219" s="212"/>
      <c r="WCA219" s="212"/>
      <c r="WCB219" s="212"/>
      <c r="WCC219" s="212"/>
      <c r="WCD219" s="212"/>
      <c r="WCE219" s="212"/>
      <c r="WCF219" s="212"/>
      <c r="WCG219" s="212"/>
      <c r="WCH219" s="212"/>
      <c r="WCI219" s="212"/>
      <c r="WCJ219" s="212"/>
      <c r="WCK219" s="212"/>
      <c r="WCL219" s="212"/>
      <c r="WCM219" s="212"/>
      <c r="WCN219" s="212"/>
      <c r="WCO219" s="212"/>
      <c r="WCP219" s="212"/>
      <c r="WCQ219" s="212"/>
      <c r="WCR219" s="212"/>
      <c r="WCS219" s="212"/>
      <c r="WCT219" s="212"/>
      <c r="WCU219" s="212"/>
      <c r="WCV219" s="212"/>
      <c r="WCW219" s="212"/>
      <c r="WCX219" s="212"/>
      <c r="WCY219" s="212"/>
      <c r="WCZ219" s="212"/>
      <c r="WDA219" s="212"/>
      <c r="WDB219" s="212"/>
      <c r="WDC219" s="212"/>
      <c r="WDD219" s="212"/>
      <c r="WDE219" s="212"/>
      <c r="WDF219" s="212"/>
      <c r="WDG219" s="212"/>
      <c r="WDH219" s="212"/>
      <c r="WDI219" s="212"/>
      <c r="WDJ219" s="212"/>
      <c r="WDK219" s="212"/>
      <c r="WDL219" s="214"/>
      <c r="WDM219" s="211"/>
      <c r="WDN219" s="212"/>
      <c r="WDO219" s="212"/>
      <c r="WDP219" s="212"/>
      <c r="WDQ219" s="212"/>
      <c r="WDR219" s="212"/>
      <c r="WDS219" s="212"/>
      <c r="WDT219" s="212"/>
      <c r="WDU219" s="212"/>
      <c r="WDV219" s="212"/>
      <c r="WDW219" s="212"/>
      <c r="WDX219" s="212"/>
      <c r="WDY219" s="212"/>
      <c r="WDZ219" s="212"/>
      <c r="WEA219" s="212"/>
      <c r="WEB219" s="212"/>
      <c r="WEC219" s="212"/>
      <c r="WED219" s="212"/>
      <c r="WEE219" s="212"/>
      <c r="WEF219" s="212"/>
      <c r="WEG219" s="212"/>
      <c r="WEH219" s="212"/>
      <c r="WEI219" s="212"/>
      <c r="WEJ219" s="212"/>
      <c r="WEK219" s="212"/>
      <c r="WEL219" s="212"/>
      <c r="WEM219" s="212"/>
      <c r="WEN219" s="212"/>
      <c r="WEO219" s="212"/>
      <c r="WEP219" s="212"/>
      <c r="WEQ219" s="212"/>
      <c r="WER219" s="212"/>
      <c r="WES219" s="212"/>
      <c r="WET219" s="212"/>
      <c r="WEU219" s="212"/>
      <c r="WEV219" s="212"/>
      <c r="WEW219" s="212"/>
      <c r="WEX219" s="212"/>
      <c r="WEY219" s="212"/>
      <c r="WEZ219" s="212"/>
      <c r="WFA219" s="212"/>
      <c r="WFB219" s="212"/>
      <c r="WFC219" s="212"/>
      <c r="WFD219" s="214"/>
      <c r="WFE219" s="211"/>
      <c r="WFF219" s="212"/>
      <c r="WFG219" s="212"/>
      <c r="WFH219" s="212"/>
      <c r="WFI219" s="212"/>
      <c r="WFJ219" s="212"/>
      <c r="WFK219" s="212"/>
      <c r="WFL219" s="212"/>
      <c r="WFM219" s="212"/>
      <c r="WFN219" s="212"/>
      <c r="WFO219" s="212"/>
      <c r="WFP219" s="212"/>
      <c r="WFQ219" s="212"/>
      <c r="WFR219" s="212"/>
      <c r="WFS219" s="212"/>
      <c r="WFT219" s="212"/>
      <c r="WFU219" s="212"/>
      <c r="WFV219" s="212"/>
      <c r="WFW219" s="212"/>
      <c r="WFX219" s="212"/>
      <c r="WFY219" s="212"/>
      <c r="WFZ219" s="212"/>
      <c r="WGA219" s="212"/>
      <c r="WGB219" s="212"/>
      <c r="WGC219" s="212"/>
      <c r="WGD219" s="212"/>
      <c r="WGE219" s="212"/>
      <c r="WGF219" s="212"/>
      <c r="WGG219" s="212"/>
      <c r="WGH219" s="212"/>
      <c r="WGI219" s="212"/>
      <c r="WGJ219" s="212"/>
      <c r="WGK219" s="212"/>
      <c r="WGL219" s="212"/>
      <c r="WGM219" s="212"/>
      <c r="WGN219" s="212"/>
      <c r="WGO219" s="212"/>
      <c r="WGP219" s="212"/>
      <c r="WGQ219" s="212"/>
      <c r="WGR219" s="212"/>
      <c r="WGS219" s="212"/>
      <c r="WGT219" s="212"/>
      <c r="WGU219" s="212"/>
      <c r="WGV219" s="214"/>
      <c r="WGW219" s="211"/>
      <c r="WGX219" s="212"/>
      <c r="WGY219" s="212"/>
      <c r="WGZ219" s="212"/>
      <c r="WHA219" s="212"/>
      <c r="WHB219" s="212"/>
      <c r="WHC219" s="212"/>
      <c r="WHD219" s="212"/>
      <c r="WHE219" s="212"/>
      <c r="WHF219" s="212"/>
      <c r="WHG219" s="212"/>
      <c r="WHH219" s="212"/>
      <c r="WHI219" s="212"/>
      <c r="WHJ219" s="212"/>
      <c r="WHK219" s="212"/>
      <c r="WHL219" s="212"/>
      <c r="WHM219" s="212"/>
      <c r="WHN219" s="212"/>
      <c r="WHO219" s="212"/>
      <c r="WHP219" s="212"/>
      <c r="WHQ219" s="212"/>
      <c r="WHR219" s="212"/>
      <c r="WHS219" s="212"/>
      <c r="WHT219" s="212"/>
      <c r="WHU219" s="212"/>
      <c r="WHV219" s="212"/>
      <c r="WHW219" s="212"/>
      <c r="WHX219" s="212"/>
      <c r="WHY219" s="212"/>
      <c r="WHZ219" s="212"/>
      <c r="WIA219" s="212"/>
      <c r="WIB219" s="212"/>
      <c r="WIC219" s="212"/>
      <c r="WID219" s="212"/>
      <c r="WIE219" s="212"/>
      <c r="WIF219" s="212"/>
      <c r="WIG219" s="212"/>
      <c r="WIH219" s="212"/>
      <c r="WII219" s="212"/>
      <c r="WIJ219" s="212"/>
      <c r="WIK219" s="212"/>
      <c r="WIL219" s="212"/>
      <c r="WIM219" s="212"/>
      <c r="WIN219" s="214"/>
      <c r="WIO219" s="211"/>
      <c r="WIP219" s="212"/>
      <c r="WIQ219" s="212"/>
      <c r="WIR219" s="212"/>
      <c r="WIS219" s="212"/>
      <c r="WIT219" s="212"/>
      <c r="WIU219" s="212"/>
      <c r="WIV219" s="212"/>
      <c r="WIW219" s="212"/>
      <c r="WIX219" s="212"/>
      <c r="WIY219" s="212"/>
      <c r="WIZ219" s="212"/>
      <c r="WJA219" s="212"/>
      <c r="WJB219" s="212"/>
      <c r="WJC219" s="212"/>
      <c r="WJD219" s="212"/>
      <c r="WJE219" s="212"/>
      <c r="WJF219" s="212"/>
      <c r="WJG219" s="212"/>
      <c r="WJH219" s="212"/>
      <c r="WJI219" s="212"/>
      <c r="WJJ219" s="212"/>
      <c r="WJK219" s="212"/>
      <c r="WJL219" s="212"/>
      <c r="WJM219" s="212"/>
      <c r="WJN219" s="212"/>
      <c r="WJO219" s="212"/>
      <c r="WJP219" s="212"/>
      <c r="WJQ219" s="212"/>
      <c r="WJR219" s="212"/>
      <c r="WJS219" s="212"/>
      <c r="WJT219" s="212"/>
      <c r="WJU219" s="212"/>
      <c r="WJV219" s="212"/>
      <c r="WJW219" s="212"/>
      <c r="WJX219" s="212"/>
      <c r="WJY219" s="212"/>
      <c r="WJZ219" s="212"/>
      <c r="WKA219" s="212"/>
      <c r="WKB219" s="212"/>
      <c r="WKC219" s="212"/>
      <c r="WKD219" s="212"/>
      <c r="WKE219" s="212"/>
      <c r="WKF219" s="214"/>
      <c r="WKG219" s="211"/>
      <c r="WKH219" s="212"/>
      <c r="WKI219" s="212"/>
      <c r="WKJ219" s="212"/>
      <c r="WKK219" s="212"/>
      <c r="WKL219" s="212"/>
      <c r="WKM219" s="212"/>
      <c r="WKN219" s="212"/>
      <c r="WKO219" s="212"/>
      <c r="WKP219" s="212"/>
      <c r="WKQ219" s="212"/>
      <c r="WKR219" s="212"/>
      <c r="WKS219" s="212"/>
      <c r="WKT219" s="212"/>
      <c r="WKU219" s="212"/>
      <c r="WKV219" s="212"/>
      <c r="WKW219" s="212"/>
      <c r="WKX219" s="212"/>
      <c r="WKY219" s="212"/>
      <c r="WKZ219" s="212"/>
      <c r="WLA219" s="212"/>
      <c r="WLB219" s="212"/>
      <c r="WLC219" s="212"/>
      <c r="WLD219" s="212"/>
      <c r="WLE219" s="212"/>
      <c r="WLF219" s="212"/>
      <c r="WLG219" s="212"/>
      <c r="WLH219" s="212"/>
      <c r="WLI219" s="212"/>
      <c r="WLJ219" s="212"/>
      <c r="WLK219" s="212"/>
      <c r="WLL219" s="212"/>
      <c r="WLM219" s="212"/>
      <c r="WLN219" s="212"/>
      <c r="WLO219" s="212"/>
      <c r="WLP219" s="212"/>
      <c r="WLQ219" s="212"/>
      <c r="WLR219" s="212"/>
      <c r="WLS219" s="212"/>
      <c r="WLT219" s="212"/>
      <c r="WLU219" s="212"/>
      <c r="WLV219" s="212"/>
      <c r="WLW219" s="212"/>
      <c r="WLX219" s="214"/>
      <c r="WLY219" s="211"/>
      <c r="WLZ219" s="212"/>
      <c r="WMA219" s="212"/>
      <c r="WMB219" s="212"/>
      <c r="WMC219" s="212"/>
      <c r="WMD219" s="212"/>
      <c r="WME219" s="212"/>
      <c r="WMF219" s="212"/>
      <c r="WMG219" s="212"/>
      <c r="WMH219" s="212"/>
      <c r="WMI219" s="212"/>
      <c r="WMJ219" s="212"/>
      <c r="WMK219" s="212"/>
      <c r="WML219" s="212"/>
      <c r="WMM219" s="212"/>
      <c r="WMN219" s="212"/>
      <c r="WMO219" s="212"/>
      <c r="WMP219" s="212"/>
      <c r="WMQ219" s="212"/>
      <c r="WMR219" s="212"/>
      <c r="WMS219" s="212"/>
      <c r="WMT219" s="212"/>
      <c r="WMU219" s="212"/>
      <c r="WMV219" s="212"/>
      <c r="WMW219" s="212"/>
      <c r="WMX219" s="212"/>
      <c r="WMY219" s="212"/>
      <c r="WMZ219" s="212"/>
      <c r="WNA219" s="212"/>
      <c r="WNB219" s="212"/>
      <c r="WNC219" s="212"/>
      <c r="WND219" s="212"/>
      <c r="WNE219" s="212"/>
      <c r="WNF219" s="212"/>
      <c r="WNG219" s="212"/>
      <c r="WNH219" s="212"/>
      <c r="WNI219" s="212"/>
      <c r="WNJ219" s="212"/>
      <c r="WNK219" s="212"/>
      <c r="WNL219" s="212"/>
      <c r="WNM219" s="212"/>
      <c r="WNN219" s="212"/>
      <c r="WNO219" s="212"/>
      <c r="WNP219" s="214"/>
      <c r="WNQ219" s="211"/>
      <c r="WNR219" s="212"/>
      <c r="WNS219" s="212"/>
      <c r="WNT219" s="212"/>
      <c r="WNU219" s="212"/>
      <c r="WNV219" s="212"/>
      <c r="WNW219" s="212"/>
      <c r="WNX219" s="212"/>
      <c r="WNY219" s="212"/>
      <c r="WNZ219" s="212"/>
      <c r="WOA219" s="212"/>
      <c r="WOB219" s="212"/>
      <c r="WOC219" s="212"/>
      <c r="WOD219" s="212"/>
      <c r="WOE219" s="212"/>
      <c r="WOF219" s="212"/>
      <c r="WOG219" s="212"/>
      <c r="WOH219" s="212"/>
      <c r="WOI219" s="212"/>
      <c r="WOJ219" s="212"/>
      <c r="WOK219" s="212"/>
      <c r="WOL219" s="212"/>
      <c r="WOM219" s="212"/>
      <c r="WON219" s="212"/>
      <c r="WOO219" s="212"/>
      <c r="WOP219" s="212"/>
      <c r="WOQ219" s="212"/>
      <c r="WOR219" s="212"/>
      <c r="WOS219" s="212"/>
      <c r="WOT219" s="212"/>
      <c r="WOU219" s="212"/>
      <c r="WOV219" s="212"/>
      <c r="WOW219" s="212"/>
      <c r="WOX219" s="212"/>
      <c r="WOY219" s="212"/>
      <c r="WOZ219" s="212"/>
      <c r="WPA219" s="212"/>
      <c r="WPB219" s="212"/>
      <c r="WPC219" s="212"/>
      <c r="WPD219" s="212"/>
      <c r="WPE219" s="212"/>
      <c r="WPF219" s="212"/>
      <c r="WPG219" s="212"/>
      <c r="WPH219" s="214"/>
      <c r="WPI219" s="211"/>
      <c r="WPJ219" s="212"/>
      <c r="WPK219" s="212"/>
      <c r="WPL219" s="212"/>
      <c r="WPM219" s="212"/>
      <c r="WPN219" s="212"/>
      <c r="WPO219" s="212"/>
      <c r="WPP219" s="212"/>
      <c r="WPQ219" s="212"/>
      <c r="WPR219" s="212"/>
      <c r="WPS219" s="212"/>
      <c r="WPT219" s="212"/>
      <c r="WPU219" s="212"/>
      <c r="WPV219" s="212"/>
      <c r="WPW219" s="212"/>
      <c r="WPX219" s="212"/>
      <c r="WPY219" s="212"/>
      <c r="WPZ219" s="212"/>
      <c r="WQA219" s="212"/>
      <c r="WQB219" s="212"/>
      <c r="WQC219" s="212"/>
      <c r="WQD219" s="212"/>
      <c r="WQE219" s="212"/>
      <c r="WQF219" s="212"/>
      <c r="WQG219" s="212"/>
      <c r="WQH219" s="212"/>
      <c r="WQI219" s="212"/>
      <c r="WQJ219" s="212"/>
      <c r="WQK219" s="212"/>
      <c r="WQL219" s="212"/>
      <c r="WQM219" s="212"/>
      <c r="WQN219" s="212"/>
      <c r="WQO219" s="212"/>
      <c r="WQP219" s="212"/>
      <c r="WQQ219" s="212"/>
      <c r="WQR219" s="212"/>
      <c r="WQS219" s="212"/>
      <c r="WQT219" s="212"/>
      <c r="WQU219" s="212"/>
      <c r="WQV219" s="212"/>
      <c r="WQW219" s="212"/>
      <c r="WQX219" s="212"/>
      <c r="WQY219" s="212"/>
      <c r="WQZ219" s="214"/>
      <c r="WRA219" s="211"/>
      <c r="WRB219" s="212"/>
      <c r="WRC219" s="212"/>
      <c r="WRD219" s="212"/>
      <c r="WRE219" s="212"/>
      <c r="WRF219" s="212"/>
      <c r="WRG219" s="212"/>
      <c r="WRH219" s="212"/>
      <c r="WRI219" s="212"/>
      <c r="WRJ219" s="212"/>
      <c r="WRK219" s="212"/>
      <c r="WRL219" s="212"/>
      <c r="WRM219" s="212"/>
      <c r="WRN219" s="212"/>
      <c r="WRO219" s="212"/>
      <c r="WRP219" s="212"/>
      <c r="WRQ219" s="212"/>
      <c r="WRR219" s="212"/>
      <c r="WRS219" s="212"/>
      <c r="WRT219" s="212"/>
      <c r="WRU219" s="212"/>
      <c r="WRV219" s="212"/>
      <c r="WRW219" s="212"/>
      <c r="WRX219" s="212"/>
      <c r="WRY219" s="212"/>
      <c r="WRZ219" s="212"/>
      <c r="WSA219" s="212"/>
      <c r="WSB219" s="212"/>
      <c r="WSC219" s="212"/>
      <c r="WSD219" s="212"/>
      <c r="WSE219" s="212"/>
      <c r="WSF219" s="212"/>
      <c r="WSG219" s="212"/>
      <c r="WSH219" s="212"/>
      <c r="WSI219" s="212"/>
      <c r="WSJ219" s="212"/>
      <c r="WSK219" s="212"/>
      <c r="WSL219" s="212"/>
      <c r="WSM219" s="212"/>
      <c r="WSN219" s="212"/>
      <c r="WSO219" s="212"/>
      <c r="WSP219" s="212"/>
      <c r="WSQ219" s="212"/>
      <c r="WSR219" s="214"/>
      <c r="WSS219" s="211"/>
      <c r="WST219" s="212"/>
      <c r="WSU219" s="212"/>
      <c r="WSV219" s="212"/>
      <c r="WSW219" s="212"/>
      <c r="WSX219" s="212"/>
      <c r="WSY219" s="212"/>
      <c r="WSZ219" s="212"/>
      <c r="WTA219" s="212"/>
      <c r="WTB219" s="212"/>
      <c r="WTC219" s="212"/>
      <c r="WTD219" s="212"/>
      <c r="WTE219" s="212"/>
      <c r="WTF219" s="212"/>
      <c r="WTG219" s="212"/>
      <c r="WTH219" s="212"/>
      <c r="WTI219" s="212"/>
      <c r="WTJ219" s="212"/>
      <c r="WTK219" s="212"/>
      <c r="WTL219" s="212"/>
      <c r="WTM219" s="212"/>
      <c r="WTN219" s="212"/>
      <c r="WTO219" s="212"/>
      <c r="WTP219" s="212"/>
      <c r="WTQ219" s="212"/>
      <c r="WTR219" s="212"/>
      <c r="WTS219" s="212"/>
      <c r="WTT219" s="212"/>
      <c r="WTU219" s="212"/>
      <c r="WTV219" s="212"/>
      <c r="WTW219" s="212"/>
      <c r="WTX219" s="212"/>
      <c r="WTY219" s="212"/>
      <c r="WTZ219" s="212"/>
      <c r="WUA219" s="212"/>
      <c r="WUB219" s="212"/>
      <c r="WUC219" s="212"/>
      <c r="WUD219" s="212"/>
      <c r="WUE219" s="212"/>
      <c r="WUF219" s="212"/>
      <c r="WUG219" s="212"/>
      <c r="WUH219" s="212"/>
      <c r="WUI219" s="212"/>
      <c r="WUJ219" s="214"/>
      <c r="WUK219" s="211"/>
      <c r="WUL219" s="212"/>
      <c r="WUM219" s="212"/>
      <c r="WUN219" s="212"/>
      <c r="WUO219" s="212"/>
      <c r="WUP219" s="212"/>
      <c r="WUQ219" s="212"/>
      <c r="WUR219" s="212"/>
      <c r="WUS219" s="212"/>
      <c r="WUT219" s="212"/>
      <c r="WUU219" s="212"/>
      <c r="WUV219" s="212"/>
      <c r="WUW219" s="212"/>
      <c r="WUX219" s="212"/>
      <c r="WUY219" s="212"/>
      <c r="WUZ219" s="212"/>
      <c r="WVA219" s="212"/>
      <c r="WVB219" s="212"/>
      <c r="WVC219" s="212"/>
      <c r="WVD219" s="212"/>
      <c r="WVE219" s="212"/>
      <c r="WVF219" s="212"/>
      <c r="WVG219" s="212"/>
      <c r="WVH219" s="212"/>
      <c r="WVI219" s="212"/>
      <c r="WVJ219" s="212"/>
      <c r="WVK219" s="212"/>
      <c r="WVL219" s="212"/>
      <c r="WVM219" s="212"/>
      <c r="WVN219" s="212"/>
      <c r="WVO219" s="212"/>
      <c r="WVP219" s="212"/>
      <c r="WVQ219" s="212"/>
      <c r="WVR219" s="212"/>
      <c r="WVS219" s="212"/>
      <c r="WVT219" s="212"/>
      <c r="WVU219" s="212"/>
      <c r="WVV219" s="212"/>
      <c r="WVW219" s="212"/>
      <c r="WVX219" s="212"/>
      <c r="WVY219" s="212"/>
      <c r="WVZ219" s="212"/>
      <c r="WWA219" s="212"/>
      <c r="WWB219" s="214"/>
      <c r="WWC219" s="211"/>
      <c r="WWD219" s="212"/>
      <c r="WWE219" s="212"/>
      <c r="WWF219" s="212"/>
      <c r="WWG219" s="212"/>
      <c r="WWH219" s="212"/>
      <c r="WWI219" s="212"/>
      <c r="WWJ219" s="212"/>
      <c r="WWK219" s="212"/>
      <c r="WWL219" s="212"/>
      <c r="WWM219" s="212"/>
      <c r="WWN219" s="212"/>
      <c r="WWO219" s="212"/>
      <c r="WWP219" s="212"/>
      <c r="WWQ219" s="212"/>
      <c r="WWR219" s="212"/>
      <c r="WWS219" s="212"/>
      <c r="WWT219" s="212"/>
      <c r="WWU219" s="212"/>
      <c r="WWV219" s="212"/>
      <c r="WWW219" s="212"/>
      <c r="WWX219" s="212"/>
      <c r="WWY219" s="212"/>
      <c r="WWZ219" s="212"/>
      <c r="WXA219" s="212"/>
      <c r="WXB219" s="212"/>
      <c r="WXC219" s="212"/>
      <c r="WXD219" s="212"/>
      <c r="WXE219" s="212"/>
      <c r="WXF219" s="212"/>
      <c r="WXG219" s="212"/>
      <c r="WXH219" s="212"/>
      <c r="WXI219" s="212"/>
      <c r="WXJ219" s="212"/>
      <c r="WXK219" s="212"/>
      <c r="WXL219" s="212"/>
      <c r="WXM219" s="212"/>
      <c r="WXN219" s="212"/>
      <c r="WXO219" s="212"/>
      <c r="WXP219" s="212"/>
      <c r="WXQ219" s="212"/>
      <c r="WXR219" s="212"/>
      <c r="WXS219" s="212"/>
      <c r="WXT219" s="214"/>
      <c r="WXU219" s="211"/>
      <c r="WXV219" s="212"/>
      <c r="WXW219" s="212"/>
      <c r="WXX219" s="212"/>
      <c r="WXY219" s="212"/>
      <c r="WXZ219" s="212"/>
      <c r="WYA219" s="212"/>
      <c r="WYB219" s="212"/>
      <c r="WYC219" s="212"/>
      <c r="WYD219" s="212"/>
      <c r="WYE219" s="212"/>
      <c r="WYF219" s="212"/>
      <c r="WYG219" s="212"/>
      <c r="WYH219" s="212"/>
      <c r="WYI219" s="212"/>
      <c r="WYJ219" s="212"/>
      <c r="WYK219" s="212"/>
      <c r="WYL219" s="212"/>
      <c r="WYM219" s="212"/>
      <c r="WYN219" s="212"/>
      <c r="WYO219" s="212"/>
      <c r="WYP219" s="212"/>
      <c r="WYQ219" s="212"/>
      <c r="WYR219" s="212"/>
      <c r="WYS219" s="212"/>
      <c r="WYT219" s="212"/>
      <c r="WYU219" s="212"/>
      <c r="WYV219" s="212"/>
      <c r="WYW219" s="212"/>
      <c r="WYX219" s="212"/>
      <c r="WYY219" s="212"/>
      <c r="WYZ219" s="212"/>
      <c r="WZA219" s="212"/>
      <c r="WZB219" s="212"/>
      <c r="WZC219" s="212"/>
      <c r="WZD219" s="212"/>
      <c r="WZE219" s="212"/>
      <c r="WZF219" s="212"/>
      <c r="WZG219" s="212"/>
      <c r="WZH219" s="212"/>
      <c r="WZI219" s="212"/>
      <c r="WZJ219" s="212"/>
      <c r="WZK219" s="212"/>
      <c r="WZL219" s="214"/>
      <c r="WZM219" s="211"/>
      <c r="WZN219" s="212"/>
      <c r="WZO219" s="212"/>
      <c r="WZP219" s="212"/>
      <c r="WZQ219" s="212"/>
      <c r="WZR219" s="212"/>
      <c r="WZS219" s="212"/>
      <c r="WZT219" s="212"/>
      <c r="WZU219" s="212"/>
      <c r="WZV219" s="212"/>
      <c r="WZW219" s="212"/>
      <c r="WZX219" s="212"/>
      <c r="WZY219" s="212"/>
      <c r="WZZ219" s="212"/>
      <c r="XAA219" s="212"/>
      <c r="XAB219" s="212"/>
      <c r="XAC219" s="212"/>
      <c r="XAD219" s="212"/>
      <c r="XAE219" s="212"/>
      <c r="XAF219" s="212"/>
      <c r="XAG219" s="212"/>
      <c r="XAH219" s="212"/>
      <c r="XAI219" s="212"/>
      <c r="XAJ219" s="212"/>
      <c r="XAK219" s="212"/>
      <c r="XAL219" s="212"/>
      <c r="XAM219" s="212"/>
      <c r="XAN219" s="212"/>
      <c r="XAO219" s="212"/>
      <c r="XAP219" s="212"/>
      <c r="XAQ219" s="212"/>
      <c r="XAR219" s="212"/>
      <c r="XAS219" s="212"/>
      <c r="XAT219" s="212"/>
      <c r="XAU219" s="212"/>
      <c r="XAV219" s="212"/>
      <c r="XAW219" s="212"/>
      <c r="XAX219" s="212"/>
      <c r="XAY219" s="212"/>
      <c r="XAZ219" s="212"/>
      <c r="XBA219" s="212"/>
      <c r="XBB219" s="212"/>
      <c r="XBC219" s="212"/>
      <c r="XBD219" s="214"/>
      <c r="XBE219" s="211"/>
      <c r="XBF219" s="212"/>
      <c r="XBG219" s="212"/>
      <c r="XBH219" s="212"/>
      <c r="XBI219" s="212"/>
      <c r="XBJ219" s="212"/>
      <c r="XBK219" s="212"/>
      <c r="XBL219" s="212"/>
      <c r="XBM219" s="212"/>
      <c r="XBN219" s="212"/>
      <c r="XBO219" s="212"/>
      <c r="XBP219" s="212"/>
      <c r="XBQ219" s="212"/>
      <c r="XBR219" s="212"/>
      <c r="XBS219" s="212"/>
      <c r="XBT219" s="212"/>
      <c r="XBU219" s="212"/>
      <c r="XBV219" s="212"/>
      <c r="XBW219" s="212"/>
      <c r="XBX219" s="212"/>
      <c r="XBY219" s="212"/>
      <c r="XBZ219" s="212"/>
      <c r="XCA219" s="212"/>
      <c r="XCB219" s="212"/>
      <c r="XCC219" s="212"/>
      <c r="XCD219" s="212"/>
      <c r="XCE219" s="212"/>
      <c r="XCF219" s="212"/>
      <c r="XCG219" s="212"/>
      <c r="XCH219" s="212"/>
      <c r="XCI219" s="212"/>
      <c r="XCJ219" s="212"/>
      <c r="XCK219" s="212"/>
      <c r="XCL219" s="212"/>
      <c r="XCM219" s="212"/>
      <c r="XCN219" s="212"/>
      <c r="XCO219" s="212"/>
      <c r="XCP219" s="212"/>
      <c r="XCQ219" s="212"/>
      <c r="XCR219" s="212"/>
      <c r="XCS219" s="212"/>
      <c r="XCT219" s="212"/>
      <c r="XCU219" s="212"/>
      <c r="XCV219" s="214"/>
      <c r="XCW219" s="211"/>
      <c r="XCX219" s="212"/>
      <c r="XCY219" s="212"/>
      <c r="XCZ219" s="212"/>
      <c r="XDA219" s="212"/>
      <c r="XDB219" s="212"/>
      <c r="XDC219" s="212"/>
      <c r="XDD219" s="212"/>
      <c r="XDE219" s="212"/>
      <c r="XDF219" s="212"/>
      <c r="XDG219" s="212"/>
      <c r="XDH219" s="212"/>
      <c r="XDI219" s="212"/>
      <c r="XDJ219" s="212"/>
      <c r="XDK219" s="212"/>
      <c r="XDL219" s="212"/>
      <c r="XDM219" s="212"/>
      <c r="XDN219" s="212"/>
      <c r="XDO219" s="212"/>
      <c r="XDP219" s="212"/>
      <c r="XDQ219" s="212"/>
      <c r="XDR219" s="212"/>
      <c r="XDS219" s="212"/>
      <c r="XDT219" s="212"/>
      <c r="XDU219" s="212"/>
      <c r="XDV219" s="212"/>
      <c r="XDW219" s="212"/>
      <c r="XDX219" s="212"/>
      <c r="XDY219" s="212"/>
      <c r="XDZ219" s="212"/>
      <c r="XEA219" s="212"/>
      <c r="XEB219" s="212"/>
      <c r="XEC219" s="212"/>
      <c r="XED219" s="212"/>
      <c r="XEE219" s="212"/>
      <c r="XEF219" s="212"/>
      <c r="XEG219" s="212"/>
      <c r="XEH219" s="212"/>
      <c r="XEI219" s="212"/>
      <c r="XEJ219" s="212"/>
      <c r="XEK219" s="212"/>
      <c r="XEL219" s="212"/>
      <c r="XEM219" s="212"/>
      <c r="XEN219" s="214"/>
      <c r="XEO219" s="211"/>
      <c r="XEP219" s="212"/>
      <c r="XEQ219" s="212"/>
      <c r="XER219" s="212"/>
      <c r="XES219" s="212"/>
      <c r="XET219" s="212"/>
      <c r="XEU219" s="212"/>
      <c r="XEV219" s="212"/>
      <c r="XEW219" s="212"/>
      <c r="XEX219" s="212"/>
      <c r="XEY219" s="212"/>
      <c r="XEZ219" s="212"/>
      <c r="XFA219" s="212"/>
      <c r="XFB219" s="212"/>
      <c r="XFC219" s="212"/>
      <c r="XFD219" s="212"/>
    </row>
    <row r="220" spans="1:16384" x14ac:dyDescent="0.55000000000000004">
      <c r="A220" s="137" t="s">
        <v>196</v>
      </c>
      <c r="B220" s="138">
        <v>86</v>
      </c>
      <c r="C220" s="123">
        <v>1892</v>
      </c>
      <c r="D220" s="17">
        <v>0</v>
      </c>
      <c r="E220" s="14">
        <v>3</v>
      </c>
      <c r="F220" s="14">
        <v>0</v>
      </c>
      <c r="G220" s="13">
        <f>0</f>
        <v>0</v>
      </c>
      <c r="H220" s="14">
        <v>15</v>
      </c>
      <c r="I220" s="23">
        <f>0</f>
        <v>0</v>
      </c>
      <c r="J220" s="13">
        <v>1.1000000000000001</v>
      </c>
      <c r="K220" s="14">
        <v>2</v>
      </c>
      <c r="L220" s="15">
        <v>1.7</v>
      </c>
      <c r="M220" s="13"/>
      <c r="N220" s="17"/>
      <c r="O220" s="15">
        <f t="shared" ref="O220:O226" si="237">ROUND(C220*H220/1000,0)</f>
        <v>28</v>
      </c>
      <c r="P220" s="14">
        <f>ROUND(C220*H220/1000,0)</f>
        <v>28</v>
      </c>
      <c r="Q220" s="14">
        <f>ROUND(C220*H220/1000,0)</f>
        <v>28</v>
      </c>
      <c r="R220" s="14"/>
      <c r="S220" s="14"/>
      <c r="T220" s="18"/>
      <c r="U220" s="13"/>
      <c r="V220" s="17"/>
      <c r="W220" s="13">
        <f>ROUND(C220*K220,0)</f>
        <v>3784</v>
      </c>
      <c r="X220" s="14">
        <f>ROUND(C220*K220,0)</f>
        <v>3784</v>
      </c>
      <c r="Y220" s="14">
        <f>ROUND(C220*K220,0)</f>
        <v>3784</v>
      </c>
      <c r="Z220" s="13"/>
      <c r="AA220" s="13"/>
      <c r="AB220" s="71"/>
      <c r="AC220" s="17"/>
      <c r="AD220" s="17"/>
      <c r="AE220" s="13">
        <f>ROUND(O220*95,0)</f>
        <v>2660</v>
      </c>
      <c r="AF220" s="14">
        <f t="shared" ref="AF220:AF226" si="238">ROUND(P220*95,0)</f>
        <v>2660</v>
      </c>
      <c r="AG220" s="14">
        <f t="shared" ref="AG220:AG226" si="239">ROUND(Q220*95,0)</f>
        <v>2660</v>
      </c>
      <c r="AH220" s="13"/>
      <c r="AI220" s="13"/>
      <c r="AJ220" s="71"/>
      <c r="AK220" s="100"/>
      <c r="AL220" s="14"/>
      <c r="AM220" s="14">
        <f>W220+AE220</f>
        <v>6444</v>
      </c>
      <c r="AN220" s="14">
        <f>X220+AF220</f>
        <v>6444</v>
      </c>
      <c r="AO220" s="14">
        <f>Y220+AG220</f>
        <v>6444</v>
      </c>
      <c r="AP220" s="14"/>
      <c r="AQ220" s="14"/>
      <c r="AR220" s="14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  <c r="BN220" s="56"/>
      <c r="BO220" s="56"/>
      <c r="BP220" s="56"/>
      <c r="BQ220" s="56"/>
      <c r="BR220" s="56"/>
      <c r="BS220" s="56"/>
      <c r="BT220" s="56"/>
      <c r="BU220" s="56"/>
      <c r="BV220" s="56"/>
      <c r="BW220" s="56"/>
      <c r="BX220" s="56"/>
      <c r="BY220" s="56"/>
      <c r="BZ220" s="56"/>
      <c r="CA220" s="56"/>
      <c r="CB220" s="56"/>
      <c r="CC220" s="56"/>
      <c r="CD220" s="56"/>
      <c r="CE220" s="56"/>
      <c r="CF220" s="56"/>
      <c r="CG220" s="56"/>
      <c r="CH220" s="56"/>
      <c r="CI220" s="56"/>
      <c r="CJ220" s="56"/>
      <c r="CK220" s="56"/>
      <c r="CL220" s="56"/>
      <c r="CM220" s="56"/>
      <c r="CN220" s="56"/>
      <c r="CO220" s="56"/>
      <c r="CP220" s="56"/>
      <c r="CQ220" s="56"/>
      <c r="CR220" s="56"/>
      <c r="CS220" s="56"/>
      <c r="CT220" s="56"/>
      <c r="CU220" s="56"/>
      <c r="CV220" s="56"/>
      <c r="CW220" s="56"/>
      <c r="CX220" s="56"/>
      <c r="CY220" s="56"/>
      <c r="CZ220" s="56"/>
      <c r="DA220" s="56"/>
      <c r="DB220" s="56"/>
      <c r="DC220" s="56"/>
      <c r="DD220" s="56"/>
      <c r="DE220" s="56"/>
      <c r="DF220" s="56"/>
      <c r="DG220" s="56"/>
      <c r="DH220" s="56"/>
      <c r="DI220" s="56"/>
      <c r="DJ220" s="56"/>
      <c r="DK220" s="56"/>
      <c r="DL220" s="56"/>
      <c r="DM220" s="56"/>
      <c r="DN220" s="56"/>
      <c r="DO220" s="56"/>
      <c r="DP220" s="56"/>
      <c r="DQ220" s="56"/>
      <c r="DR220" s="56"/>
      <c r="DS220" s="56"/>
      <c r="DT220" s="56"/>
      <c r="DU220" s="56"/>
      <c r="DV220" s="56"/>
      <c r="DW220" s="56"/>
      <c r="DX220" s="56"/>
      <c r="DY220" s="56"/>
      <c r="DZ220" s="56"/>
      <c r="EA220" s="56"/>
      <c r="EB220" s="56"/>
      <c r="EC220" s="56"/>
      <c r="ED220" s="56"/>
      <c r="EE220" s="56"/>
      <c r="EF220" s="56"/>
      <c r="EG220" s="56"/>
      <c r="EH220" s="56"/>
      <c r="EI220" s="56"/>
      <c r="EJ220" s="56"/>
      <c r="EK220" s="56"/>
    </row>
    <row r="221" spans="1:16384" x14ac:dyDescent="0.55000000000000004">
      <c r="A221" s="137" t="s">
        <v>197</v>
      </c>
      <c r="B221" s="138">
        <v>77</v>
      </c>
      <c r="C221" s="123">
        <v>1686</v>
      </c>
      <c r="D221" s="17">
        <v>0</v>
      </c>
      <c r="E221" s="14">
        <v>3</v>
      </c>
      <c r="F221" s="14">
        <v>0</v>
      </c>
      <c r="G221" s="13">
        <f>0</f>
        <v>0</v>
      </c>
      <c r="H221" s="14">
        <v>15</v>
      </c>
      <c r="I221" s="23">
        <f>0</f>
        <v>0</v>
      </c>
      <c r="J221" s="13">
        <v>1.1000000000000001</v>
      </c>
      <c r="K221" s="14">
        <v>2</v>
      </c>
      <c r="L221" s="15">
        <v>1.7</v>
      </c>
      <c r="M221" s="13"/>
      <c r="N221" s="17"/>
      <c r="O221" s="15">
        <f t="shared" si="237"/>
        <v>25</v>
      </c>
      <c r="P221" s="14">
        <f>ROUND(C221*H221/1000,0)</f>
        <v>25</v>
      </c>
      <c r="Q221" s="14">
        <f t="shared" ref="Q221:Q226" si="240">ROUND(C221*H221/1000,0)</f>
        <v>25</v>
      </c>
      <c r="R221" s="14"/>
      <c r="S221" s="14"/>
      <c r="T221" s="18"/>
      <c r="U221" s="13"/>
      <c r="V221" s="17"/>
      <c r="W221" s="13">
        <f>ROUND(C221*K221,0)</f>
        <v>3372</v>
      </c>
      <c r="X221" s="14">
        <f>ROUND(C221*K221,0)</f>
        <v>3372</v>
      </c>
      <c r="Y221" s="14">
        <f>ROUND(C221*K221,0)</f>
        <v>3372</v>
      </c>
      <c r="Z221" s="13"/>
      <c r="AA221" s="13"/>
      <c r="AB221" s="71"/>
      <c r="AC221" s="17"/>
      <c r="AD221" s="17"/>
      <c r="AE221" s="13">
        <f>ROUND(O221*95,0)</f>
        <v>2375</v>
      </c>
      <c r="AF221" s="14">
        <f t="shared" si="238"/>
        <v>2375</v>
      </c>
      <c r="AG221" s="14">
        <f t="shared" si="239"/>
        <v>2375</v>
      </c>
      <c r="AH221" s="13"/>
      <c r="AI221" s="13"/>
      <c r="AJ221" s="71"/>
      <c r="AK221" s="100"/>
      <c r="AL221" s="14"/>
      <c r="AM221" s="14">
        <f>W221+AE221</f>
        <v>5747</v>
      </c>
      <c r="AN221" s="14">
        <f t="shared" ref="AN221:AN226" si="241">X221+AF221</f>
        <v>5747</v>
      </c>
      <c r="AO221" s="14">
        <f t="shared" ref="AO221:AO226" si="242">Y221+AG221</f>
        <v>5747</v>
      </c>
      <c r="AP221" s="14"/>
      <c r="AQ221" s="14"/>
      <c r="AR221" s="14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  <c r="BN221" s="56"/>
      <c r="BO221" s="56"/>
      <c r="BP221" s="56"/>
      <c r="BQ221" s="56"/>
      <c r="BR221" s="56"/>
      <c r="BS221" s="56"/>
      <c r="BT221" s="56"/>
      <c r="BU221" s="56"/>
      <c r="BV221" s="56"/>
      <c r="BW221" s="56"/>
      <c r="BX221" s="56"/>
      <c r="BY221" s="56"/>
      <c r="BZ221" s="56"/>
      <c r="CA221" s="56"/>
      <c r="CB221" s="56"/>
      <c r="CC221" s="56"/>
      <c r="CD221" s="56"/>
      <c r="CE221" s="56"/>
      <c r="CF221" s="56"/>
      <c r="CG221" s="56"/>
      <c r="CH221" s="56"/>
      <c r="CI221" s="56"/>
      <c r="CJ221" s="56"/>
      <c r="CK221" s="56"/>
      <c r="CL221" s="56"/>
      <c r="CM221" s="56"/>
      <c r="CN221" s="56"/>
      <c r="CO221" s="56"/>
      <c r="CP221" s="56"/>
      <c r="CQ221" s="56"/>
      <c r="CR221" s="56"/>
      <c r="CS221" s="56"/>
      <c r="CT221" s="56"/>
      <c r="CU221" s="56"/>
      <c r="CV221" s="56"/>
      <c r="CW221" s="56"/>
      <c r="CX221" s="56"/>
      <c r="CY221" s="56"/>
      <c r="CZ221" s="56"/>
      <c r="DA221" s="56"/>
      <c r="DB221" s="56"/>
      <c r="DC221" s="56"/>
      <c r="DD221" s="56"/>
      <c r="DE221" s="56"/>
      <c r="DF221" s="56"/>
      <c r="DG221" s="56"/>
      <c r="DH221" s="56"/>
      <c r="DI221" s="56"/>
      <c r="DJ221" s="56"/>
      <c r="DK221" s="56"/>
      <c r="DL221" s="56"/>
      <c r="DM221" s="56"/>
      <c r="DN221" s="56"/>
      <c r="DO221" s="56"/>
      <c r="DP221" s="56"/>
      <c r="DQ221" s="56"/>
      <c r="DR221" s="56"/>
      <c r="DS221" s="56"/>
      <c r="DT221" s="56"/>
      <c r="DU221" s="56"/>
      <c r="DV221" s="56"/>
      <c r="DW221" s="56"/>
      <c r="DX221" s="56"/>
      <c r="DY221" s="56"/>
      <c r="DZ221" s="56"/>
      <c r="EA221" s="56"/>
      <c r="EB221" s="56"/>
      <c r="EC221" s="56"/>
      <c r="ED221" s="56"/>
      <c r="EE221" s="56"/>
      <c r="EF221" s="56"/>
      <c r="EG221" s="56"/>
      <c r="EH221" s="56"/>
      <c r="EI221" s="56"/>
      <c r="EJ221" s="56"/>
      <c r="EK221" s="56"/>
    </row>
    <row r="222" spans="1:16384" x14ac:dyDescent="0.55000000000000004">
      <c r="A222" s="137" t="s">
        <v>198</v>
      </c>
      <c r="B222" s="138">
        <v>63</v>
      </c>
      <c r="C222" s="123">
        <v>1380</v>
      </c>
      <c r="D222" s="17"/>
      <c r="E222" s="14">
        <v>3</v>
      </c>
      <c r="F222" s="14"/>
      <c r="G222" s="13"/>
      <c r="H222" s="14">
        <v>15</v>
      </c>
      <c r="I222" s="23">
        <f>0</f>
        <v>0</v>
      </c>
      <c r="J222" s="13">
        <v>1.1000000000000001</v>
      </c>
      <c r="K222" s="14">
        <v>2</v>
      </c>
      <c r="L222" s="15">
        <v>1.7</v>
      </c>
      <c r="M222" s="13"/>
      <c r="N222" s="17"/>
      <c r="O222" s="15">
        <f t="shared" si="237"/>
        <v>21</v>
      </c>
      <c r="P222" s="14">
        <f>ROUND(C222*H222/1000,0)</f>
        <v>21</v>
      </c>
      <c r="Q222" s="14">
        <f t="shared" ref="Q222:Q225" si="243">ROUND(C222*H222/1000,0)</f>
        <v>21</v>
      </c>
      <c r="R222" s="14"/>
      <c r="S222" s="14"/>
      <c r="T222" s="18"/>
      <c r="U222" s="13"/>
      <c r="V222" s="17"/>
      <c r="W222" s="13">
        <f t="shared" ref="W222" si="244">ROUND(C222*K222,0)</f>
        <v>2760</v>
      </c>
      <c r="X222" s="14">
        <f t="shared" ref="X222:X225" si="245">ROUND(C222*K222,0)</f>
        <v>2760</v>
      </c>
      <c r="Y222" s="14">
        <f t="shared" ref="Y222:Y225" si="246">ROUND(C222*K222,0)</f>
        <v>2760</v>
      </c>
      <c r="Z222" s="13"/>
      <c r="AA222" s="13"/>
      <c r="AB222" s="71"/>
      <c r="AC222" s="17"/>
      <c r="AD222" s="17"/>
      <c r="AE222" s="13">
        <f>ROUND(O222*95,0)</f>
        <v>1995</v>
      </c>
      <c r="AF222" s="14">
        <f t="shared" ref="AF222:AF225" si="247">ROUND(P222*95,0)</f>
        <v>1995</v>
      </c>
      <c r="AG222" s="14">
        <f t="shared" ref="AG222:AG225" si="248">ROUND(Q222*95,0)</f>
        <v>1995</v>
      </c>
      <c r="AH222" s="13"/>
      <c r="AI222" s="13"/>
      <c r="AJ222" s="71"/>
      <c r="AK222" s="100"/>
      <c r="AL222" s="14"/>
      <c r="AM222" s="14">
        <f t="shared" ref="AM222:AM225" si="249">W222+AE222</f>
        <v>4755</v>
      </c>
      <c r="AN222" s="14">
        <f t="shared" ref="AN222:AN225" si="250">X222+AF222</f>
        <v>4755</v>
      </c>
      <c r="AO222" s="14">
        <f t="shared" ref="AO222:AO225" si="251">Y222+AG222</f>
        <v>4755</v>
      </c>
      <c r="AP222" s="14"/>
      <c r="AQ222" s="14"/>
      <c r="AR222" s="14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  <c r="BN222" s="56"/>
      <c r="BO222" s="56"/>
      <c r="BP222" s="56"/>
      <c r="BQ222" s="56"/>
      <c r="BR222" s="56"/>
      <c r="BS222" s="56"/>
      <c r="BT222" s="56"/>
      <c r="BU222" s="56"/>
      <c r="BV222" s="56"/>
      <c r="BW222" s="56"/>
      <c r="BX222" s="56"/>
      <c r="BY222" s="56"/>
      <c r="BZ222" s="56"/>
      <c r="CA222" s="56"/>
      <c r="CB222" s="56"/>
      <c r="CC222" s="56"/>
      <c r="CD222" s="56"/>
      <c r="CE222" s="56"/>
      <c r="CF222" s="56"/>
      <c r="CG222" s="56"/>
      <c r="CH222" s="56"/>
      <c r="CI222" s="56"/>
      <c r="CJ222" s="56"/>
      <c r="CK222" s="56"/>
      <c r="CL222" s="56"/>
      <c r="CM222" s="56"/>
      <c r="CN222" s="56"/>
      <c r="CO222" s="56"/>
      <c r="CP222" s="56"/>
      <c r="CQ222" s="56"/>
      <c r="CR222" s="56"/>
      <c r="CS222" s="56"/>
      <c r="CT222" s="56"/>
      <c r="CU222" s="56"/>
      <c r="CV222" s="56"/>
      <c r="CW222" s="56"/>
      <c r="CX222" s="56"/>
      <c r="CY222" s="56"/>
      <c r="CZ222" s="56"/>
      <c r="DA222" s="56"/>
      <c r="DB222" s="56"/>
      <c r="DC222" s="56"/>
      <c r="DD222" s="56"/>
      <c r="DE222" s="56"/>
      <c r="DF222" s="56"/>
      <c r="DG222" s="56"/>
      <c r="DH222" s="56"/>
      <c r="DI222" s="56"/>
      <c r="DJ222" s="56"/>
      <c r="DK222" s="56"/>
      <c r="DL222" s="56"/>
      <c r="DM222" s="56"/>
      <c r="DN222" s="56"/>
      <c r="DO222" s="56"/>
      <c r="DP222" s="56"/>
      <c r="DQ222" s="56"/>
      <c r="DR222" s="56"/>
      <c r="DS222" s="56"/>
      <c r="DT222" s="56"/>
      <c r="DU222" s="56"/>
      <c r="DV222" s="56"/>
      <c r="DW222" s="56"/>
      <c r="DX222" s="56"/>
      <c r="DY222" s="56"/>
      <c r="DZ222" s="56"/>
      <c r="EA222" s="56"/>
      <c r="EB222" s="56"/>
      <c r="EC222" s="56"/>
      <c r="ED222" s="56"/>
      <c r="EE222" s="56"/>
      <c r="EF222" s="56"/>
      <c r="EG222" s="56"/>
      <c r="EH222" s="56"/>
      <c r="EI222" s="56"/>
      <c r="EJ222" s="56"/>
      <c r="EK222" s="56"/>
    </row>
    <row r="223" spans="1:16384" x14ac:dyDescent="0.55000000000000004">
      <c r="A223" s="137" t="s">
        <v>201</v>
      </c>
      <c r="B223" s="138">
        <v>53</v>
      </c>
      <c r="C223" s="123">
        <v>1168</v>
      </c>
      <c r="D223" s="17"/>
      <c r="E223" s="14">
        <v>3</v>
      </c>
      <c r="F223" s="14"/>
      <c r="G223" s="13"/>
      <c r="H223" s="14">
        <v>15</v>
      </c>
      <c r="I223" s="23">
        <f>0</f>
        <v>0</v>
      </c>
      <c r="J223" s="13">
        <v>1.1000000000000001</v>
      </c>
      <c r="K223" s="14">
        <v>2</v>
      </c>
      <c r="L223" s="15">
        <v>1.7</v>
      </c>
      <c r="M223" s="13"/>
      <c r="N223" s="17"/>
      <c r="O223" s="15">
        <f t="shared" si="237"/>
        <v>18</v>
      </c>
      <c r="P223" s="14">
        <f t="shared" ref="P223:P225" si="252">ROUND(C223*H223/1000,0)</f>
        <v>18</v>
      </c>
      <c r="Q223" s="14">
        <f t="shared" si="243"/>
        <v>18</v>
      </c>
      <c r="R223" s="14"/>
      <c r="S223" s="14"/>
      <c r="T223" s="18"/>
      <c r="U223" s="13"/>
      <c r="V223" s="17"/>
      <c r="W223" s="13">
        <f>ROUND(C223*K223,0)</f>
        <v>2336</v>
      </c>
      <c r="X223" s="14">
        <f t="shared" si="245"/>
        <v>2336</v>
      </c>
      <c r="Y223" s="14">
        <f t="shared" si="246"/>
        <v>2336</v>
      </c>
      <c r="Z223" s="13"/>
      <c r="AA223" s="13"/>
      <c r="AB223" s="71"/>
      <c r="AC223" s="17"/>
      <c r="AD223" s="17"/>
      <c r="AE223" s="13">
        <f t="shared" ref="AE223:AE225" si="253">ROUND(O223*95,0)</f>
        <v>1710</v>
      </c>
      <c r="AF223" s="14">
        <f t="shared" si="247"/>
        <v>1710</v>
      </c>
      <c r="AG223" s="14">
        <f t="shared" si="248"/>
        <v>1710</v>
      </c>
      <c r="AH223" s="13"/>
      <c r="AI223" s="13"/>
      <c r="AJ223" s="71"/>
      <c r="AK223" s="100"/>
      <c r="AL223" s="14"/>
      <c r="AM223" s="14">
        <f t="shared" si="249"/>
        <v>4046</v>
      </c>
      <c r="AN223" s="14">
        <f t="shared" si="250"/>
        <v>4046</v>
      </c>
      <c r="AO223" s="14">
        <f t="shared" si="251"/>
        <v>4046</v>
      </c>
      <c r="AP223" s="14"/>
      <c r="AQ223" s="14"/>
      <c r="AR223" s="14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/>
      <c r="BT223" s="56"/>
      <c r="BU223" s="56"/>
      <c r="BV223" s="56"/>
      <c r="BW223" s="56"/>
      <c r="BX223" s="56"/>
      <c r="BY223" s="56"/>
      <c r="BZ223" s="56"/>
      <c r="CA223" s="56"/>
      <c r="CB223" s="56"/>
      <c r="CC223" s="56"/>
      <c r="CD223" s="56"/>
      <c r="CE223" s="56"/>
      <c r="CF223" s="56"/>
      <c r="CG223" s="56"/>
      <c r="CH223" s="56"/>
      <c r="CI223" s="56"/>
      <c r="CJ223" s="56"/>
      <c r="CK223" s="56"/>
      <c r="CL223" s="56"/>
      <c r="CM223" s="56"/>
      <c r="CN223" s="56"/>
      <c r="CO223" s="56"/>
      <c r="CP223" s="56"/>
      <c r="CQ223" s="56"/>
      <c r="CR223" s="56"/>
      <c r="CS223" s="56"/>
      <c r="CT223" s="56"/>
      <c r="CU223" s="56"/>
      <c r="CV223" s="56"/>
      <c r="CW223" s="56"/>
      <c r="CX223" s="56"/>
      <c r="CY223" s="56"/>
      <c r="CZ223" s="56"/>
      <c r="DA223" s="56"/>
      <c r="DB223" s="56"/>
      <c r="DC223" s="56"/>
      <c r="DD223" s="56"/>
      <c r="DE223" s="56"/>
      <c r="DF223" s="56"/>
      <c r="DG223" s="56"/>
      <c r="DH223" s="56"/>
      <c r="DI223" s="56"/>
      <c r="DJ223" s="56"/>
      <c r="DK223" s="56"/>
      <c r="DL223" s="56"/>
      <c r="DM223" s="56"/>
      <c r="DN223" s="56"/>
      <c r="DO223" s="56"/>
      <c r="DP223" s="56"/>
      <c r="DQ223" s="56"/>
      <c r="DR223" s="56"/>
      <c r="DS223" s="56"/>
      <c r="DT223" s="56"/>
      <c r="DU223" s="56"/>
      <c r="DV223" s="56"/>
      <c r="DW223" s="56"/>
      <c r="DX223" s="56"/>
      <c r="DY223" s="56"/>
      <c r="DZ223" s="56"/>
      <c r="EA223" s="56"/>
      <c r="EB223" s="56"/>
      <c r="EC223" s="56"/>
      <c r="ED223" s="56"/>
      <c r="EE223" s="56"/>
      <c r="EF223" s="56"/>
      <c r="EG223" s="56"/>
      <c r="EH223" s="56"/>
      <c r="EI223" s="56"/>
      <c r="EJ223" s="56"/>
      <c r="EK223" s="56"/>
    </row>
    <row r="224" spans="1:16384" x14ac:dyDescent="0.55000000000000004">
      <c r="A224" s="137" t="s">
        <v>199</v>
      </c>
      <c r="B224" s="138">
        <v>34</v>
      </c>
      <c r="C224" s="123">
        <v>751</v>
      </c>
      <c r="D224" s="17"/>
      <c r="E224" s="14">
        <v>3</v>
      </c>
      <c r="F224" s="14"/>
      <c r="G224" s="13"/>
      <c r="H224" s="14">
        <v>15</v>
      </c>
      <c r="I224" s="23">
        <f>0</f>
        <v>0</v>
      </c>
      <c r="J224" s="13">
        <v>1.1000000000000001</v>
      </c>
      <c r="K224" s="14">
        <v>2</v>
      </c>
      <c r="L224" s="15">
        <v>1.7</v>
      </c>
      <c r="M224" s="13"/>
      <c r="N224" s="17"/>
      <c r="O224" s="15">
        <f t="shared" si="237"/>
        <v>11</v>
      </c>
      <c r="P224" s="14">
        <f t="shared" si="252"/>
        <v>11</v>
      </c>
      <c r="Q224" s="14">
        <f t="shared" si="243"/>
        <v>11</v>
      </c>
      <c r="R224" s="14"/>
      <c r="S224" s="14"/>
      <c r="T224" s="18"/>
      <c r="U224" s="13"/>
      <c r="V224" s="17"/>
      <c r="W224" s="13">
        <f>ROUND(C224*K224,0)</f>
        <v>1502</v>
      </c>
      <c r="X224" s="14">
        <f t="shared" si="245"/>
        <v>1502</v>
      </c>
      <c r="Y224" s="14">
        <f t="shared" si="246"/>
        <v>1502</v>
      </c>
      <c r="Z224" s="13"/>
      <c r="AA224" s="13"/>
      <c r="AB224" s="71"/>
      <c r="AC224" s="17"/>
      <c r="AD224" s="17"/>
      <c r="AE224" s="13">
        <f t="shared" si="253"/>
        <v>1045</v>
      </c>
      <c r="AF224" s="14">
        <f t="shared" si="247"/>
        <v>1045</v>
      </c>
      <c r="AG224" s="14">
        <f t="shared" si="248"/>
        <v>1045</v>
      </c>
      <c r="AH224" s="13"/>
      <c r="AI224" s="13"/>
      <c r="AJ224" s="71"/>
      <c r="AK224" s="100"/>
      <c r="AL224" s="14"/>
      <c r="AM224" s="14">
        <f t="shared" si="249"/>
        <v>2547</v>
      </c>
      <c r="AN224" s="14">
        <f t="shared" si="250"/>
        <v>2547</v>
      </c>
      <c r="AO224" s="14">
        <f t="shared" si="251"/>
        <v>2547</v>
      </c>
      <c r="AP224" s="14"/>
      <c r="AQ224" s="14"/>
      <c r="AR224" s="14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  <c r="BN224" s="56"/>
      <c r="BO224" s="56"/>
      <c r="BP224" s="56"/>
      <c r="BQ224" s="56"/>
      <c r="BR224" s="56"/>
      <c r="BS224" s="56"/>
      <c r="BT224" s="56"/>
      <c r="BU224" s="56"/>
      <c r="BV224" s="56"/>
      <c r="BW224" s="56"/>
      <c r="BX224" s="56"/>
      <c r="BY224" s="56"/>
      <c r="BZ224" s="56"/>
      <c r="CA224" s="56"/>
      <c r="CB224" s="56"/>
      <c r="CC224" s="56"/>
      <c r="CD224" s="56"/>
      <c r="CE224" s="56"/>
      <c r="CF224" s="56"/>
      <c r="CG224" s="56"/>
      <c r="CH224" s="56"/>
      <c r="CI224" s="56"/>
      <c r="CJ224" s="56"/>
      <c r="CK224" s="56"/>
      <c r="CL224" s="56"/>
      <c r="CM224" s="56"/>
      <c r="CN224" s="56"/>
      <c r="CO224" s="56"/>
      <c r="CP224" s="56"/>
      <c r="CQ224" s="56"/>
      <c r="CR224" s="56"/>
      <c r="CS224" s="56"/>
      <c r="CT224" s="56"/>
      <c r="CU224" s="56"/>
      <c r="CV224" s="56"/>
      <c r="CW224" s="56"/>
      <c r="CX224" s="56"/>
      <c r="CY224" s="56"/>
      <c r="CZ224" s="56"/>
      <c r="DA224" s="56"/>
      <c r="DB224" s="56"/>
      <c r="DC224" s="56"/>
      <c r="DD224" s="56"/>
      <c r="DE224" s="56"/>
      <c r="DF224" s="56"/>
      <c r="DG224" s="56"/>
      <c r="DH224" s="56"/>
      <c r="DI224" s="56"/>
      <c r="DJ224" s="56"/>
      <c r="DK224" s="56"/>
      <c r="DL224" s="56"/>
      <c r="DM224" s="56"/>
      <c r="DN224" s="56"/>
      <c r="DO224" s="56"/>
      <c r="DP224" s="56"/>
      <c r="DQ224" s="56"/>
      <c r="DR224" s="56"/>
      <c r="DS224" s="56"/>
      <c r="DT224" s="56"/>
      <c r="DU224" s="56"/>
      <c r="DV224" s="56"/>
      <c r="DW224" s="56"/>
      <c r="DX224" s="56"/>
      <c r="DY224" s="56"/>
      <c r="DZ224" s="56"/>
      <c r="EA224" s="56"/>
      <c r="EB224" s="56"/>
      <c r="EC224" s="56"/>
      <c r="ED224" s="56"/>
      <c r="EE224" s="56"/>
      <c r="EF224" s="56"/>
      <c r="EG224" s="56"/>
      <c r="EH224" s="56"/>
      <c r="EI224" s="56"/>
      <c r="EJ224" s="56"/>
      <c r="EK224" s="56"/>
    </row>
    <row r="225" spans="1:141" x14ac:dyDescent="0.55000000000000004">
      <c r="A225" s="137" t="s">
        <v>202</v>
      </c>
      <c r="B225" s="138">
        <v>70</v>
      </c>
      <c r="C225" s="123">
        <v>1547</v>
      </c>
      <c r="D225" s="17"/>
      <c r="E225" s="14">
        <v>3</v>
      </c>
      <c r="F225" s="14"/>
      <c r="G225" s="13"/>
      <c r="H225" s="14">
        <v>15</v>
      </c>
      <c r="I225" s="23">
        <f>0</f>
        <v>0</v>
      </c>
      <c r="J225" s="13">
        <v>1.1000000000000001</v>
      </c>
      <c r="K225" s="14">
        <v>2</v>
      </c>
      <c r="L225" s="15">
        <v>1.7</v>
      </c>
      <c r="M225" s="13"/>
      <c r="N225" s="17"/>
      <c r="O225" s="15">
        <f t="shared" si="237"/>
        <v>23</v>
      </c>
      <c r="P225" s="14">
        <f t="shared" si="252"/>
        <v>23</v>
      </c>
      <c r="Q225" s="14">
        <f t="shared" si="243"/>
        <v>23</v>
      </c>
      <c r="R225" s="14"/>
      <c r="S225" s="14"/>
      <c r="T225" s="18"/>
      <c r="U225" s="13"/>
      <c r="V225" s="17"/>
      <c r="W225" s="13">
        <f>ROUND(C225*K225,0)</f>
        <v>3094</v>
      </c>
      <c r="X225" s="14">
        <f t="shared" si="245"/>
        <v>3094</v>
      </c>
      <c r="Y225" s="14">
        <f t="shared" si="246"/>
        <v>3094</v>
      </c>
      <c r="Z225" s="13"/>
      <c r="AA225" s="13"/>
      <c r="AB225" s="71"/>
      <c r="AC225" s="17"/>
      <c r="AD225" s="17"/>
      <c r="AE225" s="13">
        <f t="shared" si="253"/>
        <v>2185</v>
      </c>
      <c r="AF225" s="14">
        <f t="shared" si="247"/>
        <v>2185</v>
      </c>
      <c r="AG225" s="14">
        <f t="shared" si="248"/>
        <v>2185</v>
      </c>
      <c r="AH225" s="13"/>
      <c r="AI225" s="13"/>
      <c r="AJ225" s="71"/>
      <c r="AK225" s="100"/>
      <c r="AL225" s="14"/>
      <c r="AM225" s="14">
        <f t="shared" si="249"/>
        <v>5279</v>
      </c>
      <c r="AN225" s="14">
        <f t="shared" si="250"/>
        <v>5279</v>
      </c>
      <c r="AO225" s="14">
        <f t="shared" si="251"/>
        <v>5279</v>
      </c>
      <c r="AP225" s="14"/>
      <c r="AQ225" s="14"/>
      <c r="AR225" s="14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/>
      <c r="BT225" s="56"/>
      <c r="BU225" s="56"/>
      <c r="BV225" s="56"/>
      <c r="BW225" s="56"/>
      <c r="BX225" s="56"/>
      <c r="BY225" s="56"/>
      <c r="BZ225" s="56"/>
      <c r="CA225" s="56"/>
      <c r="CB225" s="56"/>
      <c r="CC225" s="56"/>
      <c r="CD225" s="56"/>
      <c r="CE225" s="56"/>
      <c r="CF225" s="56"/>
      <c r="CG225" s="56"/>
      <c r="CH225" s="56"/>
      <c r="CI225" s="56"/>
      <c r="CJ225" s="56"/>
      <c r="CK225" s="56"/>
      <c r="CL225" s="56"/>
      <c r="CM225" s="56"/>
      <c r="CN225" s="56"/>
      <c r="CO225" s="56"/>
      <c r="CP225" s="56"/>
      <c r="CQ225" s="56"/>
      <c r="CR225" s="56"/>
      <c r="CS225" s="56"/>
      <c r="CT225" s="56"/>
      <c r="CU225" s="56"/>
      <c r="CV225" s="56"/>
      <c r="CW225" s="56"/>
      <c r="CX225" s="56"/>
      <c r="CY225" s="56"/>
      <c r="CZ225" s="56"/>
      <c r="DA225" s="56"/>
      <c r="DB225" s="56"/>
      <c r="DC225" s="56"/>
      <c r="DD225" s="56"/>
      <c r="DE225" s="56"/>
      <c r="DF225" s="56"/>
      <c r="DG225" s="56"/>
      <c r="DH225" s="56"/>
      <c r="DI225" s="56"/>
      <c r="DJ225" s="56"/>
      <c r="DK225" s="56"/>
      <c r="DL225" s="56"/>
      <c r="DM225" s="56"/>
      <c r="DN225" s="56"/>
      <c r="DO225" s="56"/>
      <c r="DP225" s="56"/>
      <c r="DQ225" s="56"/>
      <c r="DR225" s="56"/>
      <c r="DS225" s="56"/>
      <c r="DT225" s="56"/>
      <c r="DU225" s="56"/>
      <c r="DV225" s="56"/>
      <c r="DW225" s="56"/>
      <c r="DX225" s="56"/>
      <c r="DY225" s="56"/>
      <c r="DZ225" s="56"/>
      <c r="EA225" s="56"/>
      <c r="EB225" s="56"/>
      <c r="EC225" s="56"/>
      <c r="ED225" s="56"/>
      <c r="EE225" s="56"/>
      <c r="EF225" s="56"/>
      <c r="EG225" s="56"/>
      <c r="EH225" s="56"/>
      <c r="EI225" s="56"/>
      <c r="EJ225" s="56"/>
      <c r="EK225" s="56"/>
    </row>
    <row r="226" spans="1:141" ht="24.75" thickBot="1" x14ac:dyDescent="0.6">
      <c r="A226" s="137" t="s">
        <v>200</v>
      </c>
      <c r="B226" s="138">
        <v>7</v>
      </c>
      <c r="C226" s="123">
        <v>145</v>
      </c>
      <c r="D226" s="17">
        <v>0</v>
      </c>
      <c r="E226" s="14">
        <v>3</v>
      </c>
      <c r="F226" s="14">
        <v>0</v>
      </c>
      <c r="G226" s="13">
        <f>0</f>
        <v>0</v>
      </c>
      <c r="H226" s="14">
        <v>15</v>
      </c>
      <c r="I226" s="23">
        <f>0</f>
        <v>0</v>
      </c>
      <c r="J226" s="13">
        <v>1.1000000000000001</v>
      </c>
      <c r="K226" s="14">
        <v>2</v>
      </c>
      <c r="L226" s="15">
        <v>1.7</v>
      </c>
      <c r="M226" s="13"/>
      <c r="N226" s="17"/>
      <c r="O226" s="15">
        <f t="shared" si="237"/>
        <v>2</v>
      </c>
      <c r="P226" s="14">
        <f t="shared" ref="P226" si="254">ROUND(C226*H226/1000,0)</f>
        <v>2</v>
      </c>
      <c r="Q226" s="14">
        <f t="shared" si="240"/>
        <v>2</v>
      </c>
      <c r="R226" s="14"/>
      <c r="S226" s="14"/>
      <c r="T226" s="18"/>
      <c r="U226" s="13"/>
      <c r="V226" s="17"/>
      <c r="W226" s="13">
        <f>ROUND(C226*K226,0)</f>
        <v>290</v>
      </c>
      <c r="X226" s="14">
        <f>ROUND(C226*K226,0)</f>
        <v>290</v>
      </c>
      <c r="Y226" s="14">
        <f>ROUND(C226*K226,0)</f>
        <v>290</v>
      </c>
      <c r="Z226" s="13"/>
      <c r="AA226" s="13"/>
      <c r="AB226" s="71"/>
      <c r="AC226" s="17"/>
      <c r="AD226" s="17"/>
      <c r="AE226" s="13">
        <f t="shared" ref="AE226" si="255">ROUND(O226*95,0)</f>
        <v>190</v>
      </c>
      <c r="AF226" s="14">
        <f t="shared" si="238"/>
        <v>190</v>
      </c>
      <c r="AG226" s="14">
        <f t="shared" si="239"/>
        <v>190</v>
      </c>
      <c r="AH226" s="13"/>
      <c r="AI226" s="13"/>
      <c r="AJ226" s="71"/>
      <c r="AK226" s="100"/>
      <c r="AL226" s="14"/>
      <c r="AM226" s="14">
        <f t="shared" ref="AM226" si="256">W226+AE226</f>
        <v>480</v>
      </c>
      <c r="AN226" s="14">
        <f t="shared" si="241"/>
        <v>480</v>
      </c>
      <c r="AO226" s="14">
        <f t="shared" si="242"/>
        <v>480</v>
      </c>
      <c r="AP226" s="14"/>
      <c r="AQ226" s="14"/>
      <c r="AR226" s="14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56"/>
      <c r="BU226" s="56"/>
      <c r="BV226" s="56"/>
      <c r="BW226" s="56"/>
      <c r="BX226" s="56"/>
      <c r="BY226" s="56"/>
      <c r="BZ226" s="56"/>
      <c r="CA226" s="56"/>
      <c r="CB226" s="56"/>
      <c r="CC226" s="56"/>
      <c r="CD226" s="56"/>
      <c r="CE226" s="56"/>
      <c r="CF226" s="56"/>
      <c r="CG226" s="56"/>
      <c r="CH226" s="56"/>
      <c r="CI226" s="56"/>
      <c r="CJ226" s="56"/>
      <c r="CK226" s="56"/>
      <c r="CL226" s="56"/>
      <c r="CM226" s="56"/>
      <c r="CN226" s="56"/>
      <c r="CO226" s="56"/>
      <c r="CP226" s="56"/>
      <c r="CQ226" s="56"/>
      <c r="CR226" s="56"/>
      <c r="CS226" s="56"/>
      <c r="CT226" s="56"/>
      <c r="CU226" s="56"/>
      <c r="CV226" s="56"/>
      <c r="CW226" s="56"/>
      <c r="CX226" s="56"/>
      <c r="CY226" s="56"/>
      <c r="CZ226" s="56"/>
      <c r="DA226" s="56"/>
      <c r="DB226" s="56"/>
      <c r="DC226" s="56"/>
      <c r="DD226" s="56"/>
      <c r="DE226" s="56"/>
      <c r="DF226" s="56"/>
      <c r="DG226" s="56"/>
      <c r="DH226" s="56"/>
      <c r="DI226" s="56"/>
      <c r="DJ226" s="56"/>
      <c r="DK226" s="56"/>
      <c r="DL226" s="56"/>
      <c r="DM226" s="56"/>
      <c r="DN226" s="56"/>
      <c r="DO226" s="56"/>
      <c r="DP226" s="56"/>
      <c r="DQ226" s="56"/>
      <c r="DR226" s="56"/>
      <c r="DS226" s="56"/>
      <c r="DT226" s="56"/>
      <c r="DU226" s="56"/>
      <c r="DV226" s="56"/>
      <c r="DW226" s="56"/>
      <c r="DX226" s="56"/>
      <c r="DY226" s="56"/>
      <c r="DZ226" s="56"/>
      <c r="EA226" s="56"/>
      <c r="EB226" s="56"/>
      <c r="EC226" s="56"/>
      <c r="ED226" s="56"/>
      <c r="EE226" s="56"/>
      <c r="EF226" s="56"/>
      <c r="EG226" s="56"/>
      <c r="EH226" s="56"/>
      <c r="EI226" s="56"/>
      <c r="EJ226" s="56"/>
      <c r="EK226" s="56"/>
    </row>
    <row r="227" spans="1:141" ht="24.75" thickBot="1" x14ac:dyDescent="0.6">
      <c r="A227" s="883" t="s">
        <v>195</v>
      </c>
      <c r="B227" s="885">
        <f>SUM(B220:B226)</f>
        <v>390</v>
      </c>
      <c r="C227" s="885">
        <f>SUM(C220:C226)</f>
        <v>8569</v>
      </c>
      <c r="D227" s="887"/>
      <c r="E227" s="888"/>
      <c r="F227" s="888"/>
      <c r="G227" s="888"/>
      <c r="H227" s="888"/>
      <c r="I227" s="888"/>
      <c r="J227" s="888"/>
      <c r="K227" s="888"/>
      <c r="L227" s="889"/>
      <c r="M227" s="158">
        <f>SUM(M219:M221)</f>
        <v>0</v>
      </c>
      <c r="N227" s="158">
        <f>SUM(N219:N221)</f>
        <v>0</v>
      </c>
      <c r="O227" s="160">
        <f>SUM(O220:O226)</f>
        <v>128</v>
      </c>
      <c r="P227" s="160">
        <f>SUM(P220:P226)</f>
        <v>128</v>
      </c>
      <c r="Q227" s="160">
        <f>SUM(Q220:Q226)</f>
        <v>128</v>
      </c>
      <c r="R227" s="161">
        <f>SUM(R219:R221)</f>
        <v>0</v>
      </c>
      <c r="S227" s="161">
        <f>SUM(S219:S221)</f>
        <v>0</v>
      </c>
      <c r="T227" s="163">
        <f>SUM(T219:T221)</f>
        <v>0</v>
      </c>
      <c r="U227" s="158">
        <f>SUM(U219:U221)</f>
        <v>0</v>
      </c>
      <c r="V227" s="188">
        <f>0</f>
        <v>0</v>
      </c>
      <c r="W227" s="157">
        <f>SUM(W220:W226)</f>
        <v>17138</v>
      </c>
      <c r="X227" s="157">
        <f>SUM(X220:X226)</f>
        <v>17138</v>
      </c>
      <c r="Y227" s="157">
        <f>SUM(Y220:Y226)</f>
        <v>17138</v>
      </c>
      <c r="Z227" s="164" t="s">
        <v>164</v>
      </c>
      <c r="AA227" s="164"/>
      <c r="AB227" s="164"/>
      <c r="AC227" s="157">
        <f>SUM(AC219:AC221)</f>
        <v>0</v>
      </c>
      <c r="AD227" s="157">
        <f>SUM(AD219:AD221)</f>
        <v>0</v>
      </c>
      <c r="AE227" s="166">
        <f>SUM(AE220:AE226)</f>
        <v>12160</v>
      </c>
      <c r="AF227" s="166">
        <f>SUM(AF220:AF226)</f>
        <v>12160</v>
      </c>
      <c r="AG227" s="166">
        <f>SUM(AG220:AG226)</f>
        <v>12160</v>
      </c>
      <c r="AH227" s="175">
        <f>0</f>
        <v>0</v>
      </c>
      <c r="AI227" s="175">
        <f>0</f>
        <v>0</v>
      </c>
      <c r="AJ227" s="175">
        <f>0</f>
        <v>0</v>
      </c>
      <c r="AK227" s="165">
        <f>SUM(AK220:AK221)</f>
        <v>0</v>
      </c>
      <c r="AL227" s="165">
        <f>0</f>
        <v>0</v>
      </c>
      <c r="AM227" s="166">
        <f>SUM(AM220:AM226)</f>
        <v>29298</v>
      </c>
      <c r="AN227" s="166">
        <f>SUM(AN220:AN226)</f>
        <v>29298</v>
      </c>
      <c r="AO227" s="166">
        <f>SUM(AO220:AO226)</f>
        <v>29298</v>
      </c>
      <c r="AP227" s="175"/>
      <c r="AQ227" s="164"/>
      <c r="AR227" s="167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141" ht="27" thickBot="1" x14ac:dyDescent="0.75">
      <c r="A228" s="884"/>
      <c r="B228" s="886"/>
      <c r="C228" s="886"/>
      <c r="D228" s="890"/>
      <c r="E228" s="891"/>
      <c r="F228" s="891"/>
      <c r="G228" s="891"/>
      <c r="H228" s="891"/>
      <c r="I228" s="891"/>
      <c r="J228" s="891"/>
      <c r="K228" s="891"/>
      <c r="L228" s="892"/>
      <c r="M228" s="893">
        <f>M227+N227</f>
        <v>0</v>
      </c>
      <c r="N228" s="894">
        <f>M227+N227</f>
        <v>0</v>
      </c>
      <c r="O228" s="895">
        <f>+O227+P227+Q227</f>
        <v>384</v>
      </c>
      <c r="P228" s="896"/>
      <c r="Q228" s="897"/>
      <c r="R228" s="898">
        <f>+R227+S227+T227</f>
        <v>0</v>
      </c>
      <c r="S228" s="899"/>
      <c r="T228" s="900"/>
      <c r="U228" s="901">
        <f>U227+V227</f>
        <v>0</v>
      </c>
      <c r="V228" s="902"/>
      <c r="W228" s="903">
        <f>W227+X227+Y227</f>
        <v>51414</v>
      </c>
      <c r="X228" s="904"/>
      <c r="Y228" s="905"/>
      <c r="Z228" s="906">
        <f>0</f>
        <v>0</v>
      </c>
      <c r="AA228" s="907"/>
      <c r="AB228" s="908"/>
      <c r="AC228" s="909">
        <f>AC227+AD227</f>
        <v>0</v>
      </c>
      <c r="AD228" s="910">
        <f t="shared" ref="AD228" si="257">ROUND(N228*960,0)</f>
        <v>0</v>
      </c>
      <c r="AE228" s="911">
        <f>AE227+AF227+AG227</f>
        <v>36480</v>
      </c>
      <c r="AF228" s="912"/>
      <c r="AG228" s="913"/>
      <c r="AH228" s="914">
        <f>AH227+AI227+AJ227</f>
        <v>0</v>
      </c>
      <c r="AI228" s="915"/>
      <c r="AJ228" s="916"/>
      <c r="AK228" s="917">
        <f>AK227+AL227</f>
        <v>0</v>
      </c>
      <c r="AL228" s="918">
        <f t="shared" ref="AL228" si="258">V228+AD228</f>
        <v>0</v>
      </c>
      <c r="AM228" s="911">
        <f>AM227+AN227+AO227</f>
        <v>87894</v>
      </c>
      <c r="AN228" s="912"/>
      <c r="AO228" s="913"/>
      <c r="AP228" s="919">
        <f>AP227+AQ227+AR227</f>
        <v>0</v>
      </c>
      <c r="AQ228" s="920"/>
      <c r="AR228" s="92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141" x14ac:dyDescent="0.55000000000000004"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56"/>
      <c r="BU229" s="56"/>
      <c r="BV229" s="56"/>
      <c r="BW229" s="56"/>
      <c r="BX229" s="56"/>
      <c r="BY229" s="56"/>
      <c r="BZ229" s="56"/>
      <c r="CA229" s="56"/>
      <c r="CB229" s="56"/>
      <c r="CC229" s="56"/>
      <c r="CD229" s="56"/>
      <c r="CE229" s="56"/>
      <c r="CF229" s="56"/>
      <c r="CG229" s="56"/>
      <c r="CH229" s="56"/>
      <c r="CI229" s="56"/>
      <c r="CJ229" s="56"/>
      <c r="CK229" s="56"/>
      <c r="CL229" s="56"/>
      <c r="CM229" s="56"/>
      <c r="CN229" s="56"/>
      <c r="CO229" s="56"/>
      <c r="CP229" s="56"/>
      <c r="CQ229" s="56"/>
      <c r="CR229" s="56"/>
      <c r="CS229" s="56"/>
      <c r="CT229" s="56"/>
      <c r="CU229" s="56"/>
      <c r="CV229" s="56"/>
      <c r="CW229" s="56"/>
      <c r="CX229" s="56"/>
      <c r="CY229" s="56"/>
      <c r="CZ229" s="56"/>
      <c r="DA229" s="56"/>
      <c r="DB229" s="56"/>
      <c r="DC229" s="56"/>
      <c r="DD229" s="56"/>
      <c r="DE229" s="56"/>
      <c r="DF229" s="56"/>
      <c r="DG229" s="56"/>
      <c r="DH229" s="56"/>
      <c r="DI229" s="56"/>
      <c r="DJ229" s="56"/>
      <c r="DK229" s="56"/>
      <c r="DL229" s="56"/>
      <c r="DM229" s="56"/>
      <c r="DN229" s="56"/>
      <c r="DO229" s="56"/>
      <c r="DP229" s="56"/>
      <c r="DQ229" s="56"/>
      <c r="DR229" s="56"/>
      <c r="DS229" s="56"/>
      <c r="DT229" s="56"/>
      <c r="DU229" s="56"/>
      <c r="DV229" s="56"/>
      <c r="DW229" s="56"/>
      <c r="DX229" s="56"/>
      <c r="DY229" s="56"/>
      <c r="DZ229" s="56"/>
      <c r="EA229" s="56"/>
      <c r="EB229" s="56"/>
      <c r="EC229" s="56"/>
      <c r="ED229" s="56"/>
      <c r="EE229" s="56"/>
      <c r="EF229" s="56"/>
      <c r="EG229" s="56"/>
      <c r="EH229" s="56"/>
      <c r="EI229" s="56"/>
      <c r="EJ229" s="56"/>
      <c r="EK229" s="56"/>
    </row>
    <row r="230" spans="1:141" x14ac:dyDescent="0.55000000000000004"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  <c r="BN230" s="56"/>
      <c r="BO230" s="56"/>
      <c r="BP230" s="56"/>
      <c r="BQ230" s="56"/>
      <c r="BR230" s="56"/>
      <c r="BS230" s="56"/>
      <c r="BT230" s="56"/>
      <c r="BU230" s="56"/>
      <c r="BV230" s="56"/>
      <c r="BW230" s="56"/>
      <c r="BX230" s="56"/>
      <c r="BY230" s="56"/>
      <c r="BZ230" s="56"/>
      <c r="CA230" s="56"/>
      <c r="CB230" s="56"/>
      <c r="CC230" s="56"/>
      <c r="CD230" s="56"/>
      <c r="CE230" s="56"/>
      <c r="CF230" s="56"/>
      <c r="CG230" s="56"/>
      <c r="CH230" s="56"/>
      <c r="CI230" s="56"/>
      <c r="CJ230" s="56"/>
      <c r="CK230" s="56"/>
      <c r="CL230" s="56"/>
      <c r="CM230" s="56"/>
      <c r="CN230" s="56"/>
      <c r="CO230" s="56"/>
      <c r="CP230" s="56"/>
      <c r="CQ230" s="56"/>
      <c r="CR230" s="56"/>
      <c r="CS230" s="56"/>
      <c r="CT230" s="56"/>
      <c r="CU230" s="56"/>
      <c r="CV230" s="56"/>
      <c r="CW230" s="56"/>
      <c r="CX230" s="56"/>
      <c r="CY230" s="56"/>
      <c r="CZ230" s="56"/>
      <c r="DA230" s="56"/>
      <c r="DB230" s="56"/>
      <c r="DC230" s="56"/>
      <c r="DD230" s="56"/>
      <c r="DE230" s="56"/>
      <c r="DF230" s="56"/>
      <c r="DG230" s="56"/>
      <c r="DH230" s="56"/>
      <c r="DI230" s="56"/>
      <c r="DJ230" s="56"/>
      <c r="DK230" s="56"/>
      <c r="DL230" s="56"/>
      <c r="DM230" s="56"/>
      <c r="DN230" s="56"/>
      <c r="DO230" s="56"/>
      <c r="DP230" s="56"/>
      <c r="DQ230" s="56"/>
      <c r="DR230" s="56"/>
      <c r="DS230" s="56"/>
      <c r="DT230" s="56"/>
      <c r="DU230" s="56"/>
      <c r="DV230" s="56"/>
      <c r="DW230" s="56"/>
      <c r="DX230" s="56"/>
      <c r="DY230" s="56"/>
      <c r="DZ230" s="56"/>
      <c r="EA230" s="56"/>
      <c r="EB230" s="56"/>
      <c r="EC230" s="56"/>
      <c r="ED230" s="56"/>
      <c r="EE230" s="56"/>
      <c r="EF230" s="56"/>
      <c r="EG230" s="56"/>
      <c r="EH230" s="56"/>
      <c r="EI230" s="56"/>
      <c r="EJ230" s="56"/>
      <c r="EK230" s="56"/>
    </row>
    <row r="231" spans="1:141" x14ac:dyDescent="0.55000000000000004"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  <c r="BN231" s="56"/>
      <c r="BO231" s="56"/>
      <c r="BP231" s="56"/>
      <c r="BQ231" s="56"/>
      <c r="BR231" s="56"/>
      <c r="BS231" s="56"/>
      <c r="BT231" s="56"/>
      <c r="BU231" s="56"/>
      <c r="BV231" s="56"/>
      <c r="BW231" s="56"/>
      <c r="BX231" s="56"/>
      <c r="BY231" s="56"/>
      <c r="BZ231" s="56"/>
      <c r="CA231" s="56"/>
      <c r="CB231" s="56"/>
      <c r="CC231" s="56"/>
      <c r="CD231" s="56"/>
      <c r="CE231" s="56"/>
      <c r="CF231" s="56"/>
      <c r="CG231" s="56"/>
      <c r="CH231" s="56"/>
      <c r="CI231" s="56"/>
      <c r="CJ231" s="56"/>
      <c r="CK231" s="56"/>
      <c r="CL231" s="56"/>
      <c r="CM231" s="56"/>
      <c r="CN231" s="56"/>
      <c r="CO231" s="56"/>
      <c r="CP231" s="56"/>
      <c r="CQ231" s="56"/>
      <c r="CR231" s="56"/>
      <c r="CS231" s="56"/>
      <c r="CT231" s="56"/>
      <c r="CU231" s="56"/>
      <c r="CV231" s="56"/>
      <c r="CW231" s="56"/>
      <c r="CX231" s="56"/>
      <c r="CY231" s="56"/>
      <c r="CZ231" s="56"/>
      <c r="DA231" s="56"/>
      <c r="DB231" s="56"/>
      <c r="DC231" s="56"/>
      <c r="DD231" s="56"/>
      <c r="DE231" s="56"/>
      <c r="DF231" s="56"/>
      <c r="DG231" s="56"/>
      <c r="DH231" s="56"/>
      <c r="DI231" s="56"/>
      <c r="DJ231" s="56"/>
      <c r="DK231" s="56"/>
      <c r="DL231" s="56"/>
      <c r="DM231" s="56"/>
      <c r="DN231" s="56"/>
      <c r="DO231" s="56"/>
      <c r="DP231" s="56"/>
      <c r="DQ231" s="56"/>
      <c r="DR231" s="56"/>
      <c r="DS231" s="56"/>
      <c r="DT231" s="56"/>
      <c r="DU231" s="56"/>
      <c r="DV231" s="56"/>
      <c r="DW231" s="56"/>
      <c r="DX231" s="56"/>
      <c r="DY231" s="56"/>
      <c r="DZ231" s="56"/>
      <c r="EA231" s="56"/>
      <c r="EB231" s="56"/>
      <c r="EC231" s="56"/>
      <c r="ED231" s="56"/>
      <c r="EE231" s="56"/>
      <c r="EF231" s="56"/>
      <c r="EG231" s="56"/>
      <c r="EH231" s="56"/>
      <c r="EI231" s="56"/>
      <c r="EJ231" s="56"/>
      <c r="EK231" s="56"/>
    </row>
    <row r="232" spans="1:141" x14ac:dyDescent="0.55000000000000004"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  <c r="BN232" s="56"/>
      <c r="BO232" s="56"/>
      <c r="BP232" s="56"/>
      <c r="BQ232" s="56"/>
      <c r="BR232" s="56"/>
      <c r="BS232" s="56"/>
      <c r="BT232" s="56"/>
      <c r="BU232" s="56"/>
      <c r="BV232" s="56"/>
      <c r="BW232" s="56"/>
      <c r="BX232" s="56"/>
      <c r="BY232" s="56"/>
      <c r="BZ232" s="56"/>
      <c r="CA232" s="56"/>
      <c r="CB232" s="56"/>
      <c r="CC232" s="56"/>
      <c r="CD232" s="56"/>
      <c r="CE232" s="56"/>
      <c r="CF232" s="56"/>
      <c r="CG232" s="56"/>
      <c r="CH232" s="56"/>
      <c r="CI232" s="56"/>
      <c r="CJ232" s="56"/>
      <c r="CK232" s="56"/>
      <c r="CL232" s="56"/>
      <c r="CM232" s="56"/>
      <c r="CN232" s="56"/>
      <c r="CO232" s="56"/>
      <c r="CP232" s="56"/>
      <c r="CQ232" s="56"/>
      <c r="CR232" s="56"/>
      <c r="CS232" s="56"/>
      <c r="CT232" s="56"/>
      <c r="CU232" s="56"/>
      <c r="CV232" s="56"/>
      <c r="CW232" s="56"/>
      <c r="CX232" s="56"/>
      <c r="CY232" s="56"/>
      <c r="CZ232" s="56"/>
      <c r="DA232" s="56"/>
      <c r="DB232" s="56"/>
      <c r="DC232" s="56"/>
      <c r="DD232" s="56"/>
      <c r="DE232" s="56"/>
      <c r="DF232" s="56"/>
      <c r="DG232" s="56"/>
      <c r="DH232" s="56"/>
      <c r="DI232" s="56"/>
      <c r="DJ232" s="56"/>
      <c r="DK232" s="56"/>
      <c r="DL232" s="56"/>
      <c r="DM232" s="56"/>
      <c r="DN232" s="56"/>
      <c r="DO232" s="56"/>
      <c r="DP232" s="56"/>
      <c r="DQ232" s="56"/>
      <c r="DR232" s="56"/>
      <c r="DS232" s="56"/>
      <c r="DT232" s="56"/>
      <c r="DU232" s="56"/>
      <c r="DV232" s="56"/>
      <c r="DW232" s="56"/>
      <c r="DX232" s="56"/>
      <c r="DY232" s="56"/>
      <c r="DZ232" s="56"/>
      <c r="EA232" s="56"/>
      <c r="EB232" s="56"/>
      <c r="EC232" s="56"/>
      <c r="ED232" s="56"/>
      <c r="EE232" s="56"/>
      <c r="EF232" s="56"/>
      <c r="EG232" s="56"/>
      <c r="EH232" s="56"/>
      <c r="EI232" s="56"/>
      <c r="EJ232" s="56"/>
      <c r="EK232" s="56"/>
    </row>
    <row r="233" spans="1:141" x14ac:dyDescent="0.55000000000000004"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  <c r="BN233" s="56"/>
      <c r="BO233" s="56"/>
      <c r="BP233" s="56"/>
      <c r="BQ233" s="56"/>
      <c r="BR233" s="56"/>
      <c r="BS233" s="56"/>
      <c r="BT233" s="56"/>
      <c r="BU233" s="56"/>
      <c r="BV233" s="56"/>
      <c r="BW233" s="56"/>
      <c r="BX233" s="56"/>
      <c r="BY233" s="56"/>
      <c r="BZ233" s="56"/>
      <c r="CA233" s="56"/>
      <c r="CB233" s="56"/>
      <c r="CC233" s="56"/>
      <c r="CD233" s="56"/>
      <c r="CE233" s="56"/>
      <c r="CF233" s="56"/>
      <c r="CG233" s="56"/>
      <c r="CH233" s="56"/>
      <c r="CI233" s="56"/>
      <c r="CJ233" s="56"/>
      <c r="CK233" s="56"/>
      <c r="CL233" s="56"/>
      <c r="CM233" s="56"/>
      <c r="CN233" s="56"/>
      <c r="CO233" s="56"/>
      <c r="CP233" s="56"/>
      <c r="CQ233" s="56"/>
      <c r="CR233" s="56"/>
      <c r="CS233" s="56"/>
      <c r="CT233" s="56"/>
      <c r="CU233" s="56"/>
      <c r="CV233" s="56"/>
      <c r="CW233" s="56"/>
      <c r="CX233" s="56"/>
      <c r="CY233" s="56"/>
      <c r="CZ233" s="56"/>
      <c r="DA233" s="56"/>
      <c r="DB233" s="56"/>
      <c r="DC233" s="56"/>
      <c r="DD233" s="56"/>
      <c r="DE233" s="56"/>
      <c r="DF233" s="56"/>
      <c r="DG233" s="56"/>
      <c r="DH233" s="56"/>
      <c r="DI233" s="56"/>
      <c r="DJ233" s="56"/>
      <c r="DK233" s="56"/>
      <c r="DL233" s="56"/>
      <c r="DM233" s="56"/>
      <c r="DN233" s="56"/>
      <c r="DO233" s="56"/>
      <c r="DP233" s="56"/>
      <c r="DQ233" s="56"/>
      <c r="DR233" s="56"/>
      <c r="DS233" s="56"/>
      <c r="DT233" s="56"/>
      <c r="DU233" s="56"/>
      <c r="DV233" s="56"/>
      <c r="DW233" s="56"/>
      <c r="DX233" s="56"/>
      <c r="DY233" s="56"/>
      <c r="DZ233" s="56"/>
      <c r="EA233" s="56"/>
      <c r="EB233" s="56"/>
      <c r="EC233" s="56"/>
      <c r="ED233" s="56"/>
      <c r="EE233" s="56"/>
      <c r="EF233" s="56"/>
      <c r="EG233" s="56"/>
      <c r="EH233" s="56"/>
      <c r="EI233" s="56"/>
      <c r="EJ233" s="56"/>
      <c r="EK233" s="56"/>
    </row>
    <row r="234" spans="1:141" x14ac:dyDescent="0.55000000000000004"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  <c r="BN234" s="56"/>
      <c r="BO234" s="56"/>
      <c r="BP234" s="56"/>
      <c r="BQ234" s="56"/>
      <c r="BR234" s="56"/>
      <c r="BS234" s="56"/>
      <c r="BT234" s="56"/>
      <c r="BU234" s="56"/>
      <c r="BV234" s="56"/>
      <c r="BW234" s="56"/>
      <c r="BX234" s="56"/>
      <c r="BY234" s="56"/>
      <c r="BZ234" s="56"/>
      <c r="CA234" s="56"/>
      <c r="CB234" s="56"/>
      <c r="CC234" s="56"/>
      <c r="CD234" s="56"/>
      <c r="CE234" s="56"/>
      <c r="CF234" s="56"/>
      <c r="CG234" s="56"/>
      <c r="CH234" s="56"/>
      <c r="CI234" s="56"/>
      <c r="CJ234" s="56"/>
      <c r="CK234" s="56"/>
      <c r="CL234" s="56"/>
      <c r="CM234" s="56"/>
      <c r="CN234" s="56"/>
      <c r="CO234" s="56"/>
      <c r="CP234" s="56"/>
      <c r="CQ234" s="56"/>
      <c r="CR234" s="56"/>
      <c r="CS234" s="56"/>
      <c r="CT234" s="56"/>
      <c r="CU234" s="56"/>
      <c r="CV234" s="56"/>
      <c r="CW234" s="56"/>
      <c r="CX234" s="56"/>
      <c r="CY234" s="56"/>
      <c r="CZ234" s="56"/>
      <c r="DA234" s="56"/>
      <c r="DB234" s="56"/>
      <c r="DC234" s="56"/>
      <c r="DD234" s="56"/>
      <c r="DE234" s="56"/>
      <c r="DF234" s="56"/>
      <c r="DG234" s="56"/>
      <c r="DH234" s="56"/>
      <c r="DI234" s="56"/>
      <c r="DJ234" s="56"/>
      <c r="DK234" s="56"/>
      <c r="DL234" s="56"/>
      <c r="DM234" s="56"/>
      <c r="DN234" s="56"/>
      <c r="DO234" s="56"/>
      <c r="DP234" s="56"/>
      <c r="DQ234" s="56"/>
      <c r="DR234" s="56"/>
      <c r="DS234" s="56"/>
      <c r="DT234" s="56"/>
      <c r="DU234" s="56"/>
      <c r="DV234" s="56"/>
      <c r="DW234" s="56"/>
      <c r="DX234" s="56"/>
      <c r="DY234" s="56"/>
      <c r="DZ234" s="56"/>
      <c r="EA234" s="56"/>
      <c r="EB234" s="56"/>
      <c r="EC234" s="56"/>
      <c r="ED234" s="56"/>
      <c r="EE234" s="56"/>
      <c r="EF234" s="56"/>
      <c r="EG234" s="56"/>
      <c r="EH234" s="56"/>
      <c r="EI234" s="56"/>
      <c r="EJ234" s="56"/>
      <c r="EK234" s="56"/>
    </row>
    <row r="235" spans="1:141" x14ac:dyDescent="0.55000000000000004"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  <c r="BN235" s="56"/>
      <c r="BO235" s="56"/>
      <c r="BP235" s="56"/>
      <c r="BQ235" s="56"/>
      <c r="BR235" s="56"/>
      <c r="BS235" s="56"/>
      <c r="BT235" s="56"/>
      <c r="BU235" s="56"/>
      <c r="BV235" s="56"/>
      <c r="BW235" s="56"/>
      <c r="BX235" s="56"/>
      <c r="BY235" s="56"/>
      <c r="BZ235" s="56"/>
      <c r="CA235" s="56"/>
      <c r="CB235" s="56"/>
      <c r="CC235" s="56"/>
      <c r="CD235" s="56"/>
      <c r="CE235" s="56"/>
      <c r="CF235" s="56"/>
      <c r="CG235" s="56"/>
      <c r="CH235" s="56"/>
      <c r="CI235" s="56"/>
      <c r="CJ235" s="56"/>
      <c r="CK235" s="56"/>
      <c r="CL235" s="56"/>
      <c r="CM235" s="56"/>
      <c r="CN235" s="56"/>
      <c r="CO235" s="56"/>
      <c r="CP235" s="56"/>
      <c r="CQ235" s="56"/>
      <c r="CR235" s="56"/>
      <c r="CS235" s="56"/>
      <c r="CT235" s="56"/>
      <c r="CU235" s="56"/>
      <c r="CV235" s="56"/>
      <c r="CW235" s="56"/>
      <c r="CX235" s="56"/>
      <c r="CY235" s="56"/>
      <c r="CZ235" s="56"/>
      <c r="DA235" s="56"/>
      <c r="DB235" s="56"/>
      <c r="DC235" s="56"/>
      <c r="DD235" s="56"/>
      <c r="DE235" s="56"/>
      <c r="DF235" s="56"/>
      <c r="DG235" s="56"/>
      <c r="DH235" s="56"/>
      <c r="DI235" s="56"/>
      <c r="DJ235" s="56"/>
      <c r="DK235" s="56"/>
      <c r="DL235" s="56"/>
      <c r="DM235" s="56"/>
      <c r="DN235" s="56"/>
      <c r="DO235" s="56"/>
      <c r="DP235" s="56"/>
      <c r="DQ235" s="56"/>
      <c r="DR235" s="56"/>
      <c r="DS235" s="56"/>
      <c r="DT235" s="56"/>
      <c r="DU235" s="56"/>
      <c r="DV235" s="56"/>
      <c r="DW235" s="56"/>
      <c r="DX235" s="56"/>
      <c r="DY235" s="56"/>
      <c r="DZ235" s="56"/>
      <c r="EA235" s="56"/>
      <c r="EB235" s="56"/>
      <c r="EC235" s="56"/>
      <c r="ED235" s="56"/>
      <c r="EE235" s="56"/>
      <c r="EF235" s="56"/>
      <c r="EG235" s="56"/>
      <c r="EH235" s="56"/>
      <c r="EI235" s="56"/>
      <c r="EJ235" s="56"/>
      <c r="EK235" s="56"/>
    </row>
    <row r="236" spans="1:141" x14ac:dyDescent="0.55000000000000004"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  <c r="BN236" s="56"/>
      <c r="BO236" s="56"/>
      <c r="BP236" s="56"/>
      <c r="BQ236" s="56"/>
      <c r="BR236" s="56"/>
      <c r="BS236" s="56"/>
      <c r="BT236" s="56"/>
      <c r="BU236" s="56"/>
      <c r="BV236" s="56"/>
      <c r="BW236" s="56"/>
      <c r="BX236" s="56"/>
      <c r="BY236" s="56"/>
      <c r="BZ236" s="56"/>
      <c r="CA236" s="56"/>
      <c r="CB236" s="56"/>
      <c r="CC236" s="56"/>
      <c r="CD236" s="56"/>
      <c r="CE236" s="56"/>
      <c r="CF236" s="56"/>
      <c r="CG236" s="56"/>
      <c r="CH236" s="56"/>
      <c r="CI236" s="56"/>
      <c r="CJ236" s="56"/>
      <c r="CK236" s="56"/>
      <c r="CL236" s="56"/>
      <c r="CM236" s="56"/>
      <c r="CN236" s="56"/>
      <c r="CO236" s="56"/>
      <c r="CP236" s="56"/>
      <c r="CQ236" s="56"/>
      <c r="CR236" s="56"/>
      <c r="CS236" s="56"/>
      <c r="CT236" s="56"/>
      <c r="CU236" s="56"/>
      <c r="CV236" s="56"/>
      <c r="CW236" s="56"/>
      <c r="CX236" s="56"/>
      <c r="CY236" s="56"/>
      <c r="CZ236" s="56"/>
      <c r="DA236" s="56"/>
      <c r="DB236" s="56"/>
      <c r="DC236" s="56"/>
      <c r="DD236" s="56"/>
      <c r="DE236" s="56"/>
      <c r="DF236" s="56"/>
      <c r="DG236" s="56"/>
      <c r="DH236" s="56"/>
      <c r="DI236" s="56"/>
      <c r="DJ236" s="56"/>
      <c r="DK236" s="56"/>
      <c r="DL236" s="56"/>
      <c r="DM236" s="56"/>
      <c r="DN236" s="56"/>
      <c r="DO236" s="56"/>
      <c r="DP236" s="56"/>
      <c r="DQ236" s="56"/>
      <c r="DR236" s="56"/>
      <c r="DS236" s="56"/>
      <c r="DT236" s="56"/>
      <c r="DU236" s="56"/>
      <c r="DV236" s="56"/>
      <c r="DW236" s="56"/>
      <c r="DX236" s="56"/>
      <c r="DY236" s="56"/>
      <c r="DZ236" s="56"/>
      <c r="EA236" s="56"/>
      <c r="EB236" s="56"/>
      <c r="EC236" s="56"/>
      <c r="ED236" s="56"/>
      <c r="EE236" s="56"/>
      <c r="EF236" s="56"/>
      <c r="EG236" s="56"/>
      <c r="EH236" s="56"/>
      <c r="EI236" s="56"/>
      <c r="EJ236" s="56"/>
      <c r="EK236" s="56"/>
    </row>
    <row r="237" spans="1:141" x14ac:dyDescent="0.55000000000000004"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  <c r="BN237" s="56"/>
      <c r="BO237" s="56"/>
      <c r="BP237" s="56"/>
      <c r="BQ237" s="56"/>
      <c r="BR237" s="56"/>
      <c r="BS237" s="56"/>
      <c r="BT237" s="56"/>
      <c r="BU237" s="56"/>
      <c r="BV237" s="56"/>
      <c r="BW237" s="56"/>
      <c r="BX237" s="56"/>
      <c r="BY237" s="56"/>
      <c r="BZ237" s="56"/>
      <c r="CA237" s="56"/>
      <c r="CB237" s="56"/>
      <c r="CC237" s="56"/>
      <c r="CD237" s="56"/>
      <c r="CE237" s="56"/>
      <c r="CF237" s="56"/>
      <c r="CG237" s="56"/>
      <c r="CH237" s="56"/>
      <c r="CI237" s="56"/>
      <c r="CJ237" s="56"/>
      <c r="CK237" s="56"/>
      <c r="CL237" s="56"/>
      <c r="CM237" s="56"/>
      <c r="CN237" s="56"/>
      <c r="CO237" s="56"/>
      <c r="CP237" s="56"/>
      <c r="CQ237" s="56"/>
      <c r="CR237" s="56"/>
      <c r="CS237" s="56"/>
      <c r="CT237" s="56"/>
      <c r="CU237" s="56"/>
      <c r="CV237" s="56"/>
      <c r="CW237" s="56"/>
      <c r="CX237" s="56"/>
      <c r="CY237" s="56"/>
      <c r="CZ237" s="56"/>
      <c r="DA237" s="56"/>
      <c r="DB237" s="56"/>
      <c r="DC237" s="56"/>
      <c r="DD237" s="56"/>
      <c r="DE237" s="56"/>
      <c r="DF237" s="56"/>
      <c r="DG237" s="56"/>
      <c r="DH237" s="56"/>
      <c r="DI237" s="56"/>
      <c r="DJ237" s="56"/>
      <c r="DK237" s="56"/>
      <c r="DL237" s="56"/>
      <c r="DM237" s="56"/>
      <c r="DN237" s="56"/>
      <c r="DO237" s="56"/>
      <c r="DP237" s="56"/>
      <c r="DQ237" s="56"/>
      <c r="DR237" s="56"/>
      <c r="DS237" s="56"/>
      <c r="DT237" s="56"/>
      <c r="DU237" s="56"/>
      <c r="DV237" s="56"/>
      <c r="DW237" s="56"/>
      <c r="DX237" s="56"/>
      <c r="DY237" s="56"/>
      <c r="DZ237" s="56"/>
      <c r="EA237" s="56"/>
      <c r="EB237" s="56"/>
      <c r="EC237" s="56"/>
      <c r="ED237" s="56"/>
      <c r="EE237" s="56"/>
      <c r="EF237" s="56"/>
      <c r="EG237" s="56"/>
      <c r="EH237" s="56"/>
      <c r="EI237" s="56"/>
      <c r="EJ237" s="56"/>
      <c r="EK237" s="56"/>
    </row>
    <row r="238" spans="1:141" x14ac:dyDescent="0.55000000000000004"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  <c r="BN238" s="56"/>
      <c r="BO238" s="56"/>
      <c r="BP238" s="56"/>
      <c r="BQ238" s="56"/>
      <c r="BR238" s="56"/>
      <c r="BS238" s="56"/>
      <c r="BT238" s="56"/>
      <c r="BU238" s="56"/>
      <c r="BV238" s="56"/>
      <c r="BW238" s="56"/>
      <c r="BX238" s="56"/>
      <c r="BY238" s="56"/>
      <c r="BZ238" s="56"/>
      <c r="CA238" s="56"/>
      <c r="CB238" s="56"/>
      <c r="CC238" s="56"/>
      <c r="CD238" s="56"/>
      <c r="CE238" s="56"/>
      <c r="CF238" s="56"/>
      <c r="CG238" s="56"/>
      <c r="CH238" s="56"/>
      <c r="CI238" s="56"/>
      <c r="CJ238" s="56"/>
      <c r="CK238" s="56"/>
      <c r="CL238" s="56"/>
      <c r="CM238" s="56"/>
      <c r="CN238" s="56"/>
      <c r="CO238" s="56"/>
      <c r="CP238" s="56"/>
      <c r="CQ238" s="56"/>
      <c r="CR238" s="56"/>
      <c r="CS238" s="56"/>
      <c r="CT238" s="56"/>
      <c r="CU238" s="56"/>
      <c r="CV238" s="56"/>
      <c r="CW238" s="56"/>
      <c r="CX238" s="56"/>
      <c r="CY238" s="56"/>
      <c r="CZ238" s="56"/>
      <c r="DA238" s="56"/>
      <c r="DB238" s="56"/>
      <c r="DC238" s="56"/>
      <c r="DD238" s="56"/>
      <c r="DE238" s="56"/>
      <c r="DF238" s="56"/>
      <c r="DG238" s="56"/>
      <c r="DH238" s="56"/>
      <c r="DI238" s="56"/>
      <c r="DJ238" s="56"/>
      <c r="DK238" s="56"/>
      <c r="DL238" s="56"/>
      <c r="DM238" s="56"/>
      <c r="DN238" s="56"/>
      <c r="DO238" s="56"/>
      <c r="DP238" s="56"/>
      <c r="DQ238" s="56"/>
      <c r="DR238" s="56"/>
      <c r="DS238" s="56"/>
      <c r="DT238" s="56"/>
      <c r="DU238" s="56"/>
      <c r="DV238" s="56"/>
      <c r="DW238" s="56"/>
      <c r="DX238" s="56"/>
      <c r="DY238" s="56"/>
      <c r="DZ238" s="56"/>
      <c r="EA238" s="56"/>
      <c r="EB238" s="56"/>
      <c r="EC238" s="56"/>
      <c r="ED238" s="56"/>
      <c r="EE238" s="56"/>
      <c r="EF238" s="56"/>
      <c r="EG238" s="56"/>
      <c r="EH238" s="56"/>
      <c r="EI238" s="56"/>
      <c r="EJ238" s="56"/>
      <c r="EK238" s="56"/>
    </row>
    <row r="239" spans="1:141" x14ac:dyDescent="0.55000000000000004"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  <c r="BN239" s="56"/>
      <c r="BO239" s="56"/>
      <c r="BP239" s="56"/>
      <c r="BQ239" s="56"/>
      <c r="BR239" s="56"/>
      <c r="BS239" s="56"/>
      <c r="BT239" s="56"/>
      <c r="BU239" s="56"/>
      <c r="BV239" s="56"/>
      <c r="BW239" s="56"/>
      <c r="BX239" s="56"/>
      <c r="BY239" s="56"/>
      <c r="BZ239" s="56"/>
      <c r="CA239" s="56"/>
      <c r="CB239" s="56"/>
      <c r="CC239" s="56"/>
      <c r="CD239" s="56"/>
      <c r="CE239" s="56"/>
      <c r="CF239" s="56"/>
      <c r="CG239" s="56"/>
      <c r="CH239" s="56"/>
      <c r="CI239" s="56"/>
      <c r="CJ239" s="56"/>
      <c r="CK239" s="56"/>
      <c r="CL239" s="56"/>
      <c r="CM239" s="56"/>
      <c r="CN239" s="56"/>
      <c r="CO239" s="56"/>
      <c r="CP239" s="56"/>
      <c r="CQ239" s="56"/>
      <c r="CR239" s="56"/>
      <c r="CS239" s="56"/>
      <c r="CT239" s="56"/>
      <c r="CU239" s="56"/>
      <c r="CV239" s="56"/>
      <c r="CW239" s="56"/>
      <c r="CX239" s="56"/>
      <c r="CY239" s="56"/>
      <c r="CZ239" s="56"/>
      <c r="DA239" s="56"/>
      <c r="DB239" s="56"/>
      <c r="DC239" s="56"/>
      <c r="DD239" s="56"/>
      <c r="DE239" s="56"/>
      <c r="DF239" s="56"/>
      <c r="DG239" s="56"/>
      <c r="DH239" s="56"/>
      <c r="DI239" s="56"/>
      <c r="DJ239" s="56"/>
      <c r="DK239" s="56"/>
      <c r="DL239" s="56"/>
      <c r="DM239" s="56"/>
      <c r="DN239" s="56"/>
      <c r="DO239" s="56"/>
      <c r="DP239" s="56"/>
      <c r="DQ239" s="56"/>
      <c r="DR239" s="56"/>
      <c r="DS239" s="56"/>
      <c r="DT239" s="56"/>
      <c r="DU239" s="56"/>
      <c r="DV239" s="56"/>
      <c r="DW239" s="56"/>
      <c r="DX239" s="56"/>
      <c r="DY239" s="56"/>
      <c r="DZ239" s="56"/>
      <c r="EA239" s="56"/>
      <c r="EB239" s="56"/>
      <c r="EC239" s="56"/>
      <c r="ED239" s="56"/>
      <c r="EE239" s="56"/>
      <c r="EF239" s="56"/>
      <c r="EG239" s="56"/>
      <c r="EH239" s="56"/>
      <c r="EI239" s="56"/>
      <c r="EJ239" s="56"/>
      <c r="EK239" s="56"/>
    </row>
    <row r="240" spans="1:141" x14ac:dyDescent="0.55000000000000004"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  <c r="BN240" s="56"/>
      <c r="BO240" s="56"/>
      <c r="BP240" s="56"/>
      <c r="BQ240" s="56"/>
      <c r="BR240" s="56"/>
      <c r="BS240" s="56"/>
      <c r="BT240" s="56"/>
      <c r="BU240" s="56"/>
      <c r="BV240" s="56"/>
      <c r="BW240" s="56"/>
      <c r="BX240" s="56"/>
      <c r="BY240" s="56"/>
      <c r="BZ240" s="56"/>
      <c r="CA240" s="56"/>
      <c r="CB240" s="56"/>
      <c r="CC240" s="56"/>
      <c r="CD240" s="56"/>
      <c r="CE240" s="56"/>
      <c r="CF240" s="56"/>
      <c r="CG240" s="56"/>
      <c r="CH240" s="56"/>
      <c r="CI240" s="56"/>
      <c r="CJ240" s="56"/>
      <c r="CK240" s="56"/>
      <c r="CL240" s="56"/>
      <c r="CM240" s="56"/>
      <c r="CN240" s="56"/>
      <c r="CO240" s="56"/>
      <c r="CP240" s="56"/>
      <c r="CQ240" s="56"/>
      <c r="CR240" s="56"/>
      <c r="CS240" s="56"/>
      <c r="CT240" s="56"/>
      <c r="CU240" s="56"/>
      <c r="CV240" s="56"/>
      <c r="CW240" s="56"/>
      <c r="CX240" s="56"/>
      <c r="CY240" s="56"/>
      <c r="CZ240" s="56"/>
      <c r="DA240" s="56"/>
      <c r="DB240" s="56"/>
      <c r="DC240" s="56"/>
      <c r="DD240" s="56"/>
      <c r="DE240" s="56"/>
      <c r="DF240" s="56"/>
      <c r="DG240" s="56"/>
      <c r="DH240" s="56"/>
      <c r="DI240" s="56"/>
      <c r="DJ240" s="56"/>
      <c r="DK240" s="56"/>
      <c r="DL240" s="56"/>
      <c r="DM240" s="56"/>
      <c r="DN240" s="56"/>
      <c r="DO240" s="56"/>
      <c r="DP240" s="56"/>
      <c r="DQ240" s="56"/>
      <c r="DR240" s="56"/>
      <c r="DS240" s="56"/>
      <c r="DT240" s="56"/>
      <c r="DU240" s="56"/>
      <c r="DV240" s="56"/>
      <c r="DW240" s="56"/>
      <c r="DX240" s="56"/>
      <c r="DY240" s="56"/>
      <c r="DZ240" s="56"/>
      <c r="EA240" s="56"/>
      <c r="EB240" s="56"/>
      <c r="EC240" s="56"/>
      <c r="ED240" s="56"/>
      <c r="EE240" s="56"/>
      <c r="EF240" s="56"/>
      <c r="EG240" s="56"/>
      <c r="EH240" s="56"/>
      <c r="EI240" s="56"/>
      <c r="EJ240" s="56"/>
      <c r="EK240" s="56"/>
    </row>
    <row r="241" spans="45:141" x14ac:dyDescent="0.55000000000000004"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  <c r="BN241" s="56"/>
      <c r="BO241" s="56"/>
      <c r="BP241" s="56"/>
      <c r="BQ241" s="56"/>
      <c r="BR241" s="56"/>
      <c r="BS241" s="56"/>
      <c r="BT241" s="56"/>
      <c r="BU241" s="56"/>
      <c r="BV241" s="56"/>
      <c r="BW241" s="56"/>
      <c r="BX241" s="56"/>
      <c r="BY241" s="56"/>
      <c r="BZ241" s="56"/>
      <c r="CA241" s="56"/>
      <c r="CB241" s="56"/>
      <c r="CC241" s="56"/>
      <c r="CD241" s="56"/>
      <c r="CE241" s="56"/>
      <c r="CF241" s="56"/>
      <c r="CG241" s="56"/>
      <c r="CH241" s="56"/>
      <c r="CI241" s="56"/>
      <c r="CJ241" s="56"/>
      <c r="CK241" s="56"/>
      <c r="CL241" s="56"/>
      <c r="CM241" s="56"/>
      <c r="CN241" s="56"/>
      <c r="CO241" s="56"/>
      <c r="CP241" s="56"/>
      <c r="CQ241" s="56"/>
      <c r="CR241" s="56"/>
      <c r="CS241" s="56"/>
      <c r="CT241" s="56"/>
      <c r="CU241" s="56"/>
      <c r="CV241" s="56"/>
      <c r="CW241" s="56"/>
      <c r="CX241" s="56"/>
      <c r="CY241" s="56"/>
      <c r="CZ241" s="56"/>
      <c r="DA241" s="56"/>
      <c r="DB241" s="56"/>
      <c r="DC241" s="56"/>
      <c r="DD241" s="56"/>
      <c r="DE241" s="56"/>
      <c r="DF241" s="56"/>
      <c r="DG241" s="56"/>
      <c r="DH241" s="56"/>
      <c r="DI241" s="56"/>
      <c r="DJ241" s="56"/>
      <c r="DK241" s="56"/>
      <c r="DL241" s="56"/>
      <c r="DM241" s="56"/>
      <c r="DN241" s="56"/>
      <c r="DO241" s="56"/>
      <c r="DP241" s="56"/>
      <c r="DQ241" s="56"/>
      <c r="DR241" s="56"/>
      <c r="DS241" s="56"/>
      <c r="DT241" s="56"/>
      <c r="DU241" s="56"/>
      <c r="DV241" s="56"/>
      <c r="DW241" s="56"/>
      <c r="DX241" s="56"/>
      <c r="DY241" s="56"/>
      <c r="DZ241" s="56"/>
      <c r="EA241" s="56"/>
      <c r="EB241" s="56"/>
      <c r="EC241" s="56"/>
      <c r="ED241" s="56"/>
      <c r="EE241" s="56"/>
      <c r="EF241" s="56"/>
      <c r="EG241" s="56"/>
      <c r="EH241" s="56"/>
      <c r="EI241" s="56"/>
      <c r="EJ241" s="56"/>
      <c r="EK241" s="56"/>
    </row>
    <row r="242" spans="45:141" x14ac:dyDescent="0.55000000000000004"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  <c r="BN242" s="56"/>
      <c r="BO242" s="56"/>
      <c r="BP242" s="56"/>
      <c r="BQ242" s="56"/>
      <c r="BR242" s="56"/>
      <c r="BS242" s="56"/>
      <c r="BT242" s="56"/>
      <c r="BU242" s="56"/>
      <c r="BV242" s="56"/>
      <c r="BW242" s="56"/>
      <c r="BX242" s="56"/>
      <c r="BY242" s="56"/>
      <c r="BZ242" s="56"/>
      <c r="CA242" s="56"/>
      <c r="CB242" s="56"/>
      <c r="CC242" s="56"/>
      <c r="CD242" s="56"/>
      <c r="CE242" s="56"/>
      <c r="CF242" s="56"/>
      <c r="CG242" s="56"/>
      <c r="CH242" s="56"/>
      <c r="CI242" s="56"/>
      <c r="CJ242" s="56"/>
      <c r="CK242" s="56"/>
      <c r="CL242" s="56"/>
      <c r="CM242" s="56"/>
      <c r="CN242" s="56"/>
      <c r="CO242" s="56"/>
      <c r="CP242" s="56"/>
      <c r="CQ242" s="56"/>
      <c r="CR242" s="56"/>
      <c r="CS242" s="56"/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  <c r="DF242" s="56"/>
      <c r="DG242" s="56"/>
      <c r="DH242" s="56"/>
      <c r="DI242" s="56"/>
      <c r="DJ242" s="56"/>
      <c r="DK242" s="56"/>
      <c r="DL242" s="56"/>
      <c r="DM242" s="56"/>
      <c r="DN242" s="56"/>
      <c r="DO242" s="56"/>
      <c r="DP242" s="56"/>
      <c r="DQ242" s="56"/>
      <c r="DR242" s="56"/>
      <c r="DS242" s="56"/>
      <c r="DT242" s="56"/>
      <c r="DU242" s="56"/>
      <c r="DV242" s="56"/>
      <c r="DW242" s="56"/>
      <c r="DX242" s="56"/>
      <c r="DY242" s="56"/>
      <c r="DZ242" s="56"/>
      <c r="EA242" s="56"/>
      <c r="EB242" s="56"/>
      <c r="EC242" s="56"/>
      <c r="ED242" s="56"/>
      <c r="EE242" s="56"/>
      <c r="EF242" s="56"/>
      <c r="EG242" s="56"/>
      <c r="EH242" s="56"/>
      <c r="EI242" s="56"/>
      <c r="EJ242" s="56"/>
      <c r="EK242" s="56"/>
    </row>
    <row r="243" spans="45:141" x14ac:dyDescent="0.55000000000000004"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  <c r="BN243" s="56"/>
      <c r="BO243" s="56"/>
      <c r="BP243" s="56"/>
      <c r="BQ243" s="56"/>
      <c r="BR243" s="56"/>
      <c r="BS243" s="56"/>
      <c r="BT243" s="56"/>
      <c r="BU243" s="56"/>
      <c r="BV243" s="56"/>
      <c r="BW243" s="56"/>
      <c r="BX243" s="56"/>
      <c r="BY243" s="56"/>
      <c r="BZ243" s="56"/>
      <c r="CA243" s="56"/>
      <c r="CB243" s="56"/>
      <c r="CC243" s="56"/>
      <c r="CD243" s="56"/>
      <c r="CE243" s="56"/>
      <c r="CF243" s="56"/>
      <c r="CG243" s="56"/>
      <c r="CH243" s="56"/>
      <c r="CI243" s="56"/>
      <c r="CJ243" s="56"/>
      <c r="CK243" s="56"/>
      <c r="CL243" s="56"/>
      <c r="CM243" s="56"/>
      <c r="CN243" s="56"/>
      <c r="CO243" s="56"/>
      <c r="CP243" s="56"/>
      <c r="CQ243" s="56"/>
      <c r="CR243" s="56"/>
      <c r="CS243" s="56"/>
      <c r="CT243" s="56"/>
      <c r="CU243" s="56"/>
      <c r="CV243" s="56"/>
      <c r="CW243" s="56"/>
      <c r="CX243" s="56"/>
      <c r="CY243" s="56"/>
      <c r="CZ243" s="56"/>
      <c r="DA243" s="56"/>
      <c r="DB243" s="56"/>
      <c r="DC243" s="56"/>
      <c r="DD243" s="56"/>
      <c r="DE243" s="56"/>
      <c r="DF243" s="56"/>
      <c r="DG243" s="56"/>
      <c r="DH243" s="56"/>
      <c r="DI243" s="56"/>
      <c r="DJ243" s="56"/>
      <c r="DK243" s="56"/>
      <c r="DL243" s="56"/>
      <c r="DM243" s="56"/>
      <c r="DN243" s="56"/>
      <c r="DO243" s="56"/>
      <c r="DP243" s="56"/>
      <c r="DQ243" s="56"/>
      <c r="DR243" s="56"/>
      <c r="DS243" s="56"/>
      <c r="DT243" s="56"/>
      <c r="DU243" s="56"/>
      <c r="DV243" s="56"/>
      <c r="DW243" s="56"/>
      <c r="DX243" s="56"/>
      <c r="DY243" s="56"/>
      <c r="DZ243" s="56"/>
      <c r="EA243" s="56"/>
      <c r="EB243" s="56"/>
      <c r="EC243" s="56"/>
      <c r="ED243" s="56"/>
      <c r="EE243" s="56"/>
      <c r="EF243" s="56"/>
      <c r="EG243" s="56"/>
      <c r="EH243" s="56"/>
      <c r="EI243" s="56"/>
      <c r="EJ243" s="56"/>
      <c r="EK243" s="56"/>
    </row>
    <row r="244" spans="45:141" x14ac:dyDescent="0.55000000000000004"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  <c r="BN244" s="56"/>
      <c r="BO244" s="56"/>
      <c r="BP244" s="56"/>
      <c r="BQ244" s="56"/>
      <c r="BR244" s="56"/>
      <c r="BS244" s="56"/>
      <c r="BT244" s="56"/>
      <c r="BU244" s="56"/>
      <c r="BV244" s="56"/>
      <c r="BW244" s="56"/>
      <c r="BX244" s="56"/>
      <c r="BY244" s="56"/>
      <c r="BZ244" s="56"/>
      <c r="CA244" s="56"/>
      <c r="CB244" s="56"/>
      <c r="CC244" s="56"/>
      <c r="CD244" s="56"/>
      <c r="CE244" s="56"/>
      <c r="CF244" s="56"/>
      <c r="CG244" s="56"/>
      <c r="CH244" s="56"/>
      <c r="CI244" s="56"/>
      <c r="CJ244" s="56"/>
      <c r="CK244" s="56"/>
      <c r="CL244" s="56"/>
      <c r="CM244" s="56"/>
      <c r="CN244" s="56"/>
      <c r="CO244" s="56"/>
      <c r="CP244" s="56"/>
      <c r="CQ244" s="56"/>
      <c r="CR244" s="56"/>
      <c r="CS244" s="56"/>
      <c r="CT244" s="56"/>
      <c r="CU244" s="56"/>
      <c r="CV244" s="56"/>
      <c r="CW244" s="56"/>
      <c r="CX244" s="56"/>
      <c r="CY244" s="56"/>
      <c r="CZ244" s="56"/>
      <c r="DA244" s="56"/>
      <c r="DB244" s="56"/>
      <c r="DC244" s="56"/>
      <c r="DD244" s="56"/>
      <c r="DE244" s="56"/>
      <c r="DF244" s="56"/>
      <c r="DG244" s="56"/>
      <c r="DH244" s="56"/>
      <c r="DI244" s="56"/>
      <c r="DJ244" s="56"/>
      <c r="DK244" s="56"/>
      <c r="DL244" s="56"/>
      <c r="DM244" s="56"/>
      <c r="DN244" s="56"/>
      <c r="DO244" s="56"/>
      <c r="DP244" s="56"/>
      <c r="DQ244" s="56"/>
      <c r="DR244" s="56"/>
      <c r="DS244" s="56"/>
      <c r="DT244" s="56"/>
      <c r="DU244" s="56"/>
      <c r="DV244" s="56"/>
      <c r="DW244" s="56"/>
      <c r="DX244" s="56"/>
      <c r="DY244" s="56"/>
      <c r="DZ244" s="56"/>
      <c r="EA244" s="56"/>
      <c r="EB244" s="56"/>
      <c r="EC244" s="56"/>
      <c r="ED244" s="56"/>
      <c r="EE244" s="56"/>
      <c r="EF244" s="56"/>
      <c r="EG244" s="56"/>
      <c r="EH244" s="56"/>
      <c r="EI244" s="56"/>
      <c r="EJ244" s="56"/>
      <c r="EK244" s="56"/>
    </row>
    <row r="245" spans="45:141" x14ac:dyDescent="0.55000000000000004"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  <c r="BN245" s="56"/>
      <c r="BO245" s="56"/>
      <c r="BP245" s="56"/>
      <c r="BQ245" s="56"/>
      <c r="BR245" s="56"/>
      <c r="BS245" s="56"/>
      <c r="BT245" s="56"/>
      <c r="BU245" s="56"/>
      <c r="BV245" s="56"/>
      <c r="BW245" s="56"/>
      <c r="BX245" s="56"/>
      <c r="BY245" s="56"/>
      <c r="BZ245" s="56"/>
      <c r="CA245" s="56"/>
      <c r="CB245" s="56"/>
      <c r="CC245" s="56"/>
      <c r="CD245" s="56"/>
      <c r="CE245" s="56"/>
      <c r="CF245" s="56"/>
      <c r="CG245" s="56"/>
      <c r="CH245" s="56"/>
      <c r="CI245" s="56"/>
      <c r="CJ245" s="56"/>
      <c r="CK245" s="56"/>
      <c r="CL245" s="56"/>
      <c r="CM245" s="56"/>
      <c r="CN245" s="56"/>
      <c r="CO245" s="56"/>
      <c r="CP245" s="56"/>
      <c r="CQ245" s="56"/>
      <c r="CR245" s="56"/>
      <c r="CS245" s="56"/>
      <c r="CT245" s="56"/>
      <c r="CU245" s="56"/>
      <c r="CV245" s="56"/>
      <c r="CW245" s="56"/>
      <c r="CX245" s="56"/>
      <c r="CY245" s="56"/>
      <c r="CZ245" s="56"/>
      <c r="DA245" s="56"/>
      <c r="DB245" s="56"/>
      <c r="DC245" s="56"/>
      <c r="DD245" s="56"/>
      <c r="DE245" s="56"/>
      <c r="DF245" s="56"/>
      <c r="DG245" s="56"/>
      <c r="DH245" s="56"/>
      <c r="DI245" s="56"/>
      <c r="DJ245" s="56"/>
      <c r="DK245" s="56"/>
      <c r="DL245" s="56"/>
      <c r="DM245" s="56"/>
      <c r="DN245" s="56"/>
      <c r="DO245" s="56"/>
      <c r="DP245" s="56"/>
      <c r="DQ245" s="56"/>
      <c r="DR245" s="56"/>
      <c r="DS245" s="56"/>
      <c r="DT245" s="56"/>
      <c r="DU245" s="56"/>
      <c r="DV245" s="56"/>
      <c r="DW245" s="56"/>
      <c r="DX245" s="56"/>
      <c r="DY245" s="56"/>
      <c r="DZ245" s="56"/>
      <c r="EA245" s="56"/>
      <c r="EB245" s="56"/>
      <c r="EC245" s="56"/>
      <c r="ED245" s="56"/>
      <c r="EE245" s="56"/>
      <c r="EF245" s="56"/>
      <c r="EG245" s="56"/>
      <c r="EH245" s="56"/>
      <c r="EI245" s="56"/>
      <c r="EJ245" s="56"/>
      <c r="EK245" s="56"/>
    </row>
    <row r="246" spans="45:141" x14ac:dyDescent="0.55000000000000004"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  <c r="BN246" s="56"/>
      <c r="BO246" s="56"/>
      <c r="BP246" s="56"/>
      <c r="BQ246" s="56"/>
      <c r="BR246" s="56"/>
      <c r="BS246" s="56"/>
      <c r="BT246" s="56"/>
      <c r="BU246" s="56"/>
      <c r="BV246" s="56"/>
      <c r="BW246" s="56"/>
      <c r="BX246" s="56"/>
      <c r="BY246" s="56"/>
      <c r="BZ246" s="56"/>
      <c r="CA246" s="56"/>
      <c r="CB246" s="56"/>
      <c r="CC246" s="56"/>
      <c r="CD246" s="56"/>
      <c r="CE246" s="56"/>
      <c r="CF246" s="56"/>
      <c r="CG246" s="56"/>
      <c r="CH246" s="56"/>
      <c r="CI246" s="56"/>
      <c r="CJ246" s="56"/>
      <c r="CK246" s="56"/>
      <c r="CL246" s="56"/>
      <c r="CM246" s="56"/>
      <c r="CN246" s="56"/>
      <c r="CO246" s="56"/>
      <c r="CP246" s="56"/>
      <c r="CQ246" s="56"/>
      <c r="CR246" s="56"/>
      <c r="CS246" s="56"/>
      <c r="CT246" s="56"/>
      <c r="CU246" s="56"/>
      <c r="CV246" s="56"/>
      <c r="CW246" s="56"/>
      <c r="CX246" s="56"/>
      <c r="CY246" s="56"/>
      <c r="CZ246" s="56"/>
      <c r="DA246" s="56"/>
      <c r="DB246" s="56"/>
      <c r="DC246" s="56"/>
      <c r="DD246" s="56"/>
      <c r="DE246" s="56"/>
      <c r="DF246" s="56"/>
      <c r="DG246" s="56"/>
      <c r="DH246" s="56"/>
      <c r="DI246" s="56"/>
      <c r="DJ246" s="56"/>
      <c r="DK246" s="56"/>
      <c r="DL246" s="56"/>
      <c r="DM246" s="56"/>
      <c r="DN246" s="56"/>
      <c r="DO246" s="56"/>
      <c r="DP246" s="56"/>
      <c r="DQ246" s="56"/>
      <c r="DR246" s="56"/>
      <c r="DS246" s="56"/>
      <c r="DT246" s="56"/>
      <c r="DU246" s="56"/>
      <c r="DV246" s="56"/>
      <c r="DW246" s="56"/>
      <c r="DX246" s="56"/>
      <c r="DY246" s="56"/>
      <c r="DZ246" s="56"/>
      <c r="EA246" s="56"/>
      <c r="EB246" s="56"/>
      <c r="EC246" s="56"/>
      <c r="ED246" s="56"/>
      <c r="EE246" s="56"/>
      <c r="EF246" s="56"/>
      <c r="EG246" s="56"/>
      <c r="EH246" s="56"/>
      <c r="EI246" s="56"/>
      <c r="EJ246" s="56"/>
      <c r="EK246" s="56"/>
    </row>
    <row r="247" spans="45:141" x14ac:dyDescent="0.55000000000000004"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  <c r="BN247" s="56"/>
      <c r="BO247" s="56"/>
      <c r="BP247" s="56"/>
      <c r="BQ247" s="56"/>
      <c r="BR247" s="56"/>
      <c r="BS247" s="56"/>
      <c r="BT247" s="56"/>
      <c r="BU247" s="56"/>
      <c r="BV247" s="56"/>
      <c r="BW247" s="56"/>
      <c r="BX247" s="56"/>
      <c r="BY247" s="56"/>
      <c r="BZ247" s="56"/>
      <c r="CA247" s="56"/>
      <c r="CB247" s="56"/>
      <c r="CC247" s="56"/>
      <c r="CD247" s="56"/>
      <c r="CE247" s="56"/>
      <c r="CF247" s="56"/>
      <c r="CG247" s="56"/>
      <c r="CH247" s="56"/>
      <c r="CI247" s="56"/>
      <c r="CJ247" s="56"/>
      <c r="CK247" s="56"/>
      <c r="CL247" s="56"/>
      <c r="CM247" s="56"/>
      <c r="CN247" s="56"/>
      <c r="CO247" s="56"/>
      <c r="CP247" s="56"/>
      <c r="CQ247" s="56"/>
      <c r="CR247" s="56"/>
      <c r="CS247" s="56"/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  <c r="DF247" s="56"/>
      <c r="DG247" s="56"/>
      <c r="DH247" s="56"/>
      <c r="DI247" s="56"/>
      <c r="DJ247" s="56"/>
      <c r="DK247" s="56"/>
      <c r="DL247" s="56"/>
      <c r="DM247" s="56"/>
      <c r="DN247" s="56"/>
      <c r="DO247" s="56"/>
      <c r="DP247" s="56"/>
      <c r="DQ247" s="56"/>
      <c r="DR247" s="56"/>
      <c r="DS247" s="56"/>
      <c r="DT247" s="56"/>
      <c r="DU247" s="56"/>
      <c r="DV247" s="56"/>
      <c r="DW247" s="56"/>
      <c r="DX247" s="56"/>
      <c r="DY247" s="56"/>
      <c r="DZ247" s="56"/>
      <c r="EA247" s="56"/>
      <c r="EB247" s="56"/>
      <c r="EC247" s="56"/>
      <c r="ED247" s="56"/>
      <c r="EE247" s="56"/>
      <c r="EF247" s="56"/>
      <c r="EG247" s="56"/>
      <c r="EH247" s="56"/>
      <c r="EI247" s="56"/>
      <c r="EJ247" s="56"/>
      <c r="EK247" s="56"/>
    </row>
    <row r="248" spans="45:141" x14ac:dyDescent="0.55000000000000004"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  <c r="BN248" s="56"/>
      <c r="BO248" s="56"/>
      <c r="BP248" s="56"/>
      <c r="BQ248" s="56"/>
      <c r="BR248" s="56"/>
      <c r="BS248" s="56"/>
      <c r="BT248" s="56"/>
      <c r="BU248" s="56"/>
      <c r="BV248" s="56"/>
      <c r="BW248" s="56"/>
      <c r="BX248" s="56"/>
      <c r="BY248" s="56"/>
      <c r="BZ248" s="56"/>
      <c r="CA248" s="56"/>
      <c r="CB248" s="56"/>
      <c r="CC248" s="56"/>
      <c r="CD248" s="56"/>
      <c r="CE248" s="56"/>
      <c r="CF248" s="56"/>
      <c r="CG248" s="56"/>
      <c r="CH248" s="56"/>
      <c r="CI248" s="56"/>
      <c r="CJ248" s="56"/>
      <c r="CK248" s="56"/>
      <c r="CL248" s="56"/>
      <c r="CM248" s="56"/>
      <c r="CN248" s="56"/>
      <c r="CO248" s="56"/>
      <c r="CP248" s="56"/>
      <c r="CQ248" s="56"/>
      <c r="CR248" s="56"/>
      <c r="CS248" s="56"/>
      <c r="CT248" s="56"/>
      <c r="CU248" s="56"/>
      <c r="CV248" s="56"/>
      <c r="CW248" s="56"/>
      <c r="CX248" s="56"/>
      <c r="CY248" s="56"/>
      <c r="CZ248" s="56"/>
      <c r="DA248" s="56"/>
      <c r="DB248" s="56"/>
      <c r="DC248" s="56"/>
      <c r="DD248" s="56"/>
      <c r="DE248" s="56"/>
      <c r="DF248" s="56"/>
      <c r="DG248" s="56"/>
      <c r="DH248" s="56"/>
      <c r="DI248" s="56"/>
      <c r="DJ248" s="56"/>
      <c r="DK248" s="56"/>
      <c r="DL248" s="56"/>
      <c r="DM248" s="56"/>
      <c r="DN248" s="56"/>
      <c r="DO248" s="56"/>
      <c r="DP248" s="56"/>
      <c r="DQ248" s="56"/>
      <c r="DR248" s="56"/>
      <c r="DS248" s="56"/>
      <c r="DT248" s="56"/>
      <c r="DU248" s="56"/>
      <c r="DV248" s="56"/>
      <c r="DW248" s="56"/>
      <c r="DX248" s="56"/>
      <c r="DY248" s="56"/>
      <c r="DZ248" s="56"/>
      <c r="EA248" s="56"/>
      <c r="EB248" s="56"/>
      <c r="EC248" s="56"/>
      <c r="ED248" s="56"/>
      <c r="EE248" s="56"/>
      <c r="EF248" s="56"/>
      <c r="EG248" s="56"/>
      <c r="EH248" s="56"/>
      <c r="EI248" s="56"/>
      <c r="EJ248" s="56"/>
      <c r="EK248" s="56"/>
    </row>
  </sheetData>
  <mergeCells count="683">
    <mergeCell ref="AT3:BB3"/>
    <mergeCell ref="A188:AR188"/>
    <mergeCell ref="A194:A195"/>
    <mergeCell ref="B194:B195"/>
    <mergeCell ref="C194:C195"/>
    <mergeCell ref="D194:L195"/>
    <mergeCell ref="M195:N195"/>
    <mergeCell ref="O195:Q195"/>
    <mergeCell ref="R195:T195"/>
    <mergeCell ref="U195:V195"/>
    <mergeCell ref="W195:Y195"/>
    <mergeCell ref="Z195:AB195"/>
    <mergeCell ref="AC195:AD195"/>
    <mergeCell ref="AE195:AG195"/>
    <mergeCell ref="AH195:AJ195"/>
    <mergeCell ref="AK195:AL195"/>
    <mergeCell ref="AM195:AO195"/>
    <mergeCell ref="AP195:AR195"/>
    <mergeCell ref="A189:AR189"/>
    <mergeCell ref="AM184:AO184"/>
    <mergeCell ref="AP184:AR184"/>
    <mergeCell ref="A186:A187"/>
    <mergeCell ref="B186:B187"/>
    <mergeCell ref="C186:C187"/>
    <mergeCell ref="D186:L187"/>
    <mergeCell ref="M187:N187"/>
    <mergeCell ref="O187:Q187"/>
    <mergeCell ref="R187:T187"/>
    <mergeCell ref="U187:V187"/>
    <mergeCell ref="W187:Y187"/>
    <mergeCell ref="Z187:AB187"/>
    <mergeCell ref="AC187:AD187"/>
    <mergeCell ref="AE187:AG187"/>
    <mergeCell ref="AH187:AJ187"/>
    <mergeCell ref="AK187:AL187"/>
    <mergeCell ref="AM187:AO187"/>
    <mergeCell ref="AP187:AR187"/>
    <mergeCell ref="Z184:AB184"/>
    <mergeCell ref="AC184:AD184"/>
    <mergeCell ref="AE184:AG184"/>
    <mergeCell ref="AH184:AJ184"/>
    <mergeCell ref="AK184:AL184"/>
    <mergeCell ref="AC170:AD170"/>
    <mergeCell ref="AE170:AG170"/>
    <mergeCell ref="AH170:AJ170"/>
    <mergeCell ref="AK170:AL170"/>
    <mergeCell ref="AM170:AO170"/>
    <mergeCell ref="AP170:AR170"/>
    <mergeCell ref="M167:N167"/>
    <mergeCell ref="O167:Q167"/>
    <mergeCell ref="R167:T167"/>
    <mergeCell ref="U167:V167"/>
    <mergeCell ref="W167:Y167"/>
    <mergeCell ref="B169:B170"/>
    <mergeCell ref="C169:C170"/>
    <mergeCell ref="D169:L170"/>
    <mergeCell ref="M170:N170"/>
    <mergeCell ref="O170:Q170"/>
    <mergeCell ref="R170:T170"/>
    <mergeCell ref="U170:V170"/>
    <mergeCell ref="W170:Y170"/>
    <mergeCell ref="Z170:AB170"/>
    <mergeCell ref="AM160:AO160"/>
    <mergeCell ref="AP160:AR160"/>
    <mergeCell ref="W156:Y158"/>
    <mergeCell ref="A161:AR161"/>
    <mergeCell ref="A159:A160"/>
    <mergeCell ref="B159:B160"/>
    <mergeCell ref="C159:C160"/>
    <mergeCell ref="D159:L160"/>
    <mergeCell ref="M160:N160"/>
    <mergeCell ref="O160:Q160"/>
    <mergeCell ref="R160:T160"/>
    <mergeCell ref="U160:V160"/>
    <mergeCell ref="W160:Y160"/>
    <mergeCell ref="Z160:AB160"/>
    <mergeCell ref="AC160:AD160"/>
    <mergeCell ref="AE160:AG160"/>
    <mergeCell ref="AH160:AJ160"/>
    <mergeCell ref="AK160:AL160"/>
    <mergeCell ref="Z153:AB153"/>
    <mergeCell ref="AC153:AD153"/>
    <mergeCell ref="AE153:AG153"/>
    <mergeCell ref="AH153:AJ153"/>
    <mergeCell ref="AK153:AL153"/>
    <mergeCell ref="AM153:AO153"/>
    <mergeCell ref="AP153:AR153"/>
    <mergeCell ref="A154:AR154"/>
    <mergeCell ref="A155:AR155"/>
    <mergeCell ref="W151:Y151"/>
    <mergeCell ref="A152:A153"/>
    <mergeCell ref="B152:B153"/>
    <mergeCell ref="C152:C153"/>
    <mergeCell ref="D152:L153"/>
    <mergeCell ref="M153:N153"/>
    <mergeCell ref="O153:Q153"/>
    <mergeCell ref="R153:T153"/>
    <mergeCell ref="U153:V153"/>
    <mergeCell ref="W153:Y153"/>
    <mergeCell ref="A144:AR144"/>
    <mergeCell ref="A145:AR145"/>
    <mergeCell ref="A149:A150"/>
    <mergeCell ref="B149:B150"/>
    <mergeCell ref="C149:C150"/>
    <mergeCell ref="D149:L150"/>
    <mergeCell ref="M150:N150"/>
    <mergeCell ref="O150:Q150"/>
    <mergeCell ref="R150:T150"/>
    <mergeCell ref="U150:V150"/>
    <mergeCell ref="W150:Y150"/>
    <mergeCell ref="Z150:AB150"/>
    <mergeCell ref="AC150:AD150"/>
    <mergeCell ref="AE150:AG150"/>
    <mergeCell ref="AH150:AJ150"/>
    <mergeCell ref="AK150:AL150"/>
    <mergeCell ref="AM150:AO150"/>
    <mergeCell ref="AP150:AR150"/>
    <mergeCell ref="W146:Y148"/>
    <mergeCell ref="A135:AR135"/>
    <mergeCell ref="A136:AR136"/>
    <mergeCell ref="A142:A143"/>
    <mergeCell ref="B142:B143"/>
    <mergeCell ref="C142:C143"/>
    <mergeCell ref="D142:L143"/>
    <mergeCell ref="M143:N143"/>
    <mergeCell ref="O143:Q143"/>
    <mergeCell ref="R143:T143"/>
    <mergeCell ref="U143:V143"/>
    <mergeCell ref="W143:Y143"/>
    <mergeCell ref="Z143:AB143"/>
    <mergeCell ref="AC143:AD143"/>
    <mergeCell ref="AE143:AG143"/>
    <mergeCell ref="AH143:AJ143"/>
    <mergeCell ref="AK143:AL143"/>
    <mergeCell ref="AM143:AO143"/>
    <mergeCell ref="AP143:AR143"/>
    <mergeCell ref="W137:Y141"/>
    <mergeCell ref="A50:AR50"/>
    <mergeCell ref="A51:AR51"/>
    <mergeCell ref="Z46:AB46"/>
    <mergeCell ref="AC46:AD46"/>
    <mergeCell ref="AE46:AG46"/>
    <mergeCell ref="AH46:AJ46"/>
    <mergeCell ref="AK46:AL46"/>
    <mergeCell ref="AM46:AO46"/>
    <mergeCell ref="AP46:AR46"/>
    <mergeCell ref="A48:A49"/>
    <mergeCell ref="B48:B49"/>
    <mergeCell ref="C48:C49"/>
    <mergeCell ref="D48:L49"/>
    <mergeCell ref="M49:N49"/>
    <mergeCell ref="O49:Q49"/>
    <mergeCell ref="R49:T49"/>
    <mergeCell ref="U49:V49"/>
    <mergeCell ref="W49:Y49"/>
    <mergeCell ref="Z49:AB49"/>
    <mergeCell ref="AC49:AD49"/>
    <mergeCell ref="AE49:AG49"/>
    <mergeCell ref="AH49:AJ49"/>
    <mergeCell ref="AK49:AL49"/>
    <mergeCell ref="AM49:AO49"/>
    <mergeCell ref="AP49:AR49"/>
    <mergeCell ref="A45:A46"/>
    <mergeCell ref="B45:B46"/>
    <mergeCell ref="C45:C46"/>
    <mergeCell ref="D45:L46"/>
    <mergeCell ref="M46:N46"/>
    <mergeCell ref="O46:Q46"/>
    <mergeCell ref="R46:T46"/>
    <mergeCell ref="U46:V46"/>
    <mergeCell ref="W46:Y46"/>
    <mergeCell ref="A38:AR38"/>
    <mergeCell ref="A42:A43"/>
    <mergeCell ref="B42:B43"/>
    <mergeCell ref="C42:C43"/>
    <mergeCell ref="D42:L43"/>
    <mergeCell ref="M43:N43"/>
    <mergeCell ref="O43:Q43"/>
    <mergeCell ref="R43:T43"/>
    <mergeCell ref="U43:V43"/>
    <mergeCell ref="W43:Y43"/>
    <mergeCell ref="Z43:AB43"/>
    <mergeCell ref="AC43:AD43"/>
    <mergeCell ref="AE43:AG43"/>
    <mergeCell ref="AH43:AJ43"/>
    <mergeCell ref="AK43:AL43"/>
    <mergeCell ref="AM43:AO43"/>
    <mergeCell ref="AP43:AR43"/>
    <mergeCell ref="R23:T23"/>
    <mergeCell ref="AM23:AO23"/>
    <mergeCell ref="AP23:AR23"/>
    <mergeCell ref="AK37:AL37"/>
    <mergeCell ref="AM37:AO37"/>
    <mergeCell ref="AP37:AR37"/>
    <mergeCell ref="O37:Q37"/>
    <mergeCell ref="R37:T37"/>
    <mergeCell ref="Z37:AB37"/>
    <mergeCell ref="AC37:AD37"/>
    <mergeCell ref="AE37:AG37"/>
    <mergeCell ref="AH37:AJ37"/>
    <mergeCell ref="A1:AR1"/>
    <mergeCell ref="A36:A37"/>
    <mergeCell ref="B36:B37"/>
    <mergeCell ref="C36:C37"/>
    <mergeCell ref="D36:L37"/>
    <mergeCell ref="M37:N37"/>
    <mergeCell ref="U37:V37"/>
    <mergeCell ref="W37:Y37"/>
    <mergeCell ref="R3:T3"/>
    <mergeCell ref="U3:V3"/>
    <mergeCell ref="U4:U5"/>
    <mergeCell ref="V4:V5"/>
    <mergeCell ref="Q4:Q5"/>
    <mergeCell ref="R4:R5"/>
    <mergeCell ref="S4:S5"/>
    <mergeCell ref="T4:T5"/>
    <mergeCell ref="W3:Y3"/>
    <mergeCell ref="D3:F4"/>
    <mergeCell ref="G3:G5"/>
    <mergeCell ref="H3:H5"/>
    <mergeCell ref="I3:I5"/>
    <mergeCell ref="J3:J5"/>
    <mergeCell ref="M23:N23"/>
    <mergeCell ref="O23:Q23"/>
    <mergeCell ref="A2:A5"/>
    <mergeCell ref="B2:B5"/>
    <mergeCell ref="C2:C5"/>
    <mergeCell ref="D2:F2"/>
    <mergeCell ref="G2:I2"/>
    <mergeCell ref="K3:K5"/>
    <mergeCell ref="L3:L5"/>
    <mergeCell ref="M3:N3"/>
    <mergeCell ref="M4:M5"/>
    <mergeCell ref="N4:N5"/>
    <mergeCell ref="AO4:AO5"/>
    <mergeCell ref="AP4:AP5"/>
    <mergeCell ref="AQ4:AQ5"/>
    <mergeCell ref="AR4:AR5"/>
    <mergeCell ref="J2:L2"/>
    <mergeCell ref="M2:T2"/>
    <mergeCell ref="A22:A23"/>
    <mergeCell ref="B22:B23"/>
    <mergeCell ref="C22:C23"/>
    <mergeCell ref="D22:L23"/>
    <mergeCell ref="A7:AR7"/>
    <mergeCell ref="A6:AR6"/>
    <mergeCell ref="U2:AB2"/>
    <mergeCell ref="AM3:AO3"/>
    <mergeCell ref="AP3:AR3"/>
    <mergeCell ref="O4:O5"/>
    <mergeCell ref="P4:P5"/>
    <mergeCell ref="U23:V23"/>
    <mergeCell ref="W23:Y23"/>
    <mergeCell ref="Z23:AB23"/>
    <mergeCell ref="AC23:AD23"/>
    <mergeCell ref="AE23:AG23"/>
    <mergeCell ref="AH23:AJ23"/>
    <mergeCell ref="AK23:AL23"/>
    <mergeCell ref="Y4:Y5"/>
    <mergeCell ref="Z4:Z5"/>
    <mergeCell ref="AA4:AA5"/>
    <mergeCell ref="AB4:AB5"/>
    <mergeCell ref="Z3:AB3"/>
    <mergeCell ref="AC3:AD3"/>
    <mergeCell ref="AE3:AG3"/>
    <mergeCell ref="AH3:AJ3"/>
    <mergeCell ref="AK3:AL3"/>
    <mergeCell ref="A196:AR196"/>
    <mergeCell ref="A70:A71"/>
    <mergeCell ref="A64:A65"/>
    <mergeCell ref="B64:B65"/>
    <mergeCell ref="C64:C65"/>
    <mergeCell ref="D64:L65"/>
    <mergeCell ref="A66:AR66"/>
    <mergeCell ref="AC2:AJ2"/>
    <mergeCell ref="AK2:AR2"/>
    <mergeCell ref="O3:Q3"/>
    <mergeCell ref="AI4:AI5"/>
    <mergeCell ref="AJ4:AJ5"/>
    <mergeCell ref="AK4:AK5"/>
    <mergeCell ref="AL4:AL5"/>
    <mergeCell ref="AM4:AM5"/>
    <mergeCell ref="AN4:AN5"/>
    <mergeCell ref="AC4:AC5"/>
    <mergeCell ref="AD4:AD5"/>
    <mergeCell ref="AE4:AE5"/>
    <mergeCell ref="AF4:AF5"/>
    <mergeCell ref="AG4:AG5"/>
    <mergeCell ref="AH4:AH5"/>
    <mergeCell ref="W4:W5"/>
    <mergeCell ref="X4:X5"/>
    <mergeCell ref="A176:C177"/>
    <mergeCell ref="A166:A167"/>
    <mergeCell ref="B166:B167"/>
    <mergeCell ref="C166:C167"/>
    <mergeCell ref="D166:L167"/>
    <mergeCell ref="A171:AR171"/>
    <mergeCell ref="A172:AR172"/>
    <mergeCell ref="A183:A184"/>
    <mergeCell ref="B183:B184"/>
    <mergeCell ref="C183:C184"/>
    <mergeCell ref="D183:L184"/>
    <mergeCell ref="M184:N184"/>
    <mergeCell ref="O184:Q184"/>
    <mergeCell ref="R184:T184"/>
    <mergeCell ref="U184:V184"/>
    <mergeCell ref="W184:Y184"/>
    <mergeCell ref="Z167:AB167"/>
    <mergeCell ref="AC167:AD167"/>
    <mergeCell ref="AE167:AG167"/>
    <mergeCell ref="AH167:AJ167"/>
    <mergeCell ref="AK167:AL167"/>
    <mergeCell ref="AM167:AO167"/>
    <mergeCell ref="AP167:AR167"/>
    <mergeCell ref="A169:A170"/>
    <mergeCell ref="AP55:AR55"/>
    <mergeCell ref="A59:AR59"/>
    <mergeCell ref="A54:A55"/>
    <mergeCell ref="B54:B55"/>
    <mergeCell ref="C54:C55"/>
    <mergeCell ref="D54:L55"/>
    <mergeCell ref="M55:N55"/>
    <mergeCell ref="O55:Q55"/>
    <mergeCell ref="R55:T55"/>
    <mergeCell ref="U55:V55"/>
    <mergeCell ref="W55:Y55"/>
    <mergeCell ref="AM55:AO55"/>
    <mergeCell ref="AC65:AD65"/>
    <mergeCell ref="AE65:AG65"/>
    <mergeCell ref="AH65:AJ65"/>
    <mergeCell ref="Z55:AB55"/>
    <mergeCell ref="AC55:AD55"/>
    <mergeCell ref="AE55:AG55"/>
    <mergeCell ref="AH55:AJ55"/>
    <mergeCell ref="AK55:AL55"/>
    <mergeCell ref="AK65:AL65"/>
    <mergeCell ref="AM65:AO65"/>
    <mergeCell ref="AP65:AR65"/>
    <mergeCell ref="A57:A58"/>
    <mergeCell ref="B57:B58"/>
    <mergeCell ref="C57:C58"/>
    <mergeCell ref="D57:L58"/>
    <mergeCell ref="M58:N58"/>
    <mergeCell ref="O58:Q58"/>
    <mergeCell ref="R58:T58"/>
    <mergeCell ref="U58:V58"/>
    <mergeCell ref="W58:Y58"/>
    <mergeCell ref="Z58:AB58"/>
    <mergeCell ref="AC58:AD58"/>
    <mergeCell ref="AE58:AG58"/>
    <mergeCell ref="AH58:AJ58"/>
    <mergeCell ref="AK58:AL58"/>
    <mergeCell ref="AM58:AO58"/>
    <mergeCell ref="AP58:AR58"/>
    <mergeCell ref="M65:N65"/>
    <mergeCell ref="O65:Q65"/>
    <mergeCell ref="R65:T65"/>
    <mergeCell ref="U65:V65"/>
    <mergeCell ref="W65:Y65"/>
    <mergeCell ref="Z65:AB65"/>
    <mergeCell ref="B74:B75"/>
    <mergeCell ref="C74:C75"/>
    <mergeCell ref="D74:L75"/>
    <mergeCell ref="M75:N75"/>
    <mergeCell ref="O75:Q75"/>
    <mergeCell ref="R75:T75"/>
    <mergeCell ref="U75:V75"/>
    <mergeCell ref="W75:Y75"/>
    <mergeCell ref="A67:AR67"/>
    <mergeCell ref="B70:B71"/>
    <mergeCell ref="C70:C71"/>
    <mergeCell ref="D70:L71"/>
    <mergeCell ref="M71:N71"/>
    <mergeCell ref="O71:Q71"/>
    <mergeCell ref="R71:T71"/>
    <mergeCell ref="U71:V71"/>
    <mergeCell ref="W71:Y71"/>
    <mergeCell ref="Z71:AB71"/>
    <mergeCell ref="AC71:AD71"/>
    <mergeCell ref="AE71:AG71"/>
    <mergeCell ref="AH71:AJ71"/>
    <mergeCell ref="AK71:AL71"/>
    <mergeCell ref="AM71:AO71"/>
    <mergeCell ref="AP71:AR71"/>
    <mergeCell ref="Z75:AB75"/>
    <mergeCell ref="AC75:AD75"/>
    <mergeCell ref="AE75:AG75"/>
    <mergeCell ref="AH75:AJ75"/>
    <mergeCell ref="AK75:AL75"/>
    <mergeCell ref="AM75:AO75"/>
    <mergeCell ref="AP75:AR75"/>
    <mergeCell ref="A76:AR76"/>
    <mergeCell ref="A79:A80"/>
    <mergeCell ref="B79:B80"/>
    <mergeCell ref="C79:C80"/>
    <mergeCell ref="D79:L80"/>
    <mergeCell ref="M80:N80"/>
    <mergeCell ref="O80:Q80"/>
    <mergeCell ref="R80:T80"/>
    <mergeCell ref="U80:V80"/>
    <mergeCell ref="W80:Y80"/>
    <mergeCell ref="Z80:AB80"/>
    <mergeCell ref="AC80:AD80"/>
    <mergeCell ref="AE80:AG80"/>
    <mergeCell ref="AH80:AJ80"/>
    <mergeCell ref="AK80:AL80"/>
    <mergeCell ref="AM80:AO80"/>
    <mergeCell ref="A74:A75"/>
    <mergeCell ref="AP80:AR80"/>
    <mergeCell ref="A83:A84"/>
    <mergeCell ref="B83:B84"/>
    <mergeCell ref="C83:C84"/>
    <mergeCell ref="D83:L84"/>
    <mergeCell ref="M84:N84"/>
    <mergeCell ref="O84:Q84"/>
    <mergeCell ref="R84:T84"/>
    <mergeCell ref="U84:V84"/>
    <mergeCell ref="W84:Y84"/>
    <mergeCell ref="Z84:AB84"/>
    <mergeCell ref="AC84:AD84"/>
    <mergeCell ref="AE84:AG84"/>
    <mergeCell ref="AH84:AJ84"/>
    <mergeCell ref="AK84:AL84"/>
    <mergeCell ref="AM84:AO84"/>
    <mergeCell ref="AP84:AR84"/>
    <mergeCell ref="A85:AR85"/>
    <mergeCell ref="A86:AR86"/>
    <mergeCell ref="A89:A90"/>
    <mergeCell ref="B89:B90"/>
    <mergeCell ref="C89:C90"/>
    <mergeCell ref="D89:L90"/>
    <mergeCell ref="M90:N90"/>
    <mergeCell ref="O90:Q90"/>
    <mergeCell ref="R90:T90"/>
    <mergeCell ref="U90:V90"/>
    <mergeCell ref="W90:Y90"/>
    <mergeCell ref="Z90:AB90"/>
    <mergeCell ref="AC90:AD90"/>
    <mergeCell ref="AE90:AG90"/>
    <mergeCell ref="AH90:AJ90"/>
    <mergeCell ref="AK90:AL90"/>
    <mergeCell ref="AM90:AO90"/>
    <mergeCell ref="AP90:AR90"/>
    <mergeCell ref="A91:AR91"/>
    <mergeCell ref="A92:AR92"/>
    <mergeCell ref="A94:A95"/>
    <mergeCell ref="B94:B95"/>
    <mergeCell ref="C94:C95"/>
    <mergeCell ref="D94:L95"/>
    <mergeCell ref="M95:N95"/>
    <mergeCell ref="O95:Q95"/>
    <mergeCell ref="R95:T95"/>
    <mergeCell ref="U95:V95"/>
    <mergeCell ref="W95:Y95"/>
    <mergeCell ref="Z95:AB95"/>
    <mergeCell ref="AC95:AD95"/>
    <mergeCell ref="AE95:AG95"/>
    <mergeCell ref="AH95:AJ95"/>
    <mergeCell ref="AK95:AL95"/>
    <mergeCell ref="AM95:AO95"/>
    <mergeCell ref="AP95:AR95"/>
    <mergeCell ref="AP107:AR107"/>
    <mergeCell ref="A96:AR96"/>
    <mergeCell ref="A97:AR97"/>
    <mergeCell ref="A102:A103"/>
    <mergeCell ref="B102:B103"/>
    <mergeCell ref="C102:C103"/>
    <mergeCell ref="D102:L103"/>
    <mergeCell ref="M103:N103"/>
    <mergeCell ref="O103:Q103"/>
    <mergeCell ref="R103:T103"/>
    <mergeCell ref="U103:V103"/>
    <mergeCell ref="W103:Y103"/>
    <mergeCell ref="Z103:AB103"/>
    <mergeCell ref="AC103:AD103"/>
    <mergeCell ref="AE103:AG103"/>
    <mergeCell ref="AH103:AJ103"/>
    <mergeCell ref="AK103:AL103"/>
    <mergeCell ref="AM103:AO103"/>
    <mergeCell ref="AP103:AR103"/>
    <mergeCell ref="B109:B110"/>
    <mergeCell ref="C109:C110"/>
    <mergeCell ref="D109:L110"/>
    <mergeCell ref="M110:N110"/>
    <mergeCell ref="O110:Q110"/>
    <mergeCell ref="R110:T110"/>
    <mergeCell ref="U110:V110"/>
    <mergeCell ref="W110:Y110"/>
    <mergeCell ref="A104:AR104"/>
    <mergeCell ref="A106:A107"/>
    <mergeCell ref="B106:B107"/>
    <mergeCell ref="C106:C107"/>
    <mergeCell ref="D106:L107"/>
    <mergeCell ref="M107:N107"/>
    <mergeCell ref="O107:Q107"/>
    <mergeCell ref="R107:T107"/>
    <mergeCell ref="U107:V107"/>
    <mergeCell ref="W107:Y107"/>
    <mergeCell ref="Z107:AB107"/>
    <mergeCell ref="AC107:AD107"/>
    <mergeCell ref="AE107:AG107"/>
    <mergeCell ref="AH107:AJ107"/>
    <mergeCell ref="AK107:AL107"/>
    <mergeCell ref="AM107:AO107"/>
    <mergeCell ref="Z110:AB110"/>
    <mergeCell ref="AC110:AD110"/>
    <mergeCell ref="AE110:AG110"/>
    <mergeCell ref="AH110:AJ110"/>
    <mergeCell ref="AK110:AL110"/>
    <mergeCell ref="AM110:AO110"/>
    <mergeCell ref="AP110:AR110"/>
    <mergeCell ref="A114:A115"/>
    <mergeCell ref="B114:B115"/>
    <mergeCell ref="C114:C115"/>
    <mergeCell ref="D114:L115"/>
    <mergeCell ref="M115:N115"/>
    <mergeCell ref="O115:Q115"/>
    <mergeCell ref="R115:T115"/>
    <mergeCell ref="U115:V115"/>
    <mergeCell ref="W115:Y115"/>
    <mergeCell ref="Z115:AB115"/>
    <mergeCell ref="AC115:AD115"/>
    <mergeCell ref="AE115:AG115"/>
    <mergeCell ref="AH115:AJ115"/>
    <mergeCell ref="AK115:AL115"/>
    <mergeCell ref="AM115:AO115"/>
    <mergeCell ref="AP115:AR115"/>
    <mergeCell ref="A109:A110"/>
    <mergeCell ref="AE121:AG121"/>
    <mergeCell ref="AH121:AJ121"/>
    <mergeCell ref="AK121:AL121"/>
    <mergeCell ref="A116:AR116"/>
    <mergeCell ref="A117:AR117"/>
    <mergeCell ref="A120:A121"/>
    <mergeCell ref="B120:B121"/>
    <mergeCell ref="C120:C121"/>
    <mergeCell ref="D120:L121"/>
    <mergeCell ref="M121:N121"/>
    <mergeCell ref="AM121:AO121"/>
    <mergeCell ref="AP121:AR121"/>
    <mergeCell ref="O121:Q121"/>
    <mergeCell ref="R121:T121"/>
    <mergeCell ref="U121:V121"/>
    <mergeCell ref="W121:Y121"/>
    <mergeCell ref="Z121:AB121"/>
    <mergeCell ref="AC121:AD121"/>
    <mergeCell ref="A124:A125"/>
    <mergeCell ref="B124:B125"/>
    <mergeCell ref="C124:C125"/>
    <mergeCell ref="D124:L125"/>
    <mergeCell ref="M125:N125"/>
    <mergeCell ref="O125:Q125"/>
    <mergeCell ref="R125:T125"/>
    <mergeCell ref="U125:V125"/>
    <mergeCell ref="W125:Y125"/>
    <mergeCell ref="AM134:AO134"/>
    <mergeCell ref="AP134:AR134"/>
    <mergeCell ref="W128:Y132"/>
    <mergeCell ref="Z125:AB125"/>
    <mergeCell ref="AC125:AD125"/>
    <mergeCell ref="AE125:AG125"/>
    <mergeCell ref="AH125:AJ125"/>
    <mergeCell ref="AK125:AL125"/>
    <mergeCell ref="AM125:AO125"/>
    <mergeCell ref="AP125:AR125"/>
    <mergeCell ref="Z202:AB202"/>
    <mergeCell ref="AC202:AD202"/>
    <mergeCell ref="AE202:AG202"/>
    <mergeCell ref="AH202:AJ202"/>
    <mergeCell ref="AK202:AL202"/>
    <mergeCell ref="AM202:AO202"/>
    <mergeCell ref="AP202:AR202"/>
    <mergeCell ref="A197:AR197"/>
    <mergeCell ref="A126:AR126"/>
    <mergeCell ref="A127:AR127"/>
    <mergeCell ref="A133:A134"/>
    <mergeCell ref="B133:B134"/>
    <mergeCell ref="C133:C134"/>
    <mergeCell ref="D133:L134"/>
    <mergeCell ref="M134:N134"/>
    <mergeCell ref="O134:Q134"/>
    <mergeCell ref="R134:T134"/>
    <mergeCell ref="U134:V134"/>
    <mergeCell ref="W134:Y134"/>
    <mergeCell ref="Z134:AB134"/>
    <mergeCell ref="AC134:AD134"/>
    <mergeCell ref="AE134:AG134"/>
    <mergeCell ref="AH134:AJ134"/>
    <mergeCell ref="AK134:AL134"/>
    <mergeCell ref="A201:A202"/>
    <mergeCell ref="B201:B202"/>
    <mergeCell ref="C201:C202"/>
    <mergeCell ref="D201:L202"/>
    <mergeCell ref="M202:N202"/>
    <mergeCell ref="O202:Q202"/>
    <mergeCell ref="R202:T202"/>
    <mergeCell ref="U202:V202"/>
    <mergeCell ref="W202:Y202"/>
    <mergeCell ref="Z205:AB205"/>
    <mergeCell ref="AC205:AD205"/>
    <mergeCell ref="AE205:AG205"/>
    <mergeCell ref="AH205:AJ205"/>
    <mergeCell ref="AK205:AL205"/>
    <mergeCell ref="AM205:AO205"/>
    <mergeCell ref="AP205:AR205"/>
    <mergeCell ref="A213:A214"/>
    <mergeCell ref="B213:B214"/>
    <mergeCell ref="A204:A205"/>
    <mergeCell ref="B204:B205"/>
    <mergeCell ref="C204:C205"/>
    <mergeCell ref="D204:L205"/>
    <mergeCell ref="M205:N205"/>
    <mergeCell ref="O205:Q205"/>
    <mergeCell ref="R205:T205"/>
    <mergeCell ref="U205:V205"/>
    <mergeCell ref="W205:Y205"/>
    <mergeCell ref="Z208:AB208"/>
    <mergeCell ref="AC208:AD208"/>
    <mergeCell ref="AE208:AG208"/>
    <mergeCell ref="AH208:AJ208"/>
    <mergeCell ref="AK208:AL208"/>
    <mergeCell ref="AM208:AO208"/>
    <mergeCell ref="AP208:AR208"/>
    <mergeCell ref="A209:AR209"/>
    <mergeCell ref="A210:AR210"/>
    <mergeCell ref="A207:A208"/>
    <mergeCell ref="B207:B208"/>
    <mergeCell ref="C207:C208"/>
    <mergeCell ref="D207:L208"/>
    <mergeCell ref="M208:N208"/>
    <mergeCell ref="O208:Q208"/>
    <mergeCell ref="R208:T208"/>
    <mergeCell ref="U208:V208"/>
    <mergeCell ref="W208:Y208"/>
    <mergeCell ref="A216:A217"/>
    <mergeCell ref="B216:B217"/>
    <mergeCell ref="C216:C217"/>
    <mergeCell ref="D216:L217"/>
    <mergeCell ref="M217:N217"/>
    <mergeCell ref="O217:Q217"/>
    <mergeCell ref="R217:T217"/>
    <mergeCell ref="U217:V217"/>
    <mergeCell ref="W217:Y217"/>
    <mergeCell ref="AC217:AD217"/>
    <mergeCell ref="AE217:AG217"/>
    <mergeCell ref="AH217:AJ217"/>
    <mergeCell ref="AK217:AL217"/>
    <mergeCell ref="AM217:AO217"/>
    <mergeCell ref="AP217:AR217"/>
    <mergeCell ref="C213:C214"/>
    <mergeCell ref="D213:L214"/>
    <mergeCell ref="M214:N214"/>
    <mergeCell ref="O214:Q214"/>
    <mergeCell ref="R214:T214"/>
    <mergeCell ref="U214:V214"/>
    <mergeCell ref="W214:Y214"/>
    <mergeCell ref="Z214:AB214"/>
    <mergeCell ref="AC214:AD214"/>
    <mergeCell ref="AP214:AR214"/>
    <mergeCell ref="A178:AR178"/>
    <mergeCell ref="A227:A228"/>
    <mergeCell ref="B227:B228"/>
    <mergeCell ref="C227:C228"/>
    <mergeCell ref="D227:L228"/>
    <mergeCell ref="M228:N228"/>
    <mergeCell ref="O228:Q228"/>
    <mergeCell ref="R228:T228"/>
    <mergeCell ref="U228:V228"/>
    <mergeCell ref="W228:Y228"/>
    <mergeCell ref="Z228:AB228"/>
    <mergeCell ref="AC228:AD228"/>
    <mergeCell ref="AE228:AG228"/>
    <mergeCell ref="AH228:AJ228"/>
    <mergeCell ref="AK228:AL228"/>
    <mergeCell ref="AM228:AO228"/>
    <mergeCell ref="AP228:AR228"/>
    <mergeCell ref="A218:AR218"/>
    <mergeCell ref="A219:AR219"/>
    <mergeCell ref="AE214:AG214"/>
    <mergeCell ref="AH214:AJ214"/>
    <mergeCell ref="AK214:AL214"/>
    <mergeCell ref="AM214:AO214"/>
    <mergeCell ref="Z217:AB217"/>
  </mergeCells>
  <printOptions horizontalCentered="1"/>
  <pageMargins left="0.19685039370078741" right="0.19685039370078741" top="0.19685039370078741" bottom="0.19685039370078741" header="0" footer="0"/>
  <pageSetup paperSize="5" scale="94" fitToHeight="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AN90"/>
  <sheetViews>
    <sheetView zoomScale="90" zoomScaleNormal="90" workbookViewId="0">
      <selection activeCell="J2" sqref="J2:R2"/>
    </sheetView>
  </sheetViews>
  <sheetFormatPr defaultColWidth="9" defaultRowHeight="21.75" x14ac:dyDescent="0.5"/>
  <cols>
    <col min="1" max="1" width="15.625" style="217" customWidth="1"/>
    <col min="2" max="2" width="15.625" style="218" customWidth="1"/>
    <col min="3" max="5" width="15.625" style="217" customWidth="1"/>
    <col min="6" max="6" width="15.625" style="216" customWidth="1"/>
    <col min="7" max="8" width="15.625" style="217" customWidth="1"/>
    <col min="9" max="16384" width="9" style="217"/>
  </cols>
  <sheetData>
    <row r="1" spans="1:40" ht="24.75" customHeight="1" thickBot="1" x14ac:dyDescent="0.55000000000000004">
      <c r="A1" s="1172" t="s">
        <v>203</v>
      </c>
      <c r="B1" s="1173"/>
      <c r="C1" s="1173"/>
      <c r="D1" s="1173"/>
      <c r="E1" s="1173"/>
      <c r="F1" s="1173"/>
      <c r="G1" s="1173"/>
      <c r="H1" s="1173"/>
    </row>
    <row r="2" spans="1:40" ht="21.75" customHeight="1" x14ac:dyDescent="0.5">
      <c r="A2" s="1153" t="s">
        <v>204</v>
      </c>
      <c r="B2" s="1154"/>
      <c r="C2" s="1157" t="s">
        <v>1</v>
      </c>
      <c r="D2" s="1157" t="s">
        <v>2</v>
      </c>
      <c r="E2" s="1159" t="s">
        <v>205</v>
      </c>
      <c r="F2" s="1161" t="s">
        <v>206</v>
      </c>
      <c r="G2" s="219" t="s">
        <v>207</v>
      </c>
      <c r="H2" s="1126" t="s">
        <v>208</v>
      </c>
      <c r="J2" s="1072" t="s">
        <v>418</v>
      </c>
      <c r="K2" s="1072"/>
      <c r="L2" s="1072"/>
      <c r="M2" s="1072"/>
      <c r="N2" s="1072"/>
      <c r="O2" s="1072"/>
      <c r="P2" s="1072"/>
      <c r="Q2" s="1072"/>
      <c r="R2" s="1072"/>
    </row>
    <row r="3" spans="1:40" ht="24.75" customHeight="1" thickBot="1" x14ac:dyDescent="0.55000000000000004">
      <c r="A3" s="1155"/>
      <c r="B3" s="1156"/>
      <c r="C3" s="1158"/>
      <c r="D3" s="1158"/>
      <c r="E3" s="1160"/>
      <c r="F3" s="1162"/>
      <c r="G3" s="220">
        <v>5</v>
      </c>
      <c r="H3" s="1127"/>
    </row>
    <row r="4" spans="1:40" ht="36" customHeight="1" thickBot="1" x14ac:dyDescent="0.55000000000000004">
      <c r="A4" s="1163" t="s">
        <v>209</v>
      </c>
      <c r="B4" s="1164"/>
      <c r="C4" s="1164"/>
      <c r="D4" s="1164"/>
      <c r="E4" s="1164"/>
      <c r="F4" s="1164"/>
      <c r="G4" s="1164"/>
      <c r="H4" s="1165"/>
      <c r="I4" s="221"/>
      <c r="J4" s="221"/>
    </row>
    <row r="5" spans="1:40" s="235" customFormat="1" ht="36" customHeight="1" thickBot="1" x14ac:dyDescent="0.6">
      <c r="A5" s="1147" t="s">
        <v>22</v>
      </c>
      <c r="B5" s="1148"/>
      <c r="C5" s="1148"/>
      <c r="D5" s="1148"/>
      <c r="E5" s="1148"/>
      <c r="F5" s="1148"/>
      <c r="G5" s="1148"/>
      <c r="H5" s="1149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6"/>
      <c r="T5" s="236"/>
      <c r="U5" s="236"/>
      <c r="V5" s="236"/>
      <c r="W5" s="236"/>
      <c r="X5" s="236"/>
      <c r="Y5" s="236"/>
      <c r="Z5" s="236"/>
      <c r="AA5" s="236"/>
      <c r="AB5" s="236"/>
      <c r="AC5" s="236"/>
      <c r="AD5" s="236"/>
      <c r="AE5" s="236"/>
      <c r="AF5" s="236"/>
      <c r="AG5" s="236"/>
      <c r="AH5" s="236"/>
      <c r="AI5" s="236"/>
      <c r="AJ5" s="236"/>
      <c r="AK5" s="236"/>
      <c r="AL5" s="236"/>
      <c r="AM5" s="236"/>
      <c r="AN5" s="237"/>
    </row>
    <row r="6" spans="1:40" ht="24.75" customHeight="1" x14ac:dyDescent="0.65">
      <c r="A6" s="496" t="s">
        <v>73</v>
      </c>
      <c r="B6" s="497">
        <v>1</v>
      </c>
      <c r="C6" s="498">
        <f>'จน.ปาล์ม 69 '!E22</f>
        <v>115</v>
      </c>
      <c r="D6" s="499">
        <f>'จน.ปาล์ม 69 '!F22</f>
        <v>2872</v>
      </c>
      <c r="E6" s="500">
        <f>ROUND(C6*B6,0)</f>
        <v>115</v>
      </c>
      <c r="F6" s="501">
        <f>ROUND(D6*B6,0)</f>
        <v>2872</v>
      </c>
      <c r="G6" s="384">
        <f>$G$3</f>
        <v>5</v>
      </c>
      <c r="H6" s="502">
        <f>ROUND(G6*F6,0)</f>
        <v>14360</v>
      </c>
    </row>
    <row r="7" spans="1:40" ht="28.5" thickBot="1" x14ac:dyDescent="0.7">
      <c r="A7" s="503" t="s">
        <v>74</v>
      </c>
      <c r="B7" s="504">
        <v>1</v>
      </c>
      <c r="C7" s="505">
        <f>'จน.ปาล์ม 69 '!E23</f>
        <v>121</v>
      </c>
      <c r="D7" s="506">
        <f>'จน.ปาล์ม 69 '!F23</f>
        <v>3030</v>
      </c>
      <c r="E7" s="507">
        <f>ROUND(C7*B7,0)</f>
        <v>121</v>
      </c>
      <c r="F7" s="508">
        <f>ROUND(D7*B7,0)</f>
        <v>3030</v>
      </c>
      <c r="G7" s="402">
        <f t="shared" ref="G7" si="0">$G$3</f>
        <v>5</v>
      </c>
      <c r="H7" s="509">
        <f>ROUND(G7*F7,0)</f>
        <v>15150</v>
      </c>
      <c r="I7" s="224"/>
    </row>
    <row r="8" spans="1:40" ht="28.5" thickBot="1" x14ac:dyDescent="0.7">
      <c r="A8" s="1128" t="s">
        <v>238</v>
      </c>
      <c r="B8" s="1129"/>
      <c r="C8" s="1129"/>
      <c r="D8" s="1129"/>
      <c r="E8" s="1129"/>
      <c r="F8" s="1129"/>
      <c r="G8" s="1130"/>
      <c r="H8" s="510">
        <f>SUM(H6:H7)</f>
        <v>29510</v>
      </c>
      <c r="I8" s="224"/>
    </row>
    <row r="9" spans="1:40" ht="24.75" customHeight="1" x14ac:dyDescent="0.65">
      <c r="A9" s="496" t="str">
        <f>'จน.ปาล์ม 69 '!D26</f>
        <v>49-B13</v>
      </c>
      <c r="B9" s="497">
        <v>1</v>
      </c>
      <c r="C9" s="498">
        <f>'จน.ปาล์ม 69 '!E26</f>
        <v>168</v>
      </c>
      <c r="D9" s="499">
        <f>'จน.ปาล์ม 69 '!F26</f>
        <v>4192</v>
      </c>
      <c r="E9" s="500">
        <f>ROUND(C9*B9,0)</f>
        <v>168</v>
      </c>
      <c r="F9" s="501">
        <f>ROUND(D9*B9,0)</f>
        <v>4192</v>
      </c>
      <c r="G9" s="384">
        <f>$G$3</f>
        <v>5</v>
      </c>
      <c r="H9" s="502">
        <f>ROUND(G9*F9,0)</f>
        <v>20960</v>
      </c>
    </row>
    <row r="10" spans="1:40" ht="27.75" x14ac:dyDescent="0.65">
      <c r="A10" s="511" t="str">
        <f>'จน.ปาล์ม 69 '!D27</f>
        <v>50-B07</v>
      </c>
      <c r="B10" s="504">
        <v>1</v>
      </c>
      <c r="C10" s="505">
        <f>'จน.ปาล์ม 69 '!E27</f>
        <v>157</v>
      </c>
      <c r="D10" s="506">
        <f>'จน.ปาล์ม 69 '!F27</f>
        <v>4022</v>
      </c>
      <c r="E10" s="500">
        <f t="shared" ref="E10" si="1">ROUND(C10*B10,0)</f>
        <v>157</v>
      </c>
      <c r="F10" s="501">
        <f t="shared" ref="F10:F11" si="2">ROUND(D10*B10,0)</f>
        <v>4022</v>
      </c>
      <c r="G10" s="402">
        <f t="shared" ref="G10:G11" si="3">$G$3</f>
        <v>5</v>
      </c>
      <c r="H10" s="502">
        <f t="shared" ref="H10:H11" si="4">ROUND(G10*F10,0)</f>
        <v>20110</v>
      </c>
      <c r="I10" s="224"/>
      <c r="K10" s="362"/>
    </row>
    <row r="11" spans="1:40" ht="28.5" thickBot="1" x14ac:dyDescent="0.7">
      <c r="A11" s="512" t="str">
        <f>'จน.ปาล์ม 69 '!D28</f>
        <v>50-B10</v>
      </c>
      <c r="B11" s="513">
        <v>1</v>
      </c>
      <c r="C11" s="506">
        <f>'จน.ปาล์ม 69 '!E28</f>
        <v>170</v>
      </c>
      <c r="D11" s="506">
        <f>'จน.ปาล์ม 69 '!F28</f>
        <v>4245</v>
      </c>
      <c r="E11" s="514">
        <f>ROUND(C11*B11,0)</f>
        <v>170</v>
      </c>
      <c r="F11" s="515">
        <f t="shared" si="2"/>
        <v>4245</v>
      </c>
      <c r="G11" s="402">
        <f t="shared" si="3"/>
        <v>5</v>
      </c>
      <c r="H11" s="502">
        <f t="shared" si="4"/>
        <v>21225</v>
      </c>
      <c r="I11" s="224"/>
    </row>
    <row r="12" spans="1:40" ht="26.25" customHeight="1" thickBot="1" x14ac:dyDescent="0.7">
      <c r="A12" s="1128" t="s">
        <v>315</v>
      </c>
      <c r="B12" s="1129"/>
      <c r="C12" s="1129"/>
      <c r="D12" s="1129"/>
      <c r="E12" s="1129"/>
      <c r="F12" s="1129"/>
      <c r="G12" s="1130"/>
      <c r="H12" s="510">
        <f>SUM(H9:H11)</f>
        <v>62295</v>
      </c>
      <c r="I12" s="224"/>
    </row>
    <row r="13" spans="1:40" s="227" customFormat="1" ht="30.75" thickBot="1" x14ac:dyDescent="0.85">
      <c r="A13" s="1124" t="s">
        <v>316</v>
      </c>
      <c r="B13" s="1125"/>
      <c r="C13" s="1125"/>
      <c r="D13" s="1125"/>
      <c r="E13" s="1125"/>
      <c r="F13" s="1125"/>
      <c r="G13" s="1125"/>
      <c r="H13" s="516">
        <f>H8+H12</f>
        <v>91805</v>
      </c>
    </row>
    <row r="14" spans="1:40" ht="24.75" customHeight="1" x14ac:dyDescent="0.65">
      <c r="A14" s="1166" t="s">
        <v>27</v>
      </c>
      <c r="B14" s="1101"/>
      <c r="C14" s="1101"/>
      <c r="D14" s="1101"/>
      <c r="E14" s="1101"/>
      <c r="F14" s="1101"/>
      <c r="G14" s="1101"/>
      <c r="H14" s="1167"/>
    </row>
    <row r="15" spans="1:40" ht="24.75" customHeight="1" thickBot="1" x14ac:dyDescent="0.7">
      <c r="A15" s="517" t="str">
        <f>'จน.ปาล์ม 69 '!D42</f>
        <v>50-C05-R</v>
      </c>
      <c r="B15" s="518">
        <v>1</v>
      </c>
      <c r="C15" s="505">
        <f>'จน.ปาล์ม 69 '!E42</f>
        <v>103</v>
      </c>
      <c r="D15" s="506">
        <f>'จน.ปาล์ม 69 '!F42</f>
        <v>2792</v>
      </c>
      <c r="E15" s="507">
        <f>ROUND(C15*B15,0)</f>
        <v>103</v>
      </c>
      <c r="F15" s="508">
        <f>ROUND(D15*B15,0)</f>
        <v>2792</v>
      </c>
      <c r="G15" s="402">
        <f>$G$3</f>
        <v>5</v>
      </c>
      <c r="H15" s="519">
        <f>ROUND(G15*F15,0)</f>
        <v>13960</v>
      </c>
    </row>
    <row r="16" spans="1:40" ht="28.5" thickBot="1" x14ac:dyDescent="0.7">
      <c r="A16" s="1128" t="s">
        <v>210</v>
      </c>
      <c r="B16" s="1129"/>
      <c r="C16" s="1129"/>
      <c r="D16" s="1129"/>
      <c r="E16" s="1129"/>
      <c r="F16" s="1129"/>
      <c r="G16" s="1130"/>
      <c r="H16" s="510">
        <f>SUM(H15:H15)</f>
        <v>13960</v>
      </c>
      <c r="I16" s="224"/>
    </row>
    <row r="17" spans="1:40" s="227" customFormat="1" ht="27.75" x14ac:dyDescent="0.65">
      <c r="A17" s="520" t="s">
        <v>66</v>
      </c>
      <c r="B17" s="521">
        <v>1</v>
      </c>
      <c r="C17" s="499">
        <v>111</v>
      </c>
      <c r="D17" s="499">
        <v>2785</v>
      </c>
      <c r="E17" s="500">
        <f>ROUND(C17*B17,0)</f>
        <v>111</v>
      </c>
      <c r="F17" s="501">
        <f>ROUND(D17*B17,0)</f>
        <v>2785</v>
      </c>
      <c r="G17" s="384">
        <f t="shared" ref="G17:G18" si="5">$G$3</f>
        <v>5</v>
      </c>
      <c r="H17" s="522">
        <f>ROUND(G17*F17,0)</f>
        <v>13925</v>
      </c>
      <c r="I17" s="217"/>
    </row>
    <row r="18" spans="1:40" s="227" customFormat="1" ht="27.75" x14ac:dyDescent="0.65">
      <c r="A18" s="523" t="s">
        <v>78</v>
      </c>
      <c r="B18" s="524">
        <v>1</v>
      </c>
      <c r="C18" s="499">
        <v>195</v>
      </c>
      <c r="D18" s="499">
        <v>4864</v>
      </c>
      <c r="E18" s="500">
        <f t="shared" ref="E18" si="6">ROUND(C18*B18,0)</f>
        <v>195</v>
      </c>
      <c r="F18" s="501">
        <f t="shared" ref="F18" si="7">ROUND(D18*B18,0)</f>
        <v>4864</v>
      </c>
      <c r="G18" s="378">
        <f t="shared" si="5"/>
        <v>5</v>
      </c>
      <c r="H18" s="522">
        <f>ROUND(G18*F18,0)</f>
        <v>24320</v>
      </c>
    </row>
    <row r="19" spans="1:40" s="227" customFormat="1" ht="27.75" x14ac:dyDescent="0.65">
      <c r="A19" s="1137" t="s">
        <v>211</v>
      </c>
      <c r="B19" s="1138"/>
      <c r="C19" s="1138"/>
      <c r="D19" s="1138"/>
      <c r="E19" s="1138"/>
      <c r="F19" s="1138"/>
      <c r="G19" s="1138"/>
      <c r="H19" s="525">
        <f>SUM(H17:H18)</f>
        <v>38245</v>
      </c>
    </row>
    <row r="20" spans="1:40" s="227" customFormat="1" ht="30" x14ac:dyDescent="0.8">
      <c r="A20" s="1124" t="s">
        <v>212</v>
      </c>
      <c r="B20" s="1125"/>
      <c r="C20" s="1125"/>
      <c r="D20" s="1125"/>
      <c r="E20" s="1125"/>
      <c r="F20" s="1125"/>
      <c r="G20" s="1125"/>
      <c r="H20" s="516">
        <f>H19+H16</f>
        <v>52205</v>
      </c>
    </row>
    <row r="21" spans="1:40" s="229" customFormat="1" ht="24.75" customHeight="1" thickBot="1" x14ac:dyDescent="0.85">
      <c r="A21" s="1133" t="s">
        <v>213</v>
      </c>
      <c r="B21" s="1134"/>
      <c r="C21" s="1134"/>
      <c r="D21" s="1134"/>
      <c r="E21" s="1134"/>
      <c r="F21" s="1134"/>
      <c r="G21" s="1134"/>
      <c r="H21" s="526">
        <f>H20+H13</f>
        <v>144010</v>
      </c>
    </row>
    <row r="22" spans="1:40" ht="24.75" customHeight="1" thickBot="1" x14ac:dyDescent="0.55000000000000004">
      <c r="A22" s="1141" t="s">
        <v>214</v>
      </c>
      <c r="B22" s="1142"/>
      <c r="C22" s="1142"/>
      <c r="D22" s="1142"/>
      <c r="E22" s="1142"/>
      <c r="F22" s="1142"/>
      <c r="G22" s="1142"/>
      <c r="H22" s="1143"/>
    </row>
    <row r="23" spans="1:40" s="235" customFormat="1" ht="36" customHeight="1" thickBot="1" x14ac:dyDescent="0.6">
      <c r="A23" s="1147" t="s">
        <v>22</v>
      </c>
      <c r="B23" s="1148"/>
      <c r="C23" s="1148"/>
      <c r="D23" s="1148"/>
      <c r="E23" s="1148"/>
      <c r="F23" s="1148"/>
      <c r="G23" s="1148"/>
      <c r="H23" s="1149"/>
      <c r="I23" s="236"/>
      <c r="J23" s="236"/>
      <c r="K23" s="236"/>
      <c r="L23" s="236"/>
      <c r="M23" s="236"/>
      <c r="N23" s="236"/>
      <c r="O23" s="236"/>
      <c r="P23" s="236"/>
      <c r="Q23" s="236"/>
      <c r="R23" s="236"/>
      <c r="S23" s="236"/>
      <c r="T23" s="236"/>
      <c r="U23" s="236"/>
      <c r="V23" s="236"/>
      <c r="W23" s="236"/>
      <c r="X23" s="236"/>
      <c r="Y23" s="236"/>
      <c r="Z23" s="236"/>
      <c r="AA23" s="236"/>
      <c r="AB23" s="236"/>
      <c r="AC23" s="236"/>
      <c r="AD23" s="236"/>
      <c r="AE23" s="236"/>
      <c r="AF23" s="236"/>
      <c r="AG23" s="236"/>
      <c r="AH23" s="236"/>
      <c r="AI23" s="236"/>
      <c r="AJ23" s="236"/>
      <c r="AK23" s="236"/>
      <c r="AL23" s="236"/>
      <c r="AM23" s="236"/>
      <c r="AN23" s="237"/>
    </row>
    <row r="24" spans="1:40" ht="27.75" x14ac:dyDescent="0.65">
      <c r="A24" s="527" t="s">
        <v>93</v>
      </c>
      <c r="B24" s="528">
        <v>1</v>
      </c>
      <c r="C24" s="529">
        <v>113</v>
      </c>
      <c r="D24" s="522">
        <v>2816</v>
      </c>
      <c r="E24" s="522">
        <f>ROUND(C24*B24,0)</f>
        <v>113</v>
      </c>
      <c r="F24" s="522">
        <f>ROUND(D24*B24,0)</f>
        <v>2816</v>
      </c>
      <c r="G24" s="522">
        <f t="shared" ref="G24:G28" si="8">$G$3</f>
        <v>5</v>
      </c>
      <c r="H24" s="522">
        <f>ROUND(G24*F24,0)</f>
        <v>14080</v>
      </c>
    </row>
    <row r="25" spans="1:40" ht="27.75" x14ac:dyDescent="0.65">
      <c r="A25" s="530" t="s">
        <v>50</v>
      </c>
      <c r="B25" s="528">
        <v>1</v>
      </c>
      <c r="C25" s="529">
        <v>9</v>
      </c>
      <c r="D25" s="522">
        <v>213</v>
      </c>
      <c r="E25" s="522">
        <f t="shared" ref="E25:E28" si="9">ROUND(C25*B25,0)</f>
        <v>9</v>
      </c>
      <c r="F25" s="522">
        <f t="shared" ref="F25:F28" si="10">ROUND(D25*B25,0)</f>
        <v>213</v>
      </c>
      <c r="G25" s="522">
        <f t="shared" si="8"/>
        <v>5</v>
      </c>
      <c r="H25" s="522">
        <f t="shared" ref="H25:H28" si="11">ROUND(G25*F25,0)</f>
        <v>1065</v>
      </c>
    </row>
    <row r="26" spans="1:40" ht="27.75" x14ac:dyDescent="0.65">
      <c r="A26" s="530" t="s">
        <v>94</v>
      </c>
      <c r="B26" s="528">
        <v>1</v>
      </c>
      <c r="C26" s="529">
        <v>128</v>
      </c>
      <c r="D26" s="522">
        <v>3199</v>
      </c>
      <c r="E26" s="522">
        <f t="shared" si="9"/>
        <v>128</v>
      </c>
      <c r="F26" s="522">
        <f t="shared" si="10"/>
        <v>3199</v>
      </c>
      <c r="G26" s="522">
        <f t="shared" si="8"/>
        <v>5</v>
      </c>
      <c r="H26" s="522">
        <f t="shared" si="11"/>
        <v>15995</v>
      </c>
    </row>
    <row r="27" spans="1:40" ht="27.75" x14ac:dyDescent="0.65">
      <c r="A27" s="530" t="s">
        <v>95</v>
      </c>
      <c r="B27" s="528">
        <v>1</v>
      </c>
      <c r="C27" s="529">
        <v>121</v>
      </c>
      <c r="D27" s="522">
        <v>3015</v>
      </c>
      <c r="E27" s="522">
        <f t="shared" si="9"/>
        <v>121</v>
      </c>
      <c r="F27" s="522">
        <f t="shared" si="10"/>
        <v>3015</v>
      </c>
      <c r="G27" s="522">
        <f t="shared" si="8"/>
        <v>5</v>
      </c>
      <c r="H27" s="522">
        <f t="shared" si="11"/>
        <v>15075</v>
      </c>
    </row>
    <row r="28" spans="1:40" ht="27.75" x14ac:dyDescent="0.65">
      <c r="A28" s="530" t="s">
        <v>96</v>
      </c>
      <c r="B28" s="528">
        <v>1</v>
      </c>
      <c r="C28" s="529">
        <v>56</v>
      </c>
      <c r="D28" s="522">
        <v>1403</v>
      </c>
      <c r="E28" s="522">
        <f t="shared" si="9"/>
        <v>56</v>
      </c>
      <c r="F28" s="522">
        <f t="shared" si="10"/>
        <v>1403</v>
      </c>
      <c r="G28" s="522">
        <f t="shared" si="8"/>
        <v>5</v>
      </c>
      <c r="H28" s="522">
        <f t="shared" si="11"/>
        <v>7015</v>
      </c>
    </row>
    <row r="29" spans="1:40" ht="24" customHeight="1" x14ac:dyDescent="0.65">
      <c r="A29" s="1137" t="s">
        <v>238</v>
      </c>
      <c r="B29" s="1138"/>
      <c r="C29" s="1138"/>
      <c r="D29" s="1138"/>
      <c r="E29" s="1138"/>
      <c r="F29" s="1138"/>
      <c r="G29" s="1138"/>
      <c r="H29" s="531">
        <f>SUM(H24:H28)</f>
        <v>53230</v>
      </c>
    </row>
    <row r="30" spans="1:40" ht="24" customHeight="1" x14ac:dyDescent="0.8">
      <c r="A30" s="1124" t="s">
        <v>316</v>
      </c>
      <c r="B30" s="1125"/>
      <c r="C30" s="1125"/>
      <c r="D30" s="1125"/>
      <c r="E30" s="1125"/>
      <c r="F30" s="1125"/>
      <c r="G30" s="1168"/>
      <c r="H30" s="516">
        <f>H29</f>
        <v>53230</v>
      </c>
    </row>
    <row r="31" spans="1:40" ht="24.75" customHeight="1" x14ac:dyDescent="0.5">
      <c r="A31" s="1144" t="s">
        <v>215</v>
      </c>
      <c r="B31" s="1145"/>
      <c r="C31" s="1145"/>
      <c r="D31" s="1145"/>
      <c r="E31" s="1145"/>
      <c r="F31" s="1145"/>
      <c r="G31" s="1145"/>
      <c r="H31" s="1146"/>
    </row>
    <row r="32" spans="1:40" ht="27.75" x14ac:dyDescent="0.65">
      <c r="A32" s="532" t="s">
        <v>97</v>
      </c>
      <c r="B32" s="533">
        <v>1</v>
      </c>
      <c r="C32" s="529">
        <f>'จน.ปาล์ม 69 '!E67</f>
        <v>124</v>
      </c>
      <c r="D32" s="529">
        <f>'จน.ปาล์ม 69 '!F67</f>
        <v>3106</v>
      </c>
      <c r="E32" s="500">
        <f>ROUND(C32*B32,0)</f>
        <v>124</v>
      </c>
      <c r="F32" s="501">
        <f t="shared" ref="F32" si="12">ROUND(D32*B32,0)</f>
        <v>3106</v>
      </c>
      <c r="G32" s="384">
        <f t="shared" ref="G32:G34" si="13">$G$3</f>
        <v>5</v>
      </c>
      <c r="H32" s="502">
        <f t="shared" ref="H32" si="14">ROUND(G32*F32,0)</f>
        <v>15530</v>
      </c>
    </row>
    <row r="33" spans="1:8" ht="27.75" x14ac:dyDescent="0.65">
      <c r="A33" s="1135" t="s">
        <v>210</v>
      </c>
      <c r="B33" s="1136"/>
      <c r="C33" s="1136"/>
      <c r="D33" s="1136"/>
      <c r="E33" s="1136"/>
      <c r="F33" s="1136"/>
      <c r="G33" s="1136"/>
      <c r="H33" s="531">
        <f>SUM(H32)</f>
        <v>15530</v>
      </c>
    </row>
    <row r="34" spans="1:8" ht="27.75" x14ac:dyDescent="0.65">
      <c r="A34" s="534" t="s">
        <v>100</v>
      </c>
      <c r="B34" s="528">
        <v>1</v>
      </c>
      <c r="C34" s="529">
        <f>'จน.ปาล์ม 69 '!E71</f>
        <v>78</v>
      </c>
      <c r="D34" s="529">
        <f>'จน.ปาล์ม 69 '!F71</f>
        <v>1950</v>
      </c>
      <c r="E34" s="514">
        <f>ROUND(C34*B34,0)</f>
        <v>78</v>
      </c>
      <c r="F34" s="515">
        <f>ROUND(D34*B34,0)</f>
        <v>1950</v>
      </c>
      <c r="G34" s="384">
        <f t="shared" si="13"/>
        <v>5</v>
      </c>
      <c r="H34" s="522">
        <f>ROUND(G34*F34,0)</f>
        <v>9750</v>
      </c>
    </row>
    <row r="35" spans="1:8" ht="24" customHeight="1" x14ac:dyDescent="0.65">
      <c r="A35" s="1137" t="s">
        <v>211</v>
      </c>
      <c r="B35" s="1138"/>
      <c r="C35" s="1138"/>
      <c r="D35" s="1138"/>
      <c r="E35" s="1138"/>
      <c r="F35" s="1138"/>
      <c r="G35" s="1138"/>
      <c r="H35" s="531">
        <f>SUM(H34:H34)</f>
        <v>9750</v>
      </c>
    </row>
    <row r="36" spans="1:8" ht="24" customHeight="1" x14ac:dyDescent="0.65">
      <c r="A36" s="1124" t="s">
        <v>317</v>
      </c>
      <c r="B36" s="1125"/>
      <c r="C36" s="1125"/>
      <c r="D36" s="1125"/>
      <c r="E36" s="1125"/>
      <c r="F36" s="1125"/>
      <c r="G36" s="1125"/>
      <c r="H36" s="535">
        <f>H35+H33</f>
        <v>25280</v>
      </c>
    </row>
    <row r="37" spans="1:8" ht="24.75" customHeight="1" thickBot="1" x14ac:dyDescent="0.85">
      <c r="A37" s="1139" t="s">
        <v>216</v>
      </c>
      <c r="B37" s="1140"/>
      <c r="C37" s="1140"/>
      <c r="D37" s="1140"/>
      <c r="E37" s="1140"/>
      <c r="F37" s="1140"/>
      <c r="G37" s="1140"/>
      <c r="H37" s="536">
        <f>H30+H36</f>
        <v>78510</v>
      </c>
    </row>
    <row r="38" spans="1:8" ht="24.75" customHeight="1" thickBot="1" x14ac:dyDescent="0.55000000000000004">
      <c r="A38" s="1169" t="s">
        <v>217</v>
      </c>
      <c r="B38" s="1170"/>
      <c r="C38" s="1170"/>
      <c r="D38" s="1170"/>
      <c r="E38" s="1170"/>
      <c r="F38" s="1170"/>
      <c r="G38" s="1170"/>
      <c r="H38" s="1171"/>
    </row>
    <row r="39" spans="1:8" ht="24" customHeight="1" thickBot="1" x14ac:dyDescent="0.7">
      <c r="A39" s="1104" t="s">
        <v>218</v>
      </c>
      <c r="B39" s="1105"/>
      <c r="C39" s="1105"/>
      <c r="D39" s="1105"/>
      <c r="E39" s="1105"/>
      <c r="F39" s="1105"/>
      <c r="G39" s="1105"/>
      <c r="H39" s="1106"/>
    </row>
    <row r="40" spans="1:8" ht="27.75" x14ac:dyDescent="0.65">
      <c r="A40" s="537" t="s">
        <v>51</v>
      </c>
      <c r="B40" s="538">
        <v>1</v>
      </c>
      <c r="C40" s="539">
        <f>'จน.ปาล์ม 69 '!E59</f>
        <v>169</v>
      </c>
      <c r="D40" s="539">
        <f>'จน.ปาล์ม 69 '!F59</f>
        <v>4231</v>
      </c>
      <c r="E40" s="500">
        <f>ROUND(C40*B40,0)</f>
        <v>169</v>
      </c>
      <c r="F40" s="501">
        <f>ROUND(D40*B40,0)</f>
        <v>4231</v>
      </c>
      <c r="G40" s="384">
        <f t="shared" ref="G40:G42" si="15">$G$3</f>
        <v>5</v>
      </c>
      <c r="H40" s="502">
        <f>ROUND(G40*F40,0)</f>
        <v>21155</v>
      </c>
    </row>
    <row r="41" spans="1:8" ht="27.75" x14ac:dyDescent="0.65">
      <c r="A41" s="540" t="s">
        <v>38</v>
      </c>
      <c r="B41" s="541">
        <v>1</v>
      </c>
      <c r="C41" s="539">
        <f>'จน.ปาล์ม 69 '!E60</f>
        <v>171</v>
      </c>
      <c r="D41" s="539">
        <f>'จน.ปาล์ม 69 '!F60</f>
        <v>4265</v>
      </c>
      <c r="E41" s="542">
        <f>ROUND(C41*B41,0)</f>
        <v>171</v>
      </c>
      <c r="F41" s="543">
        <f>ROUND(D41*B41,0)</f>
        <v>4265</v>
      </c>
      <c r="G41" s="384">
        <f t="shared" si="15"/>
        <v>5</v>
      </c>
      <c r="H41" s="522">
        <f>ROUND(G41*F41,0)</f>
        <v>21325</v>
      </c>
    </row>
    <row r="42" spans="1:8" ht="28.5" thickBot="1" x14ac:dyDescent="0.7">
      <c r="A42" s="544" t="s">
        <v>37</v>
      </c>
      <c r="B42" s="545">
        <v>1</v>
      </c>
      <c r="C42" s="546">
        <f>'จน.ปาล์ม 69 '!E61</f>
        <v>67</v>
      </c>
      <c r="D42" s="546">
        <f>'จน.ปาล์ม 69 '!F61</f>
        <v>1663</v>
      </c>
      <c r="E42" s="507">
        <f>ROUND(C42*B42,0)</f>
        <v>67</v>
      </c>
      <c r="F42" s="508">
        <f>ROUND(D42*B42,0)</f>
        <v>1663</v>
      </c>
      <c r="G42" s="547">
        <f t="shared" si="15"/>
        <v>5</v>
      </c>
      <c r="H42" s="519">
        <f>ROUND(G42*F42,0)</f>
        <v>8315</v>
      </c>
    </row>
    <row r="43" spans="1:8" ht="24.75" customHeight="1" thickBot="1" x14ac:dyDescent="0.7">
      <c r="A43" s="1087" t="s">
        <v>219</v>
      </c>
      <c r="B43" s="1088"/>
      <c r="C43" s="1088"/>
      <c r="D43" s="1088"/>
      <c r="E43" s="1088"/>
      <c r="F43" s="1088"/>
      <c r="G43" s="1088"/>
      <c r="H43" s="548">
        <f>SUM(H40:H42)</f>
        <v>50795</v>
      </c>
    </row>
    <row r="44" spans="1:8" ht="27.75" x14ac:dyDescent="0.5">
      <c r="A44" s="1107" t="s">
        <v>27</v>
      </c>
      <c r="B44" s="1108"/>
      <c r="C44" s="1108"/>
      <c r="D44" s="1108"/>
      <c r="E44" s="1108"/>
      <c r="F44" s="1108"/>
      <c r="G44" s="1108"/>
      <c r="H44" s="1109"/>
    </row>
    <row r="45" spans="1:8" ht="27.75" x14ac:dyDescent="0.65">
      <c r="A45" s="549" t="str">
        <f>'จน.ปาล์ม 69 '!D74</f>
        <v>57-A08-R</v>
      </c>
      <c r="B45" s="541">
        <v>1</v>
      </c>
      <c r="C45" s="550">
        <f>'จน.ปาล์ม 69 '!E74</f>
        <v>172</v>
      </c>
      <c r="D45" s="551">
        <f>'จน.ปาล์ม 69 '!F74</f>
        <v>4308</v>
      </c>
      <c r="E45" s="542">
        <f>ROUND(C45*B45,0)</f>
        <v>172</v>
      </c>
      <c r="F45" s="543">
        <f>ROUND(D45*B45,0)</f>
        <v>4308</v>
      </c>
      <c r="G45" s="378">
        <f t="shared" ref="G45:G46" si="16">$G$3</f>
        <v>5</v>
      </c>
      <c r="H45" s="522">
        <f>ROUND(G45*F45,0)</f>
        <v>21540</v>
      </c>
    </row>
    <row r="46" spans="1:8" ht="28.5" thickBot="1" x14ac:dyDescent="0.7">
      <c r="A46" s="552" t="str">
        <f>'จน.ปาล์ม 69 '!D75</f>
        <v>57-A09-R</v>
      </c>
      <c r="B46" s="553">
        <v>1</v>
      </c>
      <c r="C46" s="554">
        <f>'จน.ปาล์ม 69 '!E75</f>
        <v>154</v>
      </c>
      <c r="D46" s="555">
        <f>'จน.ปาล์ม 69 '!F75</f>
        <v>3861</v>
      </c>
      <c r="E46" s="507">
        <f>ROUND(C46*B46,0)</f>
        <v>154</v>
      </c>
      <c r="F46" s="508">
        <f>ROUND(D46*B46,0)</f>
        <v>3861</v>
      </c>
      <c r="G46" s="402">
        <f t="shared" si="16"/>
        <v>5</v>
      </c>
      <c r="H46" s="519">
        <f>ROUND(G46*F46,0)</f>
        <v>19305</v>
      </c>
    </row>
    <row r="47" spans="1:8" ht="24.75" customHeight="1" thickBot="1" x14ac:dyDescent="0.7">
      <c r="A47" s="1110" t="s">
        <v>36</v>
      </c>
      <c r="B47" s="1111"/>
      <c r="C47" s="1111"/>
      <c r="D47" s="1111"/>
      <c r="E47" s="1111"/>
      <c r="F47" s="1111"/>
      <c r="G47" s="1112"/>
      <c r="H47" s="556">
        <f>SUM(H45:H46)</f>
        <v>40845</v>
      </c>
    </row>
    <row r="48" spans="1:8" ht="24.75" customHeight="1" thickBot="1" x14ac:dyDescent="0.85">
      <c r="A48" s="1113" t="s">
        <v>220</v>
      </c>
      <c r="B48" s="1114"/>
      <c r="C48" s="1114"/>
      <c r="D48" s="1114"/>
      <c r="E48" s="1114"/>
      <c r="F48" s="1114"/>
      <c r="G48" s="1114"/>
      <c r="H48" s="557">
        <f>H47+H43</f>
        <v>91640</v>
      </c>
    </row>
    <row r="49" spans="1:8" ht="27.75" x14ac:dyDescent="0.5">
      <c r="A49" s="1078" t="s">
        <v>221</v>
      </c>
      <c r="B49" s="1079"/>
      <c r="C49" s="1079"/>
      <c r="D49" s="1079"/>
      <c r="E49" s="1079"/>
      <c r="F49" s="1079"/>
      <c r="G49" s="1079"/>
      <c r="H49" s="1080"/>
    </row>
    <row r="50" spans="1:8" ht="27.75" x14ac:dyDescent="0.65">
      <c r="A50" s="558" t="s">
        <v>111</v>
      </c>
      <c r="B50" s="538">
        <v>1</v>
      </c>
      <c r="C50" s="539">
        <f>'จน.ปาล์ม 69 '!E53</f>
        <v>117</v>
      </c>
      <c r="D50" s="539">
        <f>'จน.ปาล์ม 69 '!F53</f>
        <v>2934</v>
      </c>
      <c r="E50" s="542">
        <f>ROUND(C50*B50,0)</f>
        <v>117</v>
      </c>
      <c r="F50" s="543">
        <f>ROUND(D50*B50,0)</f>
        <v>2934</v>
      </c>
      <c r="G50" s="384">
        <f t="shared" ref="G50:G52" si="17">$G$3</f>
        <v>5</v>
      </c>
      <c r="H50" s="522">
        <f>ROUND(G50*F50,0)</f>
        <v>14670</v>
      </c>
    </row>
    <row r="51" spans="1:8" ht="27.75" x14ac:dyDescent="0.65">
      <c r="A51" s="559" t="s">
        <v>113</v>
      </c>
      <c r="B51" s="538">
        <v>1</v>
      </c>
      <c r="C51" s="381">
        <f>'จน.ปาล์ม 69 '!E55</f>
        <v>115</v>
      </c>
      <c r="D51" s="381">
        <f>'จน.ปาล์ม 69 '!F55</f>
        <v>2864</v>
      </c>
      <c r="E51" s="542">
        <f>ROUND(C51*B51,0)</f>
        <v>115</v>
      </c>
      <c r="F51" s="543">
        <f>ROUND(D51*B51,0)</f>
        <v>2864</v>
      </c>
      <c r="G51" s="384">
        <f t="shared" si="17"/>
        <v>5</v>
      </c>
      <c r="H51" s="522">
        <f>ROUND(G51*F51,0)</f>
        <v>14320</v>
      </c>
    </row>
    <row r="52" spans="1:8" ht="27.75" x14ac:dyDescent="0.65">
      <c r="A52" s="559" t="s">
        <v>114</v>
      </c>
      <c r="B52" s="538">
        <v>1</v>
      </c>
      <c r="C52" s="381">
        <f>'จน.ปาล์ม 69 '!E56</f>
        <v>128</v>
      </c>
      <c r="D52" s="381">
        <f>'จน.ปาล์ม 69 '!F56</f>
        <v>2825</v>
      </c>
      <c r="E52" s="542">
        <f>ROUND(C52*B52,0)</f>
        <v>128</v>
      </c>
      <c r="F52" s="543">
        <f>ROUND(D52*B52,0)</f>
        <v>2825</v>
      </c>
      <c r="G52" s="384">
        <f t="shared" si="17"/>
        <v>5</v>
      </c>
      <c r="H52" s="522">
        <f>ROUND(G52*F52,0)</f>
        <v>14125</v>
      </c>
    </row>
    <row r="53" spans="1:8" ht="24.75" customHeight="1" thickBot="1" x14ac:dyDescent="0.85">
      <c r="A53" s="1131" t="s">
        <v>222</v>
      </c>
      <c r="B53" s="1132"/>
      <c r="C53" s="1132"/>
      <c r="D53" s="1132"/>
      <c r="E53" s="1132"/>
      <c r="F53" s="1132"/>
      <c r="G53" s="1132"/>
      <c r="H53" s="536">
        <f>SUM(H50:H52)</f>
        <v>43115</v>
      </c>
    </row>
    <row r="54" spans="1:8" ht="24" customHeight="1" thickBot="1" x14ac:dyDescent="0.55000000000000004">
      <c r="A54" s="1169" t="s">
        <v>223</v>
      </c>
      <c r="B54" s="1170"/>
      <c r="C54" s="1170"/>
      <c r="D54" s="1170"/>
      <c r="E54" s="1170"/>
      <c r="F54" s="1170"/>
      <c r="G54" s="1170"/>
      <c r="H54" s="1171"/>
    </row>
    <row r="55" spans="1:8" ht="27.75" x14ac:dyDescent="0.65">
      <c r="A55" s="534" t="str">
        <f>'จน.ปาล์ม 69 '!D90</f>
        <v>59-C08-R</v>
      </c>
      <c r="B55" s="524">
        <v>1</v>
      </c>
      <c r="C55" s="529">
        <f>'จน.ปาล์ม 69 '!E90</f>
        <v>116</v>
      </c>
      <c r="D55" s="529">
        <f>'จน.ปาล์ม 69 '!F90</f>
        <v>2888</v>
      </c>
      <c r="E55" s="542">
        <f t="shared" ref="E55:E56" si="18">ROUND(C55*B55,0)</f>
        <v>116</v>
      </c>
      <c r="F55" s="543">
        <f t="shared" ref="F55:F56" si="19">ROUND(D55*B55,0)</f>
        <v>2888</v>
      </c>
      <c r="G55" s="384">
        <f t="shared" ref="G55:G56" si="20">$G$3</f>
        <v>5</v>
      </c>
      <c r="H55" s="522">
        <f>ROUND(G55*F55,0)</f>
        <v>14440</v>
      </c>
    </row>
    <row r="56" spans="1:8" ht="27.75" x14ac:dyDescent="0.65">
      <c r="A56" s="560" t="str">
        <f>'จน.ปาล์ม 69 '!D92</f>
        <v>59-C11-R</v>
      </c>
      <c r="B56" s="561">
        <v>1</v>
      </c>
      <c r="C56" s="562">
        <f>'จน.ปาล์ม 69 '!E92</f>
        <v>92</v>
      </c>
      <c r="D56" s="562">
        <f>'จน.ปาล์ม 69 '!F92</f>
        <v>2291</v>
      </c>
      <c r="E56" s="507">
        <f t="shared" si="18"/>
        <v>92</v>
      </c>
      <c r="F56" s="508">
        <f t="shared" si="19"/>
        <v>2291</v>
      </c>
      <c r="G56" s="547">
        <f t="shared" si="20"/>
        <v>5</v>
      </c>
      <c r="H56" s="522">
        <f>ROUND(G56*F56,0)</f>
        <v>11455</v>
      </c>
    </row>
    <row r="57" spans="1:8" ht="26.25" customHeight="1" x14ac:dyDescent="0.8">
      <c r="A57" s="1084" t="s">
        <v>224</v>
      </c>
      <c r="B57" s="1085"/>
      <c r="C57" s="1085"/>
      <c r="D57" s="1085"/>
      <c r="E57" s="1085"/>
      <c r="F57" s="1085"/>
      <c r="G57" s="1085"/>
      <c r="H57" s="563">
        <f>SUM(H55:H56)</f>
        <v>25895</v>
      </c>
    </row>
    <row r="58" spans="1:8" ht="27.75" x14ac:dyDescent="0.65">
      <c r="A58" s="1150" t="s">
        <v>225</v>
      </c>
      <c r="B58" s="1151"/>
      <c r="C58" s="1151"/>
      <c r="D58" s="1151"/>
      <c r="E58" s="1151"/>
      <c r="F58" s="1151"/>
      <c r="G58" s="1151"/>
      <c r="H58" s="1152"/>
    </row>
    <row r="59" spans="1:8" ht="24.75" customHeight="1" x14ac:dyDescent="0.65">
      <c r="A59" s="1118" t="s">
        <v>227</v>
      </c>
      <c r="B59" s="1119"/>
      <c r="C59" s="1119"/>
      <c r="D59" s="1119"/>
      <c r="E59" s="1119"/>
      <c r="F59" s="1119"/>
      <c r="G59" s="1119"/>
      <c r="H59" s="1120"/>
    </row>
    <row r="60" spans="1:8" ht="27.75" x14ac:dyDescent="0.65">
      <c r="A60" s="540" t="s">
        <v>52</v>
      </c>
      <c r="B60" s="564">
        <v>1</v>
      </c>
      <c r="C60" s="381">
        <v>154</v>
      </c>
      <c r="D60" s="381">
        <v>3851</v>
      </c>
      <c r="E60" s="542">
        <f>ROUND(C60*B60,0)</f>
        <v>154</v>
      </c>
      <c r="F60" s="543">
        <f>ROUND(D60*B60,0)</f>
        <v>3851</v>
      </c>
      <c r="G60" s="378">
        <f t="shared" ref="G60:G62" si="21">$G$3</f>
        <v>5</v>
      </c>
      <c r="H60" s="522">
        <f>ROUND(G60*F60,0)</f>
        <v>19255</v>
      </c>
    </row>
    <row r="61" spans="1:8" ht="27.75" x14ac:dyDescent="0.65">
      <c r="A61" s="540" t="s">
        <v>53</v>
      </c>
      <c r="B61" s="564">
        <v>1</v>
      </c>
      <c r="C61" s="381">
        <v>139</v>
      </c>
      <c r="D61" s="381">
        <v>3476</v>
      </c>
      <c r="E61" s="542">
        <f t="shared" ref="E61:E62" si="22">ROUND(C61*B61,0)</f>
        <v>139</v>
      </c>
      <c r="F61" s="543">
        <f>ROUND(D61*B61,0)</f>
        <v>3476</v>
      </c>
      <c r="G61" s="378">
        <f>$G$3</f>
        <v>5</v>
      </c>
      <c r="H61" s="522">
        <f>ROUND(G61*F61,0)</f>
        <v>17380</v>
      </c>
    </row>
    <row r="62" spans="1:8" ht="28.5" thickBot="1" x14ac:dyDescent="0.7">
      <c r="A62" s="565" t="s">
        <v>54</v>
      </c>
      <c r="B62" s="566">
        <v>1</v>
      </c>
      <c r="C62" s="405">
        <v>165</v>
      </c>
      <c r="D62" s="405">
        <v>4127</v>
      </c>
      <c r="E62" s="542">
        <f t="shared" si="22"/>
        <v>165</v>
      </c>
      <c r="F62" s="543">
        <f>ROUND(D62*B62,0)</f>
        <v>4127</v>
      </c>
      <c r="G62" s="378">
        <f t="shared" si="21"/>
        <v>5</v>
      </c>
      <c r="H62" s="519">
        <f>ROUND(G62*F62,0)</f>
        <v>20635</v>
      </c>
    </row>
    <row r="63" spans="1:8" ht="24.75" customHeight="1" thickBot="1" x14ac:dyDescent="0.85">
      <c r="A63" s="1087" t="s">
        <v>228</v>
      </c>
      <c r="B63" s="1088"/>
      <c r="C63" s="1088"/>
      <c r="D63" s="1088"/>
      <c r="E63" s="1088"/>
      <c r="F63" s="1088"/>
      <c r="G63" s="1088"/>
      <c r="H63" s="567">
        <f>SUM(H60:H62)</f>
        <v>57270</v>
      </c>
    </row>
    <row r="64" spans="1:8" ht="24" customHeight="1" x14ac:dyDescent="0.65">
      <c r="A64" s="1115" t="s">
        <v>27</v>
      </c>
      <c r="B64" s="1116"/>
      <c r="C64" s="1116"/>
      <c r="D64" s="1116"/>
      <c r="E64" s="1116"/>
      <c r="F64" s="1116"/>
      <c r="G64" s="1116"/>
      <c r="H64" s="1117"/>
    </row>
    <row r="65" spans="1:8" ht="24" customHeight="1" x14ac:dyDescent="0.65">
      <c r="A65" s="530" t="s">
        <v>126</v>
      </c>
      <c r="B65" s="521">
        <v>1</v>
      </c>
      <c r="C65" s="551">
        <v>108</v>
      </c>
      <c r="D65" s="551">
        <v>2707</v>
      </c>
      <c r="E65" s="507">
        <f>ROUND(C65*B65,0)</f>
        <v>108</v>
      </c>
      <c r="F65" s="508">
        <f t="shared" ref="F65:F66" si="23">ROUND(D65*B65,0)</f>
        <v>2707</v>
      </c>
      <c r="G65" s="384">
        <f>$G$3</f>
        <v>5</v>
      </c>
      <c r="H65" s="522">
        <f t="shared" ref="H65:H66" si="24">ROUND(G65*F65,0)</f>
        <v>13535</v>
      </c>
    </row>
    <row r="66" spans="1:8" ht="27.75" x14ac:dyDescent="0.65">
      <c r="A66" s="568" t="s">
        <v>128</v>
      </c>
      <c r="B66" s="561">
        <v>1</v>
      </c>
      <c r="C66" s="551">
        <v>29</v>
      </c>
      <c r="D66" s="551">
        <v>720</v>
      </c>
      <c r="E66" s="507">
        <f>ROUND(C66*B66,0)</f>
        <v>29</v>
      </c>
      <c r="F66" s="508">
        <f t="shared" si="23"/>
        <v>720</v>
      </c>
      <c r="G66" s="402">
        <f t="shared" ref="G66" si="25">$G$3</f>
        <v>5</v>
      </c>
      <c r="H66" s="522">
        <f t="shared" si="24"/>
        <v>3600</v>
      </c>
    </row>
    <row r="67" spans="1:8" ht="30.75" thickBot="1" x14ac:dyDescent="0.85">
      <c r="A67" s="1086" t="s">
        <v>226</v>
      </c>
      <c r="B67" s="1086"/>
      <c r="C67" s="1086"/>
      <c r="D67" s="1086"/>
      <c r="E67" s="1086"/>
      <c r="F67" s="1086"/>
      <c r="G67" s="1086"/>
      <c r="H67" s="569">
        <f>SUM(H65:H66)</f>
        <v>17135</v>
      </c>
    </row>
    <row r="68" spans="1:8" ht="24.75" customHeight="1" thickBot="1" x14ac:dyDescent="0.55000000000000004">
      <c r="A68" s="1089" t="s">
        <v>229</v>
      </c>
      <c r="B68" s="1090"/>
      <c r="C68" s="1090"/>
      <c r="D68" s="1090"/>
      <c r="E68" s="1090"/>
      <c r="F68" s="1090"/>
      <c r="G68" s="1090"/>
      <c r="H68" s="570">
        <f>H67+H63</f>
        <v>74405</v>
      </c>
    </row>
    <row r="69" spans="1:8" ht="24.75" customHeight="1" thickBot="1" x14ac:dyDescent="0.7">
      <c r="A69" s="1093" t="s">
        <v>230</v>
      </c>
      <c r="B69" s="1094"/>
      <c r="C69" s="1094"/>
      <c r="D69" s="1094"/>
      <c r="E69" s="1094"/>
      <c r="F69" s="1094"/>
      <c r="G69" s="1094"/>
      <c r="H69" s="1095"/>
    </row>
    <row r="70" spans="1:8" ht="24" customHeight="1" thickBot="1" x14ac:dyDescent="0.7">
      <c r="A70" s="1096" t="s">
        <v>27</v>
      </c>
      <c r="B70" s="1097"/>
      <c r="C70" s="1097"/>
      <c r="D70" s="1097"/>
      <c r="E70" s="1097"/>
      <c r="F70" s="1097"/>
      <c r="G70" s="1097"/>
      <c r="H70" s="1098"/>
    </row>
    <row r="71" spans="1:8" ht="27.75" x14ac:dyDescent="0.65">
      <c r="A71" s="571" t="s">
        <v>144</v>
      </c>
      <c r="B71" s="572">
        <v>1</v>
      </c>
      <c r="C71" s="573">
        <v>24</v>
      </c>
      <c r="D71" s="573">
        <v>534</v>
      </c>
      <c r="E71" s="574">
        <f t="shared" ref="E71:E72" si="26">ROUND(C71*B71,0)</f>
        <v>24</v>
      </c>
      <c r="F71" s="515">
        <f t="shared" ref="F71:F72" si="27">ROUND(D71*B71,0)</f>
        <v>534</v>
      </c>
      <c r="G71" s="384">
        <f t="shared" ref="G71:G72" si="28">$G$3</f>
        <v>5</v>
      </c>
      <c r="H71" s="502">
        <f t="shared" ref="H71:H72" si="29">ROUND(G71*F71,0)</f>
        <v>2670</v>
      </c>
    </row>
    <row r="72" spans="1:8" ht="27.75" x14ac:dyDescent="0.65">
      <c r="A72" s="575" t="s">
        <v>145</v>
      </c>
      <c r="B72" s="521">
        <v>1</v>
      </c>
      <c r="C72" s="562">
        <v>39</v>
      </c>
      <c r="D72" s="562">
        <v>980</v>
      </c>
      <c r="E72" s="514">
        <f t="shared" si="26"/>
        <v>39</v>
      </c>
      <c r="F72" s="508">
        <f t="shared" si="27"/>
        <v>980</v>
      </c>
      <c r="G72" s="384">
        <f t="shared" si="28"/>
        <v>5</v>
      </c>
      <c r="H72" s="522">
        <f t="shared" si="29"/>
        <v>4900</v>
      </c>
    </row>
    <row r="73" spans="1:8" ht="24.75" customHeight="1" x14ac:dyDescent="0.65">
      <c r="A73" s="1091" t="s">
        <v>231</v>
      </c>
      <c r="B73" s="1092"/>
      <c r="C73" s="1092"/>
      <c r="D73" s="1092"/>
      <c r="E73" s="1092"/>
      <c r="F73" s="1092"/>
      <c r="G73" s="1092"/>
      <c r="H73" s="531">
        <f>SUM(H71:H72)</f>
        <v>7570</v>
      </c>
    </row>
    <row r="74" spans="1:8" ht="30.75" thickBot="1" x14ac:dyDescent="0.85">
      <c r="A74" s="1103" t="s">
        <v>232</v>
      </c>
      <c r="B74" s="1103"/>
      <c r="C74" s="1103"/>
      <c r="D74" s="1103"/>
      <c r="E74" s="1103"/>
      <c r="F74" s="1103"/>
      <c r="G74" s="1103"/>
      <c r="H74" s="536">
        <f>H73</f>
        <v>7570</v>
      </c>
    </row>
    <row r="75" spans="1:8" ht="24.75" customHeight="1" thickBot="1" x14ac:dyDescent="0.7">
      <c r="A75" s="1093" t="s">
        <v>233</v>
      </c>
      <c r="B75" s="1094"/>
      <c r="C75" s="1094"/>
      <c r="D75" s="1094"/>
      <c r="E75" s="1094"/>
      <c r="F75" s="1094"/>
      <c r="G75" s="1094"/>
      <c r="H75" s="1095"/>
    </row>
    <row r="76" spans="1:8" ht="24" customHeight="1" thickBot="1" x14ac:dyDescent="0.7">
      <c r="A76" s="1096" t="s">
        <v>27</v>
      </c>
      <c r="B76" s="1097"/>
      <c r="C76" s="1097"/>
      <c r="D76" s="1097"/>
      <c r="E76" s="1097"/>
      <c r="F76" s="1097"/>
      <c r="G76" s="1097"/>
      <c r="H76" s="1099"/>
    </row>
    <row r="77" spans="1:8" ht="27.75" x14ac:dyDescent="0.65">
      <c r="A77" s="576" t="s">
        <v>45</v>
      </c>
      <c r="B77" s="521">
        <v>1</v>
      </c>
      <c r="C77" s="577">
        <f>'จน.ปาล์ม 69 '!E156</f>
        <v>90</v>
      </c>
      <c r="D77" s="562">
        <f>'จน.ปาล์ม 69 '!F156</f>
        <v>1970</v>
      </c>
      <c r="E77" s="514">
        <f>ROUND(C77*B77,0)</f>
        <v>90</v>
      </c>
      <c r="F77" s="515">
        <f>ROUND(D77*B77,0)</f>
        <v>1970</v>
      </c>
      <c r="G77" s="384">
        <f t="shared" ref="G77" si="30">$G$3</f>
        <v>5</v>
      </c>
      <c r="H77" s="502">
        <f t="shared" ref="H77" si="31">ROUND(G77*F77,0)</f>
        <v>9850</v>
      </c>
    </row>
    <row r="78" spans="1:8" ht="30.75" thickBot="1" x14ac:dyDescent="0.85">
      <c r="A78" s="1121" t="s">
        <v>234</v>
      </c>
      <c r="B78" s="1122"/>
      <c r="C78" s="1123"/>
      <c r="D78" s="1123"/>
      <c r="E78" s="1123"/>
      <c r="F78" s="1123"/>
      <c r="G78" s="1123"/>
      <c r="H78" s="536">
        <f>SUM(H77:H77)</f>
        <v>9850</v>
      </c>
    </row>
    <row r="79" spans="1:8" ht="24.75" customHeight="1" thickBot="1" x14ac:dyDescent="0.7">
      <c r="A79" s="1093" t="s">
        <v>235</v>
      </c>
      <c r="B79" s="1094"/>
      <c r="C79" s="1094"/>
      <c r="D79" s="1094"/>
      <c r="E79" s="1094"/>
      <c r="F79" s="1094"/>
      <c r="G79" s="1094"/>
      <c r="H79" s="1095"/>
    </row>
    <row r="80" spans="1:8" ht="24" customHeight="1" thickBot="1" x14ac:dyDescent="0.7">
      <c r="A80" s="1096" t="s">
        <v>236</v>
      </c>
      <c r="B80" s="1097"/>
      <c r="C80" s="1097"/>
      <c r="D80" s="1097"/>
      <c r="E80" s="1097"/>
      <c r="F80" s="1097"/>
      <c r="G80" s="1097"/>
      <c r="H80" s="1099"/>
    </row>
    <row r="81" spans="1:8" ht="27.75" x14ac:dyDescent="0.65">
      <c r="A81" s="576" t="s">
        <v>178</v>
      </c>
      <c r="B81" s="521">
        <v>1</v>
      </c>
      <c r="C81" s="577">
        <v>3</v>
      </c>
      <c r="D81" s="577">
        <v>61</v>
      </c>
      <c r="E81" s="514">
        <f>ROUND(C81*B81,0)</f>
        <v>3</v>
      </c>
      <c r="F81" s="515">
        <f>ROUND(D81*B81,0)</f>
        <v>61</v>
      </c>
      <c r="G81" s="384">
        <f t="shared" ref="G81:G83" si="32">$G$3</f>
        <v>5</v>
      </c>
      <c r="H81" s="502">
        <f>ROUND(G81*F81,0)</f>
        <v>305</v>
      </c>
    </row>
    <row r="82" spans="1:8" ht="27.75" x14ac:dyDescent="0.65">
      <c r="A82" s="578" t="s">
        <v>179</v>
      </c>
      <c r="B82" s="524">
        <v>1</v>
      </c>
      <c r="C82" s="507">
        <v>8</v>
      </c>
      <c r="D82" s="507">
        <v>171</v>
      </c>
      <c r="E82" s="542">
        <f t="shared" ref="E82:E83" si="33">ROUND(C82*B82,0)</f>
        <v>8</v>
      </c>
      <c r="F82" s="508">
        <f>ROUND(D82*B82,0)</f>
        <v>171</v>
      </c>
      <c r="G82" s="384">
        <f t="shared" si="32"/>
        <v>5</v>
      </c>
      <c r="H82" s="522">
        <f t="shared" ref="H82" si="34">ROUND(G82*F82,0)</f>
        <v>855</v>
      </c>
    </row>
    <row r="83" spans="1:8" ht="27.75" x14ac:dyDescent="0.65">
      <c r="A83" s="578" t="s">
        <v>180</v>
      </c>
      <c r="B83" s="524">
        <v>1</v>
      </c>
      <c r="C83" s="507">
        <v>11</v>
      </c>
      <c r="D83" s="507">
        <v>241</v>
      </c>
      <c r="E83" s="514">
        <f t="shared" si="33"/>
        <v>11</v>
      </c>
      <c r="F83" s="508">
        <f>ROUND(D83*B83,0)</f>
        <v>241</v>
      </c>
      <c r="G83" s="384">
        <f t="shared" si="32"/>
        <v>5</v>
      </c>
      <c r="H83" s="522">
        <f>ROUND(G83*F83,0)</f>
        <v>1205</v>
      </c>
    </row>
    <row r="84" spans="1:8" ht="30.75" thickBot="1" x14ac:dyDescent="0.85">
      <c r="A84" s="1075" t="s">
        <v>237</v>
      </c>
      <c r="B84" s="1076"/>
      <c r="C84" s="1077"/>
      <c r="D84" s="1077"/>
      <c r="E84" s="1077"/>
      <c r="F84" s="1077"/>
      <c r="G84" s="1077"/>
      <c r="H84" s="579">
        <f>SUM(H81:H83)</f>
        <v>2365</v>
      </c>
    </row>
    <row r="85" spans="1:8" ht="24.75" customHeight="1" thickBot="1" x14ac:dyDescent="0.7">
      <c r="A85" s="1093" t="s">
        <v>320</v>
      </c>
      <c r="B85" s="1094"/>
      <c r="C85" s="1094"/>
      <c r="D85" s="1094"/>
      <c r="E85" s="1094"/>
      <c r="F85" s="1094"/>
      <c r="G85" s="1094"/>
      <c r="H85" s="1095"/>
    </row>
    <row r="86" spans="1:8" ht="27.75" x14ac:dyDescent="0.65">
      <c r="A86" s="1100" t="s">
        <v>27</v>
      </c>
      <c r="B86" s="1101"/>
      <c r="C86" s="1101"/>
      <c r="D86" s="1101"/>
      <c r="E86" s="1101"/>
      <c r="F86" s="1101"/>
      <c r="G86" s="1101"/>
      <c r="H86" s="1102"/>
    </row>
    <row r="87" spans="1:8" ht="27.75" x14ac:dyDescent="0.65">
      <c r="A87" s="580" t="s">
        <v>305</v>
      </c>
      <c r="B87" s="524">
        <v>1</v>
      </c>
      <c r="C87" s="581">
        <v>86</v>
      </c>
      <c r="D87" s="581">
        <v>1892</v>
      </c>
      <c r="E87" s="507">
        <f>ROUND(C87*B87,0)</f>
        <v>86</v>
      </c>
      <c r="F87" s="508">
        <f>ROUND(D87*B87,0)</f>
        <v>1892</v>
      </c>
      <c r="G87" s="384">
        <f t="shared" ref="G87:G88" si="35">$G$3</f>
        <v>5</v>
      </c>
      <c r="H87" s="522">
        <f>ROUND(G87*F87,0)</f>
        <v>9460</v>
      </c>
    </row>
    <row r="88" spans="1:8" ht="27.75" x14ac:dyDescent="0.65">
      <c r="A88" s="580" t="s">
        <v>306</v>
      </c>
      <c r="B88" s="524">
        <v>1</v>
      </c>
      <c r="C88" s="581">
        <v>77</v>
      </c>
      <c r="D88" s="581">
        <v>1686</v>
      </c>
      <c r="E88" s="507">
        <f t="shared" ref="E88" si="36">ROUND(C88*B88,0)</f>
        <v>77</v>
      </c>
      <c r="F88" s="508">
        <f>ROUND(D88*B88,0)</f>
        <v>1686</v>
      </c>
      <c r="G88" s="384">
        <f t="shared" si="35"/>
        <v>5</v>
      </c>
      <c r="H88" s="522">
        <f>ROUND(G88*F88,0)</f>
        <v>8430</v>
      </c>
    </row>
    <row r="89" spans="1:8" ht="30" x14ac:dyDescent="0.8">
      <c r="A89" s="1075" t="s">
        <v>321</v>
      </c>
      <c r="B89" s="1076"/>
      <c r="C89" s="1077"/>
      <c r="D89" s="1077"/>
      <c r="E89" s="1077"/>
      <c r="F89" s="1077"/>
      <c r="G89" s="1077"/>
      <c r="H89" s="579">
        <f>SUM(H87:H88)</f>
        <v>17890</v>
      </c>
    </row>
    <row r="90" spans="1:8" ht="30" x14ac:dyDescent="0.8">
      <c r="A90" s="1081" t="s">
        <v>321</v>
      </c>
      <c r="B90" s="1082"/>
      <c r="C90" s="1083"/>
      <c r="D90" s="1083"/>
      <c r="E90" s="1083"/>
      <c r="F90" s="1083"/>
      <c r="G90" s="1083"/>
      <c r="H90" s="563">
        <f>H89</f>
        <v>17890</v>
      </c>
    </row>
  </sheetData>
  <mergeCells count="57">
    <mergeCell ref="J2:R2"/>
    <mergeCell ref="A30:G30"/>
    <mergeCell ref="A38:H38"/>
    <mergeCell ref="A1:H1"/>
    <mergeCell ref="A54:H54"/>
    <mergeCell ref="A8:G8"/>
    <mergeCell ref="A12:G12"/>
    <mergeCell ref="A19:G19"/>
    <mergeCell ref="A2:B3"/>
    <mergeCell ref="C2:C3"/>
    <mergeCell ref="D2:D3"/>
    <mergeCell ref="E2:E3"/>
    <mergeCell ref="F2:F3"/>
    <mergeCell ref="A5:H5"/>
    <mergeCell ref="A4:H4"/>
    <mergeCell ref="A14:H14"/>
    <mergeCell ref="A78:G78"/>
    <mergeCell ref="A84:G84"/>
    <mergeCell ref="A13:G13"/>
    <mergeCell ref="H2:H3"/>
    <mergeCell ref="A16:G16"/>
    <mergeCell ref="A53:G53"/>
    <mergeCell ref="A20:G20"/>
    <mergeCell ref="A21:G21"/>
    <mergeCell ref="A33:G33"/>
    <mergeCell ref="A35:G35"/>
    <mergeCell ref="A37:G37"/>
    <mergeCell ref="A22:H22"/>
    <mergeCell ref="A31:H31"/>
    <mergeCell ref="A23:H23"/>
    <mergeCell ref="A29:G29"/>
    <mergeCell ref="A36:G36"/>
    <mergeCell ref="A74:G74"/>
    <mergeCell ref="A39:H39"/>
    <mergeCell ref="A44:H44"/>
    <mergeCell ref="A47:G47"/>
    <mergeCell ref="A43:G43"/>
    <mergeCell ref="A48:G48"/>
    <mergeCell ref="A64:H64"/>
    <mergeCell ref="A59:H59"/>
    <mergeCell ref="A58:H58"/>
    <mergeCell ref="A89:G89"/>
    <mergeCell ref="A49:H49"/>
    <mergeCell ref="A90:G90"/>
    <mergeCell ref="A57:G57"/>
    <mergeCell ref="A67:G67"/>
    <mergeCell ref="A63:G63"/>
    <mergeCell ref="A68:G68"/>
    <mergeCell ref="A73:G73"/>
    <mergeCell ref="A69:H69"/>
    <mergeCell ref="A70:H70"/>
    <mergeCell ref="A75:H75"/>
    <mergeCell ref="A76:H76"/>
    <mergeCell ref="A79:H79"/>
    <mergeCell ref="A80:H80"/>
    <mergeCell ref="A85:H85"/>
    <mergeCell ref="A86:H86"/>
  </mergeCells>
  <pageMargins left="0.23622047244094491" right="0.17" top="0.35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34"/>
  <sheetViews>
    <sheetView tabSelected="1" zoomScale="80" zoomScaleNormal="80" workbookViewId="0">
      <pane ySplit="4" topLeftCell="A5" activePane="bottomLeft" state="frozen"/>
      <selection pane="bottomLeft" activeCell="G8" sqref="G8"/>
    </sheetView>
  </sheetViews>
  <sheetFormatPr defaultColWidth="9" defaultRowHeight="18.75" x14ac:dyDescent="0.45"/>
  <cols>
    <col min="1" max="3" width="20.625" style="367" customWidth="1"/>
    <col min="4" max="6" width="20.625" style="368" customWidth="1"/>
    <col min="7" max="16384" width="9" style="367"/>
  </cols>
  <sheetData>
    <row r="1" spans="1:16" ht="27.75" thickBot="1" x14ac:dyDescent="0.65">
      <c r="A1" s="1174" t="s">
        <v>343</v>
      </c>
      <c r="B1" s="1175"/>
      <c r="C1" s="1175"/>
      <c r="D1" s="1175"/>
      <c r="E1" s="1175"/>
      <c r="F1" s="1176"/>
    </row>
    <row r="2" spans="1:16" ht="24" customHeight="1" x14ac:dyDescent="0.45">
      <c r="A2" s="1188" t="s">
        <v>204</v>
      </c>
      <c r="B2" s="1190" t="s">
        <v>1</v>
      </c>
      <c r="C2" s="1190" t="s">
        <v>2</v>
      </c>
      <c r="D2" s="1193" t="s">
        <v>322</v>
      </c>
      <c r="E2" s="1180" t="s">
        <v>3</v>
      </c>
      <c r="F2" s="1181"/>
      <c r="H2" s="1072" t="s">
        <v>419</v>
      </c>
      <c r="I2" s="1072"/>
      <c r="J2" s="1072"/>
      <c r="K2" s="1072"/>
      <c r="L2" s="1072"/>
      <c r="M2" s="1072"/>
      <c r="N2" s="1072"/>
      <c r="O2" s="1072"/>
      <c r="P2" s="1072"/>
    </row>
    <row r="3" spans="1:16" ht="18.75" customHeight="1" x14ac:dyDescent="0.45">
      <c r="A3" s="1189"/>
      <c r="B3" s="1191"/>
      <c r="C3" s="1191"/>
      <c r="D3" s="1194"/>
      <c r="E3" s="1196" t="s">
        <v>22</v>
      </c>
      <c r="F3" s="1197"/>
    </row>
    <row r="4" spans="1:16" ht="28.5" thickBot="1" x14ac:dyDescent="0.65">
      <c r="A4" s="1189"/>
      <c r="B4" s="1192"/>
      <c r="C4" s="1192"/>
      <c r="D4" s="1195"/>
      <c r="E4" s="369" t="s">
        <v>325</v>
      </c>
      <c r="F4" s="370" t="s">
        <v>326</v>
      </c>
    </row>
    <row r="5" spans="1:16" ht="27.95" customHeight="1" thickBot="1" x14ac:dyDescent="0.5">
      <c r="A5" s="371" t="s">
        <v>235</v>
      </c>
      <c r="B5" s="372"/>
      <c r="C5" s="372"/>
      <c r="D5" s="372"/>
      <c r="E5" s="372"/>
      <c r="F5" s="373"/>
    </row>
    <row r="6" spans="1:16" ht="27.95" customHeight="1" thickBot="1" x14ac:dyDescent="0.7">
      <c r="A6" s="374" t="s">
        <v>22</v>
      </c>
      <c r="B6" s="375"/>
      <c r="C6" s="375"/>
      <c r="D6" s="375"/>
      <c r="E6" s="375"/>
      <c r="F6" s="376"/>
    </row>
    <row r="7" spans="1:16" ht="27.95" customHeight="1" x14ac:dyDescent="0.65">
      <c r="A7" s="377" t="s">
        <v>178</v>
      </c>
      <c r="B7" s="378">
        <v>3</v>
      </c>
      <c r="C7" s="379">
        <v>61</v>
      </c>
      <c r="D7" s="380">
        <v>3.5</v>
      </c>
      <c r="E7" s="381">
        <v>1</v>
      </c>
      <c r="F7" s="382">
        <f>ROUND(+D7*C7*E7,0)</f>
        <v>214</v>
      </c>
    </row>
    <row r="8" spans="1:16" ht="27.95" customHeight="1" x14ac:dyDescent="0.65">
      <c r="A8" s="377" t="s">
        <v>179</v>
      </c>
      <c r="B8" s="378">
        <v>8</v>
      </c>
      <c r="C8" s="379">
        <v>171</v>
      </c>
      <c r="D8" s="380">
        <v>3.5</v>
      </c>
      <c r="E8" s="381">
        <v>1</v>
      </c>
      <c r="F8" s="382">
        <f t="shared" ref="F8:F10" si="0">ROUND(+D8*C8*E8,0)</f>
        <v>599</v>
      </c>
    </row>
    <row r="9" spans="1:16" ht="27.95" customHeight="1" x14ac:dyDescent="0.65">
      <c r="A9" s="377" t="s">
        <v>180</v>
      </c>
      <c r="B9" s="378">
        <v>11</v>
      </c>
      <c r="C9" s="379">
        <v>241</v>
      </c>
      <c r="D9" s="380">
        <v>3.5</v>
      </c>
      <c r="E9" s="381">
        <v>1</v>
      </c>
      <c r="F9" s="382">
        <f t="shared" si="0"/>
        <v>844</v>
      </c>
    </row>
    <row r="10" spans="1:16" ht="27.95" customHeight="1" x14ac:dyDescent="0.65">
      <c r="A10" s="377" t="s">
        <v>181</v>
      </c>
      <c r="B10" s="378">
        <v>140</v>
      </c>
      <c r="C10" s="379">
        <v>3070</v>
      </c>
      <c r="D10" s="380">
        <v>3.5</v>
      </c>
      <c r="E10" s="381">
        <v>1</v>
      </c>
      <c r="F10" s="382">
        <f t="shared" si="0"/>
        <v>10745</v>
      </c>
    </row>
    <row r="11" spans="1:16" ht="27.95" customHeight="1" thickBot="1" x14ac:dyDescent="0.7">
      <c r="A11" s="401" t="s">
        <v>182</v>
      </c>
      <c r="B11" s="402">
        <v>149</v>
      </c>
      <c r="C11" s="403">
        <v>3270</v>
      </c>
      <c r="D11" s="404">
        <v>3.5</v>
      </c>
      <c r="E11" s="405">
        <v>1</v>
      </c>
      <c r="F11" s="406">
        <f>ROUND(+D11*C11*E11,0)</f>
        <v>11445</v>
      </c>
    </row>
    <row r="12" spans="1:16" ht="27.95" customHeight="1" thickBot="1" x14ac:dyDescent="0.5">
      <c r="A12" s="1202" t="s">
        <v>331</v>
      </c>
      <c r="B12" s="1203"/>
      <c r="C12" s="1203"/>
      <c r="D12" s="1203"/>
      <c r="E12" s="1204"/>
      <c r="F12" s="408">
        <f>F7+F8+F9+F10+F11</f>
        <v>23847</v>
      </c>
    </row>
    <row r="13" spans="1:16" ht="27.95" customHeight="1" thickBot="1" x14ac:dyDescent="0.65">
      <c r="A13" s="1177" t="s">
        <v>27</v>
      </c>
      <c r="B13" s="1178"/>
      <c r="C13" s="1178"/>
      <c r="D13" s="1178"/>
      <c r="E13" s="1178"/>
      <c r="F13" s="1179"/>
    </row>
    <row r="14" spans="1:16" ht="27.95" customHeight="1" x14ac:dyDescent="0.65">
      <c r="A14" s="383" t="s">
        <v>187</v>
      </c>
      <c r="B14" s="384">
        <v>99</v>
      </c>
      <c r="C14" s="385">
        <v>2167</v>
      </c>
      <c r="D14" s="380">
        <v>3.5</v>
      </c>
      <c r="E14" s="386">
        <v>1</v>
      </c>
      <c r="F14" s="387">
        <f>ROUND(+D14*C14*E14,0)</f>
        <v>7585</v>
      </c>
    </row>
    <row r="15" spans="1:16" ht="27.95" customHeight="1" x14ac:dyDescent="0.65">
      <c r="A15" s="388" t="s">
        <v>189</v>
      </c>
      <c r="B15" s="389">
        <v>105</v>
      </c>
      <c r="C15" s="390">
        <v>2320</v>
      </c>
      <c r="D15" s="380">
        <v>3.5</v>
      </c>
      <c r="E15" s="391">
        <v>1</v>
      </c>
      <c r="F15" s="392">
        <f>ROUND(+D15*C15*E15,0)</f>
        <v>8120</v>
      </c>
    </row>
    <row r="16" spans="1:16" ht="27.95" customHeight="1" x14ac:dyDescent="0.65">
      <c r="A16" s="388" t="s">
        <v>190</v>
      </c>
      <c r="B16" s="389">
        <v>130</v>
      </c>
      <c r="C16" s="390">
        <v>2865</v>
      </c>
      <c r="D16" s="380">
        <v>3.5</v>
      </c>
      <c r="E16" s="391">
        <v>1</v>
      </c>
      <c r="F16" s="392">
        <f>ROUND(+D16*C16*E16,0)</f>
        <v>10028</v>
      </c>
    </row>
    <row r="17" spans="1:6" ht="27.95" customHeight="1" thickBot="1" x14ac:dyDescent="0.5">
      <c r="A17" s="1205" t="s">
        <v>330</v>
      </c>
      <c r="B17" s="1206"/>
      <c r="C17" s="1206"/>
      <c r="D17" s="1206"/>
      <c r="E17" s="1206"/>
      <c r="F17" s="410">
        <f>F14+F15+F16</f>
        <v>25733</v>
      </c>
    </row>
    <row r="18" spans="1:6" ht="27.95" customHeight="1" thickBot="1" x14ac:dyDescent="0.5">
      <c r="A18" s="1198" t="s">
        <v>327</v>
      </c>
      <c r="B18" s="1199"/>
      <c r="C18" s="1199"/>
      <c r="D18" s="1199"/>
      <c r="E18" s="1199"/>
      <c r="F18" s="409">
        <f>F17+F12</f>
        <v>49580</v>
      </c>
    </row>
    <row r="19" spans="1:6" ht="27.95" customHeight="1" x14ac:dyDescent="0.6">
      <c r="A19" s="393" t="s">
        <v>320</v>
      </c>
      <c r="B19" s="394"/>
      <c r="C19" s="394"/>
      <c r="D19" s="395"/>
      <c r="E19" s="395"/>
      <c r="F19" s="396"/>
    </row>
    <row r="20" spans="1:6" ht="27.95" customHeight="1" x14ac:dyDescent="0.45">
      <c r="A20" s="1185" t="s">
        <v>22</v>
      </c>
      <c r="B20" s="1186"/>
      <c r="C20" s="1186"/>
      <c r="D20" s="1186"/>
      <c r="E20" s="1186"/>
      <c r="F20" s="1187"/>
    </row>
    <row r="21" spans="1:6" ht="27.95" customHeight="1" x14ac:dyDescent="0.6">
      <c r="A21" s="397" t="s">
        <v>183</v>
      </c>
      <c r="B21" s="398">
        <v>144</v>
      </c>
      <c r="C21" s="399">
        <v>3171</v>
      </c>
      <c r="D21" s="398">
        <v>3.5</v>
      </c>
      <c r="E21" s="398">
        <v>1</v>
      </c>
      <c r="F21" s="382">
        <f>ROUND(+D21*C21*E21,0)</f>
        <v>11099</v>
      </c>
    </row>
    <row r="22" spans="1:6" ht="27.95" customHeight="1" x14ac:dyDescent="0.6">
      <c r="A22" s="397" t="s">
        <v>184</v>
      </c>
      <c r="B22" s="398">
        <v>134</v>
      </c>
      <c r="C22" s="399">
        <v>2950</v>
      </c>
      <c r="D22" s="398">
        <v>3.5</v>
      </c>
      <c r="E22" s="398">
        <v>1</v>
      </c>
      <c r="F22" s="382">
        <f>ROUND(+D22*C22*E22,0)</f>
        <v>10325</v>
      </c>
    </row>
    <row r="23" spans="1:6" ht="27.95" customHeight="1" x14ac:dyDescent="0.45">
      <c r="A23" s="1182" t="s">
        <v>323</v>
      </c>
      <c r="B23" s="1183"/>
      <c r="C23" s="1183"/>
      <c r="D23" s="1183"/>
      <c r="E23" s="1184"/>
      <c r="F23" s="411">
        <f>F21+F22</f>
        <v>21424</v>
      </c>
    </row>
    <row r="24" spans="1:6" ht="27.95" customHeight="1" x14ac:dyDescent="0.45">
      <c r="A24" s="1207" t="s">
        <v>27</v>
      </c>
      <c r="B24" s="1208"/>
      <c r="C24" s="1208"/>
      <c r="D24" s="1208"/>
      <c r="E24" s="1208"/>
      <c r="F24" s="1209"/>
    </row>
    <row r="25" spans="1:6" ht="27.95" customHeight="1" x14ac:dyDescent="0.6">
      <c r="A25" s="397" t="s">
        <v>305</v>
      </c>
      <c r="B25" s="398">
        <v>86</v>
      </c>
      <c r="C25" s="400">
        <v>1892</v>
      </c>
      <c r="D25" s="398">
        <v>3.5</v>
      </c>
      <c r="E25" s="398">
        <v>1</v>
      </c>
      <c r="F25" s="382">
        <f>ROUND(+D25*C25*E25,0)</f>
        <v>6622</v>
      </c>
    </row>
    <row r="26" spans="1:6" ht="27.95" customHeight="1" x14ac:dyDescent="0.6">
      <c r="A26" s="397" t="s">
        <v>306</v>
      </c>
      <c r="B26" s="398">
        <v>77</v>
      </c>
      <c r="C26" s="400">
        <v>1686</v>
      </c>
      <c r="D26" s="398">
        <v>3.5</v>
      </c>
      <c r="E26" s="398">
        <v>1</v>
      </c>
      <c r="F26" s="382">
        <f t="shared" ref="F26:F31" si="1">ROUND(+D26*C26*E26,0)</f>
        <v>5901</v>
      </c>
    </row>
    <row r="27" spans="1:6" ht="27.95" customHeight="1" x14ac:dyDescent="0.6">
      <c r="A27" s="397" t="s">
        <v>307</v>
      </c>
      <c r="B27" s="398">
        <v>63</v>
      </c>
      <c r="C27" s="400">
        <v>1380</v>
      </c>
      <c r="D27" s="398">
        <v>3.5</v>
      </c>
      <c r="E27" s="398">
        <v>1</v>
      </c>
      <c r="F27" s="382">
        <f t="shared" si="1"/>
        <v>4830</v>
      </c>
    </row>
    <row r="28" spans="1:6" ht="27.95" customHeight="1" x14ac:dyDescent="0.6">
      <c r="A28" s="397" t="s">
        <v>308</v>
      </c>
      <c r="B28" s="398">
        <v>53</v>
      </c>
      <c r="C28" s="400">
        <v>1168</v>
      </c>
      <c r="D28" s="398">
        <v>3.5</v>
      </c>
      <c r="E28" s="398">
        <v>1</v>
      </c>
      <c r="F28" s="382">
        <f t="shared" si="1"/>
        <v>4088</v>
      </c>
    </row>
    <row r="29" spans="1:6" ht="27.95" customHeight="1" x14ac:dyDescent="0.6">
      <c r="A29" s="397" t="s">
        <v>309</v>
      </c>
      <c r="B29" s="398">
        <v>34</v>
      </c>
      <c r="C29" s="400">
        <v>751</v>
      </c>
      <c r="D29" s="398">
        <v>3.5</v>
      </c>
      <c r="E29" s="398">
        <v>1</v>
      </c>
      <c r="F29" s="382">
        <f t="shared" si="1"/>
        <v>2629</v>
      </c>
    </row>
    <row r="30" spans="1:6" ht="27.95" customHeight="1" x14ac:dyDescent="0.6">
      <c r="A30" s="397" t="s">
        <v>310</v>
      </c>
      <c r="B30" s="398">
        <v>70</v>
      </c>
      <c r="C30" s="400">
        <v>1547</v>
      </c>
      <c r="D30" s="398">
        <v>3.5</v>
      </c>
      <c r="E30" s="398">
        <v>1</v>
      </c>
      <c r="F30" s="382">
        <f t="shared" si="1"/>
        <v>5415</v>
      </c>
    </row>
    <row r="31" spans="1:6" ht="27.95" customHeight="1" x14ac:dyDescent="0.6">
      <c r="A31" s="397" t="s">
        <v>311</v>
      </c>
      <c r="B31" s="398">
        <v>7</v>
      </c>
      <c r="C31" s="400">
        <v>145</v>
      </c>
      <c r="D31" s="398">
        <v>3.5</v>
      </c>
      <c r="E31" s="398">
        <v>1</v>
      </c>
      <c r="F31" s="382">
        <f t="shared" si="1"/>
        <v>508</v>
      </c>
    </row>
    <row r="32" spans="1:6" ht="27.95" customHeight="1" thickBot="1" x14ac:dyDescent="0.5">
      <c r="A32" s="1182" t="s">
        <v>324</v>
      </c>
      <c r="B32" s="1183"/>
      <c r="C32" s="1183"/>
      <c r="D32" s="1183"/>
      <c r="E32" s="1183"/>
      <c r="F32" s="411">
        <f>F31+F30+F29+F28+F27+F26+F25</f>
        <v>29993</v>
      </c>
    </row>
    <row r="33" spans="1:6" ht="27.95" customHeight="1" thickBot="1" x14ac:dyDescent="0.5">
      <c r="A33" s="1198" t="s">
        <v>332</v>
      </c>
      <c r="B33" s="1199"/>
      <c r="C33" s="1199"/>
      <c r="D33" s="1199"/>
      <c r="E33" s="1199"/>
      <c r="F33" s="409">
        <f>F23+F32</f>
        <v>51417</v>
      </c>
    </row>
    <row r="34" spans="1:6" ht="27.95" customHeight="1" thickBot="1" x14ac:dyDescent="0.5">
      <c r="A34" s="1200" t="s">
        <v>328</v>
      </c>
      <c r="B34" s="1201"/>
      <c r="C34" s="1201"/>
      <c r="D34" s="1201"/>
      <c r="E34" s="1201"/>
      <c r="F34" s="407">
        <f>F33+F18</f>
        <v>100997</v>
      </c>
    </row>
  </sheetData>
  <mergeCells count="18">
    <mergeCell ref="H2:P2"/>
    <mergeCell ref="A33:E33"/>
    <mergeCell ref="A34:E34"/>
    <mergeCell ref="A12:E12"/>
    <mergeCell ref="A17:E17"/>
    <mergeCell ref="A18:E18"/>
    <mergeCell ref="A24:F24"/>
    <mergeCell ref="A32:E32"/>
    <mergeCell ref="A1:F1"/>
    <mergeCell ref="A13:F13"/>
    <mergeCell ref="E2:F2"/>
    <mergeCell ref="A23:E23"/>
    <mergeCell ref="A20:F20"/>
    <mergeCell ref="A2:A4"/>
    <mergeCell ref="B2:B4"/>
    <mergeCell ref="C2:C4"/>
    <mergeCell ref="D2:D4"/>
    <mergeCell ref="E3:F3"/>
  </mergeCells>
  <pageMargins left="0.17" right="0.17" top="0.56999999999999995" bottom="0.24" header="0.65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AA128"/>
  <sheetViews>
    <sheetView topLeftCell="B1" zoomScale="80" zoomScaleNormal="80" workbookViewId="0">
      <pane ySplit="4" topLeftCell="A119" activePane="bottomLeft" state="frozen"/>
      <selection pane="bottomLeft" activeCell="G7" sqref="G7"/>
    </sheetView>
  </sheetViews>
  <sheetFormatPr defaultRowHeight="24" x14ac:dyDescent="0.55000000000000004"/>
  <cols>
    <col min="1" max="1" width="0" hidden="1" customWidth="1"/>
    <col min="2" max="2" width="10.625" customWidth="1"/>
    <col min="3" max="3" width="11.625" customWidth="1"/>
    <col min="4" max="4" width="10.5" bestFit="1" customWidth="1"/>
    <col min="5" max="5" width="8.625" customWidth="1"/>
    <col min="6" max="6" width="10.25" customWidth="1"/>
    <col min="7" max="7" width="19.875" style="150" bestFit="1" customWidth="1"/>
    <col min="8" max="8" width="8.75" customWidth="1"/>
    <col min="9" max="9" width="10.5" customWidth="1"/>
    <col min="10" max="10" width="9.125" customWidth="1"/>
    <col min="11" max="11" width="10.5" customWidth="1"/>
    <col min="12" max="12" width="10.625" style="476" customWidth="1"/>
    <col min="13" max="17" width="10.25" customWidth="1"/>
  </cols>
  <sheetData>
    <row r="1" spans="1:27" ht="30.75" x14ac:dyDescent="0.7">
      <c r="B1" s="1225" t="s">
        <v>333</v>
      </c>
      <c r="C1" s="1226"/>
      <c r="D1" s="1226"/>
      <c r="E1" s="1226"/>
      <c r="F1" s="1226"/>
      <c r="G1" s="1226"/>
      <c r="H1" s="1226"/>
      <c r="I1" s="1226"/>
      <c r="J1" s="1226"/>
      <c r="K1" s="1226"/>
      <c r="L1" s="1226"/>
      <c r="M1" s="1226"/>
      <c r="N1" s="1226"/>
      <c r="O1" s="1226"/>
      <c r="P1" s="1226"/>
      <c r="Q1" s="1227"/>
    </row>
    <row r="2" spans="1:27" ht="24" customHeight="1" x14ac:dyDescent="0.55000000000000004">
      <c r="B2" s="1232" t="s">
        <v>204</v>
      </c>
      <c r="C2" s="1157" t="s">
        <v>1</v>
      </c>
      <c r="D2" s="1157" t="s">
        <v>2</v>
      </c>
      <c r="E2" s="1159" t="s">
        <v>205</v>
      </c>
      <c r="F2" s="1234" t="s">
        <v>206</v>
      </c>
      <c r="G2" s="1161" t="s">
        <v>334</v>
      </c>
      <c r="H2" s="1235" t="s">
        <v>3</v>
      </c>
      <c r="I2" s="1236"/>
      <c r="J2" s="1236"/>
      <c r="K2" s="1236"/>
      <c r="L2" s="1236"/>
      <c r="M2" s="1236"/>
      <c r="N2" s="1236"/>
      <c r="O2" s="1236"/>
      <c r="P2" s="1236"/>
      <c r="Q2" s="1237"/>
    </row>
    <row r="3" spans="1:27" ht="30.75" x14ac:dyDescent="0.55000000000000004">
      <c r="B3" s="1233"/>
      <c r="C3" s="1157"/>
      <c r="D3" s="1157"/>
      <c r="E3" s="1159"/>
      <c r="F3" s="1234"/>
      <c r="G3" s="1161"/>
      <c r="H3" s="1231" t="s">
        <v>22</v>
      </c>
      <c r="I3" s="1231"/>
      <c r="J3" s="1231"/>
      <c r="K3" s="1231"/>
      <c r="L3" s="1238" t="s">
        <v>27</v>
      </c>
      <c r="M3" s="1239"/>
      <c r="N3" s="1239"/>
      <c r="O3" s="1239"/>
      <c r="P3" s="1239"/>
      <c r="Q3" s="1240"/>
      <c r="S3" s="1072" t="s">
        <v>420</v>
      </c>
      <c r="T3" s="1072"/>
      <c r="U3" s="1072"/>
      <c r="V3" s="1072"/>
      <c r="W3" s="1072"/>
      <c r="X3" s="1072"/>
      <c r="Y3" s="1072"/>
      <c r="Z3" s="1072"/>
      <c r="AA3" s="1072"/>
    </row>
    <row r="4" spans="1:27" x14ac:dyDescent="0.55000000000000004">
      <c r="B4" s="1233"/>
      <c r="C4" s="1158"/>
      <c r="D4" s="1158"/>
      <c r="E4" s="1160"/>
      <c r="F4" s="1126"/>
      <c r="G4" s="1162"/>
      <c r="H4" s="234" t="s">
        <v>13</v>
      </c>
      <c r="I4" s="412" t="s">
        <v>335</v>
      </c>
      <c r="J4" s="412" t="s">
        <v>14</v>
      </c>
      <c r="K4" s="412" t="s">
        <v>335</v>
      </c>
      <c r="L4" s="413" t="s">
        <v>13</v>
      </c>
      <c r="M4" s="412" t="s">
        <v>335</v>
      </c>
      <c r="N4" s="412" t="s">
        <v>14</v>
      </c>
      <c r="O4" s="412" t="s">
        <v>335</v>
      </c>
      <c r="P4" s="412" t="s">
        <v>15</v>
      </c>
      <c r="Q4" s="615" t="s">
        <v>335</v>
      </c>
    </row>
    <row r="5" spans="1:27" x14ac:dyDescent="0.55000000000000004">
      <c r="B5" s="1241" t="s">
        <v>21</v>
      </c>
      <c r="C5" s="1242"/>
      <c r="D5" s="1242"/>
      <c r="E5" s="1242"/>
      <c r="F5" s="1242"/>
      <c r="G5" s="1242"/>
      <c r="H5" s="1242"/>
      <c r="I5" s="1242"/>
      <c r="J5" s="1242"/>
      <c r="K5" s="1242"/>
      <c r="L5" s="1242"/>
      <c r="M5" s="1242"/>
      <c r="N5" s="1242"/>
      <c r="O5" s="1242"/>
      <c r="P5" s="1242"/>
      <c r="Q5" s="1243"/>
    </row>
    <row r="6" spans="1:27" x14ac:dyDescent="0.55000000000000004">
      <c r="A6" s="426"/>
      <c r="B6" s="1219" t="s">
        <v>27</v>
      </c>
      <c r="C6" s="1220"/>
      <c r="D6" s="1220"/>
      <c r="E6" s="1220"/>
      <c r="F6" s="1220"/>
      <c r="G6" s="1220"/>
      <c r="H6" s="1220"/>
      <c r="I6" s="1220"/>
      <c r="J6" s="1220"/>
      <c r="K6" s="1220"/>
      <c r="L6" s="1220"/>
      <c r="M6" s="1220"/>
      <c r="N6" s="1220"/>
      <c r="O6" s="1220"/>
      <c r="P6" s="1220"/>
      <c r="Q6" s="1221"/>
    </row>
    <row r="7" spans="1:27" ht="24.75" thickBot="1" x14ac:dyDescent="0.6">
      <c r="A7" s="426"/>
      <c r="B7" s="427" t="s">
        <v>251</v>
      </c>
      <c r="C7" s="271">
        <v>8</v>
      </c>
      <c r="D7" s="233">
        <v>184</v>
      </c>
      <c r="E7" s="428">
        <f>+C7*100%</f>
        <v>8</v>
      </c>
      <c r="F7" s="282">
        <f>D7*100%</f>
        <v>184</v>
      </c>
      <c r="G7" s="282">
        <v>5</v>
      </c>
      <c r="H7" s="416">
        <v>0</v>
      </c>
      <c r="I7" s="416">
        <v>0</v>
      </c>
      <c r="J7" s="416">
        <f>0</f>
        <v>0</v>
      </c>
      <c r="K7" s="416">
        <f>0</f>
        <v>0</v>
      </c>
      <c r="L7" s="429">
        <v>1</v>
      </c>
      <c r="M7" s="416">
        <f>C7*G7</f>
        <v>40</v>
      </c>
      <c r="N7" s="416">
        <v>0</v>
      </c>
      <c r="O7" s="416">
        <v>0</v>
      </c>
      <c r="P7" s="416">
        <v>0</v>
      </c>
      <c r="Q7" s="616">
        <v>0</v>
      </c>
    </row>
    <row r="8" spans="1:27" ht="24.75" thickBot="1" x14ac:dyDescent="0.6">
      <c r="A8" s="426"/>
      <c r="B8" s="430" t="s">
        <v>324</v>
      </c>
      <c r="C8" s="431">
        <f>C7</f>
        <v>8</v>
      </c>
      <c r="D8" s="431">
        <f>D7</f>
        <v>184</v>
      </c>
      <c r="E8" s="432">
        <f>SUM(E7:E7)</f>
        <v>8</v>
      </c>
      <c r="F8" s="418">
        <f>SUM(F7:F7)</f>
        <v>184</v>
      </c>
      <c r="G8" s="418"/>
      <c r="H8" s="419">
        <f>SUM(H7:H7)</f>
        <v>0</v>
      </c>
      <c r="I8" s="419">
        <f>SUM(I7:I7)</f>
        <v>0</v>
      </c>
      <c r="J8" s="419">
        <f>J7</f>
        <v>0</v>
      </c>
      <c r="K8" s="419">
        <f>K7</f>
        <v>0</v>
      </c>
      <c r="L8" s="434"/>
      <c r="M8" s="433">
        <f>M7</f>
        <v>40</v>
      </c>
      <c r="N8" s="584">
        <f>SUM(N7:N7)</f>
        <v>0</v>
      </c>
      <c r="O8" s="435">
        <f>SUM(O7:O7)</f>
        <v>0</v>
      </c>
      <c r="P8" s="584">
        <f>SUM(P7:P7)</f>
        <v>0</v>
      </c>
      <c r="Q8" s="435">
        <f>SUM(Q7:Q7)</f>
        <v>0</v>
      </c>
    </row>
    <row r="9" spans="1:27" x14ac:dyDescent="0.55000000000000004">
      <c r="B9" s="1228" t="s">
        <v>344</v>
      </c>
      <c r="C9" s="1229"/>
      <c r="D9" s="1229"/>
      <c r="E9" s="1229"/>
      <c r="F9" s="1229"/>
      <c r="G9" s="1229"/>
      <c r="H9" s="1229"/>
      <c r="I9" s="1229"/>
      <c r="J9" s="1229"/>
      <c r="K9" s="1229"/>
      <c r="L9" s="1229"/>
      <c r="M9" s="1229"/>
      <c r="N9" s="1229"/>
      <c r="O9" s="1229"/>
      <c r="P9" s="1229"/>
      <c r="Q9" s="1230"/>
    </row>
    <row r="10" spans="1:27" x14ac:dyDescent="0.55000000000000004">
      <c r="B10" s="1222" t="s">
        <v>22</v>
      </c>
      <c r="C10" s="1223"/>
      <c r="D10" s="1223"/>
      <c r="E10" s="1223"/>
      <c r="F10" s="1223"/>
      <c r="G10" s="1223"/>
      <c r="H10" s="1223"/>
      <c r="I10" s="1223"/>
      <c r="J10" s="1223"/>
      <c r="K10" s="1223"/>
      <c r="L10" s="1223"/>
      <c r="M10" s="1223"/>
      <c r="N10" s="1223"/>
      <c r="O10" s="1223"/>
      <c r="P10" s="1223"/>
      <c r="Q10" s="1224"/>
    </row>
    <row r="11" spans="1:27" x14ac:dyDescent="0.55000000000000004">
      <c r="B11" s="439" t="s">
        <v>73</v>
      </c>
      <c r="C11" s="232">
        <v>115</v>
      </c>
      <c r="D11" s="247">
        <v>2872</v>
      </c>
      <c r="E11" s="440">
        <f>+C11*100%</f>
        <v>115</v>
      </c>
      <c r="F11" s="414">
        <f>D11*80%</f>
        <v>2297.6</v>
      </c>
      <c r="G11" s="247">
        <v>5</v>
      </c>
      <c r="H11" s="441">
        <v>1</v>
      </c>
      <c r="I11" s="442">
        <f>C11*G11</f>
        <v>575</v>
      </c>
      <c r="J11" s="442">
        <f>0</f>
        <v>0</v>
      </c>
      <c r="K11" s="442">
        <f>0</f>
        <v>0</v>
      </c>
      <c r="L11" s="443">
        <v>0</v>
      </c>
      <c r="M11" s="444">
        <v>0</v>
      </c>
      <c r="N11" s="414">
        <f>0</f>
        <v>0</v>
      </c>
      <c r="O11" s="582">
        <f>0</f>
        <v>0</v>
      </c>
      <c r="P11" s="414">
        <f>0</f>
        <v>0</v>
      </c>
      <c r="Q11" s="582">
        <f>0</f>
        <v>0</v>
      </c>
    </row>
    <row r="12" spans="1:27" ht="24.75" thickBot="1" x14ac:dyDescent="0.6">
      <c r="B12" s="422" t="s">
        <v>323</v>
      </c>
      <c r="C12" s="423">
        <f>SUM(C11:C11)</f>
        <v>115</v>
      </c>
      <c r="D12" s="424">
        <f>SUM(D11:D11)</f>
        <v>2872</v>
      </c>
      <c r="E12" s="425">
        <f>SUM(E11:E11)</f>
        <v>115</v>
      </c>
      <c r="F12" s="425">
        <f>SUM(F11:F11)</f>
        <v>2297.6</v>
      </c>
      <c r="G12" s="424"/>
      <c r="H12" s="448"/>
      <c r="I12" s="449">
        <f>SUM(I11:I11)</f>
        <v>575</v>
      </c>
      <c r="J12" s="449">
        <f>J11</f>
        <v>0</v>
      </c>
      <c r="K12" s="449">
        <f>K11</f>
        <v>0</v>
      </c>
      <c r="L12" s="450"/>
      <c r="M12" s="583"/>
      <c r="N12" s="583"/>
      <c r="O12" s="451"/>
      <c r="P12" s="583"/>
      <c r="Q12" s="451"/>
    </row>
    <row r="13" spans="1:27" x14ac:dyDescent="0.55000000000000004">
      <c r="B13" s="436" t="s">
        <v>345</v>
      </c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8"/>
      <c r="P13" s="437"/>
      <c r="Q13" s="438"/>
    </row>
    <row r="14" spans="1:27" x14ac:dyDescent="0.55000000000000004">
      <c r="B14" s="452" t="s">
        <v>27</v>
      </c>
      <c r="C14" s="453"/>
      <c r="D14" s="453"/>
      <c r="E14" s="453"/>
      <c r="F14" s="453"/>
      <c r="G14" s="453"/>
      <c r="H14" s="453"/>
      <c r="I14" s="453"/>
      <c r="J14" s="453"/>
      <c r="K14" s="453"/>
      <c r="L14" s="453"/>
      <c r="M14" s="453"/>
      <c r="N14" s="453"/>
      <c r="O14" s="454"/>
      <c r="P14" s="453"/>
      <c r="Q14" s="454"/>
    </row>
    <row r="15" spans="1:27" x14ac:dyDescent="0.55000000000000004">
      <c r="B15" s="119" t="s">
        <v>62</v>
      </c>
      <c r="C15" s="120">
        <v>4</v>
      </c>
      <c r="D15" s="296">
        <v>93</v>
      </c>
      <c r="E15" s="417">
        <f>+C15*100%</f>
        <v>4</v>
      </c>
      <c r="F15" s="417">
        <f>D15*100%</f>
        <v>93</v>
      </c>
      <c r="G15" s="247">
        <v>5</v>
      </c>
      <c r="H15" s="417">
        <v>0</v>
      </c>
      <c r="I15" s="417">
        <v>0</v>
      </c>
      <c r="J15" s="417">
        <f>0</f>
        <v>0</v>
      </c>
      <c r="K15" s="417"/>
      <c r="L15" s="443">
        <v>1</v>
      </c>
      <c r="M15" s="442">
        <f>C15*G15</f>
        <v>20</v>
      </c>
      <c r="N15" s="443">
        <f>0</f>
        <v>0</v>
      </c>
      <c r="O15" s="455">
        <f>0</f>
        <v>0</v>
      </c>
      <c r="P15" s="443">
        <f>0</f>
        <v>0</v>
      </c>
      <c r="Q15" s="455">
        <f>0</f>
        <v>0</v>
      </c>
    </row>
    <row r="16" spans="1:27" ht="24.75" thickBot="1" x14ac:dyDescent="0.6">
      <c r="B16" s="422" t="s">
        <v>324</v>
      </c>
      <c r="C16" s="423">
        <f>C15</f>
        <v>4</v>
      </c>
      <c r="D16" s="424">
        <f>D15</f>
        <v>93</v>
      </c>
      <c r="E16" s="425">
        <f>E15</f>
        <v>4</v>
      </c>
      <c r="F16" s="425">
        <f>F15</f>
        <v>93</v>
      </c>
      <c r="G16" s="424"/>
      <c r="H16" s="585">
        <f>H15</f>
        <v>0</v>
      </c>
      <c r="I16" s="449">
        <f>I15</f>
        <v>0</v>
      </c>
      <c r="J16" s="449">
        <f>J15</f>
        <v>0</v>
      </c>
      <c r="K16" s="449">
        <f>K15</f>
        <v>0</v>
      </c>
      <c r="L16" s="450"/>
      <c r="M16" s="583">
        <f>M15</f>
        <v>20</v>
      </c>
      <c r="N16" s="583">
        <f>N15</f>
        <v>0</v>
      </c>
      <c r="O16" s="451">
        <f>0</f>
        <v>0</v>
      </c>
      <c r="P16" s="583">
        <f>P15</f>
        <v>0</v>
      </c>
      <c r="Q16" s="451">
        <f>0</f>
        <v>0</v>
      </c>
    </row>
    <row r="17" spans="2:17" x14ac:dyDescent="0.55000000000000004">
      <c r="B17" s="1228" t="s">
        <v>214</v>
      </c>
      <c r="C17" s="1229"/>
      <c r="D17" s="1229"/>
      <c r="E17" s="1229"/>
      <c r="F17" s="1229"/>
      <c r="G17" s="1229"/>
      <c r="H17" s="1229"/>
      <c r="I17" s="1229"/>
      <c r="J17" s="1229"/>
      <c r="K17" s="1229"/>
      <c r="L17" s="1229"/>
      <c r="M17" s="1229"/>
      <c r="N17" s="1229"/>
      <c r="O17" s="1229"/>
      <c r="P17" s="1229"/>
      <c r="Q17" s="1230"/>
    </row>
    <row r="18" spans="2:17" x14ac:dyDescent="0.55000000000000004">
      <c r="B18" s="1222" t="s">
        <v>22</v>
      </c>
      <c r="C18" s="1223"/>
      <c r="D18" s="1223"/>
      <c r="E18" s="1223"/>
      <c r="F18" s="1223"/>
      <c r="G18" s="1223"/>
      <c r="H18" s="1223"/>
      <c r="I18" s="1223"/>
      <c r="J18" s="1223"/>
      <c r="K18" s="1223"/>
      <c r="L18" s="1223"/>
      <c r="M18" s="1223"/>
      <c r="N18" s="1223"/>
      <c r="O18" s="1223"/>
      <c r="P18" s="1223"/>
      <c r="Q18" s="1224"/>
    </row>
    <row r="19" spans="2:17" x14ac:dyDescent="0.55000000000000004">
      <c r="B19" s="617" t="s">
        <v>93</v>
      </c>
      <c r="C19" s="115">
        <v>113</v>
      </c>
      <c r="D19" s="458">
        <v>2816</v>
      </c>
      <c r="E19" s="415">
        <f t="shared" ref="E19:E23" si="0">+C19*100%</f>
        <v>113</v>
      </c>
      <c r="F19" s="415">
        <f t="shared" ref="F19:F23" si="1">D19*100%</f>
        <v>2816</v>
      </c>
      <c r="G19" s="279">
        <v>5</v>
      </c>
      <c r="H19" s="459">
        <v>1</v>
      </c>
      <c r="I19" s="415">
        <f>+G19*C19*H19</f>
        <v>565</v>
      </c>
      <c r="J19" s="415">
        <v>0</v>
      </c>
      <c r="K19" s="415">
        <f>0</f>
        <v>0</v>
      </c>
      <c r="L19" s="445">
        <v>0</v>
      </c>
      <c r="M19" s="445">
        <v>0</v>
      </c>
      <c r="N19" s="445">
        <v>0</v>
      </c>
      <c r="O19" s="445">
        <v>0</v>
      </c>
      <c r="P19" s="445">
        <v>0</v>
      </c>
      <c r="Q19" s="618">
        <v>0</v>
      </c>
    </row>
    <row r="20" spans="2:17" x14ac:dyDescent="0.55000000000000004">
      <c r="B20" s="112" t="s">
        <v>50</v>
      </c>
      <c r="C20" s="113">
        <v>9</v>
      </c>
      <c r="D20" s="457">
        <v>213</v>
      </c>
      <c r="E20" s="414">
        <f t="shared" si="0"/>
        <v>9</v>
      </c>
      <c r="F20" s="414">
        <f t="shared" si="1"/>
        <v>213</v>
      </c>
      <c r="G20" s="247">
        <v>5</v>
      </c>
      <c r="H20" s="267">
        <v>1</v>
      </c>
      <c r="I20" s="414">
        <f t="shared" ref="I20:I23" si="2">+G20*C20*H20</f>
        <v>45</v>
      </c>
      <c r="J20" s="414">
        <f>0</f>
        <v>0</v>
      </c>
      <c r="K20" s="414">
        <f>0</f>
        <v>0</v>
      </c>
      <c r="L20" s="443">
        <v>0</v>
      </c>
      <c r="M20" s="443">
        <v>0</v>
      </c>
      <c r="N20" s="445">
        <v>0</v>
      </c>
      <c r="O20" s="445">
        <v>0</v>
      </c>
      <c r="P20" s="445">
        <v>0</v>
      </c>
      <c r="Q20" s="618">
        <v>0</v>
      </c>
    </row>
    <row r="21" spans="2:17" x14ac:dyDescent="0.55000000000000004">
      <c r="B21" s="112" t="s">
        <v>94</v>
      </c>
      <c r="C21" s="113">
        <v>128</v>
      </c>
      <c r="D21" s="457">
        <v>3199</v>
      </c>
      <c r="E21" s="414">
        <f t="shared" si="0"/>
        <v>128</v>
      </c>
      <c r="F21" s="414">
        <f t="shared" si="1"/>
        <v>3199</v>
      </c>
      <c r="G21" s="247">
        <v>5</v>
      </c>
      <c r="H21" s="267">
        <v>1</v>
      </c>
      <c r="I21" s="414">
        <f t="shared" si="2"/>
        <v>640</v>
      </c>
      <c r="J21" s="414">
        <f>0</f>
        <v>0</v>
      </c>
      <c r="K21" s="414">
        <f>0</f>
        <v>0</v>
      </c>
      <c r="L21" s="443">
        <v>0</v>
      </c>
      <c r="M21" s="443">
        <v>0</v>
      </c>
      <c r="N21" s="445">
        <v>0</v>
      </c>
      <c r="O21" s="445">
        <v>0</v>
      </c>
      <c r="P21" s="445">
        <v>0</v>
      </c>
      <c r="Q21" s="618">
        <v>0</v>
      </c>
    </row>
    <row r="22" spans="2:17" x14ac:dyDescent="0.55000000000000004">
      <c r="B22" s="112" t="s">
        <v>95</v>
      </c>
      <c r="C22" s="113">
        <v>121</v>
      </c>
      <c r="D22" s="457">
        <v>3015</v>
      </c>
      <c r="E22" s="414">
        <f t="shared" si="0"/>
        <v>121</v>
      </c>
      <c r="F22" s="414">
        <f t="shared" si="1"/>
        <v>3015</v>
      </c>
      <c r="G22" s="247">
        <v>5</v>
      </c>
      <c r="H22" s="267">
        <v>1</v>
      </c>
      <c r="I22" s="414">
        <f t="shared" si="2"/>
        <v>605</v>
      </c>
      <c r="J22" s="414">
        <f>0</f>
        <v>0</v>
      </c>
      <c r="K22" s="414">
        <f>0</f>
        <v>0</v>
      </c>
      <c r="L22" s="443">
        <v>0</v>
      </c>
      <c r="M22" s="443">
        <v>0</v>
      </c>
      <c r="N22" s="445">
        <v>0</v>
      </c>
      <c r="O22" s="445">
        <v>0</v>
      </c>
      <c r="P22" s="445">
        <v>0</v>
      </c>
      <c r="Q22" s="618">
        <v>0</v>
      </c>
    </row>
    <row r="23" spans="2:17" x14ac:dyDescent="0.55000000000000004">
      <c r="B23" s="112" t="s">
        <v>96</v>
      </c>
      <c r="C23" s="113">
        <v>56</v>
      </c>
      <c r="D23" s="457">
        <v>1403</v>
      </c>
      <c r="E23" s="414">
        <f t="shared" si="0"/>
        <v>56</v>
      </c>
      <c r="F23" s="414">
        <f t="shared" si="1"/>
        <v>1403</v>
      </c>
      <c r="G23" s="247">
        <v>5</v>
      </c>
      <c r="H23" s="267">
        <v>1</v>
      </c>
      <c r="I23" s="414">
        <f t="shared" si="2"/>
        <v>280</v>
      </c>
      <c r="J23" s="414">
        <f>0</f>
        <v>0</v>
      </c>
      <c r="K23" s="414">
        <f>0</f>
        <v>0</v>
      </c>
      <c r="L23" s="443">
        <v>0</v>
      </c>
      <c r="M23" s="443">
        <v>0</v>
      </c>
      <c r="N23" s="445">
        <v>0</v>
      </c>
      <c r="O23" s="445">
        <v>0</v>
      </c>
      <c r="P23" s="445">
        <v>0</v>
      </c>
      <c r="Q23" s="618">
        <v>0</v>
      </c>
    </row>
    <row r="24" spans="2:17" x14ac:dyDescent="0.55000000000000004">
      <c r="B24" s="619" t="s">
        <v>323</v>
      </c>
      <c r="C24" s="593">
        <f>SUM(C19:C23)</f>
        <v>427</v>
      </c>
      <c r="D24" s="592">
        <f>SUM(D19:D23)</f>
        <v>10646</v>
      </c>
      <c r="E24" s="592">
        <f>SUM(E19:E23)</f>
        <v>427</v>
      </c>
      <c r="F24" s="592">
        <f>SUM(F19:F23)</f>
        <v>10646</v>
      </c>
      <c r="G24" s="591"/>
      <c r="H24" s="590"/>
      <c r="I24" s="588">
        <f>SUM(I19:I23)</f>
        <v>2135</v>
      </c>
      <c r="J24" s="587">
        <f>0</f>
        <v>0</v>
      </c>
      <c r="K24" s="588">
        <f>SUM(K19:K23)</f>
        <v>0</v>
      </c>
      <c r="L24" s="589"/>
      <c r="M24" s="589"/>
      <c r="N24" s="589"/>
      <c r="O24" s="586"/>
      <c r="P24" s="589"/>
      <c r="Q24" s="620"/>
    </row>
    <row r="25" spans="2:17" x14ac:dyDescent="0.55000000000000004">
      <c r="B25" s="466" t="s">
        <v>217</v>
      </c>
      <c r="C25" s="467"/>
      <c r="D25" s="467"/>
      <c r="E25" s="467"/>
      <c r="F25" s="467"/>
      <c r="G25" s="467"/>
      <c r="H25" s="467"/>
      <c r="I25" s="467"/>
      <c r="J25" s="467"/>
      <c r="K25" s="467"/>
      <c r="L25" s="467"/>
      <c r="M25" s="467"/>
      <c r="N25" s="467"/>
      <c r="O25" s="467"/>
      <c r="P25" s="467"/>
      <c r="Q25" s="621"/>
    </row>
    <row r="26" spans="2:17" x14ac:dyDescent="0.55000000000000004">
      <c r="B26" s="597" t="s">
        <v>22</v>
      </c>
      <c r="C26" s="598"/>
      <c r="D26" s="598"/>
      <c r="E26" s="598"/>
      <c r="F26" s="598"/>
      <c r="G26" s="598"/>
      <c r="H26" s="598"/>
      <c r="I26" s="598"/>
      <c r="J26" s="598"/>
      <c r="K26" s="598"/>
      <c r="L26" s="598"/>
      <c r="M26" s="598"/>
      <c r="N26" s="598"/>
      <c r="O26" s="598"/>
      <c r="P26" s="598"/>
      <c r="Q26" s="622"/>
    </row>
    <row r="27" spans="2:17" x14ac:dyDescent="0.55000000000000004">
      <c r="B27" s="623" t="s">
        <v>51</v>
      </c>
      <c r="C27" s="468">
        <v>169</v>
      </c>
      <c r="D27" s="457">
        <v>4231</v>
      </c>
      <c r="E27" s="417">
        <f>+C27*100%</f>
        <v>169</v>
      </c>
      <c r="F27" s="417">
        <f>D27*100%</f>
        <v>4231</v>
      </c>
      <c r="G27" s="247">
        <v>5</v>
      </c>
      <c r="H27" s="441">
        <v>1</v>
      </c>
      <c r="I27" s="442">
        <f>+G27*C27*H27</f>
        <v>845</v>
      </c>
      <c r="J27" s="442">
        <f>0</f>
        <v>0</v>
      </c>
      <c r="K27" s="442">
        <f>+G27*C27*J27</f>
        <v>0</v>
      </c>
      <c r="L27" s="443">
        <v>0</v>
      </c>
      <c r="M27" s="443">
        <v>0</v>
      </c>
      <c r="N27" s="443">
        <v>0</v>
      </c>
      <c r="O27" s="443">
        <v>0</v>
      </c>
      <c r="P27" s="443">
        <v>0</v>
      </c>
      <c r="Q27" s="624">
        <v>0</v>
      </c>
    </row>
    <row r="28" spans="2:17" x14ac:dyDescent="0.55000000000000004">
      <c r="B28" s="625" t="s">
        <v>38</v>
      </c>
      <c r="C28" s="594">
        <v>171</v>
      </c>
      <c r="D28" s="595">
        <v>4265</v>
      </c>
      <c r="E28" s="415">
        <f t="shared" ref="E28:E29" si="3">+C28*100%</f>
        <v>171</v>
      </c>
      <c r="F28" s="415">
        <f t="shared" ref="F28:F29" si="4">D28*100%</f>
        <v>4265</v>
      </c>
      <c r="G28" s="247">
        <v>5</v>
      </c>
      <c r="H28" s="596">
        <v>1</v>
      </c>
      <c r="I28" s="442">
        <f t="shared" ref="I28:I29" si="5">+G28*C28*H28</f>
        <v>855</v>
      </c>
      <c r="J28" s="442">
        <f>0</f>
        <v>0</v>
      </c>
      <c r="K28" s="442">
        <f>+G28*C28*J28</f>
        <v>0</v>
      </c>
      <c r="L28" s="456">
        <f>0</f>
        <v>0</v>
      </c>
      <c r="M28" s="456">
        <f>0</f>
        <v>0</v>
      </c>
      <c r="N28" s="447">
        <f>0</f>
        <v>0</v>
      </c>
      <c r="O28" s="447">
        <f>0</f>
        <v>0</v>
      </c>
      <c r="P28" s="447">
        <f>0</f>
        <v>0</v>
      </c>
      <c r="Q28" s="626">
        <f>0</f>
        <v>0</v>
      </c>
    </row>
    <row r="29" spans="2:17" ht="24.75" thickBot="1" x14ac:dyDescent="0.6">
      <c r="B29" s="627" t="s">
        <v>37</v>
      </c>
      <c r="C29" s="469">
        <v>67</v>
      </c>
      <c r="D29" s="460">
        <v>1663</v>
      </c>
      <c r="E29" s="417">
        <f t="shared" si="3"/>
        <v>67</v>
      </c>
      <c r="F29" s="417">
        <f t="shared" si="4"/>
        <v>1663</v>
      </c>
      <c r="G29" s="282">
        <v>5</v>
      </c>
      <c r="H29" s="446">
        <v>1</v>
      </c>
      <c r="I29" s="442">
        <f t="shared" si="5"/>
        <v>335</v>
      </c>
      <c r="J29" s="442">
        <f>0</f>
        <v>0</v>
      </c>
      <c r="K29" s="442">
        <f>+G29*C29*J29</f>
        <v>0</v>
      </c>
      <c r="L29" s="447">
        <v>0</v>
      </c>
      <c r="M29" s="447">
        <v>0</v>
      </c>
      <c r="N29" s="447">
        <f>0</f>
        <v>0</v>
      </c>
      <c r="O29" s="447">
        <v>0</v>
      </c>
      <c r="P29" s="447">
        <f>0</f>
        <v>0</v>
      </c>
      <c r="Q29" s="626">
        <v>0</v>
      </c>
    </row>
    <row r="30" spans="2:17" ht="24.75" thickBot="1" x14ac:dyDescent="0.6">
      <c r="B30" s="463" t="s">
        <v>323</v>
      </c>
      <c r="C30" s="470">
        <f>SUM(C27:C29)</f>
        <v>407</v>
      </c>
      <c r="D30" s="464">
        <f>SUM(D27:D29)</f>
        <v>10159</v>
      </c>
      <c r="E30" s="464">
        <f t="shared" ref="E30:F30" si="6">SUM(E27:E29)</f>
        <v>407</v>
      </c>
      <c r="F30" s="464">
        <f t="shared" si="6"/>
        <v>10159</v>
      </c>
      <c r="G30" s="599"/>
      <c r="H30" s="465"/>
      <c r="I30" s="461">
        <f>SUM(I27:I29)</f>
        <v>2035</v>
      </c>
      <c r="J30" s="471"/>
      <c r="K30" s="461">
        <f>SUM(K27:K29)</f>
        <v>0</v>
      </c>
      <c r="L30" s="420"/>
      <c r="M30" s="420"/>
      <c r="N30" s="420"/>
      <c r="O30" s="421"/>
      <c r="P30" s="420"/>
      <c r="Q30" s="421"/>
    </row>
    <row r="31" spans="2:17" x14ac:dyDescent="0.55000000000000004">
      <c r="B31" s="466" t="s">
        <v>346</v>
      </c>
      <c r="C31" s="467"/>
      <c r="D31" s="467"/>
      <c r="E31" s="467"/>
      <c r="F31" s="467"/>
      <c r="G31" s="467"/>
      <c r="H31" s="467"/>
      <c r="I31" s="467"/>
      <c r="J31" s="467"/>
      <c r="K31" s="467"/>
      <c r="L31" s="467"/>
      <c r="M31" s="467"/>
      <c r="N31" s="467"/>
      <c r="O31" s="467"/>
      <c r="P31" s="467"/>
      <c r="Q31" s="621"/>
    </row>
    <row r="32" spans="2:17" x14ac:dyDescent="0.55000000000000004">
      <c r="B32" s="597" t="s">
        <v>22</v>
      </c>
      <c r="C32" s="598"/>
      <c r="D32" s="598"/>
      <c r="E32" s="598"/>
      <c r="F32" s="598"/>
      <c r="G32" s="598"/>
      <c r="H32" s="598"/>
      <c r="I32" s="598"/>
      <c r="J32" s="598"/>
      <c r="K32" s="598"/>
      <c r="L32" s="598"/>
      <c r="M32" s="598"/>
      <c r="N32" s="598"/>
      <c r="O32" s="598"/>
      <c r="P32" s="598"/>
      <c r="Q32" s="622"/>
    </row>
    <row r="33" spans="2:17" x14ac:dyDescent="0.55000000000000004">
      <c r="B33" s="623" t="s">
        <v>111</v>
      </c>
      <c r="C33" s="472">
        <v>117</v>
      </c>
      <c r="D33" s="473">
        <v>2934</v>
      </c>
      <c r="E33" s="414">
        <f>+C33*100%</f>
        <v>117</v>
      </c>
      <c r="F33" s="414">
        <f t="shared" ref="F33:F37" si="7">D33*100%</f>
        <v>2934</v>
      </c>
      <c r="G33" s="414">
        <v>5</v>
      </c>
      <c r="H33" s="267">
        <v>1</v>
      </c>
      <c r="I33" s="414">
        <f>+G33*C33*H33</f>
        <v>585</v>
      </c>
      <c r="J33" s="414">
        <f>0</f>
        <v>0</v>
      </c>
      <c r="K33" s="414">
        <f>0</f>
        <v>0</v>
      </c>
      <c r="L33" s="443">
        <v>0</v>
      </c>
      <c r="M33" s="414">
        <v>0</v>
      </c>
      <c r="N33" s="414">
        <v>0</v>
      </c>
      <c r="O33" s="414">
        <v>0</v>
      </c>
      <c r="P33" s="414">
        <v>0</v>
      </c>
      <c r="Q33" s="582">
        <v>0</v>
      </c>
    </row>
    <row r="34" spans="2:17" x14ac:dyDescent="0.55000000000000004">
      <c r="B34" s="623" t="s">
        <v>112</v>
      </c>
      <c r="C34" s="472">
        <v>116</v>
      </c>
      <c r="D34" s="473">
        <v>2903</v>
      </c>
      <c r="E34" s="414">
        <f t="shared" ref="E34:E37" si="8">+C34*100%</f>
        <v>116</v>
      </c>
      <c r="F34" s="414">
        <f t="shared" si="7"/>
        <v>2903</v>
      </c>
      <c r="G34" s="414">
        <v>5</v>
      </c>
      <c r="H34" s="267">
        <v>1</v>
      </c>
      <c r="I34" s="414">
        <f>+G34*C34*H34</f>
        <v>580</v>
      </c>
      <c r="J34" s="414">
        <f>0</f>
        <v>0</v>
      </c>
      <c r="K34" s="414">
        <f>0</f>
        <v>0</v>
      </c>
      <c r="L34" s="443">
        <v>0</v>
      </c>
      <c r="M34" s="414">
        <v>0</v>
      </c>
      <c r="N34" s="414">
        <v>0</v>
      </c>
      <c r="O34" s="414">
        <v>0</v>
      </c>
      <c r="P34" s="414">
        <v>0</v>
      </c>
      <c r="Q34" s="582">
        <v>0</v>
      </c>
    </row>
    <row r="35" spans="2:17" x14ac:dyDescent="0.55000000000000004">
      <c r="B35" s="623" t="s">
        <v>113</v>
      </c>
      <c r="C35" s="472">
        <v>115</v>
      </c>
      <c r="D35" s="473">
        <v>2864</v>
      </c>
      <c r="E35" s="414">
        <f t="shared" si="8"/>
        <v>115</v>
      </c>
      <c r="F35" s="414">
        <f t="shared" si="7"/>
        <v>2864</v>
      </c>
      <c r="G35" s="414">
        <v>5</v>
      </c>
      <c r="H35" s="267">
        <v>1</v>
      </c>
      <c r="I35" s="414">
        <f>+G35*C35*H35</f>
        <v>575</v>
      </c>
      <c r="J35" s="414">
        <f>0</f>
        <v>0</v>
      </c>
      <c r="K35" s="414">
        <f>0</f>
        <v>0</v>
      </c>
      <c r="L35" s="443">
        <v>0</v>
      </c>
      <c r="M35" s="414">
        <v>0</v>
      </c>
      <c r="N35" s="414">
        <v>0</v>
      </c>
      <c r="O35" s="414">
        <v>0</v>
      </c>
      <c r="P35" s="414">
        <v>0</v>
      </c>
      <c r="Q35" s="582">
        <v>0</v>
      </c>
    </row>
    <row r="36" spans="2:17" x14ac:dyDescent="0.55000000000000004">
      <c r="B36" s="623" t="s">
        <v>114</v>
      </c>
      <c r="C36" s="472">
        <v>128</v>
      </c>
      <c r="D36" s="473">
        <v>2825</v>
      </c>
      <c r="E36" s="414">
        <f t="shared" si="8"/>
        <v>128</v>
      </c>
      <c r="F36" s="414">
        <f t="shared" si="7"/>
        <v>2825</v>
      </c>
      <c r="G36" s="414">
        <v>5</v>
      </c>
      <c r="H36" s="267">
        <v>1</v>
      </c>
      <c r="I36" s="414">
        <f>+G36*C36*H36</f>
        <v>640</v>
      </c>
      <c r="J36" s="414">
        <f>0</f>
        <v>0</v>
      </c>
      <c r="K36" s="414">
        <f>0</f>
        <v>0</v>
      </c>
      <c r="L36" s="443">
        <v>0</v>
      </c>
      <c r="M36" s="414">
        <v>0</v>
      </c>
      <c r="N36" s="414">
        <v>0</v>
      </c>
      <c r="O36" s="414">
        <v>0</v>
      </c>
      <c r="P36" s="414">
        <v>0</v>
      </c>
      <c r="Q36" s="582">
        <v>0</v>
      </c>
    </row>
    <row r="37" spans="2:17" ht="24.75" thickBot="1" x14ac:dyDescent="0.6">
      <c r="B37" s="628" t="s">
        <v>115</v>
      </c>
      <c r="C37" s="474">
        <v>129</v>
      </c>
      <c r="D37" s="475">
        <v>2843</v>
      </c>
      <c r="E37" s="414">
        <f t="shared" si="8"/>
        <v>129</v>
      </c>
      <c r="F37" s="414">
        <f t="shared" si="7"/>
        <v>2843</v>
      </c>
      <c r="G37" s="414">
        <v>5</v>
      </c>
      <c r="H37" s="267">
        <v>1</v>
      </c>
      <c r="I37" s="414">
        <f>+G37*C37*H37</f>
        <v>645</v>
      </c>
      <c r="J37" s="414">
        <f>0</f>
        <v>0</v>
      </c>
      <c r="K37" s="414">
        <f>0</f>
        <v>0</v>
      </c>
      <c r="L37" s="443">
        <v>0</v>
      </c>
      <c r="M37" s="414">
        <v>0</v>
      </c>
      <c r="N37" s="414">
        <v>0</v>
      </c>
      <c r="O37" s="414">
        <v>0</v>
      </c>
      <c r="P37" s="414">
        <v>0</v>
      </c>
      <c r="Q37" s="582">
        <v>0</v>
      </c>
    </row>
    <row r="38" spans="2:17" ht="24.75" thickBot="1" x14ac:dyDescent="0.6">
      <c r="B38" s="463" t="s">
        <v>323</v>
      </c>
      <c r="C38" s="470">
        <f>SUM(C33:C37)</f>
        <v>605</v>
      </c>
      <c r="D38" s="464">
        <f>SUM(D33:D37)</f>
        <v>14369</v>
      </c>
      <c r="E38" s="464">
        <f>SUM(E33:E37)</f>
        <v>605</v>
      </c>
      <c r="F38" s="464">
        <f>SUM(F33:F37)</f>
        <v>14369</v>
      </c>
      <c r="G38" s="599"/>
      <c r="H38" s="465"/>
      <c r="I38" s="461">
        <f>SUM(I33:I37)</f>
        <v>3025</v>
      </c>
      <c r="J38" s="461">
        <f t="shared" ref="J38:O38" si="9">SUM(J33:J37)</f>
        <v>0</v>
      </c>
      <c r="K38" s="461">
        <f t="shared" si="9"/>
        <v>0</v>
      </c>
      <c r="L38" s="461">
        <f t="shared" si="9"/>
        <v>0</v>
      </c>
      <c r="M38" s="461">
        <f t="shared" si="9"/>
        <v>0</v>
      </c>
      <c r="N38" s="461">
        <f t="shared" si="9"/>
        <v>0</v>
      </c>
      <c r="O38" s="461">
        <f t="shared" si="9"/>
        <v>0</v>
      </c>
      <c r="P38" s="461">
        <f t="shared" ref="P38" si="10">SUM(P33:P37)</f>
        <v>0</v>
      </c>
      <c r="Q38" s="462">
        <f t="shared" ref="Q38" si="11">SUM(Q33:Q37)</f>
        <v>0</v>
      </c>
    </row>
    <row r="39" spans="2:17" x14ac:dyDescent="0.55000000000000004">
      <c r="B39" s="466" t="s">
        <v>225</v>
      </c>
      <c r="C39" s="467"/>
      <c r="D39" s="467"/>
      <c r="E39" s="467"/>
      <c r="F39" s="467"/>
      <c r="G39" s="467"/>
      <c r="H39" s="467"/>
      <c r="I39" s="467"/>
      <c r="J39" s="467"/>
      <c r="K39" s="467"/>
      <c r="L39" s="467"/>
      <c r="M39" s="467"/>
      <c r="N39" s="467"/>
      <c r="O39" s="467"/>
      <c r="P39" s="467"/>
      <c r="Q39" s="621"/>
    </row>
    <row r="40" spans="2:17" x14ac:dyDescent="0.55000000000000004">
      <c r="B40" s="597" t="s">
        <v>22</v>
      </c>
      <c r="C40" s="598"/>
      <c r="D40" s="598"/>
      <c r="E40" s="598"/>
      <c r="F40" s="598"/>
      <c r="G40" s="598"/>
      <c r="H40" s="598"/>
      <c r="I40" s="598"/>
      <c r="J40" s="598"/>
      <c r="K40" s="598"/>
      <c r="L40" s="598"/>
      <c r="M40" s="598"/>
      <c r="N40" s="598"/>
      <c r="O40" s="598"/>
      <c r="P40" s="598"/>
      <c r="Q40" s="622"/>
    </row>
    <row r="41" spans="2:17" x14ac:dyDescent="0.55000000000000004">
      <c r="B41" s="439" t="s">
        <v>52</v>
      </c>
      <c r="C41" s="232">
        <v>154</v>
      </c>
      <c r="D41" s="247">
        <v>3851</v>
      </c>
      <c r="E41" s="414">
        <f>+C41*100%</f>
        <v>154</v>
      </c>
      <c r="F41" s="414">
        <f t="shared" ref="F41:F43" si="12">D41*100%</f>
        <v>3851</v>
      </c>
      <c r="G41" s="414">
        <v>5</v>
      </c>
      <c r="H41" s="267">
        <v>1</v>
      </c>
      <c r="I41" s="414">
        <f>+G41*C41*H41</f>
        <v>770</v>
      </c>
      <c r="J41" s="414">
        <f>0</f>
        <v>0</v>
      </c>
      <c r="K41" s="414">
        <f>0</f>
        <v>0</v>
      </c>
      <c r="L41" s="443">
        <v>0</v>
      </c>
      <c r="M41" s="414">
        <v>0</v>
      </c>
      <c r="N41" s="414">
        <v>0</v>
      </c>
      <c r="O41" s="414">
        <v>0</v>
      </c>
      <c r="P41" s="414">
        <v>0</v>
      </c>
      <c r="Q41" s="582">
        <v>0</v>
      </c>
    </row>
    <row r="42" spans="2:17" x14ac:dyDescent="0.55000000000000004">
      <c r="B42" s="629" t="s">
        <v>53</v>
      </c>
      <c r="C42" s="228">
        <v>139</v>
      </c>
      <c r="D42" s="279">
        <v>3476</v>
      </c>
      <c r="E42" s="414">
        <f t="shared" ref="E42:E43" si="13">+C42*100%</f>
        <v>139</v>
      </c>
      <c r="F42" s="414">
        <f t="shared" si="12"/>
        <v>3476</v>
      </c>
      <c r="G42" s="414">
        <v>5</v>
      </c>
      <c r="H42" s="267">
        <v>1</v>
      </c>
      <c r="I42" s="414">
        <f>+G42*C42*H42</f>
        <v>695</v>
      </c>
      <c r="J42" s="414">
        <f>0</f>
        <v>0</v>
      </c>
      <c r="K42" s="414">
        <f>0</f>
        <v>0</v>
      </c>
      <c r="L42" s="443">
        <v>0</v>
      </c>
      <c r="M42" s="414">
        <v>0</v>
      </c>
      <c r="N42" s="414">
        <v>0</v>
      </c>
      <c r="O42" s="414">
        <v>0</v>
      </c>
      <c r="P42" s="414">
        <v>0</v>
      </c>
      <c r="Q42" s="582">
        <v>0</v>
      </c>
    </row>
    <row r="43" spans="2:17" ht="24.75" thickBot="1" x14ac:dyDescent="0.6">
      <c r="B43" s="630" t="s">
        <v>54</v>
      </c>
      <c r="C43" s="281">
        <v>165</v>
      </c>
      <c r="D43" s="282">
        <v>4127</v>
      </c>
      <c r="E43" s="414">
        <f t="shared" si="13"/>
        <v>165</v>
      </c>
      <c r="F43" s="414">
        <f t="shared" si="12"/>
        <v>4127</v>
      </c>
      <c r="G43" s="414">
        <v>5</v>
      </c>
      <c r="H43" s="267">
        <v>1</v>
      </c>
      <c r="I43" s="414">
        <f>+G43*C43*H43</f>
        <v>825</v>
      </c>
      <c r="J43" s="414">
        <f>0</f>
        <v>0</v>
      </c>
      <c r="K43" s="414">
        <f>0</f>
        <v>0</v>
      </c>
      <c r="L43" s="443">
        <v>0</v>
      </c>
      <c r="M43" s="414">
        <v>0</v>
      </c>
      <c r="N43" s="414">
        <v>0</v>
      </c>
      <c r="O43" s="414">
        <v>0</v>
      </c>
      <c r="P43" s="414">
        <v>0</v>
      </c>
      <c r="Q43" s="582">
        <v>0</v>
      </c>
    </row>
    <row r="44" spans="2:17" ht="24.75" thickBot="1" x14ac:dyDescent="0.6">
      <c r="B44" s="463" t="s">
        <v>323</v>
      </c>
      <c r="C44" s="600">
        <f>SUM(C41:C43)</f>
        <v>458</v>
      </c>
      <c r="D44" s="464">
        <f>SUM(D41:D43)</f>
        <v>11454</v>
      </c>
      <c r="E44" s="464">
        <f>SUM(E41:E43)</f>
        <v>458</v>
      </c>
      <c r="F44" s="464">
        <f>SUM(F41:F43)</f>
        <v>11454</v>
      </c>
      <c r="G44" s="599"/>
      <c r="H44" s="465"/>
      <c r="I44" s="461">
        <f t="shared" ref="I44:Q44" si="14">SUM(I41:I43)</f>
        <v>2290</v>
      </c>
      <c r="J44" s="461">
        <f t="shared" si="14"/>
        <v>0</v>
      </c>
      <c r="K44" s="461">
        <f t="shared" si="14"/>
        <v>0</v>
      </c>
      <c r="L44" s="461">
        <f t="shared" si="14"/>
        <v>0</v>
      </c>
      <c r="M44" s="461">
        <f t="shared" si="14"/>
        <v>0</v>
      </c>
      <c r="N44" s="461">
        <f t="shared" si="14"/>
        <v>0</v>
      </c>
      <c r="O44" s="461">
        <f t="shared" si="14"/>
        <v>0</v>
      </c>
      <c r="P44" s="461">
        <f t="shared" si="14"/>
        <v>0</v>
      </c>
      <c r="Q44" s="462">
        <f t="shared" si="14"/>
        <v>0</v>
      </c>
    </row>
    <row r="45" spans="2:17" x14ac:dyDescent="0.55000000000000004">
      <c r="B45" s="1216" t="s">
        <v>215</v>
      </c>
      <c r="C45" s="1217"/>
      <c r="D45" s="1217"/>
      <c r="E45" s="1217"/>
      <c r="F45" s="1217"/>
      <c r="G45" s="1217"/>
      <c r="H45" s="1217"/>
      <c r="I45" s="1217"/>
      <c r="J45" s="1217"/>
      <c r="K45" s="1217"/>
      <c r="L45" s="1217"/>
      <c r="M45" s="1217"/>
      <c r="N45" s="1217"/>
      <c r="O45" s="1217"/>
      <c r="P45" s="1217"/>
      <c r="Q45" s="1218"/>
    </row>
    <row r="46" spans="2:17" x14ac:dyDescent="0.55000000000000004">
      <c r="B46" s="107" t="s">
        <v>126</v>
      </c>
      <c r="C46" s="601">
        <v>108</v>
      </c>
      <c r="D46" s="602">
        <v>2707</v>
      </c>
      <c r="E46" s="414">
        <f>+C46*100%</f>
        <v>108</v>
      </c>
      <c r="F46" s="414">
        <f t="shared" ref="F46:F48" si="15">D46*100%</f>
        <v>2707</v>
      </c>
      <c r="G46" s="414">
        <v>5</v>
      </c>
      <c r="H46" s="414"/>
      <c r="I46" s="414"/>
      <c r="J46" s="414">
        <f>0</f>
        <v>0</v>
      </c>
      <c r="K46" s="414">
        <f>0</f>
        <v>0</v>
      </c>
      <c r="L46" s="267">
        <v>1</v>
      </c>
      <c r="M46" s="414">
        <f>+G46*C46*L46</f>
        <v>540</v>
      </c>
      <c r="N46" s="414">
        <v>0</v>
      </c>
      <c r="O46" s="414">
        <v>0</v>
      </c>
      <c r="P46" s="414">
        <v>0</v>
      </c>
      <c r="Q46" s="582">
        <v>0</v>
      </c>
    </row>
    <row r="47" spans="2:17" x14ac:dyDescent="0.55000000000000004">
      <c r="B47" s="107" t="s">
        <v>127</v>
      </c>
      <c r="C47" s="601">
        <v>85</v>
      </c>
      <c r="D47" s="602">
        <v>2132</v>
      </c>
      <c r="E47" s="414">
        <f t="shared" ref="E47:E48" si="16">+C47*100%</f>
        <v>85</v>
      </c>
      <c r="F47" s="414">
        <f t="shared" si="15"/>
        <v>2132</v>
      </c>
      <c r="G47" s="414">
        <v>5</v>
      </c>
      <c r="H47" s="414"/>
      <c r="I47" s="414"/>
      <c r="J47" s="414">
        <f>0</f>
        <v>0</v>
      </c>
      <c r="K47" s="414">
        <f>0</f>
        <v>0</v>
      </c>
      <c r="L47" s="267">
        <v>1</v>
      </c>
      <c r="M47" s="414">
        <f>+G47*C47*L47</f>
        <v>425</v>
      </c>
      <c r="N47" s="414">
        <v>0</v>
      </c>
      <c r="O47" s="414">
        <v>0</v>
      </c>
      <c r="P47" s="414">
        <v>0</v>
      </c>
      <c r="Q47" s="582">
        <v>0</v>
      </c>
    </row>
    <row r="48" spans="2:17" x14ac:dyDescent="0.55000000000000004">
      <c r="B48" s="427" t="s">
        <v>128</v>
      </c>
      <c r="C48" s="603">
        <v>29</v>
      </c>
      <c r="D48" s="604">
        <v>720</v>
      </c>
      <c r="E48" s="417">
        <f t="shared" si="16"/>
        <v>29</v>
      </c>
      <c r="F48" s="414">
        <f t="shared" si="15"/>
        <v>720</v>
      </c>
      <c r="G48" s="414">
        <v>5</v>
      </c>
      <c r="H48" s="414"/>
      <c r="I48" s="414"/>
      <c r="J48" s="414">
        <f>0</f>
        <v>0</v>
      </c>
      <c r="K48" s="414">
        <f>0</f>
        <v>0</v>
      </c>
      <c r="L48" s="267">
        <v>1</v>
      </c>
      <c r="M48" s="414">
        <f>+G48*C48*L48</f>
        <v>145</v>
      </c>
      <c r="N48" s="414">
        <v>0</v>
      </c>
      <c r="O48" s="414">
        <v>0</v>
      </c>
      <c r="P48" s="414">
        <v>0</v>
      </c>
      <c r="Q48" s="582">
        <v>0</v>
      </c>
    </row>
    <row r="49" spans="2:18" ht="24.75" thickBot="1" x14ac:dyDescent="0.6">
      <c r="B49" s="631" t="s">
        <v>135</v>
      </c>
      <c r="C49" s="607">
        <v>142</v>
      </c>
      <c r="D49" s="608">
        <v>3259</v>
      </c>
      <c r="E49" s="609">
        <f>+C49*100%</f>
        <v>142</v>
      </c>
      <c r="F49" s="414">
        <f>D49*100%</f>
        <v>3259</v>
      </c>
      <c r="G49" s="414">
        <v>5</v>
      </c>
      <c r="H49" s="414"/>
      <c r="I49" s="414"/>
      <c r="J49" s="414">
        <f>0</f>
        <v>0</v>
      </c>
      <c r="K49" s="414">
        <f>0</f>
        <v>0</v>
      </c>
      <c r="L49" s="267">
        <v>1</v>
      </c>
      <c r="M49" s="414">
        <f>+G49*C49*L49</f>
        <v>710</v>
      </c>
      <c r="N49" s="414">
        <v>0</v>
      </c>
      <c r="O49" s="414">
        <v>0</v>
      </c>
      <c r="P49" s="414">
        <v>0</v>
      </c>
      <c r="Q49" s="582">
        <v>0</v>
      </c>
    </row>
    <row r="50" spans="2:18" ht="24.75" thickBot="1" x14ac:dyDescent="0.6">
      <c r="B50" s="463" t="s">
        <v>324</v>
      </c>
      <c r="C50" s="600">
        <f>SUM(C46:C49)</f>
        <v>364</v>
      </c>
      <c r="D50" s="464">
        <f>SUM(D46:D49)</f>
        <v>8818</v>
      </c>
      <c r="E50" s="464">
        <f>SUM(E46:E49)</f>
        <v>364</v>
      </c>
      <c r="F50" s="464">
        <f>SUM(F46:F49)</f>
        <v>8818</v>
      </c>
      <c r="G50" s="599"/>
      <c r="H50" s="465"/>
      <c r="I50" s="461"/>
      <c r="J50" s="461">
        <f>SUM(J46:J48)</f>
        <v>0</v>
      </c>
      <c r="K50" s="461">
        <f>SUM(K46:K48)</f>
        <v>0</v>
      </c>
      <c r="L50" s="461">
        <f>0</f>
        <v>0</v>
      </c>
      <c r="M50" s="461">
        <f>SUM(M46:M49)</f>
        <v>1820</v>
      </c>
      <c r="N50" s="461">
        <f>SUM(N46:N48)</f>
        <v>0</v>
      </c>
      <c r="O50" s="461">
        <f>SUM(O46:O48)</f>
        <v>0</v>
      </c>
      <c r="P50" s="461">
        <f>SUM(P46:P48)</f>
        <v>0</v>
      </c>
      <c r="Q50" s="462">
        <f>SUM(Q46:Q48)</f>
        <v>0</v>
      </c>
    </row>
    <row r="51" spans="2:18" x14ac:dyDescent="0.55000000000000004">
      <c r="B51" s="1210" t="s">
        <v>230</v>
      </c>
      <c r="C51" s="1211"/>
      <c r="D51" s="1211"/>
      <c r="E51" s="1211"/>
      <c r="F51" s="1211"/>
      <c r="G51" s="1211"/>
      <c r="H51" s="1211"/>
      <c r="I51" s="1211"/>
      <c r="J51" s="1211"/>
      <c r="K51" s="1211"/>
      <c r="L51" s="1211"/>
      <c r="M51" s="1211"/>
      <c r="N51" s="1211"/>
      <c r="O51" s="1211"/>
      <c r="P51" s="1211"/>
      <c r="Q51" s="1212"/>
    </row>
    <row r="52" spans="2:18" x14ac:dyDescent="0.55000000000000004">
      <c r="B52" s="1213" t="s">
        <v>22</v>
      </c>
      <c r="C52" s="1214"/>
      <c r="D52" s="1214"/>
      <c r="E52" s="1214"/>
      <c r="F52" s="1214"/>
      <c r="G52" s="1214"/>
      <c r="H52" s="1214"/>
      <c r="I52" s="1214"/>
      <c r="J52" s="1214"/>
      <c r="K52" s="1214"/>
      <c r="L52" s="1214"/>
      <c r="M52" s="1214"/>
      <c r="N52" s="1214"/>
      <c r="O52" s="1214"/>
      <c r="P52" s="1214"/>
      <c r="Q52" s="1215"/>
    </row>
    <row r="53" spans="2:18" x14ac:dyDescent="0.55000000000000004">
      <c r="B53" s="439" t="s">
        <v>139</v>
      </c>
      <c r="C53" s="232">
        <v>121</v>
      </c>
      <c r="D53" s="247">
        <v>3037</v>
      </c>
      <c r="E53" s="414">
        <f>+C53*100%</f>
        <v>121</v>
      </c>
      <c r="F53" s="414">
        <f t="shared" ref="F53:F55" si="17">D53*100%</f>
        <v>3037</v>
      </c>
      <c r="G53" s="414">
        <v>5</v>
      </c>
      <c r="H53" s="267">
        <v>1</v>
      </c>
      <c r="I53" s="414">
        <f>+G53*E53*H53</f>
        <v>605</v>
      </c>
      <c r="J53" s="414">
        <v>1</v>
      </c>
      <c r="K53" s="414">
        <f>+G53*E53*J53</f>
        <v>605</v>
      </c>
      <c r="L53" s="443">
        <v>0</v>
      </c>
      <c r="M53" s="414">
        <v>0</v>
      </c>
      <c r="N53" s="414">
        <v>0</v>
      </c>
      <c r="O53" s="414">
        <v>0</v>
      </c>
      <c r="P53" s="414">
        <v>0</v>
      </c>
      <c r="Q53" s="582">
        <v>0</v>
      </c>
    </row>
    <row r="54" spans="2:18" x14ac:dyDescent="0.55000000000000004">
      <c r="B54" s="629" t="s">
        <v>140</v>
      </c>
      <c r="C54" s="228">
        <v>38</v>
      </c>
      <c r="D54" s="279">
        <v>842</v>
      </c>
      <c r="E54" s="414">
        <f>+C54*100%</f>
        <v>38</v>
      </c>
      <c r="F54" s="414">
        <f>D54*100%</f>
        <v>842</v>
      </c>
      <c r="G54" s="414">
        <v>5</v>
      </c>
      <c r="H54" s="267">
        <v>1</v>
      </c>
      <c r="I54" s="414">
        <f>+G54*E54*H54</f>
        <v>190</v>
      </c>
      <c r="J54" s="414">
        <v>1</v>
      </c>
      <c r="K54" s="414">
        <f t="shared" ref="K54:K55" si="18">+G54*E54*J54</f>
        <v>190</v>
      </c>
      <c r="L54" s="443">
        <v>0</v>
      </c>
      <c r="M54" s="414">
        <v>0</v>
      </c>
      <c r="N54" s="414">
        <v>0</v>
      </c>
      <c r="O54" s="414">
        <v>0</v>
      </c>
      <c r="P54" s="414">
        <v>0</v>
      </c>
      <c r="Q54" s="582">
        <v>0</v>
      </c>
    </row>
    <row r="55" spans="2:18" ht="24.75" thickBot="1" x14ac:dyDescent="0.6">
      <c r="B55" s="630" t="s">
        <v>141</v>
      </c>
      <c r="C55" s="281">
        <v>38</v>
      </c>
      <c r="D55" s="282">
        <v>844</v>
      </c>
      <c r="E55" s="414">
        <f>+C55*100%</f>
        <v>38</v>
      </c>
      <c r="F55" s="414">
        <f t="shared" si="17"/>
        <v>844</v>
      </c>
      <c r="G55" s="414">
        <v>5</v>
      </c>
      <c r="H55" s="267">
        <v>1</v>
      </c>
      <c r="I55" s="414">
        <f>+G55*C55*H55</f>
        <v>190</v>
      </c>
      <c r="J55" s="414">
        <v>1</v>
      </c>
      <c r="K55" s="414">
        <f t="shared" si="18"/>
        <v>190</v>
      </c>
      <c r="L55" s="443">
        <v>0</v>
      </c>
      <c r="M55" s="414">
        <v>0</v>
      </c>
      <c r="N55" s="414">
        <v>0</v>
      </c>
      <c r="O55" s="414">
        <v>0</v>
      </c>
      <c r="P55" s="414">
        <v>0</v>
      </c>
      <c r="Q55" s="582">
        <v>0</v>
      </c>
    </row>
    <row r="56" spans="2:18" ht="27" thickBot="1" x14ac:dyDescent="0.75">
      <c r="B56" s="463" t="s">
        <v>323</v>
      </c>
      <c r="C56" s="600">
        <f>SUM(C53:C55)</f>
        <v>197</v>
      </c>
      <c r="D56" s="464">
        <f>SUM(D53:D55)</f>
        <v>4723</v>
      </c>
      <c r="E56" s="464">
        <f>SUM(E53:E55)</f>
        <v>197</v>
      </c>
      <c r="F56" s="464">
        <f>SUM(F53:F55)</f>
        <v>4723</v>
      </c>
      <c r="G56" s="599"/>
      <c r="H56" s="465"/>
      <c r="I56" s="461">
        <f>SUM(I53:I55)</f>
        <v>985</v>
      </c>
      <c r="J56" s="461">
        <f>0</f>
        <v>0</v>
      </c>
      <c r="K56" s="461">
        <f t="shared" ref="K56:Q56" si="19">SUM(K53:K55)</f>
        <v>985</v>
      </c>
      <c r="L56" s="461">
        <f t="shared" si="19"/>
        <v>0</v>
      </c>
      <c r="M56" s="461">
        <f t="shared" si="19"/>
        <v>0</v>
      </c>
      <c r="N56" s="461">
        <f t="shared" si="19"/>
        <v>0</v>
      </c>
      <c r="O56" s="461">
        <f t="shared" si="19"/>
        <v>0</v>
      </c>
      <c r="P56" s="461">
        <f t="shared" si="19"/>
        <v>0</v>
      </c>
      <c r="Q56" s="462">
        <f t="shared" si="19"/>
        <v>0</v>
      </c>
      <c r="R56" s="611">
        <f>K56+I56</f>
        <v>1970</v>
      </c>
    </row>
    <row r="57" spans="2:18" x14ac:dyDescent="0.55000000000000004">
      <c r="B57" s="1216" t="s">
        <v>215</v>
      </c>
      <c r="C57" s="1217"/>
      <c r="D57" s="1217"/>
      <c r="E57" s="1217"/>
      <c r="F57" s="1217"/>
      <c r="G57" s="1217"/>
      <c r="H57" s="1217"/>
      <c r="I57" s="1217"/>
      <c r="J57" s="1217"/>
      <c r="K57" s="1217"/>
      <c r="L57" s="1217"/>
      <c r="M57" s="1217"/>
      <c r="N57" s="1217"/>
      <c r="O57" s="1217"/>
      <c r="P57" s="1217"/>
      <c r="Q57" s="1218"/>
    </row>
    <row r="58" spans="2:18" x14ac:dyDescent="0.55000000000000004">
      <c r="B58" s="107" t="s">
        <v>144</v>
      </c>
      <c r="C58" s="601">
        <v>24</v>
      </c>
      <c r="D58" s="602">
        <v>534</v>
      </c>
      <c r="E58" s="414">
        <f>+C58*100%</f>
        <v>24</v>
      </c>
      <c r="F58" s="414">
        <f t="shared" ref="F58:F62" si="20">D58*100%</f>
        <v>534</v>
      </c>
      <c r="G58" s="414">
        <v>5</v>
      </c>
      <c r="H58" s="414">
        <f>0</f>
        <v>0</v>
      </c>
      <c r="I58" s="414"/>
      <c r="J58" s="414"/>
      <c r="K58" s="414"/>
      <c r="L58" s="267">
        <v>1</v>
      </c>
      <c r="M58" s="414">
        <f>+E58*G58*L58</f>
        <v>120</v>
      </c>
      <c r="N58" s="414">
        <v>1</v>
      </c>
      <c r="O58" s="414">
        <f>+G58*E58*N58</f>
        <v>120</v>
      </c>
      <c r="P58" s="414">
        <v>1</v>
      </c>
      <c r="Q58" s="582">
        <f>+I58*G58*P58</f>
        <v>0</v>
      </c>
    </row>
    <row r="59" spans="2:18" x14ac:dyDescent="0.55000000000000004">
      <c r="B59" s="107" t="s">
        <v>145</v>
      </c>
      <c r="C59" s="601">
        <v>39</v>
      </c>
      <c r="D59" s="602">
        <v>980</v>
      </c>
      <c r="E59" s="414">
        <f t="shared" ref="E59:E62" si="21">+C59*100%</f>
        <v>39</v>
      </c>
      <c r="F59" s="414">
        <f t="shared" si="20"/>
        <v>980</v>
      </c>
      <c r="G59" s="414">
        <v>5</v>
      </c>
      <c r="H59" s="414">
        <f>0</f>
        <v>0</v>
      </c>
      <c r="I59" s="414"/>
      <c r="J59" s="414"/>
      <c r="K59" s="414"/>
      <c r="L59" s="267">
        <v>1</v>
      </c>
      <c r="M59" s="414">
        <f t="shared" ref="M59:M62" si="22">+E59*G59*L59</f>
        <v>195</v>
      </c>
      <c r="N59" s="414">
        <v>1</v>
      </c>
      <c r="O59" s="414">
        <f t="shared" ref="O59:O62" si="23">+G59*E59*N59</f>
        <v>195</v>
      </c>
      <c r="P59" s="414">
        <v>1</v>
      </c>
      <c r="Q59" s="582">
        <f t="shared" ref="Q59:Q62" si="24">+I59*G59*P59</f>
        <v>0</v>
      </c>
    </row>
    <row r="60" spans="2:18" x14ac:dyDescent="0.55000000000000004">
      <c r="B60" s="107" t="s">
        <v>146</v>
      </c>
      <c r="C60" s="601">
        <v>14</v>
      </c>
      <c r="D60" s="602">
        <v>309</v>
      </c>
      <c r="E60" s="414">
        <f t="shared" si="21"/>
        <v>14</v>
      </c>
      <c r="F60" s="414">
        <f t="shared" si="20"/>
        <v>309</v>
      </c>
      <c r="G60" s="414">
        <v>5</v>
      </c>
      <c r="H60" s="414">
        <f>0</f>
        <v>0</v>
      </c>
      <c r="I60" s="414"/>
      <c r="J60" s="414"/>
      <c r="K60" s="414"/>
      <c r="L60" s="267">
        <v>1</v>
      </c>
      <c r="M60" s="414">
        <f t="shared" si="22"/>
        <v>70</v>
      </c>
      <c r="N60" s="414">
        <v>1</v>
      </c>
      <c r="O60" s="414">
        <f t="shared" si="23"/>
        <v>70</v>
      </c>
      <c r="P60" s="414">
        <v>1</v>
      </c>
      <c r="Q60" s="582">
        <f t="shared" si="24"/>
        <v>0</v>
      </c>
    </row>
    <row r="61" spans="2:18" x14ac:dyDescent="0.55000000000000004">
      <c r="B61" s="107" t="s">
        <v>147</v>
      </c>
      <c r="C61" s="601">
        <v>109</v>
      </c>
      <c r="D61" s="602">
        <v>2388</v>
      </c>
      <c r="E61" s="414">
        <f t="shared" si="21"/>
        <v>109</v>
      </c>
      <c r="F61" s="414">
        <f>D61*100%</f>
        <v>2388</v>
      </c>
      <c r="G61" s="414">
        <v>5</v>
      </c>
      <c r="H61" s="414">
        <f>0</f>
        <v>0</v>
      </c>
      <c r="I61" s="414"/>
      <c r="J61" s="414"/>
      <c r="K61" s="414"/>
      <c r="L61" s="267">
        <v>1</v>
      </c>
      <c r="M61" s="414">
        <f t="shared" si="22"/>
        <v>545</v>
      </c>
      <c r="N61" s="414">
        <v>1</v>
      </c>
      <c r="O61" s="414">
        <f t="shared" si="23"/>
        <v>545</v>
      </c>
      <c r="P61" s="414">
        <v>1</v>
      </c>
      <c r="Q61" s="582">
        <f t="shared" si="24"/>
        <v>0</v>
      </c>
    </row>
    <row r="62" spans="2:18" ht="24.75" thickBot="1" x14ac:dyDescent="0.6">
      <c r="B62" s="427" t="s">
        <v>149</v>
      </c>
      <c r="C62" s="603">
        <v>108</v>
      </c>
      <c r="D62" s="604">
        <v>2365</v>
      </c>
      <c r="E62" s="414">
        <f t="shared" si="21"/>
        <v>108</v>
      </c>
      <c r="F62" s="414">
        <f t="shared" si="20"/>
        <v>2365</v>
      </c>
      <c r="G62" s="414">
        <v>5</v>
      </c>
      <c r="H62" s="414">
        <f>0</f>
        <v>0</v>
      </c>
      <c r="I62" s="414"/>
      <c r="J62" s="414"/>
      <c r="K62" s="414"/>
      <c r="L62" s="267">
        <v>1</v>
      </c>
      <c r="M62" s="414">
        <f t="shared" si="22"/>
        <v>540</v>
      </c>
      <c r="N62" s="414">
        <v>1</v>
      </c>
      <c r="O62" s="414">
        <f t="shared" si="23"/>
        <v>540</v>
      </c>
      <c r="P62" s="414">
        <v>1</v>
      </c>
      <c r="Q62" s="582">
        <f t="shared" si="24"/>
        <v>0</v>
      </c>
    </row>
    <row r="63" spans="2:18" ht="27" thickBot="1" x14ac:dyDescent="0.75">
      <c r="B63" s="463" t="s">
        <v>324</v>
      </c>
      <c r="C63" s="600">
        <f>SUM(C58:C62)</f>
        <v>294</v>
      </c>
      <c r="D63" s="464">
        <f>SUM(D58:D62)</f>
        <v>6576</v>
      </c>
      <c r="E63" s="464">
        <f>SUM(E58:E62)</f>
        <v>294</v>
      </c>
      <c r="F63" s="464">
        <f>SUM(F58:F62)</f>
        <v>6576</v>
      </c>
      <c r="G63" s="599"/>
      <c r="H63" s="465">
        <f>0</f>
        <v>0</v>
      </c>
      <c r="I63" s="461"/>
      <c r="J63" s="461">
        <f>SUM(J58:J62)</f>
        <v>0</v>
      </c>
      <c r="K63" s="461">
        <f>SUM(K58:K62)</f>
        <v>0</v>
      </c>
      <c r="L63" s="461">
        <f>0</f>
        <v>0</v>
      </c>
      <c r="M63" s="461">
        <f>SUM(M58:M62)</f>
        <v>1470</v>
      </c>
      <c r="N63" s="461">
        <f>0</f>
        <v>0</v>
      </c>
      <c r="O63" s="461">
        <f>SUM(O58:O62)</f>
        <v>1470</v>
      </c>
      <c r="P63" s="461">
        <f>0</f>
        <v>0</v>
      </c>
      <c r="Q63" s="462">
        <f>SUM(Q58:Q62)</f>
        <v>0</v>
      </c>
      <c r="R63" s="611">
        <f>O63+M63</f>
        <v>2940</v>
      </c>
    </row>
    <row r="64" spans="2:18" x14ac:dyDescent="0.55000000000000004">
      <c r="B64" s="1210" t="s">
        <v>336</v>
      </c>
      <c r="C64" s="1211"/>
      <c r="D64" s="1211"/>
      <c r="E64" s="1211"/>
      <c r="F64" s="1211"/>
      <c r="G64" s="1211"/>
      <c r="H64" s="1211"/>
      <c r="I64" s="1211"/>
      <c r="J64" s="1211"/>
      <c r="K64" s="1211"/>
      <c r="L64" s="1211"/>
      <c r="M64" s="1211"/>
      <c r="N64" s="1211"/>
      <c r="O64" s="1211"/>
      <c r="P64" s="1211"/>
      <c r="Q64" s="1212"/>
    </row>
    <row r="65" spans="2:18" x14ac:dyDescent="0.55000000000000004">
      <c r="B65" s="1213" t="s">
        <v>22</v>
      </c>
      <c r="C65" s="1214"/>
      <c r="D65" s="1214"/>
      <c r="E65" s="1214"/>
      <c r="F65" s="1214"/>
      <c r="G65" s="1214"/>
      <c r="H65" s="1214"/>
      <c r="I65" s="1214"/>
      <c r="J65" s="1214"/>
      <c r="K65" s="1214"/>
      <c r="L65" s="1214"/>
      <c r="M65" s="1214"/>
      <c r="N65" s="1214"/>
      <c r="O65" s="1214"/>
      <c r="P65" s="1214"/>
      <c r="Q65" s="1215"/>
    </row>
    <row r="66" spans="2:18" x14ac:dyDescent="0.55000000000000004">
      <c r="B66" s="439" t="s">
        <v>55</v>
      </c>
      <c r="C66" s="232">
        <v>158</v>
      </c>
      <c r="D66" s="247">
        <v>3480</v>
      </c>
      <c r="E66" s="414">
        <f>+C66*100%</f>
        <v>158</v>
      </c>
      <c r="F66" s="414">
        <f>D66*100%</f>
        <v>3480</v>
      </c>
      <c r="G66" s="414">
        <v>5</v>
      </c>
      <c r="H66" s="267">
        <v>1</v>
      </c>
      <c r="I66" s="414">
        <f>+G66*E66*H66</f>
        <v>790</v>
      </c>
      <c r="J66" s="414">
        <v>1</v>
      </c>
      <c r="K66" s="414">
        <f>+G66*E66*J66</f>
        <v>790</v>
      </c>
      <c r="L66" s="443">
        <v>0</v>
      </c>
      <c r="M66" s="414">
        <v>0</v>
      </c>
      <c r="N66" s="414">
        <v>0</v>
      </c>
      <c r="O66" s="414">
        <v>0</v>
      </c>
      <c r="P66" s="414">
        <v>0</v>
      </c>
      <c r="Q66" s="582">
        <v>0</v>
      </c>
    </row>
    <row r="67" spans="2:18" x14ac:dyDescent="0.55000000000000004">
      <c r="B67" s="629" t="s">
        <v>56</v>
      </c>
      <c r="C67" s="228">
        <v>143</v>
      </c>
      <c r="D67" s="279">
        <v>3140</v>
      </c>
      <c r="E67" s="414">
        <f>+C67*100%</f>
        <v>143</v>
      </c>
      <c r="F67" s="414">
        <f>D67*100%</f>
        <v>3140</v>
      </c>
      <c r="G67" s="414">
        <v>5</v>
      </c>
      <c r="H67" s="267">
        <v>1</v>
      </c>
      <c r="I67" s="414">
        <f>+G67*E67*H67</f>
        <v>715</v>
      </c>
      <c r="J67" s="414">
        <v>1</v>
      </c>
      <c r="K67" s="414">
        <f t="shared" ref="K67:K68" si="25">+G67*E67*J67</f>
        <v>715</v>
      </c>
      <c r="L67" s="443">
        <v>0</v>
      </c>
      <c r="M67" s="414">
        <v>0</v>
      </c>
      <c r="N67" s="414">
        <v>0</v>
      </c>
      <c r="O67" s="414">
        <v>0</v>
      </c>
      <c r="P67" s="414">
        <v>0</v>
      </c>
      <c r="Q67" s="582">
        <v>0</v>
      </c>
    </row>
    <row r="68" spans="2:18" ht="24.75" thickBot="1" x14ac:dyDescent="0.6">
      <c r="B68" s="630" t="s">
        <v>57</v>
      </c>
      <c r="C68" s="281">
        <v>167</v>
      </c>
      <c r="D68" s="282">
        <v>3671</v>
      </c>
      <c r="E68" s="414">
        <f>+C68*100%</f>
        <v>167</v>
      </c>
      <c r="F68" s="414">
        <f t="shared" ref="F68" si="26">D68*100%</f>
        <v>3671</v>
      </c>
      <c r="G68" s="414">
        <v>5</v>
      </c>
      <c r="H68" s="267">
        <v>1</v>
      </c>
      <c r="I68" s="414">
        <f>+G68*E68*H68</f>
        <v>835</v>
      </c>
      <c r="J68" s="414">
        <v>1</v>
      </c>
      <c r="K68" s="414">
        <f t="shared" si="25"/>
        <v>835</v>
      </c>
      <c r="L68" s="443">
        <v>0</v>
      </c>
      <c r="M68" s="414">
        <v>0</v>
      </c>
      <c r="N68" s="414">
        <v>0</v>
      </c>
      <c r="O68" s="414">
        <v>0</v>
      </c>
      <c r="P68" s="414">
        <v>0</v>
      </c>
      <c r="Q68" s="582">
        <v>0</v>
      </c>
    </row>
    <row r="69" spans="2:18" ht="27" thickBot="1" x14ac:dyDescent="0.75">
      <c r="B69" s="463" t="s">
        <v>323</v>
      </c>
      <c r="C69" s="600">
        <f>SUM(C66:C68)</f>
        <v>468</v>
      </c>
      <c r="D69" s="464">
        <f>SUM(D66:D68)</f>
        <v>10291</v>
      </c>
      <c r="E69" s="464">
        <f>SUM(E66:E68)</f>
        <v>468</v>
      </c>
      <c r="F69" s="464">
        <f>SUM(F66:F68)</f>
        <v>10291</v>
      </c>
      <c r="G69" s="599"/>
      <c r="H69" s="465"/>
      <c r="I69" s="461">
        <f>SUM(I66:I68)</f>
        <v>2340</v>
      </c>
      <c r="J69" s="461">
        <f>0</f>
        <v>0</v>
      </c>
      <c r="K69" s="461">
        <f t="shared" ref="K69:Q69" si="27">SUM(K66:K68)</f>
        <v>2340</v>
      </c>
      <c r="L69" s="461">
        <f t="shared" si="27"/>
        <v>0</v>
      </c>
      <c r="M69" s="461">
        <f t="shared" si="27"/>
        <v>0</v>
      </c>
      <c r="N69" s="461">
        <f t="shared" si="27"/>
        <v>0</v>
      </c>
      <c r="O69" s="461">
        <f t="shared" si="27"/>
        <v>0</v>
      </c>
      <c r="P69" s="461">
        <f t="shared" si="27"/>
        <v>0</v>
      </c>
      <c r="Q69" s="462">
        <f t="shared" si="27"/>
        <v>0</v>
      </c>
      <c r="R69" s="611">
        <f>K69+I69</f>
        <v>4680</v>
      </c>
    </row>
    <row r="70" spans="2:18" x14ac:dyDescent="0.55000000000000004">
      <c r="B70" s="1216" t="s">
        <v>215</v>
      </c>
      <c r="C70" s="1217"/>
      <c r="D70" s="1217"/>
      <c r="E70" s="1217"/>
      <c r="F70" s="1217"/>
      <c r="G70" s="1217"/>
      <c r="H70" s="1217"/>
      <c r="I70" s="1217"/>
      <c r="J70" s="1217"/>
      <c r="K70" s="1217"/>
      <c r="L70" s="1217"/>
      <c r="M70" s="1217"/>
      <c r="N70" s="1217"/>
      <c r="O70" s="1217"/>
      <c r="P70" s="1217"/>
      <c r="Q70" s="1218"/>
    </row>
    <row r="71" spans="2:18" x14ac:dyDescent="0.55000000000000004">
      <c r="B71" s="107" t="s">
        <v>152</v>
      </c>
      <c r="C71" s="601">
        <v>131</v>
      </c>
      <c r="D71" s="602">
        <v>2886</v>
      </c>
      <c r="E71" s="414">
        <f>+C71*100%</f>
        <v>131</v>
      </c>
      <c r="F71" s="414">
        <f t="shared" ref="F71:F75" si="28">D71*100%</f>
        <v>2886</v>
      </c>
      <c r="G71" s="414">
        <v>5</v>
      </c>
      <c r="H71" s="414">
        <f>0</f>
        <v>0</v>
      </c>
      <c r="I71" s="414">
        <f>0</f>
        <v>0</v>
      </c>
      <c r="J71" s="414">
        <f>0</f>
        <v>0</v>
      </c>
      <c r="K71" s="414">
        <f>0</f>
        <v>0</v>
      </c>
      <c r="L71" s="267">
        <v>1</v>
      </c>
      <c r="M71" s="414">
        <f>+E71*G71*L71</f>
        <v>655</v>
      </c>
      <c r="N71" s="414">
        <v>1</v>
      </c>
      <c r="O71" s="414">
        <f>+G71*E71*N71</f>
        <v>655</v>
      </c>
      <c r="P71" s="414">
        <v>1</v>
      </c>
      <c r="Q71" s="582">
        <f>+I71*G71*P71</f>
        <v>0</v>
      </c>
    </row>
    <row r="72" spans="2:18" x14ac:dyDescent="0.55000000000000004">
      <c r="B72" s="107" t="s">
        <v>153</v>
      </c>
      <c r="C72" s="601">
        <v>117</v>
      </c>
      <c r="D72" s="602">
        <v>2579</v>
      </c>
      <c r="E72" s="414">
        <f t="shared" ref="E72:E75" si="29">+C72*100%</f>
        <v>117</v>
      </c>
      <c r="F72" s="414">
        <f t="shared" si="28"/>
        <v>2579</v>
      </c>
      <c r="G72" s="414">
        <v>5</v>
      </c>
      <c r="H72" s="414">
        <f>0</f>
        <v>0</v>
      </c>
      <c r="I72" s="414">
        <f>0</f>
        <v>0</v>
      </c>
      <c r="J72" s="414">
        <f>0</f>
        <v>0</v>
      </c>
      <c r="K72" s="414">
        <f>0</f>
        <v>0</v>
      </c>
      <c r="L72" s="267">
        <v>1</v>
      </c>
      <c r="M72" s="414">
        <f t="shared" ref="M72:M75" si="30">+E72*G72*L72</f>
        <v>585</v>
      </c>
      <c r="N72" s="414">
        <v>1</v>
      </c>
      <c r="O72" s="414">
        <f t="shared" ref="O72:O75" si="31">+G72*E72*N72</f>
        <v>585</v>
      </c>
      <c r="P72" s="414">
        <v>1</v>
      </c>
      <c r="Q72" s="582">
        <f t="shared" ref="Q72:Q75" si="32">+I72*G72*P72</f>
        <v>0</v>
      </c>
    </row>
    <row r="73" spans="2:18" x14ac:dyDescent="0.55000000000000004">
      <c r="B73" s="107" t="s">
        <v>154</v>
      </c>
      <c r="C73" s="601">
        <v>155</v>
      </c>
      <c r="D73" s="602">
        <v>3402</v>
      </c>
      <c r="E73" s="414">
        <f t="shared" si="29"/>
        <v>155</v>
      </c>
      <c r="F73" s="414">
        <f t="shared" si="28"/>
        <v>3402</v>
      </c>
      <c r="G73" s="414">
        <v>5</v>
      </c>
      <c r="H73" s="414">
        <f>0</f>
        <v>0</v>
      </c>
      <c r="I73" s="414">
        <f>0</f>
        <v>0</v>
      </c>
      <c r="J73" s="414">
        <f>0</f>
        <v>0</v>
      </c>
      <c r="K73" s="414">
        <f>0</f>
        <v>0</v>
      </c>
      <c r="L73" s="267">
        <v>1</v>
      </c>
      <c r="M73" s="414">
        <f t="shared" si="30"/>
        <v>775</v>
      </c>
      <c r="N73" s="414">
        <v>1</v>
      </c>
      <c r="O73" s="414">
        <f t="shared" si="31"/>
        <v>775</v>
      </c>
      <c r="P73" s="414">
        <v>1</v>
      </c>
      <c r="Q73" s="582">
        <f t="shared" si="32"/>
        <v>0</v>
      </c>
    </row>
    <row r="74" spans="2:18" x14ac:dyDescent="0.55000000000000004">
      <c r="B74" s="107" t="s">
        <v>155</v>
      </c>
      <c r="C74" s="601">
        <v>100</v>
      </c>
      <c r="D74" s="602">
        <v>2192</v>
      </c>
      <c r="E74" s="414">
        <f t="shared" si="29"/>
        <v>100</v>
      </c>
      <c r="F74" s="414">
        <f t="shared" si="28"/>
        <v>2192</v>
      </c>
      <c r="G74" s="414">
        <v>5</v>
      </c>
      <c r="H74" s="414">
        <f>0</f>
        <v>0</v>
      </c>
      <c r="I74" s="414">
        <f>0</f>
        <v>0</v>
      </c>
      <c r="J74" s="414">
        <f>0</f>
        <v>0</v>
      </c>
      <c r="K74" s="414">
        <f>0</f>
        <v>0</v>
      </c>
      <c r="L74" s="267">
        <v>1</v>
      </c>
      <c r="M74" s="414">
        <f t="shared" si="30"/>
        <v>500</v>
      </c>
      <c r="N74" s="414">
        <v>1</v>
      </c>
      <c r="O74" s="414">
        <f t="shared" si="31"/>
        <v>500</v>
      </c>
      <c r="P74" s="414">
        <v>1</v>
      </c>
      <c r="Q74" s="582">
        <f t="shared" si="32"/>
        <v>0</v>
      </c>
    </row>
    <row r="75" spans="2:18" ht="24.75" thickBot="1" x14ac:dyDescent="0.6">
      <c r="B75" s="107" t="s">
        <v>158</v>
      </c>
      <c r="C75" s="601">
        <v>130</v>
      </c>
      <c r="D75" s="602">
        <v>2853</v>
      </c>
      <c r="E75" s="414">
        <f t="shared" si="29"/>
        <v>130</v>
      </c>
      <c r="F75" s="414">
        <f t="shared" si="28"/>
        <v>2853</v>
      </c>
      <c r="G75" s="414">
        <v>5</v>
      </c>
      <c r="H75" s="414">
        <f>0</f>
        <v>0</v>
      </c>
      <c r="I75" s="414">
        <f>0</f>
        <v>0</v>
      </c>
      <c r="J75" s="414">
        <f>0</f>
        <v>0</v>
      </c>
      <c r="K75" s="414">
        <f>0</f>
        <v>0</v>
      </c>
      <c r="L75" s="267">
        <v>1</v>
      </c>
      <c r="M75" s="414">
        <f t="shared" si="30"/>
        <v>650</v>
      </c>
      <c r="N75" s="414">
        <v>1</v>
      </c>
      <c r="O75" s="414">
        <f t="shared" si="31"/>
        <v>650</v>
      </c>
      <c r="P75" s="414">
        <v>1</v>
      </c>
      <c r="Q75" s="582">
        <f t="shared" si="32"/>
        <v>0</v>
      </c>
    </row>
    <row r="76" spans="2:18" ht="27" thickBot="1" x14ac:dyDescent="0.75">
      <c r="B76" s="463" t="s">
        <v>324</v>
      </c>
      <c r="C76" s="600">
        <f>SUM(C71:C75)</f>
        <v>633</v>
      </c>
      <c r="D76" s="464">
        <f>SUM(D71:D75)</f>
        <v>13912</v>
      </c>
      <c r="E76" s="464">
        <f>SUM(E71:E75)</f>
        <v>633</v>
      </c>
      <c r="F76" s="464">
        <f>SUM(F71:F75)</f>
        <v>13912</v>
      </c>
      <c r="G76" s="599"/>
      <c r="H76" s="465">
        <f>0</f>
        <v>0</v>
      </c>
      <c r="I76" s="461">
        <f>0</f>
        <v>0</v>
      </c>
      <c r="J76" s="461">
        <f>SUM(J71:J75)</f>
        <v>0</v>
      </c>
      <c r="K76" s="461">
        <f>SUM(K71:K75)</f>
        <v>0</v>
      </c>
      <c r="L76" s="461">
        <f>0</f>
        <v>0</v>
      </c>
      <c r="M76" s="461">
        <f>SUM(M71:M75)</f>
        <v>3165</v>
      </c>
      <c r="N76" s="461">
        <f>0</f>
        <v>0</v>
      </c>
      <c r="O76" s="461">
        <f>SUM(O71:O75)</f>
        <v>3165</v>
      </c>
      <c r="P76" s="461">
        <f>0</f>
        <v>0</v>
      </c>
      <c r="Q76" s="462">
        <f>SUM(Q71:Q75)</f>
        <v>0</v>
      </c>
      <c r="R76" s="611">
        <f>O76+M76</f>
        <v>6330</v>
      </c>
    </row>
    <row r="77" spans="2:18" x14ac:dyDescent="0.55000000000000004">
      <c r="B77" s="1210" t="s">
        <v>337</v>
      </c>
      <c r="C77" s="1211"/>
      <c r="D77" s="1211"/>
      <c r="E77" s="1211"/>
      <c r="F77" s="1211"/>
      <c r="G77" s="1211"/>
      <c r="H77" s="1211"/>
      <c r="I77" s="1211"/>
      <c r="J77" s="1211"/>
      <c r="K77" s="1211"/>
      <c r="L77" s="1211"/>
      <c r="M77" s="1211"/>
      <c r="N77" s="1211"/>
      <c r="O77" s="1211"/>
      <c r="P77" s="1211"/>
      <c r="Q77" s="1212"/>
    </row>
    <row r="78" spans="2:18" x14ac:dyDescent="0.55000000000000004">
      <c r="B78" s="1213" t="s">
        <v>22</v>
      </c>
      <c r="C78" s="1214"/>
      <c r="D78" s="1214"/>
      <c r="E78" s="1214"/>
      <c r="F78" s="1214"/>
      <c r="G78" s="1214"/>
      <c r="H78" s="1214"/>
      <c r="I78" s="1214"/>
      <c r="J78" s="1214"/>
      <c r="K78" s="1214"/>
      <c r="L78" s="1214"/>
      <c r="M78" s="1214"/>
      <c r="N78" s="1214"/>
      <c r="O78" s="1214"/>
      <c r="P78" s="1214"/>
      <c r="Q78" s="1215"/>
    </row>
    <row r="79" spans="2:18" x14ac:dyDescent="0.55000000000000004">
      <c r="B79" s="439" t="s">
        <v>58</v>
      </c>
      <c r="C79" s="232">
        <v>130</v>
      </c>
      <c r="D79" s="247">
        <v>2868</v>
      </c>
      <c r="E79" s="414">
        <f>+C79*100%</f>
        <v>130</v>
      </c>
      <c r="F79" s="414">
        <f>D79*100%</f>
        <v>2868</v>
      </c>
      <c r="G79" s="414">
        <v>5</v>
      </c>
      <c r="H79" s="267">
        <v>1</v>
      </c>
      <c r="I79" s="414">
        <f>+G79*E79*H79</f>
        <v>650</v>
      </c>
      <c r="J79" s="414">
        <v>1</v>
      </c>
      <c r="K79" s="414">
        <f>+G79*E79*J79</f>
        <v>650</v>
      </c>
      <c r="L79" s="443">
        <v>0</v>
      </c>
      <c r="M79" s="414">
        <v>0</v>
      </c>
      <c r="N79" s="414">
        <v>0</v>
      </c>
      <c r="O79" s="414">
        <v>0</v>
      </c>
      <c r="P79" s="414">
        <v>0</v>
      </c>
      <c r="Q79" s="582">
        <v>0</v>
      </c>
    </row>
    <row r="80" spans="2:18" ht="24.75" thickBot="1" x14ac:dyDescent="0.6">
      <c r="B80" s="629" t="s">
        <v>44</v>
      </c>
      <c r="C80" s="228">
        <v>145</v>
      </c>
      <c r="D80" s="279">
        <v>3193</v>
      </c>
      <c r="E80" s="414">
        <f>+C80*100%</f>
        <v>145</v>
      </c>
      <c r="F80" s="414">
        <f>D80*100%</f>
        <v>3193</v>
      </c>
      <c r="G80" s="414">
        <v>5</v>
      </c>
      <c r="H80" s="267">
        <v>1</v>
      </c>
      <c r="I80" s="414">
        <f>+G80*E80*H80</f>
        <v>725</v>
      </c>
      <c r="J80" s="414">
        <v>1</v>
      </c>
      <c r="K80" s="414">
        <f t="shared" ref="K80" si="33">+G80*E80*J80</f>
        <v>725</v>
      </c>
      <c r="L80" s="443">
        <v>0</v>
      </c>
      <c r="M80" s="414">
        <v>0</v>
      </c>
      <c r="N80" s="414">
        <v>0</v>
      </c>
      <c r="O80" s="414">
        <v>0</v>
      </c>
      <c r="P80" s="414">
        <v>0</v>
      </c>
      <c r="Q80" s="582">
        <v>0</v>
      </c>
    </row>
    <row r="81" spans="2:18" ht="27" thickBot="1" x14ac:dyDescent="0.75">
      <c r="B81" s="463" t="s">
        <v>323</v>
      </c>
      <c r="C81" s="600">
        <f>SUM(C79:C80)</f>
        <v>275</v>
      </c>
      <c r="D81" s="464">
        <f>SUM(D79:D80)</f>
        <v>6061</v>
      </c>
      <c r="E81" s="464">
        <f>SUM(E79:E80)</f>
        <v>275</v>
      </c>
      <c r="F81" s="464">
        <f>SUM(F79:F80)</f>
        <v>6061</v>
      </c>
      <c r="G81" s="599"/>
      <c r="H81" s="465"/>
      <c r="I81" s="461">
        <f>SUM(I79:I80)</f>
        <v>1375</v>
      </c>
      <c r="J81" s="461">
        <f>0</f>
        <v>0</v>
      </c>
      <c r="K81" s="461">
        <f t="shared" ref="K81:Q81" si="34">SUM(K79:K80)</f>
        <v>1375</v>
      </c>
      <c r="L81" s="461">
        <f t="shared" si="34"/>
        <v>0</v>
      </c>
      <c r="M81" s="461">
        <f t="shared" si="34"/>
        <v>0</v>
      </c>
      <c r="N81" s="461">
        <f t="shared" si="34"/>
        <v>0</v>
      </c>
      <c r="O81" s="461">
        <f t="shared" si="34"/>
        <v>0</v>
      </c>
      <c r="P81" s="461">
        <f t="shared" si="34"/>
        <v>0</v>
      </c>
      <c r="Q81" s="462">
        <f t="shared" si="34"/>
        <v>0</v>
      </c>
      <c r="R81" s="611">
        <f>K81+I81</f>
        <v>2750</v>
      </c>
    </row>
    <row r="82" spans="2:18" x14ac:dyDescent="0.55000000000000004">
      <c r="B82" s="1216" t="s">
        <v>215</v>
      </c>
      <c r="C82" s="1217"/>
      <c r="D82" s="1217"/>
      <c r="E82" s="1217"/>
      <c r="F82" s="1217"/>
      <c r="G82" s="1217"/>
      <c r="H82" s="1217"/>
      <c r="I82" s="1217"/>
      <c r="J82" s="1217"/>
      <c r="K82" s="1217"/>
      <c r="L82" s="1217"/>
      <c r="M82" s="1217"/>
      <c r="N82" s="1217"/>
      <c r="O82" s="1217"/>
      <c r="P82" s="1217"/>
      <c r="Q82" s="1218"/>
    </row>
    <row r="83" spans="2:18" x14ac:dyDescent="0.55000000000000004">
      <c r="B83" s="107" t="s">
        <v>160</v>
      </c>
      <c r="C83" s="601">
        <v>115</v>
      </c>
      <c r="D83" s="602">
        <v>2531</v>
      </c>
      <c r="E83" s="414">
        <f>+C83*100%</f>
        <v>115</v>
      </c>
      <c r="F83" s="414">
        <f t="shared" ref="F83:F86" si="35">D83*100%</f>
        <v>2531</v>
      </c>
      <c r="G83" s="414">
        <v>5</v>
      </c>
      <c r="H83" s="414">
        <f>0</f>
        <v>0</v>
      </c>
      <c r="I83" s="414">
        <f>0</f>
        <v>0</v>
      </c>
      <c r="J83" s="414">
        <f>0</f>
        <v>0</v>
      </c>
      <c r="K83" s="414">
        <f>0</f>
        <v>0</v>
      </c>
      <c r="L83" s="267">
        <v>1</v>
      </c>
      <c r="M83" s="414">
        <f>+E83*G83*L83</f>
        <v>575</v>
      </c>
      <c r="N83" s="414">
        <v>1</v>
      </c>
      <c r="O83" s="414">
        <f>+G83*E83*N83</f>
        <v>575</v>
      </c>
      <c r="P83" s="414">
        <v>1</v>
      </c>
      <c r="Q83" s="582">
        <f>+E83*G83*P83</f>
        <v>575</v>
      </c>
    </row>
    <row r="84" spans="2:18" x14ac:dyDescent="0.55000000000000004">
      <c r="B84" s="107" t="s">
        <v>161</v>
      </c>
      <c r="C84" s="601">
        <v>127</v>
      </c>
      <c r="D84" s="602">
        <v>2803</v>
      </c>
      <c r="E84" s="414">
        <f t="shared" ref="E84:E86" si="36">+C84*100%</f>
        <v>127</v>
      </c>
      <c r="F84" s="414">
        <f t="shared" si="35"/>
        <v>2803</v>
      </c>
      <c r="G84" s="414">
        <v>5</v>
      </c>
      <c r="H84" s="414">
        <f>0</f>
        <v>0</v>
      </c>
      <c r="I84" s="414">
        <f>0</f>
        <v>0</v>
      </c>
      <c r="J84" s="414">
        <f>0</f>
        <v>0</v>
      </c>
      <c r="K84" s="414">
        <f>0</f>
        <v>0</v>
      </c>
      <c r="L84" s="267">
        <v>1</v>
      </c>
      <c r="M84" s="414">
        <f>+E84*G84*L84</f>
        <v>635</v>
      </c>
      <c r="N84" s="414">
        <v>1</v>
      </c>
      <c r="O84" s="414">
        <f t="shared" ref="O84:O86" si="37">+G84*E84*N84</f>
        <v>635</v>
      </c>
      <c r="P84" s="414">
        <v>1</v>
      </c>
      <c r="Q84" s="582">
        <f t="shared" ref="Q84:Q86" si="38">+E84*G84*P84</f>
        <v>635</v>
      </c>
    </row>
    <row r="85" spans="2:18" x14ac:dyDescent="0.55000000000000004">
      <c r="B85" s="107" t="s">
        <v>162</v>
      </c>
      <c r="C85" s="601">
        <v>128</v>
      </c>
      <c r="D85" s="602">
        <v>2819</v>
      </c>
      <c r="E85" s="414">
        <f t="shared" si="36"/>
        <v>128</v>
      </c>
      <c r="F85" s="414">
        <f t="shared" si="35"/>
        <v>2819</v>
      </c>
      <c r="G85" s="414">
        <v>5</v>
      </c>
      <c r="H85" s="414">
        <f>0</f>
        <v>0</v>
      </c>
      <c r="I85" s="414">
        <f>0</f>
        <v>0</v>
      </c>
      <c r="J85" s="414">
        <f>0</f>
        <v>0</v>
      </c>
      <c r="K85" s="414">
        <f>0</f>
        <v>0</v>
      </c>
      <c r="L85" s="267">
        <v>1</v>
      </c>
      <c r="M85" s="414">
        <f>+E85*G85*L85</f>
        <v>640</v>
      </c>
      <c r="N85" s="414">
        <v>1</v>
      </c>
      <c r="O85" s="414">
        <f t="shared" si="37"/>
        <v>640</v>
      </c>
      <c r="P85" s="414">
        <v>1</v>
      </c>
      <c r="Q85" s="582">
        <f t="shared" si="38"/>
        <v>640</v>
      </c>
    </row>
    <row r="86" spans="2:18" ht="24.75" thickBot="1" x14ac:dyDescent="0.6">
      <c r="B86" s="107" t="s">
        <v>163</v>
      </c>
      <c r="C86" s="601">
        <v>122</v>
      </c>
      <c r="D86" s="602">
        <v>2687</v>
      </c>
      <c r="E86" s="414">
        <f t="shared" si="36"/>
        <v>122</v>
      </c>
      <c r="F86" s="414">
        <f t="shared" si="35"/>
        <v>2687</v>
      </c>
      <c r="G86" s="414">
        <v>5</v>
      </c>
      <c r="H86" s="414">
        <f>0</f>
        <v>0</v>
      </c>
      <c r="I86" s="414">
        <f>0</f>
        <v>0</v>
      </c>
      <c r="J86" s="414">
        <f>0</f>
        <v>0</v>
      </c>
      <c r="K86" s="414">
        <f>0</f>
        <v>0</v>
      </c>
      <c r="L86" s="267">
        <v>1</v>
      </c>
      <c r="M86" s="414">
        <f>+E86*G86*L86</f>
        <v>610</v>
      </c>
      <c r="N86" s="414">
        <v>1</v>
      </c>
      <c r="O86" s="414">
        <f t="shared" si="37"/>
        <v>610</v>
      </c>
      <c r="P86" s="414">
        <v>1</v>
      </c>
      <c r="Q86" s="582">
        <f t="shared" si="38"/>
        <v>610</v>
      </c>
    </row>
    <row r="87" spans="2:18" ht="27" thickBot="1" x14ac:dyDescent="0.75">
      <c r="B87" s="463" t="s">
        <v>324</v>
      </c>
      <c r="C87" s="600">
        <f>SUM(C83:C86)</f>
        <v>492</v>
      </c>
      <c r="D87" s="464">
        <f>SUM(D83:D86)</f>
        <v>10840</v>
      </c>
      <c r="E87" s="464">
        <f>SUM(E83:E86)</f>
        <v>492</v>
      </c>
      <c r="F87" s="464">
        <f>SUM(F83:F86)</f>
        <v>10840</v>
      </c>
      <c r="G87" s="599"/>
      <c r="H87" s="465">
        <f>0</f>
        <v>0</v>
      </c>
      <c r="I87" s="461">
        <f>0</f>
        <v>0</v>
      </c>
      <c r="J87" s="461">
        <f>SUM(J83:J86)</f>
        <v>0</v>
      </c>
      <c r="K87" s="461">
        <f>SUM(K83:K86)</f>
        <v>0</v>
      </c>
      <c r="L87" s="461">
        <f>0</f>
        <v>0</v>
      </c>
      <c r="M87" s="461">
        <f>SUM(M83:M86)</f>
        <v>2460</v>
      </c>
      <c r="N87" s="461">
        <f>0</f>
        <v>0</v>
      </c>
      <c r="O87" s="461">
        <f>SUM(O83:O86)</f>
        <v>2460</v>
      </c>
      <c r="P87" s="461">
        <f>0</f>
        <v>0</v>
      </c>
      <c r="Q87" s="462">
        <f>SUM(Q83:Q86)</f>
        <v>2460</v>
      </c>
      <c r="R87" s="611">
        <f>O87+M87+Q87</f>
        <v>7380</v>
      </c>
    </row>
    <row r="88" spans="2:18" x14ac:dyDescent="0.55000000000000004">
      <c r="B88" s="1210" t="s">
        <v>233</v>
      </c>
      <c r="C88" s="1211"/>
      <c r="D88" s="1211"/>
      <c r="E88" s="1211"/>
      <c r="F88" s="1211"/>
      <c r="G88" s="1211"/>
      <c r="H88" s="1211"/>
      <c r="I88" s="1211"/>
      <c r="J88" s="1211"/>
      <c r="K88" s="1211"/>
      <c r="L88" s="1211"/>
      <c r="M88" s="1211"/>
      <c r="N88" s="1211"/>
      <c r="O88" s="1211"/>
      <c r="P88" s="1211"/>
      <c r="Q88" s="1212"/>
    </row>
    <row r="89" spans="2:18" x14ac:dyDescent="0.55000000000000004">
      <c r="B89" s="1213" t="s">
        <v>22</v>
      </c>
      <c r="C89" s="1214"/>
      <c r="D89" s="1214"/>
      <c r="E89" s="1214"/>
      <c r="F89" s="1214"/>
      <c r="G89" s="1214"/>
      <c r="H89" s="1214"/>
      <c r="I89" s="1214"/>
      <c r="J89" s="1214"/>
      <c r="K89" s="1214"/>
      <c r="L89" s="1214"/>
      <c r="M89" s="1214"/>
      <c r="N89" s="1214"/>
      <c r="O89" s="1214"/>
      <c r="P89" s="1214"/>
      <c r="Q89" s="1215"/>
    </row>
    <row r="90" spans="2:18" x14ac:dyDescent="0.55000000000000004">
      <c r="B90" s="439" t="s">
        <v>174</v>
      </c>
      <c r="C90" s="232">
        <v>111</v>
      </c>
      <c r="D90" s="247">
        <v>2449</v>
      </c>
      <c r="E90" s="414">
        <f>+C90*100%</f>
        <v>111</v>
      </c>
      <c r="F90" s="414">
        <f>D90*100%</f>
        <v>2449</v>
      </c>
      <c r="G90" s="414">
        <v>5</v>
      </c>
      <c r="H90" s="267">
        <v>1</v>
      </c>
      <c r="I90" s="414">
        <f>+G90*E90*H90</f>
        <v>555</v>
      </c>
      <c r="J90" s="414">
        <v>1</v>
      </c>
      <c r="K90" s="414">
        <f>+G90*E90*J90</f>
        <v>555</v>
      </c>
      <c r="L90" s="443">
        <v>0</v>
      </c>
      <c r="M90" s="414">
        <v>0</v>
      </c>
      <c r="N90" s="414">
        <v>0</v>
      </c>
      <c r="O90" s="414">
        <v>0</v>
      </c>
      <c r="P90" s="414">
        <v>0</v>
      </c>
      <c r="Q90" s="582">
        <v>0</v>
      </c>
    </row>
    <row r="91" spans="2:18" x14ac:dyDescent="0.55000000000000004">
      <c r="B91" s="439" t="s">
        <v>175</v>
      </c>
      <c r="C91" s="232">
        <v>92</v>
      </c>
      <c r="D91" s="247">
        <v>2014</v>
      </c>
      <c r="E91" s="414">
        <f t="shared" ref="E91:E93" si="39">+C91*100%</f>
        <v>92</v>
      </c>
      <c r="F91" s="414">
        <f t="shared" ref="F91:F93" si="40">D91*100%</f>
        <v>2014</v>
      </c>
      <c r="G91" s="414">
        <v>5</v>
      </c>
      <c r="H91" s="267">
        <v>1</v>
      </c>
      <c r="I91" s="414">
        <f t="shared" ref="I91:I93" si="41">+G91*E91*H91</f>
        <v>460</v>
      </c>
      <c r="J91" s="414">
        <v>1</v>
      </c>
      <c r="K91" s="414">
        <f t="shared" ref="K91:K93" si="42">+G91*E91*J91</f>
        <v>460</v>
      </c>
      <c r="L91" s="443"/>
      <c r="M91" s="414"/>
      <c r="N91" s="414"/>
      <c r="O91" s="414"/>
      <c r="P91" s="414"/>
      <c r="Q91" s="582"/>
    </row>
    <row r="92" spans="2:18" x14ac:dyDescent="0.55000000000000004">
      <c r="B92" s="439" t="s">
        <v>176</v>
      </c>
      <c r="C92" s="232">
        <v>132</v>
      </c>
      <c r="D92" s="247">
        <v>2898</v>
      </c>
      <c r="E92" s="414">
        <f t="shared" si="39"/>
        <v>132</v>
      </c>
      <c r="F92" s="414">
        <f t="shared" si="40"/>
        <v>2898</v>
      </c>
      <c r="G92" s="414">
        <v>5</v>
      </c>
      <c r="H92" s="267">
        <v>1</v>
      </c>
      <c r="I92" s="414">
        <f t="shared" si="41"/>
        <v>660</v>
      </c>
      <c r="J92" s="414">
        <v>1</v>
      </c>
      <c r="K92" s="414">
        <f t="shared" si="42"/>
        <v>660</v>
      </c>
      <c r="L92" s="443"/>
      <c r="M92" s="414"/>
      <c r="N92" s="414"/>
      <c r="O92" s="414"/>
      <c r="P92" s="414"/>
      <c r="Q92" s="582"/>
    </row>
    <row r="93" spans="2:18" ht="24.75" thickBot="1" x14ac:dyDescent="0.6">
      <c r="B93" s="629" t="s">
        <v>177</v>
      </c>
      <c r="C93" s="228">
        <v>107</v>
      </c>
      <c r="D93" s="279">
        <v>2364</v>
      </c>
      <c r="E93" s="414">
        <f t="shared" si="39"/>
        <v>107</v>
      </c>
      <c r="F93" s="414">
        <f t="shared" si="40"/>
        <v>2364</v>
      </c>
      <c r="G93" s="414">
        <v>5</v>
      </c>
      <c r="H93" s="267">
        <v>1</v>
      </c>
      <c r="I93" s="414">
        <f t="shared" si="41"/>
        <v>535</v>
      </c>
      <c r="J93" s="414">
        <v>1</v>
      </c>
      <c r="K93" s="414">
        <f t="shared" si="42"/>
        <v>535</v>
      </c>
      <c r="L93" s="443">
        <v>0</v>
      </c>
      <c r="M93" s="414">
        <v>0</v>
      </c>
      <c r="N93" s="414">
        <v>0</v>
      </c>
      <c r="O93" s="414">
        <v>0</v>
      </c>
      <c r="P93" s="414">
        <v>0</v>
      </c>
      <c r="Q93" s="582">
        <v>0</v>
      </c>
    </row>
    <row r="94" spans="2:18" ht="27" thickBot="1" x14ac:dyDescent="0.75">
      <c r="B94" s="463" t="s">
        <v>323</v>
      </c>
      <c r="C94" s="600">
        <f>SUM(C90:C93)</f>
        <v>442</v>
      </c>
      <c r="D94" s="464">
        <f>SUM(D90:D93)</f>
        <v>9725</v>
      </c>
      <c r="E94" s="464">
        <f>SUM(E90:E93)</f>
        <v>442</v>
      </c>
      <c r="F94" s="464">
        <f>SUM(F90:F93)</f>
        <v>9725</v>
      </c>
      <c r="G94" s="599"/>
      <c r="H94" s="465"/>
      <c r="I94" s="461">
        <f>SUM(I90:I93)</f>
        <v>2210</v>
      </c>
      <c r="J94" s="461">
        <f>0</f>
        <v>0</v>
      </c>
      <c r="K94" s="461">
        <f t="shared" ref="K94:Q94" si="43">SUM(K90:K93)</f>
        <v>2210</v>
      </c>
      <c r="L94" s="461">
        <f t="shared" si="43"/>
        <v>0</v>
      </c>
      <c r="M94" s="461">
        <f t="shared" si="43"/>
        <v>0</v>
      </c>
      <c r="N94" s="461">
        <f t="shared" si="43"/>
        <v>0</v>
      </c>
      <c r="O94" s="461">
        <f t="shared" si="43"/>
        <v>0</v>
      </c>
      <c r="P94" s="461">
        <f t="shared" si="43"/>
        <v>0</v>
      </c>
      <c r="Q94" s="462">
        <f t="shared" si="43"/>
        <v>0</v>
      </c>
      <c r="R94" s="611">
        <f>K94+I94</f>
        <v>4420</v>
      </c>
    </row>
    <row r="95" spans="2:18" x14ac:dyDescent="0.55000000000000004">
      <c r="B95" s="1216" t="s">
        <v>215</v>
      </c>
      <c r="C95" s="1217"/>
      <c r="D95" s="1217"/>
      <c r="E95" s="1217"/>
      <c r="F95" s="1217"/>
      <c r="G95" s="1217"/>
      <c r="H95" s="1217"/>
      <c r="I95" s="1217"/>
      <c r="J95" s="1217"/>
      <c r="K95" s="1217"/>
      <c r="L95" s="1217"/>
      <c r="M95" s="1217"/>
      <c r="N95" s="1217"/>
      <c r="O95" s="1217"/>
      <c r="P95" s="1217"/>
      <c r="Q95" s="1218"/>
    </row>
    <row r="96" spans="2:18" x14ac:dyDescent="0.55000000000000004">
      <c r="B96" s="107" t="s">
        <v>168</v>
      </c>
      <c r="C96" s="601">
        <v>116</v>
      </c>
      <c r="D96" s="602">
        <v>2550</v>
      </c>
      <c r="E96" s="414">
        <f>+C96*100%</f>
        <v>116</v>
      </c>
      <c r="F96" s="414">
        <f t="shared" ref="F96:F100" si="44">D96*100%</f>
        <v>2550</v>
      </c>
      <c r="G96" s="414">
        <v>5</v>
      </c>
      <c r="H96" s="414">
        <f>0</f>
        <v>0</v>
      </c>
      <c r="I96" s="414">
        <f>0</f>
        <v>0</v>
      </c>
      <c r="J96" s="414">
        <f>0</f>
        <v>0</v>
      </c>
      <c r="K96" s="414">
        <f>0</f>
        <v>0</v>
      </c>
      <c r="L96" s="267">
        <v>1</v>
      </c>
      <c r="M96" s="414">
        <f>+E96*G96*L96</f>
        <v>580</v>
      </c>
      <c r="N96" s="414">
        <v>1</v>
      </c>
      <c r="O96" s="414">
        <f>+G96*E96*N96</f>
        <v>580</v>
      </c>
      <c r="P96" s="414">
        <v>1</v>
      </c>
      <c r="Q96" s="582">
        <f>+E96*G96*P96</f>
        <v>580</v>
      </c>
    </row>
    <row r="97" spans="2:18" x14ac:dyDescent="0.55000000000000004">
      <c r="B97" s="107" t="s">
        <v>169</v>
      </c>
      <c r="C97" s="601">
        <v>130</v>
      </c>
      <c r="D97" s="602">
        <v>2854</v>
      </c>
      <c r="E97" s="414">
        <f t="shared" ref="E97:E100" si="45">+C97*100%</f>
        <v>130</v>
      </c>
      <c r="F97" s="414">
        <f t="shared" si="44"/>
        <v>2854</v>
      </c>
      <c r="G97" s="414">
        <v>5</v>
      </c>
      <c r="H97" s="414">
        <f>0</f>
        <v>0</v>
      </c>
      <c r="I97" s="414">
        <f>0</f>
        <v>0</v>
      </c>
      <c r="J97" s="414">
        <f>0</f>
        <v>0</v>
      </c>
      <c r="K97" s="414">
        <f>0</f>
        <v>0</v>
      </c>
      <c r="L97" s="267">
        <v>1</v>
      </c>
      <c r="M97" s="414">
        <f t="shared" ref="M97:M100" si="46">+E97*G97*L97</f>
        <v>650</v>
      </c>
      <c r="N97" s="414">
        <v>1</v>
      </c>
      <c r="O97" s="414">
        <f t="shared" ref="O97:O100" si="47">+G97*E97*N97</f>
        <v>650</v>
      </c>
      <c r="P97" s="414">
        <v>1</v>
      </c>
      <c r="Q97" s="582">
        <f t="shared" ref="Q97:Q100" si="48">+E97*G97*P97</f>
        <v>650</v>
      </c>
    </row>
    <row r="98" spans="2:18" x14ac:dyDescent="0.55000000000000004">
      <c r="B98" s="107" t="s">
        <v>170</v>
      </c>
      <c r="C98" s="601">
        <v>141</v>
      </c>
      <c r="D98" s="602">
        <v>3111</v>
      </c>
      <c r="E98" s="414">
        <f t="shared" si="45"/>
        <v>141</v>
      </c>
      <c r="F98" s="414">
        <f t="shared" si="44"/>
        <v>3111</v>
      </c>
      <c r="G98" s="414">
        <v>5</v>
      </c>
      <c r="H98" s="414">
        <f>0</f>
        <v>0</v>
      </c>
      <c r="I98" s="414">
        <f>0</f>
        <v>0</v>
      </c>
      <c r="J98" s="414">
        <f>0</f>
        <v>0</v>
      </c>
      <c r="K98" s="414">
        <f>0</f>
        <v>0</v>
      </c>
      <c r="L98" s="267">
        <v>1</v>
      </c>
      <c r="M98" s="414">
        <f t="shared" si="46"/>
        <v>705</v>
      </c>
      <c r="N98" s="414">
        <v>1</v>
      </c>
      <c r="O98" s="414">
        <f t="shared" si="47"/>
        <v>705</v>
      </c>
      <c r="P98" s="414">
        <v>1</v>
      </c>
      <c r="Q98" s="582">
        <f t="shared" si="48"/>
        <v>705</v>
      </c>
    </row>
    <row r="99" spans="2:18" x14ac:dyDescent="0.55000000000000004">
      <c r="B99" s="107" t="s">
        <v>172</v>
      </c>
      <c r="C99" s="601">
        <v>136</v>
      </c>
      <c r="D99" s="602">
        <v>2999</v>
      </c>
      <c r="E99" s="414">
        <f>+C99*100%</f>
        <v>136</v>
      </c>
      <c r="F99" s="414">
        <f t="shared" si="44"/>
        <v>2999</v>
      </c>
      <c r="G99" s="414">
        <v>5</v>
      </c>
      <c r="H99" s="414">
        <f>0</f>
        <v>0</v>
      </c>
      <c r="I99" s="414">
        <f>0</f>
        <v>0</v>
      </c>
      <c r="J99" s="414">
        <f>0</f>
        <v>0</v>
      </c>
      <c r="K99" s="414">
        <f>0</f>
        <v>0</v>
      </c>
      <c r="L99" s="267">
        <v>1</v>
      </c>
      <c r="M99" s="414">
        <f t="shared" si="46"/>
        <v>680</v>
      </c>
      <c r="N99" s="414">
        <v>1</v>
      </c>
      <c r="O99" s="414">
        <f t="shared" si="47"/>
        <v>680</v>
      </c>
      <c r="P99" s="414">
        <v>1</v>
      </c>
      <c r="Q99" s="582">
        <f t="shared" si="48"/>
        <v>680</v>
      </c>
    </row>
    <row r="100" spans="2:18" ht="24.75" thickBot="1" x14ac:dyDescent="0.6">
      <c r="B100" s="632" t="s">
        <v>319</v>
      </c>
      <c r="C100" s="605">
        <v>90</v>
      </c>
      <c r="D100" s="606">
        <v>1970</v>
      </c>
      <c r="E100" s="414">
        <f t="shared" si="45"/>
        <v>90</v>
      </c>
      <c r="F100" s="414">
        <f t="shared" si="44"/>
        <v>1970</v>
      </c>
      <c r="G100" s="414">
        <v>5</v>
      </c>
      <c r="H100" s="414">
        <f>0</f>
        <v>0</v>
      </c>
      <c r="I100" s="414">
        <f>0</f>
        <v>0</v>
      </c>
      <c r="J100" s="414">
        <f>0</f>
        <v>0</v>
      </c>
      <c r="K100" s="414">
        <f>0</f>
        <v>0</v>
      </c>
      <c r="L100" s="267">
        <v>1</v>
      </c>
      <c r="M100" s="414">
        <f t="shared" si="46"/>
        <v>450</v>
      </c>
      <c r="N100" s="414">
        <v>1</v>
      </c>
      <c r="O100" s="414">
        <f t="shared" si="47"/>
        <v>450</v>
      </c>
      <c r="P100" s="414">
        <v>1</v>
      </c>
      <c r="Q100" s="582">
        <f t="shared" si="48"/>
        <v>450</v>
      </c>
    </row>
    <row r="101" spans="2:18" ht="27" thickBot="1" x14ac:dyDescent="0.75">
      <c r="B101" s="463" t="s">
        <v>324</v>
      </c>
      <c r="C101" s="600">
        <f>SUM(C96:C99)</f>
        <v>523</v>
      </c>
      <c r="D101" s="464">
        <f>SUM(D96:D100)</f>
        <v>13484</v>
      </c>
      <c r="E101" s="464">
        <f>SUM(E96:E100)</f>
        <v>613</v>
      </c>
      <c r="F101" s="464">
        <f>SUM(F96:F100)</f>
        <v>13484</v>
      </c>
      <c r="G101" s="599"/>
      <c r="H101" s="465">
        <f>0</f>
        <v>0</v>
      </c>
      <c r="I101" s="461">
        <f>0</f>
        <v>0</v>
      </c>
      <c r="J101" s="461">
        <f>SUM(J96:J99)</f>
        <v>0</v>
      </c>
      <c r="K101" s="461">
        <f>SUM(K96:K99)</f>
        <v>0</v>
      </c>
      <c r="L101" s="461">
        <f>0</f>
        <v>0</v>
      </c>
      <c r="M101" s="461">
        <f>SUM(M96:M100)</f>
        <v>3065</v>
      </c>
      <c r="N101" s="461">
        <f>0</f>
        <v>0</v>
      </c>
      <c r="O101" s="461">
        <f>SUM(O96:O100)</f>
        <v>3065</v>
      </c>
      <c r="P101" s="461">
        <f>0</f>
        <v>0</v>
      </c>
      <c r="Q101" s="462">
        <f>SUM(Q96:Q100)</f>
        <v>3065</v>
      </c>
      <c r="R101" s="611">
        <f>O101+M101+Q101</f>
        <v>9195</v>
      </c>
    </row>
    <row r="102" spans="2:18" x14ac:dyDescent="0.55000000000000004">
      <c r="B102" s="1210" t="s">
        <v>235</v>
      </c>
      <c r="C102" s="1211"/>
      <c r="D102" s="1211"/>
      <c r="E102" s="1211"/>
      <c r="F102" s="1211"/>
      <c r="G102" s="1211"/>
      <c r="H102" s="1211"/>
      <c r="I102" s="1211"/>
      <c r="J102" s="1211"/>
      <c r="K102" s="1211"/>
      <c r="L102" s="1211"/>
      <c r="M102" s="1211"/>
      <c r="N102" s="1211"/>
      <c r="O102" s="1211"/>
      <c r="P102" s="1211"/>
      <c r="Q102" s="1212"/>
    </row>
    <row r="103" spans="2:18" x14ac:dyDescent="0.55000000000000004">
      <c r="B103" s="1213" t="s">
        <v>22</v>
      </c>
      <c r="C103" s="1214"/>
      <c r="D103" s="1214"/>
      <c r="E103" s="1214"/>
      <c r="F103" s="1214"/>
      <c r="G103" s="1214"/>
      <c r="H103" s="1214"/>
      <c r="I103" s="1214"/>
      <c r="J103" s="1214"/>
      <c r="K103" s="1214"/>
      <c r="L103" s="1214"/>
      <c r="M103" s="1214"/>
      <c r="N103" s="1214"/>
      <c r="O103" s="1214"/>
      <c r="P103" s="1214"/>
      <c r="Q103" s="1215"/>
    </row>
    <row r="104" spans="2:18" x14ac:dyDescent="0.55000000000000004">
      <c r="B104" s="439" t="s">
        <v>178</v>
      </c>
      <c r="C104" s="232">
        <v>3</v>
      </c>
      <c r="D104" s="247">
        <v>61</v>
      </c>
      <c r="E104" s="414">
        <f t="shared" ref="E104:E108" si="49">+C104*100%</f>
        <v>3</v>
      </c>
      <c r="F104" s="414">
        <f>D104*100%</f>
        <v>61</v>
      </c>
      <c r="G104" s="414">
        <v>5</v>
      </c>
      <c r="H104" s="267">
        <v>1</v>
      </c>
      <c r="I104" s="414">
        <f>+G104*E104*H104</f>
        <v>15</v>
      </c>
      <c r="J104" s="414">
        <v>1</v>
      </c>
      <c r="K104" s="414">
        <f>+G104*E104*J104</f>
        <v>15</v>
      </c>
      <c r="L104" s="443">
        <v>0</v>
      </c>
      <c r="M104" s="414">
        <v>0</v>
      </c>
      <c r="N104" s="414">
        <v>0</v>
      </c>
      <c r="O104" s="414">
        <v>0</v>
      </c>
      <c r="P104" s="414">
        <v>0</v>
      </c>
      <c r="Q104" s="582">
        <v>0</v>
      </c>
    </row>
    <row r="105" spans="2:18" x14ac:dyDescent="0.55000000000000004">
      <c r="B105" s="439" t="s">
        <v>179</v>
      </c>
      <c r="C105" s="232">
        <v>8</v>
      </c>
      <c r="D105" s="247">
        <v>171</v>
      </c>
      <c r="E105" s="414">
        <f t="shared" si="49"/>
        <v>8</v>
      </c>
      <c r="F105" s="414">
        <f t="shared" ref="F105:F108" si="50">D105*100%</f>
        <v>171</v>
      </c>
      <c r="G105" s="414">
        <v>5</v>
      </c>
      <c r="H105" s="267">
        <v>1</v>
      </c>
      <c r="I105" s="414">
        <f>+G105*E105*H105</f>
        <v>40</v>
      </c>
      <c r="J105" s="414">
        <v>1</v>
      </c>
      <c r="K105" s="414">
        <f>+G105*E105*J105</f>
        <v>40</v>
      </c>
      <c r="L105" s="443"/>
      <c r="M105" s="414"/>
      <c r="N105" s="414"/>
      <c r="O105" s="414"/>
      <c r="P105" s="414"/>
      <c r="Q105" s="582"/>
    </row>
    <row r="106" spans="2:18" x14ac:dyDescent="0.55000000000000004">
      <c r="B106" s="439" t="s">
        <v>180</v>
      </c>
      <c r="C106" s="232">
        <v>11</v>
      </c>
      <c r="D106" s="247">
        <v>241</v>
      </c>
      <c r="E106" s="414">
        <f t="shared" si="49"/>
        <v>11</v>
      </c>
      <c r="F106" s="414">
        <f t="shared" si="50"/>
        <v>241</v>
      </c>
      <c r="G106" s="414">
        <v>5</v>
      </c>
      <c r="H106" s="267">
        <v>1</v>
      </c>
      <c r="I106" s="414">
        <f t="shared" ref="I106:I107" si="51">+G106*E106*H106</f>
        <v>55</v>
      </c>
      <c r="J106" s="414">
        <v>1</v>
      </c>
      <c r="K106" s="414">
        <f t="shared" ref="K106:K107" si="52">+G106*E106*J106</f>
        <v>55</v>
      </c>
      <c r="L106" s="443"/>
      <c r="M106" s="414"/>
      <c r="N106" s="414"/>
      <c r="O106" s="414"/>
      <c r="P106" s="414"/>
      <c r="Q106" s="582"/>
    </row>
    <row r="107" spans="2:18" x14ac:dyDescent="0.55000000000000004">
      <c r="B107" s="439" t="s">
        <v>181</v>
      </c>
      <c r="C107" s="232">
        <v>140</v>
      </c>
      <c r="D107" s="247">
        <v>3070</v>
      </c>
      <c r="E107" s="414">
        <f t="shared" si="49"/>
        <v>140</v>
      </c>
      <c r="F107" s="414">
        <f t="shared" si="50"/>
        <v>3070</v>
      </c>
      <c r="G107" s="414">
        <v>5</v>
      </c>
      <c r="H107" s="267">
        <v>1</v>
      </c>
      <c r="I107" s="414">
        <f t="shared" si="51"/>
        <v>700</v>
      </c>
      <c r="J107" s="414">
        <v>1</v>
      </c>
      <c r="K107" s="414">
        <f t="shared" si="52"/>
        <v>700</v>
      </c>
      <c r="L107" s="443"/>
      <c r="M107" s="414"/>
      <c r="N107" s="414"/>
      <c r="O107" s="414"/>
      <c r="P107" s="414"/>
      <c r="Q107" s="582"/>
    </row>
    <row r="108" spans="2:18" ht="24.75" thickBot="1" x14ac:dyDescent="0.6">
      <c r="B108" s="439" t="s">
        <v>182</v>
      </c>
      <c r="C108" s="232">
        <v>149</v>
      </c>
      <c r="D108" s="247">
        <v>3270</v>
      </c>
      <c r="E108" s="414">
        <f t="shared" si="49"/>
        <v>149</v>
      </c>
      <c r="F108" s="414">
        <f t="shared" si="50"/>
        <v>3270</v>
      </c>
      <c r="G108" s="414">
        <v>5</v>
      </c>
      <c r="H108" s="267">
        <v>1</v>
      </c>
      <c r="I108" s="414">
        <f>+G108*E108*H108</f>
        <v>745</v>
      </c>
      <c r="J108" s="414">
        <v>1</v>
      </c>
      <c r="K108" s="414">
        <f>+G108*E108*J108</f>
        <v>745</v>
      </c>
      <c r="L108" s="443"/>
      <c r="M108" s="414"/>
      <c r="N108" s="414"/>
      <c r="O108" s="414"/>
      <c r="P108" s="414"/>
      <c r="Q108" s="582"/>
    </row>
    <row r="109" spans="2:18" ht="27" thickBot="1" x14ac:dyDescent="0.75">
      <c r="B109" s="463" t="s">
        <v>323</v>
      </c>
      <c r="C109" s="600">
        <f>SUM(C104:C108)</f>
        <v>311</v>
      </c>
      <c r="D109" s="464">
        <f>SUM(D104:D108)</f>
        <v>6813</v>
      </c>
      <c r="E109" s="464">
        <f>SUM(E104:E108)</f>
        <v>311</v>
      </c>
      <c r="F109" s="464">
        <f>SUM(F104:F108)</f>
        <v>6813</v>
      </c>
      <c r="G109" s="599"/>
      <c r="H109" s="465"/>
      <c r="I109" s="461">
        <f>SUM(I104:I108)</f>
        <v>1555</v>
      </c>
      <c r="J109" s="461">
        <f>0</f>
        <v>0</v>
      </c>
      <c r="K109" s="461">
        <f t="shared" ref="K109:Q109" si="53">SUM(K104:K108)</f>
        <v>1555</v>
      </c>
      <c r="L109" s="461">
        <f t="shared" si="53"/>
        <v>0</v>
      </c>
      <c r="M109" s="461">
        <f t="shared" si="53"/>
        <v>0</v>
      </c>
      <c r="N109" s="461">
        <f t="shared" si="53"/>
        <v>0</v>
      </c>
      <c r="O109" s="461">
        <f t="shared" si="53"/>
        <v>0</v>
      </c>
      <c r="P109" s="461">
        <f t="shared" si="53"/>
        <v>0</v>
      </c>
      <c r="Q109" s="462">
        <f t="shared" si="53"/>
        <v>0</v>
      </c>
      <c r="R109" s="611">
        <f>K109+I109</f>
        <v>3110</v>
      </c>
    </row>
    <row r="110" spans="2:18" x14ac:dyDescent="0.55000000000000004">
      <c r="B110" s="1216" t="s">
        <v>215</v>
      </c>
      <c r="C110" s="1217"/>
      <c r="D110" s="1217"/>
      <c r="E110" s="1217"/>
      <c r="F110" s="1217"/>
      <c r="G110" s="1217"/>
      <c r="H110" s="1217"/>
      <c r="I110" s="1217"/>
      <c r="J110" s="1217"/>
      <c r="K110" s="1217"/>
      <c r="L110" s="1217"/>
      <c r="M110" s="1217"/>
      <c r="N110" s="1217"/>
      <c r="O110" s="1217"/>
      <c r="P110" s="1217"/>
      <c r="Q110" s="1218"/>
    </row>
    <row r="111" spans="2:18" x14ac:dyDescent="0.55000000000000004">
      <c r="B111" s="252" t="s">
        <v>187</v>
      </c>
      <c r="C111" s="122">
        <v>99</v>
      </c>
      <c r="D111" s="293">
        <v>2167</v>
      </c>
      <c r="E111" s="414">
        <f>+C111*100%</f>
        <v>99</v>
      </c>
      <c r="F111" s="414">
        <f t="shared" ref="F111:F113" si="54">D111*100%</f>
        <v>2167</v>
      </c>
      <c r="G111" s="414">
        <v>5</v>
      </c>
      <c r="H111" s="414">
        <f>0</f>
        <v>0</v>
      </c>
      <c r="I111" s="414">
        <f>0</f>
        <v>0</v>
      </c>
      <c r="J111" s="414">
        <f>0</f>
        <v>0</v>
      </c>
      <c r="K111" s="414">
        <f>0</f>
        <v>0</v>
      </c>
      <c r="L111" s="267">
        <v>1</v>
      </c>
      <c r="M111" s="414">
        <f>+E111*G111*L111</f>
        <v>495</v>
      </c>
      <c r="N111" s="414">
        <v>1</v>
      </c>
      <c r="O111" s="414">
        <f>+G111*E111*N111</f>
        <v>495</v>
      </c>
      <c r="P111" s="414">
        <v>1</v>
      </c>
      <c r="Q111" s="582">
        <f>+E111*G111*P111</f>
        <v>495</v>
      </c>
    </row>
    <row r="112" spans="2:18" x14ac:dyDescent="0.55000000000000004">
      <c r="B112" s="253" t="s">
        <v>189</v>
      </c>
      <c r="C112" s="124">
        <v>105</v>
      </c>
      <c r="D112" s="297">
        <v>2320</v>
      </c>
      <c r="E112" s="414">
        <f t="shared" ref="E112:E113" si="55">+C112*100%</f>
        <v>105</v>
      </c>
      <c r="F112" s="414">
        <f t="shared" si="54"/>
        <v>2320</v>
      </c>
      <c r="G112" s="414">
        <v>5</v>
      </c>
      <c r="H112" s="414">
        <f>0</f>
        <v>0</v>
      </c>
      <c r="I112" s="414">
        <f>0</f>
        <v>0</v>
      </c>
      <c r="J112" s="414">
        <f>0</f>
        <v>0</v>
      </c>
      <c r="K112" s="414">
        <f>0</f>
        <v>0</v>
      </c>
      <c r="L112" s="267">
        <v>1</v>
      </c>
      <c r="M112" s="414">
        <f>+E112*G112*L112</f>
        <v>525</v>
      </c>
      <c r="N112" s="414">
        <v>1</v>
      </c>
      <c r="O112" s="414">
        <f t="shared" ref="O112:O113" si="56">+G112*E112*N112</f>
        <v>525</v>
      </c>
      <c r="P112" s="414">
        <v>1</v>
      </c>
      <c r="Q112" s="582">
        <f t="shared" ref="Q112:Q113" si="57">+E112*G112*P112</f>
        <v>525</v>
      </c>
    </row>
    <row r="113" spans="2:18" ht="24.75" thickBot="1" x14ac:dyDescent="0.6">
      <c r="B113" s="107" t="s">
        <v>190</v>
      </c>
      <c r="C113" s="601">
        <v>130</v>
      </c>
      <c r="D113" s="602">
        <v>2865</v>
      </c>
      <c r="E113" s="414">
        <f t="shared" si="55"/>
        <v>130</v>
      </c>
      <c r="F113" s="414">
        <f t="shared" si="54"/>
        <v>2865</v>
      </c>
      <c r="G113" s="414">
        <v>5</v>
      </c>
      <c r="H113" s="414">
        <f>0</f>
        <v>0</v>
      </c>
      <c r="I113" s="414">
        <f>0</f>
        <v>0</v>
      </c>
      <c r="J113" s="414">
        <f>0</f>
        <v>0</v>
      </c>
      <c r="K113" s="414">
        <f>0</f>
        <v>0</v>
      </c>
      <c r="L113" s="267">
        <v>1</v>
      </c>
      <c r="M113" s="414">
        <f>+E113*G113*L113</f>
        <v>650</v>
      </c>
      <c r="N113" s="414">
        <v>1</v>
      </c>
      <c r="O113" s="414">
        <f t="shared" si="56"/>
        <v>650</v>
      </c>
      <c r="P113" s="414">
        <v>1</v>
      </c>
      <c r="Q113" s="582">
        <f t="shared" si="57"/>
        <v>650</v>
      </c>
    </row>
    <row r="114" spans="2:18" ht="27" thickBot="1" x14ac:dyDescent="0.75">
      <c r="B114" s="463" t="s">
        <v>324</v>
      </c>
      <c r="C114" s="600">
        <f>SUM(C111:C113)</f>
        <v>334</v>
      </c>
      <c r="D114" s="464">
        <f>SUM(D111:D113)</f>
        <v>7352</v>
      </c>
      <c r="E114" s="464">
        <f>SUM(E111:E113)</f>
        <v>334</v>
      </c>
      <c r="F114" s="464">
        <f>SUM(F111:F113)</f>
        <v>7352</v>
      </c>
      <c r="G114" s="599"/>
      <c r="H114" s="465">
        <f>0</f>
        <v>0</v>
      </c>
      <c r="I114" s="461">
        <f>0</f>
        <v>0</v>
      </c>
      <c r="J114" s="461">
        <f>SUM(J111:J113)</f>
        <v>0</v>
      </c>
      <c r="K114" s="461">
        <f>SUM(K111:K113)</f>
        <v>0</v>
      </c>
      <c r="L114" s="461">
        <f>0</f>
        <v>0</v>
      </c>
      <c r="M114" s="461">
        <f>SUM(M111:M113)</f>
        <v>1670</v>
      </c>
      <c r="N114" s="461">
        <f>0</f>
        <v>0</v>
      </c>
      <c r="O114" s="461">
        <f>SUM(O111:O113)</f>
        <v>1670</v>
      </c>
      <c r="P114" s="461">
        <f>0</f>
        <v>0</v>
      </c>
      <c r="Q114" s="462">
        <f>SUM(Q111:Q113)</f>
        <v>1670</v>
      </c>
      <c r="R114" s="611">
        <f>O114+M114+Q114</f>
        <v>5010</v>
      </c>
    </row>
    <row r="115" spans="2:18" x14ac:dyDescent="0.55000000000000004">
      <c r="B115" s="1210" t="s">
        <v>320</v>
      </c>
      <c r="C115" s="1211"/>
      <c r="D115" s="1211"/>
      <c r="E115" s="1211"/>
      <c r="F115" s="1211"/>
      <c r="G115" s="1211"/>
      <c r="H115" s="1211"/>
      <c r="I115" s="1211"/>
      <c r="J115" s="1211"/>
      <c r="K115" s="1211"/>
      <c r="L115" s="1211"/>
      <c r="M115" s="1211"/>
      <c r="N115" s="1211"/>
      <c r="O115" s="1211"/>
      <c r="P115" s="1211"/>
      <c r="Q115" s="1212"/>
    </row>
    <row r="116" spans="2:18" x14ac:dyDescent="0.55000000000000004">
      <c r="B116" s="1213" t="s">
        <v>22</v>
      </c>
      <c r="C116" s="1214"/>
      <c r="D116" s="1214"/>
      <c r="E116" s="1214"/>
      <c r="F116" s="1214"/>
      <c r="G116" s="1214"/>
      <c r="H116" s="1214"/>
      <c r="I116" s="1214"/>
      <c r="J116" s="1214"/>
      <c r="K116" s="1214"/>
      <c r="L116" s="1214"/>
      <c r="M116" s="1214"/>
      <c r="N116" s="1214"/>
      <c r="O116" s="1214"/>
      <c r="P116" s="1214"/>
      <c r="Q116" s="1215"/>
    </row>
    <row r="117" spans="2:18" x14ac:dyDescent="0.55000000000000004">
      <c r="B117" s="252" t="s">
        <v>183</v>
      </c>
      <c r="C117" s="122">
        <v>144</v>
      </c>
      <c r="D117" s="293">
        <v>3171</v>
      </c>
      <c r="E117" s="414">
        <f>+C117*100%</f>
        <v>144</v>
      </c>
      <c r="F117" s="414">
        <f t="shared" ref="F117:F118" si="58">D117*100%</f>
        <v>3171</v>
      </c>
      <c r="G117" s="414">
        <v>5</v>
      </c>
      <c r="H117" s="414">
        <v>1</v>
      </c>
      <c r="I117" s="414">
        <f>+G117*E117*H117</f>
        <v>720</v>
      </c>
      <c r="J117" s="414">
        <v>1</v>
      </c>
      <c r="K117" s="414">
        <f>+G117*E117*J117</f>
        <v>720</v>
      </c>
      <c r="L117" s="414">
        <f>0</f>
        <v>0</v>
      </c>
      <c r="M117" s="414">
        <f>0</f>
        <v>0</v>
      </c>
      <c r="N117" s="414">
        <f>0</f>
        <v>0</v>
      </c>
      <c r="O117" s="414">
        <f>0</f>
        <v>0</v>
      </c>
      <c r="P117" s="414">
        <f>0</f>
        <v>0</v>
      </c>
      <c r="Q117" s="582">
        <f>0</f>
        <v>0</v>
      </c>
    </row>
    <row r="118" spans="2:18" ht="24.75" thickBot="1" x14ac:dyDescent="0.6">
      <c r="B118" s="253" t="s">
        <v>184</v>
      </c>
      <c r="C118" s="124">
        <v>134</v>
      </c>
      <c r="D118" s="297">
        <v>2950</v>
      </c>
      <c r="E118" s="414">
        <f t="shared" ref="E118" si="59">+C118*100%</f>
        <v>134</v>
      </c>
      <c r="F118" s="414">
        <f t="shared" si="58"/>
        <v>2950</v>
      </c>
      <c r="G118" s="414">
        <v>5</v>
      </c>
      <c r="H118" s="414">
        <v>1</v>
      </c>
      <c r="I118" s="414">
        <f>+G118*E118*H118</f>
        <v>670</v>
      </c>
      <c r="J118" s="414">
        <v>1</v>
      </c>
      <c r="K118" s="414">
        <f>+G118*E118*J118</f>
        <v>670</v>
      </c>
      <c r="L118" s="414">
        <f>0</f>
        <v>0</v>
      </c>
      <c r="M118" s="414">
        <f>0</f>
        <v>0</v>
      </c>
      <c r="N118" s="414">
        <f>0</f>
        <v>0</v>
      </c>
      <c r="O118" s="414">
        <f>0</f>
        <v>0</v>
      </c>
      <c r="P118" s="414">
        <f>0</f>
        <v>0</v>
      </c>
      <c r="Q118" s="582">
        <f>0</f>
        <v>0</v>
      </c>
    </row>
    <row r="119" spans="2:18" ht="27" thickBot="1" x14ac:dyDescent="0.75">
      <c r="B119" s="463" t="s">
        <v>324</v>
      </c>
      <c r="C119" s="600">
        <f>SUM(C117:C118)</f>
        <v>278</v>
      </c>
      <c r="D119" s="464">
        <f>SUM(D117:D118)</f>
        <v>6121</v>
      </c>
      <c r="E119" s="464">
        <f>SUM(E117:E118)</f>
        <v>278</v>
      </c>
      <c r="F119" s="464">
        <f>SUM(F117:F118)</f>
        <v>6121</v>
      </c>
      <c r="G119" s="599"/>
      <c r="H119" s="465">
        <f>0</f>
        <v>0</v>
      </c>
      <c r="I119" s="461">
        <f>I117+I118</f>
        <v>1390</v>
      </c>
      <c r="J119" s="461">
        <f>0</f>
        <v>0</v>
      </c>
      <c r="K119" s="461">
        <f>SUM(K117:K118)</f>
        <v>1390</v>
      </c>
      <c r="L119" s="461">
        <f>0</f>
        <v>0</v>
      </c>
      <c r="M119" s="461">
        <f>SUM(M117:M118)</f>
        <v>0</v>
      </c>
      <c r="N119" s="461">
        <f>0</f>
        <v>0</v>
      </c>
      <c r="O119" s="461">
        <f>SUM(O117:O118)</f>
        <v>0</v>
      </c>
      <c r="P119" s="461">
        <f>0</f>
        <v>0</v>
      </c>
      <c r="Q119" s="462">
        <f>SUM(Q117:Q118)</f>
        <v>0</v>
      </c>
      <c r="R119" s="611">
        <f>K119+I119</f>
        <v>2780</v>
      </c>
    </row>
    <row r="120" spans="2:18" x14ac:dyDescent="0.55000000000000004">
      <c r="B120" s="1216" t="s">
        <v>215</v>
      </c>
      <c r="C120" s="1217"/>
      <c r="D120" s="1217"/>
      <c r="E120" s="1217"/>
      <c r="F120" s="1217"/>
      <c r="G120" s="1217"/>
      <c r="H120" s="1217"/>
      <c r="I120" s="1217"/>
      <c r="J120" s="1217"/>
      <c r="K120" s="1217"/>
      <c r="L120" s="1217"/>
      <c r="M120" s="1217"/>
      <c r="N120" s="1217"/>
      <c r="O120" s="1217"/>
      <c r="P120" s="1217"/>
      <c r="Q120" s="1218"/>
    </row>
    <row r="121" spans="2:18" x14ac:dyDescent="0.55000000000000004">
      <c r="B121" s="252" t="s">
        <v>305</v>
      </c>
      <c r="C121" s="122">
        <v>86</v>
      </c>
      <c r="D121" s="293">
        <v>1892</v>
      </c>
      <c r="E121" s="414">
        <f>+C121*100%</f>
        <v>86</v>
      </c>
      <c r="F121" s="414">
        <f t="shared" ref="F121:F127" si="60">D121*100%</f>
        <v>1892</v>
      </c>
      <c r="G121" s="414">
        <v>5</v>
      </c>
      <c r="H121" s="414">
        <f>0</f>
        <v>0</v>
      </c>
      <c r="I121" s="414">
        <f>0</f>
        <v>0</v>
      </c>
      <c r="J121" s="414">
        <f>0</f>
        <v>0</v>
      </c>
      <c r="K121" s="414">
        <f>0</f>
        <v>0</v>
      </c>
      <c r="L121" s="267">
        <v>1</v>
      </c>
      <c r="M121" s="414">
        <f>+E121*G121*L121</f>
        <v>430</v>
      </c>
      <c r="N121" s="414">
        <v>1</v>
      </c>
      <c r="O121" s="414">
        <f>+G121*E121*N121</f>
        <v>430</v>
      </c>
      <c r="P121" s="414">
        <f>0</f>
        <v>0</v>
      </c>
      <c r="Q121" s="582">
        <f>0</f>
        <v>0</v>
      </c>
    </row>
    <row r="122" spans="2:18" x14ac:dyDescent="0.55000000000000004">
      <c r="B122" s="253" t="s">
        <v>306</v>
      </c>
      <c r="C122" s="124">
        <v>77</v>
      </c>
      <c r="D122" s="297">
        <v>1686</v>
      </c>
      <c r="E122" s="414">
        <f t="shared" ref="E122:E127" si="61">+C122*100%</f>
        <v>77</v>
      </c>
      <c r="F122" s="414">
        <f t="shared" si="60"/>
        <v>1686</v>
      </c>
      <c r="G122" s="414">
        <v>5</v>
      </c>
      <c r="H122" s="414">
        <f>0</f>
        <v>0</v>
      </c>
      <c r="I122" s="414">
        <f>0</f>
        <v>0</v>
      </c>
      <c r="J122" s="414">
        <f>0</f>
        <v>0</v>
      </c>
      <c r="K122" s="414">
        <f>0</f>
        <v>0</v>
      </c>
      <c r="L122" s="267">
        <v>1</v>
      </c>
      <c r="M122" s="414">
        <f t="shared" ref="M122:M123" si="62">+E122*G122*L122</f>
        <v>385</v>
      </c>
      <c r="N122" s="414">
        <v>1</v>
      </c>
      <c r="O122" s="414">
        <f t="shared" ref="O122:O123" si="63">+G122*E122*N122</f>
        <v>385</v>
      </c>
      <c r="P122" s="414">
        <f>0</f>
        <v>0</v>
      </c>
      <c r="Q122" s="582">
        <f>0</f>
        <v>0</v>
      </c>
    </row>
    <row r="123" spans="2:18" x14ac:dyDescent="0.55000000000000004">
      <c r="B123" s="633" t="s">
        <v>307</v>
      </c>
      <c r="C123" s="124">
        <v>63</v>
      </c>
      <c r="D123" s="297">
        <v>1380</v>
      </c>
      <c r="E123" s="414">
        <f t="shared" si="61"/>
        <v>63</v>
      </c>
      <c r="F123" s="414">
        <f t="shared" si="60"/>
        <v>1380</v>
      </c>
      <c r="G123" s="414">
        <v>5</v>
      </c>
      <c r="H123" s="414">
        <f>0</f>
        <v>0</v>
      </c>
      <c r="I123" s="414">
        <f>0</f>
        <v>0</v>
      </c>
      <c r="J123" s="414">
        <f>0</f>
        <v>0</v>
      </c>
      <c r="K123" s="414">
        <f>0</f>
        <v>0</v>
      </c>
      <c r="L123" s="267">
        <v>1</v>
      </c>
      <c r="M123" s="414">
        <f t="shared" si="62"/>
        <v>315</v>
      </c>
      <c r="N123" s="414">
        <v>1</v>
      </c>
      <c r="O123" s="414">
        <f t="shared" si="63"/>
        <v>315</v>
      </c>
      <c r="P123" s="414">
        <f>0</f>
        <v>0</v>
      </c>
      <c r="Q123" s="582">
        <f>0</f>
        <v>0</v>
      </c>
    </row>
    <row r="124" spans="2:18" x14ac:dyDescent="0.55000000000000004">
      <c r="B124" s="633" t="s">
        <v>308</v>
      </c>
      <c r="C124" s="124">
        <v>53</v>
      </c>
      <c r="D124" s="297">
        <v>1168</v>
      </c>
      <c r="E124" s="414">
        <f t="shared" si="61"/>
        <v>53</v>
      </c>
      <c r="F124" s="414">
        <f t="shared" si="60"/>
        <v>1168</v>
      </c>
      <c r="G124" s="414">
        <v>5</v>
      </c>
      <c r="H124" s="414">
        <f>0</f>
        <v>0</v>
      </c>
      <c r="I124" s="414">
        <f>0</f>
        <v>0</v>
      </c>
      <c r="J124" s="414">
        <f>0</f>
        <v>0</v>
      </c>
      <c r="K124" s="414">
        <f>0</f>
        <v>0</v>
      </c>
      <c r="L124" s="267">
        <v>1</v>
      </c>
      <c r="M124" s="414">
        <f t="shared" ref="M124:M127" si="64">+E124*G124*L124</f>
        <v>265</v>
      </c>
      <c r="N124" s="414">
        <v>1</v>
      </c>
      <c r="O124" s="414">
        <f>+G124*E124*N124</f>
        <v>265</v>
      </c>
      <c r="P124" s="414">
        <v>1</v>
      </c>
      <c r="Q124" s="582">
        <f t="shared" ref="Q124" si="65">+E124*G124*P124</f>
        <v>265</v>
      </c>
    </row>
    <row r="125" spans="2:18" x14ac:dyDescent="0.55000000000000004">
      <c r="B125" s="633" t="s">
        <v>309</v>
      </c>
      <c r="C125" s="124">
        <v>34</v>
      </c>
      <c r="D125" s="297">
        <v>751</v>
      </c>
      <c r="E125" s="414">
        <f t="shared" si="61"/>
        <v>34</v>
      </c>
      <c r="F125" s="414">
        <f t="shared" si="60"/>
        <v>751</v>
      </c>
      <c r="G125" s="414">
        <v>5</v>
      </c>
      <c r="H125" s="414">
        <f>0</f>
        <v>0</v>
      </c>
      <c r="I125" s="414">
        <f>0</f>
        <v>0</v>
      </c>
      <c r="J125" s="414">
        <f>0</f>
        <v>0</v>
      </c>
      <c r="K125" s="414">
        <f>0</f>
        <v>0</v>
      </c>
      <c r="L125" s="267">
        <v>1</v>
      </c>
      <c r="M125" s="414">
        <f t="shared" si="64"/>
        <v>170</v>
      </c>
      <c r="N125" s="414">
        <v>1</v>
      </c>
      <c r="O125" s="414">
        <f t="shared" ref="O125:O127" si="66">+G125*E125*N125</f>
        <v>170</v>
      </c>
      <c r="P125" s="414">
        <v>1</v>
      </c>
      <c r="Q125" s="582">
        <f t="shared" ref="Q125:Q127" si="67">+E125*G125*P125</f>
        <v>170</v>
      </c>
    </row>
    <row r="126" spans="2:18" x14ac:dyDescent="0.55000000000000004">
      <c r="B126" s="633" t="s">
        <v>310</v>
      </c>
      <c r="C126" s="124">
        <v>70</v>
      </c>
      <c r="D126" s="297">
        <v>1547</v>
      </c>
      <c r="E126" s="414">
        <f t="shared" si="61"/>
        <v>70</v>
      </c>
      <c r="F126" s="414">
        <f t="shared" si="60"/>
        <v>1547</v>
      </c>
      <c r="G126" s="414">
        <v>5</v>
      </c>
      <c r="H126" s="414">
        <f>0</f>
        <v>0</v>
      </c>
      <c r="I126" s="414">
        <f>0</f>
        <v>0</v>
      </c>
      <c r="J126" s="414">
        <f>0</f>
        <v>0</v>
      </c>
      <c r="K126" s="414">
        <f>0</f>
        <v>0</v>
      </c>
      <c r="L126" s="267">
        <v>1</v>
      </c>
      <c r="M126" s="414">
        <f t="shared" si="64"/>
        <v>350</v>
      </c>
      <c r="N126" s="414">
        <v>1</v>
      </c>
      <c r="O126" s="414">
        <f t="shared" si="66"/>
        <v>350</v>
      </c>
      <c r="P126" s="414">
        <v>1</v>
      </c>
      <c r="Q126" s="582">
        <f t="shared" si="67"/>
        <v>350</v>
      </c>
    </row>
    <row r="127" spans="2:18" ht="24.75" thickBot="1" x14ac:dyDescent="0.6">
      <c r="B127" s="107" t="s">
        <v>311</v>
      </c>
      <c r="C127" s="601">
        <v>7</v>
      </c>
      <c r="D127" s="602">
        <v>145</v>
      </c>
      <c r="E127" s="414">
        <f t="shared" si="61"/>
        <v>7</v>
      </c>
      <c r="F127" s="414">
        <f t="shared" si="60"/>
        <v>145</v>
      </c>
      <c r="G127" s="414">
        <v>5</v>
      </c>
      <c r="H127" s="414">
        <f>0</f>
        <v>0</v>
      </c>
      <c r="I127" s="414">
        <f>0</f>
        <v>0</v>
      </c>
      <c r="J127" s="414">
        <f>0</f>
        <v>0</v>
      </c>
      <c r="K127" s="414">
        <f>0</f>
        <v>0</v>
      </c>
      <c r="L127" s="267">
        <v>1</v>
      </c>
      <c r="M127" s="414">
        <f t="shared" si="64"/>
        <v>35</v>
      </c>
      <c r="N127" s="414">
        <v>1</v>
      </c>
      <c r="O127" s="414">
        <f t="shared" si="66"/>
        <v>35</v>
      </c>
      <c r="P127" s="414">
        <v>1</v>
      </c>
      <c r="Q127" s="582">
        <f t="shared" si="67"/>
        <v>35</v>
      </c>
    </row>
    <row r="128" spans="2:18" ht="27" thickBot="1" x14ac:dyDescent="0.75">
      <c r="B128" s="463" t="s">
        <v>324</v>
      </c>
      <c r="C128" s="600">
        <f>SUM(C121:C127)</f>
        <v>390</v>
      </c>
      <c r="D128" s="464">
        <f>SUM(D121:D127)</f>
        <v>8569</v>
      </c>
      <c r="E128" s="464">
        <f>SUM(E121:E127)</f>
        <v>390</v>
      </c>
      <c r="F128" s="464">
        <f>SUM(F121:F127)</f>
        <v>8569</v>
      </c>
      <c r="G128" s="599"/>
      <c r="H128" s="465">
        <f>0</f>
        <v>0</v>
      </c>
      <c r="I128" s="461">
        <f>0</f>
        <v>0</v>
      </c>
      <c r="J128" s="461">
        <f>SUM(J121:J127)</f>
        <v>0</v>
      </c>
      <c r="K128" s="461">
        <f>SUM(K121:K127)</f>
        <v>0</v>
      </c>
      <c r="L128" s="461">
        <f>0</f>
        <v>0</v>
      </c>
      <c r="M128" s="461">
        <f>SUM(M121:M127)</f>
        <v>1950</v>
      </c>
      <c r="N128" s="461">
        <f>0</f>
        <v>0</v>
      </c>
      <c r="O128" s="461">
        <f>SUM(O121:O127)</f>
        <v>1950</v>
      </c>
      <c r="P128" s="461">
        <f>0</f>
        <v>0</v>
      </c>
      <c r="Q128" s="462">
        <f>SUM(Q121:Q127)</f>
        <v>820</v>
      </c>
      <c r="R128" s="611">
        <f>O128+M128+Q128</f>
        <v>4720</v>
      </c>
    </row>
  </sheetData>
  <mergeCells count="36">
    <mergeCell ref="S3:AA3"/>
    <mergeCell ref="B18:Q18"/>
    <mergeCell ref="B1:Q1"/>
    <mergeCell ref="B9:Q9"/>
    <mergeCell ref="B10:Q10"/>
    <mergeCell ref="B17:Q17"/>
    <mergeCell ref="H3:K3"/>
    <mergeCell ref="B2:B4"/>
    <mergeCell ref="C2:C4"/>
    <mergeCell ref="D2:D4"/>
    <mergeCell ref="E2:E4"/>
    <mergeCell ref="F2:F4"/>
    <mergeCell ref="H2:Q2"/>
    <mergeCell ref="L3:Q3"/>
    <mergeCell ref="G2:G4"/>
    <mergeCell ref="B5:Q5"/>
    <mergeCell ref="B6:Q6"/>
    <mergeCell ref="B77:Q77"/>
    <mergeCell ref="B78:Q78"/>
    <mergeCell ref="B82:Q82"/>
    <mergeCell ref="B88:Q88"/>
    <mergeCell ref="B45:Q45"/>
    <mergeCell ref="B51:Q51"/>
    <mergeCell ref="B52:Q52"/>
    <mergeCell ref="B57:Q57"/>
    <mergeCell ref="B70:Q70"/>
    <mergeCell ref="B64:Q64"/>
    <mergeCell ref="B65:Q65"/>
    <mergeCell ref="B115:Q115"/>
    <mergeCell ref="B116:Q116"/>
    <mergeCell ref="B120:Q120"/>
    <mergeCell ref="B89:Q89"/>
    <mergeCell ref="B95:Q95"/>
    <mergeCell ref="B102:Q102"/>
    <mergeCell ref="B103:Q103"/>
    <mergeCell ref="B110:Q110"/>
  </mergeCells>
  <pageMargins left="0.17" right="0.23622047244094491" top="0.39370078740157483" bottom="0.7480314960629921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S10"/>
  <sheetViews>
    <sheetView zoomScale="80" zoomScaleNormal="80" workbookViewId="0">
      <pane ySplit="4" topLeftCell="A5" activePane="bottomLeft" state="frozen"/>
      <selection pane="bottomLeft" activeCell="K3" sqref="K3:S3"/>
    </sheetView>
  </sheetViews>
  <sheetFormatPr defaultRowHeight="24" x14ac:dyDescent="0.55000000000000004"/>
  <cols>
    <col min="1" max="1" width="0.875" customWidth="1"/>
    <col min="2" max="6" width="20.625" customWidth="1"/>
    <col min="7" max="7" width="20.625" style="150" customWidth="1"/>
    <col min="8" max="9" width="20.625" customWidth="1"/>
  </cols>
  <sheetData>
    <row r="1" spans="2:19" ht="33" x14ac:dyDescent="0.75">
      <c r="B1" s="1244" t="s">
        <v>342</v>
      </c>
      <c r="C1" s="1244"/>
      <c r="D1" s="1244"/>
      <c r="E1" s="1244"/>
      <c r="F1" s="1244"/>
      <c r="G1" s="1244"/>
      <c r="H1" s="1244"/>
      <c r="I1" s="1244"/>
    </row>
    <row r="2" spans="2:19" ht="33" x14ac:dyDescent="0.55000000000000004">
      <c r="B2" s="1248" t="s">
        <v>204</v>
      </c>
      <c r="C2" s="1248" t="s">
        <v>1</v>
      </c>
      <c r="D2" s="1248" t="s">
        <v>2</v>
      </c>
      <c r="E2" s="1249" t="s">
        <v>205</v>
      </c>
      <c r="F2" s="1247" t="s">
        <v>206</v>
      </c>
      <c r="G2" s="1246" t="s">
        <v>338</v>
      </c>
      <c r="H2" s="1247" t="s">
        <v>3</v>
      </c>
      <c r="I2" s="1247"/>
    </row>
    <row r="3" spans="2:19" ht="33" x14ac:dyDescent="0.55000000000000004">
      <c r="B3" s="1248"/>
      <c r="C3" s="1248"/>
      <c r="D3" s="1248"/>
      <c r="E3" s="1249"/>
      <c r="F3" s="1247"/>
      <c r="G3" s="1246"/>
      <c r="H3" s="1247" t="s">
        <v>22</v>
      </c>
      <c r="I3" s="1247"/>
      <c r="K3" s="1072" t="s">
        <v>421</v>
      </c>
      <c r="L3" s="1072"/>
      <c r="M3" s="1072"/>
      <c r="N3" s="1072"/>
      <c r="O3" s="1072"/>
      <c r="P3" s="1072"/>
      <c r="Q3" s="1072"/>
      <c r="R3" s="1072"/>
      <c r="S3" s="1072"/>
    </row>
    <row r="4" spans="2:19" ht="33" x14ac:dyDescent="0.75">
      <c r="B4" s="1248"/>
      <c r="C4" s="1248"/>
      <c r="D4" s="1248"/>
      <c r="E4" s="1249"/>
      <c r="F4" s="1247"/>
      <c r="G4" s="1246"/>
      <c r="H4" s="478" t="s">
        <v>339</v>
      </c>
      <c r="I4" s="479" t="s">
        <v>335</v>
      </c>
    </row>
    <row r="5" spans="2:19" ht="33" x14ac:dyDescent="0.75">
      <c r="B5" s="480" t="s">
        <v>320</v>
      </c>
      <c r="C5" s="481"/>
      <c r="D5" s="481"/>
      <c r="E5" s="481"/>
      <c r="F5" s="481"/>
      <c r="G5" s="482"/>
      <c r="H5" s="481"/>
      <c r="I5" s="481"/>
    </row>
    <row r="6" spans="2:19" ht="33" x14ac:dyDescent="0.75">
      <c r="B6" s="483" t="s">
        <v>218</v>
      </c>
      <c r="C6" s="484"/>
      <c r="D6" s="484"/>
      <c r="E6" s="484"/>
      <c r="F6" s="484"/>
      <c r="G6" s="485"/>
      <c r="H6" s="484"/>
      <c r="I6" s="484"/>
    </row>
    <row r="7" spans="2:19" ht="33" x14ac:dyDescent="0.75">
      <c r="B7" s="486" t="s">
        <v>183</v>
      </c>
      <c r="C7" s="487">
        <v>144</v>
      </c>
      <c r="D7" s="488">
        <v>3171</v>
      </c>
      <c r="E7" s="489">
        <v>0</v>
      </c>
      <c r="F7" s="489">
        <v>0</v>
      </c>
      <c r="G7" s="489">
        <v>5</v>
      </c>
      <c r="H7" s="487">
        <v>1</v>
      </c>
      <c r="I7" s="489">
        <f>+G7*C7*H7</f>
        <v>720</v>
      </c>
    </row>
    <row r="8" spans="2:19" ht="33" x14ac:dyDescent="0.75">
      <c r="B8" s="486" t="s">
        <v>184</v>
      </c>
      <c r="C8" s="487">
        <v>134</v>
      </c>
      <c r="D8" s="488">
        <v>2950</v>
      </c>
      <c r="E8" s="489">
        <v>0</v>
      </c>
      <c r="F8" s="489">
        <v>0</v>
      </c>
      <c r="G8" s="489">
        <v>5</v>
      </c>
      <c r="H8" s="487">
        <v>1</v>
      </c>
      <c r="I8" s="489">
        <f>+G8*C8* H8</f>
        <v>670</v>
      </c>
    </row>
    <row r="9" spans="2:19" s="493" customFormat="1" ht="30" customHeight="1" x14ac:dyDescent="0.55000000000000004">
      <c r="B9" s="490" t="s">
        <v>340</v>
      </c>
      <c r="C9" s="491">
        <f>SUM(C7:C8)</f>
        <v>278</v>
      </c>
      <c r="D9" s="492">
        <f>SUM(D7:D8)</f>
        <v>6121</v>
      </c>
      <c r="E9" s="492"/>
      <c r="F9" s="492"/>
      <c r="G9" s="492"/>
      <c r="H9" s="491"/>
      <c r="I9" s="494">
        <f>SUM(I7:I8)</f>
        <v>1390</v>
      </c>
    </row>
    <row r="10" spans="2:19" ht="35.25" x14ac:dyDescent="0.55000000000000004">
      <c r="B10" s="1245" t="s">
        <v>341</v>
      </c>
      <c r="C10" s="1245"/>
      <c r="D10" s="1245"/>
      <c r="E10" s="1245"/>
      <c r="F10" s="1245"/>
      <c r="G10" s="1245"/>
      <c r="H10" s="1245"/>
      <c r="I10" s="495">
        <f>I9</f>
        <v>1390</v>
      </c>
      <c r="L10" s="477"/>
    </row>
  </sheetData>
  <mergeCells count="11">
    <mergeCell ref="K3:S3"/>
    <mergeCell ref="B1:I1"/>
    <mergeCell ref="B10:H10"/>
    <mergeCell ref="G2:G4"/>
    <mergeCell ref="H2:I2"/>
    <mergeCell ref="H3:I3"/>
    <mergeCell ref="B2:B4"/>
    <mergeCell ref="C2:C4"/>
    <mergeCell ref="D2:D4"/>
    <mergeCell ref="E2:E4"/>
    <mergeCell ref="F2:F4"/>
  </mergeCells>
  <pageMargins left="0.25" right="0.25" top="0.63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T38"/>
  <sheetViews>
    <sheetView zoomScale="80" zoomScaleNormal="80" workbookViewId="0">
      <pane ySplit="3" topLeftCell="A28" activePane="bottomLeft" state="frozen"/>
      <selection pane="bottomLeft" activeCell="L4" sqref="L4:T4"/>
    </sheetView>
  </sheetViews>
  <sheetFormatPr defaultRowHeight="24" customHeight="1" x14ac:dyDescent="0.55000000000000004"/>
  <cols>
    <col min="1" max="1" width="25" customWidth="1"/>
    <col min="2" max="2" width="11.125" customWidth="1"/>
    <col min="3" max="3" width="11.125" style="641" customWidth="1"/>
    <col min="4" max="4" width="13.25" customWidth="1"/>
    <col min="5" max="8" width="11.25" customWidth="1"/>
    <col min="9" max="10" width="13.25" customWidth="1"/>
  </cols>
  <sheetData>
    <row r="1" spans="1:20" ht="31.5" customHeight="1" x14ac:dyDescent="0.55000000000000004">
      <c r="A1" s="1263" t="s">
        <v>356</v>
      </c>
      <c r="B1" s="1264"/>
      <c r="C1" s="1264"/>
      <c r="D1" s="1264"/>
      <c r="E1" s="1264"/>
      <c r="F1" s="1264"/>
      <c r="G1" s="1264"/>
      <c r="H1" s="1264"/>
      <c r="I1" s="1264"/>
      <c r="J1" s="1265"/>
    </row>
    <row r="2" spans="1:20" ht="24" customHeight="1" x14ac:dyDescent="0.55000000000000004">
      <c r="A2" s="1023" t="s">
        <v>204</v>
      </c>
      <c r="B2" s="1023" t="s">
        <v>1</v>
      </c>
      <c r="C2" s="1267" t="s">
        <v>2</v>
      </c>
      <c r="D2" s="1269" t="s">
        <v>347</v>
      </c>
      <c r="E2" s="1271" t="s">
        <v>348</v>
      </c>
      <c r="F2" s="1271" t="s">
        <v>349</v>
      </c>
      <c r="G2" s="1271" t="s">
        <v>350</v>
      </c>
      <c r="H2" s="1271" t="s">
        <v>351</v>
      </c>
      <c r="I2" s="1261" t="s">
        <v>34</v>
      </c>
      <c r="J2" s="1261" t="s">
        <v>352</v>
      </c>
    </row>
    <row r="3" spans="1:20" ht="24" customHeight="1" thickBot="1" x14ac:dyDescent="0.6">
      <c r="A3" s="1266"/>
      <c r="B3" s="1266"/>
      <c r="C3" s="1268"/>
      <c r="D3" s="1270"/>
      <c r="E3" s="1269"/>
      <c r="F3" s="1269"/>
      <c r="G3" s="1269"/>
      <c r="H3" s="1269"/>
      <c r="I3" s="1262"/>
      <c r="J3" s="1262"/>
    </row>
    <row r="4" spans="1:20" ht="24" customHeight="1" thickBot="1" x14ac:dyDescent="0.6">
      <c r="A4" s="1272" t="s">
        <v>233</v>
      </c>
      <c r="B4" s="1273"/>
      <c r="C4" s="1273"/>
      <c r="D4" s="1273"/>
      <c r="E4" s="1273"/>
      <c r="F4" s="1273"/>
      <c r="G4" s="1273"/>
      <c r="H4" s="1273"/>
      <c r="I4" s="1273"/>
      <c r="J4" s="1274"/>
      <c r="L4" s="1072" t="s">
        <v>422</v>
      </c>
      <c r="M4" s="1072"/>
      <c r="N4" s="1072"/>
      <c r="O4" s="1072"/>
      <c r="P4" s="1072"/>
      <c r="Q4" s="1072"/>
      <c r="R4" s="1072"/>
      <c r="S4" s="1072"/>
      <c r="T4" s="1072"/>
    </row>
    <row r="5" spans="1:20" ht="24" customHeight="1" x14ac:dyDescent="0.55000000000000004">
      <c r="A5" s="1259" t="s">
        <v>27</v>
      </c>
      <c r="B5" s="1259"/>
      <c r="C5" s="1259"/>
      <c r="D5" s="1259"/>
      <c r="E5" s="1259"/>
      <c r="F5" s="1259"/>
      <c r="G5" s="1259"/>
      <c r="H5" s="1259"/>
      <c r="I5" s="1259"/>
      <c r="J5" s="1259"/>
    </row>
    <row r="6" spans="1:20" ht="24" customHeight="1" x14ac:dyDescent="0.55000000000000004">
      <c r="A6" s="634" t="s">
        <v>168</v>
      </c>
      <c r="B6" s="634">
        <v>116</v>
      </c>
      <c r="C6" s="635">
        <v>2550</v>
      </c>
      <c r="D6" s="1250">
        <f>I11</f>
        <v>124</v>
      </c>
      <c r="E6" s="634">
        <f>ROUND(B6/10,0)</f>
        <v>12</v>
      </c>
      <c r="F6" s="634">
        <f>ROUND(B6/10,0)</f>
        <v>12</v>
      </c>
      <c r="G6" s="634"/>
      <c r="H6" s="634"/>
      <c r="I6" s="634">
        <f>SUM(E6:H6)</f>
        <v>24</v>
      </c>
      <c r="J6" s="634"/>
    </row>
    <row r="7" spans="1:20" ht="24" customHeight="1" x14ac:dyDescent="0.55000000000000004">
      <c r="A7" s="634" t="s">
        <v>169</v>
      </c>
      <c r="B7" s="634">
        <v>130</v>
      </c>
      <c r="C7" s="635">
        <v>2854</v>
      </c>
      <c r="D7" s="1250"/>
      <c r="E7" s="634">
        <f t="shared" ref="E7:E10" si="0">ROUND(B7/10,0)</f>
        <v>13</v>
      </c>
      <c r="F7" s="634">
        <f t="shared" ref="F7:F10" si="1">ROUND(B7/10,0)</f>
        <v>13</v>
      </c>
      <c r="G7" s="634"/>
      <c r="H7" s="634"/>
      <c r="I7" s="634">
        <f t="shared" ref="I7:I10" si="2">SUM(E7:H7)</f>
        <v>26</v>
      </c>
      <c r="J7" s="634"/>
    </row>
    <row r="8" spans="1:20" ht="24" customHeight="1" x14ac:dyDescent="0.55000000000000004">
      <c r="A8" s="634" t="s">
        <v>170</v>
      </c>
      <c r="B8" s="634">
        <v>141</v>
      </c>
      <c r="C8" s="635">
        <v>3111</v>
      </c>
      <c r="D8" s="1250"/>
      <c r="E8" s="634">
        <f t="shared" si="0"/>
        <v>14</v>
      </c>
      <c r="F8" s="634">
        <f t="shared" si="1"/>
        <v>14</v>
      </c>
      <c r="G8" s="634"/>
      <c r="H8" s="634"/>
      <c r="I8" s="634">
        <f t="shared" si="2"/>
        <v>28</v>
      </c>
      <c r="J8" s="634"/>
    </row>
    <row r="9" spans="1:20" ht="24" customHeight="1" x14ac:dyDescent="0.55000000000000004">
      <c r="A9" s="634" t="s">
        <v>172</v>
      </c>
      <c r="B9" s="634">
        <v>136</v>
      </c>
      <c r="C9" s="635">
        <v>2999</v>
      </c>
      <c r="D9" s="1250"/>
      <c r="E9" s="634">
        <f t="shared" si="0"/>
        <v>14</v>
      </c>
      <c r="F9" s="634">
        <f t="shared" si="1"/>
        <v>14</v>
      </c>
      <c r="G9" s="634"/>
      <c r="H9" s="634"/>
      <c r="I9" s="634">
        <f t="shared" si="2"/>
        <v>28</v>
      </c>
      <c r="J9" s="634"/>
    </row>
    <row r="10" spans="1:20" ht="24" customHeight="1" x14ac:dyDescent="0.55000000000000004">
      <c r="A10" s="634" t="s">
        <v>319</v>
      </c>
      <c r="B10" s="634">
        <v>90</v>
      </c>
      <c r="C10" s="635">
        <v>1970</v>
      </c>
      <c r="D10" s="1250"/>
      <c r="E10" s="634">
        <f t="shared" si="0"/>
        <v>9</v>
      </c>
      <c r="F10" s="634">
        <f t="shared" si="1"/>
        <v>9</v>
      </c>
      <c r="G10" s="634"/>
      <c r="H10" s="634"/>
      <c r="I10" s="634">
        <f t="shared" si="2"/>
        <v>18</v>
      </c>
      <c r="J10" s="634"/>
    </row>
    <row r="11" spans="1:20" ht="24" customHeight="1" thickBot="1" x14ac:dyDescent="0.6">
      <c r="A11" s="636" t="s">
        <v>353</v>
      </c>
      <c r="B11" s="636">
        <f>SUM(B6:B10)</f>
        <v>613</v>
      </c>
      <c r="C11" s="637">
        <f>SUM(C6:C10)</f>
        <v>13484</v>
      </c>
      <c r="D11" s="1250"/>
      <c r="E11" s="636">
        <f>SUM(E6:E10)</f>
        <v>62</v>
      </c>
      <c r="F11" s="636">
        <f>E11</f>
        <v>62</v>
      </c>
      <c r="G11" s="636">
        <f>0</f>
        <v>0</v>
      </c>
      <c r="H11" s="636">
        <f>0</f>
        <v>0</v>
      </c>
      <c r="I11" s="639">
        <f>SUM(I6:I10)</f>
        <v>124</v>
      </c>
      <c r="J11" s="636"/>
    </row>
    <row r="12" spans="1:20" ht="24" customHeight="1" x14ac:dyDescent="0.55000000000000004">
      <c r="A12" s="1251" t="s">
        <v>235</v>
      </c>
      <c r="B12" s="1252"/>
      <c r="C12" s="1252"/>
      <c r="D12" s="1252"/>
      <c r="E12" s="1252"/>
      <c r="F12" s="1252"/>
      <c r="G12" s="1252"/>
      <c r="H12" s="1252"/>
      <c r="I12" s="1252"/>
      <c r="J12" s="1253"/>
    </row>
    <row r="13" spans="1:20" ht="24" customHeight="1" x14ac:dyDescent="0.55000000000000004">
      <c r="A13" s="1258" t="s">
        <v>22</v>
      </c>
      <c r="B13" s="1258"/>
      <c r="C13" s="1258"/>
      <c r="D13" s="1258"/>
      <c r="E13" s="1258"/>
      <c r="F13" s="1258"/>
      <c r="G13" s="1258"/>
      <c r="H13" s="1258"/>
      <c r="I13" s="1258"/>
      <c r="J13" s="1258"/>
    </row>
    <row r="14" spans="1:20" ht="24" customHeight="1" x14ac:dyDescent="0.55000000000000004">
      <c r="A14" s="634" t="s">
        <v>178</v>
      </c>
      <c r="B14" s="634">
        <v>3</v>
      </c>
      <c r="C14" s="635">
        <v>61</v>
      </c>
      <c r="D14" s="1250">
        <f>I19</f>
        <v>124</v>
      </c>
      <c r="E14" s="634">
        <v>0</v>
      </c>
      <c r="F14" s="634">
        <v>0</v>
      </c>
      <c r="G14" s="634">
        <v>0</v>
      </c>
      <c r="H14" s="634">
        <v>0</v>
      </c>
      <c r="I14" s="634">
        <f>SUM(E14:H14)</f>
        <v>0</v>
      </c>
      <c r="J14" s="634"/>
    </row>
    <row r="15" spans="1:20" ht="24" customHeight="1" x14ac:dyDescent="0.55000000000000004">
      <c r="A15" s="634" t="s">
        <v>179</v>
      </c>
      <c r="B15" s="634">
        <v>8</v>
      </c>
      <c r="C15" s="635">
        <v>171</v>
      </c>
      <c r="D15" s="1250"/>
      <c r="E15" s="634">
        <v>1</v>
      </c>
      <c r="F15" s="634">
        <f t="shared" ref="F15:F18" si="3">ROUND(B15/10,0)</f>
        <v>1</v>
      </c>
      <c r="G15" s="634">
        <f t="shared" ref="G15:G18" si="4">ROUND(B15/10,0)</f>
        <v>1</v>
      </c>
      <c r="H15" s="634">
        <f t="shared" ref="H15:H18" si="5">ROUND(B15/10,0)</f>
        <v>1</v>
      </c>
      <c r="I15" s="634">
        <f t="shared" ref="I15:I18" si="6">SUM(E15:H15)</f>
        <v>4</v>
      </c>
      <c r="J15" s="634"/>
    </row>
    <row r="16" spans="1:20" ht="24" customHeight="1" x14ac:dyDescent="0.55000000000000004">
      <c r="A16" s="634" t="s">
        <v>180</v>
      </c>
      <c r="B16" s="634">
        <v>11</v>
      </c>
      <c r="C16" s="635">
        <v>241</v>
      </c>
      <c r="D16" s="1250"/>
      <c r="E16" s="634">
        <f>ROUND(B16/10,0)</f>
        <v>1</v>
      </c>
      <c r="F16" s="634">
        <f t="shared" si="3"/>
        <v>1</v>
      </c>
      <c r="G16" s="634">
        <f t="shared" si="4"/>
        <v>1</v>
      </c>
      <c r="H16" s="634">
        <f t="shared" si="5"/>
        <v>1</v>
      </c>
      <c r="I16" s="634">
        <f t="shared" si="6"/>
        <v>4</v>
      </c>
      <c r="J16" s="634"/>
    </row>
    <row r="17" spans="1:10" ht="24" customHeight="1" x14ac:dyDescent="0.55000000000000004">
      <c r="A17" s="634" t="s">
        <v>181</v>
      </c>
      <c r="B17" s="634">
        <v>140</v>
      </c>
      <c r="C17" s="635">
        <v>3070</v>
      </c>
      <c r="D17" s="1250"/>
      <c r="E17" s="634">
        <f>ROUND(B17/10,0)</f>
        <v>14</v>
      </c>
      <c r="F17" s="634">
        <f t="shared" si="3"/>
        <v>14</v>
      </c>
      <c r="G17" s="634">
        <f t="shared" si="4"/>
        <v>14</v>
      </c>
      <c r="H17" s="634">
        <f t="shared" si="5"/>
        <v>14</v>
      </c>
      <c r="I17" s="634">
        <f t="shared" si="6"/>
        <v>56</v>
      </c>
      <c r="J17" s="634"/>
    </row>
    <row r="18" spans="1:10" ht="24" customHeight="1" x14ac:dyDescent="0.55000000000000004">
      <c r="A18" s="634" t="s">
        <v>182</v>
      </c>
      <c r="B18" s="634">
        <v>149</v>
      </c>
      <c r="C18" s="635">
        <v>3270</v>
      </c>
      <c r="D18" s="1250"/>
      <c r="E18" s="634">
        <f>ROUND(B18/10,0)</f>
        <v>15</v>
      </c>
      <c r="F18" s="634">
        <f t="shared" si="3"/>
        <v>15</v>
      </c>
      <c r="G18" s="634">
        <f t="shared" si="4"/>
        <v>15</v>
      </c>
      <c r="H18" s="634">
        <f t="shared" si="5"/>
        <v>15</v>
      </c>
      <c r="I18" s="634">
        <f t="shared" si="6"/>
        <v>60</v>
      </c>
      <c r="J18" s="634"/>
    </row>
    <row r="19" spans="1:10" ht="24" customHeight="1" x14ac:dyDescent="0.55000000000000004">
      <c r="A19" s="643" t="s">
        <v>355</v>
      </c>
      <c r="B19" s="643">
        <f>SUM(B14:B18)</f>
        <v>311</v>
      </c>
      <c r="C19" s="644">
        <f>SUM(C14:C18)</f>
        <v>6813</v>
      </c>
      <c r="D19" s="1250"/>
      <c r="E19" s="643">
        <f>SUM(E14:E18)</f>
        <v>31</v>
      </c>
      <c r="F19" s="643">
        <f>SUM(F14:F18)</f>
        <v>31</v>
      </c>
      <c r="G19" s="643">
        <f>SUM(G14:G18)</f>
        <v>31</v>
      </c>
      <c r="H19" s="643">
        <f>SUM(H14:H18)</f>
        <v>31</v>
      </c>
      <c r="I19" s="645">
        <f>SUM(I14:I18)</f>
        <v>124</v>
      </c>
      <c r="J19" s="643"/>
    </row>
    <row r="20" spans="1:10" ht="24" customHeight="1" x14ac:dyDescent="0.55000000000000004">
      <c r="A20" s="1254" t="s">
        <v>27</v>
      </c>
      <c r="B20" s="1254"/>
      <c r="C20" s="1254"/>
      <c r="D20" s="1254"/>
      <c r="E20" s="1254"/>
      <c r="F20" s="1254"/>
      <c r="G20" s="1254"/>
      <c r="H20" s="1254"/>
      <c r="I20" s="1254"/>
      <c r="J20" s="1254"/>
    </row>
    <row r="21" spans="1:10" ht="24" customHeight="1" x14ac:dyDescent="0.55000000000000004">
      <c r="A21" s="646" t="s">
        <v>187</v>
      </c>
      <c r="B21" s="646">
        <v>99</v>
      </c>
      <c r="C21" s="647">
        <v>2167</v>
      </c>
      <c r="D21" s="1250">
        <f>I24</f>
        <v>136</v>
      </c>
      <c r="E21" s="634">
        <f>ROUND(B21/10,0)</f>
        <v>10</v>
      </c>
      <c r="F21" s="634">
        <f>ROUND(B21/10,0)</f>
        <v>10</v>
      </c>
      <c r="G21" s="634">
        <f>ROUND(B21/10,0)</f>
        <v>10</v>
      </c>
      <c r="H21" s="634">
        <f>ROUND(B21/10,0)</f>
        <v>10</v>
      </c>
      <c r="I21" s="634">
        <f>SUM(E21:H21)</f>
        <v>40</v>
      </c>
      <c r="J21" s="634"/>
    </row>
    <row r="22" spans="1:10" ht="24" customHeight="1" x14ac:dyDescent="0.55000000000000004">
      <c r="A22" s="648" t="s">
        <v>189</v>
      </c>
      <c r="B22" s="648">
        <v>105</v>
      </c>
      <c r="C22" s="649">
        <v>2320</v>
      </c>
      <c r="D22" s="1250"/>
      <c r="E22" s="634">
        <f>ROUND(B22/10,0)</f>
        <v>11</v>
      </c>
      <c r="F22" s="634">
        <f>ROUND(B22/10,0)</f>
        <v>11</v>
      </c>
      <c r="G22" s="634">
        <f>ROUND(B22/10,0)</f>
        <v>11</v>
      </c>
      <c r="H22" s="634">
        <f>ROUND(B22/10,0)</f>
        <v>11</v>
      </c>
      <c r="I22" s="634">
        <f>SUM(E22:H22)</f>
        <v>44</v>
      </c>
      <c r="J22" s="634"/>
    </row>
    <row r="23" spans="1:10" ht="24" customHeight="1" x14ac:dyDescent="0.55000000000000004">
      <c r="A23" s="650" t="s">
        <v>190</v>
      </c>
      <c r="B23" s="650">
        <v>130</v>
      </c>
      <c r="C23" s="651">
        <v>2865</v>
      </c>
      <c r="D23" s="1250"/>
      <c r="E23" s="634">
        <f>ROUND(B23/10,0)</f>
        <v>13</v>
      </c>
      <c r="F23" s="634">
        <f>ROUND(B23/10,0)</f>
        <v>13</v>
      </c>
      <c r="G23" s="634">
        <f>ROUND(B23/10,0)</f>
        <v>13</v>
      </c>
      <c r="H23" s="634">
        <f>ROUND(B23/10,0)</f>
        <v>13</v>
      </c>
      <c r="I23" s="634">
        <f>SUM(E23:H23)</f>
        <v>52</v>
      </c>
      <c r="J23" s="634"/>
    </row>
    <row r="24" spans="1:10" ht="24" customHeight="1" thickBot="1" x14ac:dyDescent="0.6">
      <c r="A24" s="636" t="s">
        <v>354</v>
      </c>
      <c r="B24" s="636">
        <f>SUM(B21:B23)</f>
        <v>334</v>
      </c>
      <c r="C24" s="642">
        <f>SUM(C21:C23)</f>
        <v>7352</v>
      </c>
      <c r="D24" s="1250"/>
      <c r="E24" s="636">
        <f>SUM(E21:E23)</f>
        <v>34</v>
      </c>
      <c r="F24" s="636">
        <f>SUM(F21:F23)</f>
        <v>34</v>
      </c>
      <c r="G24" s="636">
        <f>SUM(G21:G23)</f>
        <v>34</v>
      </c>
      <c r="H24" s="636">
        <f>SUM(H21:H23)</f>
        <v>34</v>
      </c>
      <c r="I24" s="639">
        <f>SUM(I21:I23)</f>
        <v>136</v>
      </c>
      <c r="J24" s="636"/>
    </row>
    <row r="25" spans="1:10" ht="24" customHeight="1" thickBot="1" x14ac:dyDescent="0.6">
      <c r="A25" s="1255" t="s">
        <v>320</v>
      </c>
      <c r="B25" s="1256"/>
      <c r="C25" s="1256"/>
      <c r="D25" s="1256"/>
      <c r="E25" s="1256"/>
      <c r="F25" s="1256"/>
      <c r="G25" s="1256"/>
      <c r="H25" s="1256"/>
      <c r="I25" s="1256"/>
      <c r="J25" s="1257"/>
    </row>
    <row r="26" spans="1:10" ht="24" customHeight="1" x14ac:dyDescent="0.55000000000000004">
      <c r="A26" s="1258" t="s">
        <v>22</v>
      </c>
      <c r="B26" s="1258"/>
      <c r="C26" s="1258"/>
      <c r="D26" s="1258"/>
      <c r="E26" s="1258"/>
      <c r="F26" s="1258"/>
      <c r="G26" s="1258"/>
      <c r="H26" s="1258"/>
      <c r="I26" s="1258"/>
      <c r="J26" s="1258"/>
    </row>
    <row r="27" spans="1:10" ht="24" customHeight="1" x14ac:dyDescent="0.55000000000000004">
      <c r="A27" s="634" t="s">
        <v>183</v>
      </c>
      <c r="B27" s="634">
        <v>144</v>
      </c>
      <c r="C27" s="635">
        <v>3171</v>
      </c>
      <c r="D27" s="1250">
        <f>I29</f>
        <v>108</v>
      </c>
      <c r="E27" s="634">
        <f>ROUND(B27/10,0)</f>
        <v>14</v>
      </c>
      <c r="F27" s="634">
        <f>ROUND(B27/10,0)</f>
        <v>14</v>
      </c>
      <c r="G27" s="634">
        <f>ROUND(B27/10,0)</f>
        <v>14</v>
      </c>
      <c r="H27" s="634">
        <f>ROUND(B27/10,0)</f>
        <v>14</v>
      </c>
      <c r="I27" s="634">
        <f>SUM(E27:H27)</f>
        <v>56</v>
      </c>
      <c r="J27" s="634"/>
    </row>
    <row r="28" spans="1:10" ht="24" customHeight="1" x14ac:dyDescent="0.55000000000000004">
      <c r="A28" s="634" t="s">
        <v>184</v>
      </c>
      <c r="B28" s="634">
        <v>134</v>
      </c>
      <c r="C28" s="635">
        <v>2950</v>
      </c>
      <c r="D28" s="1250"/>
      <c r="E28" s="634">
        <f>ROUND(B28/10,0)</f>
        <v>13</v>
      </c>
      <c r="F28" s="634">
        <f>ROUND(B28/10,0)</f>
        <v>13</v>
      </c>
      <c r="G28" s="634">
        <f>ROUND(B28/10,0)</f>
        <v>13</v>
      </c>
      <c r="H28" s="634">
        <f>ROUND(B28/10,0)</f>
        <v>13</v>
      </c>
      <c r="I28" s="634">
        <f>SUM(E28:H28)</f>
        <v>52</v>
      </c>
      <c r="J28" s="634"/>
    </row>
    <row r="29" spans="1:10" ht="24" customHeight="1" thickBot="1" x14ac:dyDescent="0.6">
      <c r="A29" s="643" t="s">
        <v>357</v>
      </c>
      <c r="B29" s="643">
        <f>SUM(B27:B28)</f>
        <v>278</v>
      </c>
      <c r="C29" s="644">
        <f>SUM(C27:C28)</f>
        <v>6121</v>
      </c>
      <c r="D29" s="1250"/>
      <c r="E29" s="643">
        <f>SUM(E27:E28)</f>
        <v>27</v>
      </c>
      <c r="F29" s="643">
        <f>SUM(F27:F28)</f>
        <v>27</v>
      </c>
      <c r="G29" s="643">
        <f>SUM(G27:G28)</f>
        <v>27</v>
      </c>
      <c r="H29" s="643">
        <f>SUM(H27:H28)</f>
        <v>27</v>
      </c>
      <c r="I29" s="645">
        <f>SUM(I27:I28)</f>
        <v>108</v>
      </c>
      <c r="J29" s="643"/>
    </row>
    <row r="30" spans="1:10" ht="24" customHeight="1" x14ac:dyDescent="0.55000000000000004">
      <c r="A30" s="1260" t="s">
        <v>27</v>
      </c>
      <c r="B30" s="1260"/>
      <c r="C30" s="1260"/>
      <c r="D30" s="1260"/>
      <c r="E30" s="1260"/>
      <c r="F30" s="1260"/>
      <c r="G30" s="1260"/>
      <c r="H30" s="1260"/>
      <c r="I30" s="1260"/>
      <c r="J30" s="1260"/>
    </row>
    <row r="31" spans="1:10" ht="24" customHeight="1" x14ac:dyDescent="0.55000000000000004">
      <c r="A31" s="640" t="s">
        <v>305</v>
      </c>
      <c r="B31" s="640">
        <v>86</v>
      </c>
      <c r="C31" s="635">
        <v>1892</v>
      </c>
      <c r="D31" s="1250">
        <f>I38</f>
        <v>156</v>
      </c>
      <c r="E31" s="634">
        <f>ROUND(B31/10,0)</f>
        <v>9</v>
      </c>
      <c r="F31" s="634">
        <f>ROUND(B31/10,0)</f>
        <v>9</v>
      </c>
      <c r="G31" s="634">
        <f>ROUND(B31/10,0)</f>
        <v>9</v>
      </c>
      <c r="H31" s="634">
        <f>ROUND(B31/10,0)</f>
        <v>9</v>
      </c>
      <c r="I31" s="634">
        <f>SUM(E31:H31)</f>
        <v>36</v>
      </c>
      <c r="J31" s="634"/>
    </row>
    <row r="32" spans="1:10" ht="24" customHeight="1" x14ac:dyDescent="0.55000000000000004">
      <c r="A32" s="640" t="s">
        <v>306</v>
      </c>
      <c r="B32" s="640">
        <v>77</v>
      </c>
      <c r="C32" s="635">
        <v>1686</v>
      </c>
      <c r="D32" s="1250"/>
      <c r="E32" s="634">
        <f t="shared" ref="E32:E37" si="7">ROUND(B32/10,0)</f>
        <v>8</v>
      </c>
      <c r="F32" s="634">
        <f t="shared" ref="F32:F36" si="8">ROUND(B32/10,0)</f>
        <v>8</v>
      </c>
      <c r="G32" s="634">
        <f t="shared" ref="G32:G37" si="9">ROUND(B32/10,0)</f>
        <v>8</v>
      </c>
      <c r="H32" s="634">
        <f t="shared" ref="H32:H37" si="10">ROUND(B32/10,0)</f>
        <v>8</v>
      </c>
      <c r="I32" s="634">
        <f t="shared" ref="I32:I37" si="11">SUM(E32:H32)</f>
        <v>32</v>
      </c>
      <c r="J32" s="634"/>
    </row>
    <row r="33" spans="1:10" ht="24" customHeight="1" x14ac:dyDescent="0.55000000000000004">
      <c r="A33" s="640" t="s">
        <v>307</v>
      </c>
      <c r="B33" s="640">
        <v>63</v>
      </c>
      <c r="C33" s="635">
        <v>1380</v>
      </c>
      <c r="D33" s="1250"/>
      <c r="E33" s="634">
        <f t="shared" si="7"/>
        <v>6</v>
      </c>
      <c r="F33" s="634">
        <f t="shared" si="8"/>
        <v>6</v>
      </c>
      <c r="G33" s="634">
        <f t="shared" si="9"/>
        <v>6</v>
      </c>
      <c r="H33" s="634">
        <f t="shared" si="10"/>
        <v>6</v>
      </c>
      <c r="I33" s="634">
        <f t="shared" si="11"/>
        <v>24</v>
      </c>
      <c r="J33" s="634"/>
    </row>
    <row r="34" spans="1:10" ht="24" customHeight="1" x14ac:dyDescent="0.55000000000000004">
      <c r="A34" s="640" t="s">
        <v>308</v>
      </c>
      <c r="B34" s="640">
        <v>53</v>
      </c>
      <c r="C34" s="635">
        <v>1168</v>
      </c>
      <c r="D34" s="1250"/>
      <c r="E34" s="634">
        <f t="shared" si="7"/>
        <v>5</v>
      </c>
      <c r="F34" s="634">
        <f t="shared" si="8"/>
        <v>5</v>
      </c>
      <c r="G34" s="634">
        <f t="shared" si="9"/>
        <v>5</v>
      </c>
      <c r="H34" s="634">
        <f t="shared" si="10"/>
        <v>5</v>
      </c>
      <c r="I34" s="634">
        <f t="shared" si="11"/>
        <v>20</v>
      </c>
      <c r="J34" s="634"/>
    </row>
    <row r="35" spans="1:10" ht="24" customHeight="1" x14ac:dyDescent="0.55000000000000004">
      <c r="A35" s="640" t="s">
        <v>309</v>
      </c>
      <c r="B35" s="640">
        <v>34</v>
      </c>
      <c r="C35" s="635">
        <v>751</v>
      </c>
      <c r="D35" s="1250"/>
      <c r="E35" s="634">
        <f t="shared" si="7"/>
        <v>3</v>
      </c>
      <c r="F35" s="634">
        <f t="shared" si="8"/>
        <v>3</v>
      </c>
      <c r="G35" s="634">
        <f t="shared" si="9"/>
        <v>3</v>
      </c>
      <c r="H35" s="634">
        <f t="shared" si="10"/>
        <v>3</v>
      </c>
      <c r="I35" s="634">
        <f t="shared" si="11"/>
        <v>12</v>
      </c>
      <c r="J35" s="634"/>
    </row>
    <row r="36" spans="1:10" ht="24" customHeight="1" x14ac:dyDescent="0.55000000000000004">
      <c r="A36" s="640" t="s">
        <v>310</v>
      </c>
      <c r="B36" s="640">
        <v>70</v>
      </c>
      <c r="C36" s="635">
        <v>1547</v>
      </c>
      <c r="D36" s="1250"/>
      <c r="E36" s="634">
        <f t="shared" si="7"/>
        <v>7</v>
      </c>
      <c r="F36" s="634">
        <f t="shared" si="8"/>
        <v>7</v>
      </c>
      <c r="G36" s="634">
        <f t="shared" si="9"/>
        <v>7</v>
      </c>
      <c r="H36" s="634">
        <f t="shared" si="10"/>
        <v>7</v>
      </c>
      <c r="I36" s="634">
        <f t="shared" si="11"/>
        <v>28</v>
      </c>
      <c r="J36" s="634"/>
    </row>
    <row r="37" spans="1:10" ht="24" customHeight="1" x14ac:dyDescent="0.55000000000000004">
      <c r="A37" s="640" t="s">
        <v>311</v>
      </c>
      <c r="B37" s="640">
        <v>7</v>
      </c>
      <c r="C37" s="635">
        <v>145</v>
      </c>
      <c r="D37" s="1250"/>
      <c r="E37" s="634">
        <f t="shared" si="7"/>
        <v>1</v>
      </c>
      <c r="F37" s="634">
        <f>ROUND(B37/10,0)</f>
        <v>1</v>
      </c>
      <c r="G37" s="634">
        <f t="shared" si="9"/>
        <v>1</v>
      </c>
      <c r="H37" s="634">
        <f t="shared" si="10"/>
        <v>1</v>
      </c>
      <c r="I37" s="634">
        <f t="shared" si="11"/>
        <v>4</v>
      </c>
      <c r="J37" s="634"/>
    </row>
    <row r="38" spans="1:10" ht="24" customHeight="1" x14ac:dyDescent="0.55000000000000004">
      <c r="A38" s="636" t="s">
        <v>358</v>
      </c>
      <c r="B38" s="636">
        <f>SUM(B31:B37)</f>
        <v>390</v>
      </c>
      <c r="C38" s="637">
        <f>SUM(C31:C37)</f>
        <v>8569</v>
      </c>
      <c r="D38" s="1250"/>
      <c r="E38" s="636">
        <f>SUM(E31:E37)</f>
        <v>39</v>
      </c>
      <c r="F38" s="636">
        <f>SUM(F31:F37)</f>
        <v>39</v>
      </c>
      <c r="G38" s="636">
        <f>SUM(G31:G37)</f>
        <v>39</v>
      </c>
      <c r="H38" s="636">
        <f>SUM(H31:H37)</f>
        <v>39</v>
      </c>
      <c r="I38" s="639">
        <f>SUM(I31:I37)</f>
        <v>156</v>
      </c>
      <c r="J38" s="636"/>
    </row>
  </sheetData>
  <mergeCells count="25">
    <mergeCell ref="L4:T4"/>
    <mergeCell ref="J2:J3"/>
    <mergeCell ref="A1:J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A4:J4"/>
    <mergeCell ref="A5:J5"/>
    <mergeCell ref="D6:D11"/>
    <mergeCell ref="A26:J26"/>
    <mergeCell ref="D27:D29"/>
    <mergeCell ref="A30:J30"/>
    <mergeCell ref="D31:D38"/>
    <mergeCell ref="A12:J12"/>
    <mergeCell ref="A20:J20"/>
    <mergeCell ref="D21:D24"/>
    <mergeCell ref="A25:J25"/>
    <mergeCell ref="A13:J13"/>
    <mergeCell ref="D14:D1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R38"/>
  <sheetViews>
    <sheetView zoomScale="80" zoomScaleNormal="80" workbookViewId="0">
      <pane ySplit="3" topLeftCell="A4" activePane="bottomLeft" state="frozen"/>
      <selection pane="bottomLeft" activeCell="J12" sqref="J12"/>
    </sheetView>
  </sheetViews>
  <sheetFormatPr defaultRowHeight="24" customHeight="1" x14ac:dyDescent="0.55000000000000004"/>
  <cols>
    <col min="1" max="1" width="25" customWidth="1"/>
    <col min="2" max="2" width="11.125" customWidth="1"/>
    <col min="3" max="4" width="11.125" style="641" customWidth="1"/>
    <col min="5" max="5" width="18.25" style="641" bestFit="1" customWidth="1"/>
    <col min="6" max="6" width="11.875" style="666" customWidth="1"/>
    <col min="7" max="7" width="15.25" customWidth="1"/>
  </cols>
  <sheetData>
    <row r="1" spans="1:18" ht="24" customHeight="1" x14ac:dyDescent="0.55000000000000004">
      <c r="A1" s="1263" t="s">
        <v>365</v>
      </c>
      <c r="B1" s="1264"/>
      <c r="C1" s="1264"/>
      <c r="D1" s="1264"/>
      <c r="E1" s="1264"/>
      <c r="F1" s="1264"/>
      <c r="G1" s="1264"/>
      <c r="I1" t="s">
        <v>359</v>
      </c>
    </row>
    <row r="2" spans="1:18" ht="24" customHeight="1" x14ac:dyDescent="0.55000000000000004">
      <c r="A2" s="1023" t="s">
        <v>204</v>
      </c>
      <c r="B2" s="1023" t="s">
        <v>1</v>
      </c>
      <c r="C2" s="1267" t="s">
        <v>2</v>
      </c>
      <c r="D2" s="1268" t="s">
        <v>360</v>
      </c>
      <c r="E2" s="652" t="s">
        <v>367</v>
      </c>
      <c r="F2" s="1282" t="s">
        <v>368</v>
      </c>
      <c r="G2" s="1261" t="s">
        <v>361</v>
      </c>
    </row>
    <row r="3" spans="1:18" ht="24" customHeight="1" thickBot="1" x14ac:dyDescent="0.6">
      <c r="A3" s="1266"/>
      <c r="B3" s="1266"/>
      <c r="C3" s="1268"/>
      <c r="D3" s="1281"/>
      <c r="E3" s="653" t="s">
        <v>362</v>
      </c>
      <c r="F3" s="1283"/>
      <c r="G3" s="1262"/>
    </row>
    <row r="4" spans="1:18" ht="24" customHeight="1" thickBot="1" x14ac:dyDescent="0.6">
      <c r="A4" s="1272" t="s">
        <v>233</v>
      </c>
      <c r="B4" s="1273"/>
      <c r="C4" s="1273"/>
      <c r="D4" s="1273"/>
      <c r="E4" s="1273"/>
      <c r="F4" s="1273"/>
      <c r="G4" s="1274"/>
      <c r="J4" s="1072" t="s">
        <v>423</v>
      </c>
      <c r="K4" s="1072"/>
      <c r="L4" s="1072"/>
      <c r="M4" s="1072"/>
      <c r="N4" s="1072"/>
      <c r="O4" s="1072"/>
      <c r="P4" s="1072"/>
      <c r="Q4" s="1072"/>
      <c r="R4" s="1072"/>
    </row>
    <row r="5" spans="1:18" ht="24" customHeight="1" x14ac:dyDescent="0.55000000000000004">
      <c r="A5" s="1259" t="s">
        <v>27</v>
      </c>
      <c r="B5" s="1259"/>
      <c r="C5" s="1259"/>
      <c r="D5" s="1259"/>
      <c r="E5" s="1259"/>
      <c r="F5" s="1259"/>
      <c r="G5" s="1259"/>
      <c r="K5" s="1284" t="s">
        <v>424</v>
      </c>
      <c r="L5" s="1284"/>
      <c r="M5" s="1284"/>
      <c r="N5" s="1284"/>
      <c r="O5" s="1284"/>
      <c r="P5" s="1284"/>
    </row>
    <row r="6" spans="1:18" ht="24" customHeight="1" x14ac:dyDescent="0.55000000000000004">
      <c r="A6" s="634" t="s">
        <v>168</v>
      </c>
      <c r="B6" s="634">
        <v>116</v>
      </c>
      <c r="C6" s="635">
        <v>2550</v>
      </c>
      <c r="D6" s="1278" t="s">
        <v>363</v>
      </c>
      <c r="E6" s="654">
        <f>ROUND(C6*$E$3,0)</f>
        <v>25500</v>
      </c>
      <c r="F6" s="635">
        <f>ROUND(E6*D6/1000,0)</f>
        <v>612</v>
      </c>
      <c r="G6" s="634"/>
      <c r="H6" s="655">
        <f t="shared" ref="H6:H11" si="0">ROUND(E6/1000,0)</f>
        <v>26</v>
      </c>
      <c r="I6" t="s">
        <v>364</v>
      </c>
      <c r="K6" s="610"/>
      <c r="L6" s="656"/>
      <c r="M6" s="150"/>
    </row>
    <row r="7" spans="1:18" ht="24" customHeight="1" x14ac:dyDescent="0.55000000000000004">
      <c r="A7" s="634" t="s">
        <v>169</v>
      </c>
      <c r="B7" s="634">
        <v>130</v>
      </c>
      <c r="C7" s="635">
        <v>2854</v>
      </c>
      <c r="D7" s="1279"/>
      <c r="E7" s="654">
        <f>ROUND(C7*$E$3,0)</f>
        <v>28540</v>
      </c>
      <c r="F7" s="635">
        <f>ROUND(E7*D6/1000,0)</f>
        <v>685</v>
      </c>
      <c r="G7" s="634"/>
      <c r="H7" s="655">
        <f t="shared" si="0"/>
        <v>29</v>
      </c>
      <c r="I7" t="s">
        <v>364</v>
      </c>
      <c r="K7" s="610"/>
    </row>
    <row r="8" spans="1:18" ht="24" customHeight="1" x14ac:dyDescent="0.55000000000000004">
      <c r="A8" s="634" t="s">
        <v>170</v>
      </c>
      <c r="B8" s="634">
        <v>141</v>
      </c>
      <c r="C8" s="635">
        <v>3111</v>
      </c>
      <c r="D8" s="1279"/>
      <c r="E8" s="654">
        <f t="shared" ref="E8" si="1">ROUND(C8*$E$3,0)</f>
        <v>31110</v>
      </c>
      <c r="F8" s="635">
        <f>ROUND(E8*D6/1000,0)</f>
        <v>747</v>
      </c>
      <c r="G8" s="634"/>
      <c r="H8" s="655">
        <f t="shared" si="0"/>
        <v>31</v>
      </c>
      <c r="I8" t="s">
        <v>364</v>
      </c>
      <c r="K8" s="610"/>
    </row>
    <row r="9" spans="1:18" ht="24" customHeight="1" x14ac:dyDescent="0.55000000000000004">
      <c r="A9" s="634" t="s">
        <v>172</v>
      </c>
      <c r="B9" s="634">
        <v>136</v>
      </c>
      <c r="C9" s="635">
        <v>2999</v>
      </c>
      <c r="D9" s="1279"/>
      <c r="E9" s="654">
        <f>ROUND(C9*$E$3,0)</f>
        <v>29990</v>
      </c>
      <c r="F9" s="635">
        <f>ROUND(E9*D6/1000,0)</f>
        <v>720</v>
      </c>
      <c r="G9" s="634"/>
      <c r="H9" s="655">
        <f t="shared" si="0"/>
        <v>30</v>
      </c>
      <c r="I9" t="s">
        <v>364</v>
      </c>
    </row>
    <row r="10" spans="1:18" ht="24" customHeight="1" x14ac:dyDescent="0.55000000000000004">
      <c r="A10" s="634" t="s">
        <v>319</v>
      </c>
      <c r="B10" s="634">
        <v>90</v>
      </c>
      <c r="C10" s="635">
        <v>1970</v>
      </c>
      <c r="D10" s="1279"/>
      <c r="E10" s="654">
        <f>ROUND(C10*$E$3,0)</f>
        <v>19700</v>
      </c>
      <c r="F10" s="635">
        <f>ROUND(E10*D6/1000,0)</f>
        <v>473</v>
      </c>
      <c r="G10" s="634"/>
      <c r="H10" s="655">
        <f t="shared" si="0"/>
        <v>20</v>
      </c>
      <c r="I10" t="s">
        <v>364</v>
      </c>
    </row>
    <row r="11" spans="1:18" ht="24" customHeight="1" thickBot="1" x14ac:dyDescent="0.6">
      <c r="A11" s="636" t="s">
        <v>366</v>
      </c>
      <c r="B11" s="636">
        <f>SUM(B6:B10)</f>
        <v>613</v>
      </c>
      <c r="C11" s="637">
        <f>SUM(C6:C10)</f>
        <v>13484</v>
      </c>
      <c r="D11" s="1279"/>
      <c r="E11" s="637">
        <f>SUM(E6:E10)</f>
        <v>134840</v>
      </c>
      <c r="F11" s="657">
        <f>SUM(F6:F10)</f>
        <v>3237</v>
      </c>
      <c r="G11" s="636"/>
      <c r="H11" s="658">
        <f t="shared" si="0"/>
        <v>135</v>
      </c>
      <c r="I11" s="659" t="s">
        <v>364</v>
      </c>
    </row>
    <row r="12" spans="1:18" ht="24" customHeight="1" x14ac:dyDescent="0.55000000000000004">
      <c r="A12" s="1251" t="s">
        <v>235</v>
      </c>
      <c r="B12" s="1252"/>
      <c r="C12" s="1252"/>
      <c r="D12" s="1252"/>
      <c r="E12" s="1252"/>
      <c r="F12" s="1252"/>
      <c r="G12" s="1253"/>
    </row>
    <row r="13" spans="1:18" ht="24" customHeight="1" x14ac:dyDescent="0.55000000000000004">
      <c r="A13" s="1258" t="s">
        <v>22</v>
      </c>
      <c r="B13" s="1258"/>
      <c r="C13" s="1258"/>
      <c r="D13" s="1258"/>
      <c r="E13" s="1258"/>
      <c r="F13" s="1258"/>
      <c r="G13" s="1258"/>
    </row>
    <row r="14" spans="1:18" ht="24" customHeight="1" x14ac:dyDescent="0.55000000000000004">
      <c r="A14" s="634" t="s">
        <v>178</v>
      </c>
      <c r="B14" s="634">
        <v>3</v>
      </c>
      <c r="C14" s="635">
        <v>61</v>
      </c>
      <c r="D14" s="1278">
        <v>24</v>
      </c>
      <c r="E14" s="654">
        <f>ROUND(C14*$E$3,0)</f>
        <v>610</v>
      </c>
      <c r="F14" s="635">
        <f>ROUND(E14*D14/1000,0)</f>
        <v>15</v>
      </c>
      <c r="G14" s="634"/>
      <c r="H14" s="655">
        <f>ROUND(E14/1000,0)</f>
        <v>1</v>
      </c>
      <c r="I14" t="s">
        <v>364</v>
      </c>
    </row>
    <row r="15" spans="1:18" ht="24" customHeight="1" x14ac:dyDescent="0.55000000000000004">
      <c r="A15" s="634" t="s">
        <v>179</v>
      </c>
      <c r="B15" s="634">
        <v>8</v>
      </c>
      <c r="C15" s="635">
        <v>171</v>
      </c>
      <c r="D15" s="1279"/>
      <c r="E15" s="654">
        <f>ROUND(C15*$E$3,0)</f>
        <v>1710</v>
      </c>
      <c r="F15" s="635">
        <f>ROUND(E15*D14/1000,0)</f>
        <v>41</v>
      </c>
      <c r="G15" s="634"/>
      <c r="H15" s="655">
        <f>ROUND(E15/1000,0)</f>
        <v>2</v>
      </c>
      <c r="I15" t="s">
        <v>364</v>
      </c>
    </row>
    <row r="16" spans="1:18" ht="24" customHeight="1" x14ac:dyDescent="0.55000000000000004">
      <c r="A16" s="634" t="s">
        <v>180</v>
      </c>
      <c r="B16" s="634">
        <v>11</v>
      </c>
      <c r="C16" s="635">
        <v>241</v>
      </c>
      <c r="D16" s="1279"/>
      <c r="E16" s="654">
        <f>ROUND(C16*$E$3,0)</f>
        <v>2410</v>
      </c>
      <c r="F16" s="635">
        <f>ROUND(E16*D14/1000,0)</f>
        <v>58</v>
      </c>
      <c r="G16" s="634"/>
      <c r="H16" s="655">
        <f t="shared" ref="H16:H17" si="2">ROUND(E16/1000,0)</f>
        <v>2</v>
      </c>
      <c r="I16" t="s">
        <v>364</v>
      </c>
    </row>
    <row r="17" spans="1:9" ht="24" customHeight="1" x14ac:dyDescent="0.55000000000000004">
      <c r="A17" s="634" t="s">
        <v>181</v>
      </c>
      <c r="B17" s="634">
        <v>140</v>
      </c>
      <c r="C17" s="635">
        <v>3070</v>
      </c>
      <c r="D17" s="1279"/>
      <c r="E17" s="654">
        <f t="shared" ref="E17:E18" si="3">ROUND(C17*$E$3,0)</f>
        <v>30700</v>
      </c>
      <c r="F17" s="635">
        <f>ROUND(E17*D14/1000,0)</f>
        <v>737</v>
      </c>
      <c r="G17" s="634"/>
      <c r="H17" s="655">
        <f t="shared" si="2"/>
        <v>31</v>
      </c>
      <c r="I17" t="s">
        <v>364</v>
      </c>
    </row>
    <row r="18" spans="1:9" ht="24" customHeight="1" x14ac:dyDescent="0.55000000000000004">
      <c r="A18" s="646" t="s">
        <v>182</v>
      </c>
      <c r="B18" s="646">
        <v>149</v>
      </c>
      <c r="C18" s="647">
        <v>3270</v>
      </c>
      <c r="D18" s="1279"/>
      <c r="E18" s="667">
        <f t="shared" si="3"/>
        <v>32700</v>
      </c>
      <c r="F18" s="635">
        <f>ROUND(E18*D14/1000,0)</f>
        <v>785</v>
      </c>
      <c r="G18" s="634"/>
      <c r="H18" s="655">
        <f>ROUND(E18/1000,0)</f>
        <v>33</v>
      </c>
      <c r="I18" t="s">
        <v>364</v>
      </c>
    </row>
    <row r="19" spans="1:9" ht="24" customHeight="1" x14ac:dyDescent="0.55000000000000004">
      <c r="A19" s="643" t="s">
        <v>355</v>
      </c>
      <c r="B19" s="643">
        <f>SUM(B14:B18)</f>
        <v>311</v>
      </c>
      <c r="C19" s="669">
        <f>SUM(C14:C18)</f>
        <v>6813</v>
      </c>
      <c r="D19" s="670"/>
      <c r="E19" s="671">
        <f>SUM(E14:E18)</f>
        <v>68130</v>
      </c>
      <c r="F19" s="668">
        <f>SUM(F14:F18)</f>
        <v>1636</v>
      </c>
      <c r="G19" s="638"/>
      <c r="H19" s="658">
        <f>ROUND(E19/1000,0)</f>
        <v>68</v>
      </c>
      <c r="I19" s="659" t="s">
        <v>364</v>
      </c>
    </row>
    <row r="20" spans="1:9" ht="24" customHeight="1" x14ac:dyDescent="0.55000000000000004">
      <c r="A20" s="1254" t="s">
        <v>27</v>
      </c>
      <c r="B20" s="1254"/>
      <c r="C20" s="1254"/>
      <c r="D20" s="1254"/>
      <c r="E20" s="1254"/>
      <c r="F20" s="1254"/>
      <c r="G20" s="1254"/>
    </row>
    <row r="21" spans="1:9" ht="24" customHeight="1" x14ac:dyDescent="0.55000000000000004">
      <c r="A21" s="648" t="s">
        <v>187</v>
      </c>
      <c r="B21" s="648">
        <v>99</v>
      </c>
      <c r="C21" s="649">
        <v>2167</v>
      </c>
      <c r="D21" s="1278" t="s">
        <v>363</v>
      </c>
      <c r="E21" s="654">
        <f>ROUND(C21*$E$3,0)</f>
        <v>21670</v>
      </c>
      <c r="F21" s="635">
        <f>ROUND(E21*D21/1000,0)</f>
        <v>520</v>
      </c>
      <c r="G21" s="646"/>
      <c r="H21" s="655">
        <f>ROUND(E21/1000,0)</f>
        <v>22</v>
      </c>
      <c r="I21" t="s">
        <v>364</v>
      </c>
    </row>
    <row r="22" spans="1:9" ht="24" customHeight="1" x14ac:dyDescent="0.55000000000000004">
      <c r="A22" s="646" t="s">
        <v>189</v>
      </c>
      <c r="B22" s="646">
        <v>105</v>
      </c>
      <c r="C22" s="647">
        <v>2320</v>
      </c>
      <c r="D22" s="1279"/>
      <c r="E22" s="654">
        <f>ROUND(C22*$E$3,0)</f>
        <v>23200</v>
      </c>
      <c r="F22" s="635">
        <f>ROUND(E22*D21/1000,0)</f>
        <v>557</v>
      </c>
      <c r="G22" s="646"/>
      <c r="H22" s="655">
        <f>ROUND(E22/1000,0)</f>
        <v>23</v>
      </c>
      <c r="I22" t="s">
        <v>364</v>
      </c>
    </row>
    <row r="23" spans="1:9" ht="24" customHeight="1" x14ac:dyDescent="0.55000000000000004">
      <c r="A23" s="646" t="s">
        <v>190</v>
      </c>
      <c r="B23" s="646">
        <v>130</v>
      </c>
      <c r="C23" s="647">
        <v>2865</v>
      </c>
      <c r="D23" s="1280"/>
      <c r="E23" s="667">
        <f>ROUND(C23*$E$3,0)</f>
        <v>28650</v>
      </c>
      <c r="F23" s="647">
        <f>ROUND(E23*D21/1000,0)</f>
        <v>688</v>
      </c>
      <c r="G23" s="646"/>
      <c r="H23" s="655">
        <f>ROUND(E23/1000,0)</f>
        <v>29</v>
      </c>
      <c r="I23" t="s">
        <v>364</v>
      </c>
    </row>
    <row r="24" spans="1:9" ht="24" customHeight="1" thickBot="1" x14ac:dyDescent="0.6">
      <c r="A24" s="636" t="s">
        <v>354</v>
      </c>
      <c r="B24" s="636">
        <f>SUM(B21:B23)</f>
        <v>334</v>
      </c>
      <c r="C24" s="657">
        <f>SUM(C21:C23)</f>
        <v>7352</v>
      </c>
      <c r="D24" s="672"/>
      <c r="E24" s="637">
        <f>SUM(E21:E23)</f>
        <v>73520</v>
      </c>
      <c r="F24" s="660">
        <f>SUM(F21:F23)</f>
        <v>1765</v>
      </c>
      <c r="G24" s="636"/>
      <c r="H24" s="658">
        <f>ROUND(E24/1000,0)</f>
        <v>74</v>
      </c>
      <c r="I24" s="659" t="s">
        <v>364</v>
      </c>
    </row>
    <row r="25" spans="1:9" ht="24" customHeight="1" x14ac:dyDescent="0.55000000000000004">
      <c r="A25" s="1251" t="s">
        <v>320</v>
      </c>
      <c r="B25" s="1252"/>
      <c r="C25" s="1252"/>
      <c r="D25" s="1252"/>
      <c r="E25" s="1252"/>
      <c r="F25" s="1252"/>
      <c r="G25" s="1253"/>
    </row>
    <row r="26" spans="1:9" ht="24" customHeight="1" x14ac:dyDescent="0.55000000000000004">
      <c r="A26" s="1258" t="s">
        <v>22</v>
      </c>
      <c r="B26" s="1258"/>
      <c r="C26" s="1258"/>
      <c r="D26" s="1258"/>
      <c r="E26" s="1258"/>
      <c r="F26" s="1258"/>
      <c r="G26" s="1258"/>
    </row>
    <row r="27" spans="1:9" ht="24" customHeight="1" x14ac:dyDescent="0.55000000000000004">
      <c r="A27" s="634" t="s">
        <v>183</v>
      </c>
      <c r="B27" s="634">
        <v>144</v>
      </c>
      <c r="C27" s="635">
        <v>3171</v>
      </c>
      <c r="D27" s="1278" t="s">
        <v>363</v>
      </c>
      <c r="E27" s="654">
        <f>ROUND(C27*$E$3,0)</f>
        <v>31710</v>
      </c>
      <c r="F27" s="635">
        <f>ROUND(E27*$D$27/1000,0)</f>
        <v>761</v>
      </c>
      <c r="G27" s="634"/>
      <c r="H27" s="655">
        <f>ROUND(E27/1000,0)</f>
        <v>32</v>
      </c>
      <c r="I27" t="s">
        <v>364</v>
      </c>
    </row>
    <row r="28" spans="1:9" ht="24" customHeight="1" x14ac:dyDescent="0.55000000000000004">
      <c r="A28" s="634" t="s">
        <v>184</v>
      </c>
      <c r="B28" s="634">
        <v>134</v>
      </c>
      <c r="C28" s="635">
        <v>2950</v>
      </c>
      <c r="D28" s="1279"/>
      <c r="E28" s="654">
        <f>ROUND(C28*$E$3,0)</f>
        <v>29500</v>
      </c>
      <c r="F28" s="635">
        <f>ROUND(E28*$D$27/1000,0)</f>
        <v>708</v>
      </c>
      <c r="G28" s="634"/>
      <c r="H28" s="655">
        <f>ROUND(E28/1000,0)</f>
        <v>30</v>
      </c>
      <c r="I28" t="s">
        <v>364</v>
      </c>
    </row>
    <row r="29" spans="1:9" ht="24" customHeight="1" x14ac:dyDescent="0.55000000000000004">
      <c r="A29" s="643" t="s">
        <v>369</v>
      </c>
      <c r="B29" s="643">
        <f>SUM(B27:B28)</f>
        <v>278</v>
      </c>
      <c r="C29" s="644">
        <f>SUM(C27:C28)</f>
        <v>6121</v>
      </c>
      <c r="D29" s="673"/>
      <c r="E29" s="644">
        <f>SUM(E27:E28)</f>
        <v>61210</v>
      </c>
      <c r="F29" s="665">
        <f>SUM(F27:F28)</f>
        <v>1469</v>
      </c>
      <c r="G29" s="643"/>
      <c r="H29" s="658">
        <f>ROUND(E29/1000,0)</f>
        <v>61</v>
      </c>
      <c r="I29" s="659" t="s">
        <v>364</v>
      </c>
    </row>
    <row r="30" spans="1:9" ht="24" customHeight="1" x14ac:dyDescent="0.55000000000000004">
      <c r="A30" s="1254" t="s">
        <v>27</v>
      </c>
      <c r="B30" s="1254"/>
      <c r="C30" s="1254"/>
      <c r="D30" s="1254"/>
      <c r="E30" s="1254"/>
      <c r="F30" s="1254"/>
      <c r="G30" s="1254"/>
    </row>
    <row r="31" spans="1:9" ht="24" customHeight="1" x14ac:dyDescent="0.55000000000000004">
      <c r="A31" s="661" t="s">
        <v>305</v>
      </c>
      <c r="B31" s="662">
        <v>86</v>
      </c>
      <c r="C31" s="662">
        <v>1892</v>
      </c>
      <c r="D31" s="1275">
        <v>24</v>
      </c>
      <c r="E31" s="654">
        <f>ROUND(C31*$E$3,0)</f>
        <v>18920</v>
      </c>
      <c r="F31" s="651">
        <f t="shared" ref="F31:F37" si="4">ROUND(E31*$D$31/1000,0)</f>
        <v>454</v>
      </c>
      <c r="G31" s="661"/>
      <c r="H31" s="655">
        <f t="shared" ref="H31:H37" si="5">ROUND(E31/1000,0)</f>
        <v>19</v>
      </c>
      <c r="I31" t="s">
        <v>364</v>
      </c>
    </row>
    <row r="32" spans="1:9" ht="24" customHeight="1" x14ac:dyDescent="0.55000000000000004">
      <c r="A32" s="661" t="s">
        <v>306</v>
      </c>
      <c r="B32" s="662">
        <v>77</v>
      </c>
      <c r="C32" s="662">
        <v>1686</v>
      </c>
      <c r="D32" s="1276"/>
      <c r="E32" s="654">
        <f t="shared" ref="E32:E37" si="6">ROUND(C32*$E$3,0)</f>
        <v>16860</v>
      </c>
      <c r="F32" s="651">
        <f t="shared" si="4"/>
        <v>405</v>
      </c>
      <c r="G32" s="661"/>
      <c r="H32" s="655">
        <f t="shared" ref="H32:H34" si="7">ROUND(E32/1000,0)</f>
        <v>17</v>
      </c>
      <c r="I32" t="s">
        <v>364</v>
      </c>
    </row>
    <row r="33" spans="1:9" ht="24" customHeight="1" x14ac:dyDescent="0.55000000000000004">
      <c r="A33" s="661" t="s">
        <v>307</v>
      </c>
      <c r="B33" s="662">
        <v>63</v>
      </c>
      <c r="C33" s="662">
        <v>1380</v>
      </c>
      <c r="D33" s="1276"/>
      <c r="E33" s="654">
        <f t="shared" si="6"/>
        <v>13800</v>
      </c>
      <c r="F33" s="651">
        <f t="shared" si="4"/>
        <v>331</v>
      </c>
      <c r="G33" s="661"/>
      <c r="H33" s="655">
        <f t="shared" si="7"/>
        <v>14</v>
      </c>
      <c r="I33" t="s">
        <v>364</v>
      </c>
    </row>
    <row r="34" spans="1:9" ht="24" customHeight="1" x14ac:dyDescent="0.55000000000000004">
      <c r="A34" s="661" t="s">
        <v>308</v>
      </c>
      <c r="B34" s="662">
        <v>53</v>
      </c>
      <c r="C34" s="662">
        <v>1168</v>
      </c>
      <c r="D34" s="1276"/>
      <c r="E34" s="654">
        <f t="shared" si="6"/>
        <v>11680</v>
      </c>
      <c r="F34" s="651">
        <f t="shared" si="4"/>
        <v>280</v>
      </c>
      <c r="G34" s="661"/>
      <c r="H34" s="655">
        <f t="shared" si="7"/>
        <v>12</v>
      </c>
      <c r="I34" t="s">
        <v>364</v>
      </c>
    </row>
    <row r="35" spans="1:9" ht="24" customHeight="1" x14ac:dyDescent="0.55000000000000004">
      <c r="A35" s="663" t="s">
        <v>309</v>
      </c>
      <c r="B35" s="664">
        <v>34</v>
      </c>
      <c r="C35" s="664">
        <v>751</v>
      </c>
      <c r="D35" s="1276"/>
      <c r="E35" s="654">
        <f t="shared" si="6"/>
        <v>7510</v>
      </c>
      <c r="F35" s="651">
        <f t="shared" si="4"/>
        <v>180</v>
      </c>
      <c r="G35" s="663"/>
      <c r="H35" s="655">
        <f t="shared" si="5"/>
        <v>8</v>
      </c>
      <c r="I35" t="s">
        <v>364</v>
      </c>
    </row>
    <row r="36" spans="1:9" ht="24" customHeight="1" x14ac:dyDescent="0.55000000000000004">
      <c r="A36" s="663" t="s">
        <v>310</v>
      </c>
      <c r="B36" s="664">
        <v>70</v>
      </c>
      <c r="C36" s="664">
        <v>1547</v>
      </c>
      <c r="D36" s="1276"/>
      <c r="E36" s="654">
        <f t="shared" si="6"/>
        <v>15470</v>
      </c>
      <c r="F36" s="651">
        <f t="shared" si="4"/>
        <v>371</v>
      </c>
      <c r="G36" s="663"/>
      <c r="H36" s="655">
        <f t="shared" si="5"/>
        <v>15</v>
      </c>
      <c r="I36" t="s">
        <v>364</v>
      </c>
    </row>
    <row r="37" spans="1:9" ht="24" customHeight="1" x14ac:dyDescent="0.55000000000000004">
      <c r="A37" s="640" t="s">
        <v>311</v>
      </c>
      <c r="B37" s="640">
        <v>7</v>
      </c>
      <c r="C37" s="635">
        <v>145</v>
      </c>
      <c r="D37" s="1277"/>
      <c r="E37" s="654">
        <f t="shared" si="6"/>
        <v>1450</v>
      </c>
      <c r="F37" s="651">
        <f t="shared" si="4"/>
        <v>35</v>
      </c>
      <c r="G37" s="634"/>
      <c r="H37" s="655">
        <f t="shared" si="5"/>
        <v>1</v>
      </c>
      <c r="I37" t="s">
        <v>364</v>
      </c>
    </row>
    <row r="38" spans="1:9" ht="24" customHeight="1" x14ac:dyDescent="0.55000000000000004">
      <c r="A38" s="636" t="s">
        <v>369</v>
      </c>
      <c r="B38" s="657">
        <f>SUM(B31:B37)</f>
        <v>390</v>
      </c>
      <c r="C38" s="657">
        <f>SUM(C31:C37)</f>
        <v>8569</v>
      </c>
      <c r="D38" s="637"/>
      <c r="E38" s="637">
        <f>SUM(E31:E37)</f>
        <v>85690</v>
      </c>
      <c r="F38" s="657">
        <f>SUM(F31:F37)</f>
        <v>2056</v>
      </c>
      <c r="G38" s="636"/>
      <c r="H38" s="658">
        <f>ROUND(E38/1000,0)</f>
        <v>86</v>
      </c>
      <c r="I38" s="659" t="s">
        <v>364</v>
      </c>
    </row>
  </sheetData>
  <mergeCells count="22">
    <mergeCell ref="J4:R4"/>
    <mergeCell ref="K5:P5"/>
    <mergeCell ref="A4:G4"/>
    <mergeCell ref="A5:G5"/>
    <mergeCell ref="D6:D11"/>
    <mergeCell ref="A1:G1"/>
    <mergeCell ref="A2:A3"/>
    <mergeCell ref="B2:B3"/>
    <mergeCell ref="C2:C3"/>
    <mergeCell ref="D2:D3"/>
    <mergeCell ref="F2:F3"/>
    <mergeCell ref="G2:G3"/>
    <mergeCell ref="A30:G30"/>
    <mergeCell ref="A26:G26"/>
    <mergeCell ref="D31:D37"/>
    <mergeCell ref="A12:G12"/>
    <mergeCell ref="A20:G20"/>
    <mergeCell ref="A13:G13"/>
    <mergeCell ref="D14:D18"/>
    <mergeCell ref="D21:D23"/>
    <mergeCell ref="D27:D28"/>
    <mergeCell ref="A25:G25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R17"/>
  <sheetViews>
    <sheetView zoomScale="80" zoomScaleNormal="80" workbookViewId="0">
      <pane ySplit="4" topLeftCell="A5" activePane="bottomLeft" state="frozen"/>
      <selection pane="bottomLeft" activeCell="J2" sqref="J2:R2"/>
    </sheetView>
  </sheetViews>
  <sheetFormatPr defaultRowHeight="24" x14ac:dyDescent="0.55000000000000004"/>
  <cols>
    <col min="1" max="1" width="0.875" customWidth="1"/>
    <col min="2" max="8" width="20.625" customWidth="1"/>
  </cols>
  <sheetData>
    <row r="1" spans="2:18" ht="33" x14ac:dyDescent="0.75">
      <c r="B1" s="1285" t="s">
        <v>371</v>
      </c>
      <c r="C1" s="1286"/>
      <c r="D1" s="1286"/>
      <c r="E1" s="1286"/>
      <c r="F1" s="1286"/>
      <c r="G1" s="1286"/>
      <c r="H1" s="1286"/>
    </row>
    <row r="2" spans="2:18" ht="33" customHeight="1" x14ac:dyDescent="0.55000000000000004">
      <c r="B2" s="1248" t="s">
        <v>204</v>
      </c>
      <c r="C2" s="1248" t="s">
        <v>1</v>
      </c>
      <c r="D2" s="1248" t="s">
        <v>2</v>
      </c>
      <c r="E2" s="1287" t="s">
        <v>3</v>
      </c>
      <c r="F2" s="1288"/>
      <c r="G2" s="1288"/>
      <c r="H2" s="1289"/>
      <c r="J2" s="1072" t="s">
        <v>425</v>
      </c>
      <c r="K2" s="1072"/>
      <c r="L2" s="1072"/>
      <c r="M2" s="1072"/>
      <c r="N2" s="1072"/>
      <c r="O2" s="1072"/>
      <c r="P2" s="1072"/>
      <c r="Q2" s="1072"/>
      <c r="R2" s="1072"/>
    </row>
    <row r="3" spans="2:18" ht="33" customHeight="1" x14ac:dyDescent="0.55000000000000004">
      <c r="B3" s="1248"/>
      <c r="C3" s="1248"/>
      <c r="D3" s="1248"/>
      <c r="E3" s="1290" t="s">
        <v>370</v>
      </c>
      <c r="F3" s="1291"/>
      <c r="G3" s="1291"/>
      <c r="H3" s="1292"/>
    </row>
    <row r="4" spans="2:18" ht="33" x14ac:dyDescent="0.75">
      <c r="B4" s="1248"/>
      <c r="C4" s="1248"/>
      <c r="D4" s="1248"/>
      <c r="E4" s="478" t="s">
        <v>339</v>
      </c>
      <c r="F4" s="479" t="s">
        <v>372</v>
      </c>
      <c r="G4" s="478" t="s">
        <v>339</v>
      </c>
      <c r="H4" s="479" t="s">
        <v>372</v>
      </c>
    </row>
    <row r="5" spans="2:18" ht="33" x14ac:dyDescent="0.75">
      <c r="B5" s="480" t="s">
        <v>235</v>
      </c>
      <c r="C5" s="481"/>
      <c r="D5" s="481"/>
      <c r="E5" s="481"/>
      <c r="F5" s="481"/>
      <c r="G5" s="481"/>
      <c r="H5" s="481"/>
    </row>
    <row r="6" spans="2:18" ht="33" x14ac:dyDescent="0.75">
      <c r="B6" s="483" t="s">
        <v>218</v>
      </c>
      <c r="C6" s="484"/>
      <c r="D6" s="484"/>
      <c r="E6" s="484"/>
      <c r="F6" s="484"/>
      <c r="G6" s="484"/>
      <c r="H6" s="484"/>
    </row>
    <row r="7" spans="2:18" ht="33" x14ac:dyDescent="0.75">
      <c r="B7" s="486" t="s">
        <v>181</v>
      </c>
      <c r="C7" s="487">
        <v>140</v>
      </c>
      <c r="D7" s="488">
        <v>3070</v>
      </c>
      <c r="E7" s="487">
        <v>1</v>
      </c>
      <c r="F7" s="489">
        <f>ROUND(D7/100,0)</f>
        <v>31</v>
      </c>
      <c r="G7" s="487">
        <v>1</v>
      </c>
      <c r="H7" s="489">
        <f>ROUND(D7/100,0)</f>
        <v>31</v>
      </c>
    </row>
    <row r="8" spans="2:18" ht="33" x14ac:dyDescent="0.75">
      <c r="B8" s="486" t="s">
        <v>182</v>
      </c>
      <c r="C8" s="487">
        <v>149</v>
      </c>
      <c r="D8" s="488">
        <v>3270</v>
      </c>
      <c r="E8" s="487">
        <v>1</v>
      </c>
      <c r="F8" s="489">
        <f>ROUND(D8/100,0)</f>
        <v>33</v>
      </c>
      <c r="G8" s="487">
        <v>1</v>
      </c>
      <c r="H8" s="489">
        <f>ROUND(D8/100,0)</f>
        <v>33</v>
      </c>
    </row>
    <row r="9" spans="2:18" s="493" customFormat="1" ht="30" customHeight="1" x14ac:dyDescent="0.55000000000000004">
      <c r="B9" s="490" t="s">
        <v>331</v>
      </c>
      <c r="C9" s="491">
        <f>SUM(C7:C8)</f>
        <v>289</v>
      </c>
      <c r="D9" s="492">
        <f>SUM(D7:D8)</f>
        <v>6340</v>
      </c>
      <c r="E9" s="491"/>
      <c r="F9" s="494">
        <f>SUM(F7:F8)</f>
        <v>64</v>
      </c>
      <c r="G9" s="491"/>
      <c r="H9" s="494">
        <f>SUM(H7:H8)</f>
        <v>64</v>
      </c>
    </row>
    <row r="10" spans="2:18" ht="35.25" x14ac:dyDescent="0.55000000000000004">
      <c r="B10" s="1245" t="s">
        <v>373</v>
      </c>
      <c r="C10" s="1245"/>
      <c r="D10" s="1245"/>
      <c r="E10" s="1245"/>
      <c r="F10" s="495">
        <f>F9</f>
        <v>64</v>
      </c>
      <c r="G10" s="495"/>
      <c r="H10" s="495">
        <f>H9</f>
        <v>64</v>
      </c>
      <c r="K10" s="477"/>
    </row>
    <row r="11" spans="2:18" ht="33" x14ac:dyDescent="0.75">
      <c r="B11" s="480" t="s">
        <v>320</v>
      </c>
      <c r="C11" s="481"/>
      <c r="D11" s="481"/>
      <c r="E11" s="481"/>
      <c r="F11" s="481"/>
      <c r="G11" s="481"/>
      <c r="H11" s="481"/>
    </row>
    <row r="12" spans="2:18" ht="33" x14ac:dyDescent="0.75">
      <c r="B12" s="483" t="s">
        <v>218</v>
      </c>
      <c r="C12" s="484"/>
      <c r="D12" s="484"/>
      <c r="E12" s="484"/>
      <c r="F12" s="484"/>
      <c r="G12" s="484"/>
      <c r="H12" s="484"/>
    </row>
    <row r="13" spans="2:18" ht="33" x14ac:dyDescent="0.75">
      <c r="B13" s="486" t="s">
        <v>305</v>
      </c>
      <c r="C13" s="487">
        <v>86</v>
      </c>
      <c r="D13" s="488">
        <v>1892</v>
      </c>
      <c r="E13" s="487">
        <v>1</v>
      </c>
      <c r="F13" s="489">
        <f>ROUND(D13/100,0)</f>
        <v>19</v>
      </c>
      <c r="G13" s="487">
        <v>1</v>
      </c>
      <c r="H13" s="489">
        <f>ROUND(D13/100,0)</f>
        <v>19</v>
      </c>
    </row>
    <row r="14" spans="2:18" ht="33" x14ac:dyDescent="0.75">
      <c r="B14" s="486" t="s">
        <v>306</v>
      </c>
      <c r="C14" s="487">
        <v>77</v>
      </c>
      <c r="D14" s="488">
        <v>1686</v>
      </c>
      <c r="E14" s="487">
        <v>1</v>
      </c>
      <c r="F14" s="489">
        <f>ROUND(D14/100,0)</f>
        <v>17</v>
      </c>
      <c r="G14" s="487">
        <v>1</v>
      </c>
      <c r="H14" s="489">
        <f t="shared" ref="H14:H15" si="0">ROUND(D14/100,0)</f>
        <v>17</v>
      </c>
    </row>
    <row r="15" spans="2:18" ht="33" x14ac:dyDescent="0.75">
      <c r="B15" s="486" t="s">
        <v>307</v>
      </c>
      <c r="C15" s="487">
        <v>63</v>
      </c>
      <c r="D15" s="488">
        <v>1380</v>
      </c>
      <c r="E15" s="487">
        <v>1</v>
      </c>
      <c r="F15" s="489">
        <f>ROUND(D15/100,0)</f>
        <v>14</v>
      </c>
      <c r="G15" s="487">
        <v>1</v>
      </c>
      <c r="H15" s="489">
        <f t="shared" si="0"/>
        <v>14</v>
      </c>
    </row>
    <row r="16" spans="2:18" s="493" customFormat="1" ht="30" customHeight="1" x14ac:dyDescent="0.55000000000000004">
      <c r="B16" s="490" t="s">
        <v>331</v>
      </c>
      <c r="C16" s="491">
        <f>SUM(C13:C15)</f>
        <v>226</v>
      </c>
      <c r="D16" s="492">
        <f>SUM(D13:D15)</f>
        <v>4958</v>
      </c>
      <c r="E16" s="491"/>
      <c r="F16" s="494">
        <f>SUM(F13:F15)</f>
        <v>50</v>
      </c>
      <c r="G16" s="491"/>
      <c r="H16" s="494">
        <f>SUM(H13:H15)</f>
        <v>50</v>
      </c>
    </row>
    <row r="17" spans="2:11" ht="35.25" x14ac:dyDescent="0.55000000000000004">
      <c r="B17" s="1245" t="s">
        <v>369</v>
      </c>
      <c r="C17" s="1245"/>
      <c r="D17" s="1245"/>
      <c r="E17" s="1245"/>
      <c r="F17" s="495">
        <f>F16</f>
        <v>50</v>
      </c>
      <c r="G17" s="495"/>
      <c r="H17" s="495">
        <f>H16</f>
        <v>50</v>
      </c>
      <c r="K17" s="477"/>
    </row>
  </sheetData>
  <mergeCells count="9">
    <mergeCell ref="J2:R2"/>
    <mergeCell ref="B17:E17"/>
    <mergeCell ref="B10:E10"/>
    <mergeCell ref="B1:H1"/>
    <mergeCell ref="E2:H2"/>
    <mergeCell ref="E3:H3"/>
    <mergeCell ref="B2:B4"/>
    <mergeCell ref="C2:C4"/>
    <mergeCell ref="D2:D4"/>
  </mergeCells>
  <pageMargins left="0.25" right="0.25" top="0.63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106"/>
  <sheetViews>
    <sheetView topLeftCell="A103" zoomScale="90" zoomScaleNormal="90" workbookViewId="0">
      <selection activeCell="J5" sqref="J5:J6"/>
    </sheetView>
  </sheetViews>
  <sheetFormatPr defaultColWidth="9" defaultRowHeight="21.75" x14ac:dyDescent="0.5"/>
  <cols>
    <col min="1" max="1" width="15.625" style="217" customWidth="1"/>
    <col min="2" max="2" width="15.625" style="218" customWidth="1"/>
    <col min="3" max="5" width="15.625" style="217" customWidth="1"/>
    <col min="6" max="7" width="15.625" style="216" customWidth="1"/>
    <col min="8" max="9" width="15.625" style="217" customWidth="1"/>
    <col min="10" max="16384" width="9" style="217"/>
  </cols>
  <sheetData>
    <row r="1" spans="1:21" ht="24.75" customHeight="1" thickBot="1" x14ac:dyDescent="0.55000000000000004">
      <c r="A1" s="1172" t="s">
        <v>387</v>
      </c>
      <c r="B1" s="1173"/>
      <c r="C1" s="1173"/>
      <c r="D1" s="1173"/>
      <c r="E1" s="1173"/>
      <c r="F1" s="1173"/>
      <c r="G1" s="1173"/>
      <c r="H1" s="1173"/>
      <c r="I1" s="1313"/>
    </row>
    <row r="2" spans="1:21" ht="21.75" customHeight="1" x14ac:dyDescent="0.5">
      <c r="A2" s="1314" t="s">
        <v>204</v>
      </c>
      <c r="B2" s="1154"/>
      <c r="C2" s="1157" t="s">
        <v>1</v>
      </c>
      <c r="D2" s="1157" t="s">
        <v>2</v>
      </c>
      <c r="E2" s="1316" t="s">
        <v>205</v>
      </c>
      <c r="F2" s="1161" t="s">
        <v>206</v>
      </c>
      <c r="G2" s="1296" t="s">
        <v>388</v>
      </c>
      <c r="H2" s="1320" t="s">
        <v>207</v>
      </c>
      <c r="I2" s="1318" t="s">
        <v>389</v>
      </c>
    </row>
    <row r="3" spans="1:21" ht="24.75" customHeight="1" thickBot="1" x14ac:dyDescent="0.55000000000000004">
      <c r="A3" s="1315"/>
      <c r="B3" s="1156"/>
      <c r="C3" s="1158"/>
      <c r="D3" s="1158"/>
      <c r="E3" s="1317"/>
      <c r="F3" s="1162"/>
      <c r="G3" s="1297"/>
      <c r="H3" s="1127"/>
      <c r="I3" s="1319"/>
      <c r="K3" s="1072" t="s">
        <v>426</v>
      </c>
      <c r="L3" s="1072"/>
      <c r="M3" s="1072"/>
      <c r="N3" s="1072"/>
      <c r="O3" s="1072"/>
      <c r="P3" s="1072"/>
      <c r="Q3" s="1072"/>
      <c r="R3" s="1072"/>
      <c r="S3" s="1072"/>
      <c r="T3" s="1072"/>
      <c r="U3" s="1072"/>
    </row>
    <row r="4" spans="1:21" ht="24.75" customHeight="1" thickBot="1" x14ac:dyDescent="0.55000000000000004">
      <c r="A4" s="1169" t="s">
        <v>217</v>
      </c>
      <c r="B4" s="1170"/>
      <c r="C4" s="1170"/>
      <c r="D4" s="1170"/>
      <c r="E4" s="1170"/>
      <c r="F4" s="1170"/>
      <c r="G4" s="1170"/>
      <c r="H4" s="1170"/>
      <c r="I4" s="1171"/>
    </row>
    <row r="5" spans="1:21" ht="24" customHeight="1" thickBot="1" x14ac:dyDescent="0.7">
      <c r="A5" s="1104" t="s">
        <v>218</v>
      </c>
      <c r="B5" s="1105"/>
      <c r="C5" s="1105"/>
      <c r="D5" s="1105"/>
      <c r="E5" s="1105"/>
      <c r="F5" s="1105"/>
      <c r="G5" s="1105"/>
      <c r="H5" s="1105"/>
      <c r="I5" s="1106"/>
    </row>
    <row r="6" spans="1:21" ht="28.5" thickBot="1" x14ac:dyDescent="0.7">
      <c r="A6" s="783" t="s">
        <v>51</v>
      </c>
      <c r="B6" s="538">
        <v>1</v>
      </c>
      <c r="C6" s="539">
        <f>'จน.ปาล์ม 69 '!E59</f>
        <v>169</v>
      </c>
      <c r="D6" s="539">
        <f>'จน.ปาล์ม 69 '!F59</f>
        <v>4231</v>
      </c>
      <c r="E6" s="500">
        <f>ROUND(C6*B6,0)</f>
        <v>169</v>
      </c>
      <c r="F6" s="501">
        <f>ROUND(D6*B6,0)</f>
        <v>4231</v>
      </c>
      <c r="G6" s="501">
        <v>1</v>
      </c>
      <c r="H6" s="384">
        <v>2</v>
      </c>
      <c r="I6" s="778">
        <f>ROUND(H6*F6,0)</f>
        <v>8462</v>
      </c>
    </row>
    <row r="7" spans="1:21" ht="24.75" customHeight="1" thickBot="1" x14ac:dyDescent="0.85">
      <c r="A7" s="1113" t="s">
        <v>390</v>
      </c>
      <c r="B7" s="1114"/>
      <c r="C7" s="1114"/>
      <c r="D7" s="1114"/>
      <c r="E7" s="1114"/>
      <c r="F7" s="1114"/>
      <c r="G7" s="1114"/>
      <c r="H7" s="1114"/>
      <c r="I7" s="799">
        <f>I6</f>
        <v>8462</v>
      </c>
    </row>
    <row r="8" spans="1:21" ht="27.75" x14ac:dyDescent="0.5">
      <c r="A8" s="1305" t="s">
        <v>392</v>
      </c>
      <c r="B8" s="1079"/>
      <c r="C8" s="1079"/>
      <c r="D8" s="1079"/>
      <c r="E8" s="1079"/>
      <c r="F8" s="1079"/>
      <c r="G8" s="1079"/>
      <c r="H8" s="1079"/>
      <c r="I8" s="1306"/>
    </row>
    <row r="9" spans="1:21" ht="27.75" x14ac:dyDescent="0.65">
      <c r="A9" s="785" t="s">
        <v>111</v>
      </c>
      <c r="B9" s="538">
        <v>1</v>
      </c>
      <c r="C9" s="539">
        <f>'จน.ปาล์ม 69 '!E53</f>
        <v>117</v>
      </c>
      <c r="D9" s="539">
        <f>'จน.ปาล์ม 69 '!F53</f>
        <v>2934</v>
      </c>
      <c r="E9" s="542">
        <f>ROUND(C9*B9,0)</f>
        <v>117</v>
      </c>
      <c r="F9" s="543">
        <f>ROUND(D9*B9,0)</f>
        <v>2934</v>
      </c>
      <c r="G9" s="501">
        <v>1</v>
      </c>
      <c r="H9" s="384">
        <v>2</v>
      </c>
      <c r="I9" s="780">
        <f>ROUND(H9*F9,0)</f>
        <v>5868</v>
      </c>
    </row>
    <row r="10" spans="1:21" ht="28.5" thickBot="1" x14ac:dyDescent="0.7">
      <c r="A10" s="800" t="s">
        <v>113</v>
      </c>
      <c r="B10" s="545">
        <v>1</v>
      </c>
      <c r="C10" s="405">
        <f>'จน.ปาล์ม 69 '!E55</f>
        <v>115</v>
      </c>
      <c r="D10" s="405">
        <f>'จน.ปาล์ม 69 '!F55</f>
        <v>2864</v>
      </c>
      <c r="E10" s="507">
        <f>ROUND(C10*B10,0)</f>
        <v>115</v>
      </c>
      <c r="F10" s="508">
        <f>ROUND(D10*B10,0)</f>
        <v>2864</v>
      </c>
      <c r="G10" s="515">
        <v>1</v>
      </c>
      <c r="H10" s="547">
        <v>2</v>
      </c>
      <c r="I10" s="779">
        <f>ROUND(H10*F10,0)</f>
        <v>5728</v>
      </c>
    </row>
    <row r="11" spans="1:21" ht="24.75" customHeight="1" thickBot="1" x14ac:dyDescent="0.85">
      <c r="A11" s="1113" t="s">
        <v>391</v>
      </c>
      <c r="B11" s="1114"/>
      <c r="C11" s="1114"/>
      <c r="D11" s="1114"/>
      <c r="E11" s="1114"/>
      <c r="F11" s="1114"/>
      <c r="G11" s="1114"/>
      <c r="H11" s="1114"/>
      <c r="I11" s="799">
        <f>SUM(I9:I10)</f>
        <v>11596</v>
      </c>
    </row>
    <row r="12" spans="1:21" ht="27.75" x14ac:dyDescent="0.65">
      <c r="A12" s="1307" t="s">
        <v>225</v>
      </c>
      <c r="B12" s="1308"/>
      <c r="C12" s="1308"/>
      <c r="D12" s="1308"/>
      <c r="E12" s="1308"/>
      <c r="F12" s="1308"/>
      <c r="G12" s="1308"/>
      <c r="H12" s="1308"/>
      <c r="I12" s="1309"/>
    </row>
    <row r="13" spans="1:21" ht="24.75" customHeight="1" x14ac:dyDescent="0.65">
      <c r="A13" s="1118" t="s">
        <v>227</v>
      </c>
      <c r="B13" s="1119"/>
      <c r="C13" s="1119"/>
      <c r="D13" s="1119"/>
      <c r="E13" s="1119"/>
      <c r="F13" s="1119"/>
      <c r="G13" s="1119"/>
      <c r="H13" s="1119"/>
      <c r="I13" s="1310"/>
    </row>
    <row r="14" spans="1:21" ht="27.75" x14ac:dyDescent="0.65">
      <c r="A14" s="784" t="s">
        <v>52</v>
      </c>
      <c r="B14" s="564">
        <v>1</v>
      </c>
      <c r="C14" s="381">
        <f>'จน.ปาล์ม 69 '!E82</f>
        <v>154</v>
      </c>
      <c r="D14" s="381">
        <f>'จน.ปาล์ม 69 '!F82</f>
        <v>3851</v>
      </c>
      <c r="E14" s="542">
        <f>ROUND(C14*B14,0)</f>
        <v>154</v>
      </c>
      <c r="F14" s="543">
        <f>ROUND(D14*B14,0)</f>
        <v>3851</v>
      </c>
      <c r="G14" s="543">
        <v>1</v>
      </c>
      <c r="H14" s="378">
        <v>2</v>
      </c>
      <c r="I14" s="780">
        <f>ROUND(H14*F14,0)</f>
        <v>7702</v>
      </c>
    </row>
    <row r="15" spans="1:21" ht="27.75" x14ac:dyDescent="0.65">
      <c r="A15" s="784" t="s">
        <v>53</v>
      </c>
      <c r="B15" s="564">
        <v>1</v>
      </c>
      <c r="C15" s="381">
        <f>'จน.ปาล์ม 69 '!E83</f>
        <v>139</v>
      </c>
      <c r="D15" s="381">
        <f>'จน.ปาล์ม 69 '!F83</f>
        <v>3476</v>
      </c>
      <c r="E15" s="542">
        <f t="shared" ref="E15:E16" si="0">ROUND(C15*B15,0)</f>
        <v>139</v>
      </c>
      <c r="F15" s="543">
        <f t="shared" ref="F15:F16" si="1">ROUND(D15*B15,0)</f>
        <v>3476</v>
      </c>
      <c r="G15" s="543">
        <v>1</v>
      </c>
      <c r="H15" s="378">
        <v>2</v>
      </c>
      <c r="I15" s="780">
        <f>ROUND(H15*F15,0)</f>
        <v>6952</v>
      </c>
    </row>
    <row r="16" spans="1:21" ht="28.5" thickBot="1" x14ac:dyDescent="0.7">
      <c r="A16" s="791" t="s">
        <v>54</v>
      </c>
      <c r="B16" s="792">
        <v>1</v>
      </c>
      <c r="C16" s="793">
        <f>'จน.ปาล์ม 69 '!E84</f>
        <v>165</v>
      </c>
      <c r="D16" s="793">
        <f>'จน.ปาล์ม 69 '!F84</f>
        <v>4127</v>
      </c>
      <c r="E16" s="794">
        <f t="shared" si="0"/>
        <v>165</v>
      </c>
      <c r="F16" s="795">
        <f t="shared" si="1"/>
        <v>4127</v>
      </c>
      <c r="G16" s="795">
        <v>1</v>
      </c>
      <c r="H16" s="796">
        <v>2</v>
      </c>
      <c r="I16" s="797">
        <f>ROUND(H16*F16,0)</f>
        <v>8254</v>
      </c>
    </row>
    <row r="17" spans="1:9" ht="24.75" customHeight="1" thickBot="1" x14ac:dyDescent="0.7">
      <c r="A17" s="1087" t="s">
        <v>393</v>
      </c>
      <c r="B17" s="1088"/>
      <c r="C17" s="1088"/>
      <c r="D17" s="1088"/>
      <c r="E17" s="1088"/>
      <c r="F17" s="1088"/>
      <c r="G17" s="1088"/>
      <c r="H17" s="1088"/>
      <c r="I17" s="548">
        <f>SUM(I14:I16)</f>
        <v>22908</v>
      </c>
    </row>
    <row r="18" spans="1:9" ht="24" customHeight="1" x14ac:dyDescent="0.65">
      <c r="A18" s="1311" t="s">
        <v>27</v>
      </c>
      <c r="B18" s="1116"/>
      <c r="C18" s="1116"/>
      <c r="D18" s="1116"/>
      <c r="E18" s="1116"/>
      <c r="F18" s="1116"/>
      <c r="G18" s="1116"/>
      <c r="H18" s="1116"/>
      <c r="I18" s="1312"/>
    </row>
    <row r="19" spans="1:9" ht="24" customHeight="1" x14ac:dyDescent="0.65">
      <c r="A19" s="786" t="s">
        <v>135</v>
      </c>
      <c r="B19" s="561">
        <v>1</v>
      </c>
      <c r="C19" s="551">
        <f>'จน.ปาล์ม 69 '!E97</f>
        <v>142</v>
      </c>
      <c r="D19" s="551">
        <f>'จน.ปาล์ม 69 '!F97</f>
        <v>3259</v>
      </c>
      <c r="E19" s="507">
        <f>ROUND(C19*B19,0)</f>
        <v>142</v>
      </c>
      <c r="F19" s="508">
        <f>ROUND(D19*B19,0)</f>
        <v>3259</v>
      </c>
      <c r="G19" s="508">
        <v>1</v>
      </c>
      <c r="H19" s="402">
        <v>2</v>
      </c>
      <c r="I19" s="780">
        <f>ROUND(H19*F19,0)</f>
        <v>6518</v>
      </c>
    </row>
    <row r="20" spans="1:9" ht="28.5" thickBot="1" x14ac:dyDescent="0.7">
      <c r="A20" s="786" t="s">
        <v>128</v>
      </c>
      <c r="B20" s="561">
        <v>1</v>
      </c>
      <c r="C20" s="551">
        <f>'จน.ปาล์ม 69 '!E95</f>
        <v>29</v>
      </c>
      <c r="D20" s="551">
        <f>'จน.ปาล์ม 69 '!F95</f>
        <v>720</v>
      </c>
      <c r="E20" s="507">
        <f>ROUND(C20*B20,0)</f>
        <v>29</v>
      </c>
      <c r="F20" s="508">
        <f>ROUND(D20*B20,0)</f>
        <v>720</v>
      </c>
      <c r="G20" s="508">
        <v>1</v>
      </c>
      <c r="H20" s="402">
        <v>2</v>
      </c>
      <c r="I20" s="780">
        <f>ROUND(H20*F20,0)</f>
        <v>1440</v>
      </c>
    </row>
    <row r="21" spans="1:9" ht="28.5" thickBot="1" x14ac:dyDescent="0.7">
      <c r="A21" s="1087" t="s">
        <v>394</v>
      </c>
      <c r="B21" s="1088"/>
      <c r="C21" s="1088"/>
      <c r="D21" s="1088"/>
      <c r="E21" s="1088"/>
      <c r="F21" s="1088"/>
      <c r="G21" s="1088"/>
      <c r="H21" s="1088"/>
      <c r="I21" s="801">
        <f>SUM(I19:I20)</f>
        <v>7958</v>
      </c>
    </row>
    <row r="22" spans="1:9" ht="24.75" customHeight="1" thickBot="1" x14ac:dyDescent="0.55000000000000004">
      <c r="A22" s="1089" t="s">
        <v>395</v>
      </c>
      <c r="B22" s="1090"/>
      <c r="C22" s="1090"/>
      <c r="D22" s="1090"/>
      <c r="E22" s="1090"/>
      <c r="F22" s="1090"/>
      <c r="G22" s="1090"/>
      <c r="H22" s="1090"/>
      <c r="I22" s="802">
        <f>I21+I17</f>
        <v>30866</v>
      </c>
    </row>
    <row r="23" spans="1:9" ht="24.75" customHeight="1" thickBot="1" x14ac:dyDescent="0.7">
      <c r="A23" s="1093" t="s">
        <v>230</v>
      </c>
      <c r="B23" s="1094"/>
      <c r="C23" s="1094"/>
      <c r="D23" s="1094"/>
      <c r="E23" s="1094"/>
      <c r="F23" s="1094"/>
      <c r="G23" s="1094"/>
      <c r="H23" s="1094"/>
      <c r="I23" s="1095"/>
    </row>
    <row r="24" spans="1:9" ht="24" customHeight="1" thickBot="1" x14ac:dyDescent="0.7">
      <c r="A24" s="1298" t="s">
        <v>22</v>
      </c>
      <c r="B24" s="1299"/>
      <c r="C24" s="1299"/>
      <c r="D24" s="1299"/>
      <c r="E24" s="1299"/>
      <c r="F24" s="1299"/>
      <c r="G24" s="1299"/>
      <c r="H24" s="1299"/>
      <c r="I24" s="1300"/>
    </row>
    <row r="25" spans="1:9" ht="27.75" x14ac:dyDescent="0.65">
      <c r="A25" s="786" t="s">
        <v>139</v>
      </c>
      <c r="B25" s="561">
        <v>1</v>
      </c>
      <c r="C25" s="551">
        <v>121</v>
      </c>
      <c r="D25" s="551">
        <v>3037</v>
      </c>
      <c r="E25" s="507">
        <f>ROUND(C25*B25,0)</f>
        <v>121</v>
      </c>
      <c r="F25" s="508">
        <f>ROUND(D25*B25,0)</f>
        <v>3037</v>
      </c>
      <c r="G25" s="508">
        <v>2</v>
      </c>
      <c r="H25" s="402">
        <v>2</v>
      </c>
      <c r="I25" s="780">
        <f>ROUND(H25*F25*G25,0)</f>
        <v>12148</v>
      </c>
    </row>
    <row r="26" spans="1:9" ht="27.75" x14ac:dyDescent="0.65">
      <c r="A26" s="786" t="s">
        <v>140</v>
      </c>
      <c r="B26" s="561">
        <v>1</v>
      </c>
      <c r="C26" s="551">
        <v>38</v>
      </c>
      <c r="D26" s="551">
        <v>842</v>
      </c>
      <c r="E26" s="507">
        <f t="shared" ref="E26:E27" si="2">ROUND(C26*B26,0)</f>
        <v>38</v>
      </c>
      <c r="F26" s="508">
        <f t="shared" ref="F26:F27" si="3">ROUND(D26*B26,0)</f>
        <v>842</v>
      </c>
      <c r="G26" s="508">
        <v>2</v>
      </c>
      <c r="H26" s="402">
        <v>2</v>
      </c>
      <c r="I26" s="780">
        <f>ROUND(H26*F26*G26,0)</f>
        <v>3368</v>
      </c>
    </row>
    <row r="27" spans="1:9" ht="28.5" thickBot="1" x14ac:dyDescent="0.7">
      <c r="A27" s="786" t="s">
        <v>141</v>
      </c>
      <c r="B27" s="561">
        <v>1</v>
      </c>
      <c r="C27" s="551">
        <v>38</v>
      </c>
      <c r="D27" s="551">
        <v>844</v>
      </c>
      <c r="E27" s="507">
        <f t="shared" si="2"/>
        <v>38</v>
      </c>
      <c r="F27" s="508">
        <f t="shared" si="3"/>
        <v>844</v>
      </c>
      <c r="G27" s="508">
        <v>2</v>
      </c>
      <c r="H27" s="402">
        <v>2</v>
      </c>
      <c r="I27" s="780">
        <f t="shared" ref="I27" si="4">ROUND(H27*F27*G27,0)</f>
        <v>3376</v>
      </c>
    </row>
    <row r="28" spans="1:9" ht="24.75" customHeight="1" thickBot="1" x14ac:dyDescent="0.7">
      <c r="A28" s="1087" t="s">
        <v>397</v>
      </c>
      <c r="B28" s="1088"/>
      <c r="C28" s="1088"/>
      <c r="D28" s="1088"/>
      <c r="E28" s="1088"/>
      <c r="F28" s="1088"/>
      <c r="G28" s="1088"/>
      <c r="H28" s="1088"/>
      <c r="I28" s="548">
        <f>SUM(I25:I27)</f>
        <v>18892</v>
      </c>
    </row>
    <row r="29" spans="1:9" ht="24" customHeight="1" thickBot="1" x14ac:dyDescent="0.7">
      <c r="A29" s="1096" t="s">
        <v>27</v>
      </c>
      <c r="B29" s="1097"/>
      <c r="C29" s="1097"/>
      <c r="D29" s="1097"/>
      <c r="E29" s="1097"/>
      <c r="F29" s="1097"/>
      <c r="G29" s="1097"/>
      <c r="H29" s="1097"/>
      <c r="I29" s="1099"/>
    </row>
    <row r="30" spans="1:9" ht="27.75" x14ac:dyDescent="0.65">
      <c r="A30" s="787" t="s">
        <v>144</v>
      </c>
      <c r="B30" s="803">
        <v>1</v>
      </c>
      <c r="C30" s="573">
        <v>24</v>
      </c>
      <c r="D30" s="573">
        <v>534</v>
      </c>
      <c r="E30" s="574">
        <f>ROUND(C30*B30,0)</f>
        <v>24</v>
      </c>
      <c r="F30" s="508">
        <f>ROUND(D30*B30,0)</f>
        <v>534</v>
      </c>
      <c r="G30" s="804">
        <v>2</v>
      </c>
      <c r="H30" s="805">
        <v>2</v>
      </c>
      <c r="I30" s="806">
        <f t="shared" ref="I30:I34" si="5">ROUND(H30*F30*G30,0)</f>
        <v>2136</v>
      </c>
    </row>
    <row r="31" spans="1:9" ht="27.75" x14ac:dyDescent="0.65">
      <c r="A31" s="377" t="s">
        <v>145</v>
      </c>
      <c r="B31" s="808">
        <v>1</v>
      </c>
      <c r="C31" s="551">
        <v>39</v>
      </c>
      <c r="D31" s="551">
        <v>980</v>
      </c>
      <c r="E31" s="551">
        <f t="shared" ref="E31:E34" si="6">ROUND(C31*B31,0)</f>
        <v>39</v>
      </c>
      <c r="F31" s="508">
        <f t="shared" ref="F31:F34" si="7">ROUND(D31*B31,0)</f>
        <v>980</v>
      </c>
      <c r="G31" s="543">
        <v>2</v>
      </c>
      <c r="H31" s="378">
        <v>2</v>
      </c>
      <c r="I31" s="780">
        <f t="shared" si="5"/>
        <v>3920</v>
      </c>
    </row>
    <row r="32" spans="1:9" ht="27.75" x14ac:dyDescent="0.65">
      <c r="A32" s="377" t="s">
        <v>146</v>
      </c>
      <c r="B32" s="807">
        <v>1</v>
      </c>
      <c r="C32" s="551">
        <v>14</v>
      </c>
      <c r="D32" s="551">
        <v>309</v>
      </c>
      <c r="E32" s="551">
        <f t="shared" si="6"/>
        <v>14</v>
      </c>
      <c r="F32" s="508">
        <f t="shared" si="7"/>
        <v>309</v>
      </c>
      <c r="G32" s="543">
        <v>2</v>
      </c>
      <c r="H32" s="378">
        <v>2</v>
      </c>
      <c r="I32" s="780">
        <f t="shared" si="5"/>
        <v>1236</v>
      </c>
    </row>
    <row r="33" spans="1:9" ht="27.75" x14ac:dyDescent="0.65">
      <c r="A33" s="377" t="s">
        <v>147</v>
      </c>
      <c r="B33" s="809">
        <v>1</v>
      </c>
      <c r="C33" s="551">
        <v>109</v>
      </c>
      <c r="D33" s="551">
        <v>2388</v>
      </c>
      <c r="E33" s="555">
        <f t="shared" si="6"/>
        <v>109</v>
      </c>
      <c r="F33" s="508">
        <f t="shared" si="7"/>
        <v>2388</v>
      </c>
      <c r="G33" s="543">
        <v>2</v>
      </c>
      <c r="H33" s="378">
        <v>2</v>
      </c>
      <c r="I33" s="780">
        <f t="shared" si="5"/>
        <v>9552</v>
      </c>
    </row>
    <row r="34" spans="1:9" ht="27.75" x14ac:dyDescent="0.65">
      <c r="A34" s="377" t="s">
        <v>149</v>
      </c>
      <c r="B34" s="807">
        <v>1</v>
      </c>
      <c r="C34" s="551">
        <v>108</v>
      </c>
      <c r="D34" s="551">
        <v>2365</v>
      </c>
      <c r="E34" s="542">
        <f t="shared" si="6"/>
        <v>108</v>
      </c>
      <c r="F34" s="508">
        <f t="shared" si="7"/>
        <v>2365</v>
      </c>
      <c r="G34" s="543">
        <v>2</v>
      </c>
      <c r="H34" s="378">
        <v>2</v>
      </c>
      <c r="I34" s="780">
        <f t="shared" si="5"/>
        <v>9460</v>
      </c>
    </row>
    <row r="35" spans="1:9" ht="24.75" customHeight="1" x14ac:dyDescent="0.65">
      <c r="A35" s="1301" t="s">
        <v>396</v>
      </c>
      <c r="B35" s="1092"/>
      <c r="C35" s="1092"/>
      <c r="D35" s="1092"/>
      <c r="E35" s="1092"/>
      <c r="F35" s="1092"/>
      <c r="G35" s="1092"/>
      <c r="H35" s="1092"/>
      <c r="I35" s="781">
        <f>SUM(I30:I34)</f>
        <v>26304</v>
      </c>
    </row>
    <row r="36" spans="1:9" ht="30.75" thickBot="1" x14ac:dyDescent="0.85">
      <c r="A36" s="1302" t="s">
        <v>398</v>
      </c>
      <c r="B36" s="1103"/>
      <c r="C36" s="1103"/>
      <c r="D36" s="1103"/>
      <c r="E36" s="1103"/>
      <c r="F36" s="1103"/>
      <c r="G36" s="1103"/>
      <c r="H36" s="1103"/>
      <c r="I36" s="798">
        <f>I35+I28</f>
        <v>45196</v>
      </c>
    </row>
    <row r="37" spans="1:9" ht="24.75" customHeight="1" thickBot="1" x14ac:dyDescent="0.7">
      <c r="A37" s="1093" t="s">
        <v>336</v>
      </c>
      <c r="B37" s="1094"/>
      <c r="C37" s="1094"/>
      <c r="D37" s="1094"/>
      <c r="E37" s="1094"/>
      <c r="F37" s="1094"/>
      <c r="G37" s="1094"/>
      <c r="H37" s="1094"/>
      <c r="I37" s="1095"/>
    </row>
    <row r="38" spans="1:9" ht="24" customHeight="1" thickBot="1" x14ac:dyDescent="0.7">
      <c r="A38" s="1298" t="s">
        <v>22</v>
      </c>
      <c r="B38" s="1299"/>
      <c r="C38" s="1299"/>
      <c r="D38" s="1299"/>
      <c r="E38" s="1299"/>
      <c r="F38" s="1299"/>
      <c r="G38" s="1299"/>
      <c r="H38" s="1299"/>
      <c r="I38" s="1300"/>
    </row>
    <row r="39" spans="1:9" ht="27.75" x14ac:dyDescent="0.65">
      <c r="A39" s="786" t="s">
        <v>55</v>
      </c>
      <c r="B39" s="561">
        <v>1</v>
      </c>
      <c r="C39" s="551">
        <v>158</v>
      </c>
      <c r="D39" s="551">
        <v>3480</v>
      </c>
      <c r="E39" s="507">
        <f>ROUND(C39*B39,0)</f>
        <v>158</v>
      </c>
      <c r="F39" s="508">
        <f>ROUND(D39*B39,0)</f>
        <v>3480</v>
      </c>
      <c r="G39" s="508">
        <v>3</v>
      </c>
      <c r="H39" s="402">
        <v>3.5</v>
      </c>
      <c r="I39" s="780">
        <f>ROUND(H39*F39*G39,0)</f>
        <v>36540</v>
      </c>
    </row>
    <row r="40" spans="1:9" ht="27.75" x14ac:dyDescent="0.65">
      <c r="A40" s="786" t="s">
        <v>56</v>
      </c>
      <c r="B40" s="561">
        <v>1</v>
      </c>
      <c r="C40" s="551">
        <v>143</v>
      </c>
      <c r="D40" s="551">
        <v>3140</v>
      </c>
      <c r="E40" s="507">
        <f t="shared" ref="E40:E41" si="8">ROUND(C40*B40,0)</f>
        <v>143</v>
      </c>
      <c r="F40" s="508">
        <f t="shared" ref="F40:F41" si="9">ROUND(D40*B40,0)</f>
        <v>3140</v>
      </c>
      <c r="G40" s="508">
        <v>3</v>
      </c>
      <c r="H40" s="402">
        <v>3.5</v>
      </c>
      <c r="I40" s="780">
        <f>ROUND(H40*F40*G40,0)</f>
        <v>32970</v>
      </c>
    </row>
    <row r="41" spans="1:9" ht="28.5" thickBot="1" x14ac:dyDescent="0.7">
      <c r="A41" s="786" t="s">
        <v>57</v>
      </c>
      <c r="B41" s="561">
        <v>1</v>
      </c>
      <c r="C41" s="551">
        <v>167</v>
      </c>
      <c r="D41" s="551">
        <v>3671</v>
      </c>
      <c r="E41" s="507">
        <f t="shared" si="8"/>
        <v>167</v>
      </c>
      <c r="F41" s="508">
        <f t="shared" si="9"/>
        <v>3671</v>
      </c>
      <c r="G41" s="508">
        <v>3</v>
      </c>
      <c r="H41" s="402">
        <v>3.5</v>
      </c>
      <c r="I41" s="780">
        <f>ROUND(H41*F41*G41,0)</f>
        <v>38546</v>
      </c>
    </row>
    <row r="42" spans="1:9" ht="24.75" customHeight="1" thickBot="1" x14ac:dyDescent="0.7">
      <c r="A42" s="1087" t="s">
        <v>399</v>
      </c>
      <c r="B42" s="1088"/>
      <c r="C42" s="1088"/>
      <c r="D42" s="1088"/>
      <c r="E42" s="1088"/>
      <c r="F42" s="1088"/>
      <c r="G42" s="1088"/>
      <c r="H42" s="1088"/>
      <c r="I42" s="548">
        <f>SUM(I39:I41)</f>
        <v>108056</v>
      </c>
    </row>
    <row r="43" spans="1:9" ht="24" customHeight="1" thickBot="1" x14ac:dyDescent="0.7">
      <c r="A43" s="1096" t="s">
        <v>27</v>
      </c>
      <c r="B43" s="1097"/>
      <c r="C43" s="1097"/>
      <c r="D43" s="1097"/>
      <c r="E43" s="1097"/>
      <c r="F43" s="1097"/>
      <c r="G43" s="1097"/>
      <c r="H43" s="1097"/>
      <c r="I43" s="1099"/>
    </row>
    <row r="44" spans="1:9" ht="27.75" x14ac:dyDescent="0.65">
      <c r="A44" s="787" t="s">
        <v>152</v>
      </c>
      <c r="B44" s="803">
        <v>1</v>
      </c>
      <c r="C44" s="573">
        <v>131</v>
      </c>
      <c r="D44" s="573">
        <v>2886</v>
      </c>
      <c r="E44" s="574">
        <f>ROUND(C44*B44,0)</f>
        <v>131</v>
      </c>
      <c r="F44" s="508">
        <f>ROUND(D44*B44,0)</f>
        <v>2886</v>
      </c>
      <c r="G44" s="804">
        <v>3</v>
      </c>
      <c r="H44" s="805">
        <v>3.5</v>
      </c>
      <c r="I44" s="806">
        <f>ROUND(H44*F44*G44,0)</f>
        <v>30303</v>
      </c>
    </row>
    <row r="45" spans="1:9" ht="27.75" x14ac:dyDescent="0.65">
      <c r="A45" s="377" t="s">
        <v>153</v>
      </c>
      <c r="B45" s="808">
        <v>1</v>
      </c>
      <c r="C45" s="551">
        <v>117</v>
      </c>
      <c r="D45" s="551">
        <v>2579</v>
      </c>
      <c r="E45" s="551">
        <f t="shared" ref="E45:E48" si="10">ROUND(C45*B45,0)</f>
        <v>117</v>
      </c>
      <c r="F45" s="508">
        <f t="shared" ref="F45:F48" si="11">ROUND(D45*B45,0)</f>
        <v>2579</v>
      </c>
      <c r="G45" s="543">
        <v>3</v>
      </c>
      <c r="H45" s="378">
        <v>3.5</v>
      </c>
      <c r="I45" s="780">
        <f t="shared" ref="I45:I48" si="12">ROUND(H45*F45*G45,0)</f>
        <v>27080</v>
      </c>
    </row>
    <row r="46" spans="1:9" ht="27.75" x14ac:dyDescent="0.65">
      <c r="A46" s="377" t="s">
        <v>154</v>
      </c>
      <c r="B46" s="807">
        <v>1</v>
      </c>
      <c r="C46" s="551">
        <v>155</v>
      </c>
      <c r="D46" s="551">
        <v>3402</v>
      </c>
      <c r="E46" s="551">
        <f t="shared" si="10"/>
        <v>155</v>
      </c>
      <c r="F46" s="508">
        <f t="shared" si="11"/>
        <v>3402</v>
      </c>
      <c r="G46" s="543">
        <v>3</v>
      </c>
      <c r="H46" s="378">
        <v>3.5</v>
      </c>
      <c r="I46" s="780">
        <f t="shared" si="12"/>
        <v>35721</v>
      </c>
    </row>
    <row r="47" spans="1:9" ht="27.75" x14ac:dyDescent="0.65">
      <c r="A47" s="377" t="s">
        <v>155</v>
      </c>
      <c r="B47" s="809">
        <v>1</v>
      </c>
      <c r="C47" s="551">
        <v>100</v>
      </c>
      <c r="D47" s="551">
        <v>2192</v>
      </c>
      <c r="E47" s="555">
        <f t="shared" si="10"/>
        <v>100</v>
      </c>
      <c r="F47" s="508">
        <f t="shared" si="11"/>
        <v>2192</v>
      </c>
      <c r="G47" s="543">
        <v>3</v>
      </c>
      <c r="H47" s="378">
        <v>3.5</v>
      </c>
      <c r="I47" s="779">
        <f t="shared" si="12"/>
        <v>23016</v>
      </c>
    </row>
    <row r="48" spans="1:9" ht="27.75" x14ac:dyDescent="0.65">
      <c r="A48" s="377" t="s">
        <v>158</v>
      </c>
      <c r="B48" s="809">
        <v>1</v>
      </c>
      <c r="C48" s="551">
        <v>130</v>
      </c>
      <c r="D48" s="551">
        <v>2853</v>
      </c>
      <c r="E48" s="555">
        <f t="shared" si="10"/>
        <v>130</v>
      </c>
      <c r="F48" s="508">
        <f t="shared" si="11"/>
        <v>2853</v>
      </c>
      <c r="G48" s="543">
        <v>3</v>
      </c>
      <c r="H48" s="378">
        <v>3.5</v>
      </c>
      <c r="I48" s="780">
        <f t="shared" si="12"/>
        <v>29957</v>
      </c>
    </row>
    <row r="49" spans="1:9" ht="24.75" customHeight="1" x14ac:dyDescent="0.65">
      <c r="A49" s="1301" t="s">
        <v>400</v>
      </c>
      <c r="B49" s="1092"/>
      <c r="C49" s="1092"/>
      <c r="D49" s="1092"/>
      <c r="E49" s="1092"/>
      <c r="F49" s="1092"/>
      <c r="G49" s="1092"/>
      <c r="H49" s="1092"/>
      <c r="I49" s="781">
        <f>SUM(I44:I48)</f>
        <v>146077</v>
      </c>
    </row>
    <row r="50" spans="1:9" ht="30.75" thickBot="1" x14ac:dyDescent="0.85">
      <c r="A50" s="1302" t="s">
        <v>401</v>
      </c>
      <c r="B50" s="1103"/>
      <c r="C50" s="1103"/>
      <c r="D50" s="1103"/>
      <c r="E50" s="1103"/>
      <c r="F50" s="1103"/>
      <c r="G50" s="1103"/>
      <c r="H50" s="1103"/>
      <c r="I50" s="798">
        <f>I49+I42</f>
        <v>254133</v>
      </c>
    </row>
    <row r="51" spans="1:9" ht="24.75" customHeight="1" thickBot="1" x14ac:dyDescent="0.7">
      <c r="A51" s="1093" t="s">
        <v>337</v>
      </c>
      <c r="B51" s="1094"/>
      <c r="C51" s="1094"/>
      <c r="D51" s="1094"/>
      <c r="E51" s="1094"/>
      <c r="F51" s="1094"/>
      <c r="G51" s="1094"/>
      <c r="H51" s="1094"/>
      <c r="I51" s="1095"/>
    </row>
    <row r="52" spans="1:9" ht="24" customHeight="1" thickBot="1" x14ac:dyDescent="0.7">
      <c r="A52" s="1298" t="s">
        <v>22</v>
      </c>
      <c r="B52" s="1299"/>
      <c r="C52" s="1299"/>
      <c r="D52" s="1299"/>
      <c r="E52" s="1299"/>
      <c r="F52" s="1299"/>
      <c r="G52" s="1299"/>
      <c r="H52" s="1299"/>
      <c r="I52" s="1300"/>
    </row>
    <row r="53" spans="1:9" ht="27.75" x14ac:dyDescent="0.65">
      <c r="A53" s="786" t="s">
        <v>58</v>
      </c>
      <c r="B53" s="561">
        <v>1</v>
      </c>
      <c r="C53" s="551">
        <v>130</v>
      </c>
      <c r="D53" s="551">
        <v>2868</v>
      </c>
      <c r="E53" s="507">
        <f>ROUND(C53*B53,0)</f>
        <v>130</v>
      </c>
      <c r="F53" s="508">
        <f>ROUND(D53*B53,0)</f>
        <v>2868</v>
      </c>
      <c r="G53" s="508">
        <v>3</v>
      </c>
      <c r="H53" s="402">
        <v>3.5</v>
      </c>
      <c r="I53" s="780">
        <f>ROUND(H53*F53*G53,0)</f>
        <v>30114</v>
      </c>
    </row>
    <row r="54" spans="1:9" ht="28.5" thickBot="1" x14ac:dyDescent="0.7">
      <c r="A54" s="786" t="s">
        <v>44</v>
      </c>
      <c r="B54" s="561">
        <v>1</v>
      </c>
      <c r="C54" s="551">
        <v>145</v>
      </c>
      <c r="D54" s="551">
        <v>3193</v>
      </c>
      <c r="E54" s="507">
        <f t="shared" ref="E54" si="13">ROUND(C54*B54,0)</f>
        <v>145</v>
      </c>
      <c r="F54" s="508">
        <f t="shared" ref="F54" si="14">ROUND(D54*B54,0)</f>
        <v>3193</v>
      </c>
      <c r="G54" s="508">
        <v>3</v>
      </c>
      <c r="H54" s="402">
        <v>3.5</v>
      </c>
      <c r="I54" s="780">
        <f>ROUND(H54*F54*G54,0)</f>
        <v>33527</v>
      </c>
    </row>
    <row r="55" spans="1:9" ht="24.75" customHeight="1" thickBot="1" x14ac:dyDescent="0.7">
      <c r="A55" s="1087" t="s">
        <v>402</v>
      </c>
      <c r="B55" s="1088"/>
      <c r="C55" s="1088"/>
      <c r="D55" s="1088"/>
      <c r="E55" s="1088"/>
      <c r="F55" s="1088"/>
      <c r="G55" s="1088"/>
      <c r="H55" s="1088"/>
      <c r="I55" s="548">
        <f>SUM(I53:I54)</f>
        <v>63641</v>
      </c>
    </row>
    <row r="56" spans="1:9" ht="24" customHeight="1" thickBot="1" x14ac:dyDescent="0.7">
      <c r="A56" s="1096" t="s">
        <v>27</v>
      </c>
      <c r="B56" s="1097"/>
      <c r="C56" s="1097"/>
      <c r="D56" s="1097"/>
      <c r="E56" s="1097"/>
      <c r="F56" s="1097"/>
      <c r="G56" s="1097"/>
      <c r="H56" s="1097"/>
      <c r="I56" s="1099"/>
    </row>
    <row r="57" spans="1:9" ht="27.75" x14ac:dyDescent="0.65">
      <c r="A57" s="787" t="s">
        <v>160</v>
      </c>
      <c r="B57" s="803">
        <v>1</v>
      </c>
      <c r="C57" s="573">
        <v>115</v>
      </c>
      <c r="D57" s="573">
        <v>2531</v>
      </c>
      <c r="E57" s="574">
        <f>ROUND(C57*B57,0)</f>
        <v>115</v>
      </c>
      <c r="F57" s="508">
        <f>ROUND(D57*B57,0)</f>
        <v>2531</v>
      </c>
      <c r="G57" s="804">
        <v>3</v>
      </c>
      <c r="H57" s="805">
        <v>3.5</v>
      </c>
      <c r="I57" s="806">
        <f>ROUND(H57*F57*G57,0)</f>
        <v>26576</v>
      </c>
    </row>
    <row r="58" spans="1:9" ht="27.75" x14ac:dyDescent="0.65">
      <c r="A58" s="377" t="s">
        <v>161</v>
      </c>
      <c r="B58" s="808">
        <v>1</v>
      </c>
      <c r="C58" s="551">
        <v>127</v>
      </c>
      <c r="D58" s="551">
        <v>2803</v>
      </c>
      <c r="E58" s="551">
        <f t="shared" ref="E58:E60" si="15">ROUND(C58*B58,0)</f>
        <v>127</v>
      </c>
      <c r="F58" s="508">
        <f t="shared" ref="F58:F60" si="16">ROUND(D58*B58,0)</f>
        <v>2803</v>
      </c>
      <c r="G58" s="543">
        <v>3</v>
      </c>
      <c r="H58" s="378">
        <v>3.5</v>
      </c>
      <c r="I58" s="780">
        <f t="shared" ref="I58:I60" si="17">ROUND(H58*F58*G58,0)</f>
        <v>29432</v>
      </c>
    </row>
    <row r="59" spans="1:9" ht="27.75" x14ac:dyDescent="0.65">
      <c r="A59" s="377" t="s">
        <v>162</v>
      </c>
      <c r="B59" s="807">
        <v>1</v>
      </c>
      <c r="C59" s="551">
        <v>128</v>
      </c>
      <c r="D59" s="551">
        <v>2819</v>
      </c>
      <c r="E59" s="551">
        <f t="shared" si="15"/>
        <v>128</v>
      </c>
      <c r="F59" s="508">
        <f t="shared" si="16"/>
        <v>2819</v>
      </c>
      <c r="G59" s="543">
        <v>3</v>
      </c>
      <c r="H59" s="378">
        <v>3.5</v>
      </c>
      <c r="I59" s="780">
        <f t="shared" si="17"/>
        <v>29600</v>
      </c>
    </row>
    <row r="60" spans="1:9" ht="27.75" x14ac:dyDescent="0.65">
      <c r="A60" s="377" t="s">
        <v>163</v>
      </c>
      <c r="B60" s="809">
        <v>1</v>
      </c>
      <c r="C60" s="551">
        <v>122</v>
      </c>
      <c r="D60" s="551">
        <v>2687</v>
      </c>
      <c r="E60" s="555">
        <f t="shared" si="15"/>
        <v>122</v>
      </c>
      <c r="F60" s="508">
        <f t="shared" si="16"/>
        <v>2687</v>
      </c>
      <c r="G60" s="543">
        <v>3</v>
      </c>
      <c r="H60" s="378">
        <v>3.5</v>
      </c>
      <c r="I60" s="779">
        <f t="shared" si="17"/>
        <v>28214</v>
      </c>
    </row>
    <row r="61" spans="1:9" ht="24.75" customHeight="1" x14ac:dyDescent="0.65">
      <c r="A61" s="1301" t="s">
        <v>403</v>
      </c>
      <c r="B61" s="1092"/>
      <c r="C61" s="1092"/>
      <c r="D61" s="1092"/>
      <c r="E61" s="1092"/>
      <c r="F61" s="1092"/>
      <c r="G61" s="1092"/>
      <c r="H61" s="1092"/>
      <c r="I61" s="781">
        <f>SUM(I57:I60)</f>
        <v>113822</v>
      </c>
    </row>
    <row r="62" spans="1:9" ht="30.75" thickBot="1" x14ac:dyDescent="0.85">
      <c r="A62" s="1302" t="s">
        <v>404</v>
      </c>
      <c r="B62" s="1103"/>
      <c r="C62" s="1103"/>
      <c r="D62" s="1103"/>
      <c r="E62" s="1103"/>
      <c r="F62" s="1103"/>
      <c r="G62" s="1103"/>
      <c r="H62" s="1103"/>
      <c r="I62" s="798">
        <f>I61+I55</f>
        <v>177463</v>
      </c>
    </row>
    <row r="63" spans="1:9" ht="24.75" customHeight="1" thickBot="1" x14ac:dyDescent="0.7">
      <c r="A63" s="1093" t="s">
        <v>233</v>
      </c>
      <c r="B63" s="1094"/>
      <c r="C63" s="1094"/>
      <c r="D63" s="1094"/>
      <c r="E63" s="1094"/>
      <c r="F63" s="1094"/>
      <c r="G63" s="1094"/>
      <c r="H63" s="1094"/>
      <c r="I63" s="1095"/>
    </row>
    <row r="64" spans="1:9" ht="24" customHeight="1" thickBot="1" x14ac:dyDescent="0.7">
      <c r="A64" s="1298" t="s">
        <v>22</v>
      </c>
      <c r="B64" s="1299"/>
      <c r="C64" s="1299"/>
      <c r="D64" s="1299"/>
      <c r="E64" s="1299"/>
      <c r="F64" s="1299"/>
      <c r="G64" s="1299"/>
      <c r="H64" s="1299"/>
      <c r="I64" s="1300"/>
    </row>
    <row r="65" spans="1:9" ht="27.75" x14ac:dyDescent="0.65">
      <c r="A65" s="786" t="s">
        <v>174</v>
      </c>
      <c r="B65" s="561">
        <v>1</v>
      </c>
      <c r="C65" s="551">
        <v>111</v>
      </c>
      <c r="D65" s="551">
        <v>2449</v>
      </c>
      <c r="E65" s="507">
        <f>ROUND(C65*B65,0)</f>
        <v>111</v>
      </c>
      <c r="F65" s="508">
        <f>ROUND(D65*B65,0)</f>
        <v>2449</v>
      </c>
      <c r="G65" s="508">
        <v>4</v>
      </c>
      <c r="H65" s="402">
        <v>3.5</v>
      </c>
      <c r="I65" s="780">
        <f>ROUND(H65*F65*G65,0)</f>
        <v>34286</v>
      </c>
    </row>
    <row r="66" spans="1:9" ht="27.75" x14ac:dyDescent="0.65">
      <c r="A66" s="786" t="s">
        <v>175</v>
      </c>
      <c r="B66" s="561">
        <v>1</v>
      </c>
      <c r="C66" s="551">
        <v>92</v>
      </c>
      <c r="D66" s="551">
        <v>2014</v>
      </c>
      <c r="E66" s="507">
        <f t="shared" ref="E66:E68" si="18">ROUND(C66*B66,0)</f>
        <v>92</v>
      </c>
      <c r="F66" s="508">
        <f t="shared" ref="F66:F68" si="19">ROUND(D66*B66,0)</f>
        <v>2014</v>
      </c>
      <c r="G66" s="508">
        <v>4</v>
      </c>
      <c r="H66" s="402">
        <v>3.5</v>
      </c>
      <c r="I66" s="780">
        <f t="shared" ref="I66:I68" si="20">ROUND(H66*F66*G66,0)</f>
        <v>28196</v>
      </c>
    </row>
    <row r="67" spans="1:9" ht="27.75" x14ac:dyDescent="0.65">
      <c r="A67" s="786" t="s">
        <v>176</v>
      </c>
      <c r="B67" s="561">
        <v>1</v>
      </c>
      <c r="C67" s="551">
        <v>132</v>
      </c>
      <c r="D67" s="551">
        <v>2898</v>
      </c>
      <c r="E67" s="507">
        <f t="shared" si="18"/>
        <v>132</v>
      </c>
      <c r="F67" s="508">
        <f t="shared" si="19"/>
        <v>2898</v>
      </c>
      <c r="G67" s="508">
        <v>4</v>
      </c>
      <c r="H67" s="402">
        <v>3.5</v>
      </c>
      <c r="I67" s="780">
        <f t="shared" si="20"/>
        <v>40572</v>
      </c>
    </row>
    <row r="68" spans="1:9" ht="28.5" thickBot="1" x14ac:dyDescent="0.7">
      <c r="A68" s="786" t="s">
        <v>177</v>
      </c>
      <c r="B68" s="561">
        <v>1</v>
      </c>
      <c r="C68" s="551">
        <v>107</v>
      </c>
      <c r="D68" s="551">
        <v>2364</v>
      </c>
      <c r="E68" s="507">
        <f t="shared" si="18"/>
        <v>107</v>
      </c>
      <c r="F68" s="508">
        <f t="shared" si="19"/>
        <v>2364</v>
      </c>
      <c r="G68" s="508">
        <v>4</v>
      </c>
      <c r="H68" s="402">
        <v>3.5</v>
      </c>
      <c r="I68" s="780">
        <f t="shared" si="20"/>
        <v>33096</v>
      </c>
    </row>
    <row r="69" spans="1:9" ht="24.75" customHeight="1" thickBot="1" x14ac:dyDescent="0.7">
      <c r="A69" s="1087" t="s">
        <v>405</v>
      </c>
      <c r="B69" s="1088"/>
      <c r="C69" s="1088"/>
      <c r="D69" s="1088"/>
      <c r="E69" s="1088"/>
      <c r="F69" s="1088"/>
      <c r="G69" s="1088"/>
      <c r="H69" s="1088"/>
      <c r="I69" s="548">
        <f>SUM(I65:I68)</f>
        <v>136150</v>
      </c>
    </row>
    <row r="70" spans="1:9" ht="24" customHeight="1" thickBot="1" x14ac:dyDescent="0.7">
      <c r="A70" s="1096" t="s">
        <v>27</v>
      </c>
      <c r="B70" s="1097"/>
      <c r="C70" s="1097"/>
      <c r="D70" s="1097"/>
      <c r="E70" s="1097"/>
      <c r="F70" s="1097"/>
      <c r="G70" s="1097"/>
      <c r="H70" s="1097"/>
      <c r="I70" s="1099"/>
    </row>
    <row r="71" spans="1:9" ht="27.75" x14ac:dyDescent="0.65">
      <c r="A71" s="786" t="s">
        <v>168</v>
      </c>
      <c r="B71" s="561">
        <v>1</v>
      </c>
      <c r="C71" s="551">
        <v>116</v>
      </c>
      <c r="D71" s="551">
        <v>2550</v>
      </c>
      <c r="E71" s="507">
        <f>ROUND(C71*B71,0)</f>
        <v>116</v>
      </c>
      <c r="F71" s="508">
        <f>ROUND(D71*B71,0)</f>
        <v>2550</v>
      </c>
      <c r="G71" s="508">
        <v>4</v>
      </c>
      <c r="H71" s="402">
        <v>3.5</v>
      </c>
      <c r="I71" s="780">
        <f t="shared" ref="I71:I75" si="21">ROUND(H71*F71*G71,0)</f>
        <v>35700</v>
      </c>
    </row>
    <row r="72" spans="1:9" ht="27.75" x14ac:dyDescent="0.65">
      <c r="A72" s="786" t="s">
        <v>169</v>
      </c>
      <c r="B72" s="561">
        <v>1</v>
      </c>
      <c r="C72" s="551">
        <v>130</v>
      </c>
      <c r="D72" s="551">
        <v>2854</v>
      </c>
      <c r="E72" s="507">
        <f t="shared" ref="E72:E75" si="22">ROUND(C72*B72,0)</f>
        <v>130</v>
      </c>
      <c r="F72" s="508">
        <f t="shared" ref="F72:F74" si="23">ROUND(D72*B72,0)</f>
        <v>2854</v>
      </c>
      <c r="G72" s="508">
        <v>4</v>
      </c>
      <c r="H72" s="402">
        <v>3.5</v>
      </c>
      <c r="I72" s="780">
        <f t="shared" si="21"/>
        <v>39956</v>
      </c>
    </row>
    <row r="73" spans="1:9" ht="27.75" x14ac:dyDescent="0.65">
      <c r="A73" s="786" t="s">
        <v>170</v>
      </c>
      <c r="B73" s="561">
        <v>1</v>
      </c>
      <c r="C73" s="551">
        <v>141</v>
      </c>
      <c r="D73" s="551">
        <v>3111</v>
      </c>
      <c r="E73" s="507">
        <f t="shared" si="22"/>
        <v>141</v>
      </c>
      <c r="F73" s="508">
        <f t="shared" si="23"/>
        <v>3111</v>
      </c>
      <c r="G73" s="508">
        <v>4</v>
      </c>
      <c r="H73" s="402">
        <v>3.5</v>
      </c>
      <c r="I73" s="780">
        <f t="shared" si="21"/>
        <v>43554</v>
      </c>
    </row>
    <row r="74" spans="1:9" ht="27.75" x14ac:dyDescent="0.65">
      <c r="A74" s="786" t="s">
        <v>172</v>
      </c>
      <c r="B74" s="561">
        <v>1</v>
      </c>
      <c r="C74" s="551">
        <v>136</v>
      </c>
      <c r="D74" s="551">
        <v>2999</v>
      </c>
      <c r="E74" s="507">
        <f>ROUND(C74*B74,0)</f>
        <v>136</v>
      </c>
      <c r="F74" s="508">
        <f t="shared" si="23"/>
        <v>2999</v>
      </c>
      <c r="G74" s="508">
        <v>4</v>
      </c>
      <c r="H74" s="402">
        <v>3.5</v>
      </c>
      <c r="I74" s="780">
        <f>ROUND(H74*F74*G74,0)</f>
        <v>41986</v>
      </c>
    </row>
    <row r="75" spans="1:9" ht="27.75" x14ac:dyDescent="0.65">
      <c r="A75" s="786" t="s">
        <v>319</v>
      </c>
      <c r="B75" s="807">
        <v>1</v>
      </c>
      <c r="C75" s="551">
        <v>90</v>
      </c>
      <c r="D75" s="551">
        <v>1970</v>
      </c>
      <c r="E75" s="507">
        <f t="shared" si="22"/>
        <v>90</v>
      </c>
      <c r="F75" s="508">
        <f>ROUND(D75*B75,0)</f>
        <v>1970</v>
      </c>
      <c r="G75" s="508">
        <v>4</v>
      </c>
      <c r="H75" s="402">
        <v>3.5</v>
      </c>
      <c r="I75" s="780">
        <f t="shared" si="21"/>
        <v>27580</v>
      </c>
    </row>
    <row r="76" spans="1:9" ht="24.75" customHeight="1" x14ac:dyDescent="0.65">
      <c r="A76" s="1301" t="s">
        <v>406</v>
      </c>
      <c r="B76" s="1092"/>
      <c r="C76" s="1092"/>
      <c r="D76" s="1092"/>
      <c r="E76" s="1092"/>
      <c r="F76" s="1092"/>
      <c r="G76" s="1092"/>
      <c r="H76" s="1092"/>
      <c r="I76" s="781">
        <f>SUM(I71:I75)</f>
        <v>188776</v>
      </c>
    </row>
    <row r="77" spans="1:9" ht="30.75" thickBot="1" x14ac:dyDescent="0.85">
      <c r="A77" s="1304" t="s">
        <v>407</v>
      </c>
      <c r="B77" s="1122"/>
      <c r="C77" s="1123"/>
      <c r="D77" s="1123"/>
      <c r="E77" s="1123"/>
      <c r="F77" s="1123"/>
      <c r="G77" s="1123"/>
      <c r="H77" s="1123"/>
      <c r="I77" s="798">
        <f>I76+I69</f>
        <v>324926</v>
      </c>
    </row>
    <row r="78" spans="1:9" ht="24.75" customHeight="1" thickBot="1" x14ac:dyDescent="0.7">
      <c r="A78" s="1093" t="s">
        <v>235</v>
      </c>
      <c r="B78" s="1094"/>
      <c r="C78" s="1094"/>
      <c r="D78" s="1094"/>
      <c r="E78" s="1094"/>
      <c r="F78" s="1094"/>
      <c r="G78" s="1094"/>
      <c r="H78" s="1094"/>
      <c r="I78" s="1095"/>
    </row>
    <row r="79" spans="1:9" ht="24" customHeight="1" thickBot="1" x14ac:dyDescent="0.7">
      <c r="A79" s="1096" t="s">
        <v>218</v>
      </c>
      <c r="B79" s="1097"/>
      <c r="C79" s="1097"/>
      <c r="D79" s="1097"/>
      <c r="E79" s="1097"/>
      <c r="F79" s="1097"/>
      <c r="G79" s="1097"/>
      <c r="H79" s="1097"/>
      <c r="I79" s="1099"/>
    </row>
    <row r="80" spans="1:9" ht="27.75" x14ac:dyDescent="0.65">
      <c r="A80" s="788" t="s">
        <v>178</v>
      </c>
      <c r="B80" s="521">
        <v>1</v>
      </c>
      <c r="C80" s="577">
        <v>3</v>
      </c>
      <c r="D80" s="577">
        <v>61</v>
      </c>
      <c r="E80" s="508">
        <f t="shared" ref="E80:E84" si="24">ROUND(C80*B80,0)</f>
        <v>3</v>
      </c>
      <c r="F80" s="515">
        <f t="shared" ref="F80:F84" si="25">ROUND(D80*B80,0)</f>
        <v>61</v>
      </c>
      <c r="G80" s="384">
        <v>3</v>
      </c>
      <c r="H80" s="384">
        <v>2.5</v>
      </c>
      <c r="I80" s="778">
        <f t="shared" ref="I80:I84" si="26">ROUND(H80*F80*G80,0)</f>
        <v>458</v>
      </c>
    </row>
    <row r="81" spans="1:9" ht="27.75" x14ac:dyDescent="0.65">
      <c r="A81" s="789" t="s">
        <v>179</v>
      </c>
      <c r="B81" s="524">
        <v>1</v>
      </c>
      <c r="C81" s="507">
        <v>8</v>
      </c>
      <c r="D81" s="507">
        <v>171</v>
      </c>
      <c r="E81" s="508">
        <f t="shared" si="24"/>
        <v>8</v>
      </c>
      <c r="F81" s="508">
        <f t="shared" si="25"/>
        <v>171</v>
      </c>
      <c r="G81" s="384">
        <v>3</v>
      </c>
      <c r="H81" s="384">
        <v>2.5</v>
      </c>
      <c r="I81" s="780">
        <f t="shared" si="26"/>
        <v>1283</v>
      </c>
    </row>
    <row r="82" spans="1:9" ht="27.75" x14ac:dyDescent="0.65">
      <c r="A82" s="789" t="s">
        <v>180</v>
      </c>
      <c r="B82" s="524">
        <v>1</v>
      </c>
      <c r="C82" s="507">
        <v>11</v>
      </c>
      <c r="D82" s="507">
        <v>241</v>
      </c>
      <c r="E82" s="508">
        <f t="shared" si="24"/>
        <v>11</v>
      </c>
      <c r="F82" s="508">
        <f t="shared" si="25"/>
        <v>241</v>
      </c>
      <c r="G82" s="384">
        <v>3</v>
      </c>
      <c r="H82" s="384">
        <v>2.5</v>
      </c>
      <c r="I82" s="780">
        <f t="shared" si="26"/>
        <v>1808</v>
      </c>
    </row>
    <row r="83" spans="1:9" ht="27.75" x14ac:dyDescent="0.65">
      <c r="A83" s="789" t="s">
        <v>181</v>
      </c>
      <c r="B83" s="524">
        <v>1</v>
      </c>
      <c r="C83" s="507">
        <v>140</v>
      </c>
      <c r="D83" s="507">
        <v>3070</v>
      </c>
      <c r="E83" s="508">
        <f t="shared" si="24"/>
        <v>140</v>
      </c>
      <c r="F83" s="508">
        <f t="shared" si="25"/>
        <v>3070</v>
      </c>
      <c r="G83" s="384">
        <v>3</v>
      </c>
      <c r="H83" s="384">
        <v>2.5</v>
      </c>
      <c r="I83" s="780">
        <f t="shared" si="26"/>
        <v>23025</v>
      </c>
    </row>
    <row r="84" spans="1:9" ht="28.5" thickBot="1" x14ac:dyDescent="0.7">
      <c r="A84" s="789" t="s">
        <v>182</v>
      </c>
      <c r="B84" s="524">
        <v>1</v>
      </c>
      <c r="C84" s="507">
        <v>149</v>
      </c>
      <c r="D84" s="507">
        <v>3270</v>
      </c>
      <c r="E84" s="508">
        <f t="shared" si="24"/>
        <v>149</v>
      </c>
      <c r="F84" s="508">
        <f t="shared" si="25"/>
        <v>3270</v>
      </c>
      <c r="G84" s="384">
        <v>3</v>
      </c>
      <c r="H84" s="384">
        <v>2.5</v>
      </c>
      <c r="I84" s="780">
        <f t="shared" si="26"/>
        <v>24525</v>
      </c>
    </row>
    <row r="85" spans="1:9" ht="24.75" customHeight="1" thickBot="1" x14ac:dyDescent="0.7">
      <c r="A85" s="1087" t="s">
        <v>408</v>
      </c>
      <c r="B85" s="1088"/>
      <c r="C85" s="1088"/>
      <c r="D85" s="1088"/>
      <c r="E85" s="1088"/>
      <c r="F85" s="1088"/>
      <c r="G85" s="1088"/>
      <c r="H85" s="1088"/>
      <c r="I85" s="548">
        <f>SUM(I80:I84)</f>
        <v>51099</v>
      </c>
    </row>
    <row r="86" spans="1:9" ht="24" customHeight="1" thickBot="1" x14ac:dyDescent="0.7">
      <c r="A86" s="1096" t="s">
        <v>27</v>
      </c>
      <c r="B86" s="1097"/>
      <c r="C86" s="1097"/>
      <c r="D86" s="1097"/>
      <c r="E86" s="1097"/>
      <c r="F86" s="1097"/>
      <c r="G86" s="1097"/>
      <c r="H86" s="1097"/>
      <c r="I86" s="1099"/>
    </row>
    <row r="87" spans="1:9" ht="27.75" x14ac:dyDescent="0.65">
      <c r="A87" s="786" t="s">
        <v>187</v>
      </c>
      <c r="B87" s="561">
        <v>1</v>
      </c>
      <c r="C87" s="551">
        <v>99</v>
      </c>
      <c r="D87" s="551">
        <v>2167</v>
      </c>
      <c r="E87" s="507">
        <f>ROUND(C87*B87,0)</f>
        <v>99</v>
      </c>
      <c r="F87" s="508">
        <f>ROUND(D87*B87,0)</f>
        <v>2167</v>
      </c>
      <c r="G87" s="384">
        <v>3</v>
      </c>
      <c r="H87" s="402">
        <v>2.5</v>
      </c>
      <c r="I87" s="780">
        <f t="shared" ref="I87:I89" si="27">ROUND(H87*F87*G87,0)</f>
        <v>16253</v>
      </c>
    </row>
    <row r="88" spans="1:9" ht="27.75" x14ac:dyDescent="0.65">
      <c r="A88" s="786" t="s">
        <v>189</v>
      </c>
      <c r="B88" s="561">
        <v>1</v>
      </c>
      <c r="C88" s="551">
        <v>105</v>
      </c>
      <c r="D88" s="551">
        <v>2320</v>
      </c>
      <c r="E88" s="507">
        <f t="shared" ref="E88:E89" si="28">ROUND(C88*B88,0)</f>
        <v>105</v>
      </c>
      <c r="F88" s="508">
        <f t="shared" ref="F88:F89" si="29">ROUND(D88*B88,0)</f>
        <v>2320</v>
      </c>
      <c r="G88" s="384">
        <v>3</v>
      </c>
      <c r="H88" s="402">
        <v>2.5</v>
      </c>
      <c r="I88" s="780">
        <f t="shared" si="27"/>
        <v>17400</v>
      </c>
    </row>
    <row r="89" spans="1:9" ht="27.75" x14ac:dyDescent="0.65">
      <c r="A89" s="786" t="s">
        <v>190</v>
      </c>
      <c r="B89" s="561">
        <v>1</v>
      </c>
      <c r="C89" s="551">
        <v>130</v>
      </c>
      <c r="D89" s="551">
        <v>2865</v>
      </c>
      <c r="E89" s="507">
        <f t="shared" si="28"/>
        <v>130</v>
      </c>
      <c r="F89" s="508">
        <f t="shared" si="29"/>
        <v>2865</v>
      </c>
      <c r="G89" s="384">
        <v>3</v>
      </c>
      <c r="H89" s="402">
        <v>2.5</v>
      </c>
      <c r="I89" s="780">
        <f t="shared" si="27"/>
        <v>21488</v>
      </c>
    </row>
    <row r="90" spans="1:9" ht="24.75" customHeight="1" x14ac:dyDescent="0.65">
      <c r="A90" s="1301" t="s">
        <v>409</v>
      </c>
      <c r="B90" s="1092"/>
      <c r="C90" s="1092"/>
      <c r="D90" s="1092"/>
      <c r="E90" s="1092"/>
      <c r="F90" s="1092"/>
      <c r="G90" s="1092"/>
      <c r="H90" s="1092"/>
      <c r="I90" s="781">
        <f>SUM(I87:I89)</f>
        <v>55141</v>
      </c>
    </row>
    <row r="91" spans="1:9" ht="30.75" thickBot="1" x14ac:dyDescent="0.85">
      <c r="A91" s="1303" t="s">
        <v>410</v>
      </c>
      <c r="B91" s="1076"/>
      <c r="C91" s="1077"/>
      <c r="D91" s="1077"/>
      <c r="E91" s="1077"/>
      <c r="F91" s="1077"/>
      <c r="G91" s="1077"/>
      <c r="H91" s="1077"/>
      <c r="I91" s="810">
        <f>I90+I85</f>
        <v>106240</v>
      </c>
    </row>
    <row r="92" spans="1:9" ht="24.75" customHeight="1" thickBot="1" x14ac:dyDescent="0.7">
      <c r="A92" s="1093" t="s">
        <v>320</v>
      </c>
      <c r="B92" s="1094"/>
      <c r="C92" s="1094"/>
      <c r="D92" s="1094"/>
      <c r="E92" s="1094"/>
      <c r="F92" s="1094"/>
      <c r="G92" s="1094"/>
      <c r="H92" s="1094"/>
      <c r="I92" s="1095"/>
    </row>
    <row r="93" spans="1:9" ht="24" customHeight="1" thickBot="1" x14ac:dyDescent="0.7">
      <c r="A93" s="1096" t="s">
        <v>218</v>
      </c>
      <c r="B93" s="1097"/>
      <c r="C93" s="1097"/>
      <c r="D93" s="1097"/>
      <c r="E93" s="1097"/>
      <c r="F93" s="1097"/>
      <c r="G93" s="1097"/>
      <c r="H93" s="1097"/>
      <c r="I93" s="1099"/>
    </row>
    <row r="94" spans="1:9" ht="27.75" x14ac:dyDescent="0.65">
      <c r="A94" s="789" t="s">
        <v>183</v>
      </c>
      <c r="B94" s="524">
        <v>1</v>
      </c>
      <c r="C94" s="507">
        <v>144</v>
      </c>
      <c r="D94" s="508">
        <v>3171</v>
      </c>
      <c r="E94" s="508">
        <f t="shared" ref="E94:E95" si="30">ROUND(C94*B94,0)</f>
        <v>144</v>
      </c>
      <c r="F94" s="508">
        <f t="shared" ref="F94:F95" si="31">ROUND(D94*B94,0)</f>
        <v>3171</v>
      </c>
      <c r="G94" s="384">
        <v>3</v>
      </c>
      <c r="H94" s="384">
        <v>2.25</v>
      </c>
      <c r="I94" s="780">
        <f>ROUND(H94*F94*G94,0)</f>
        <v>21404</v>
      </c>
    </row>
    <row r="95" spans="1:9" ht="28.5" thickBot="1" x14ac:dyDescent="0.7">
      <c r="A95" s="789" t="s">
        <v>184</v>
      </c>
      <c r="B95" s="524">
        <v>1</v>
      </c>
      <c r="C95" s="507">
        <v>134</v>
      </c>
      <c r="D95" s="508">
        <v>2950</v>
      </c>
      <c r="E95" s="508">
        <f t="shared" si="30"/>
        <v>134</v>
      </c>
      <c r="F95" s="508">
        <f t="shared" si="31"/>
        <v>2950</v>
      </c>
      <c r="G95" s="384">
        <v>3</v>
      </c>
      <c r="H95" s="384">
        <v>2.25</v>
      </c>
      <c r="I95" s="780">
        <f>ROUND(H95*F95*G95,0)</f>
        <v>19913</v>
      </c>
    </row>
    <row r="96" spans="1:9" ht="24.75" customHeight="1" thickBot="1" x14ac:dyDescent="0.7">
      <c r="A96" s="1087" t="s">
        <v>411</v>
      </c>
      <c r="B96" s="1088"/>
      <c r="C96" s="1088"/>
      <c r="D96" s="1088"/>
      <c r="E96" s="1088"/>
      <c r="F96" s="1088"/>
      <c r="G96" s="1088"/>
      <c r="H96" s="1088"/>
      <c r="I96" s="548">
        <f>SUM(I94:I95)</f>
        <v>41317</v>
      </c>
    </row>
    <row r="97" spans="1:9" ht="27.75" x14ac:dyDescent="0.65">
      <c r="A97" s="1166" t="s">
        <v>27</v>
      </c>
      <c r="B97" s="1101"/>
      <c r="C97" s="1101"/>
      <c r="D97" s="1101"/>
      <c r="E97" s="1101"/>
      <c r="F97" s="1101"/>
      <c r="G97" s="1101"/>
      <c r="H97" s="1101"/>
      <c r="I97" s="1167"/>
    </row>
    <row r="98" spans="1:9" ht="27.75" x14ac:dyDescent="0.65">
      <c r="A98" s="790" t="s">
        <v>305</v>
      </c>
      <c r="B98" s="807">
        <v>1</v>
      </c>
      <c r="C98" s="581">
        <v>86</v>
      </c>
      <c r="D98" s="581">
        <v>1892</v>
      </c>
      <c r="E98" s="507">
        <f>ROUND(C98*B98,0)</f>
        <v>86</v>
      </c>
      <c r="F98" s="508">
        <f>ROUND(D98*B98,0)</f>
        <v>1892</v>
      </c>
      <c r="G98" s="515">
        <v>3</v>
      </c>
      <c r="H98" s="384">
        <v>2.25</v>
      </c>
      <c r="I98" s="780">
        <f t="shared" ref="I98:I104" si="32">ROUND(H98*F98*G98,0)</f>
        <v>12771</v>
      </c>
    </row>
    <row r="99" spans="1:9" ht="27.75" x14ac:dyDescent="0.65">
      <c r="A99" s="790" t="s">
        <v>306</v>
      </c>
      <c r="B99" s="807">
        <v>1</v>
      </c>
      <c r="C99" s="581">
        <v>77</v>
      </c>
      <c r="D99" s="581">
        <v>1686</v>
      </c>
      <c r="E99" s="507">
        <f t="shared" ref="E99:E104" si="33">ROUND(C99*B99,0)</f>
        <v>77</v>
      </c>
      <c r="F99" s="508">
        <f t="shared" ref="F99:F104" si="34">ROUND(D99*B99,0)</f>
        <v>1686</v>
      </c>
      <c r="G99" s="543">
        <v>3</v>
      </c>
      <c r="H99" s="384">
        <v>2.25</v>
      </c>
      <c r="I99" s="780">
        <f t="shared" si="32"/>
        <v>11381</v>
      </c>
    </row>
    <row r="100" spans="1:9" ht="27.75" x14ac:dyDescent="0.65">
      <c r="A100" s="790" t="s">
        <v>307</v>
      </c>
      <c r="B100" s="807">
        <v>1</v>
      </c>
      <c r="C100" s="581">
        <v>63</v>
      </c>
      <c r="D100" s="581">
        <v>1380</v>
      </c>
      <c r="E100" s="507">
        <f t="shared" si="33"/>
        <v>63</v>
      </c>
      <c r="F100" s="508">
        <f t="shared" si="34"/>
        <v>1380</v>
      </c>
      <c r="G100" s="543">
        <v>3</v>
      </c>
      <c r="H100" s="384">
        <v>2.25</v>
      </c>
      <c r="I100" s="780">
        <f t="shared" si="32"/>
        <v>9315</v>
      </c>
    </row>
    <row r="101" spans="1:9" ht="27.75" x14ac:dyDescent="0.65">
      <c r="A101" s="790" t="s">
        <v>308</v>
      </c>
      <c r="B101" s="807">
        <v>1</v>
      </c>
      <c r="C101" s="581">
        <v>53</v>
      </c>
      <c r="D101" s="581">
        <v>1168</v>
      </c>
      <c r="E101" s="507">
        <f t="shared" si="33"/>
        <v>53</v>
      </c>
      <c r="F101" s="508">
        <f t="shared" si="34"/>
        <v>1168</v>
      </c>
      <c r="G101" s="543">
        <v>3</v>
      </c>
      <c r="H101" s="384">
        <v>2.25</v>
      </c>
      <c r="I101" s="780">
        <f t="shared" si="32"/>
        <v>7884</v>
      </c>
    </row>
    <row r="102" spans="1:9" ht="27.75" x14ac:dyDescent="0.65">
      <c r="A102" s="790" t="s">
        <v>309</v>
      </c>
      <c r="B102" s="807">
        <v>1</v>
      </c>
      <c r="C102" s="581">
        <v>34</v>
      </c>
      <c r="D102" s="581">
        <v>751</v>
      </c>
      <c r="E102" s="507">
        <f t="shared" si="33"/>
        <v>34</v>
      </c>
      <c r="F102" s="508">
        <f t="shared" si="34"/>
        <v>751</v>
      </c>
      <c r="G102" s="543">
        <v>3</v>
      </c>
      <c r="H102" s="384">
        <v>2.25</v>
      </c>
      <c r="I102" s="780">
        <f t="shared" si="32"/>
        <v>5069</v>
      </c>
    </row>
    <row r="103" spans="1:9" ht="27.75" x14ac:dyDescent="0.65">
      <c r="A103" s="790" t="s">
        <v>310</v>
      </c>
      <c r="B103" s="807">
        <v>1</v>
      </c>
      <c r="C103" s="581">
        <v>70</v>
      </c>
      <c r="D103" s="581">
        <v>1547</v>
      </c>
      <c r="E103" s="507">
        <f t="shared" si="33"/>
        <v>70</v>
      </c>
      <c r="F103" s="508">
        <f t="shared" si="34"/>
        <v>1547</v>
      </c>
      <c r="G103" s="543">
        <v>3</v>
      </c>
      <c r="H103" s="384">
        <v>2.25</v>
      </c>
      <c r="I103" s="780">
        <f t="shared" si="32"/>
        <v>10442</v>
      </c>
    </row>
    <row r="104" spans="1:9" ht="28.5" thickBot="1" x14ac:dyDescent="0.7">
      <c r="A104" s="790" t="s">
        <v>311</v>
      </c>
      <c r="B104" s="807">
        <v>1</v>
      </c>
      <c r="C104" s="581">
        <v>7</v>
      </c>
      <c r="D104" s="581">
        <v>145</v>
      </c>
      <c r="E104" s="507">
        <f t="shared" si="33"/>
        <v>7</v>
      </c>
      <c r="F104" s="508">
        <f t="shared" si="34"/>
        <v>145</v>
      </c>
      <c r="G104" s="543">
        <v>3</v>
      </c>
      <c r="H104" s="384">
        <v>2.25</v>
      </c>
      <c r="I104" s="780">
        <f t="shared" si="32"/>
        <v>979</v>
      </c>
    </row>
    <row r="105" spans="1:9" ht="28.5" thickBot="1" x14ac:dyDescent="0.7">
      <c r="A105" s="1087" t="s">
        <v>413</v>
      </c>
      <c r="B105" s="1088"/>
      <c r="C105" s="1088"/>
      <c r="D105" s="1088"/>
      <c r="E105" s="1088"/>
      <c r="F105" s="1088"/>
      <c r="G105" s="1088"/>
      <c r="H105" s="1088"/>
      <c r="I105" s="782">
        <f>SUM(I98:I104)</f>
        <v>57841</v>
      </c>
    </row>
    <row r="106" spans="1:9" ht="30.75" thickBot="1" x14ac:dyDescent="0.85">
      <c r="A106" s="1293" t="s">
        <v>412</v>
      </c>
      <c r="B106" s="1294"/>
      <c r="C106" s="1294"/>
      <c r="D106" s="1294"/>
      <c r="E106" s="1294"/>
      <c r="F106" s="1294"/>
      <c r="G106" s="1294"/>
      <c r="H106" s="1295"/>
      <c r="I106" s="811">
        <f>I105+I96</f>
        <v>99158</v>
      </c>
    </row>
  </sheetData>
  <mergeCells count="57">
    <mergeCell ref="K3:U3"/>
    <mergeCell ref="A4:I4"/>
    <mergeCell ref="A5:I5"/>
    <mergeCell ref="A1:I1"/>
    <mergeCell ref="A2:B3"/>
    <mergeCell ref="C2:C3"/>
    <mergeCell ref="D2:D3"/>
    <mergeCell ref="E2:E3"/>
    <mergeCell ref="F2:F3"/>
    <mergeCell ref="I2:I3"/>
    <mergeCell ref="H2:H3"/>
    <mergeCell ref="A23:I23"/>
    <mergeCell ref="A7:H7"/>
    <mergeCell ref="A8:I8"/>
    <mergeCell ref="A11:H11"/>
    <mergeCell ref="A12:I12"/>
    <mergeCell ref="A13:I13"/>
    <mergeCell ref="A17:H17"/>
    <mergeCell ref="A18:I18"/>
    <mergeCell ref="A21:H21"/>
    <mergeCell ref="A22:H22"/>
    <mergeCell ref="A77:H77"/>
    <mergeCell ref="A51:I51"/>
    <mergeCell ref="A52:I52"/>
    <mergeCell ref="A55:H55"/>
    <mergeCell ref="A56:I56"/>
    <mergeCell ref="A76:H76"/>
    <mergeCell ref="A29:I29"/>
    <mergeCell ref="A35:H35"/>
    <mergeCell ref="A36:H36"/>
    <mergeCell ref="A63:I63"/>
    <mergeCell ref="A70:I70"/>
    <mergeCell ref="A61:H61"/>
    <mergeCell ref="A62:H62"/>
    <mergeCell ref="A64:I64"/>
    <mergeCell ref="A69:H69"/>
    <mergeCell ref="A105:H105"/>
    <mergeCell ref="A86:I86"/>
    <mergeCell ref="A90:H90"/>
    <mergeCell ref="A93:I93"/>
    <mergeCell ref="A96:H96"/>
    <mergeCell ref="A85:H85"/>
    <mergeCell ref="A106:H106"/>
    <mergeCell ref="G2:G3"/>
    <mergeCell ref="A24:I24"/>
    <mergeCell ref="A28:H28"/>
    <mergeCell ref="A37:I37"/>
    <mergeCell ref="A38:I38"/>
    <mergeCell ref="A42:H42"/>
    <mergeCell ref="A43:I43"/>
    <mergeCell ref="A49:H49"/>
    <mergeCell ref="A50:H50"/>
    <mergeCell ref="A78:I78"/>
    <mergeCell ref="A79:I79"/>
    <mergeCell ref="A91:H91"/>
    <mergeCell ref="A92:I92"/>
    <mergeCell ref="A97:I97"/>
  </mergeCells>
  <pageMargins left="0.23622047244094491" right="0.17" top="0.35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แผ่นงาน</vt:lpstr>
      </vt:variant>
      <vt:variant>
        <vt:i4>11</vt:i4>
      </vt:variant>
      <vt:variant>
        <vt:lpstr>ช่วงที่มีชื่อ</vt:lpstr>
      </vt:variant>
      <vt:variant>
        <vt:i4>7</vt:i4>
      </vt:variant>
    </vt:vector>
  </HeadingPairs>
  <TitlesOfParts>
    <vt:vector size="18" baseType="lpstr">
      <vt:lpstr>จน.ปาล์ม 69 </vt:lpstr>
      <vt:lpstr>ผลผลิต</vt:lpstr>
      <vt:lpstr>ค่าสารเคมี,อัตราจ้าง 69 </vt:lpstr>
      <vt:lpstr>ถางป่าพร้อมทายา 69</vt:lpstr>
      <vt:lpstr>ถากโคน 69</vt:lpstr>
      <vt:lpstr>ตัดหญ้า 69</vt:lpstr>
      <vt:lpstr>ไถ,พรวนดิน 69 </vt:lpstr>
      <vt:lpstr>ฟีโรโมน 69 </vt:lpstr>
      <vt:lpstr>พิโพรนิล 69 </vt:lpstr>
      <vt:lpstr>เจาะฆ่าต้นปาล์ม 69  </vt:lpstr>
      <vt:lpstr>ค่าแรงแหวกโคน 69</vt:lpstr>
      <vt:lpstr>'ค่าสารเคมี,อัตราจ้าง 69 '!Print_Area</vt:lpstr>
      <vt:lpstr>'ค่าแรงแหวกโคน 69'!Print_Titles</vt:lpstr>
      <vt:lpstr>'ค่าสารเคมี,อัตราจ้าง 69 '!Print_Titles</vt:lpstr>
      <vt:lpstr>'จน.ปาล์ม 69 '!Print_Titles</vt:lpstr>
      <vt:lpstr>'ตัดหญ้า 69'!Print_Titles</vt:lpstr>
      <vt:lpstr>'ถางป่าพร้อมทายา 69'!Print_Titles</vt:lpstr>
      <vt:lpstr>ผลผลิต!Print_Titles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2026-04-16T03:42:41Z</dcterms:created>
  <dcterms:modified xsi:type="dcterms:W3CDTF">2026-05-05T09:46:14Z</dcterms:modified>
</cp:coreProperties>
</file>