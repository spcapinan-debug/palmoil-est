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Work\ขนส่งออก\Master Data\"/>
    </mc:Choice>
  </mc:AlternateContent>
  <xr:revisionPtr revIDLastSave="0" documentId="13_ncr:1_{18F7EAE1-9954-4AFE-8C0F-36A7EE170F08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จน.ปาล์ม 69 " sheetId="6" r:id="rId1"/>
    <sheet name="ผลผลิต" sheetId="14" r:id="rId2"/>
    <sheet name="ค่าสารเคมี,อัตราจ้าง 69 " sheetId="1" r:id="rId3"/>
    <sheet name="ถางป่าพร้อมทายา 69" sheetId="3" r:id="rId4"/>
    <sheet name="ถากโคน 69" sheetId="7" r:id="rId5"/>
    <sheet name="ตัดหญ้า 69" sheetId="8" r:id="rId6"/>
    <sheet name="ไถ,พรวนดิน 69 " sheetId="9" r:id="rId7"/>
    <sheet name="ฟีโรโมน 69 " sheetId="10" r:id="rId8"/>
    <sheet name="พิโพรนิล 69 " sheetId="11" r:id="rId9"/>
    <sheet name="เจาะฆ่าต้นปาล์ม 69  " sheetId="13" r:id="rId10"/>
    <sheet name="แหวกโคน 69" sheetId="17" r:id="rId11"/>
  </sheets>
  <definedNames>
    <definedName name="_xlnm.Print_Area" localSheetId="2">'ค่าสารเคมี,อัตราจ้าง 69 '!$A$1:$T$208</definedName>
    <definedName name="_xlnm.Print_Titles" localSheetId="2">'ค่าสารเคมี,อัตราจ้าง 69 '!$1:$5</definedName>
    <definedName name="_xlnm.Print_Titles" localSheetId="0">'จน.ปาล์ม 69 '!$2:$2</definedName>
    <definedName name="_xlnm.Print_Titles" localSheetId="5">'ตัดหญ้า 69'!$1:$4</definedName>
    <definedName name="_xlnm.Print_Titles" localSheetId="3">'ถางป่าพร้อมทายา 69'!$1:$3</definedName>
    <definedName name="_xlnm.Print_Titles" localSheetId="1">ผลผลิต!$1:$3</definedName>
    <definedName name="_xlnm.Print_Titles" localSheetId="10">'แหวกโคน 69'!$1:$3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1" l="1"/>
  <c r="K20" i="14" l="1"/>
  <c r="K5" i="14"/>
  <c r="F7" i="13" l="1"/>
  <c r="F6" i="11" l="1"/>
  <c r="E28" i="10"/>
  <c r="I8" i="9"/>
  <c r="I7" i="9"/>
  <c r="M7" i="8"/>
  <c r="F7" i="7"/>
  <c r="U8" i="1"/>
  <c r="M8" i="1"/>
  <c r="AC8" i="1" s="1"/>
  <c r="F104" i="17" l="1"/>
  <c r="I104" i="17" s="1"/>
  <c r="E104" i="17"/>
  <c r="F103" i="17"/>
  <c r="I103" i="17" s="1"/>
  <c r="E103" i="17"/>
  <c r="F102" i="17"/>
  <c r="I102" i="17" s="1"/>
  <c r="E102" i="17"/>
  <c r="F101" i="17"/>
  <c r="I101" i="17" s="1"/>
  <c r="E101" i="17"/>
  <c r="F100" i="17"/>
  <c r="I100" i="17" s="1"/>
  <c r="E100" i="17"/>
  <c r="F99" i="17"/>
  <c r="I99" i="17" s="1"/>
  <c r="E99" i="17"/>
  <c r="F95" i="17"/>
  <c r="I95" i="17" s="1"/>
  <c r="E95" i="17"/>
  <c r="F94" i="17"/>
  <c r="I94" i="17" s="1"/>
  <c r="E94" i="17"/>
  <c r="F89" i="17"/>
  <c r="I89" i="17" s="1"/>
  <c r="E89" i="17"/>
  <c r="F88" i="17"/>
  <c r="I88" i="17" s="1"/>
  <c r="E88" i="17"/>
  <c r="F87" i="17"/>
  <c r="I87" i="17" s="1"/>
  <c r="E87" i="17"/>
  <c r="F84" i="17"/>
  <c r="I84" i="17" s="1"/>
  <c r="E84" i="17"/>
  <c r="F83" i="17"/>
  <c r="I83" i="17" s="1"/>
  <c r="E83" i="17"/>
  <c r="F82" i="17"/>
  <c r="I82" i="17" s="1"/>
  <c r="E82" i="17"/>
  <c r="F81" i="17"/>
  <c r="I81" i="17" s="1"/>
  <c r="E81" i="17"/>
  <c r="F80" i="17"/>
  <c r="I80" i="17" s="1"/>
  <c r="E80" i="17"/>
  <c r="E74" i="17"/>
  <c r="F75" i="17"/>
  <c r="I75" i="17" s="1"/>
  <c r="E72" i="17"/>
  <c r="F72" i="17"/>
  <c r="I72" i="17" s="1"/>
  <c r="E73" i="17"/>
  <c r="F73" i="17"/>
  <c r="I73" i="17" s="1"/>
  <c r="F74" i="17"/>
  <c r="I74" i="17" s="1"/>
  <c r="E75" i="17"/>
  <c r="F71" i="17"/>
  <c r="I71" i="17" s="1"/>
  <c r="E71" i="17"/>
  <c r="F68" i="17"/>
  <c r="I68" i="17" s="1"/>
  <c r="E68" i="17"/>
  <c r="F67" i="17"/>
  <c r="I67" i="17" s="1"/>
  <c r="E67" i="17"/>
  <c r="F66" i="17"/>
  <c r="I66" i="17" s="1"/>
  <c r="E66" i="17"/>
  <c r="F65" i="17"/>
  <c r="I65" i="17" s="1"/>
  <c r="E65" i="17"/>
  <c r="F60" i="17"/>
  <c r="I60" i="17" s="1"/>
  <c r="E60" i="17"/>
  <c r="F59" i="17"/>
  <c r="I59" i="17" s="1"/>
  <c r="E59" i="17"/>
  <c r="F58" i="17"/>
  <c r="I58" i="17" s="1"/>
  <c r="E58" i="17"/>
  <c r="F57" i="17"/>
  <c r="I57" i="17" s="1"/>
  <c r="E57" i="17"/>
  <c r="F54" i="17"/>
  <c r="I54" i="17" s="1"/>
  <c r="E54" i="17"/>
  <c r="F53" i="17"/>
  <c r="I53" i="17" s="1"/>
  <c r="E53" i="17"/>
  <c r="F48" i="17"/>
  <c r="I48" i="17" s="1"/>
  <c r="E48" i="17"/>
  <c r="F39" i="17"/>
  <c r="I39" i="17" s="1"/>
  <c r="F47" i="17"/>
  <c r="I47" i="17" s="1"/>
  <c r="E47" i="17"/>
  <c r="F46" i="17"/>
  <c r="I46" i="17" s="1"/>
  <c r="E46" i="17"/>
  <c r="F45" i="17"/>
  <c r="I45" i="17" s="1"/>
  <c r="E45" i="17"/>
  <c r="F44" i="17"/>
  <c r="I44" i="17" s="1"/>
  <c r="E44" i="17"/>
  <c r="F41" i="17"/>
  <c r="I41" i="17" s="1"/>
  <c r="E41" i="17"/>
  <c r="F40" i="17"/>
  <c r="I40" i="17" s="1"/>
  <c r="E40" i="17"/>
  <c r="E39" i="17"/>
  <c r="E31" i="17"/>
  <c r="F31" i="17"/>
  <c r="I31" i="17" s="1"/>
  <c r="E32" i="17"/>
  <c r="F32" i="17"/>
  <c r="I32" i="17" s="1"/>
  <c r="E33" i="17"/>
  <c r="F33" i="17"/>
  <c r="I33" i="17" s="1"/>
  <c r="E34" i="17"/>
  <c r="F34" i="17"/>
  <c r="I34" i="17" s="1"/>
  <c r="F26" i="17"/>
  <c r="I26" i="17" s="1"/>
  <c r="F27" i="17"/>
  <c r="I27" i="17" s="1"/>
  <c r="E26" i="17"/>
  <c r="E27" i="17"/>
  <c r="F25" i="17"/>
  <c r="I25" i="17" s="1"/>
  <c r="E25" i="17"/>
  <c r="D20" i="17"/>
  <c r="F20" i="17" s="1"/>
  <c r="I20" i="17" s="1"/>
  <c r="C20" i="17"/>
  <c r="E20" i="17" s="1"/>
  <c r="D19" i="17"/>
  <c r="F19" i="17" s="1"/>
  <c r="I19" i="17" s="1"/>
  <c r="C19" i="17"/>
  <c r="E19" i="17" s="1"/>
  <c r="D16" i="17"/>
  <c r="F16" i="17" s="1"/>
  <c r="I16" i="17" s="1"/>
  <c r="D15" i="17"/>
  <c r="F15" i="17" s="1"/>
  <c r="I15" i="17" s="1"/>
  <c r="D14" i="17"/>
  <c r="F14" i="17" s="1"/>
  <c r="I14" i="17" s="1"/>
  <c r="C16" i="17"/>
  <c r="E16" i="17" s="1"/>
  <c r="C15" i="17"/>
  <c r="E15" i="17" s="1"/>
  <c r="C14" i="17"/>
  <c r="E14" i="17" s="1"/>
  <c r="D6" i="17"/>
  <c r="F6" i="17" s="1"/>
  <c r="C6" i="17"/>
  <c r="E6" i="17" s="1"/>
  <c r="E30" i="17"/>
  <c r="E98" i="17"/>
  <c r="F98" i="17"/>
  <c r="I98" i="17" s="1"/>
  <c r="F30" i="17"/>
  <c r="I30" i="17" s="1"/>
  <c r="D10" i="17"/>
  <c r="F10" i="17" s="1"/>
  <c r="I10" i="17" s="1"/>
  <c r="C10" i="17"/>
  <c r="E10" i="17" s="1"/>
  <c r="D9" i="17"/>
  <c r="F9" i="17" s="1"/>
  <c r="I9" i="17" s="1"/>
  <c r="C9" i="17"/>
  <c r="E9" i="17" s="1"/>
  <c r="I6" i="17" l="1"/>
  <c r="I7" i="17" s="1"/>
  <c r="I96" i="17"/>
  <c r="I105" i="17"/>
  <c r="I106" i="17" s="1"/>
  <c r="I90" i="17"/>
  <c r="I85" i="17"/>
  <c r="I69" i="17"/>
  <c r="I76" i="17"/>
  <c r="I61" i="17"/>
  <c r="I55" i="17"/>
  <c r="I42" i="17"/>
  <c r="I49" i="17"/>
  <c r="I35" i="17"/>
  <c r="I28" i="17"/>
  <c r="I11" i="17"/>
  <c r="I17" i="17"/>
  <c r="I21" i="17"/>
  <c r="I91" i="17" l="1"/>
  <c r="I77" i="17"/>
  <c r="I50" i="17"/>
  <c r="I62" i="17"/>
  <c r="I36" i="17"/>
  <c r="I22" i="17"/>
  <c r="F95" i="14"/>
  <c r="I93" i="14"/>
  <c r="H93" i="14" s="1"/>
  <c r="E93" i="14"/>
  <c r="E94" i="14" s="1"/>
  <c r="F93" i="14"/>
  <c r="F94" i="14" s="1"/>
  <c r="F96" i="14" s="1"/>
  <c r="J93" i="14"/>
  <c r="J94" i="14" s="1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H92" i="14"/>
  <c r="H91" i="14"/>
  <c r="H90" i="14"/>
  <c r="H89" i="14"/>
  <c r="H88" i="14"/>
  <c r="G93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K74" i="14"/>
  <c r="H74" i="14"/>
  <c r="K72" i="14"/>
  <c r="K71" i="14"/>
  <c r="K61" i="14"/>
  <c r="K59" i="14"/>
  <c r="K58" i="14"/>
  <c r="J73" i="14"/>
  <c r="I73" i="14"/>
  <c r="I94" i="14" s="1"/>
  <c r="F73" i="14"/>
  <c r="G73" i="14"/>
  <c r="E73" i="14"/>
  <c r="H72" i="14"/>
  <c r="H71" i="14"/>
  <c r="K70" i="14"/>
  <c r="H70" i="14"/>
  <c r="K69" i="14"/>
  <c r="H69" i="14"/>
  <c r="K68" i="14"/>
  <c r="H68" i="14"/>
  <c r="K67" i="14"/>
  <c r="H67" i="14"/>
  <c r="K66" i="14"/>
  <c r="H66" i="14"/>
  <c r="K65" i="14"/>
  <c r="H65" i="14"/>
  <c r="K64" i="14"/>
  <c r="H64" i="14"/>
  <c r="K63" i="14"/>
  <c r="H63" i="14"/>
  <c r="K62" i="14"/>
  <c r="H62" i="14"/>
  <c r="H61" i="14"/>
  <c r="K60" i="14"/>
  <c r="H60" i="14"/>
  <c r="H59" i="14"/>
  <c r="H58" i="14"/>
  <c r="K55" i="14"/>
  <c r="K54" i="14"/>
  <c r="K53" i="14"/>
  <c r="K56" i="14" s="1"/>
  <c r="J56" i="14"/>
  <c r="I56" i="14"/>
  <c r="G56" i="14"/>
  <c r="F56" i="14"/>
  <c r="E56" i="14"/>
  <c r="E95" i="14" s="1"/>
  <c r="I52" i="14"/>
  <c r="I95" i="14" s="1"/>
  <c r="H95" i="14" s="1"/>
  <c r="J52" i="14"/>
  <c r="K50" i="14"/>
  <c r="F52" i="14"/>
  <c r="E52" i="14"/>
  <c r="G52" i="14"/>
  <c r="K51" i="14"/>
  <c r="K49" i="14"/>
  <c r="K48" i="14"/>
  <c r="K47" i="14"/>
  <c r="K46" i="14"/>
  <c r="K45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30" i="14"/>
  <c r="J44" i="14"/>
  <c r="H41" i="14"/>
  <c r="H40" i="14"/>
  <c r="H39" i="14"/>
  <c r="H38" i="14"/>
  <c r="H37" i="14"/>
  <c r="H36" i="14"/>
  <c r="H35" i="14"/>
  <c r="H34" i="14"/>
  <c r="F44" i="14"/>
  <c r="E44" i="14"/>
  <c r="I44" i="14"/>
  <c r="G44" i="14"/>
  <c r="H43" i="14"/>
  <c r="H42" i="14"/>
  <c r="H33" i="14"/>
  <c r="H32" i="14"/>
  <c r="H31" i="14"/>
  <c r="H30" i="14"/>
  <c r="I29" i="14"/>
  <c r="F29" i="14"/>
  <c r="E29" i="14"/>
  <c r="J29" i="14"/>
  <c r="K26" i="14"/>
  <c r="K27" i="14"/>
  <c r="K28" i="14"/>
  <c r="H22" i="14"/>
  <c r="G29" i="14"/>
  <c r="H28" i="14"/>
  <c r="H27" i="14"/>
  <c r="H26" i="14"/>
  <c r="K25" i="14"/>
  <c r="H25" i="14"/>
  <c r="K24" i="14"/>
  <c r="H24" i="14"/>
  <c r="K23" i="14"/>
  <c r="H23" i="14"/>
  <c r="K22" i="14"/>
  <c r="E21" i="14"/>
  <c r="J21" i="14"/>
  <c r="J95" i="14" s="1"/>
  <c r="K8" i="14"/>
  <c r="K6" i="14"/>
  <c r="K7" i="14"/>
  <c r="K9" i="14"/>
  <c r="K10" i="14"/>
  <c r="K11" i="14"/>
  <c r="K12" i="14"/>
  <c r="K13" i="14"/>
  <c r="K14" i="14"/>
  <c r="K15" i="14"/>
  <c r="K16" i="14"/>
  <c r="K17" i="14"/>
  <c r="K18" i="14"/>
  <c r="K19" i="14"/>
  <c r="G21" i="14"/>
  <c r="I21" i="14"/>
  <c r="H19" i="14"/>
  <c r="H20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6" i="14"/>
  <c r="H5" i="14"/>
  <c r="F21" i="14"/>
  <c r="J96" i="14" l="1"/>
  <c r="H94" i="14"/>
  <c r="I96" i="14"/>
  <c r="E96" i="14"/>
  <c r="H96" i="14" s="1"/>
  <c r="K21" i="14"/>
  <c r="K93" i="14"/>
  <c r="H56" i="14"/>
  <c r="K73" i="14"/>
  <c r="H73" i="14"/>
  <c r="K44" i="14"/>
  <c r="H52" i="14"/>
  <c r="K52" i="14"/>
  <c r="H29" i="14"/>
  <c r="H44" i="14"/>
  <c r="K29" i="14"/>
  <c r="H21" i="14"/>
  <c r="K95" i="14" l="1"/>
  <c r="K94" i="14"/>
  <c r="F164" i="6"/>
  <c r="H157" i="6"/>
  <c r="H158" i="6"/>
  <c r="H159" i="6"/>
  <c r="H160" i="6"/>
  <c r="H161" i="6"/>
  <c r="H162" i="6"/>
  <c r="H163" i="6"/>
  <c r="H156" i="6"/>
  <c r="H164" i="6" s="1"/>
  <c r="H165" i="6" s="1"/>
  <c r="F155" i="6"/>
  <c r="E155" i="6"/>
  <c r="H154" i="6"/>
  <c r="H153" i="6"/>
  <c r="H152" i="6"/>
  <c r="H151" i="6"/>
  <c r="H150" i="6"/>
  <c r="H149" i="6"/>
  <c r="H148" i="6"/>
  <c r="H155" i="6" s="1"/>
  <c r="K96" i="14" l="1"/>
  <c r="E147" i="6"/>
  <c r="H146" i="6"/>
  <c r="H145" i="6"/>
  <c r="H144" i="6"/>
  <c r="H143" i="6"/>
  <c r="H142" i="6"/>
  <c r="H141" i="6"/>
  <c r="H140" i="6"/>
  <c r="H139" i="6"/>
  <c r="H138" i="6"/>
  <c r="H125" i="6"/>
  <c r="H126" i="6"/>
  <c r="H127" i="6"/>
  <c r="H128" i="6"/>
  <c r="H129" i="6"/>
  <c r="H130" i="6"/>
  <c r="H131" i="6"/>
  <c r="H132" i="6"/>
  <c r="H133" i="6"/>
  <c r="H134" i="6"/>
  <c r="H124" i="6"/>
  <c r="F123" i="6"/>
  <c r="E123" i="6"/>
  <c r="H122" i="6"/>
  <c r="H121" i="6"/>
  <c r="H120" i="6"/>
  <c r="H119" i="6"/>
  <c r="H123" i="6" s="1"/>
  <c r="H118" i="6"/>
  <c r="H113" i="6"/>
  <c r="H114" i="6" s="1"/>
  <c r="H115" i="6" s="1"/>
  <c r="H116" i="6" s="1"/>
  <c r="E112" i="6"/>
  <c r="F112" i="6"/>
  <c r="H111" i="6"/>
  <c r="H109" i="6"/>
  <c r="H108" i="6"/>
  <c r="H112" i="6" s="1"/>
  <c r="H110" i="6"/>
  <c r="H105" i="6"/>
  <c r="H106" i="6" s="1"/>
  <c r="H104" i="6"/>
  <c r="H103" i="6"/>
  <c r="H102" i="6"/>
  <c r="H97" i="6"/>
  <c r="H98" i="6" s="1"/>
  <c r="E96" i="6"/>
  <c r="F96" i="6"/>
  <c r="H94" i="6"/>
  <c r="H95" i="6"/>
  <c r="H93" i="6"/>
  <c r="H92" i="6"/>
  <c r="H91" i="6"/>
  <c r="H90" i="6"/>
  <c r="H89" i="6"/>
  <c r="H96" i="6" s="1"/>
  <c r="H88" i="6"/>
  <c r="H84" i="6"/>
  <c r="H83" i="6"/>
  <c r="H82" i="6"/>
  <c r="H85" i="6" s="1"/>
  <c r="H77" i="6"/>
  <c r="F78" i="6"/>
  <c r="E78" i="6"/>
  <c r="H78" i="6" s="1"/>
  <c r="H71" i="6"/>
  <c r="H72" i="6"/>
  <c r="H73" i="6"/>
  <c r="H74" i="6"/>
  <c r="H75" i="6"/>
  <c r="F76" i="6"/>
  <c r="E76" i="6"/>
  <c r="E70" i="6"/>
  <c r="H69" i="6"/>
  <c r="H68" i="6"/>
  <c r="H70" i="6" s="1"/>
  <c r="H67" i="6"/>
  <c r="F70" i="6"/>
  <c r="H65" i="6"/>
  <c r="H66" i="6" s="1"/>
  <c r="E62" i="6"/>
  <c r="F62" i="6"/>
  <c r="H61" i="6"/>
  <c r="H60" i="6"/>
  <c r="H59" i="6"/>
  <c r="H62" i="6" s="1"/>
  <c r="E58" i="6"/>
  <c r="E63" i="6" s="1"/>
  <c r="F58" i="6"/>
  <c r="F63" i="6" s="1"/>
  <c r="H48" i="6"/>
  <c r="H40" i="6"/>
  <c r="H39" i="6"/>
  <c r="H33" i="6"/>
  <c r="H27" i="6"/>
  <c r="H21" i="6"/>
  <c r="H20" i="6"/>
  <c r="H15" i="6"/>
  <c r="H14" i="6"/>
  <c r="H13" i="6"/>
  <c r="H11" i="6"/>
  <c r="H7" i="6"/>
  <c r="H8" i="6" s="1"/>
  <c r="H4" i="6"/>
  <c r="H5" i="6"/>
  <c r="H49" i="6"/>
  <c r="H58" i="6" s="1"/>
  <c r="H63" i="6" s="1"/>
  <c r="H50" i="6"/>
  <c r="H51" i="6"/>
  <c r="H52" i="6"/>
  <c r="H53" i="6"/>
  <c r="H54" i="6"/>
  <c r="H55" i="6"/>
  <c r="H56" i="6"/>
  <c r="H57" i="6"/>
  <c r="H44" i="6"/>
  <c r="F44" i="6"/>
  <c r="E44" i="6"/>
  <c r="H43" i="6"/>
  <c r="H42" i="6"/>
  <c r="H29" i="6"/>
  <c r="E38" i="6"/>
  <c r="H32" i="6"/>
  <c r="H37" i="6"/>
  <c r="H36" i="6"/>
  <c r="H35" i="6"/>
  <c r="H34" i="6"/>
  <c r="H25" i="6"/>
  <c r="H30" i="6" s="1"/>
  <c r="H28" i="6"/>
  <c r="H26" i="6"/>
  <c r="H24" i="6"/>
  <c r="H22" i="6"/>
  <c r="H23" i="6"/>
  <c r="H16" i="6"/>
  <c r="H12" i="6"/>
  <c r="H17" i="6" s="1"/>
  <c r="H14" i="13"/>
  <c r="H15" i="13"/>
  <c r="H13" i="13"/>
  <c r="H16" i="13" s="1"/>
  <c r="H17" i="13" s="1"/>
  <c r="F15" i="13"/>
  <c r="F14" i="13"/>
  <c r="F16" i="13" s="1"/>
  <c r="F17" i="13" s="1"/>
  <c r="F13" i="13"/>
  <c r="D16" i="13"/>
  <c r="C16" i="13"/>
  <c r="H8" i="13"/>
  <c r="H7" i="13"/>
  <c r="F8" i="13"/>
  <c r="F9" i="13" s="1"/>
  <c r="F10" i="13" s="1"/>
  <c r="F7" i="8"/>
  <c r="D9" i="13"/>
  <c r="C9" i="13"/>
  <c r="H34" i="11"/>
  <c r="F37" i="11"/>
  <c r="F36" i="11"/>
  <c r="F35" i="11"/>
  <c r="E32" i="11"/>
  <c r="F32" i="11" s="1"/>
  <c r="E33" i="11"/>
  <c r="F33" i="11" s="1"/>
  <c r="E34" i="11"/>
  <c r="F34" i="11" s="1"/>
  <c r="E35" i="11"/>
  <c r="E36" i="11"/>
  <c r="E37" i="11"/>
  <c r="E31" i="11"/>
  <c r="F31" i="11" s="1"/>
  <c r="E164" i="6"/>
  <c r="E165" i="6" s="1"/>
  <c r="B38" i="11"/>
  <c r="C38" i="11"/>
  <c r="E28" i="11"/>
  <c r="H28" i="11" s="1"/>
  <c r="E27" i="11"/>
  <c r="H27" i="11" s="1"/>
  <c r="C29" i="11"/>
  <c r="B29" i="11"/>
  <c r="E23" i="11"/>
  <c r="H23" i="11" s="1"/>
  <c r="E22" i="11"/>
  <c r="H22" i="11" s="1"/>
  <c r="E21" i="11"/>
  <c r="H21" i="11" s="1"/>
  <c r="C24" i="11"/>
  <c r="B24" i="11"/>
  <c r="B19" i="11"/>
  <c r="C19" i="11"/>
  <c r="H6" i="11"/>
  <c r="E14" i="11"/>
  <c r="E10" i="11"/>
  <c r="F10" i="11" s="1"/>
  <c r="E15" i="11"/>
  <c r="F15" i="11" s="1"/>
  <c r="E9" i="11"/>
  <c r="F9" i="11" s="1"/>
  <c r="E16" i="11"/>
  <c r="F16" i="11" s="1"/>
  <c r="E17" i="11"/>
  <c r="F17" i="11" s="1"/>
  <c r="E18" i="11"/>
  <c r="F18" i="11" s="1"/>
  <c r="B11" i="11"/>
  <c r="C11" i="11"/>
  <c r="E7" i="11"/>
  <c r="E8" i="11"/>
  <c r="H8" i="11" s="1"/>
  <c r="H32" i="10"/>
  <c r="H33" i="10"/>
  <c r="H34" i="10"/>
  <c r="H35" i="10"/>
  <c r="H36" i="10"/>
  <c r="H37" i="10"/>
  <c r="H31" i="10"/>
  <c r="H38" i="10" s="1"/>
  <c r="G32" i="10"/>
  <c r="G38" i="10" s="1"/>
  <c r="G33" i="10"/>
  <c r="G34" i="10"/>
  <c r="G35" i="10"/>
  <c r="G36" i="10"/>
  <c r="G37" i="10"/>
  <c r="G31" i="10"/>
  <c r="F37" i="10"/>
  <c r="F32" i="10"/>
  <c r="F38" i="10" s="1"/>
  <c r="F33" i="10"/>
  <c r="F34" i="10"/>
  <c r="F35" i="10"/>
  <c r="F36" i="10"/>
  <c r="F31" i="10"/>
  <c r="E32" i="10"/>
  <c r="E38" i="10" s="1"/>
  <c r="E33" i="10"/>
  <c r="I33" i="10" s="1"/>
  <c r="E34" i="10"/>
  <c r="I34" i="10" s="1"/>
  <c r="E35" i="10"/>
  <c r="I35" i="10" s="1"/>
  <c r="E36" i="10"/>
  <c r="I36" i="10" s="1"/>
  <c r="E37" i="10"/>
  <c r="I37" i="10" s="1"/>
  <c r="E31" i="10"/>
  <c r="I31" i="10" s="1"/>
  <c r="C38" i="10"/>
  <c r="B38" i="10"/>
  <c r="H28" i="10"/>
  <c r="H27" i="10"/>
  <c r="G28" i="10"/>
  <c r="G27" i="10"/>
  <c r="F28" i="10"/>
  <c r="F27" i="10"/>
  <c r="E27" i="10"/>
  <c r="B29" i="10"/>
  <c r="C29" i="10"/>
  <c r="H23" i="10"/>
  <c r="H22" i="10"/>
  <c r="H21" i="10"/>
  <c r="G23" i="10"/>
  <c r="G22" i="10"/>
  <c r="G21" i="10"/>
  <c r="F23" i="10"/>
  <c r="F22" i="10"/>
  <c r="F21" i="10"/>
  <c r="E23" i="10"/>
  <c r="E22" i="10"/>
  <c r="E21" i="10"/>
  <c r="C24" i="10"/>
  <c r="B24" i="10"/>
  <c r="C19" i="10"/>
  <c r="B19" i="10"/>
  <c r="I14" i="10"/>
  <c r="E18" i="10"/>
  <c r="E17" i="10"/>
  <c r="E16" i="10"/>
  <c r="F15" i="10"/>
  <c r="G15" i="10"/>
  <c r="H15" i="10"/>
  <c r="F16" i="10"/>
  <c r="G16" i="10"/>
  <c r="H16" i="10"/>
  <c r="F17" i="10"/>
  <c r="G17" i="10"/>
  <c r="H17" i="10"/>
  <c r="F18" i="10"/>
  <c r="G18" i="10"/>
  <c r="H18" i="10"/>
  <c r="B11" i="10"/>
  <c r="F7" i="10"/>
  <c r="F8" i="10"/>
  <c r="F9" i="10"/>
  <c r="F10" i="10"/>
  <c r="F6" i="10"/>
  <c r="E6" i="10"/>
  <c r="H11" i="10"/>
  <c r="G11" i="10"/>
  <c r="E7" i="10"/>
  <c r="E8" i="10"/>
  <c r="E9" i="10"/>
  <c r="E10" i="10"/>
  <c r="C11" i="10"/>
  <c r="H76" i="6" l="1"/>
  <c r="H79" i="6" s="1"/>
  <c r="H80" i="6" s="1"/>
  <c r="I32" i="10"/>
  <c r="I38" i="10" s="1"/>
  <c r="D31" i="10" s="1"/>
  <c r="H33" i="11"/>
  <c r="I27" i="10"/>
  <c r="H32" i="11"/>
  <c r="I9" i="10"/>
  <c r="I28" i="10"/>
  <c r="H31" i="11"/>
  <c r="H41" i="6"/>
  <c r="H135" i="6"/>
  <c r="H136" i="6" s="1"/>
  <c r="H166" i="6" s="1"/>
  <c r="G29" i="10"/>
  <c r="F28" i="11"/>
  <c r="H7" i="11"/>
  <c r="F7" i="11"/>
  <c r="E38" i="11"/>
  <c r="H38" i="11" s="1"/>
  <c r="F23" i="11"/>
  <c r="H6" i="6"/>
  <c r="H9" i="6" s="1"/>
  <c r="H18" i="6" s="1"/>
  <c r="H38" i="6"/>
  <c r="H9" i="13"/>
  <c r="H10" i="13" s="1"/>
  <c r="E29" i="11"/>
  <c r="H29" i="11" s="1"/>
  <c r="E19" i="11"/>
  <c r="H19" i="11" s="1"/>
  <c r="H10" i="11"/>
  <c r="F22" i="11"/>
  <c r="F14" i="11"/>
  <c r="F19" i="11" s="1"/>
  <c r="H18" i="11"/>
  <c r="F21" i="11"/>
  <c r="E24" i="11"/>
  <c r="H24" i="11" s="1"/>
  <c r="H17" i="11"/>
  <c r="H14" i="11"/>
  <c r="H16" i="11"/>
  <c r="H9" i="11"/>
  <c r="H15" i="11"/>
  <c r="E11" i="11"/>
  <c r="H11" i="11" s="1"/>
  <c r="H36" i="11"/>
  <c r="F8" i="11"/>
  <c r="H35" i="11"/>
  <c r="F27" i="11"/>
  <c r="H37" i="11"/>
  <c r="I29" i="10"/>
  <c r="D27" i="10" s="1"/>
  <c r="E29" i="10"/>
  <c r="F29" i="10"/>
  <c r="H29" i="10"/>
  <c r="I17" i="10"/>
  <c r="E19" i="10"/>
  <c r="I22" i="10"/>
  <c r="I23" i="10"/>
  <c r="H24" i="10"/>
  <c r="I21" i="10"/>
  <c r="F19" i="10"/>
  <c r="I8" i="10"/>
  <c r="I18" i="10"/>
  <c r="I16" i="10"/>
  <c r="H19" i="10"/>
  <c r="G19" i="10"/>
  <c r="I15" i="10"/>
  <c r="E11" i="10"/>
  <c r="F11" i="10" s="1"/>
  <c r="I6" i="10"/>
  <c r="I7" i="10"/>
  <c r="I10" i="10"/>
  <c r="E24" i="10"/>
  <c r="H45" i="6" l="1"/>
  <c r="H46" i="6" s="1"/>
  <c r="F29" i="11"/>
  <c r="F24" i="11"/>
  <c r="F11" i="11"/>
  <c r="F38" i="11"/>
  <c r="I24" i="10"/>
  <c r="D21" i="10" s="1"/>
  <c r="I11" i="10"/>
  <c r="D6" i="10" s="1"/>
  <c r="I19" i="10"/>
  <c r="D14" i="10" s="1"/>
  <c r="G24" i="10"/>
  <c r="F24" i="10"/>
  <c r="J119" i="8" l="1"/>
  <c r="M118" i="8"/>
  <c r="N118" i="8"/>
  <c r="O118" i="8"/>
  <c r="M117" i="8"/>
  <c r="N117" i="8"/>
  <c r="O117" i="8"/>
  <c r="L118" i="8"/>
  <c r="L117" i="8"/>
  <c r="K117" i="8"/>
  <c r="D119" i="8"/>
  <c r="C119" i="8"/>
  <c r="P119" i="8"/>
  <c r="N119" i="8"/>
  <c r="L119" i="8"/>
  <c r="H119" i="8"/>
  <c r="Q118" i="8"/>
  <c r="P118" i="8"/>
  <c r="F118" i="8"/>
  <c r="F119" i="8" s="1"/>
  <c r="E118" i="8"/>
  <c r="K118" i="8" s="1"/>
  <c r="K119" i="8" s="1"/>
  <c r="Q117" i="8"/>
  <c r="P117" i="8"/>
  <c r="F117" i="8"/>
  <c r="E117" i="8"/>
  <c r="I117" i="8" s="1"/>
  <c r="P128" i="8"/>
  <c r="Q123" i="8"/>
  <c r="Q122" i="8"/>
  <c r="Q121" i="8"/>
  <c r="P123" i="8"/>
  <c r="P122" i="8"/>
  <c r="P121" i="8"/>
  <c r="M125" i="8"/>
  <c r="O125" i="8"/>
  <c r="K127" i="8"/>
  <c r="J127" i="8"/>
  <c r="I127" i="8"/>
  <c r="H127" i="8"/>
  <c r="K126" i="8"/>
  <c r="J126" i="8"/>
  <c r="I126" i="8"/>
  <c r="H126" i="8"/>
  <c r="K125" i="8"/>
  <c r="J125" i="8"/>
  <c r="I125" i="8"/>
  <c r="H125" i="8"/>
  <c r="K124" i="8"/>
  <c r="J124" i="8"/>
  <c r="I124" i="8"/>
  <c r="H124" i="8"/>
  <c r="K123" i="8"/>
  <c r="J123" i="8"/>
  <c r="I123" i="8"/>
  <c r="H123" i="8"/>
  <c r="F122" i="8"/>
  <c r="F123" i="8"/>
  <c r="F124" i="8"/>
  <c r="F125" i="8"/>
  <c r="F126" i="8"/>
  <c r="F127" i="8"/>
  <c r="E122" i="8"/>
  <c r="O122" i="8" s="1"/>
  <c r="E123" i="8"/>
  <c r="O123" i="8" s="1"/>
  <c r="E124" i="8"/>
  <c r="Q124" i="8" s="1"/>
  <c r="E125" i="8"/>
  <c r="Q125" i="8" s="1"/>
  <c r="E126" i="8"/>
  <c r="M126" i="8" s="1"/>
  <c r="E127" i="8"/>
  <c r="M127" i="8" s="1"/>
  <c r="E121" i="8"/>
  <c r="M121" i="8" s="1"/>
  <c r="D128" i="8"/>
  <c r="C128" i="8"/>
  <c r="N128" i="8"/>
  <c r="L128" i="8"/>
  <c r="I128" i="8"/>
  <c r="H128" i="8"/>
  <c r="K122" i="8"/>
  <c r="J122" i="8"/>
  <c r="I122" i="8"/>
  <c r="H122" i="8"/>
  <c r="K121" i="8"/>
  <c r="J121" i="8"/>
  <c r="I121" i="8"/>
  <c r="H121" i="8"/>
  <c r="F121" i="8"/>
  <c r="D114" i="8"/>
  <c r="C114" i="8"/>
  <c r="K108" i="8"/>
  <c r="E108" i="8"/>
  <c r="I108" i="8" s="1"/>
  <c r="E107" i="8"/>
  <c r="K107" i="8" s="1"/>
  <c r="E106" i="8"/>
  <c r="K106" i="8" s="1"/>
  <c r="E105" i="8"/>
  <c r="I105" i="8" s="1"/>
  <c r="E104" i="8"/>
  <c r="K104" i="8" s="1"/>
  <c r="E99" i="8"/>
  <c r="O99" i="8" s="1"/>
  <c r="I106" i="8"/>
  <c r="F105" i="8"/>
  <c r="F106" i="8"/>
  <c r="F107" i="8"/>
  <c r="F108" i="8"/>
  <c r="D109" i="8"/>
  <c r="C109" i="8"/>
  <c r="P114" i="8"/>
  <c r="N114" i="8"/>
  <c r="L114" i="8"/>
  <c r="I114" i="8"/>
  <c r="H114" i="8"/>
  <c r="K113" i="8"/>
  <c r="J113" i="8"/>
  <c r="I113" i="8"/>
  <c r="H113" i="8"/>
  <c r="F113" i="8"/>
  <c r="E113" i="8"/>
  <c r="Q113" i="8" s="1"/>
  <c r="K112" i="8"/>
  <c r="J112" i="8"/>
  <c r="I112" i="8"/>
  <c r="H112" i="8"/>
  <c r="F112" i="8"/>
  <c r="E112" i="8"/>
  <c r="Q112" i="8" s="1"/>
  <c r="K111" i="8"/>
  <c r="J111" i="8"/>
  <c r="I111" i="8"/>
  <c r="H111" i="8"/>
  <c r="F111" i="8"/>
  <c r="E111" i="8"/>
  <c r="M111" i="8" s="1"/>
  <c r="Q109" i="8"/>
  <c r="P109" i="8"/>
  <c r="O109" i="8"/>
  <c r="N109" i="8"/>
  <c r="M109" i="8"/>
  <c r="L109" i="8"/>
  <c r="J109" i="8"/>
  <c r="F104" i="8"/>
  <c r="H100" i="8"/>
  <c r="I100" i="8"/>
  <c r="J100" i="8"/>
  <c r="K100" i="8"/>
  <c r="D101" i="8"/>
  <c r="F97" i="8"/>
  <c r="F98" i="8"/>
  <c r="F99" i="8"/>
  <c r="F100" i="8"/>
  <c r="E97" i="8"/>
  <c r="Q97" i="8" s="1"/>
  <c r="E98" i="8"/>
  <c r="M98" i="8" s="1"/>
  <c r="E100" i="8"/>
  <c r="Q100" i="8" s="1"/>
  <c r="E96" i="8"/>
  <c r="M96" i="8" s="1"/>
  <c r="F91" i="8"/>
  <c r="F92" i="8"/>
  <c r="F93" i="8"/>
  <c r="F90" i="8"/>
  <c r="E91" i="8"/>
  <c r="I91" i="8" s="1"/>
  <c r="E92" i="8"/>
  <c r="I92" i="8" s="1"/>
  <c r="E93" i="8"/>
  <c r="K93" i="8" s="1"/>
  <c r="E90" i="8"/>
  <c r="I90" i="8" s="1"/>
  <c r="D94" i="8"/>
  <c r="C94" i="8"/>
  <c r="P101" i="8"/>
  <c r="N101" i="8"/>
  <c r="L101" i="8"/>
  <c r="I101" i="8"/>
  <c r="H101" i="8"/>
  <c r="C101" i="8"/>
  <c r="K99" i="8"/>
  <c r="J99" i="8"/>
  <c r="I99" i="8"/>
  <c r="H99" i="8"/>
  <c r="K98" i="8"/>
  <c r="J98" i="8"/>
  <c r="I98" i="8"/>
  <c r="H98" i="8"/>
  <c r="K97" i="8"/>
  <c r="J97" i="8"/>
  <c r="I97" i="8"/>
  <c r="H97" i="8"/>
  <c r="K96" i="8"/>
  <c r="J96" i="8"/>
  <c r="I96" i="8"/>
  <c r="H96" i="8"/>
  <c r="F96" i="8"/>
  <c r="Q94" i="8"/>
  <c r="P94" i="8"/>
  <c r="O94" i="8"/>
  <c r="N94" i="8"/>
  <c r="M94" i="8"/>
  <c r="L94" i="8"/>
  <c r="J94" i="8"/>
  <c r="P87" i="8"/>
  <c r="Q81" i="8"/>
  <c r="P81" i="8"/>
  <c r="P76" i="8"/>
  <c r="Q69" i="8"/>
  <c r="P69" i="8"/>
  <c r="P63" i="8"/>
  <c r="Q62" i="8"/>
  <c r="Q61" i="8"/>
  <c r="Q60" i="8"/>
  <c r="Q59" i="8"/>
  <c r="Q58" i="8"/>
  <c r="Q56" i="8"/>
  <c r="P56" i="8"/>
  <c r="Q50" i="8"/>
  <c r="P50" i="8"/>
  <c r="Q44" i="8"/>
  <c r="P44" i="8"/>
  <c r="Q38" i="8"/>
  <c r="P38" i="8"/>
  <c r="P29" i="8"/>
  <c r="Q28" i="8"/>
  <c r="P28" i="8"/>
  <c r="Q16" i="8"/>
  <c r="Q15" i="8"/>
  <c r="P15" i="8"/>
  <c r="P16" i="8" s="1"/>
  <c r="Q11" i="8"/>
  <c r="P11" i="8"/>
  <c r="Q8" i="8"/>
  <c r="P8" i="8"/>
  <c r="D81" i="8"/>
  <c r="C81" i="8"/>
  <c r="N87" i="8"/>
  <c r="L87" i="8"/>
  <c r="I87" i="8"/>
  <c r="H87" i="8"/>
  <c r="D87" i="8"/>
  <c r="C87" i="8"/>
  <c r="K86" i="8"/>
  <c r="J86" i="8"/>
  <c r="I86" i="8"/>
  <c r="H86" i="8"/>
  <c r="F86" i="8"/>
  <c r="E86" i="8"/>
  <c r="O86" i="8" s="1"/>
  <c r="K85" i="8"/>
  <c r="J85" i="8"/>
  <c r="I85" i="8"/>
  <c r="H85" i="8"/>
  <c r="F85" i="8"/>
  <c r="E85" i="8"/>
  <c r="O85" i="8" s="1"/>
  <c r="K84" i="8"/>
  <c r="J84" i="8"/>
  <c r="I84" i="8"/>
  <c r="H84" i="8"/>
  <c r="F84" i="8"/>
  <c r="E84" i="8"/>
  <c r="O84" i="8" s="1"/>
  <c r="K83" i="8"/>
  <c r="J83" i="8"/>
  <c r="I83" i="8"/>
  <c r="H83" i="8"/>
  <c r="F83" i="8"/>
  <c r="E83" i="8"/>
  <c r="Q83" i="8" s="1"/>
  <c r="O81" i="8"/>
  <c r="N81" i="8"/>
  <c r="M81" i="8"/>
  <c r="L81" i="8"/>
  <c r="J81" i="8"/>
  <c r="F80" i="8"/>
  <c r="E80" i="8"/>
  <c r="K80" i="8" s="1"/>
  <c r="F79" i="8"/>
  <c r="E79" i="8"/>
  <c r="K79" i="8" s="1"/>
  <c r="I76" i="8"/>
  <c r="K75" i="8"/>
  <c r="J75" i="8"/>
  <c r="I75" i="8"/>
  <c r="Q75" i="8" s="1"/>
  <c r="H75" i="8"/>
  <c r="K74" i="8"/>
  <c r="J74" i="8"/>
  <c r="I74" i="8"/>
  <c r="Q74" i="8" s="1"/>
  <c r="H74" i="8"/>
  <c r="K73" i="8"/>
  <c r="J73" i="8"/>
  <c r="I73" i="8"/>
  <c r="Q73" i="8" s="1"/>
  <c r="H73" i="8"/>
  <c r="K72" i="8"/>
  <c r="J72" i="8"/>
  <c r="I72" i="8"/>
  <c r="Q72" i="8" s="1"/>
  <c r="H72" i="8"/>
  <c r="K71" i="8"/>
  <c r="J71" i="8"/>
  <c r="J76" i="8" s="1"/>
  <c r="I71" i="8"/>
  <c r="Q71" i="8" s="1"/>
  <c r="C76" i="8"/>
  <c r="D76" i="8"/>
  <c r="F72" i="8"/>
  <c r="F73" i="8"/>
  <c r="F74" i="8"/>
  <c r="F75" i="8"/>
  <c r="E72" i="8"/>
  <c r="O72" i="8" s="1"/>
  <c r="E73" i="8"/>
  <c r="O73" i="8" s="1"/>
  <c r="E74" i="8"/>
  <c r="M74" i="8" s="1"/>
  <c r="E75" i="8"/>
  <c r="M75" i="8" s="1"/>
  <c r="F66" i="8"/>
  <c r="E66" i="8"/>
  <c r="K66" i="8" s="1"/>
  <c r="D69" i="8"/>
  <c r="C69" i="8"/>
  <c r="N76" i="8"/>
  <c r="L76" i="8"/>
  <c r="H76" i="8"/>
  <c r="H71" i="8"/>
  <c r="F71" i="8"/>
  <c r="E71" i="8"/>
  <c r="M71" i="8" s="1"/>
  <c r="O69" i="8"/>
  <c r="N69" i="8"/>
  <c r="M69" i="8"/>
  <c r="L69" i="8"/>
  <c r="J69" i="8"/>
  <c r="F68" i="8"/>
  <c r="E68" i="8"/>
  <c r="K68" i="8" s="1"/>
  <c r="F67" i="8"/>
  <c r="E67" i="8"/>
  <c r="K67" i="8" s="1"/>
  <c r="J29" i="8"/>
  <c r="K29" i="8" s="1"/>
  <c r="C63" i="8"/>
  <c r="D63" i="8"/>
  <c r="F54" i="8"/>
  <c r="E54" i="8"/>
  <c r="I54" i="8" s="1"/>
  <c r="N63" i="8"/>
  <c r="H63" i="8"/>
  <c r="H62" i="8"/>
  <c r="H61" i="8"/>
  <c r="H60" i="8"/>
  <c r="H59" i="8"/>
  <c r="H58" i="8"/>
  <c r="F61" i="8"/>
  <c r="F59" i="8"/>
  <c r="F60" i="8"/>
  <c r="F62" i="8"/>
  <c r="E59" i="8"/>
  <c r="O59" i="8" s="1"/>
  <c r="E60" i="8"/>
  <c r="M60" i="8" s="1"/>
  <c r="E61" i="8"/>
  <c r="M61" i="8" s="1"/>
  <c r="E62" i="8"/>
  <c r="O62" i="8" s="1"/>
  <c r="J56" i="8"/>
  <c r="D56" i="8"/>
  <c r="C56" i="8"/>
  <c r="E55" i="8"/>
  <c r="K55" i="8" s="1"/>
  <c r="E53" i="8"/>
  <c r="K53" i="8" s="1"/>
  <c r="L63" i="8"/>
  <c r="F58" i="8"/>
  <c r="E58" i="8"/>
  <c r="M58" i="8" s="1"/>
  <c r="O56" i="8"/>
  <c r="N56" i="8"/>
  <c r="M56" i="8"/>
  <c r="L56" i="8"/>
  <c r="I55" i="8"/>
  <c r="F55" i="8"/>
  <c r="F53" i="8"/>
  <c r="L50" i="8"/>
  <c r="D50" i="8"/>
  <c r="J49" i="8"/>
  <c r="K49" i="8"/>
  <c r="M49" i="8"/>
  <c r="F49" i="8"/>
  <c r="E49" i="8"/>
  <c r="C50" i="8"/>
  <c r="O50" i="8"/>
  <c r="N50" i="8"/>
  <c r="K48" i="8"/>
  <c r="J48" i="8"/>
  <c r="M48" i="8"/>
  <c r="F48" i="8"/>
  <c r="E48" i="8"/>
  <c r="K47" i="8"/>
  <c r="J47" i="8"/>
  <c r="M47" i="8"/>
  <c r="F47" i="8"/>
  <c r="E47" i="8"/>
  <c r="K46" i="8"/>
  <c r="J46" i="8"/>
  <c r="M46" i="8"/>
  <c r="F46" i="8"/>
  <c r="E46" i="8"/>
  <c r="I41" i="8"/>
  <c r="C44" i="8"/>
  <c r="D44" i="8"/>
  <c r="O44" i="8"/>
  <c r="N44" i="8"/>
  <c r="M44" i="8"/>
  <c r="L44" i="8"/>
  <c r="K43" i="8"/>
  <c r="J43" i="8"/>
  <c r="I43" i="8"/>
  <c r="F43" i="8"/>
  <c r="E43" i="8"/>
  <c r="K42" i="8"/>
  <c r="J42" i="8"/>
  <c r="I42" i="8"/>
  <c r="F42" i="8"/>
  <c r="E42" i="8"/>
  <c r="K41" i="8"/>
  <c r="J41" i="8"/>
  <c r="F41" i="8"/>
  <c r="E41" i="8"/>
  <c r="L38" i="8"/>
  <c r="M38" i="8"/>
  <c r="N38" i="8"/>
  <c r="O38" i="8"/>
  <c r="K37" i="8"/>
  <c r="J37" i="8"/>
  <c r="K36" i="8"/>
  <c r="J36" i="8"/>
  <c r="K35" i="8"/>
  <c r="J35" i="8"/>
  <c r="K34" i="8"/>
  <c r="J34" i="8"/>
  <c r="J33" i="8"/>
  <c r="K33" i="8"/>
  <c r="I37" i="8"/>
  <c r="I36" i="8"/>
  <c r="I35" i="8"/>
  <c r="I34" i="8"/>
  <c r="I33" i="8"/>
  <c r="C38" i="8"/>
  <c r="D38" i="8"/>
  <c r="E33" i="8"/>
  <c r="F34" i="8"/>
  <c r="F35" i="8"/>
  <c r="F36" i="8"/>
  <c r="F37" i="8"/>
  <c r="E34" i="8"/>
  <c r="E35" i="8"/>
  <c r="E36" i="8"/>
  <c r="E37" i="8"/>
  <c r="F33" i="8"/>
  <c r="N29" i="8"/>
  <c r="O28" i="8"/>
  <c r="N28" i="8"/>
  <c r="M28" i="8"/>
  <c r="L28" i="8"/>
  <c r="J28" i="8"/>
  <c r="K28" i="8" s="1"/>
  <c r="J27" i="8"/>
  <c r="I28" i="8"/>
  <c r="I29" i="8"/>
  <c r="I27" i="8"/>
  <c r="E28" i="8"/>
  <c r="F28" i="8"/>
  <c r="E29" i="8"/>
  <c r="F29" i="8"/>
  <c r="F27" i="8"/>
  <c r="E27" i="8"/>
  <c r="D30" i="8"/>
  <c r="C30" i="8"/>
  <c r="D24" i="8"/>
  <c r="C24" i="8"/>
  <c r="J24" i="8"/>
  <c r="J23" i="8"/>
  <c r="J22" i="8"/>
  <c r="J21" i="8"/>
  <c r="J20" i="8"/>
  <c r="K20" i="8"/>
  <c r="K21" i="8"/>
  <c r="K22" i="8"/>
  <c r="K23" i="8"/>
  <c r="K19" i="8"/>
  <c r="I19" i="8"/>
  <c r="I20" i="8"/>
  <c r="I21" i="8"/>
  <c r="I22" i="8"/>
  <c r="I23" i="8"/>
  <c r="F23" i="8"/>
  <c r="E23" i="8"/>
  <c r="F22" i="8"/>
  <c r="E22" i="8"/>
  <c r="F21" i="8"/>
  <c r="E21" i="8"/>
  <c r="F20" i="8"/>
  <c r="E20" i="8"/>
  <c r="F19" i="8"/>
  <c r="E19" i="8"/>
  <c r="O16" i="8"/>
  <c r="O15" i="8"/>
  <c r="H16" i="8"/>
  <c r="M15" i="8"/>
  <c r="M16" i="8" s="1"/>
  <c r="K16" i="8"/>
  <c r="J15" i="8"/>
  <c r="J16" i="8" s="1"/>
  <c r="I16" i="8"/>
  <c r="F15" i="8"/>
  <c r="F16" i="8" s="1"/>
  <c r="E15" i="8"/>
  <c r="E16" i="8" s="1"/>
  <c r="D16" i="8"/>
  <c r="C16" i="8"/>
  <c r="N15" i="8"/>
  <c r="N16" i="8" s="1"/>
  <c r="I11" i="8"/>
  <c r="I12" i="8" s="1"/>
  <c r="E11" i="8"/>
  <c r="I118" i="8" l="1"/>
  <c r="I119" i="8" s="1"/>
  <c r="R119" i="8" s="1"/>
  <c r="K76" i="8"/>
  <c r="K54" i="8"/>
  <c r="E119" i="8"/>
  <c r="Q98" i="8"/>
  <c r="O127" i="8"/>
  <c r="Q127" i="8"/>
  <c r="Q128" i="8" s="1"/>
  <c r="M122" i="8"/>
  <c r="M128" i="8" s="1"/>
  <c r="O126" i="8"/>
  <c r="M124" i="8"/>
  <c r="O124" i="8"/>
  <c r="M123" i="8"/>
  <c r="Q126" i="8"/>
  <c r="O96" i="8"/>
  <c r="O119" i="8"/>
  <c r="Q119" i="8"/>
  <c r="J128" i="8"/>
  <c r="M113" i="8"/>
  <c r="F109" i="8"/>
  <c r="F114" i="8"/>
  <c r="I107" i="8"/>
  <c r="F128" i="8"/>
  <c r="K128" i="8"/>
  <c r="E114" i="8"/>
  <c r="M112" i="8"/>
  <c r="E128" i="8"/>
  <c r="O97" i="8"/>
  <c r="O121" i="8"/>
  <c r="O128" i="8" s="1"/>
  <c r="O98" i="8"/>
  <c r="E109" i="8"/>
  <c r="M97" i="8"/>
  <c r="K105" i="8"/>
  <c r="K109" i="8" s="1"/>
  <c r="I104" i="8"/>
  <c r="K92" i="8"/>
  <c r="K114" i="8"/>
  <c r="F94" i="8"/>
  <c r="M100" i="8"/>
  <c r="O100" i="8"/>
  <c r="O111" i="8"/>
  <c r="O112" i="8"/>
  <c r="J114" i="8"/>
  <c r="E101" i="8"/>
  <c r="K91" i="8"/>
  <c r="M99" i="8"/>
  <c r="F101" i="8"/>
  <c r="Q111" i="8"/>
  <c r="Q114" i="8" s="1"/>
  <c r="O113" i="8"/>
  <c r="M83" i="8"/>
  <c r="E94" i="8"/>
  <c r="O83" i="8"/>
  <c r="O87" i="8" s="1"/>
  <c r="K90" i="8"/>
  <c r="I93" i="8"/>
  <c r="I94" i="8" s="1"/>
  <c r="Q84" i="8"/>
  <c r="F69" i="8"/>
  <c r="F81" i="8"/>
  <c r="I80" i="8"/>
  <c r="J101" i="8"/>
  <c r="K101" i="8"/>
  <c r="J44" i="8"/>
  <c r="I44" i="8"/>
  <c r="M86" i="8"/>
  <c r="Q63" i="8"/>
  <c r="Q76" i="8"/>
  <c r="K81" i="8"/>
  <c r="Q99" i="8"/>
  <c r="Q96" i="8"/>
  <c r="Q86" i="8"/>
  <c r="M85" i="8"/>
  <c r="Q85" i="8"/>
  <c r="M84" i="8"/>
  <c r="I67" i="8"/>
  <c r="J87" i="8"/>
  <c r="F76" i="8"/>
  <c r="O75" i="8"/>
  <c r="E81" i="8"/>
  <c r="I79" i="8"/>
  <c r="O74" i="8"/>
  <c r="E76" i="8"/>
  <c r="M73" i="8"/>
  <c r="O61" i="8"/>
  <c r="M72" i="8"/>
  <c r="O60" i="8"/>
  <c r="F87" i="8"/>
  <c r="K87" i="8"/>
  <c r="E87" i="8"/>
  <c r="K50" i="8"/>
  <c r="M59" i="8"/>
  <c r="I68" i="8"/>
  <c r="F63" i="8"/>
  <c r="M62" i="8"/>
  <c r="O58" i="8"/>
  <c r="E63" i="8"/>
  <c r="E69" i="8"/>
  <c r="I66" i="8"/>
  <c r="F44" i="8"/>
  <c r="K44" i="8"/>
  <c r="M50" i="8"/>
  <c r="I53" i="8"/>
  <c r="I56" i="8" s="1"/>
  <c r="F56" i="8"/>
  <c r="K69" i="8"/>
  <c r="O71" i="8"/>
  <c r="J50" i="8"/>
  <c r="K63" i="8"/>
  <c r="E56" i="8"/>
  <c r="J63" i="8"/>
  <c r="F50" i="8"/>
  <c r="K56" i="8"/>
  <c r="E50" i="8"/>
  <c r="E44" i="8"/>
  <c r="J38" i="8"/>
  <c r="F38" i="8"/>
  <c r="I38" i="8"/>
  <c r="K38" i="8"/>
  <c r="E38" i="8"/>
  <c r="E30" i="8"/>
  <c r="I30" i="8"/>
  <c r="F30" i="8"/>
  <c r="F24" i="8"/>
  <c r="E24" i="8"/>
  <c r="I24" i="8"/>
  <c r="M8" i="8"/>
  <c r="K11" i="8"/>
  <c r="K12" i="8" s="1"/>
  <c r="J11" i="8"/>
  <c r="J12" i="8" s="1"/>
  <c r="O11" i="8"/>
  <c r="N11" i="8"/>
  <c r="F8" i="8"/>
  <c r="E7" i="8"/>
  <c r="E8" i="8" s="1"/>
  <c r="K7" i="8"/>
  <c r="K8" i="8" s="1"/>
  <c r="J7" i="8"/>
  <c r="J8" i="8" s="1"/>
  <c r="F11" i="8"/>
  <c r="F12" i="8" s="1"/>
  <c r="D8" i="8"/>
  <c r="C8" i="8"/>
  <c r="I9" i="9"/>
  <c r="I10" i="9" s="1"/>
  <c r="D9" i="9"/>
  <c r="C9" i="9"/>
  <c r="K27" i="8"/>
  <c r="K30" i="8" s="1"/>
  <c r="D12" i="8"/>
  <c r="C12" i="8"/>
  <c r="E12" i="8"/>
  <c r="O8" i="8"/>
  <c r="N8" i="8"/>
  <c r="I8" i="8"/>
  <c r="H8" i="8"/>
  <c r="F25" i="7"/>
  <c r="F31" i="7"/>
  <c r="F30" i="7"/>
  <c r="F29" i="7"/>
  <c r="F28" i="7"/>
  <c r="F27" i="7"/>
  <c r="F26" i="7"/>
  <c r="F22" i="7"/>
  <c r="F21" i="7"/>
  <c r="F16" i="7"/>
  <c r="F15" i="7"/>
  <c r="F14" i="7"/>
  <c r="F10" i="7"/>
  <c r="F9" i="7"/>
  <c r="F8" i="7"/>
  <c r="F11" i="7"/>
  <c r="F32" i="7" l="1"/>
  <c r="R128" i="8"/>
  <c r="M119" i="8"/>
  <c r="O101" i="8"/>
  <c r="M114" i="8"/>
  <c r="I109" i="8"/>
  <c r="M101" i="8"/>
  <c r="O114" i="8"/>
  <c r="Q101" i="8"/>
  <c r="R109" i="8"/>
  <c r="K94" i="8"/>
  <c r="R94" i="8" s="1"/>
  <c r="Q87" i="8"/>
  <c r="M76" i="8"/>
  <c r="I81" i="8"/>
  <c r="R81" i="8" s="1"/>
  <c r="O76" i="8"/>
  <c r="M87" i="8"/>
  <c r="O63" i="8"/>
  <c r="I69" i="8"/>
  <c r="R69" i="8" s="1"/>
  <c r="R56" i="8"/>
  <c r="M63" i="8"/>
  <c r="K24" i="8"/>
  <c r="F23" i="7"/>
  <c r="F33" i="7" s="1"/>
  <c r="F12" i="7"/>
  <c r="F17" i="7"/>
  <c r="R114" i="8" l="1"/>
  <c r="R101" i="8"/>
  <c r="R87" i="8"/>
  <c r="R63" i="8"/>
  <c r="R76" i="8"/>
  <c r="F18" i="7"/>
  <c r="F34" i="7" s="1"/>
  <c r="F88" i="3" l="1"/>
  <c r="F87" i="3"/>
  <c r="G83" i="3"/>
  <c r="F83" i="3"/>
  <c r="H83" i="3" s="1"/>
  <c r="F82" i="3"/>
  <c r="F81" i="3"/>
  <c r="E82" i="3"/>
  <c r="E83" i="3"/>
  <c r="E81" i="3"/>
  <c r="D77" i="3"/>
  <c r="F77" i="3" s="1"/>
  <c r="C77" i="3"/>
  <c r="E77" i="3" s="1"/>
  <c r="E66" i="3"/>
  <c r="E65" i="3"/>
  <c r="F61" i="3"/>
  <c r="G61" i="3"/>
  <c r="F62" i="3"/>
  <c r="F60" i="3"/>
  <c r="G62" i="3"/>
  <c r="E61" i="3"/>
  <c r="E62" i="3"/>
  <c r="E60" i="3"/>
  <c r="D56" i="3"/>
  <c r="D55" i="3"/>
  <c r="C56" i="3"/>
  <c r="C55" i="3"/>
  <c r="A56" i="3"/>
  <c r="A55" i="3"/>
  <c r="D52" i="3"/>
  <c r="F52" i="3" s="1"/>
  <c r="D51" i="3"/>
  <c r="F51" i="3" s="1"/>
  <c r="D50" i="3"/>
  <c r="F50" i="3" s="1"/>
  <c r="C52" i="3"/>
  <c r="E52" i="3" s="1"/>
  <c r="C51" i="3"/>
  <c r="E51" i="3" s="1"/>
  <c r="C50" i="3"/>
  <c r="E50" i="3" s="1"/>
  <c r="D45" i="3"/>
  <c r="F45" i="3" s="1"/>
  <c r="D46" i="3"/>
  <c r="F46" i="3" s="1"/>
  <c r="C46" i="3"/>
  <c r="E46" i="3" s="1"/>
  <c r="C45" i="3"/>
  <c r="E45" i="3" s="1"/>
  <c r="A46" i="3"/>
  <c r="A45" i="3"/>
  <c r="D42" i="3"/>
  <c r="F42" i="3" s="1"/>
  <c r="D41" i="3"/>
  <c r="F41" i="3" s="1"/>
  <c r="D40" i="3"/>
  <c r="F40" i="3" s="1"/>
  <c r="C42" i="3"/>
  <c r="E42" i="3" s="1"/>
  <c r="C41" i="3"/>
  <c r="E41" i="3" s="1"/>
  <c r="C40" i="3"/>
  <c r="E40" i="3" s="1"/>
  <c r="D34" i="3"/>
  <c r="F34" i="3" s="1"/>
  <c r="C34" i="3"/>
  <c r="E34" i="3" s="1"/>
  <c r="D32" i="3"/>
  <c r="C32" i="3"/>
  <c r="G28" i="3"/>
  <c r="G27" i="3"/>
  <c r="G26" i="3"/>
  <c r="F25" i="3"/>
  <c r="F26" i="3"/>
  <c r="F27" i="3"/>
  <c r="H27" i="3" s="1"/>
  <c r="F28" i="3"/>
  <c r="F24" i="3"/>
  <c r="E25" i="3"/>
  <c r="E26" i="3"/>
  <c r="E27" i="3"/>
  <c r="E28" i="3"/>
  <c r="E24" i="3"/>
  <c r="G25" i="3"/>
  <c r="G24" i="3"/>
  <c r="F17" i="3"/>
  <c r="D15" i="3"/>
  <c r="F15" i="3" s="1"/>
  <c r="C15" i="3"/>
  <c r="E15" i="3" s="1"/>
  <c r="A15" i="3"/>
  <c r="G9" i="3"/>
  <c r="G11" i="3"/>
  <c r="D11" i="3"/>
  <c r="F11" i="3" s="1"/>
  <c r="D10" i="3"/>
  <c r="F10" i="3" s="1"/>
  <c r="D9" i="3"/>
  <c r="F9" i="3" s="1"/>
  <c r="C11" i="3"/>
  <c r="E11" i="3" s="1"/>
  <c r="C10" i="3"/>
  <c r="E10" i="3" s="1"/>
  <c r="C9" i="3"/>
  <c r="E9" i="3" s="1"/>
  <c r="A11" i="3"/>
  <c r="A10" i="3"/>
  <c r="A9" i="3"/>
  <c r="G10" i="3"/>
  <c r="D7" i="3"/>
  <c r="D6" i="3"/>
  <c r="F6" i="3" s="1"/>
  <c r="C7" i="3"/>
  <c r="E7" i="3" s="1"/>
  <c r="C6" i="3"/>
  <c r="E6" i="3" s="1"/>
  <c r="F147" i="6"/>
  <c r="F135" i="6"/>
  <c r="E135" i="6"/>
  <c r="E136" i="6" s="1"/>
  <c r="F114" i="6"/>
  <c r="E114" i="6"/>
  <c r="F105" i="6"/>
  <c r="F106" i="6" s="1"/>
  <c r="E105" i="6"/>
  <c r="E106" i="6" s="1"/>
  <c r="F98" i="6"/>
  <c r="F99" i="6" s="1"/>
  <c r="E98" i="6"/>
  <c r="E99" i="6" s="1"/>
  <c r="H99" i="6" s="1"/>
  <c r="H100" i="6" s="1"/>
  <c r="F85" i="6"/>
  <c r="F86" i="6" s="1"/>
  <c r="E85" i="6"/>
  <c r="E86" i="6" s="1"/>
  <c r="H86" i="6" s="1"/>
  <c r="F66" i="6"/>
  <c r="F79" i="6" s="1"/>
  <c r="F80" i="6" s="1"/>
  <c r="F41" i="6"/>
  <c r="E41" i="6"/>
  <c r="E45" i="6" s="1"/>
  <c r="F38" i="6"/>
  <c r="F29" i="6"/>
  <c r="E29" i="6"/>
  <c r="F25" i="6"/>
  <c r="E25" i="6"/>
  <c r="E30" i="6" s="1"/>
  <c r="F16" i="6"/>
  <c r="E16" i="6"/>
  <c r="F6" i="6"/>
  <c r="E6" i="6"/>
  <c r="E66" i="6"/>
  <c r="E79" i="6" s="1"/>
  <c r="E80" i="6" s="1"/>
  <c r="F12" i="6"/>
  <c r="E12" i="6"/>
  <c r="F8" i="6"/>
  <c r="E8" i="6"/>
  <c r="E116" i="6" l="1"/>
  <c r="F165" i="6"/>
  <c r="E46" i="6"/>
  <c r="F45" i="6"/>
  <c r="H10" i="3"/>
  <c r="E166" i="6"/>
  <c r="H62" i="3"/>
  <c r="H61" i="3"/>
  <c r="H24" i="3"/>
  <c r="H26" i="3"/>
  <c r="H25" i="3"/>
  <c r="H28" i="3"/>
  <c r="H11" i="3"/>
  <c r="H9" i="3"/>
  <c r="F136" i="6"/>
  <c r="F166" i="6" s="1"/>
  <c r="E115" i="6"/>
  <c r="F115" i="6"/>
  <c r="F116" i="6" s="1"/>
  <c r="F100" i="6"/>
  <c r="E100" i="6"/>
  <c r="E17" i="6"/>
  <c r="F17" i="6"/>
  <c r="E171" i="6" s="1"/>
  <c r="F30" i="6"/>
  <c r="E9" i="6"/>
  <c r="F9" i="6"/>
  <c r="E169" i="6" s="1"/>
  <c r="E170" i="6" l="1"/>
  <c r="E172" i="6"/>
  <c r="H29" i="3"/>
  <c r="H30" i="3" s="1"/>
  <c r="H12" i="3"/>
  <c r="F46" i="6"/>
  <c r="F18" i="6"/>
  <c r="E18" i="6"/>
  <c r="E167" i="6" l="1"/>
  <c r="H167" i="6" s="1"/>
  <c r="F167" i="6"/>
  <c r="G7" i="3"/>
  <c r="F7" i="3"/>
  <c r="G6" i="3"/>
  <c r="H6" i="3" s="1"/>
  <c r="H7" i="3" l="1"/>
  <c r="G88" i="3"/>
  <c r="H88" i="3" s="1"/>
  <c r="E88" i="3"/>
  <c r="G87" i="3"/>
  <c r="H87" i="3" s="1"/>
  <c r="H89" i="3" s="1"/>
  <c r="H90" i="3" s="1"/>
  <c r="E87" i="3"/>
  <c r="G82" i="3"/>
  <c r="H82" i="3" s="1"/>
  <c r="G81" i="3"/>
  <c r="H81" i="3" s="1"/>
  <c r="H84" i="3" s="1"/>
  <c r="G77" i="3"/>
  <c r="H77" i="3" s="1"/>
  <c r="H78" i="3" s="1"/>
  <c r="G72" i="3"/>
  <c r="F72" i="3"/>
  <c r="E72" i="3"/>
  <c r="G71" i="3"/>
  <c r="F71" i="3"/>
  <c r="E71" i="3"/>
  <c r="G60" i="3"/>
  <c r="H60" i="3" s="1"/>
  <c r="H63" i="3" s="1"/>
  <c r="G66" i="3"/>
  <c r="H66" i="3" s="1"/>
  <c r="F66" i="3"/>
  <c r="G65" i="3"/>
  <c r="F65" i="3"/>
  <c r="G56" i="3"/>
  <c r="F56" i="3"/>
  <c r="E56" i="3"/>
  <c r="G55" i="3"/>
  <c r="F55" i="3"/>
  <c r="E55" i="3"/>
  <c r="G52" i="3"/>
  <c r="H52" i="3" s="1"/>
  <c r="G51" i="3"/>
  <c r="H51" i="3" s="1"/>
  <c r="G50" i="3"/>
  <c r="H50" i="3" s="1"/>
  <c r="G42" i="3"/>
  <c r="H42" i="3" s="1"/>
  <c r="G41" i="3"/>
  <c r="H41" i="3" s="1"/>
  <c r="G40" i="3"/>
  <c r="H40" i="3" s="1"/>
  <c r="G46" i="3"/>
  <c r="H46" i="3" s="1"/>
  <c r="G45" i="3"/>
  <c r="H45" i="3" s="1"/>
  <c r="G34" i="3"/>
  <c r="H34" i="3" s="1"/>
  <c r="G32" i="3"/>
  <c r="F32" i="3"/>
  <c r="E32" i="3"/>
  <c r="G18" i="3"/>
  <c r="F18" i="3"/>
  <c r="E18" i="3"/>
  <c r="G17" i="3"/>
  <c r="H17" i="3" s="1"/>
  <c r="E17" i="3"/>
  <c r="G15" i="3"/>
  <c r="H15" i="3" s="1"/>
  <c r="H16" i="3" s="1"/>
  <c r="H53" i="3" l="1"/>
  <c r="H47" i="3"/>
  <c r="H71" i="3"/>
  <c r="H73" i="3" s="1"/>
  <c r="H74" i="3" s="1"/>
  <c r="H72" i="3"/>
  <c r="H65" i="3"/>
  <c r="H67" i="3" s="1"/>
  <c r="H68" i="3" s="1"/>
  <c r="H55" i="3"/>
  <c r="H56" i="3"/>
  <c r="H43" i="3"/>
  <c r="H32" i="3"/>
  <c r="H18" i="3"/>
  <c r="H8" i="3"/>
  <c r="H13" i="3" s="1"/>
  <c r="H57" i="3" l="1"/>
  <c r="H48" i="3"/>
  <c r="H33" i="3"/>
  <c r="H35" i="3" l="1"/>
  <c r="H36" i="3" s="1"/>
  <c r="H37" i="3" s="1"/>
  <c r="H19" i="3"/>
  <c r="H20" i="3" s="1"/>
  <c r="H21" i="3" s="1"/>
  <c r="AE221" i="1" l="1"/>
  <c r="AM221" i="1" s="1"/>
  <c r="AE220" i="1"/>
  <c r="Y227" i="1"/>
  <c r="W224" i="1"/>
  <c r="W223" i="1"/>
  <c r="W225" i="1"/>
  <c r="P222" i="1"/>
  <c r="P221" i="1"/>
  <c r="AF221" i="1" s="1"/>
  <c r="AN221" i="1" s="1"/>
  <c r="Q220" i="1"/>
  <c r="Q227" i="1" s="1"/>
  <c r="P220" i="1"/>
  <c r="P227" i="1" s="1"/>
  <c r="O220" i="1"/>
  <c r="O227" i="1" s="1"/>
  <c r="O228" i="1" s="1"/>
  <c r="O221" i="1"/>
  <c r="O222" i="1"/>
  <c r="AE222" i="1" s="1"/>
  <c r="O223" i="1"/>
  <c r="AE223" i="1" s="1"/>
  <c r="AM223" i="1" s="1"/>
  <c r="O224" i="1"/>
  <c r="AE224" i="1" s="1"/>
  <c r="AM224" i="1" s="1"/>
  <c r="O225" i="1"/>
  <c r="AE225" i="1" s="1"/>
  <c r="AM225" i="1" s="1"/>
  <c r="O226" i="1"/>
  <c r="AE226" i="1" s="1"/>
  <c r="AM226" i="1" s="1"/>
  <c r="Y225" i="1"/>
  <c r="X225" i="1"/>
  <c r="Q225" i="1"/>
  <c r="AG225" i="1" s="1"/>
  <c r="P225" i="1"/>
  <c r="AF225" i="1" s="1"/>
  <c r="I225" i="1"/>
  <c r="Y224" i="1"/>
  <c r="X224" i="1"/>
  <c r="Q224" i="1"/>
  <c r="AG224" i="1" s="1"/>
  <c r="P224" i="1"/>
  <c r="AF224" i="1" s="1"/>
  <c r="AN224" i="1" s="1"/>
  <c r="I224" i="1"/>
  <c r="Y223" i="1"/>
  <c r="X223" i="1"/>
  <c r="Q223" i="1"/>
  <c r="AG223" i="1" s="1"/>
  <c r="AO223" i="1" s="1"/>
  <c r="P223" i="1"/>
  <c r="AF223" i="1" s="1"/>
  <c r="I223" i="1"/>
  <c r="AG222" i="1"/>
  <c r="AF222" i="1"/>
  <c r="Y222" i="1"/>
  <c r="AO222" i="1" s="1"/>
  <c r="X222" i="1"/>
  <c r="AN222" i="1" s="1"/>
  <c r="W222" i="1"/>
  <c r="Q222" i="1"/>
  <c r="I222" i="1"/>
  <c r="C227" i="1"/>
  <c r="B227" i="1"/>
  <c r="AP228" i="1"/>
  <c r="Z228" i="1"/>
  <c r="U228" i="1"/>
  <c r="N228" i="1"/>
  <c r="AD228" i="1" s="1"/>
  <c r="AL228" i="1" s="1"/>
  <c r="M228" i="1"/>
  <c r="AL227" i="1"/>
  <c r="AK227" i="1"/>
  <c r="AK228" i="1" s="1"/>
  <c r="AJ227" i="1"/>
  <c r="AI227" i="1"/>
  <c r="AH227" i="1"/>
  <c r="AH228" i="1" s="1"/>
  <c r="AD227" i="1"/>
  <c r="AC227" i="1"/>
  <c r="V227" i="1"/>
  <c r="U227" i="1"/>
  <c r="T227" i="1"/>
  <c r="S227" i="1"/>
  <c r="R227" i="1"/>
  <c r="N227" i="1"/>
  <c r="M227" i="1"/>
  <c r="Y226" i="1"/>
  <c r="X226" i="1"/>
  <c r="W226" i="1"/>
  <c r="Q226" i="1"/>
  <c r="AG226" i="1" s="1"/>
  <c r="P226" i="1"/>
  <c r="AF226" i="1" s="1"/>
  <c r="I226" i="1"/>
  <c r="G226" i="1"/>
  <c r="Y221" i="1"/>
  <c r="X221" i="1"/>
  <c r="W221" i="1"/>
  <c r="Q221" i="1"/>
  <c r="AG221" i="1" s="1"/>
  <c r="I221" i="1"/>
  <c r="G221" i="1"/>
  <c r="Y220" i="1"/>
  <c r="X220" i="1"/>
  <c r="W220" i="1"/>
  <c r="W227" i="1" s="1"/>
  <c r="I220" i="1"/>
  <c r="G220" i="1"/>
  <c r="AK216" i="1"/>
  <c r="X215" i="1"/>
  <c r="X216" i="1" s="1"/>
  <c r="W215" i="1"/>
  <c r="AM215" i="1" s="1"/>
  <c r="AM216" i="1" s="1"/>
  <c r="Q215" i="1"/>
  <c r="P215" i="1"/>
  <c r="O215" i="1"/>
  <c r="AE215" i="1" s="1"/>
  <c r="AP217" i="1"/>
  <c r="Z217" i="1"/>
  <c r="U217" i="1"/>
  <c r="AL216" i="1"/>
  <c r="AJ216" i="1"/>
  <c r="AI216" i="1"/>
  <c r="AH216" i="1"/>
  <c r="V216" i="1"/>
  <c r="T216" i="1"/>
  <c r="S216" i="1"/>
  <c r="C216" i="1"/>
  <c r="B216" i="1"/>
  <c r="Y215" i="1"/>
  <c r="AG215" i="1"/>
  <c r="AG216" i="1" s="1"/>
  <c r="AF215" i="1"/>
  <c r="I215" i="1"/>
  <c r="G215" i="1"/>
  <c r="W212" i="1"/>
  <c r="W211" i="1"/>
  <c r="V201" i="1"/>
  <c r="V204" i="1" s="1"/>
  <c r="V207" i="1" s="1"/>
  <c r="U214" i="1"/>
  <c r="U216" i="1" s="1"/>
  <c r="V213" i="1"/>
  <c r="Q212" i="1"/>
  <c r="AG212" i="1" s="1"/>
  <c r="O212" i="1"/>
  <c r="AE212" i="1" s="1"/>
  <c r="O211" i="1"/>
  <c r="AE211" i="1" s="1"/>
  <c r="B213" i="1"/>
  <c r="C213" i="1"/>
  <c r="AP214" i="1"/>
  <c r="Z214" i="1"/>
  <c r="AL213" i="1"/>
  <c r="AK213" i="1"/>
  <c r="AK214" i="1" s="1"/>
  <c r="AJ213" i="1"/>
  <c r="AI213" i="1"/>
  <c r="AH213" i="1"/>
  <c r="AD213" i="1"/>
  <c r="AC213" i="1"/>
  <c r="U213" i="1"/>
  <c r="T213" i="1"/>
  <c r="S213" i="1"/>
  <c r="R213" i="1"/>
  <c r="N213" i="1"/>
  <c r="M213" i="1"/>
  <c r="N214" i="1" s="1"/>
  <c r="AD214" i="1" s="1"/>
  <c r="AL214" i="1" s="1"/>
  <c r="Y212" i="1"/>
  <c r="X212" i="1"/>
  <c r="P212" i="1"/>
  <c r="AF212" i="1" s="1"/>
  <c r="I212" i="1"/>
  <c r="G212" i="1"/>
  <c r="Y211" i="1"/>
  <c r="X211" i="1"/>
  <c r="Q211" i="1"/>
  <c r="P211" i="1"/>
  <c r="I211" i="1"/>
  <c r="G211" i="1"/>
  <c r="B36" i="1"/>
  <c r="C36" i="1"/>
  <c r="B22" i="1"/>
  <c r="C22" i="1"/>
  <c r="M15" i="1"/>
  <c r="AC15" i="1" s="1"/>
  <c r="E14" i="1"/>
  <c r="U21" i="1"/>
  <c r="M21" i="1"/>
  <c r="AC21" i="1" s="1"/>
  <c r="I21" i="1"/>
  <c r="H21" i="1"/>
  <c r="F21" i="1"/>
  <c r="E21" i="1"/>
  <c r="U20" i="1"/>
  <c r="M20" i="1"/>
  <c r="AC20" i="1" s="1"/>
  <c r="I20" i="1"/>
  <c r="H20" i="1"/>
  <c r="F20" i="1"/>
  <c r="E20" i="1"/>
  <c r="U19" i="1"/>
  <c r="M19" i="1"/>
  <c r="AC19" i="1" s="1"/>
  <c r="I19" i="1"/>
  <c r="H19" i="1"/>
  <c r="F19" i="1"/>
  <c r="E19" i="1"/>
  <c r="U18" i="1"/>
  <c r="M18" i="1"/>
  <c r="AC18" i="1" s="1"/>
  <c r="I18" i="1"/>
  <c r="H18" i="1"/>
  <c r="F18" i="1"/>
  <c r="E18" i="1"/>
  <c r="U17" i="1"/>
  <c r="M17" i="1"/>
  <c r="AC17" i="1" s="1"/>
  <c r="I17" i="1"/>
  <c r="H17" i="1"/>
  <c r="F17" i="1"/>
  <c r="E17" i="1"/>
  <c r="U16" i="1"/>
  <c r="M16" i="1"/>
  <c r="AC16" i="1" s="1"/>
  <c r="I16" i="1"/>
  <c r="H16" i="1"/>
  <c r="F16" i="1"/>
  <c r="E16" i="1"/>
  <c r="U15" i="1"/>
  <c r="I15" i="1"/>
  <c r="H15" i="1"/>
  <c r="F15" i="1"/>
  <c r="E15" i="1"/>
  <c r="U14" i="1"/>
  <c r="M14" i="1"/>
  <c r="AC14" i="1" s="1"/>
  <c r="I14" i="1"/>
  <c r="H14" i="1"/>
  <c r="F14" i="1"/>
  <c r="U13" i="1"/>
  <c r="M13" i="1"/>
  <c r="AC13" i="1" s="1"/>
  <c r="I13" i="1"/>
  <c r="H13" i="1"/>
  <c r="F13" i="1"/>
  <c r="E13" i="1"/>
  <c r="U12" i="1"/>
  <c r="M12" i="1"/>
  <c r="AC12" i="1" s="1"/>
  <c r="I12" i="1"/>
  <c r="H12" i="1"/>
  <c r="F12" i="1"/>
  <c r="E12" i="1"/>
  <c r="U11" i="1"/>
  <c r="M11" i="1"/>
  <c r="AC11" i="1" s="1"/>
  <c r="I11" i="1"/>
  <c r="H11" i="1"/>
  <c r="F11" i="1"/>
  <c r="E11" i="1"/>
  <c r="W206" i="1"/>
  <c r="W207" i="1" s="1"/>
  <c r="O206" i="1"/>
  <c r="AE206" i="1" s="1"/>
  <c r="AP208" i="1"/>
  <c r="Z208" i="1"/>
  <c r="AL207" i="1"/>
  <c r="AJ207" i="1"/>
  <c r="AI207" i="1"/>
  <c r="AH207" i="1"/>
  <c r="Y206" i="1"/>
  <c r="X206" i="1"/>
  <c r="Q206" i="1"/>
  <c r="Q207" i="1" s="1"/>
  <c r="P206" i="1"/>
  <c r="P207" i="1" s="1"/>
  <c r="I206" i="1"/>
  <c r="G206" i="1"/>
  <c r="C207" i="1"/>
  <c r="B207" i="1"/>
  <c r="W203" i="1"/>
  <c r="W204" i="1" s="1"/>
  <c r="Q203" i="1"/>
  <c r="AG203" i="1" s="1"/>
  <c r="P203" i="1"/>
  <c r="AF203" i="1" s="1"/>
  <c r="O203" i="1"/>
  <c r="O204" i="1" s="1"/>
  <c r="Y203" i="1"/>
  <c r="X203" i="1"/>
  <c r="I203" i="1"/>
  <c r="G203" i="1"/>
  <c r="C204" i="1"/>
  <c r="B204" i="1"/>
  <c r="AP205" i="1"/>
  <c r="Z205" i="1"/>
  <c r="AL204" i="1"/>
  <c r="AJ204" i="1"/>
  <c r="AI204" i="1"/>
  <c r="AH204" i="1"/>
  <c r="AJ201" i="1"/>
  <c r="AI201" i="1"/>
  <c r="AH201" i="1"/>
  <c r="Y200" i="1"/>
  <c r="Y199" i="1"/>
  <c r="Y198" i="1"/>
  <c r="X200" i="1"/>
  <c r="X199" i="1"/>
  <c r="X198" i="1"/>
  <c r="W200" i="1"/>
  <c r="W199" i="1"/>
  <c r="W198" i="1"/>
  <c r="P198" i="1"/>
  <c r="AF198" i="1" s="1"/>
  <c r="O200" i="1"/>
  <c r="AE200" i="1" s="1"/>
  <c r="O199" i="1"/>
  <c r="AE199" i="1" s="1"/>
  <c r="O198" i="1"/>
  <c r="AE198" i="1" s="1"/>
  <c r="Q200" i="1"/>
  <c r="AG200" i="1" s="1"/>
  <c r="P200" i="1"/>
  <c r="AF200" i="1" s="1"/>
  <c r="I200" i="1"/>
  <c r="G200" i="1"/>
  <c r="Q199" i="1"/>
  <c r="AG199" i="1" s="1"/>
  <c r="AO199" i="1" s="1"/>
  <c r="P199" i="1"/>
  <c r="AF199" i="1" s="1"/>
  <c r="I199" i="1"/>
  <c r="G199" i="1"/>
  <c r="Q198" i="1"/>
  <c r="AG198" i="1" s="1"/>
  <c r="I198" i="1"/>
  <c r="G198" i="1"/>
  <c r="Z202" i="1"/>
  <c r="AL201" i="1"/>
  <c r="AK201" i="1"/>
  <c r="AD201" i="1"/>
  <c r="AC201" i="1"/>
  <c r="U201" i="1"/>
  <c r="N201" i="1"/>
  <c r="M201" i="1"/>
  <c r="C201" i="1"/>
  <c r="B201" i="1"/>
  <c r="C194" i="1"/>
  <c r="AN223" i="1" l="1"/>
  <c r="AE227" i="1"/>
  <c r="AE228" i="1" s="1"/>
  <c r="O213" i="1"/>
  <c r="Q213" i="1"/>
  <c r="AH214" i="1"/>
  <c r="R228" i="1"/>
  <c r="AN225" i="1"/>
  <c r="AM220" i="1"/>
  <c r="AM222" i="1"/>
  <c r="X227" i="1"/>
  <c r="W228" i="1" s="1"/>
  <c r="AO224" i="1"/>
  <c r="W216" i="1"/>
  <c r="AO225" i="1"/>
  <c r="AN215" i="1"/>
  <c r="AN216" i="1" s="1"/>
  <c r="AC228" i="1"/>
  <c r="AO221" i="1"/>
  <c r="AG220" i="1"/>
  <c r="AG227" i="1" s="1"/>
  <c r="AO226" i="1"/>
  <c r="AN226" i="1"/>
  <c r="AF220" i="1"/>
  <c r="AF227" i="1" s="1"/>
  <c r="AM211" i="1"/>
  <c r="O216" i="1"/>
  <c r="AO215" i="1"/>
  <c r="AO216" i="1" s="1"/>
  <c r="AH217" i="1"/>
  <c r="N216" i="1"/>
  <c r="AD216" i="1"/>
  <c r="AK217" i="1"/>
  <c r="R214" i="1"/>
  <c r="R216" i="1" s="1"/>
  <c r="R217" i="1" s="1"/>
  <c r="W213" i="1"/>
  <c r="AF216" i="1"/>
  <c r="P216" i="1"/>
  <c r="Q216" i="1"/>
  <c r="Y216" i="1"/>
  <c r="P213" i="1"/>
  <c r="AE216" i="1"/>
  <c r="Y213" i="1"/>
  <c r="AM212" i="1"/>
  <c r="AM213" i="1" s="1"/>
  <c r="M214" i="1"/>
  <c r="M216" i="1" s="1"/>
  <c r="AG211" i="1"/>
  <c r="AG213" i="1" s="1"/>
  <c r="AO212" i="1"/>
  <c r="AC214" i="1"/>
  <c r="AC216" i="1" s="1"/>
  <c r="AE213" i="1"/>
  <c r="AN212" i="1"/>
  <c r="X213" i="1"/>
  <c r="AF211" i="1"/>
  <c r="AF213" i="1" s="1"/>
  <c r="AK17" i="1"/>
  <c r="AK19" i="1"/>
  <c r="AK21" i="1"/>
  <c r="AH208" i="1"/>
  <c r="AK11" i="1"/>
  <c r="AK13" i="1"/>
  <c r="AK15" i="1"/>
  <c r="AK12" i="1"/>
  <c r="AK14" i="1"/>
  <c r="AK16" i="1"/>
  <c r="AK18" i="1"/>
  <c r="AK20" i="1"/>
  <c r="Y201" i="1"/>
  <c r="Y204" i="1" s="1"/>
  <c r="Y207" i="1" s="1"/>
  <c r="AO200" i="1"/>
  <c r="AN200" i="1"/>
  <c r="X201" i="1"/>
  <c r="X204" i="1" s="1"/>
  <c r="X207" i="1" s="1"/>
  <c r="P204" i="1"/>
  <c r="Q204" i="1"/>
  <c r="AF206" i="1"/>
  <c r="AM206" i="1"/>
  <c r="O207" i="1"/>
  <c r="O208" i="1" s="1"/>
  <c r="AO203" i="1"/>
  <c r="AO204" i="1" s="1"/>
  <c r="AG206" i="1"/>
  <c r="AG207" i="1" s="1"/>
  <c r="AF204" i="1"/>
  <c r="AN203" i="1"/>
  <c r="AN204" i="1" s="1"/>
  <c r="AE203" i="1"/>
  <c r="AE204" i="1" s="1"/>
  <c r="AK202" i="1"/>
  <c r="AK204" i="1" s="1"/>
  <c r="AN198" i="1"/>
  <c r="AG204" i="1"/>
  <c r="AH205" i="1"/>
  <c r="AE201" i="1"/>
  <c r="AM199" i="1"/>
  <c r="AM198" i="1"/>
  <c r="O201" i="1"/>
  <c r="P201" i="1"/>
  <c r="AM200" i="1"/>
  <c r="AF201" i="1"/>
  <c r="AN199" i="1"/>
  <c r="W201" i="1"/>
  <c r="AO198" i="1"/>
  <c r="Q201" i="1"/>
  <c r="AG201" i="1"/>
  <c r="U202" i="1"/>
  <c r="U204" i="1" s="1"/>
  <c r="M202" i="1"/>
  <c r="M204" i="1" s="1"/>
  <c r="AC202" i="1"/>
  <c r="AC204" i="1" s="1"/>
  <c r="N202" i="1"/>
  <c r="AD202" i="1" s="1"/>
  <c r="AL202" i="1" s="1"/>
  <c r="Z195" i="1"/>
  <c r="Y192" i="1"/>
  <c r="W193" i="1"/>
  <c r="W192" i="1"/>
  <c r="W191" i="1"/>
  <c r="W190" i="1"/>
  <c r="Q190" i="1"/>
  <c r="AG190" i="1" s="1"/>
  <c r="P190" i="1"/>
  <c r="O193" i="1"/>
  <c r="AE193" i="1" s="1"/>
  <c r="O192" i="1"/>
  <c r="AE192" i="1" s="1"/>
  <c r="O191" i="1"/>
  <c r="AE191" i="1" s="1"/>
  <c r="O190" i="1"/>
  <c r="AE190" i="1" s="1"/>
  <c r="Y193" i="1"/>
  <c r="X193" i="1"/>
  <c r="Q193" i="1"/>
  <c r="AG193" i="1" s="1"/>
  <c r="P193" i="1"/>
  <c r="AF193" i="1" s="1"/>
  <c r="AF194" i="1" s="1"/>
  <c r="I193" i="1"/>
  <c r="G193" i="1"/>
  <c r="X192" i="1"/>
  <c r="Q192" i="1"/>
  <c r="AG192" i="1" s="1"/>
  <c r="P192" i="1"/>
  <c r="AF192" i="1" s="1"/>
  <c r="I192" i="1"/>
  <c r="G192" i="1"/>
  <c r="Y191" i="1"/>
  <c r="X191" i="1"/>
  <c r="Q191" i="1"/>
  <c r="AG191" i="1" s="1"/>
  <c r="P191" i="1"/>
  <c r="AF191" i="1" s="1"/>
  <c r="I191" i="1"/>
  <c r="G191" i="1"/>
  <c r="Y190" i="1"/>
  <c r="X190" i="1"/>
  <c r="I190" i="1"/>
  <c r="G190" i="1"/>
  <c r="B194" i="1"/>
  <c r="AL194" i="1"/>
  <c r="AK194" i="1"/>
  <c r="AD194" i="1"/>
  <c r="AC194" i="1"/>
  <c r="V194" i="1"/>
  <c r="U194" i="1"/>
  <c r="N194" i="1"/>
  <c r="M194" i="1"/>
  <c r="Y185" i="1"/>
  <c r="Y186" i="1" s="1"/>
  <c r="W185" i="1"/>
  <c r="Q185" i="1"/>
  <c r="Q186" i="1" s="1"/>
  <c r="P185" i="1"/>
  <c r="AF185" i="1" s="1"/>
  <c r="AF186" i="1" s="1"/>
  <c r="O185" i="1"/>
  <c r="AE185" i="1" s="1"/>
  <c r="I185" i="1"/>
  <c r="G185" i="1"/>
  <c r="AL186" i="1"/>
  <c r="Z187" i="1"/>
  <c r="C186" i="1"/>
  <c r="B186" i="1"/>
  <c r="X185" i="1"/>
  <c r="Y179" i="1"/>
  <c r="X179" i="1"/>
  <c r="W179" i="1"/>
  <c r="P179" i="1"/>
  <c r="Q179" i="1"/>
  <c r="AG179" i="1" s="1"/>
  <c r="Q180" i="1"/>
  <c r="AG180" i="1" s="1"/>
  <c r="Q181" i="1"/>
  <c r="AG181" i="1" s="1"/>
  <c r="Q182" i="1"/>
  <c r="AG182" i="1" s="1"/>
  <c r="P182" i="1"/>
  <c r="AF182" i="1" s="1"/>
  <c r="P181" i="1"/>
  <c r="AF181" i="1" s="1"/>
  <c r="P180" i="1"/>
  <c r="AF180" i="1" s="1"/>
  <c r="O182" i="1"/>
  <c r="AE182" i="1" s="1"/>
  <c r="O181" i="1"/>
  <c r="AE181" i="1" s="1"/>
  <c r="O180" i="1"/>
  <c r="AE180" i="1" s="1"/>
  <c r="O179" i="1"/>
  <c r="AE179" i="1" s="1"/>
  <c r="I182" i="1"/>
  <c r="I181" i="1"/>
  <c r="I180" i="1"/>
  <c r="I179" i="1"/>
  <c r="G182" i="1"/>
  <c r="G181" i="1"/>
  <c r="G180" i="1"/>
  <c r="G179" i="1"/>
  <c r="B183" i="1"/>
  <c r="C183" i="1"/>
  <c r="AP183" i="1"/>
  <c r="AP184" i="1" s="1"/>
  <c r="AL183" i="1"/>
  <c r="AK183" i="1"/>
  <c r="AJ183" i="1"/>
  <c r="AJ186" i="1" s="1"/>
  <c r="AI183" i="1"/>
  <c r="AI186" i="1" s="1"/>
  <c r="AH183" i="1"/>
  <c r="AD183" i="1"/>
  <c r="AC183" i="1"/>
  <c r="Z184" i="1"/>
  <c r="V183" i="1"/>
  <c r="V186" i="1" s="1"/>
  <c r="U183" i="1"/>
  <c r="T183" i="1"/>
  <c r="T186" i="1" s="1"/>
  <c r="S183" i="1"/>
  <c r="S186" i="1" s="1"/>
  <c r="R183" i="1"/>
  <c r="N183" i="1"/>
  <c r="M183" i="1"/>
  <c r="W168" i="1"/>
  <c r="W169" i="1" s="1"/>
  <c r="Q168" i="1"/>
  <c r="Q169" i="1" s="1"/>
  <c r="P168" i="1"/>
  <c r="P169" i="1" s="1"/>
  <c r="O168" i="1"/>
  <c r="O169" i="1" s="1"/>
  <c r="C169" i="1"/>
  <c r="B169" i="1"/>
  <c r="AL169" i="1"/>
  <c r="Z170" i="1"/>
  <c r="Y163" i="1"/>
  <c r="Y164" i="1"/>
  <c r="Y165" i="1"/>
  <c r="X163" i="1"/>
  <c r="X164" i="1"/>
  <c r="X165" i="1"/>
  <c r="W163" i="1"/>
  <c r="W164" i="1"/>
  <c r="W165" i="1"/>
  <c r="W162" i="1"/>
  <c r="P165" i="1"/>
  <c r="AF165" i="1" s="1"/>
  <c r="Q165" i="1"/>
  <c r="AG165" i="1" s="1"/>
  <c r="O165" i="1"/>
  <c r="AE165" i="1" s="1"/>
  <c r="O164" i="1"/>
  <c r="AE164" i="1" s="1"/>
  <c r="O163" i="1"/>
  <c r="AE163" i="1" s="1"/>
  <c r="O162" i="1"/>
  <c r="D165" i="1"/>
  <c r="G165" i="1"/>
  <c r="G164" i="1"/>
  <c r="G163" i="1"/>
  <c r="G162" i="1"/>
  <c r="B166" i="1"/>
  <c r="C166" i="1"/>
  <c r="AL166" i="1"/>
  <c r="AK166" i="1"/>
  <c r="AJ166" i="1"/>
  <c r="AJ169" i="1" s="1"/>
  <c r="AI166" i="1"/>
  <c r="AI169" i="1" s="1"/>
  <c r="AD166" i="1"/>
  <c r="AC166" i="1"/>
  <c r="Z167" i="1"/>
  <c r="V166" i="1"/>
  <c r="V169" i="1" s="1"/>
  <c r="U166" i="1"/>
  <c r="T166" i="1"/>
  <c r="T169" i="1" s="1"/>
  <c r="S166" i="1"/>
  <c r="S169" i="1" s="1"/>
  <c r="R166" i="1"/>
  <c r="N166" i="1"/>
  <c r="M166" i="1"/>
  <c r="C159" i="1"/>
  <c r="B159" i="1"/>
  <c r="Z157" i="1"/>
  <c r="Z158" i="1"/>
  <c r="Z156" i="1"/>
  <c r="X159" i="1"/>
  <c r="W159" i="1"/>
  <c r="Q157" i="1"/>
  <c r="Q158" i="1"/>
  <c r="Q156" i="1"/>
  <c r="P156" i="1"/>
  <c r="O156" i="1"/>
  <c r="I158" i="1"/>
  <c r="I157" i="1"/>
  <c r="I156" i="1"/>
  <c r="G158" i="1"/>
  <c r="G157" i="1"/>
  <c r="G156" i="1"/>
  <c r="F158" i="1"/>
  <c r="F157" i="1"/>
  <c r="F156" i="1"/>
  <c r="AL159" i="1"/>
  <c r="AK159" i="1"/>
  <c r="AJ159" i="1"/>
  <c r="AI159" i="1"/>
  <c r="AG159" i="1"/>
  <c r="AD159" i="1"/>
  <c r="V159" i="1"/>
  <c r="U159" i="1"/>
  <c r="T159" i="1"/>
  <c r="S159" i="1"/>
  <c r="N159" i="1"/>
  <c r="V152" i="1"/>
  <c r="U151" i="1"/>
  <c r="P151" i="1"/>
  <c r="P152" i="1" s="1"/>
  <c r="O151" i="1"/>
  <c r="AE151" i="1" s="1"/>
  <c r="AM151" i="1" s="1"/>
  <c r="M151" i="1"/>
  <c r="AC151" i="1" s="1"/>
  <c r="AL152" i="1"/>
  <c r="AD152" i="1"/>
  <c r="T152" i="1"/>
  <c r="S152" i="1"/>
  <c r="Q152" i="1"/>
  <c r="N152" i="1"/>
  <c r="C152" i="1"/>
  <c r="B152" i="1"/>
  <c r="AO151" i="1"/>
  <c r="Z151" i="1"/>
  <c r="I151" i="1"/>
  <c r="R151" i="1" s="1"/>
  <c r="B149" i="1"/>
  <c r="C149" i="1"/>
  <c r="AD149" i="1"/>
  <c r="Z148" i="1"/>
  <c r="Z147" i="1"/>
  <c r="Z146" i="1"/>
  <c r="W149" i="1"/>
  <c r="X149" i="1"/>
  <c r="X152" i="1" s="1"/>
  <c r="U147" i="1"/>
  <c r="U148" i="1"/>
  <c r="U146" i="1"/>
  <c r="T149" i="1"/>
  <c r="S149" i="1"/>
  <c r="Q149" i="1"/>
  <c r="N149" i="1"/>
  <c r="U138" i="1"/>
  <c r="U139" i="1"/>
  <c r="U140" i="1"/>
  <c r="U141" i="1"/>
  <c r="U137" i="1"/>
  <c r="M146" i="1"/>
  <c r="AC146" i="1" s="1"/>
  <c r="P148" i="1"/>
  <c r="P147" i="1"/>
  <c r="P146" i="1"/>
  <c r="O147" i="1"/>
  <c r="AE147" i="1" s="1"/>
  <c r="O148" i="1"/>
  <c r="AE148" i="1" s="1"/>
  <c r="AM148" i="1" s="1"/>
  <c r="O146" i="1"/>
  <c r="AE146" i="1" s="1"/>
  <c r="AM146" i="1" s="1"/>
  <c r="M147" i="1"/>
  <c r="M148" i="1"/>
  <c r="AC148" i="1" s="1"/>
  <c r="I148" i="1"/>
  <c r="I147" i="1"/>
  <c r="I146" i="1"/>
  <c r="AL149" i="1"/>
  <c r="AK149" i="1"/>
  <c r="AJ149" i="1"/>
  <c r="AJ152" i="1" s="1"/>
  <c r="AI149" i="1"/>
  <c r="AI152" i="1" s="1"/>
  <c r="AG149" i="1"/>
  <c r="AG152" i="1" s="1"/>
  <c r="V149" i="1"/>
  <c r="Z141" i="1"/>
  <c r="Z140" i="1"/>
  <c r="Z139" i="1"/>
  <c r="Z138" i="1"/>
  <c r="Z137" i="1"/>
  <c r="U123" i="1"/>
  <c r="P138" i="1"/>
  <c r="P139" i="1"/>
  <c r="P140" i="1"/>
  <c r="P141" i="1"/>
  <c r="P137" i="1"/>
  <c r="O141" i="1"/>
  <c r="AE141" i="1" s="1"/>
  <c r="AM141" i="1" s="1"/>
  <c r="O140" i="1"/>
  <c r="AE140" i="1" s="1"/>
  <c r="AM140" i="1" s="1"/>
  <c r="O139" i="1"/>
  <c r="AE139" i="1" s="1"/>
  <c r="AM139" i="1" s="1"/>
  <c r="O138" i="1"/>
  <c r="O137" i="1"/>
  <c r="AE137" i="1" s="1"/>
  <c r="M138" i="1"/>
  <c r="AC138" i="1" s="1"/>
  <c r="M139" i="1"/>
  <c r="AC139" i="1" s="1"/>
  <c r="M140" i="1"/>
  <c r="M141" i="1"/>
  <c r="AC141" i="1" s="1"/>
  <c r="M137" i="1"/>
  <c r="AC137" i="1" s="1"/>
  <c r="F141" i="1"/>
  <c r="F140" i="1"/>
  <c r="F139" i="1"/>
  <c r="F138" i="1"/>
  <c r="F137" i="1"/>
  <c r="N141" i="1"/>
  <c r="N140" i="1"/>
  <c r="N139" i="1"/>
  <c r="N138" i="1"/>
  <c r="N137" i="1"/>
  <c r="I141" i="1"/>
  <c r="I140" i="1"/>
  <c r="I139" i="1"/>
  <c r="I138" i="1"/>
  <c r="I137" i="1"/>
  <c r="B142" i="1"/>
  <c r="C142" i="1"/>
  <c r="AL142" i="1"/>
  <c r="AK142" i="1"/>
  <c r="AJ142" i="1"/>
  <c r="AI142" i="1"/>
  <c r="AG142" i="1"/>
  <c r="AD142" i="1"/>
  <c r="V142" i="1"/>
  <c r="T142" i="1"/>
  <c r="S142" i="1"/>
  <c r="Q142" i="1"/>
  <c r="AC217" i="1" l="1"/>
  <c r="AM217" i="1"/>
  <c r="AM227" i="1"/>
  <c r="O152" i="1"/>
  <c r="O217" i="1"/>
  <c r="O214" i="1"/>
  <c r="W217" i="1"/>
  <c r="AM179" i="1"/>
  <c r="AO220" i="1"/>
  <c r="AO227" i="1" s="1"/>
  <c r="AN220" i="1"/>
  <c r="AN227" i="1" s="1"/>
  <c r="AE217" i="1"/>
  <c r="AO211" i="1"/>
  <c r="AO213" i="1" s="1"/>
  <c r="M217" i="1"/>
  <c r="N217" i="1"/>
  <c r="AD217" i="1" s="1"/>
  <c r="AL217" i="1" s="1"/>
  <c r="W214" i="1"/>
  <c r="AE214" i="1"/>
  <c r="AN211" i="1"/>
  <c r="AN213" i="1" s="1"/>
  <c r="O205" i="1"/>
  <c r="AN201" i="1"/>
  <c r="AO201" i="1"/>
  <c r="W208" i="1"/>
  <c r="W202" i="1"/>
  <c r="AM192" i="1"/>
  <c r="AM207" i="1"/>
  <c r="AE207" i="1"/>
  <c r="AF207" i="1"/>
  <c r="AN206" i="1"/>
  <c r="AN207" i="1" s="1"/>
  <c r="AO206" i="1"/>
  <c r="AO207" i="1" s="1"/>
  <c r="U205" i="1"/>
  <c r="U207" i="1" s="1"/>
  <c r="U208" i="1" s="1"/>
  <c r="AM203" i="1"/>
  <c r="AM204" i="1" s="1"/>
  <c r="AM205" i="1" s="1"/>
  <c r="O202" i="1"/>
  <c r="AK205" i="1"/>
  <c r="AK207" i="1" s="1"/>
  <c r="AK208" i="1" s="1"/>
  <c r="AE205" i="1"/>
  <c r="AM201" i="1"/>
  <c r="AM191" i="1"/>
  <c r="N204" i="1"/>
  <c r="AD204" i="1"/>
  <c r="AE202" i="1"/>
  <c r="W194" i="1"/>
  <c r="AO192" i="1"/>
  <c r="AM193" i="1"/>
  <c r="AO191" i="1"/>
  <c r="AN192" i="1"/>
  <c r="AO190" i="1"/>
  <c r="AN193" i="1"/>
  <c r="Q194" i="1"/>
  <c r="AN191" i="1"/>
  <c r="AM190" i="1"/>
  <c r="P194" i="1"/>
  <c r="AN185" i="1"/>
  <c r="AN186" i="1" s="1"/>
  <c r="O194" i="1"/>
  <c r="O186" i="1"/>
  <c r="X194" i="1"/>
  <c r="AF190" i="1"/>
  <c r="AN190" i="1" s="1"/>
  <c r="Y194" i="1"/>
  <c r="AO193" i="1"/>
  <c r="AG194" i="1"/>
  <c r="AK195" i="1"/>
  <c r="AC195" i="1"/>
  <c r="U195" i="1"/>
  <c r="AM185" i="1"/>
  <c r="AP186" i="1"/>
  <c r="AP187" i="1" s="1"/>
  <c r="W186" i="1"/>
  <c r="M195" i="1"/>
  <c r="N195" i="1"/>
  <c r="AD195" i="1" s="1"/>
  <c r="AL195" i="1" s="1"/>
  <c r="X186" i="1"/>
  <c r="AG185" i="1"/>
  <c r="AG186" i="1" s="1"/>
  <c r="P186" i="1"/>
  <c r="AH184" i="1"/>
  <c r="AH186" i="1" s="1"/>
  <c r="AH187" i="1" s="1"/>
  <c r="U184" i="1"/>
  <c r="U186" i="1" s="1"/>
  <c r="U187" i="1" s="1"/>
  <c r="P183" i="1"/>
  <c r="AG183" i="1"/>
  <c r="O183" i="1"/>
  <c r="AE183" i="1"/>
  <c r="AK184" i="1"/>
  <c r="AK186" i="1" s="1"/>
  <c r="AK187" i="1" s="1"/>
  <c r="Q183" i="1"/>
  <c r="AF179" i="1"/>
  <c r="M184" i="1"/>
  <c r="M186" i="1" s="1"/>
  <c r="N184" i="1"/>
  <c r="AD184" i="1" s="1"/>
  <c r="AL184" i="1" s="1"/>
  <c r="AM164" i="1"/>
  <c r="R184" i="1"/>
  <c r="R186" i="1" s="1"/>
  <c r="R187" i="1" s="1"/>
  <c r="AC184" i="1"/>
  <c r="AC186" i="1" s="1"/>
  <c r="AE168" i="1"/>
  <c r="AE169" i="1" s="1"/>
  <c r="O170" i="1"/>
  <c r="AC167" i="1"/>
  <c r="AC169" i="1" s="1"/>
  <c r="AK167" i="1"/>
  <c r="AK169" i="1" s="1"/>
  <c r="AK170" i="1" s="1"/>
  <c r="AF168" i="1"/>
  <c r="AF169" i="1" s="1"/>
  <c r="AG168" i="1"/>
  <c r="AG169" i="1" s="1"/>
  <c r="O166" i="1"/>
  <c r="AE162" i="1"/>
  <c r="AM162" i="1" s="1"/>
  <c r="W166" i="1"/>
  <c r="AM163" i="1"/>
  <c r="AO165" i="1"/>
  <c r="AN165" i="1"/>
  <c r="AM165" i="1"/>
  <c r="AF151" i="1"/>
  <c r="AN151" i="1" s="1"/>
  <c r="AN152" i="1" s="1"/>
  <c r="U160" i="1"/>
  <c r="N167" i="1"/>
  <c r="O153" i="1"/>
  <c r="AK151" i="1"/>
  <c r="AK152" i="1" s="1"/>
  <c r="AK153" i="1" s="1"/>
  <c r="R167" i="1"/>
  <c r="R169" i="1" s="1"/>
  <c r="R170" i="1" s="1"/>
  <c r="P149" i="1"/>
  <c r="U152" i="1"/>
  <c r="U153" i="1" s="1"/>
  <c r="Q159" i="1"/>
  <c r="AK143" i="1"/>
  <c r="M152" i="1"/>
  <c r="M153" i="1" s="1"/>
  <c r="AK160" i="1"/>
  <c r="Z160" i="1"/>
  <c r="M167" i="1"/>
  <c r="M169" i="1" s="1"/>
  <c r="U167" i="1"/>
  <c r="U169" i="1" s="1"/>
  <c r="U170" i="1" s="1"/>
  <c r="W160" i="1"/>
  <c r="R152" i="1"/>
  <c r="R153" i="1" s="1"/>
  <c r="AH151" i="1"/>
  <c r="AP151" i="1" s="1"/>
  <c r="M149" i="1"/>
  <c r="M150" i="1" s="1"/>
  <c r="AC152" i="1"/>
  <c r="AC153" i="1" s="1"/>
  <c r="AM147" i="1"/>
  <c r="AE149" i="1"/>
  <c r="O149" i="1"/>
  <c r="U149" i="1"/>
  <c r="U150" i="1" s="1"/>
  <c r="AC147" i="1"/>
  <c r="AC149" i="1" s="1"/>
  <c r="AC150" i="1" s="1"/>
  <c r="W150" i="1"/>
  <c r="W152" i="1" s="1"/>
  <c r="W153" i="1" s="1"/>
  <c r="AK150" i="1"/>
  <c r="N142" i="1"/>
  <c r="U142" i="1"/>
  <c r="U143" i="1" s="1"/>
  <c r="M142" i="1"/>
  <c r="O142" i="1"/>
  <c r="P142" i="1"/>
  <c r="AC140" i="1"/>
  <c r="AC142" i="1" s="1"/>
  <c r="AC143" i="1" s="1"/>
  <c r="AM137" i="1"/>
  <c r="AE138" i="1"/>
  <c r="AM138" i="1" s="1"/>
  <c r="C133" i="1"/>
  <c r="B133" i="1"/>
  <c r="Z128" i="1"/>
  <c r="AJ133" i="1"/>
  <c r="AI133" i="1"/>
  <c r="AG133" i="1"/>
  <c r="AF128" i="1"/>
  <c r="AN128" i="1" s="1"/>
  <c r="AF129" i="1"/>
  <c r="AF130" i="1"/>
  <c r="AF131" i="1"/>
  <c r="AF132" i="1"/>
  <c r="AD133" i="1"/>
  <c r="AC133" i="1"/>
  <c r="X133" i="1"/>
  <c r="W133" i="1"/>
  <c r="T133" i="1"/>
  <c r="S133" i="1"/>
  <c r="R132" i="1"/>
  <c r="AH132" i="1" s="1"/>
  <c r="R131" i="1"/>
  <c r="AH131" i="1" s="1"/>
  <c r="R130" i="1"/>
  <c r="AH130" i="1" s="1"/>
  <c r="R129" i="1"/>
  <c r="AH129" i="1" s="1"/>
  <c r="R128" i="1"/>
  <c r="AH128" i="1" s="1"/>
  <c r="P133" i="1"/>
  <c r="O132" i="1"/>
  <c r="AE132" i="1" s="1"/>
  <c r="AM132" i="1" s="1"/>
  <c r="O131" i="1"/>
  <c r="AE131" i="1" s="1"/>
  <c r="AM131" i="1" s="1"/>
  <c r="O130" i="1"/>
  <c r="AE130" i="1" s="1"/>
  <c r="AM130" i="1" s="1"/>
  <c r="O129" i="1"/>
  <c r="AE129" i="1" s="1"/>
  <c r="AM129" i="1" s="1"/>
  <c r="O128" i="1"/>
  <c r="AE128" i="1" s="1"/>
  <c r="N132" i="1"/>
  <c r="N131" i="1"/>
  <c r="N133" i="1" s="1"/>
  <c r="N130" i="1"/>
  <c r="N129" i="1"/>
  <c r="N128" i="1"/>
  <c r="M132" i="1"/>
  <c r="M131" i="1"/>
  <c r="M130" i="1"/>
  <c r="M129" i="1"/>
  <c r="M128" i="1"/>
  <c r="AL133" i="1"/>
  <c r="AK133" i="1"/>
  <c r="V133" i="1"/>
  <c r="U133" i="1"/>
  <c r="Q133" i="1"/>
  <c r="AL124" i="1"/>
  <c r="AD124" i="1"/>
  <c r="O123" i="1"/>
  <c r="AE123" i="1" s="1"/>
  <c r="O122" i="1"/>
  <c r="M123" i="1"/>
  <c r="AC123" i="1" s="1"/>
  <c r="M122" i="1"/>
  <c r="AC122" i="1" s="1"/>
  <c r="W123" i="1"/>
  <c r="I123" i="1"/>
  <c r="W122" i="1"/>
  <c r="U122" i="1"/>
  <c r="U124" i="1" s="1"/>
  <c r="I122" i="1"/>
  <c r="AP125" i="1"/>
  <c r="AH125" i="1"/>
  <c r="Z125" i="1"/>
  <c r="AN124" i="1"/>
  <c r="T124" i="1"/>
  <c r="S124" i="1"/>
  <c r="Q124" i="1"/>
  <c r="P124" i="1"/>
  <c r="N124" i="1"/>
  <c r="C124" i="1"/>
  <c r="B124" i="1"/>
  <c r="C89" i="1"/>
  <c r="B89" i="1"/>
  <c r="B94" i="1"/>
  <c r="C94" i="1"/>
  <c r="C102" i="1"/>
  <c r="B102" i="1"/>
  <c r="B106" i="1"/>
  <c r="C106" i="1"/>
  <c r="C109" i="1"/>
  <c r="B109" i="1"/>
  <c r="B114" i="1"/>
  <c r="C114" i="1"/>
  <c r="C120" i="1"/>
  <c r="B120" i="1"/>
  <c r="W119" i="1"/>
  <c r="W118" i="1"/>
  <c r="U118" i="1"/>
  <c r="U119" i="1"/>
  <c r="O119" i="1"/>
  <c r="AE119" i="1" s="1"/>
  <c r="O118" i="1"/>
  <c r="AE118" i="1" s="1"/>
  <c r="M119" i="1"/>
  <c r="AC119" i="1" s="1"/>
  <c r="M118" i="1"/>
  <c r="AC118" i="1" s="1"/>
  <c r="I119" i="1"/>
  <c r="I118" i="1"/>
  <c r="AP121" i="1"/>
  <c r="AH121" i="1"/>
  <c r="Z121" i="1"/>
  <c r="AN120" i="1"/>
  <c r="AL120" i="1"/>
  <c r="AF120" i="1"/>
  <c r="AF124" i="1" s="1"/>
  <c r="AD120" i="1"/>
  <c r="V120" i="1"/>
  <c r="V124" i="1" s="1"/>
  <c r="T120" i="1"/>
  <c r="S120" i="1"/>
  <c r="R120" i="1"/>
  <c r="Q120" i="1"/>
  <c r="P120" i="1"/>
  <c r="N120" i="1"/>
  <c r="AL114" i="1"/>
  <c r="W113" i="1"/>
  <c r="V113" i="1"/>
  <c r="V114" i="1" s="1"/>
  <c r="AM111" i="1"/>
  <c r="AF114" i="1"/>
  <c r="AD114" i="1"/>
  <c r="O113" i="1"/>
  <c r="AE113" i="1" s="1"/>
  <c r="U112" i="1"/>
  <c r="U111" i="1"/>
  <c r="M112" i="1"/>
  <c r="AC112" i="1" s="1"/>
  <c r="M111" i="1"/>
  <c r="AP115" i="1"/>
  <c r="AH115" i="1"/>
  <c r="Z115" i="1"/>
  <c r="AN114" i="1"/>
  <c r="T114" i="1"/>
  <c r="S114" i="1"/>
  <c r="R114" i="1"/>
  <c r="Q114" i="1"/>
  <c r="P114" i="1"/>
  <c r="N114" i="1"/>
  <c r="U108" i="1"/>
  <c r="M108" i="1"/>
  <c r="AC108" i="1" s="1"/>
  <c r="AP110" i="1"/>
  <c r="AH110" i="1"/>
  <c r="Z110" i="1"/>
  <c r="AN109" i="1"/>
  <c r="AF109" i="1"/>
  <c r="T109" i="1"/>
  <c r="S109" i="1"/>
  <c r="Q109" i="1"/>
  <c r="P109" i="1"/>
  <c r="V108" i="1"/>
  <c r="V109" i="1" s="1"/>
  <c r="N108" i="1"/>
  <c r="N109" i="1" s="1"/>
  <c r="I108" i="1"/>
  <c r="H108" i="1"/>
  <c r="O108" i="1" s="1"/>
  <c r="E108" i="1"/>
  <c r="U105" i="1"/>
  <c r="U106" i="1" s="1"/>
  <c r="V105" i="1"/>
  <c r="V106" i="1" s="1"/>
  <c r="N105" i="1"/>
  <c r="AD105" i="1" s="1"/>
  <c r="AD106" i="1" s="1"/>
  <c r="M105" i="1"/>
  <c r="AC105" i="1" s="1"/>
  <c r="I105" i="1"/>
  <c r="H105" i="1"/>
  <c r="O105" i="1" s="1"/>
  <c r="AE105" i="1" s="1"/>
  <c r="AM105" i="1" s="1"/>
  <c r="E105" i="1"/>
  <c r="AP107" i="1"/>
  <c r="AH107" i="1"/>
  <c r="Z107" i="1"/>
  <c r="AN106" i="1"/>
  <c r="AF106" i="1"/>
  <c r="W106" i="1"/>
  <c r="W107" i="1" s="1"/>
  <c r="W109" i="1" s="1"/>
  <c r="W110" i="1" s="1"/>
  <c r="T106" i="1"/>
  <c r="S106" i="1"/>
  <c r="R106" i="1"/>
  <c r="Q106" i="1"/>
  <c r="P106" i="1"/>
  <c r="V101" i="1"/>
  <c r="V100" i="1"/>
  <c r="V99" i="1"/>
  <c r="V98" i="1"/>
  <c r="U98" i="1"/>
  <c r="N99" i="1"/>
  <c r="AD99" i="1" s="1"/>
  <c r="N100" i="1"/>
  <c r="AD100" i="1" s="1"/>
  <c r="N101" i="1"/>
  <c r="AD101" i="1" s="1"/>
  <c r="N98" i="1"/>
  <c r="AD98" i="1" s="1"/>
  <c r="M101" i="1"/>
  <c r="AC101" i="1" s="1"/>
  <c r="M100" i="1"/>
  <c r="AC100" i="1" s="1"/>
  <c r="M99" i="1"/>
  <c r="AC99" i="1" s="1"/>
  <c r="M98" i="1"/>
  <c r="AC98" i="1" s="1"/>
  <c r="AP103" i="1"/>
  <c r="AH103" i="1"/>
  <c r="Z103" i="1"/>
  <c r="AN102" i="1"/>
  <c r="AF102" i="1"/>
  <c r="T102" i="1"/>
  <c r="S102" i="1"/>
  <c r="R102" i="1"/>
  <c r="Q102" i="1"/>
  <c r="P102" i="1"/>
  <c r="U93" i="1"/>
  <c r="M93" i="1"/>
  <c r="M94" i="1" s="1"/>
  <c r="AP95" i="1"/>
  <c r="AH95" i="1"/>
  <c r="Z95" i="1"/>
  <c r="AN94" i="1"/>
  <c r="AM94" i="1"/>
  <c r="AL94" i="1"/>
  <c r="AF94" i="1"/>
  <c r="AE94" i="1"/>
  <c r="W94" i="1"/>
  <c r="W95" i="1" s="1"/>
  <c r="V94" i="1"/>
  <c r="T94" i="1"/>
  <c r="S94" i="1"/>
  <c r="R94" i="1"/>
  <c r="Q94" i="1"/>
  <c r="P94" i="1"/>
  <c r="O94" i="1"/>
  <c r="N94" i="1"/>
  <c r="AD94" i="1" s="1"/>
  <c r="I93" i="1"/>
  <c r="H93" i="1"/>
  <c r="W88" i="1"/>
  <c r="W87" i="1"/>
  <c r="V88" i="1"/>
  <c r="V87" i="1"/>
  <c r="U88" i="1"/>
  <c r="U87" i="1"/>
  <c r="T88" i="1"/>
  <c r="T87" i="1"/>
  <c r="S88" i="1"/>
  <c r="S87" i="1"/>
  <c r="R88" i="1"/>
  <c r="R87" i="1"/>
  <c r="Q88" i="1"/>
  <c r="Q87" i="1"/>
  <c r="P88" i="1"/>
  <c r="P87" i="1"/>
  <c r="N88" i="1"/>
  <c r="N87" i="1"/>
  <c r="O88" i="1"/>
  <c r="O87" i="1"/>
  <c r="AE87" i="1" s="1"/>
  <c r="M82" i="1"/>
  <c r="AC82" i="1" s="1"/>
  <c r="I87" i="1"/>
  <c r="G88" i="1"/>
  <c r="M88" i="1" s="1"/>
  <c r="AC88" i="1" s="1"/>
  <c r="G87" i="1"/>
  <c r="D88" i="1"/>
  <c r="D87" i="1"/>
  <c r="AF89" i="1"/>
  <c r="AL89" i="1"/>
  <c r="AN89" i="1"/>
  <c r="Z90" i="1"/>
  <c r="AH90" i="1"/>
  <c r="AP90" i="1"/>
  <c r="I88" i="1"/>
  <c r="U82" i="1"/>
  <c r="U81" i="1"/>
  <c r="M81" i="1"/>
  <c r="AC81" i="1" s="1"/>
  <c r="I73" i="1"/>
  <c r="I82" i="1"/>
  <c r="H82" i="1"/>
  <c r="I81" i="1"/>
  <c r="H81" i="1"/>
  <c r="I78" i="1"/>
  <c r="H78" i="1"/>
  <c r="I77" i="1"/>
  <c r="H77" i="1"/>
  <c r="C83" i="1"/>
  <c r="B83" i="1"/>
  <c r="AP84" i="1"/>
  <c r="AH84" i="1"/>
  <c r="Z84" i="1"/>
  <c r="R84" i="1"/>
  <c r="AN83" i="1"/>
  <c r="AL83" i="1"/>
  <c r="AF83" i="1"/>
  <c r="Q83" i="1"/>
  <c r="P83" i="1"/>
  <c r="N83" i="1"/>
  <c r="AD83" i="1" s="1"/>
  <c r="U78" i="1"/>
  <c r="U77" i="1"/>
  <c r="M78" i="1"/>
  <c r="AC78" i="1" s="1"/>
  <c r="M77" i="1"/>
  <c r="AC77" i="1" s="1"/>
  <c r="C79" i="1"/>
  <c r="B79" i="1"/>
  <c r="AP80" i="1"/>
  <c r="AH80" i="1"/>
  <c r="Z80" i="1"/>
  <c r="R80" i="1"/>
  <c r="AN79" i="1"/>
  <c r="AL79" i="1"/>
  <c r="AF79" i="1"/>
  <c r="V79" i="1"/>
  <c r="V83" i="1" s="1"/>
  <c r="Q79" i="1"/>
  <c r="P79" i="1"/>
  <c r="N79" i="1"/>
  <c r="AD79" i="1" s="1"/>
  <c r="AL74" i="1"/>
  <c r="U73" i="1"/>
  <c r="U72" i="1"/>
  <c r="M73" i="1"/>
  <c r="AC73" i="1" s="1"/>
  <c r="M72" i="1"/>
  <c r="C74" i="1"/>
  <c r="B74" i="1"/>
  <c r="H73" i="1"/>
  <c r="I72" i="1"/>
  <c r="H72" i="1"/>
  <c r="F72" i="1"/>
  <c r="E72" i="1"/>
  <c r="AP75" i="1"/>
  <c r="AH75" i="1"/>
  <c r="Z75" i="1"/>
  <c r="R75" i="1"/>
  <c r="AN74" i="1"/>
  <c r="AF74" i="1"/>
  <c r="Q74" i="1"/>
  <c r="P74" i="1"/>
  <c r="N74" i="1"/>
  <c r="AD74" i="1" s="1"/>
  <c r="V68" i="1"/>
  <c r="V70" i="1" s="1"/>
  <c r="U69" i="1"/>
  <c r="U68" i="1"/>
  <c r="M69" i="1"/>
  <c r="AC69" i="1" s="1"/>
  <c r="M68" i="1"/>
  <c r="AC68" i="1" s="1"/>
  <c r="N68" i="1"/>
  <c r="N70" i="1" s="1"/>
  <c r="H69" i="1"/>
  <c r="H68" i="1"/>
  <c r="I69" i="1"/>
  <c r="I68" i="1"/>
  <c r="I53" i="1"/>
  <c r="I52" i="1"/>
  <c r="I63" i="1"/>
  <c r="I62" i="1"/>
  <c r="I61" i="1"/>
  <c r="I60" i="1"/>
  <c r="C70" i="1"/>
  <c r="B70" i="1"/>
  <c r="AP71" i="1"/>
  <c r="AH71" i="1"/>
  <c r="Z71" i="1"/>
  <c r="R71" i="1"/>
  <c r="AN70" i="1"/>
  <c r="AM70" i="1"/>
  <c r="AF70" i="1"/>
  <c r="AE70" i="1"/>
  <c r="W70" i="1"/>
  <c r="Q70" i="1"/>
  <c r="P70" i="1"/>
  <c r="O70" i="1"/>
  <c r="U63" i="1"/>
  <c r="W63" i="1"/>
  <c r="W62" i="1"/>
  <c r="W61" i="1"/>
  <c r="W60" i="1"/>
  <c r="O60" i="1"/>
  <c r="AE60" i="1" s="1"/>
  <c r="V64" i="1"/>
  <c r="U62" i="1"/>
  <c r="U61" i="1"/>
  <c r="U60" i="1"/>
  <c r="O63" i="1"/>
  <c r="AE63" i="1" s="1"/>
  <c r="O62" i="1"/>
  <c r="AE62" i="1" s="1"/>
  <c r="O61" i="1"/>
  <c r="AE61" i="1" s="1"/>
  <c r="M63" i="1"/>
  <c r="AC63" i="1" s="1"/>
  <c r="M62" i="1"/>
  <c r="AC62" i="1" s="1"/>
  <c r="M61" i="1"/>
  <c r="AC61" i="1" s="1"/>
  <c r="M60" i="1"/>
  <c r="AC60" i="1" s="1"/>
  <c r="AN63" i="1"/>
  <c r="AL63" i="1"/>
  <c r="AD63" i="1"/>
  <c r="T63" i="1"/>
  <c r="S63" i="1"/>
  <c r="R63" i="1"/>
  <c r="Q63" i="1"/>
  <c r="P63" i="1"/>
  <c r="AF63" i="1" s="1"/>
  <c r="AN62" i="1"/>
  <c r="AL62" i="1"/>
  <c r="AD62" i="1"/>
  <c r="T62" i="1"/>
  <c r="S62" i="1"/>
  <c r="R62" i="1"/>
  <c r="Q62" i="1"/>
  <c r="P62" i="1"/>
  <c r="AF62" i="1" s="1"/>
  <c r="AN61" i="1"/>
  <c r="AL61" i="1"/>
  <c r="AD61" i="1"/>
  <c r="T61" i="1"/>
  <c r="S61" i="1"/>
  <c r="R61" i="1"/>
  <c r="Q61" i="1"/>
  <c r="P61" i="1"/>
  <c r="AF61" i="1" s="1"/>
  <c r="AN60" i="1"/>
  <c r="AL60" i="1"/>
  <c r="AD60" i="1"/>
  <c r="T60" i="1"/>
  <c r="S60" i="1"/>
  <c r="R60" i="1"/>
  <c r="Q60" i="1"/>
  <c r="P60" i="1"/>
  <c r="AF60" i="1" s="1"/>
  <c r="C64" i="1"/>
  <c r="B64" i="1"/>
  <c r="AN57" i="1"/>
  <c r="AN56" i="1"/>
  <c r="AL56" i="1"/>
  <c r="AL57" i="1" s="1"/>
  <c r="AD56" i="1"/>
  <c r="AB57" i="1"/>
  <c r="AA57" i="1"/>
  <c r="Z57" i="1"/>
  <c r="Y57" i="1"/>
  <c r="X57" i="1"/>
  <c r="W56" i="1"/>
  <c r="W57" i="1" s="1"/>
  <c r="O56" i="1"/>
  <c r="AE56" i="1" s="1"/>
  <c r="U56" i="1"/>
  <c r="U57" i="1" s="1"/>
  <c r="V57" i="1"/>
  <c r="T56" i="1"/>
  <c r="T57" i="1" s="1"/>
  <c r="S56" i="1"/>
  <c r="S57" i="1" s="1"/>
  <c r="R56" i="1"/>
  <c r="R57" i="1" s="1"/>
  <c r="M56" i="1"/>
  <c r="AC56" i="1" s="1"/>
  <c r="Q57" i="1"/>
  <c r="Q56" i="1"/>
  <c r="P56" i="1"/>
  <c r="AF56" i="1" s="1"/>
  <c r="AF57" i="1" s="1"/>
  <c r="N57" i="1"/>
  <c r="AD57" i="1" s="1"/>
  <c r="C57" i="1"/>
  <c r="B57" i="1"/>
  <c r="AP58" i="1"/>
  <c r="AH58" i="1"/>
  <c r="AP65" i="1"/>
  <c r="AH65" i="1"/>
  <c r="Z65" i="1"/>
  <c r="R65" i="1"/>
  <c r="Q64" i="1"/>
  <c r="P64" i="1"/>
  <c r="N64" i="1"/>
  <c r="AN54" i="1"/>
  <c r="AF54" i="1"/>
  <c r="W53" i="1"/>
  <c r="W52" i="1"/>
  <c r="O53" i="1"/>
  <c r="AE53" i="1" s="1"/>
  <c r="O52" i="1"/>
  <c r="AE52" i="1" s="1"/>
  <c r="AM118" i="1" l="1"/>
  <c r="AN64" i="1"/>
  <c r="AM228" i="1"/>
  <c r="AM214" i="1"/>
  <c r="AM202" i="1"/>
  <c r="AE208" i="1"/>
  <c r="AM208" i="1"/>
  <c r="M205" i="1"/>
  <c r="M207" i="1" s="1"/>
  <c r="AC205" i="1"/>
  <c r="AC207" i="1" s="1"/>
  <c r="N205" i="1"/>
  <c r="AD205" i="1" s="1"/>
  <c r="AL205" i="1" s="1"/>
  <c r="AO194" i="1"/>
  <c r="AM194" i="1"/>
  <c r="AN194" i="1"/>
  <c r="O195" i="1"/>
  <c r="W195" i="1"/>
  <c r="O187" i="1"/>
  <c r="W187" i="1"/>
  <c r="AD186" i="1"/>
  <c r="AC187" i="1" s="1"/>
  <c r="N186" i="1"/>
  <c r="N187" i="1" s="1"/>
  <c r="AD187" i="1" s="1"/>
  <c r="AL187" i="1" s="1"/>
  <c r="AO185" i="1"/>
  <c r="AO186" i="1" s="1"/>
  <c r="AE186" i="1"/>
  <c r="AE187" i="1" s="1"/>
  <c r="AM186" i="1"/>
  <c r="O184" i="1"/>
  <c r="AF183" i="1"/>
  <c r="AE184" i="1" s="1"/>
  <c r="AN179" i="1"/>
  <c r="AE170" i="1"/>
  <c r="AM168" i="1"/>
  <c r="AM169" i="1" s="1"/>
  <c r="AE166" i="1"/>
  <c r="AM166" i="1"/>
  <c r="O150" i="1"/>
  <c r="AD167" i="1"/>
  <c r="N169" i="1"/>
  <c r="N170" i="1" s="1"/>
  <c r="AD170" i="1" s="1"/>
  <c r="AL170" i="1" s="1"/>
  <c r="N153" i="1"/>
  <c r="AD153" i="1" s="1"/>
  <c r="AL153" i="1" s="1"/>
  <c r="N150" i="1"/>
  <c r="AD150" i="1" s="1"/>
  <c r="AL150" i="1" s="1"/>
  <c r="AE152" i="1"/>
  <c r="N143" i="1"/>
  <c r="AD143" i="1" s="1"/>
  <c r="AL143" i="1" s="1"/>
  <c r="M143" i="1"/>
  <c r="U134" i="1"/>
  <c r="AC134" i="1"/>
  <c r="AK134" i="1"/>
  <c r="AE142" i="1"/>
  <c r="U125" i="1"/>
  <c r="O124" i="1"/>
  <c r="O125" i="1" s="1"/>
  <c r="AF133" i="1"/>
  <c r="AH133" i="1"/>
  <c r="AH134" i="1" s="1"/>
  <c r="AM128" i="1"/>
  <c r="AM133" i="1" s="1"/>
  <c r="AE133" i="1"/>
  <c r="R133" i="1"/>
  <c r="R134" i="1" s="1"/>
  <c r="M133" i="1"/>
  <c r="M134" i="1" s="1"/>
  <c r="O133" i="1"/>
  <c r="O134" i="1" s="1"/>
  <c r="AP128" i="1"/>
  <c r="W134" i="1"/>
  <c r="R121" i="1"/>
  <c r="R124" i="1" s="1"/>
  <c r="R125" i="1" s="1"/>
  <c r="AK122" i="1"/>
  <c r="AE120" i="1"/>
  <c r="AE121" i="1" s="1"/>
  <c r="AE122" i="1"/>
  <c r="AE124" i="1" s="1"/>
  <c r="AE125" i="1" s="1"/>
  <c r="AC120" i="1"/>
  <c r="AC121" i="1" s="1"/>
  <c r="AK119" i="1"/>
  <c r="AK123" i="1"/>
  <c r="M124" i="1"/>
  <c r="W124" i="1"/>
  <c r="W125" i="1" s="1"/>
  <c r="AM123" i="1"/>
  <c r="AK118" i="1"/>
  <c r="AM119" i="1"/>
  <c r="AM120" i="1" s="1"/>
  <c r="AM121" i="1" s="1"/>
  <c r="O120" i="1"/>
  <c r="O121" i="1" s="1"/>
  <c r="U120" i="1"/>
  <c r="U121" i="1" s="1"/>
  <c r="W120" i="1"/>
  <c r="W121" i="1" s="1"/>
  <c r="AK112" i="1"/>
  <c r="M114" i="1"/>
  <c r="M115" i="1" s="1"/>
  <c r="AC111" i="1"/>
  <c r="AC114" i="1" s="1"/>
  <c r="AC115" i="1" s="1"/>
  <c r="AK108" i="1"/>
  <c r="AK109" i="1" s="1"/>
  <c r="U109" i="1"/>
  <c r="U114" i="1"/>
  <c r="U115" i="1" s="1"/>
  <c r="R115" i="1"/>
  <c r="N106" i="1"/>
  <c r="U110" i="1"/>
  <c r="AL100" i="1"/>
  <c r="AL99" i="1"/>
  <c r="AC109" i="1"/>
  <c r="AE108" i="1"/>
  <c r="M109" i="1"/>
  <c r="AD108" i="1"/>
  <c r="AD109" i="1" s="1"/>
  <c r="AK105" i="1"/>
  <c r="AK106" i="1" s="1"/>
  <c r="AC106" i="1"/>
  <c r="AC107" i="1" s="1"/>
  <c r="U107" i="1"/>
  <c r="AL105" i="1"/>
  <c r="AL106" i="1" s="1"/>
  <c r="M106" i="1"/>
  <c r="AL98" i="1"/>
  <c r="R107" i="1"/>
  <c r="R109" i="1" s="1"/>
  <c r="R110" i="1" s="1"/>
  <c r="AD102" i="1"/>
  <c r="AC102" i="1"/>
  <c r="AK98" i="1"/>
  <c r="AL101" i="1"/>
  <c r="M102" i="1"/>
  <c r="V102" i="1"/>
  <c r="N102" i="1"/>
  <c r="R103" i="1"/>
  <c r="O95" i="1"/>
  <c r="R95" i="1"/>
  <c r="AM95" i="1"/>
  <c r="M74" i="1"/>
  <c r="N75" i="1" s="1"/>
  <c r="AD75" i="1" s="1"/>
  <c r="AL75" i="1" s="1"/>
  <c r="U79" i="1"/>
  <c r="U80" i="1" s="1"/>
  <c r="AE95" i="1"/>
  <c r="M95" i="1"/>
  <c r="AC83" i="1"/>
  <c r="AC84" i="1" s="1"/>
  <c r="AC93" i="1"/>
  <c r="AK93" i="1" s="1"/>
  <c r="O89" i="1"/>
  <c r="P89" i="1"/>
  <c r="R89" i="1"/>
  <c r="T89" i="1"/>
  <c r="U94" i="1"/>
  <c r="U95" i="1" s="1"/>
  <c r="M83" i="1"/>
  <c r="N84" i="1" s="1"/>
  <c r="AD84" i="1" s="1"/>
  <c r="AL84" i="1" s="1"/>
  <c r="AK82" i="1"/>
  <c r="N89" i="1"/>
  <c r="AD89" i="1" s="1"/>
  <c r="Q89" i="1"/>
  <c r="S89" i="1"/>
  <c r="U89" i="1"/>
  <c r="AM87" i="1"/>
  <c r="U70" i="1"/>
  <c r="U71" i="1" s="1"/>
  <c r="U83" i="1"/>
  <c r="U84" i="1" s="1"/>
  <c r="V89" i="1"/>
  <c r="AC72" i="1"/>
  <c r="AK72" i="1" s="1"/>
  <c r="AE88" i="1"/>
  <c r="AE89" i="1" s="1"/>
  <c r="AE90" i="1" s="1"/>
  <c r="AK81" i="1"/>
  <c r="W89" i="1"/>
  <c r="W90" i="1" s="1"/>
  <c r="AK88" i="1"/>
  <c r="AK78" i="1"/>
  <c r="AC79" i="1"/>
  <c r="AC80" i="1" s="1"/>
  <c r="AK77" i="1"/>
  <c r="AM63" i="1"/>
  <c r="M79" i="1"/>
  <c r="AK63" i="1"/>
  <c r="M70" i="1"/>
  <c r="N71" i="1" s="1"/>
  <c r="AD71" i="1" s="1"/>
  <c r="AL71" i="1" s="1"/>
  <c r="AK61" i="1"/>
  <c r="O71" i="1"/>
  <c r="O74" i="1" s="1"/>
  <c r="O75" i="1" s="1"/>
  <c r="O79" i="1" s="1"/>
  <c r="AE71" i="1"/>
  <c r="AE74" i="1" s="1"/>
  <c r="AE75" i="1" s="1"/>
  <c r="AE79" i="1" s="1"/>
  <c r="AK73" i="1"/>
  <c r="AM71" i="1"/>
  <c r="AM74" i="1" s="1"/>
  <c r="AM75" i="1" s="1"/>
  <c r="AM79" i="1" s="1"/>
  <c r="U74" i="1"/>
  <c r="AC70" i="1"/>
  <c r="W71" i="1"/>
  <c r="W74" i="1" s="1"/>
  <c r="W75" i="1" s="1"/>
  <c r="W79" i="1" s="1"/>
  <c r="AC64" i="1"/>
  <c r="AM61" i="1"/>
  <c r="W64" i="1"/>
  <c r="W65" i="1" s="1"/>
  <c r="V74" i="1"/>
  <c r="AK68" i="1"/>
  <c r="U58" i="1"/>
  <c r="AD70" i="1"/>
  <c r="AC57" i="1"/>
  <c r="AC58" i="1" s="1"/>
  <c r="AK57" i="1"/>
  <c r="AK58" i="1" s="1"/>
  <c r="AK56" i="1"/>
  <c r="AK60" i="1"/>
  <c r="AM60" i="1"/>
  <c r="AE64" i="1"/>
  <c r="M64" i="1"/>
  <c r="M65" i="1" s="1"/>
  <c r="M57" i="1"/>
  <c r="M58" i="1" s="1"/>
  <c r="O64" i="1"/>
  <c r="O65" i="1" s="1"/>
  <c r="W58" i="1"/>
  <c r="AL64" i="1"/>
  <c r="U64" i="1"/>
  <c r="U65" i="1" s="1"/>
  <c r="AK62" i="1"/>
  <c r="AF64" i="1"/>
  <c r="AM62" i="1"/>
  <c r="R58" i="1"/>
  <c r="AM56" i="1"/>
  <c r="AM57" i="1" s="1"/>
  <c r="AM58" i="1" s="1"/>
  <c r="AE57" i="1"/>
  <c r="AE58" i="1" s="1"/>
  <c r="O57" i="1"/>
  <c r="P57" i="1"/>
  <c r="Z58" i="1"/>
  <c r="AM53" i="1"/>
  <c r="AD64" i="1"/>
  <c r="AM52" i="1"/>
  <c r="AE54" i="1"/>
  <c r="AE55" i="1" s="1"/>
  <c r="W54" i="1"/>
  <c r="W55" i="1" s="1"/>
  <c r="U53" i="1"/>
  <c r="U52" i="1"/>
  <c r="U44" i="1"/>
  <c r="O54" i="1"/>
  <c r="N53" i="1"/>
  <c r="N52" i="1"/>
  <c r="M53" i="1"/>
  <c r="AC53" i="1" s="1"/>
  <c r="M52" i="1"/>
  <c r="AC52" i="1" s="1"/>
  <c r="C54" i="1"/>
  <c r="B54" i="1"/>
  <c r="AP55" i="1"/>
  <c r="AH55" i="1"/>
  <c r="Z55" i="1"/>
  <c r="R55" i="1"/>
  <c r="AL54" i="1"/>
  <c r="V54" i="1"/>
  <c r="Q54" i="1"/>
  <c r="P54" i="1"/>
  <c r="N134" i="1" l="1"/>
  <c r="AD134" i="1" s="1"/>
  <c r="AL134" i="1" s="1"/>
  <c r="M107" i="1"/>
  <c r="AC71" i="1"/>
  <c r="AD207" i="1"/>
  <c r="AC208" i="1" s="1"/>
  <c r="N207" i="1"/>
  <c r="M208" i="1" s="1"/>
  <c r="AM195" i="1"/>
  <c r="AM187" i="1"/>
  <c r="M187" i="1"/>
  <c r="M170" i="1"/>
  <c r="AL167" i="1"/>
  <c r="AD169" i="1"/>
  <c r="AC170" i="1" s="1"/>
  <c r="AK124" i="1"/>
  <c r="AK125" i="1" s="1"/>
  <c r="AE134" i="1"/>
  <c r="AK120" i="1"/>
  <c r="AK121" i="1" s="1"/>
  <c r="AM122" i="1"/>
  <c r="AM124" i="1" s="1"/>
  <c r="AM125" i="1" s="1"/>
  <c r="N115" i="1"/>
  <c r="AD115" i="1" s="1"/>
  <c r="AL115" i="1" s="1"/>
  <c r="AK111" i="1"/>
  <c r="AK107" i="1"/>
  <c r="N107" i="1"/>
  <c r="AD107" i="1" s="1"/>
  <c r="AL107" i="1" s="1"/>
  <c r="N110" i="1"/>
  <c r="AD110" i="1" s="1"/>
  <c r="AL110" i="1" s="1"/>
  <c r="M110" i="1"/>
  <c r="AL108" i="1"/>
  <c r="AC110" i="1"/>
  <c r="AM108" i="1"/>
  <c r="AC103" i="1"/>
  <c r="M103" i="1"/>
  <c r="M84" i="1"/>
  <c r="M75" i="1"/>
  <c r="U90" i="1"/>
  <c r="R90" i="1"/>
  <c r="O90" i="1"/>
  <c r="AK83" i="1"/>
  <c r="AM88" i="1"/>
  <c r="AM89" i="1" s="1"/>
  <c r="AK79" i="1"/>
  <c r="AK80" i="1" s="1"/>
  <c r="O80" i="1"/>
  <c r="O83" i="1" s="1"/>
  <c r="O84" i="1" s="1"/>
  <c r="W80" i="1"/>
  <c r="W83" i="1" s="1"/>
  <c r="W84" i="1" s="1"/>
  <c r="AM80" i="1"/>
  <c r="AM83" i="1" s="1"/>
  <c r="AM84" i="1" s="1"/>
  <c r="AE80" i="1"/>
  <c r="AE83" i="1" s="1"/>
  <c r="AE84" i="1" s="1"/>
  <c r="AK74" i="1"/>
  <c r="AK75" i="1" s="1"/>
  <c r="AC74" i="1"/>
  <c r="AC75" i="1" s="1"/>
  <c r="M71" i="1"/>
  <c r="U75" i="1"/>
  <c r="M80" i="1"/>
  <c r="N80" i="1"/>
  <c r="AD80" i="1" s="1"/>
  <c r="AL80" i="1" s="1"/>
  <c r="N58" i="1"/>
  <c r="AD58" i="1" s="1"/>
  <c r="AL58" i="1" s="1"/>
  <c r="O58" i="1"/>
  <c r="AK53" i="1"/>
  <c r="AE65" i="1"/>
  <c r="AM64" i="1"/>
  <c r="AM65" i="1" s="1"/>
  <c r="AK64" i="1"/>
  <c r="AK65" i="1" s="1"/>
  <c r="AM54" i="1"/>
  <c r="AM55" i="1" s="1"/>
  <c r="M54" i="1"/>
  <c r="AK52" i="1"/>
  <c r="O55" i="1"/>
  <c r="N54" i="1"/>
  <c r="AD54" i="1" s="1"/>
  <c r="U47" i="1"/>
  <c r="U48" i="1" s="1"/>
  <c r="M44" i="1"/>
  <c r="M45" i="1" s="1"/>
  <c r="AP49" i="1"/>
  <c r="AM49" i="1"/>
  <c r="AH49" i="1"/>
  <c r="AE49" i="1"/>
  <c r="AB48" i="1"/>
  <c r="AA48" i="1"/>
  <c r="Z48" i="1"/>
  <c r="Y48" i="1"/>
  <c r="X48" i="1"/>
  <c r="W48" i="1"/>
  <c r="V48" i="1"/>
  <c r="T48" i="1"/>
  <c r="S48" i="1"/>
  <c r="R48" i="1"/>
  <c r="C48" i="1"/>
  <c r="B48" i="1"/>
  <c r="Q47" i="1"/>
  <c r="Q48" i="1" s="1"/>
  <c r="P47" i="1"/>
  <c r="P48" i="1" s="1"/>
  <c r="O47" i="1"/>
  <c r="O48" i="1" s="1"/>
  <c r="N47" i="1"/>
  <c r="N48" i="1" s="1"/>
  <c r="AD48" i="1" s="1"/>
  <c r="AC47" i="1"/>
  <c r="I47" i="1"/>
  <c r="H47" i="1"/>
  <c r="AP46" i="1"/>
  <c r="AM46" i="1"/>
  <c r="X45" i="1"/>
  <c r="AB45" i="1"/>
  <c r="AA45" i="1"/>
  <c r="Z45" i="1"/>
  <c r="Y45" i="1"/>
  <c r="W45" i="1"/>
  <c r="T45" i="1"/>
  <c r="S45" i="1"/>
  <c r="R45" i="1"/>
  <c r="AH46" i="1"/>
  <c r="AE46" i="1"/>
  <c r="V45" i="1"/>
  <c r="C45" i="1"/>
  <c r="B45" i="1"/>
  <c r="U45" i="1"/>
  <c r="Q44" i="1"/>
  <c r="Q45" i="1" s="1"/>
  <c r="P44" i="1"/>
  <c r="P45" i="1" s="1"/>
  <c r="O44" i="1"/>
  <c r="O45" i="1" s="1"/>
  <c r="N44" i="1"/>
  <c r="AD44" i="1" s="1"/>
  <c r="AL44" i="1" s="1"/>
  <c r="AL45" i="1" s="1"/>
  <c r="I44" i="1"/>
  <c r="H44" i="1"/>
  <c r="N208" i="1" l="1"/>
  <c r="AD208" i="1" s="1"/>
  <c r="AL208" i="1" s="1"/>
  <c r="AL109" i="1"/>
  <c r="AK110" i="1" s="1"/>
  <c r="AC44" i="1"/>
  <c r="AK44" i="1" s="1"/>
  <c r="AK45" i="1" s="1"/>
  <c r="AK46" i="1" s="1"/>
  <c r="R46" i="1"/>
  <c r="W49" i="1"/>
  <c r="O46" i="1"/>
  <c r="U46" i="1"/>
  <c r="W46" i="1"/>
  <c r="U49" i="1"/>
  <c r="Z46" i="1"/>
  <c r="AD47" i="1"/>
  <c r="AL47" i="1" s="1"/>
  <c r="AL48" i="1" s="1"/>
  <c r="Z49" i="1"/>
  <c r="AK47" i="1"/>
  <c r="AK48" i="1" s="1"/>
  <c r="N45" i="1"/>
  <c r="M46" i="1" s="1"/>
  <c r="O49" i="1"/>
  <c r="R49" i="1"/>
  <c r="AC48" i="1"/>
  <c r="AC49" i="1" s="1"/>
  <c r="M48" i="1"/>
  <c r="AC45" i="1"/>
  <c r="Z43" i="1"/>
  <c r="W43" i="1"/>
  <c r="AE43" i="1"/>
  <c r="AH43" i="1"/>
  <c r="AP43" i="1"/>
  <c r="AM43" i="1"/>
  <c r="U40" i="1"/>
  <c r="R43" i="1"/>
  <c r="C42" i="1"/>
  <c r="B42" i="1"/>
  <c r="AD45" i="1" l="1"/>
  <c r="AC46" i="1" s="1"/>
  <c r="N55" i="1"/>
  <c r="AD55" i="1" s="1"/>
  <c r="AL55" i="1" s="1"/>
  <c r="M55" i="1"/>
  <c r="AK49" i="1"/>
  <c r="N49" i="1"/>
  <c r="AD49" i="1" s="1"/>
  <c r="AL49" i="1" s="1"/>
  <c r="M49" i="1"/>
  <c r="N46" i="1"/>
  <c r="AD46" i="1" s="1"/>
  <c r="AL46" i="1" s="1"/>
  <c r="V36" i="1"/>
  <c r="U34" i="1"/>
  <c r="U24" i="1"/>
  <c r="V42" i="1"/>
  <c r="O42" i="1"/>
  <c r="P42" i="1"/>
  <c r="Q42" i="1"/>
  <c r="Q40" i="1"/>
  <c r="Q41" i="1"/>
  <c r="P40" i="1"/>
  <c r="P41" i="1"/>
  <c r="O40" i="1"/>
  <c r="O41" i="1"/>
  <c r="P39" i="1"/>
  <c r="O39" i="1"/>
  <c r="Q39" i="1"/>
  <c r="N41" i="1"/>
  <c r="N40" i="1"/>
  <c r="N39" i="1"/>
  <c r="M39" i="1"/>
  <c r="AC39" i="1" s="1"/>
  <c r="I41" i="1"/>
  <c r="I40" i="1"/>
  <c r="H41" i="1"/>
  <c r="H40" i="1"/>
  <c r="I39" i="1"/>
  <c r="H39" i="1"/>
  <c r="AP37" i="1"/>
  <c r="AM37" i="1"/>
  <c r="AE37" i="1"/>
  <c r="AH37" i="1"/>
  <c r="Z37" i="1"/>
  <c r="W37" i="1"/>
  <c r="O36" i="1"/>
  <c r="T36" i="1"/>
  <c r="S36" i="1"/>
  <c r="R36" i="1"/>
  <c r="Q36" i="1"/>
  <c r="P36" i="1"/>
  <c r="U35" i="1"/>
  <c r="U25" i="1"/>
  <c r="U26" i="1"/>
  <c r="U27" i="1"/>
  <c r="U28" i="1"/>
  <c r="U29" i="1"/>
  <c r="U30" i="1"/>
  <c r="U31" i="1"/>
  <c r="U32" i="1"/>
  <c r="U33" i="1"/>
  <c r="N36" i="1"/>
  <c r="M25" i="1"/>
  <c r="AC25" i="1" s="1"/>
  <c r="M26" i="1"/>
  <c r="AC26" i="1" s="1"/>
  <c r="M27" i="1"/>
  <c r="AC27" i="1" s="1"/>
  <c r="M28" i="1"/>
  <c r="AC28" i="1" s="1"/>
  <c r="M29" i="1"/>
  <c r="AC29" i="1" s="1"/>
  <c r="M30" i="1"/>
  <c r="AC30" i="1" s="1"/>
  <c r="M31" i="1"/>
  <c r="AC31" i="1" s="1"/>
  <c r="M32" i="1"/>
  <c r="AC32" i="1" s="1"/>
  <c r="M33" i="1"/>
  <c r="AC33" i="1" s="1"/>
  <c r="M34" i="1"/>
  <c r="AC34" i="1" s="1"/>
  <c r="M35" i="1"/>
  <c r="AC35" i="1" s="1"/>
  <c r="M24" i="1"/>
  <c r="AC24" i="1" s="1"/>
  <c r="I35" i="1"/>
  <c r="H35" i="1"/>
  <c r="F35" i="1"/>
  <c r="E35" i="1"/>
  <c r="I34" i="1"/>
  <c r="H34" i="1"/>
  <c r="I33" i="1"/>
  <c r="H33" i="1"/>
  <c r="I32" i="1"/>
  <c r="H32" i="1"/>
  <c r="F32" i="1"/>
  <c r="E32" i="1"/>
  <c r="I31" i="1"/>
  <c r="H31" i="1"/>
  <c r="I30" i="1"/>
  <c r="H30" i="1"/>
  <c r="I29" i="1"/>
  <c r="H29" i="1"/>
  <c r="F29" i="1"/>
  <c r="E29" i="1"/>
  <c r="I28" i="1"/>
  <c r="H28" i="1"/>
  <c r="I27" i="1"/>
  <c r="H27" i="1"/>
  <c r="I26" i="1"/>
  <c r="H26" i="1"/>
  <c r="F26" i="1"/>
  <c r="E26" i="1"/>
  <c r="I25" i="1"/>
  <c r="H25" i="1"/>
  <c r="I56" i="1"/>
  <c r="I24" i="1"/>
  <c r="H24" i="1"/>
  <c r="U10" i="1"/>
  <c r="U9" i="1"/>
  <c r="U22" i="1" s="1"/>
  <c r="U23" i="1" s="1"/>
  <c r="M10" i="1"/>
  <c r="AC10" i="1" s="1"/>
  <c r="M9" i="1"/>
  <c r="AC9" i="1" s="1"/>
  <c r="I10" i="1"/>
  <c r="H10" i="1"/>
  <c r="F10" i="1"/>
  <c r="E10" i="1"/>
  <c r="AK25" i="1" l="1"/>
  <c r="AK24" i="1"/>
  <c r="AC36" i="1"/>
  <c r="AK26" i="1"/>
  <c r="AC22" i="1"/>
  <c r="AC23" i="1" s="1"/>
  <c r="M22" i="1"/>
  <c r="AK34" i="1"/>
  <c r="O43" i="1"/>
  <c r="N42" i="1"/>
  <c r="AK9" i="1"/>
  <c r="U36" i="1"/>
  <c r="U37" i="1" s="1"/>
  <c r="M36" i="1"/>
  <c r="M37" i="1" s="1"/>
  <c r="AK33" i="1"/>
  <c r="AK29" i="1"/>
  <c r="AK31" i="1"/>
  <c r="AK27" i="1"/>
  <c r="AK35" i="1"/>
  <c r="O37" i="1"/>
  <c r="AK32" i="1"/>
  <c r="AK28" i="1"/>
  <c r="R37" i="1"/>
  <c r="AK30" i="1"/>
  <c r="AK8" i="1"/>
  <c r="AD24" i="1"/>
  <c r="AD36" i="1" s="1"/>
  <c r="H9" i="1"/>
  <c r="I9" i="1"/>
  <c r="I8" i="1"/>
  <c r="H8" i="1"/>
  <c r="N22" i="1"/>
  <c r="M23" i="1" l="1"/>
  <c r="AC37" i="1"/>
  <c r="AK36" i="1"/>
  <c r="AK10" i="1"/>
  <c r="AK22" i="1" s="1"/>
  <c r="R201" i="1"/>
  <c r="W205" i="1"/>
  <c r="T194" i="1"/>
  <c r="S194" i="1"/>
  <c r="Y182" i="1"/>
  <c r="X182" i="1"/>
  <c r="W182" i="1"/>
  <c r="Y181" i="1"/>
  <c r="X181" i="1"/>
  <c r="W181" i="1"/>
  <c r="Y180" i="1"/>
  <c r="X180" i="1"/>
  <c r="W180" i="1"/>
  <c r="Y175" i="1"/>
  <c r="X175" i="1"/>
  <c r="W175" i="1"/>
  <c r="Q175" i="1"/>
  <c r="AG175" i="1" s="1"/>
  <c r="P175" i="1"/>
  <c r="AF175" i="1" s="1"/>
  <c r="O175" i="1"/>
  <c r="AE175" i="1" s="1"/>
  <c r="Y174" i="1"/>
  <c r="X174" i="1"/>
  <c r="W174" i="1"/>
  <c r="Q174" i="1"/>
  <c r="AG174" i="1" s="1"/>
  <c r="P174" i="1"/>
  <c r="AF174" i="1" s="1"/>
  <c r="O174" i="1"/>
  <c r="AE174" i="1" s="1"/>
  <c r="Y173" i="1"/>
  <c r="X173" i="1"/>
  <c r="W173" i="1"/>
  <c r="Q173" i="1"/>
  <c r="AG173" i="1" s="1"/>
  <c r="P173" i="1"/>
  <c r="O173" i="1"/>
  <c r="Y168" i="1"/>
  <c r="X168" i="1"/>
  <c r="Q164" i="1"/>
  <c r="AG164" i="1" s="1"/>
  <c r="AO164" i="1" s="1"/>
  <c r="P164" i="1"/>
  <c r="AF164" i="1" s="1"/>
  <c r="AN164" i="1" s="1"/>
  <c r="Q163" i="1"/>
  <c r="AG163" i="1" s="1"/>
  <c r="AO163" i="1" s="1"/>
  <c r="P163" i="1"/>
  <c r="AF163" i="1" s="1"/>
  <c r="AN163" i="1" s="1"/>
  <c r="Y162" i="1"/>
  <c r="X162" i="1"/>
  <c r="Q162" i="1"/>
  <c r="P162" i="1"/>
  <c r="R158" i="1"/>
  <c r="AH158" i="1" s="1"/>
  <c r="P158" i="1"/>
  <c r="AF158" i="1" s="1"/>
  <c r="O158" i="1"/>
  <c r="AE158" i="1" s="1"/>
  <c r="M158" i="1"/>
  <c r="R157" i="1"/>
  <c r="AH157" i="1" s="1"/>
  <c r="P157" i="1"/>
  <c r="O157" i="1"/>
  <c r="M157" i="1"/>
  <c r="R156" i="1"/>
  <c r="M156" i="1"/>
  <c r="AO148" i="1"/>
  <c r="R148" i="1"/>
  <c r="AH148" i="1" s="1"/>
  <c r="AF148" i="1"/>
  <c r="AO147" i="1"/>
  <c r="R147" i="1"/>
  <c r="AF147" i="1"/>
  <c r="AO146" i="1"/>
  <c r="R146" i="1"/>
  <c r="AH146" i="1" s="1"/>
  <c r="R141" i="1"/>
  <c r="AH141" i="1" s="1"/>
  <c r="AF141" i="1"/>
  <c r="R140" i="1"/>
  <c r="AH140" i="1" s="1"/>
  <c r="AF140" i="1"/>
  <c r="R139" i="1"/>
  <c r="AH139" i="1" s="1"/>
  <c r="AF139" i="1"/>
  <c r="R138" i="1"/>
  <c r="AH138" i="1" s="1"/>
  <c r="AF138" i="1"/>
  <c r="R137" i="1"/>
  <c r="Z132" i="1"/>
  <c r="AP132" i="1" s="1"/>
  <c r="Z131" i="1"/>
  <c r="AP131" i="1" s="1"/>
  <c r="Z130" i="1"/>
  <c r="AP130" i="1" s="1"/>
  <c r="Z129" i="1"/>
  <c r="AK113" i="1"/>
  <c r="AK114" i="1" s="1"/>
  <c r="AK115" i="1" s="1"/>
  <c r="O112" i="1"/>
  <c r="O114" i="1" s="1"/>
  <c r="O115" i="1" s="1"/>
  <c r="W102" i="1"/>
  <c r="W103" i="1" s="1"/>
  <c r="U101" i="1"/>
  <c r="AK101" i="1" s="1"/>
  <c r="O101" i="1"/>
  <c r="AE101" i="1" s="1"/>
  <c r="U100" i="1"/>
  <c r="AK100" i="1" s="1"/>
  <c r="O100" i="1"/>
  <c r="U99" i="1"/>
  <c r="O99" i="1"/>
  <c r="P98" i="1"/>
  <c r="O98" i="1"/>
  <c r="M87" i="1"/>
  <c r="M89" i="1" s="1"/>
  <c r="AL69" i="1"/>
  <c r="U41" i="1"/>
  <c r="AD41" i="1"/>
  <c r="AL41" i="1" s="1"/>
  <c r="M41" i="1"/>
  <c r="AC41" i="1" s="1"/>
  <c r="AD40" i="1"/>
  <c r="AL40" i="1" s="1"/>
  <c r="M40" i="1"/>
  <c r="U39" i="1"/>
  <c r="AD39" i="1"/>
  <c r="AL39" i="1" s="1"/>
  <c r="T201" i="1" l="1"/>
  <c r="T204" i="1" s="1"/>
  <c r="T207" i="1" s="1"/>
  <c r="S201" i="1"/>
  <c r="S204" i="1" s="1"/>
  <c r="S207" i="1" s="1"/>
  <c r="AE194" i="1"/>
  <c r="AE195" i="1" s="1"/>
  <c r="R194" i="1"/>
  <c r="R195" i="1" s="1"/>
  <c r="X183" i="1"/>
  <c r="Y183" i="1"/>
  <c r="W183" i="1"/>
  <c r="AN168" i="1"/>
  <c r="AN169" i="1" s="1"/>
  <c r="X169" i="1"/>
  <c r="AO168" i="1"/>
  <c r="AO169" i="1" s="1"/>
  <c r="Y169" i="1"/>
  <c r="Y166" i="1"/>
  <c r="P166" i="1"/>
  <c r="AF162" i="1"/>
  <c r="AF166" i="1" s="1"/>
  <c r="X166" i="1"/>
  <c r="Q166" i="1"/>
  <c r="AG162" i="1"/>
  <c r="AG166" i="1" s="1"/>
  <c r="AE157" i="1"/>
  <c r="AM157" i="1" s="1"/>
  <c r="O159" i="1"/>
  <c r="AF157" i="1"/>
  <c r="AN157" i="1" s="1"/>
  <c r="P159" i="1"/>
  <c r="R159" i="1"/>
  <c r="R160" i="1" s="1"/>
  <c r="AE156" i="1"/>
  <c r="M159" i="1"/>
  <c r="R149" i="1"/>
  <c r="R150" i="1" s="1"/>
  <c r="Z149" i="1"/>
  <c r="AH147" i="1"/>
  <c r="AP147" i="1" s="1"/>
  <c r="X142" i="1"/>
  <c r="Z142" i="1"/>
  <c r="Z143" i="1" s="1"/>
  <c r="R142" i="1"/>
  <c r="R143" i="1" s="1"/>
  <c r="AF137" i="1"/>
  <c r="AF142" i="1" s="1"/>
  <c r="W142" i="1"/>
  <c r="W143" i="1" s="1"/>
  <c r="AP129" i="1"/>
  <c r="AP133" i="1" s="1"/>
  <c r="AP134" i="1" s="1"/>
  <c r="Z133" i="1"/>
  <c r="Z134" i="1" s="1"/>
  <c r="M120" i="1"/>
  <c r="W114" i="1"/>
  <c r="W115" i="1" s="1"/>
  <c r="AE112" i="1"/>
  <c r="AE114" i="1" s="1"/>
  <c r="AE115" i="1" s="1"/>
  <c r="O102" i="1"/>
  <c r="O103" i="1" s="1"/>
  <c r="AE106" i="1"/>
  <c r="AE107" i="1" s="1"/>
  <c r="AE109" i="1" s="1"/>
  <c r="AE110" i="1" s="1"/>
  <c r="O106" i="1"/>
  <c r="O107" i="1" s="1"/>
  <c r="O109" i="1" s="1"/>
  <c r="O110" i="1" s="1"/>
  <c r="AE99" i="1"/>
  <c r="AK99" i="1"/>
  <c r="U102" i="1"/>
  <c r="AL102" i="1"/>
  <c r="AC94" i="1"/>
  <c r="AC95" i="1" s="1"/>
  <c r="N90" i="1"/>
  <c r="AD90" i="1" s="1"/>
  <c r="AL90" i="1" s="1"/>
  <c r="M90" i="1"/>
  <c r="AC65" i="1"/>
  <c r="U54" i="1"/>
  <c r="U55" i="1" s="1"/>
  <c r="AL42" i="1"/>
  <c r="AC40" i="1"/>
  <c r="AC42" i="1" s="1"/>
  <c r="M42" i="1"/>
  <c r="M43" i="1" s="1"/>
  <c r="AK39" i="1"/>
  <c r="U42" i="1"/>
  <c r="U43" i="1" s="1"/>
  <c r="AN141" i="1"/>
  <c r="AN129" i="1"/>
  <c r="AN131" i="1"/>
  <c r="AO175" i="1"/>
  <c r="AP148" i="1"/>
  <c r="AN132" i="1"/>
  <c r="AN174" i="1"/>
  <c r="AN182" i="1"/>
  <c r="AK41" i="1"/>
  <c r="AN138" i="1"/>
  <c r="AN140" i="1"/>
  <c r="AO182" i="1"/>
  <c r="X176" i="1"/>
  <c r="AO174" i="1"/>
  <c r="AN180" i="1"/>
  <c r="AN181" i="1"/>
  <c r="AN147" i="1"/>
  <c r="AN175" i="1"/>
  <c r="AL9" i="1"/>
  <c r="AP139" i="1"/>
  <c r="P176" i="1"/>
  <c r="Y176" i="1"/>
  <c r="AO180" i="1"/>
  <c r="AC54" i="1"/>
  <c r="AC55" i="1" s="1"/>
  <c r="AD68" i="1"/>
  <c r="AE100" i="1"/>
  <c r="AE102" i="1" s="1"/>
  <c r="AE103" i="1" s="1"/>
  <c r="AL24" i="1"/>
  <c r="AL36" i="1" s="1"/>
  <c r="AK37" i="1" s="1"/>
  <c r="AF156" i="1"/>
  <c r="O176" i="1"/>
  <c r="AE173" i="1"/>
  <c r="AE176" i="1" s="1"/>
  <c r="AN148" i="1"/>
  <c r="AO173" i="1"/>
  <c r="AP141" i="1"/>
  <c r="AH156" i="1"/>
  <c r="AN158" i="1"/>
  <c r="AM113" i="1"/>
  <c r="AP138" i="1"/>
  <c r="AM174" i="1"/>
  <c r="AO181" i="1"/>
  <c r="AK69" i="1"/>
  <c r="AH137" i="1"/>
  <c r="AH142" i="1" s="1"/>
  <c r="AH143" i="1" s="1"/>
  <c r="AN139" i="1"/>
  <c r="AP140" i="1"/>
  <c r="AF173" i="1"/>
  <c r="AM106" i="1"/>
  <c r="AM107" i="1" s="1"/>
  <c r="AM109" i="1" s="1"/>
  <c r="AM110" i="1" s="1"/>
  <c r="AC157" i="1"/>
  <c r="AO179" i="1"/>
  <c r="AD42" i="1"/>
  <c r="AM101" i="1"/>
  <c r="AM102" i="1" s="1"/>
  <c r="AM103" i="1" s="1"/>
  <c r="AF146" i="1"/>
  <c r="AP146" i="1"/>
  <c r="AP157" i="1"/>
  <c r="AC158" i="1"/>
  <c r="AM158" i="1"/>
  <c r="AC156" i="1"/>
  <c r="AC124" i="1"/>
  <c r="AC125" i="1" s="1"/>
  <c r="AP158" i="1"/>
  <c r="AI194" i="1"/>
  <c r="AC87" i="1"/>
  <c r="AC89" i="1" s="1"/>
  <c r="AC90" i="1" s="1"/>
  <c r="AM181" i="1"/>
  <c r="AJ194" i="1"/>
  <c r="AG176" i="1"/>
  <c r="Q176" i="1"/>
  <c r="AM175" i="1"/>
  <c r="W176" i="1"/>
  <c r="AM180" i="1"/>
  <c r="AM182" i="1"/>
  <c r="R202" i="1" l="1"/>
  <c r="R204" i="1" s="1"/>
  <c r="AH194" i="1"/>
  <c r="AH195" i="1" s="1"/>
  <c r="AM183" i="1"/>
  <c r="AO183" i="1"/>
  <c r="AN183" i="1"/>
  <c r="W184" i="1"/>
  <c r="W170" i="1"/>
  <c r="AM170" i="1"/>
  <c r="AO162" i="1"/>
  <c r="AO166" i="1" s="1"/>
  <c r="O160" i="1"/>
  <c r="AE159" i="1"/>
  <c r="W167" i="1"/>
  <c r="AE167" i="1"/>
  <c r="O167" i="1"/>
  <c r="AN162" i="1"/>
  <c r="AN166" i="1" s="1"/>
  <c r="AM156" i="1"/>
  <c r="AM159" i="1" s="1"/>
  <c r="N160" i="1"/>
  <c r="AD160" i="1" s="1"/>
  <c r="AL160" i="1" s="1"/>
  <c r="M160" i="1"/>
  <c r="AC159" i="1"/>
  <c r="AC160" i="1" s="1"/>
  <c r="AF159" i="1"/>
  <c r="AH159" i="1"/>
  <c r="AH160" i="1" s="1"/>
  <c r="AH166" i="1" s="1"/>
  <c r="Z150" i="1"/>
  <c r="Z152" i="1" s="1"/>
  <c r="Z153" i="1" s="1"/>
  <c r="AH149" i="1"/>
  <c r="AF149" i="1"/>
  <c r="AM149" i="1"/>
  <c r="AM152" i="1" s="1"/>
  <c r="AM153" i="1" s="1"/>
  <c r="AP149" i="1"/>
  <c r="O143" i="1"/>
  <c r="AN137" i="1"/>
  <c r="AN142" i="1"/>
  <c r="AE143" i="1"/>
  <c r="AM142" i="1"/>
  <c r="AN130" i="1"/>
  <c r="AN133" i="1" s="1"/>
  <c r="N121" i="1"/>
  <c r="AD121" i="1" s="1"/>
  <c r="M121" i="1"/>
  <c r="AM112" i="1"/>
  <c r="AM114" i="1" s="1"/>
  <c r="AM115" i="1" s="1"/>
  <c r="U103" i="1"/>
  <c r="AK102" i="1"/>
  <c r="AK103" i="1" s="1"/>
  <c r="N103" i="1"/>
  <c r="AD103" i="1" s="1"/>
  <c r="N95" i="1"/>
  <c r="AD95" i="1" s="1"/>
  <c r="AL95" i="1" s="1"/>
  <c r="AK94" i="1"/>
  <c r="AK95" i="1" s="1"/>
  <c r="AK84" i="1"/>
  <c r="AK70" i="1"/>
  <c r="N43" i="1"/>
  <c r="AD43" i="1" s="1"/>
  <c r="AL43" i="1" s="1"/>
  <c r="N65" i="1"/>
  <c r="AD65" i="1" s="1"/>
  <c r="AL65" i="1" s="1"/>
  <c r="AK40" i="1"/>
  <c r="AC43" i="1"/>
  <c r="Q177" i="1"/>
  <c r="Y177" i="1"/>
  <c r="AP137" i="1"/>
  <c r="AO176" i="1"/>
  <c r="AM173" i="1"/>
  <c r="AM176" i="1" s="1"/>
  <c r="AP156" i="1"/>
  <c r="AL68" i="1"/>
  <c r="AN156" i="1"/>
  <c r="AN173" i="1"/>
  <c r="AN176" i="1" s="1"/>
  <c r="AF176" i="1"/>
  <c r="AN146" i="1"/>
  <c r="AM90" i="1"/>
  <c r="AK87" i="1"/>
  <c r="AK89" i="1" s="1"/>
  <c r="AK90" i="1" s="1"/>
  <c r="AH202" i="1"/>
  <c r="AL8" i="1"/>
  <c r="AL22" i="1" s="1"/>
  <c r="AK23" i="1" s="1"/>
  <c r="R205" i="1" l="1"/>
  <c r="R207" i="1" s="1"/>
  <c r="R208" i="1" s="1"/>
  <c r="AP202" i="1"/>
  <c r="AP194" i="1"/>
  <c r="AP195" i="1" s="1"/>
  <c r="AM184" i="1"/>
  <c r="AE160" i="1"/>
  <c r="AM167" i="1"/>
  <c r="AH167" i="1"/>
  <c r="AH169" i="1" s="1"/>
  <c r="AH170" i="1" s="1"/>
  <c r="AP159" i="1"/>
  <c r="AP160" i="1" s="1"/>
  <c r="AP166" i="1" s="1"/>
  <c r="AN159" i="1"/>
  <c r="AM160" i="1" s="1"/>
  <c r="AP150" i="1"/>
  <c r="AP152" i="1" s="1"/>
  <c r="AP153" i="1" s="1"/>
  <c r="AE150" i="1"/>
  <c r="AF152" i="1"/>
  <c r="AE153" i="1" s="1"/>
  <c r="AH150" i="1"/>
  <c r="AH152" i="1" s="1"/>
  <c r="AH153" i="1" s="1"/>
  <c r="AN149" i="1"/>
  <c r="AM150" i="1" s="1"/>
  <c r="AM143" i="1"/>
  <c r="AP142" i="1"/>
  <c r="AP143" i="1" s="1"/>
  <c r="AM134" i="1"/>
  <c r="N125" i="1"/>
  <c r="AD125" i="1" s="1"/>
  <c r="AL125" i="1" s="1"/>
  <c r="M125" i="1"/>
  <c r="AL121" i="1"/>
  <c r="AL103" i="1"/>
  <c r="AL70" i="1"/>
  <c r="AK71" i="1" s="1"/>
  <c r="AK54" i="1"/>
  <c r="AK55" i="1" s="1"/>
  <c r="AK42" i="1"/>
  <c r="AK43" i="1" s="1"/>
  <c r="AP167" i="1" l="1"/>
  <c r="AP169" i="1" s="1"/>
  <c r="AP1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2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คิดเฉลี่ยอัตราค่าจ้างตัดทั้งหมด 
</t>
        </r>
      </text>
    </comment>
    <comment ref="J29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คิดเฉลี่ยอัตราค่าจ้างตัดทั้งหมด 
</t>
        </r>
      </text>
    </comment>
    <comment ref="J44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คิดเฉลี่ยอัตราค่าจ้างตัดทั้งหมด 
</t>
        </r>
      </text>
    </comment>
    <comment ref="J52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คิดเฉลี่ยอัตราค่าจ้างตัดทั้งหมด 
</t>
        </r>
      </text>
    </comment>
    <comment ref="J56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คิดเฉลี่ยอัตราค่าจ้างตัดทั้งหมด 
</t>
        </r>
      </text>
    </comment>
    <comment ref="J73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คิดเฉลี่ยอัตราค่าจ้างตัดทั้งหมด 
</t>
        </r>
      </text>
    </comment>
    <comment ref="J93" authorId="0" shapeId="0" xr:uid="{00000000-0006-0000-0100-000007000000}">
      <text>
        <r>
          <rPr>
            <sz val="9"/>
            <color indexed="81"/>
            <rFont val="Tahoma"/>
            <family val="2"/>
          </rPr>
          <t xml:space="preserve">คิดเฉลี่ยอัตราค่าจ้างตัดทั้งหมด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T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การคำนวนเป็นลิตร หาร 1,000 เพราะว่า 1 ลิตร = 1,000 ซีซี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ประมาณการ พท.ทั้งหมดเป็น 100 %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ประมาณการ พท.ทั้งหมดเป็น 100 %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100 %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พื้นที่ทั้งหมดในการตัด 100 %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 xml:space="preserve">100 % ของพื้นที่ทั้งหมด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 xml:space="preserve">100 % ของพื้นที่ทั้งหมด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" authorId="0" shapeId="0" xr:uid="{00000000-0006-0000-0500-000005000000}">
      <text>
        <r>
          <rPr>
            <sz val="9"/>
            <color indexed="81"/>
            <rFont val="Tahoma"/>
            <family val="2"/>
          </rPr>
          <t xml:space="preserve">ทั้งหมด 8 ครั้ง 
</t>
        </r>
      </text>
    </comment>
    <comment ref="E19" authorId="0" shapeId="0" xr:uid="{00000000-0006-0000-0500-000006000000}">
      <text>
        <r>
          <rPr>
            <sz val="9"/>
            <color indexed="81"/>
            <rFont val="Tahoma"/>
            <family val="2"/>
          </rPr>
          <t xml:space="preserve">100 % ของ พท.ทั้งหมด 
</t>
        </r>
      </text>
    </comment>
    <comment ref="E2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100 % ของ 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6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3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8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6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9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3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0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6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4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1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7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1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 xml:space="preserve">100 % ของพท.ทั้งหมด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<sst xmlns="http://schemas.openxmlformats.org/spreadsheetml/2006/main" count="1154" uniqueCount="427">
  <si>
    <t>ค่าสารเคมีและอัตราจ้าง</t>
  </si>
  <si>
    <t>ไร่</t>
  </si>
  <si>
    <t>ต้น</t>
  </si>
  <si>
    <t>จำนวน(ครั้ง/ปี)</t>
  </si>
  <si>
    <t>อัตราฉีดยา cc/ต้น</t>
  </si>
  <si>
    <t>อัตราจ้าง(บาท/ต้น)</t>
  </si>
  <si>
    <t>ปริมาณสารเคมี (ลิตร)</t>
  </si>
  <si>
    <t>อัตราค่าจ้างฉีดยา (บาท/ต้น)</t>
  </si>
  <si>
    <t>รวมค่าใช้จ่าย (บาท)</t>
  </si>
  <si>
    <t>ตอนบน / ตอนล่าง</t>
  </si>
  <si>
    <t>รอบโคน</t>
  </si>
  <si>
    <t>ล้างแปลง</t>
  </si>
  <si>
    <t>แถบ</t>
  </si>
  <si>
    <t>ครั้งที่1</t>
  </si>
  <si>
    <t>ครั้งที่2</t>
  </si>
  <si>
    <t>ครั้งที่3</t>
  </si>
  <si>
    <t>ครั้งที่4</t>
  </si>
  <si>
    <t>ครั้งที่5</t>
  </si>
  <si>
    <t>ครั้งที่6</t>
  </si>
  <si>
    <t>ครั้งที่7</t>
  </si>
  <si>
    <t>ครั้งที่8</t>
  </si>
  <si>
    <t>ปาล์มใหญ่</t>
  </si>
  <si>
    <t>ตอนบน</t>
  </si>
  <si>
    <t>37-T29</t>
  </si>
  <si>
    <t>37-T30</t>
  </si>
  <si>
    <t>รวมตะกุก</t>
  </si>
  <si>
    <t>30-B14</t>
  </si>
  <si>
    <t>ตอนล่าง</t>
  </si>
  <si>
    <t>30-PU1</t>
  </si>
  <si>
    <t>30-PU3</t>
  </si>
  <si>
    <t>30-PU4</t>
  </si>
  <si>
    <t>รวมยวนสาว</t>
  </si>
  <si>
    <t>รวมพันไร่</t>
  </si>
  <si>
    <t>รวมหมอนไม้</t>
  </si>
  <si>
    <t>รวม</t>
  </si>
  <si>
    <t>50-B10</t>
  </si>
  <si>
    <t>รวมกะเปา</t>
  </si>
  <si>
    <t>57-B14</t>
  </si>
  <si>
    <t>57-B12</t>
  </si>
  <si>
    <t xml:space="preserve"> </t>
  </si>
  <si>
    <t>64-B2</t>
  </si>
  <si>
    <t>64-B5</t>
  </si>
  <si>
    <t>64-B6</t>
  </si>
  <si>
    <t>รวมปลายราง</t>
  </si>
  <si>
    <t>65-B11</t>
  </si>
  <si>
    <t>66-PU2</t>
  </si>
  <si>
    <t xml:space="preserve">รวมบางกัน </t>
  </si>
  <si>
    <t>รหัสบล็อก</t>
  </si>
  <si>
    <t>49-B13</t>
  </si>
  <si>
    <t>50-B07</t>
  </si>
  <si>
    <t>56-T08</t>
  </si>
  <si>
    <t>57-B03</t>
  </si>
  <si>
    <t>60-B04</t>
  </si>
  <si>
    <t>60-B08</t>
  </si>
  <si>
    <t>60-B09</t>
  </si>
  <si>
    <t>64-B02</t>
  </si>
  <si>
    <t>64-B05</t>
  </si>
  <si>
    <t>64-B06</t>
  </si>
  <si>
    <t>65-B01</t>
  </si>
  <si>
    <t>อัตราค่าใช้จ่ายสารเคมี (ไกลโฟเสท 95 , กลูโฟซิเนต 100 บาท)</t>
  </si>
  <si>
    <t>พันไร่</t>
  </si>
  <si>
    <t>32-C05-R</t>
  </si>
  <si>
    <t>55-P07-R</t>
  </si>
  <si>
    <t>ปรายราง (หน้าอ๊อฟฟิศ)</t>
  </si>
  <si>
    <t>49-T16-R</t>
  </si>
  <si>
    <t>49-T20-R</t>
  </si>
  <si>
    <t>49-A10-R</t>
  </si>
  <si>
    <t>49-A11-R</t>
  </si>
  <si>
    <t>49-A12-R</t>
  </si>
  <si>
    <t>49-A13-R</t>
  </si>
  <si>
    <t>ปาล์มReplant 49</t>
  </si>
  <si>
    <t>ตอนล่าง (Re49)</t>
  </si>
  <si>
    <t>ตอนบน (Re49)</t>
  </si>
  <si>
    <t>50-T10-R</t>
  </si>
  <si>
    <t>50-T12-R</t>
  </si>
  <si>
    <t>ตอนบน (Re50)</t>
  </si>
  <si>
    <t>ปาล์ม Replant 50</t>
  </si>
  <si>
    <t>ตอนล่าง (Re50)</t>
  </si>
  <si>
    <t>50-A04</t>
  </si>
  <si>
    <t>50-A05</t>
  </si>
  <si>
    <t xml:space="preserve">รวมกะเปา </t>
  </si>
  <si>
    <t xml:space="preserve">รวมพันไร่ </t>
  </si>
  <si>
    <t>50-C05-R</t>
  </si>
  <si>
    <t>50-C07-R</t>
  </si>
  <si>
    <t>ตอนล่าง (Re51)</t>
  </si>
  <si>
    <t>51-P07-R</t>
  </si>
  <si>
    <t>51-P07</t>
  </si>
  <si>
    <t>ปาล์มReplant51</t>
  </si>
  <si>
    <t>ปาล์มReplant52</t>
  </si>
  <si>
    <t>ตอนบน (Re52)</t>
  </si>
  <si>
    <t>52-T28-R</t>
  </si>
  <si>
    <t>ตอนบน (Re56)</t>
  </si>
  <si>
    <t>ปาล์มReplant56</t>
  </si>
  <si>
    <t>56-T08-R</t>
  </si>
  <si>
    <t>56-T19-R</t>
  </si>
  <si>
    <t>56-T21-R</t>
  </si>
  <si>
    <t>56-T28-R</t>
  </si>
  <si>
    <t>56-C10-R</t>
  </si>
  <si>
    <t>ตอนล่าง Re56</t>
  </si>
  <si>
    <t>56-D07-R</t>
  </si>
  <si>
    <t>56-A01</t>
  </si>
  <si>
    <t>56-A02</t>
  </si>
  <si>
    <t>56-A03-R</t>
  </si>
  <si>
    <t>ปาล์มReplant57</t>
  </si>
  <si>
    <t>ตอนล่าง (RE57 )</t>
  </si>
  <si>
    <t>57-C06-R</t>
  </si>
  <si>
    <t>57-C06</t>
  </si>
  <si>
    <t>57-A08-R</t>
  </si>
  <si>
    <t>57-A09-R</t>
  </si>
  <si>
    <t>ปาล์มReplant58</t>
  </si>
  <si>
    <t>ตอนบน (Re58)</t>
  </si>
  <si>
    <t>58-T09-R</t>
  </si>
  <si>
    <t>58-T11-R</t>
  </si>
  <si>
    <t>58-T13-R</t>
  </si>
  <si>
    <t>58-T17-R</t>
  </si>
  <si>
    <t>58-T18-R</t>
  </si>
  <si>
    <t xml:space="preserve">ใช้รถในการฉีดพ่น (ยังไม่ทราบ คชจ.ในการจ้าง ) </t>
  </si>
  <si>
    <t>ปาล์มReplant59</t>
  </si>
  <si>
    <t>ตอนล่าง (RE59 )</t>
  </si>
  <si>
    <t>59-C03-R</t>
  </si>
  <si>
    <t>59-C04-R</t>
  </si>
  <si>
    <t>59-C08-R</t>
  </si>
  <si>
    <t>59-C09-R</t>
  </si>
  <si>
    <t>59-C11-R</t>
  </si>
  <si>
    <t>ตอนล่าง Re60</t>
  </si>
  <si>
    <t>ปาล์มReplant60</t>
  </si>
  <si>
    <t>60-C01-R</t>
  </si>
  <si>
    <t>60-C02-R</t>
  </si>
  <si>
    <t>60-C05-R</t>
  </si>
  <si>
    <t>รวมกะเปา (R60)</t>
  </si>
  <si>
    <t>รวมพันไร่(R60)</t>
  </si>
  <si>
    <t>รวมพันไร่ (R59)</t>
  </si>
  <si>
    <t>รวมตะกุก (R58)</t>
  </si>
  <si>
    <t>รวมกะเปา (R57)</t>
  </si>
  <si>
    <t>รวมพันไร่ (R57)</t>
  </si>
  <si>
    <t>60-A06</t>
  </si>
  <si>
    <t>ปาล์มReplant63</t>
  </si>
  <si>
    <t>ตอนบน Re63</t>
  </si>
  <si>
    <t>รวมตะกุก(R63)</t>
  </si>
  <si>
    <t>63-T05-R</t>
  </si>
  <si>
    <t>63-T22-R</t>
  </si>
  <si>
    <t>63-T23-R</t>
  </si>
  <si>
    <t>ตอนล่าง Re 63</t>
  </si>
  <si>
    <t>รวมกะเปา(R63)</t>
  </si>
  <si>
    <t>63-A01-R</t>
  </si>
  <si>
    <t>63-A03-R</t>
  </si>
  <si>
    <t>63-A07-R</t>
  </si>
  <si>
    <t>63-A07</t>
  </si>
  <si>
    <t>รวมหมอนไม้(R63)</t>
  </si>
  <si>
    <t>63-D08-R</t>
  </si>
  <si>
    <t>ปาล์มReplant64</t>
  </si>
  <si>
    <t>ตอนบน Re64</t>
  </si>
  <si>
    <t>64-P06-R</t>
  </si>
  <si>
    <t>64-P07-R</t>
  </si>
  <si>
    <t>64-P08-R</t>
  </si>
  <si>
    <t>64-P09-R</t>
  </si>
  <si>
    <t>รวมหมอนไม้(R64)</t>
  </si>
  <si>
    <t>รวมปลายราง(R64)</t>
  </si>
  <si>
    <t>64-D02-R</t>
  </si>
  <si>
    <t>รวมหมอนไม้(R65)</t>
  </si>
  <si>
    <t>65-D01-R</t>
  </si>
  <si>
    <t>65-D03-R</t>
  </si>
  <si>
    <t>65-D04-R</t>
  </si>
  <si>
    <t>65-D05-R</t>
  </si>
  <si>
    <t>-</t>
  </si>
  <si>
    <t>ปาล์มReplant65</t>
  </si>
  <si>
    <t>ปาล์มReplant66</t>
  </si>
  <si>
    <t>รวมปลายราง(R66)</t>
  </si>
  <si>
    <t>66-P03-R</t>
  </si>
  <si>
    <t>66-P04-R</t>
  </si>
  <si>
    <t>66-P05-R</t>
  </si>
  <si>
    <t>รวมหมอนไม้(R66)</t>
  </si>
  <si>
    <t>66-D09-R</t>
  </si>
  <si>
    <t>รวมยวนสาว(R66)</t>
  </si>
  <si>
    <t>66-T03</t>
  </si>
  <si>
    <t>66-T04</t>
  </si>
  <si>
    <t>66-T06</t>
  </si>
  <si>
    <t>66-T07</t>
  </si>
  <si>
    <t>67-T10</t>
  </si>
  <si>
    <t>67-T18</t>
  </si>
  <si>
    <t>67-T21</t>
  </si>
  <si>
    <t>67-T29</t>
  </si>
  <si>
    <t>67-T30</t>
  </si>
  <si>
    <t>68-T01</t>
  </si>
  <si>
    <t>68-T02</t>
  </si>
  <si>
    <t>ปาล์มReplant67</t>
  </si>
  <si>
    <t>ตอนล่าง Re 67</t>
  </si>
  <si>
    <t>67-P01-R</t>
  </si>
  <si>
    <t>รวมปลายราง(R67)</t>
  </si>
  <si>
    <t>67-P02-R</t>
  </si>
  <si>
    <t>67-D06-R</t>
  </si>
  <si>
    <t>รวมหมอนไม้(R67)</t>
  </si>
  <si>
    <t>ปาล์มReplant68</t>
  </si>
  <si>
    <t>ตอนล่าง Re 68</t>
  </si>
  <si>
    <t>ตอนล่าง 64</t>
  </si>
  <si>
    <t>รวมยวนสาว(R68)</t>
  </si>
  <si>
    <t>68-PU-1</t>
  </si>
  <si>
    <t>68-PU-3</t>
  </si>
  <si>
    <t>68-PU-4</t>
  </si>
  <si>
    <t>68-PU-5</t>
  </si>
  <si>
    <t>68-PU-6</t>
  </si>
  <si>
    <t>68-PU-5-R</t>
  </si>
  <si>
    <t>68-PU-6-R</t>
  </si>
  <si>
    <t>ค่าแรงถางป่าพร้อมทายากาลอน</t>
  </si>
  <si>
    <t>บล็อก</t>
  </si>
  <si>
    <t>จำนวนไร่ของพื้นที่ทั้งหมด</t>
  </si>
  <si>
    <t>จำนวนต้นของพื้นที่ทั้งหมด</t>
  </si>
  <si>
    <t>ค่าแรง (บาท/ต้น)</t>
  </si>
  <si>
    <t>รวมค่าแรงถางป่าพร้อมทายากาลอน</t>
  </si>
  <si>
    <t>ปาล์ม (49-52)</t>
  </si>
  <si>
    <t>รวมค่าแรงแปลงพันไร่</t>
  </si>
  <si>
    <t>รวมค่าแรงแปลงกะเปา</t>
  </si>
  <si>
    <t>รวมค่าแรงถางป่าพร้อมทายากาลอนปาล์มตอนล่าง 49-52</t>
  </si>
  <si>
    <t>รวมค่าแรงถางป่าพร้อมทายากาลอนปาล์ม 49-52</t>
  </si>
  <si>
    <t>ปาล์มปี 56</t>
  </si>
  <si>
    <t xml:space="preserve">ตอนล่าง </t>
  </si>
  <si>
    <t>รวมปาล์มปี 56</t>
  </si>
  <si>
    <t>ปาล์มปี 57</t>
  </si>
  <si>
    <t xml:space="preserve">ตอนบน </t>
  </si>
  <si>
    <t>รวมบางกัน</t>
  </si>
  <si>
    <t>รวมค่าแรงถางป่าพร้อมทายากาลอน ปาล์มปี 57</t>
  </si>
  <si>
    <t xml:space="preserve">ปาล์มปี 58  </t>
  </si>
  <si>
    <t>รวมค่าแรงถางป่าพร้อมทายากาลอนปาล์ม ปี58</t>
  </si>
  <si>
    <t>ปาล์มปี 59</t>
  </si>
  <si>
    <t>รวมค่าแรงถางป่าพร้อมทายากาลอนปาล์ม ปี 59</t>
  </si>
  <si>
    <t>ปาล์มปี 60</t>
  </si>
  <si>
    <t>รวมค่าแรงถางป่าพร้อมทายากาลอนปาล์มปี 60 ตอนล่าง</t>
  </si>
  <si>
    <t xml:space="preserve">ตอนบน  </t>
  </si>
  <si>
    <t>รวมค่าแรงถางป่าพร้อมทายากาลอนปาล์มปี 60 ตอนบน</t>
  </si>
  <si>
    <t>รวมค่าแรงถางป่าพร้อมทายากาลอนปาล์ม ปี 60</t>
  </si>
  <si>
    <t>ปาล์มปี 63</t>
  </si>
  <si>
    <t>รวมค่าแรงถางป่าพร้อมทายากาลอนปาล์ม ปี 63 ตอนล่าง</t>
  </si>
  <si>
    <t>รวมค่าแรงถางป่าพร้อมทายากาลอนปาล์มปี 63</t>
  </si>
  <si>
    <t>ปาล์มปี 66</t>
  </si>
  <si>
    <t>รวมค่าแรงถางป่าพร้อมทายากาลอนปาล์ม ปี 66</t>
  </si>
  <si>
    <t>ปาล์มปี 67</t>
  </si>
  <si>
    <t>ตอนบน (ปลูกแซม)</t>
  </si>
  <si>
    <t>รวมค่าแรงถางป่าพร้อมทายากาลอน ปาล์ม ปี 67</t>
  </si>
  <si>
    <t>รวมค่าแรงแปลงตะกุก</t>
  </si>
  <si>
    <t>รุ่นปาล์ม</t>
  </si>
  <si>
    <t>แปลงปฏิบัติการ</t>
  </si>
  <si>
    <t>แปลง</t>
  </si>
  <si>
    <t>จำนวน(ไร่)</t>
  </si>
  <si>
    <t>จำนวน(ต้น)</t>
  </si>
  <si>
    <t>จน.ต้น/ไร่</t>
  </si>
  <si>
    <t>22-37 (แก่)</t>
  </si>
  <si>
    <t>ตะกุก</t>
  </si>
  <si>
    <t>รวมพื้นที่ปาล์มแก่ แปลงตะกุก (ไร่/ต้น)</t>
  </si>
  <si>
    <t>บางกัน</t>
  </si>
  <si>
    <t>รวมพื้นที่ปาล์มแก่ แปลงบางกัน (ไร่/ต้น)</t>
  </si>
  <si>
    <t>รวมพื้นที่ปาล์มแก่ตอนบน</t>
  </si>
  <si>
    <t>R-22-C5</t>
  </si>
  <si>
    <t>รวมพื้นที่ปาล์มแก่ แปลงพันไร่ (ไร่/ต้น)</t>
  </si>
  <si>
    <t>ยวนสาว</t>
  </si>
  <si>
    <t>รวมพื้นที่ปาล์มแก่ แปลงยวนสาว (ไร่/ต้น)</t>
  </si>
  <si>
    <t>รวมพื้นที่ปาล์มแก่ตอนล่าง</t>
  </si>
  <si>
    <t xml:space="preserve">รวมพื้นที่ปาล์มแก่ทั้งหมด </t>
  </si>
  <si>
    <t>49-52</t>
  </si>
  <si>
    <t>รวมพื้นที่ปาล์ม 49-52 แปลงตะกุก (ไร่/ต้น)</t>
  </si>
  <si>
    <t>27, 25</t>
  </si>
  <si>
    <t>รวมพื้นที่ปาล์ม 49-52 แปลงบางกัน (ไร่/ต้น)</t>
  </si>
  <si>
    <t>รวมพื้นที่ปาล์ม 49-52 ตอนบน</t>
  </si>
  <si>
    <t>ปรายราง</t>
  </si>
  <si>
    <t>รวมพื้นที่ปาล์ม 49-52 แปลงปรายราง (ไร่/ต้น)</t>
  </si>
  <si>
    <t>รวมพื้นที่ปาล์ม 49-52 พันไร่ (ไร่/ต้น)</t>
  </si>
  <si>
    <t>กะเปา</t>
  </si>
  <si>
    <t>รวมพื้นที่ปาล์ม 49-52 กะเปา (ไร่/ต้น)</t>
  </si>
  <si>
    <t>รวมพื้นที่ปาล์ม 49-52 ตอนล่าง</t>
  </si>
  <si>
    <t xml:space="preserve">รวมพื้นที่ปาล์ม 49-52 ทั้งหมด </t>
  </si>
  <si>
    <t>55-58</t>
  </si>
  <si>
    <t>รวมพื้นที่ปาล์ม 55-58 แปลงตะกุก (ไร่/ต้น)</t>
  </si>
  <si>
    <t>รวมพื้นที่ปาล์ม 55-58 แปลงบางกัน (ไร่/ต้น)</t>
  </si>
  <si>
    <t>รวมพื้นที่ปาล์ม 55-58 ตอนบน</t>
  </si>
  <si>
    <t>รวมพื้นที่ปาล์ม 55-58 แปลงปรายราง (ไร่/ต้น)</t>
  </si>
  <si>
    <t>รวมพื้นที่ปาล์ม 55-58 แปลงพันไร่ (ไร่/ต้น)</t>
  </si>
  <si>
    <t>รวมพื้นที่ปาล์ม 55-58 แปลงกะเปา (ไร่/ต้น)</t>
  </si>
  <si>
    <t>หมอนไม้</t>
  </si>
  <si>
    <t>R-56-D7</t>
  </si>
  <si>
    <t>รวมพื้นที่ปาล์ม 55-58 แปลงหมอนไม้ (ไร่/ต้น)</t>
  </si>
  <si>
    <t>รวมพื้นที่ปาล์ม 55-58 ตอนล่าง</t>
  </si>
  <si>
    <t xml:space="preserve">รวมพื้นที่ปาล์ม 55-58 ทั้งหมด </t>
  </si>
  <si>
    <t>59-60</t>
  </si>
  <si>
    <t>รวมพื้นที่ปาล์ม 59-60 แปลงบางกัน (ไร่/ต้น)</t>
  </si>
  <si>
    <t>รวมพื้นที่ปาล์ม 59-60 ตอนบน</t>
  </si>
  <si>
    <t>รวมพื้นที่ปาล์ม 59-60 แปลงพันไร่ (ไร่/ต้น)</t>
  </si>
  <si>
    <t>รวมพื้นที่ปาล์ม 59-60 แปลงกะเปา (ไร่/ต้น)</t>
  </si>
  <si>
    <t>รวมพื้นที่ปาล์ม 59-60 ตอนล่าง</t>
  </si>
  <si>
    <t xml:space="preserve">รวมพื้นที่ปาล์ม 59-60 ทั้งหมด </t>
  </si>
  <si>
    <t>รวมพื้นที่ปาล์ม 63 แปลงตะกุก (ไร่/ต้น)</t>
  </si>
  <si>
    <t>รวมพื้นที่ปาล์ม 63 ตอนบน</t>
  </si>
  <si>
    <t>รวมพื้นที่ปาล์ม 63 แปลงกะเปา (ไร่/ต้น)</t>
  </si>
  <si>
    <t>รวมพื้นที่ปาล์ม 63 แปลงหมอนไม้ (ไร่/ต้น)</t>
  </si>
  <si>
    <t>รวมพื้นที่ปาล์ม 63 ตอนล่าง</t>
  </si>
  <si>
    <t xml:space="preserve">รวมพื้นที่ปาล์ม 63 ทั้งหมด </t>
  </si>
  <si>
    <t>รวมพื้นที่ปาล์ม 64-66 แปลงบางกัน (ไร่/ต้น)</t>
  </si>
  <si>
    <t>รวมจำนวนปาล์มทั้งหมด ไร่/ต้น</t>
  </si>
  <si>
    <t>จำนวนต้นตอนบน</t>
  </si>
  <si>
    <t>จำนวนไร่ตอนบน</t>
  </si>
  <si>
    <t>จำนวนต้นตอนล่าง</t>
  </si>
  <si>
    <t>จำนวนไร่ตอนล่าง</t>
  </si>
  <si>
    <t>จำนวนต้นปาล์ม 2569</t>
  </si>
  <si>
    <t>64-68</t>
  </si>
  <si>
    <t xml:space="preserve">ปลายราง </t>
  </si>
  <si>
    <t>รวมพื้นที่ปาล์ม 64-68 แปลงปลายราง (ไร่/ต้น)</t>
  </si>
  <si>
    <t>รวมพื้นที่ปาล์ม 64-68  แปลงหมอนไม้ (ไร่/ต้น)</t>
  </si>
  <si>
    <t>68-PU1</t>
  </si>
  <si>
    <t>68-PU3</t>
  </si>
  <si>
    <t>68-PU4</t>
  </si>
  <si>
    <t>68-PU5-R</t>
  </si>
  <si>
    <t>68-PU5</t>
  </si>
  <si>
    <t>68-PU6-R</t>
  </si>
  <si>
    <t>68-PU6</t>
  </si>
  <si>
    <t>รวมพื้นที่ปาล์ม 64-68 ตอนล่าง</t>
  </si>
  <si>
    <t xml:space="preserve">รวมพื้นที่ปาล์ม 64-68 ทั้งหมด </t>
  </si>
  <si>
    <t>รวมพื้นที่ปาล์ม 64-68 แปลงยวนสาว (ไร่/ต้น)</t>
  </si>
  <si>
    <t>รวมค่าแรงแปลงบางกัน</t>
  </si>
  <si>
    <t>รวมค่าแรงถางป่าพร้อมทายากาลอนปาล์มตอนบน 49-52</t>
  </si>
  <si>
    <t>รวมค่าแรงถางป่าพร้อมทายากาลอนปาล์มตอนล่าง 56</t>
  </si>
  <si>
    <t>รวมพื้นที่ปาล์ม 64-68 ตอนบน</t>
  </si>
  <si>
    <t>66-PU-02</t>
  </si>
  <si>
    <t>ปาล์มปี 68</t>
  </si>
  <si>
    <t>รวมค่าแรงถางป่าพร้อมทายากาลอน ปาล์ม ปี 68</t>
  </si>
  <si>
    <t>ค่าแรงถากโคน (บาท/ต้น)</t>
  </si>
  <si>
    <t>รวมตอนบน</t>
  </si>
  <si>
    <t>รวมตอนล่าง</t>
  </si>
  <si>
    <t>ครั้งที่ 1</t>
  </si>
  <si>
    <t>ค่าใช้จ่าย (บาท)</t>
  </si>
  <si>
    <t>รวมค่าใช้จ่ายถากโคน ปาล์มปี 67</t>
  </si>
  <si>
    <t>รวมค่าใช้จ่ายถากโคนทั้งหมด</t>
  </si>
  <si>
    <t>รวมพื้นที่ปาล์ม 64-68 แปลงตะกุก (ไร่/ต้น)</t>
  </si>
  <si>
    <t>รวมปาล์มปี 67 ตอนล่าง</t>
  </si>
  <si>
    <t>รวมปาล์มปี 67 ตอนบน</t>
  </si>
  <si>
    <t>รวมค่าใช้จ่ายถากโคน ปาล์มปี 68</t>
  </si>
  <si>
    <t>ค่าตัดหญ้า</t>
  </si>
  <si>
    <t>ค่าแรงตัดหญ้า(บาท/ไร่)</t>
  </si>
  <si>
    <t>บาท</t>
  </si>
  <si>
    <t>ปาล์มปี 64</t>
  </si>
  <si>
    <t>ปาล์มปี 65</t>
  </si>
  <si>
    <t>ค่าแรง(บาท/ไร่)</t>
  </si>
  <si>
    <t>ครั้ง</t>
  </si>
  <si>
    <t>รวมปาล์มปี 68 ตอนบน</t>
  </si>
  <si>
    <t xml:space="preserve">รวมปาล์มปี 68 </t>
  </si>
  <si>
    <t>ไถ, พรวนดิน 2569</t>
  </si>
  <si>
    <t>ค่าใช้จ่ายในการถากโคน 2569</t>
  </si>
  <si>
    <t>ปาล์มกลาง 49-52</t>
  </si>
  <si>
    <t>ปาล์มปี 55</t>
  </si>
  <si>
    <t>ปาล์มปี 58</t>
  </si>
  <si>
    <t xml:space="preserve">   ฟีโรโมน (ซอง)</t>
  </si>
  <si>
    <t>ล่อฟีโรโมน (ครั้งที่ 1)</t>
  </si>
  <si>
    <t>ล่อฟีโรโมน (ครั้งที่ 2)</t>
  </si>
  <si>
    <t>ล่อฟีโรโมน (ครั้งที่ 3)</t>
  </si>
  <si>
    <t>ล่อฟีโรโมน (ครั้งที่ 4)</t>
  </si>
  <si>
    <t>คงเหลือ</t>
  </si>
  <si>
    <t>รวมปาล์มตอนล่าง ปี 66</t>
  </si>
  <si>
    <t>รวมปาล์มตอนล่าง ปี 67</t>
  </si>
  <si>
    <t>รวมปาล์มตอนบน ปี 67</t>
  </si>
  <si>
    <t xml:space="preserve">ล่อฟีโรโมน 10ไร่/ซอง/ครั้ง 2569 </t>
  </si>
  <si>
    <t xml:space="preserve">รวมปาล์มตอนบน </t>
  </si>
  <si>
    <t>รวมปาล์มตอนล่าง ปี 68</t>
  </si>
  <si>
    <t>1000 กรัม = 1 กิโลกรัม</t>
  </si>
  <si>
    <t>จำนวนครั้ง/ปี</t>
  </si>
  <si>
    <t>หมายเหตุ</t>
  </si>
  <si>
    <t>10</t>
  </si>
  <si>
    <t>24</t>
  </si>
  <si>
    <t>kg / 1ครั้ง</t>
  </si>
  <si>
    <t>พิโพรนิล  10กรัม/ต้น</t>
  </si>
  <si>
    <t xml:space="preserve">รวมปาล์มตอนล่าง ปี 66 </t>
  </si>
  <si>
    <t>ปริมาณพิโพรนิล  (g)</t>
  </si>
  <si>
    <t>รวมปริมาณ  พิโพรนิล(Kg)</t>
  </si>
  <si>
    <t>รวมปาล์มปี 68</t>
  </si>
  <si>
    <t xml:space="preserve">100 CC / ต้น </t>
  </si>
  <si>
    <t>เจาะฆ่าต้นปาล์ม 2569 (ไกลโฟเสท)</t>
  </si>
  <si>
    <t>ไกลโฟเสท / CC</t>
  </si>
  <si>
    <t xml:space="preserve">รวมปาล์มปี 67 </t>
  </si>
  <si>
    <t>Hactare (1H=6.25ไร่)</t>
  </si>
  <si>
    <t>175.04</t>
  </si>
  <si>
    <t>(ตัน/ไร่)</t>
  </si>
  <si>
    <t>ผลผลิต</t>
  </si>
  <si>
    <t>อัตราค่าจ้างตัด (บาท/ตัน)</t>
  </si>
  <si>
    <t>ค่าตัดปาล์ม</t>
  </si>
  <si>
    <t>ผู้รับเหมา</t>
  </si>
  <si>
    <t>ปลายราง</t>
  </si>
  <si>
    <t>รวมพื้นที่ตอนบน</t>
  </si>
  <si>
    <t>รวมพื้นที่ตอนล่าง</t>
  </si>
  <si>
    <t>รวมพื้นที่ทั้งหมด</t>
  </si>
  <si>
    <t>ประกวดราคา</t>
  </si>
  <si>
    <t>ผลผลิตและค่าจ้างตัดปาล์ม</t>
  </si>
  <si>
    <t>ค่าแรงแหวกโคน</t>
  </si>
  <si>
    <t xml:space="preserve">จำนวนครั้ง / ปี </t>
  </si>
  <si>
    <t>รวมค่าแรงแหวกโคน</t>
  </si>
  <si>
    <t>รวมค่าแรงแหวกโคน ปาล์มปี 57</t>
  </si>
  <si>
    <t>รวมค่าแรงแหวกโคน ปาล์มปี 58</t>
  </si>
  <si>
    <t>ปาล์มปี 58  (ตอนบน)</t>
  </si>
  <si>
    <t>รวมค่าแรงแหวกโคนตอนบน ปาล์มปี 60</t>
  </si>
  <si>
    <t>รวมค่าแรงแหวกโคนตอนล่าง ปาล์มปี 60</t>
  </si>
  <si>
    <t>รวมค่าแรงแหวกโคนปาล์ม ปี 60</t>
  </si>
  <si>
    <t>รวมค่าแรงแหวกโคนปาล์ม ปี 63 ตอนล่าง</t>
  </si>
  <si>
    <t>รวมค่าแรงแหวกโคนตอนบน ปาล์มปี 63</t>
  </si>
  <si>
    <t>รวมค่าแรงแหวกโคนปาล์มปี 63</t>
  </si>
  <si>
    <t>รวมค่าแรงแหวกโคนตอนบน ปาล์มปี 64</t>
  </si>
  <si>
    <t xml:space="preserve">รวมค่าแรงแหวกโคนตอนล่าง ปาล์ม ปี 64 </t>
  </si>
  <si>
    <t>รวมค่าแรงแหวกโคนปาล์มปี 64</t>
  </si>
  <si>
    <t>รวมค่าแรงแหวกโคนตอนบน ปาล์มปี 65</t>
  </si>
  <si>
    <t>รวมค่าแรงแหวกโคนตอนล่าง ปาล์ม ปี 65</t>
  </si>
  <si>
    <t>รวมค่าแรงแหวกโคนปาล์มปี 65</t>
  </si>
  <si>
    <t>รวมค่าแรงแหวกโคนตอนบน ปาล์มปี 66</t>
  </si>
  <si>
    <t>รวมค่าแรงแหวกโคนตอนล่าง ปาล์ม ปี 66</t>
  </si>
  <si>
    <t>รวมค่าแรงแหวกโคนปาล์ม ปี 66</t>
  </si>
  <si>
    <t>รวมค่าแรงแหวกโคนตอนบน ปาล์มปี 67</t>
  </si>
  <si>
    <t>รวมค่าแรงแหวกโคนตอนล่าง ปาล์ม ปี 67</t>
  </si>
  <si>
    <t>รวมค่าแรงแหวกโคน ปาล์ม ปี 67</t>
  </si>
  <si>
    <t>รวมค่าแรงแหวกโคนตอนบน ปาล์มปี 68</t>
  </si>
  <si>
    <t>รวมค่าแรงแหวกโคน ปาล์ม ปี 68</t>
  </si>
  <si>
    <t>รวมค่าแรงแหวกโคนตอนล่าง ปาล์มปี 68</t>
  </si>
  <si>
    <t xml:space="preserve">สูตรการคำนวณ : ผลผลิต * อัตราค่าจ้าง = ค่าจ้างตัดปาล์ม </t>
  </si>
  <si>
    <t xml:space="preserve">สูตรการคำนวณ :  ปริมาณสารเคมี / ลิตร = (อัตราฉีดยา / CC * จำนวนต้น) / 1,000 </t>
  </si>
  <si>
    <t xml:space="preserve">อัตราจ้างฉีด = ค่าจ้างฉีด * จำนวนต้น </t>
  </si>
  <si>
    <t xml:space="preserve">อัตราค่าใช้จ่ายสารเคมี = ปริมาณสารเคมี * ราคาสารเคมี </t>
  </si>
  <si>
    <t xml:space="preserve">สูตรการคำนวณ :  ค่าแรงถางป่า = (จำนวนต้นในพื้นที่ต้องการถางป่า * ค่าแรง) </t>
  </si>
  <si>
    <t xml:space="preserve">สูตรการคำนวณ :  ค่าแรงถากโคน = (จำนวนต้นในพื้นที่ต้องการถางป่า * ค่าแรง*จำนวนครั้ง) </t>
  </si>
  <si>
    <t xml:space="preserve">สูตรการคำนวณ :  ค่าแรงตัดหญ้า/ไร่  = (จำนวนต้นในพื้นที่ต้องการตัดหญ้า * ค่าแรง*จำนวนครั้ง) </t>
  </si>
  <si>
    <t xml:space="preserve">สูตรการคำนวณ :  ค่าแรงไถ,พรวนดิน/ไร่  = (จำนวนไร่ * ค่าแรง*จำนวนครั้ง) </t>
  </si>
  <si>
    <t xml:space="preserve">สูตรการคำนวณ :  ล่อฟีโรโมน(10ไร่/ซอง/ครั้ง)  = (จำนวนไร่/จำนวนซอง*จำนวนครั้ง) </t>
  </si>
  <si>
    <t>สูตรการคำนวณ :  พิโพรนิล (10กรัม/ต้น)  = (จำนวนต้น*ปริมาณพิโพรนิล)</t>
  </si>
  <si>
    <t>กรณีผันกรัมเป็นกิโลกรัม = ( ปริมาณพิโพรนิล/กรัม / 1000 )</t>
  </si>
  <si>
    <t>สูตรการคำนวณ :  เจาะฆ่าต้นปาล์ม = (จำนวนต้น/ปริมาณสารเคมี(100ซีซี)*จำนวนครั้ง</t>
  </si>
  <si>
    <t>สูตรการคำนวณ :  ค่าแรงแหวกโคน = (จำนวนต้นในพื้นที่ต้องการแหวกโคน*ค่าแรง*จำนวนครั้ง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</si>
</sst>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.00_-;\-* #,##0.00_-;_-* \-??_-;_-@_-"/>
    <numFmt numFmtId="166" formatCode="#,##0_ ;\-#,##0\ "/>
    <numFmt numFmtId="167" formatCode="_(* #,##0_);_(* \(#,##0\);_(* &quot;-&quot;??_);_(@_)"/>
    <numFmt numFmtId="168" formatCode="_-* #,##0_-;\-* #,##0_-;_-* &quot;-&quot;??_-;_-@_-"/>
  </numFmts>
  <fonts count="64" x14ac:knownFonts="1">
    <font>
      <sz val="16"/>
      <color theme="1"/>
      <name val="TH Sarabun New"/>
      <family val="2"/>
      <charset val="222"/>
    </font>
    <font>
      <sz val="16"/>
      <color theme="1"/>
      <name val="TH Sarabun New"/>
      <family val="2"/>
      <charset val="222"/>
    </font>
    <font>
      <b/>
      <sz val="15"/>
      <color theme="1"/>
      <name val="TH SarabunPSK"/>
      <family val="2"/>
    </font>
    <font>
      <b/>
      <sz val="15"/>
      <color theme="1"/>
      <name val="TH Sarabun New"/>
      <family val="2"/>
    </font>
    <font>
      <sz val="15"/>
      <color theme="1"/>
      <name val="TH SarabunPSK"/>
      <family val="2"/>
    </font>
    <font>
      <sz val="14"/>
      <name val="Cordia New"/>
      <family val="2"/>
    </font>
    <font>
      <sz val="15"/>
      <name val="TH SarabunPSK"/>
      <family val="2"/>
    </font>
    <font>
      <b/>
      <u val="singleAccounting"/>
      <sz val="15"/>
      <color theme="1"/>
      <name val="TH SarabunPSK"/>
      <family val="2"/>
    </font>
    <font>
      <b/>
      <sz val="16"/>
      <color theme="1"/>
      <name val="TH Sarabun New"/>
      <family val="2"/>
    </font>
    <font>
      <b/>
      <u val="singleAccounting"/>
      <sz val="16"/>
      <color theme="1"/>
      <name val="TH Sarabun New"/>
      <family val="2"/>
    </font>
    <font>
      <b/>
      <sz val="15"/>
      <name val="TH SarabunPSK"/>
      <family val="2"/>
    </font>
    <font>
      <sz val="14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5"/>
      <name val="TH Sarabun New"/>
      <family val="2"/>
    </font>
    <font>
      <u val="singleAccounting"/>
      <sz val="16"/>
      <color theme="1"/>
      <name val="TH Sarabun New"/>
      <family val="2"/>
      <charset val="222"/>
    </font>
    <font>
      <b/>
      <sz val="16"/>
      <color theme="1"/>
      <name val="TH SarabunPSK"/>
      <family val="2"/>
    </font>
    <font>
      <b/>
      <sz val="18"/>
      <name val="TH SarabunPSK"/>
      <family val="2"/>
    </font>
    <font>
      <b/>
      <u val="singleAccounting"/>
      <sz val="14"/>
      <name val="TH Sarabun New"/>
      <family val="2"/>
    </font>
    <font>
      <u val="singleAccounting"/>
      <sz val="15"/>
      <color theme="1"/>
      <name val="TH SarabunPSK"/>
      <family val="2"/>
    </font>
    <font>
      <b/>
      <sz val="14"/>
      <name val="TH Sarabun New"/>
      <family val="2"/>
    </font>
    <font>
      <b/>
      <sz val="20"/>
      <color rgb="FFFF0000"/>
      <name val="TH Sarabun New"/>
      <family val="2"/>
    </font>
    <font>
      <b/>
      <sz val="18"/>
      <color rgb="FFFF0000"/>
      <name val="TH Sarabun New"/>
      <family val="2"/>
    </font>
    <font>
      <sz val="16"/>
      <name val="TH Sarabun New"/>
      <family val="2"/>
      <charset val="222"/>
    </font>
    <font>
      <b/>
      <sz val="18"/>
      <color theme="1"/>
      <name val="TH Sarabun New"/>
      <family val="2"/>
    </font>
    <font>
      <b/>
      <sz val="20"/>
      <color theme="1"/>
      <name val="TH SarabunPSK"/>
      <family val="2"/>
    </font>
    <font>
      <b/>
      <sz val="14"/>
      <name val="TH SarabunPSK"/>
      <family val="2"/>
    </font>
    <font>
      <b/>
      <u/>
      <sz val="14"/>
      <name val="TH SarabunPS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4"/>
      <color theme="1"/>
      <name val="TH SarabunPSK"/>
      <family val="2"/>
    </font>
    <font>
      <sz val="14"/>
      <color theme="1"/>
      <name val="TH Sarabun New"/>
      <family val="2"/>
      <charset val="222"/>
    </font>
    <font>
      <b/>
      <u/>
      <sz val="15"/>
      <color theme="1"/>
      <name val="TH SarabunPSK"/>
      <family val="2"/>
    </font>
    <font>
      <b/>
      <sz val="13"/>
      <color theme="1"/>
      <name val="TH SarabunPSK"/>
      <family val="2"/>
    </font>
    <font>
      <u/>
      <sz val="14"/>
      <color theme="1"/>
      <name val="TH SarabunPSK"/>
      <family val="2"/>
    </font>
    <font>
      <sz val="12"/>
      <color theme="1"/>
      <name val="TH Sarabun New"/>
      <family val="2"/>
      <charset val="222"/>
    </font>
    <font>
      <b/>
      <sz val="14"/>
      <color theme="1"/>
      <name val="TH Sarabun New"/>
      <family val="2"/>
    </font>
    <font>
      <sz val="18"/>
      <color theme="1"/>
      <name val="TH Sarabun New"/>
      <family val="2"/>
      <charset val="222"/>
    </font>
    <font>
      <b/>
      <sz val="18"/>
      <color theme="1"/>
      <name val="TH SarabunPSK"/>
      <family val="2"/>
    </font>
    <font>
      <b/>
      <sz val="18"/>
      <color theme="1"/>
      <name val="TH Sarabun New"/>
      <family val="2"/>
      <charset val="222"/>
    </font>
    <font>
      <sz val="18"/>
      <color theme="1"/>
      <name val="TH SarabunPSK"/>
      <family val="2"/>
    </font>
    <font>
      <sz val="18"/>
      <name val="TH SarabunPSK"/>
      <family val="2"/>
    </font>
    <font>
      <b/>
      <u val="singleAccounting"/>
      <sz val="18"/>
      <name val="TH SarabunPSK"/>
      <family val="2"/>
    </font>
    <font>
      <b/>
      <u val="singleAccounting"/>
      <sz val="18"/>
      <color theme="1"/>
      <name val="TH SarabunPSK"/>
      <family val="2"/>
    </font>
    <font>
      <b/>
      <u val="singleAccounting"/>
      <sz val="18"/>
      <color theme="1"/>
      <name val="TH Sarabun New"/>
      <family val="2"/>
    </font>
    <font>
      <b/>
      <u val="singleAccounting"/>
      <sz val="18"/>
      <color rgb="FFFF0000"/>
      <name val="TH Sarabun New"/>
      <family val="2"/>
    </font>
    <font>
      <b/>
      <sz val="14"/>
      <color theme="1"/>
      <name val="TH Sarabun New"/>
      <family val="2"/>
      <charset val="222"/>
    </font>
    <font>
      <sz val="13"/>
      <color theme="1"/>
      <name val="TH Sarabun New"/>
      <family val="2"/>
      <charset val="222"/>
    </font>
    <font>
      <b/>
      <sz val="20"/>
      <color theme="1"/>
      <name val="TH Sarabun New"/>
      <family val="2"/>
    </font>
    <font>
      <b/>
      <sz val="22"/>
      <color theme="1"/>
      <name val="TH Sarabun New"/>
      <family val="2"/>
    </font>
    <font>
      <b/>
      <sz val="22"/>
      <color theme="1"/>
      <name val="TH SarabunPSK"/>
      <family val="2"/>
    </font>
    <font>
      <b/>
      <sz val="22"/>
      <color theme="1"/>
      <name val="TH Sarabun New"/>
      <family val="2"/>
      <charset val="222"/>
    </font>
    <font>
      <sz val="22"/>
      <color theme="1"/>
      <name val="TH Sarabun New"/>
      <family val="2"/>
      <charset val="222"/>
    </font>
    <font>
      <b/>
      <u val="singleAccounting"/>
      <sz val="22"/>
      <color rgb="FFFF0000"/>
      <name val="TH SarabunPSK"/>
      <family val="2"/>
    </font>
    <font>
      <b/>
      <sz val="18"/>
      <color theme="2" tint="-0.89999084444715716"/>
      <name val="TH SarabunPSK"/>
      <family val="2"/>
    </font>
    <font>
      <sz val="18"/>
      <color rgb="FFFF0000"/>
      <name val="TH SarabunPSK"/>
      <family val="2"/>
    </font>
    <font>
      <b/>
      <u/>
      <sz val="18"/>
      <name val="TH SarabunPSK"/>
      <family val="2"/>
    </font>
    <font>
      <b/>
      <u val="doubleAccounting"/>
      <sz val="18"/>
      <color theme="1"/>
      <name val="TH SarabunPSK"/>
      <family val="2"/>
    </font>
    <font>
      <u val="singleAccounting"/>
      <sz val="16"/>
      <color rgb="FFFF0000"/>
      <name val="TH Sarabun New"/>
      <family val="2"/>
      <charset val="222"/>
    </font>
    <font>
      <b/>
      <u/>
      <sz val="18"/>
      <color rgb="FFFF0000"/>
      <name val="TH SarabunPSK"/>
      <family val="2"/>
    </font>
    <font>
      <b/>
      <u val="singleAccounting"/>
      <sz val="18"/>
      <color rgb="FFFF0000"/>
      <name val="TH SarabunPSK"/>
      <family val="2"/>
    </font>
    <font>
      <u/>
      <sz val="16"/>
      <color rgb="FFFF0000"/>
      <name val="TH SarabunPSK"/>
      <family val="2"/>
    </font>
    <font>
      <u/>
      <sz val="20"/>
      <color rgb="FFFF0000"/>
      <name val="TH SarabunPSK"/>
      <family val="2"/>
    </font>
    <font>
      <sz val="16"/>
      <color rgb="FFFF0000"/>
      <name val="TH Sarabun New"/>
      <family val="2"/>
      <charset val="222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165" fontId="5" fillId="0" borderId="0" applyFill="0" applyBorder="0" applyAlignment="0" applyProtection="0"/>
    <xf numFmtId="9" fontId="1" fillId="0" borderId="0" applyFont="0" applyFill="0" applyBorder="0" applyAlignment="0" applyProtection="0"/>
    <xf numFmtId="165" fontId="5" fillId="0" borderId="0" applyFill="0" applyBorder="0" applyAlignment="0" applyProtection="0"/>
  </cellStyleXfs>
  <cellXfs count="1321">
    <xf numFmtId="0" fontId="0" fillId="0" borderId="0" xfId="0"/>
    <xf numFmtId="0" fontId="0" fillId="0" borderId="0" xfId="0" applyBorder="1"/>
    <xf numFmtId="164" fontId="2" fillId="2" borderId="38" xfId="1" applyFont="1" applyFill="1" applyBorder="1" applyAlignment="1">
      <alignment vertical="center" wrapText="1"/>
    </xf>
    <xf numFmtId="164" fontId="2" fillId="2" borderId="36" xfId="1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/>
    </xf>
    <xf numFmtId="3" fontId="6" fillId="0" borderId="18" xfId="2" applyNumberFormat="1" applyFont="1" applyFill="1" applyBorder="1" applyAlignment="1">
      <alignment horizontal="center" vertical="center"/>
    </xf>
    <xf numFmtId="164" fontId="6" fillId="0" borderId="19" xfId="1" applyFont="1" applyFill="1" applyBorder="1" applyAlignment="1">
      <alignment horizontal="center" vertical="center"/>
    </xf>
    <xf numFmtId="164" fontId="0" fillId="0" borderId="47" xfId="1" applyFont="1" applyFill="1" applyBorder="1"/>
    <xf numFmtId="164" fontId="0" fillId="0" borderId="18" xfId="1" applyFont="1" applyFill="1" applyBorder="1"/>
    <xf numFmtId="164" fontId="0" fillId="0" borderId="17" xfId="1" applyFont="1" applyBorder="1"/>
    <xf numFmtId="164" fontId="0" fillId="0" borderId="18" xfId="1" applyFont="1" applyBorder="1"/>
    <xf numFmtId="164" fontId="0" fillId="0" borderId="19" xfId="1" applyFont="1" applyBorder="1"/>
    <xf numFmtId="164" fontId="0" fillId="0" borderId="46" xfId="1" applyFont="1" applyBorder="1"/>
    <xf numFmtId="164" fontId="0" fillId="0" borderId="11" xfId="1" applyFont="1" applyBorder="1"/>
    <xf numFmtId="164" fontId="0" fillId="0" borderId="12" xfId="1" applyFont="1" applyBorder="1"/>
    <xf numFmtId="164" fontId="0" fillId="0" borderId="48" xfId="1" applyFont="1" applyBorder="1"/>
    <xf numFmtId="164" fontId="0" fillId="0" borderId="49" xfId="1" applyFont="1" applyBorder="1"/>
    <xf numFmtId="164" fontId="0" fillId="0" borderId="34" xfId="1" applyFont="1" applyBorder="1"/>
    <xf numFmtId="164" fontId="0" fillId="0" borderId="50" xfId="1" applyFont="1" applyBorder="1"/>
    <xf numFmtId="3" fontId="6" fillId="0" borderId="11" xfId="2" applyNumberFormat="1" applyFont="1" applyFill="1" applyBorder="1" applyAlignment="1">
      <alignment horizontal="left" vertical="center"/>
    </xf>
    <xf numFmtId="3" fontId="6" fillId="0" borderId="12" xfId="2" applyNumberFormat="1" applyFont="1" applyFill="1" applyBorder="1" applyAlignment="1">
      <alignment horizontal="center" vertical="center"/>
    </xf>
    <xf numFmtId="164" fontId="6" fillId="0" borderId="13" xfId="1" applyFont="1" applyFill="1" applyBorder="1" applyAlignment="1" applyProtection="1">
      <alignment horizontal="center" vertical="center"/>
    </xf>
    <xf numFmtId="164" fontId="0" fillId="0" borderId="34" xfId="1" applyFont="1" applyFill="1" applyBorder="1"/>
    <xf numFmtId="164" fontId="0" fillId="0" borderId="13" xfId="1" applyFont="1" applyBorder="1"/>
    <xf numFmtId="0" fontId="4" fillId="0" borderId="31" xfId="0" applyFont="1" applyBorder="1" applyAlignment="1">
      <alignment horizontal="center"/>
    </xf>
    <xf numFmtId="164" fontId="6" fillId="0" borderId="33" xfId="1" applyFont="1" applyFill="1" applyBorder="1" applyAlignment="1" applyProtection="1">
      <alignment horizontal="center" vertical="center"/>
    </xf>
    <xf numFmtId="164" fontId="0" fillId="0" borderId="51" xfId="1" applyFont="1" applyFill="1" applyBorder="1"/>
    <xf numFmtId="164" fontId="0" fillId="0" borderId="32" xfId="1" applyFont="1" applyBorder="1"/>
    <xf numFmtId="164" fontId="0" fillId="0" borderId="31" xfId="1" applyFont="1" applyBorder="1"/>
    <xf numFmtId="164" fontId="0" fillId="0" borderId="33" xfId="1" applyFont="1" applyBorder="1"/>
    <xf numFmtId="164" fontId="0" fillId="0" borderId="52" xfId="1" applyFont="1" applyBorder="1"/>
    <xf numFmtId="164" fontId="0" fillId="0" borderId="51" xfId="1" applyFont="1" applyBorder="1"/>
    <xf numFmtId="164" fontId="0" fillId="0" borderId="54" xfId="1" applyFont="1" applyBorder="1"/>
    <xf numFmtId="3" fontId="6" fillId="0" borderId="20" xfId="2" applyNumberFormat="1" applyFont="1" applyFill="1" applyBorder="1" applyAlignment="1">
      <alignment horizontal="left" vertical="center"/>
    </xf>
    <xf numFmtId="3" fontId="6" fillId="0" borderId="21" xfId="2" applyNumberFormat="1" applyFont="1" applyFill="1" applyBorder="1" applyAlignment="1">
      <alignment horizontal="center" vertical="center"/>
    </xf>
    <xf numFmtId="164" fontId="6" fillId="0" borderId="56" xfId="1" applyFont="1" applyFill="1" applyBorder="1" applyAlignment="1">
      <alignment horizontal="center" vertical="center"/>
    </xf>
    <xf numFmtId="164" fontId="0" fillId="0" borderId="20" xfId="1" applyFont="1" applyBorder="1"/>
    <xf numFmtId="164" fontId="0" fillId="0" borderId="21" xfId="1" applyFont="1" applyBorder="1"/>
    <xf numFmtId="164" fontId="0" fillId="0" borderId="56" xfId="1" applyFont="1" applyBorder="1"/>
    <xf numFmtId="164" fontId="0" fillId="0" borderId="22" xfId="1" applyFont="1" applyBorder="1"/>
    <xf numFmtId="164" fontId="0" fillId="0" borderId="58" xfId="1" applyFont="1" applyBorder="1"/>
    <xf numFmtId="164" fontId="0" fillId="0" borderId="57" xfId="1" applyFont="1" applyBorder="1"/>
    <xf numFmtId="164" fontId="0" fillId="0" borderId="0" xfId="1" applyFont="1" applyBorder="1"/>
    <xf numFmtId="0" fontId="6" fillId="0" borderId="17" xfId="0" applyFont="1" applyBorder="1" applyAlignment="1">
      <alignment horizontal="left"/>
    </xf>
    <xf numFmtId="3" fontId="4" fillId="7" borderId="18" xfId="3" applyNumberFormat="1" applyFont="1" applyFill="1" applyBorder="1" applyAlignment="1" applyProtection="1">
      <alignment horizontal="center"/>
    </xf>
    <xf numFmtId="164" fontId="4" fillId="7" borderId="19" xfId="1" applyFont="1" applyFill="1" applyBorder="1" applyAlignment="1" applyProtection="1">
      <alignment horizontal="center"/>
    </xf>
    <xf numFmtId="164" fontId="0" fillId="0" borderId="47" xfId="1" applyFont="1" applyBorder="1"/>
    <xf numFmtId="164" fontId="0" fillId="0" borderId="30" xfId="1" applyFont="1" applyBorder="1"/>
    <xf numFmtId="164" fontId="0" fillId="0" borderId="29" xfId="1" applyFont="1" applyBorder="1"/>
    <xf numFmtId="0" fontId="6" fillId="0" borderId="11" xfId="0" applyFont="1" applyBorder="1" applyAlignment="1">
      <alignment horizontal="left"/>
    </xf>
    <xf numFmtId="3" fontId="4" fillId="7" borderId="12" xfId="3" applyNumberFormat="1" applyFont="1" applyFill="1" applyBorder="1" applyAlignment="1" applyProtection="1">
      <alignment horizontal="center"/>
    </xf>
    <xf numFmtId="164" fontId="4" fillId="7" borderId="13" xfId="1" applyFont="1" applyFill="1" applyBorder="1" applyAlignment="1" applyProtection="1">
      <alignment horizontal="center"/>
    </xf>
    <xf numFmtId="164" fontId="0" fillId="0" borderId="12" xfId="1" applyFont="1" applyFill="1" applyBorder="1"/>
    <xf numFmtId="0" fontId="6" fillId="0" borderId="32" xfId="0" applyFont="1" applyBorder="1" applyAlignment="1">
      <alignment horizontal="left"/>
    </xf>
    <xf numFmtId="3" fontId="4" fillId="7" borderId="31" xfId="3" applyNumberFormat="1" applyFont="1" applyFill="1" applyBorder="1" applyAlignment="1" applyProtection="1">
      <alignment horizontal="center"/>
    </xf>
    <xf numFmtId="164" fontId="4" fillId="7" borderId="33" xfId="1" applyFont="1" applyFill="1" applyBorder="1" applyAlignment="1" applyProtection="1">
      <alignment horizontal="center"/>
    </xf>
    <xf numFmtId="0" fontId="0" fillId="0" borderId="0" xfId="0" applyFill="1" applyBorder="1"/>
    <xf numFmtId="164" fontId="0" fillId="5" borderId="0" xfId="1" applyFont="1" applyFill="1" applyBorder="1"/>
    <xf numFmtId="164" fontId="0" fillId="5" borderId="65" xfId="1" applyFont="1" applyFill="1" applyBorder="1"/>
    <xf numFmtId="164" fontId="0" fillId="5" borderId="58" xfId="1" applyFont="1" applyFill="1" applyBorder="1"/>
    <xf numFmtId="164" fontId="0" fillId="5" borderId="11" xfId="1" applyFont="1" applyFill="1" applyBorder="1"/>
    <xf numFmtId="164" fontId="0" fillId="5" borderId="12" xfId="1" applyFont="1" applyFill="1" applyBorder="1"/>
    <xf numFmtId="164" fontId="0" fillId="5" borderId="48" xfId="1" applyFont="1" applyFill="1" applyBorder="1"/>
    <xf numFmtId="164" fontId="0" fillId="5" borderId="49" xfId="1" applyFont="1" applyFill="1" applyBorder="1"/>
    <xf numFmtId="164" fontId="0" fillId="5" borderId="50" xfId="1" applyFont="1" applyFill="1" applyBorder="1"/>
    <xf numFmtId="3" fontId="6" fillId="0" borderId="17" xfId="2" applyNumberFormat="1" applyFont="1" applyFill="1" applyBorder="1" applyAlignment="1">
      <alignment horizontal="left" vertical="center"/>
    </xf>
    <xf numFmtId="0" fontId="4" fillId="0" borderId="18" xfId="0" applyFont="1" applyBorder="1" applyAlignment="1">
      <alignment horizontal="center"/>
    </xf>
    <xf numFmtId="164" fontId="6" fillId="0" borderId="19" xfId="1" applyFont="1" applyFill="1" applyBorder="1" applyAlignment="1" applyProtection="1">
      <alignment horizontal="center" vertical="center"/>
    </xf>
    <xf numFmtId="0" fontId="8" fillId="6" borderId="4" xfId="0" applyFont="1" applyFill="1" applyBorder="1"/>
    <xf numFmtId="0" fontId="8" fillId="0" borderId="0" xfId="0" applyFont="1" applyFill="1" applyBorder="1"/>
    <xf numFmtId="164" fontId="0" fillId="5" borderId="34" xfId="1" applyFont="1" applyFill="1" applyBorder="1"/>
    <xf numFmtId="164" fontId="0" fillId="0" borderId="66" xfId="1" applyFont="1" applyBorder="1"/>
    <xf numFmtId="164" fontId="6" fillId="0" borderId="13" xfId="1" applyFont="1" applyFill="1" applyBorder="1" applyAlignment="1">
      <alignment horizontal="center" vertical="center"/>
    </xf>
    <xf numFmtId="3" fontId="6" fillId="0" borderId="31" xfId="2" applyNumberFormat="1" applyFont="1" applyFill="1" applyBorder="1" applyAlignment="1">
      <alignment horizontal="center" vertical="center"/>
    </xf>
    <xf numFmtId="164" fontId="6" fillId="0" borderId="33" xfId="1" applyFont="1" applyFill="1" applyBorder="1" applyAlignment="1">
      <alignment horizontal="center" vertical="center"/>
    </xf>
    <xf numFmtId="3" fontId="6" fillId="0" borderId="17" xfId="3" applyNumberFormat="1" applyFont="1" applyFill="1" applyBorder="1" applyAlignment="1" applyProtection="1">
      <alignment horizontal="left"/>
    </xf>
    <xf numFmtId="3" fontId="6" fillId="0" borderId="11" xfId="3" applyNumberFormat="1" applyFont="1" applyFill="1" applyBorder="1" applyAlignment="1" applyProtection="1">
      <alignment horizontal="left"/>
    </xf>
    <xf numFmtId="1" fontId="6" fillId="0" borderId="11" xfId="3" applyNumberFormat="1" applyFont="1" applyFill="1" applyBorder="1" applyAlignment="1" applyProtection="1">
      <alignment horizontal="left"/>
    </xf>
    <xf numFmtId="1" fontId="6" fillId="0" borderId="32" xfId="3" applyNumberFormat="1" applyFont="1" applyFill="1" applyBorder="1" applyAlignment="1" applyProtection="1">
      <alignment horizontal="left"/>
    </xf>
    <xf numFmtId="0" fontId="6" fillId="0" borderId="20" xfId="0" applyFont="1" applyBorder="1" applyAlignment="1">
      <alignment horizontal="left"/>
    </xf>
    <xf numFmtId="3" fontId="4" fillId="7" borderId="21" xfId="0" applyNumberFormat="1" applyFont="1" applyFill="1" applyBorder="1" applyAlignment="1">
      <alignment horizontal="center"/>
    </xf>
    <xf numFmtId="164" fontId="4" fillId="7" borderId="56" xfId="1" applyFont="1" applyFill="1" applyBorder="1" applyAlignment="1">
      <alignment horizontal="center"/>
    </xf>
    <xf numFmtId="164" fontId="0" fillId="0" borderId="11" xfId="1" applyFont="1" applyFill="1" applyBorder="1"/>
    <xf numFmtId="164" fontId="9" fillId="5" borderId="12" xfId="1" applyFont="1" applyFill="1" applyBorder="1"/>
    <xf numFmtId="164" fontId="0" fillId="0" borderId="48" xfId="1" applyFont="1" applyFill="1" applyBorder="1"/>
    <xf numFmtId="164" fontId="0" fillId="0" borderId="49" xfId="1" applyFont="1" applyFill="1" applyBorder="1"/>
    <xf numFmtId="164" fontId="0" fillId="0" borderId="50" xfId="1" applyFont="1" applyFill="1" applyBorder="1"/>
    <xf numFmtId="164" fontId="0" fillId="0" borderId="13" xfId="1" applyFont="1" applyFill="1" applyBorder="1"/>
    <xf numFmtId="0" fontId="0" fillId="0" borderId="0" xfId="0" applyFill="1"/>
    <xf numFmtId="164" fontId="0" fillId="0" borderId="32" xfId="1" applyFont="1" applyFill="1" applyBorder="1"/>
    <xf numFmtId="164" fontId="0" fillId="0" borderId="31" xfId="1" applyFont="1" applyFill="1" applyBorder="1"/>
    <xf numFmtId="164" fontId="0" fillId="0" borderId="33" xfId="1" applyFont="1" applyFill="1" applyBorder="1"/>
    <xf numFmtId="3" fontId="4" fillId="7" borderId="18" xfId="0" applyNumberFormat="1" applyFont="1" applyFill="1" applyBorder="1" applyAlignment="1">
      <alignment horizontal="center"/>
    </xf>
    <xf numFmtId="164" fontId="4" fillId="7" borderId="19" xfId="1" applyFont="1" applyFill="1" applyBorder="1" applyAlignment="1">
      <alignment horizontal="center"/>
    </xf>
    <xf numFmtId="3" fontId="4" fillId="7" borderId="12" xfId="0" applyNumberFormat="1" applyFont="1" applyFill="1" applyBorder="1" applyAlignment="1">
      <alignment horizontal="center"/>
    </xf>
    <xf numFmtId="164" fontId="4" fillId="7" borderId="13" xfId="1" applyFont="1" applyFill="1" applyBorder="1" applyAlignment="1">
      <alignment horizontal="center"/>
    </xf>
    <xf numFmtId="3" fontId="6" fillId="0" borderId="11" xfId="0" applyNumberFormat="1" applyFont="1" applyBorder="1" applyAlignment="1">
      <alignment horizontal="left"/>
    </xf>
    <xf numFmtId="3" fontId="4" fillId="7" borderId="31" xfId="0" applyNumberFormat="1" applyFont="1" applyFill="1" applyBorder="1" applyAlignment="1">
      <alignment horizontal="center"/>
    </xf>
    <xf numFmtId="164" fontId="4" fillId="7" borderId="33" xfId="1" applyFont="1" applyFill="1" applyBorder="1" applyAlignment="1">
      <alignment horizontal="center"/>
    </xf>
    <xf numFmtId="3" fontId="6" fillId="0" borderId="17" xfId="0" applyNumberFormat="1" applyFont="1" applyBorder="1" applyAlignment="1">
      <alignment horizontal="left"/>
    </xf>
    <xf numFmtId="164" fontId="0" fillId="0" borderId="61" xfId="1" applyFont="1" applyBorder="1"/>
    <xf numFmtId="164" fontId="0" fillId="0" borderId="17" xfId="1" applyFont="1" applyFill="1" applyBorder="1"/>
    <xf numFmtId="164" fontId="0" fillId="0" borderId="19" xfId="1" applyFont="1" applyFill="1" applyBorder="1"/>
    <xf numFmtId="164" fontId="0" fillId="0" borderId="46" xfId="1" applyFont="1" applyFill="1" applyBorder="1"/>
    <xf numFmtId="164" fontId="0" fillId="8" borderId="12" xfId="1" applyFont="1" applyFill="1" applyBorder="1"/>
    <xf numFmtId="164" fontId="0" fillId="0" borderId="52" xfId="1" applyFont="1" applyFill="1" applyBorder="1"/>
    <xf numFmtId="164" fontId="0" fillId="0" borderId="65" xfId="1" applyFont="1" applyBorder="1"/>
    <xf numFmtId="0" fontId="11" fillId="0" borderId="11" xfId="0" applyFont="1" applyBorder="1" applyAlignment="1">
      <alignment horizontal="left"/>
    </xf>
    <xf numFmtId="3" fontId="12" fillId="7" borderId="12" xfId="0" applyNumberFormat="1" applyFont="1" applyFill="1" applyBorder="1" applyAlignment="1">
      <alignment horizontal="center"/>
    </xf>
    <xf numFmtId="164" fontId="12" fillId="7" borderId="13" xfId="1" applyFont="1" applyFill="1" applyBorder="1" applyAlignment="1" applyProtection="1">
      <alignment horizontal="center"/>
    </xf>
    <xf numFmtId="3" fontId="12" fillId="7" borderId="31" xfId="0" applyNumberFormat="1" applyFont="1" applyFill="1" applyBorder="1" applyAlignment="1">
      <alignment horizontal="center"/>
    </xf>
    <xf numFmtId="164" fontId="12" fillId="7" borderId="33" xfId="1" applyFont="1" applyFill="1" applyBorder="1" applyAlignment="1" applyProtection="1">
      <alignment horizontal="center"/>
    </xf>
    <xf numFmtId="0" fontId="12" fillId="0" borderId="17" xfId="0" applyFont="1" applyFill="1" applyBorder="1" applyAlignment="1">
      <alignment horizontal="left"/>
    </xf>
    <xf numFmtId="0" fontId="12" fillId="0" borderId="18" xfId="0" applyFont="1" applyFill="1" applyBorder="1" applyAlignment="1">
      <alignment horizontal="center"/>
    </xf>
    <xf numFmtId="164" fontId="12" fillId="0" borderId="19" xfId="1" applyFont="1" applyFill="1" applyBorder="1" applyAlignment="1">
      <alignment horizontal="center"/>
    </xf>
    <xf numFmtId="0" fontId="12" fillId="0" borderId="12" xfId="0" applyFont="1" applyFill="1" applyBorder="1" applyAlignment="1">
      <alignment horizontal="center"/>
    </xf>
    <xf numFmtId="164" fontId="12" fillId="0" borderId="13" xfId="1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164" fontId="12" fillId="0" borderId="33" xfId="1" applyFont="1" applyFill="1" applyBorder="1" applyAlignment="1">
      <alignment horizontal="center"/>
    </xf>
    <xf numFmtId="0" fontId="12" fillId="0" borderId="17" xfId="0" applyFont="1" applyBorder="1" applyAlignment="1">
      <alignment horizontal="left"/>
    </xf>
    <xf numFmtId="0" fontId="12" fillId="0" borderId="18" xfId="0" applyFont="1" applyBorder="1" applyAlignment="1">
      <alignment horizontal="center"/>
    </xf>
    <xf numFmtId="164" fontId="12" fillId="0" borderId="19" xfId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164" fontId="12" fillId="0" borderId="13" xfId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164" fontId="12" fillId="0" borderId="33" xfId="1" applyFont="1" applyBorder="1" applyAlignment="1">
      <alignment horizontal="center"/>
    </xf>
    <xf numFmtId="0" fontId="12" fillId="0" borderId="20" xfId="0" applyFont="1" applyBorder="1" applyAlignment="1">
      <alignment horizontal="left"/>
    </xf>
    <xf numFmtId="0" fontId="12" fillId="0" borderId="21" xfId="0" applyFont="1" applyBorder="1" applyAlignment="1">
      <alignment horizontal="center"/>
    </xf>
    <xf numFmtId="164" fontId="12" fillId="0" borderId="56" xfId="1" applyFont="1" applyBorder="1" applyAlignment="1">
      <alignment horizontal="center"/>
    </xf>
    <xf numFmtId="0" fontId="12" fillId="0" borderId="17" xfId="0" applyFont="1" applyBorder="1" applyAlignment="1"/>
    <xf numFmtId="0" fontId="12" fillId="0" borderId="18" xfId="1" applyNumberFormat="1" applyFont="1" applyBorder="1" applyAlignment="1">
      <alignment horizontal="center"/>
    </xf>
    <xf numFmtId="0" fontId="12" fillId="0" borderId="11" xfId="0" applyFont="1" applyBorder="1" applyAlignment="1"/>
    <xf numFmtId="164" fontId="12" fillId="0" borderId="13" xfId="1" applyFont="1" applyBorder="1" applyAlignment="1"/>
    <xf numFmtId="0" fontId="12" fillId="0" borderId="32" xfId="0" applyFont="1" applyBorder="1" applyAlignment="1"/>
    <xf numFmtId="164" fontId="12" fillId="0" borderId="33" xfId="1" applyFont="1" applyBorder="1" applyAlignment="1"/>
    <xf numFmtId="0" fontId="12" fillId="0" borderId="17" xfId="0" applyFont="1" applyBorder="1" applyAlignment="1">
      <alignment horizontal="left" vertical="center"/>
    </xf>
    <xf numFmtId="0" fontId="12" fillId="0" borderId="1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164" fontId="0" fillId="0" borderId="66" xfId="1" applyFont="1" applyFill="1" applyBorder="1"/>
    <xf numFmtId="0" fontId="12" fillId="0" borderId="35" xfId="0" applyFont="1" applyBorder="1" applyAlignment="1">
      <alignment horizontal="left"/>
    </xf>
    <xf numFmtId="0" fontId="12" fillId="0" borderId="36" xfId="0" applyFont="1" applyBorder="1" applyAlignment="1">
      <alignment horizontal="center"/>
    </xf>
    <xf numFmtId="164" fontId="12" fillId="0" borderId="37" xfId="1" applyFont="1" applyBorder="1" applyAlignment="1">
      <alignment horizontal="center"/>
    </xf>
    <xf numFmtId="164" fontId="0" fillId="0" borderId="38" xfId="1" applyFont="1" applyBorder="1"/>
    <xf numFmtId="164" fontId="0" fillId="0" borderId="36" xfId="1" applyFont="1" applyBorder="1"/>
    <xf numFmtId="164" fontId="0" fillId="0" borderId="35" xfId="1" applyFont="1" applyBorder="1"/>
    <xf numFmtId="164" fontId="0" fillId="0" borderId="37" xfId="1" applyFont="1" applyBorder="1"/>
    <xf numFmtId="164" fontId="0" fillId="0" borderId="67" xfId="1" applyFont="1" applyBorder="1"/>
    <xf numFmtId="164" fontId="0" fillId="0" borderId="63" xfId="1" applyFont="1" applyBorder="1"/>
    <xf numFmtId="164" fontId="0" fillId="0" borderId="0" xfId="1" applyFont="1"/>
    <xf numFmtId="164" fontId="0" fillId="5" borderId="13" xfId="1" applyFont="1" applyFill="1" applyBorder="1"/>
    <xf numFmtId="0" fontId="0" fillId="0" borderId="29" xfId="0" applyBorder="1"/>
    <xf numFmtId="164" fontId="0" fillId="0" borderId="2" xfId="1" applyFont="1" applyBorder="1"/>
    <xf numFmtId="164" fontId="0" fillId="0" borderId="3" xfId="1" applyFont="1" applyBorder="1"/>
    <xf numFmtId="164" fontId="2" fillId="6" borderId="5" xfId="0" applyNumberFormat="1" applyFont="1" applyFill="1" applyBorder="1" applyAlignment="1"/>
    <xf numFmtId="0" fontId="4" fillId="6" borderId="10" xfId="0" applyFont="1" applyFill="1" applyBorder="1" applyAlignment="1"/>
    <xf numFmtId="164" fontId="4" fillId="6" borderId="59" xfId="0" applyNumberFormat="1" applyFont="1" applyFill="1" applyBorder="1" applyAlignment="1"/>
    <xf numFmtId="164" fontId="2" fillId="6" borderId="25" xfId="0" applyNumberFormat="1" applyFont="1" applyFill="1" applyBorder="1" applyAlignment="1"/>
    <xf numFmtId="164" fontId="2" fillId="6" borderId="24" xfId="0" applyNumberFormat="1" applyFont="1" applyFill="1" applyBorder="1" applyAlignment="1"/>
    <xf numFmtId="164" fontId="0" fillId="6" borderId="2" xfId="1" applyFont="1" applyFill="1" applyBorder="1"/>
    <xf numFmtId="164" fontId="0" fillId="6" borderId="23" xfId="1" applyFont="1" applyFill="1" applyBorder="1"/>
    <xf numFmtId="164" fontId="0" fillId="6" borderId="24" xfId="1" applyFont="1" applyFill="1" applyBorder="1"/>
    <xf numFmtId="164" fontId="0" fillId="6" borderId="3" xfId="1" applyFont="1" applyFill="1" applyBorder="1"/>
    <xf numFmtId="0" fontId="4" fillId="6" borderId="6" xfId="0" applyFont="1" applyFill="1" applyBorder="1" applyAlignment="1"/>
    <xf numFmtId="43" fontId="4" fillId="6" borderId="5" xfId="0" applyNumberFormat="1" applyFont="1" applyFill="1" applyBorder="1" applyAlignment="1"/>
    <xf numFmtId="43" fontId="4" fillId="6" borderId="6" xfId="0" applyNumberFormat="1" applyFont="1" applyFill="1" applyBorder="1" applyAlignment="1"/>
    <xf numFmtId="0" fontId="4" fillId="6" borderId="7" xfId="0" applyFont="1" applyFill="1" applyBorder="1" applyAlignment="1"/>
    <xf numFmtId="164" fontId="0" fillId="0" borderId="28" xfId="1" applyFont="1" applyBorder="1"/>
    <xf numFmtId="164" fontId="0" fillId="5" borderId="61" xfId="1" applyFont="1" applyFill="1" applyBorder="1"/>
    <xf numFmtId="164" fontId="0" fillId="0" borderId="61" xfId="1" applyFont="1" applyFill="1" applyBorder="1"/>
    <xf numFmtId="164" fontId="0" fillId="0" borderId="60" xfId="1" applyFont="1" applyBorder="1"/>
    <xf numFmtId="164" fontId="0" fillId="0" borderId="62" xfId="1" applyFont="1" applyBorder="1"/>
    <xf numFmtId="164" fontId="0" fillId="0" borderId="1" xfId="1" applyFont="1" applyBorder="1"/>
    <xf numFmtId="164" fontId="0" fillId="0" borderId="42" xfId="1" applyFont="1" applyBorder="1"/>
    <xf numFmtId="164" fontId="4" fillId="6" borderId="6" xfId="0" applyNumberFormat="1" applyFont="1" applyFill="1" applyBorder="1" applyAlignment="1"/>
    <xf numFmtId="0" fontId="0" fillId="0" borderId="0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164" fontId="0" fillId="0" borderId="53" xfId="1" applyFont="1" applyBorder="1"/>
    <xf numFmtId="164" fontId="0" fillId="0" borderId="69" xfId="1" applyFont="1" applyBorder="1"/>
    <xf numFmtId="164" fontId="0" fillId="0" borderId="71" xfId="1" applyFont="1" applyBorder="1"/>
    <xf numFmtId="3" fontId="6" fillId="7" borderId="17" xfId="2" applyNumberFormat="1" applyFont="1" applyFill="1" applyBorder="1" applyAlignment="1">
      <alignment horizontal="left" vertical="center"/>
    </xf>
    <xf numFmtId="3" fontId="6" fillId="0" borderId="20" xfId="0" applyNumberFormat="1" applyFont="1" applyBorder="1" applyAlignment="1">
      <alignment horizontal="left"/>
    </xf>
    <xf numFmtId="164" fontId="0" fillId="0" borderId="21" xfId="1" applyFont="1" applyFill="1" applyBorder="1"/>
    <xf numFmtId="164" fontId="0" fillId="0" borderId="26" xfId="1" applyFont="1" applyBorder="1"/>
    <xf numFmtId="164" fontId="2" fillId="6" borderId="3" xfId="0" applyNumberFormat="1" applyFont="1" applyFill="1" applyBorder="1" applyAlignment="1"/>
    <xf numFmtId="164" fontId="0" fillId="0" borderId="40" xfId="1" applyFont="1" applyBorder="1"/>
    <xf numFmtId="0" fontId="0" fillId="0" borderId="12" xfId="1" applyNumberFormat="1" applyFont="1" applyFill="1" applyBorder="1"/>
    <xf numFmtId="0" fontId="6" fillId="7" borderId="17" xfId="0" applyFont="1" applyFill="1" applyBorder="1" applyAlignment="1">
      <alignment horizontal="left"/>
    </xf>
    <xf numFmtId="164" fontId="0" fillId="7" borderId="47" xfId="1" applyFont="1" applyFill="1" applyBorder="1"/>
    <xf numFmtId="164" fontId="0" fillId="7" borderId="18" xfId="1" applyFont="1" applyFill="1" applyBorder="1"/>
    <xf numFmtId="164" fontId="0" fillId="7" borderId="17" xfId="1" applyFont="1" applyFill="1" applyBorder="1"/>
    <xf numFmtId="164" fontId="0" fillId="7" borderId="19" xfId="1" applyFont="1" applyFill="1" applyBorder="1"/>
    <xf numFmtId="164" fontId="0" fillId="7" borderId="46" xfId="1" applyFont="1" applyFill="1" applyBorder="1"/>
    <xf numFmtId="164" fontId="0" fillId="7" borderId="11" xfId="1" applyFont="1" applyFill="1" applyBorder="1"/>
    <xf numFmtId="164" fontId="0" fillId="7" borderId="34" xfId="1" applyFont="1" applyFill="1" applyBorder="1"/>
    <xf numFmtId="164" fontId="0" fillId="7" borderId="61" xfId="1" applyFont="1" applyFill="1" applyBorder="1"/>
    <xf numFmtId="164" fontId="0" fillId="7" borderId="12" xfId="1" applyFont="1" applyFill="1" applyBorder="1"/>
    <xf numFmtId="164" fontId="0" fillId="7" borderId="50" xfId="1" applyFont="1" applyFill="1" applyBorder="1"/>
    <xf numFmtId="164" fontId="0" fillId="7" borderId="48" xfId="1" applyFont="1" applyFill="1" applyBorder="1"/>
    <xf numFmtId="164" fontId="0" fillId="7" borderId="13" xfId="1" applyFont="1" applyFill="1" applyBorder="1"/>
    <xf numFmtId="164" fontId="0" fillId="7" borderId="49" xfId="1" applyFont="1" applyFill="1" applyBorder="1"/>
    <xf numFmtId="0" fontId="0" fillId="7" borderId="0" xfId="0" applyFill="1" applyBorder="1"/>
    <xf numFmtId="0" fontId="0" fillId="7" borderId="0" xfId="0" applyFill="1"/>
    <xf numFmtId="0" fontId="0" fillId="7" borderId="12" xfId="1" applyNumberFormat="1" applyFont="1" applyFill="1" applyBorder="1"/>
    <xf numFmtId="0" fontId="0" fillId="0" borderId="12" xfId="1" applyNumberFormat="1" applyFont="1" applyBorder="1"/>
    <xf numFmtId="164" fontId="0" fillId="0" borderId="64" xfId="1" applyFont="1" applyBorder="1"/>
    <xf numFmtId="164" fontId="23" fillId="7" borderId="11" xfId="1" applyFont="1" applyFill="1" applyBorder="1"/>
    <xf numFmtId="0" fontId="24" fillId="7" borderId="65" xfId="0" applyFont="1" applyFill="1" applyBorder="1" applyAlignment="1">
      <alignment vertical="center"/>
    </xf>
    <xf numFmtId="0" fontId="24" fillId="7" borderId="0" xfId="0" applyFont="1" applyFill="1" applyBorder="1" applyAlignment="1">
      <alignment vertical="center"/>
    </xf>
    <xf numFmtId="0" fontId="24" fillId="7" borderId="9" xfId="0" applyFont="1" applyFill="1" applyBorder="1" applyAlignment="1">
      <alignment vertical="center"/>
    </xf>
    <xf numFmtId="0" fontId="24" fillId="7" borderId="58" xfId="0" applyFont="1" applyFill="1" applyBorder="1" applyAlignment="1">
      <alignment vertical="center"/>
    </xf>
    <xf numFmtId="0" fontId="24" fillId="7" borderId="9" xfId="0" applyFont="1" applyFill="1" applyBorder="1" applyAlignment="1">
      <alignment horizontal="left" vertical="center"/>
    </xf>
    <xf numFmtId="164" fontId="12" fillId="0" borderId="0" xfId="1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2" borderId="31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9" fontId="12" fillId="0" borderId="0" xfId="0" applyNumberFormat="1" applyFont="1"/>
    <xf numFmtId="3" fontId="12" fillId="7" borderId="12" xfId="3" applyNumberFormat="1" applyFont="1" applyFill="1" applyBorder="1" applyAlignment="1" applyProtection="1">
      <alignment horizontal="center"/>
    </xf>
    <xf numFmtId="164" fontId="12" fillId="7" borderId="12" xfId="1" applyFont="1" applyFill="1" applyBorder="1" applyAlignment="1" applyProtection="1">
      <alignment horizontal="center"/>
    </xf>
    <xf numFmtId="43" fontId="12" fillId="0" borderId="0" xfId="0" applyNumberFormat="1" applyFont="1"/>
    <xf numFmtId="3" fontId="12" fillId="7" borderId="18" xfId="3" applyNumberFormat="1" applyFont="1" applyFill="1" applyBorder="1" applyAlignment="1" applyProtection="1">
      <alignment horizontal="center"/>
    </xf>
    <xf numFmtId="164" fontId="12" fillId="7" borderId="18" xfId="1" applyFont="1" applyFill="1" applyBorder="1" applyAlignment="1" applyProtection="1">
      <alignment horizontal="center"/>
    </xf>
    <xf numFmtId="0" fontId="12" fillId="0" borderId="0" xfId="0" applyFont="1" applyBorder="1"/>
    <xf numFmtId="3" fontId="11" fillId="0" borderId="12" xfId="2" applyNumberFormat="1" applyFont="1" applyFill="1" applyBorder="1" applyAlignment="1">
      <alignment horizontal="center" vertical="center"/>
    </xf>
    <xf numFmtId="0" fontId="13" fillId="0" borderId="0" xfId="0" applyFont="1"/>
    <xf numFmtId="3" fontId="12" fillId="7" borderId="21" xfId="0" applyNumberFormat="1" applyFont="1" applyFill="1" applyBorder="1" applyAlignment="1">
      <alignment horizontal="center"/>
    </xf>
    <xf numFmtId="164" fontId="12" fillId="7" borderId="21" xfId="1" applyFont="1" applyFill="1" applyBorder="1" applyAlignment="1" applyProtection="1">
      <alignment horizontal="center"/>
    </xf>
    <xf numFmtId="3" fontId="11" fillId="0" borderId="18" xfId="2" applyNumberFormat="1" applyFont="1" applyFill="1" applyBorder="1" applyAlignment="1">
      <alignment horizontal="center" vertical="center"/>
    </xf>
    <xf numFmtId="164" fontId="12" fillId="7" borderId="31" xfId="1" applyFont="1" applyFill="1" applyBorder="1" applyAlignment="1" applyProtection="1">
      <alignment horizontal="center"/>
    </xf>
    <xf numFmtId="0" fontId="13" fillId="2" borderId="12" xfId="0" applyFont="1" applyFill="1" applyBorder="1" applyAlignment="1">
      <alignment horizontal="center" vertical="center" wrapText="1"/>
    </xf>
    <xf numFmtId="0" fontId="0" fillId="7" borderId="0" xfId="0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7" borderId="58" xfId="0" applyFont="1" applyFill="1" applyBorder="1" applyAlignment="1">
      <alignment vertical="center"/>
    </xf>
    <xf numFmtId="0" fontId="4" fillId="0" borderId="0" xfId="0" applyFont="1"/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164" fontId="13" fillId="0" borderId="6" xfId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30" fillId="0" borderId="69" xfId="0" applyFont="1" applyBorder="1" applyAlignment="1"/>
    <xf numFmtId="0" fontId="12" fillId="0" borderId="18" xfId="0" applyFont="1" applyBorder="1" applyAlignment="1">
      <alignment horizontal="left"/>
    </xf>
    <xf numFmtId="164" fontId="11" fillId="0" borderId="18" xfId="1" applyFont="1" applyFill="1" applyBorder="1" applyAlignment="1">
      <alignment horizontal="center" vertical="center"/>
    </xf>
    <xf numFmtId="0" fontId="30" fillId="0" borderId="20" xfId="0" applyFont="1" applyBorder="1" applyAlignment="1"/>
    <xf numFmtId="3" fontId="11" fillId="0" borderId="12" xfId="2" applyNumberFormat="1" applyFont="1" applyFill="1" applyBorder="1" applyAlignment="1">
      <alignment horizontal="left" vertical="center"/>
    </xf>
    <xf numFmtId="164" fontId="11" fillId="0" borderId="12" xfId="1" applyFont="1" applyFill="1" applyBorder="1" applyAlignment="1" applyProtection="1">
      <alignment horizontal="center" vertical="center"/>
    </xf>
    <xf numFmtId="0" fontId="11" fillId="0" borderId="12" xfId="2" applyFont="1" applyFill="1" applyBorder="1" applyAlignment="1">
      <alignment horizontal="center"/>
    </xf>
    <xf numFmtId="0" fontId="12" fillId="0" borderId="12" xfId="0" applyFont="1" applyBorder="1" applyAlignment="1">
      <alignment horizontal="left"/>
    </xf>
    <xf numFmtId="0" fontId="12" fillId="0" borderId="31" xfId="0" applyFont="1" applyBorder="1" applyAlignment="1">
      <alignment horizontal="left"/>
    </xf>
    <xf numFmtId="164" fontId="11" fillId="0" borderId="31" xfId="1" applyFont="1" applyFill="1" applyBorder="1" applyAlignment="1" applyProtection="1">
      <alignment horizontal="center" vertical="center"/>
    </xf>
    <xf numFmtId="0" fontId="11" fillId="0" borderId="31" xfId="2" applyFont="1" applyFill="1" applyBorder="1" applyAlignment="1">
      <alignment horizontal="center"/>
    </xf>
    <xf numFmtId="0" fontId="12" fillId="0" borderId="57" xfId="0" applyFont="1" applyBorder="1"/>
    <xf numFmtId="0" fontId="13" fillId="0" borderId="21" xfId="0" applyFont="1" applyBorder="1"/>
    <xf numFmtId="3" fontId="11" fillId="0" borderId="21" xfId="2" applyNumberFormat="1" applyFont="1" applyFill="1" applyBorder="1" applyAlignment="1">
      <alignment horizontal="left" vertical="center"/>
    </xf>
    <xf numFmtId="3" fontId="11" fillId="0" borderId="21" xfId="2" applyNumberFormat="1" applyFont="1" applyFill="1" applyBorder="1" applyAlignment="1">
      <alignment horizontal="center" vertical="center"/>
    </xf>
    <xf numFmtId="164" fontId="11" fillId="0" borderId="21" xfId="1" applyFont="1" applyFill="1" applyBorder="1" applyAlignment="1">
      <alignment horizontal="center" vertical="center"/>
    </xf>
    <xf numFmtId="3" fontId="13" fillId="4" borderId="12" xfId="0" applyNumberFormat="1" applyFont="1" applyFill="1" applyBorder="1" applyAlignment="1">
      <alignment horizontal="center"/>
    </xf>
    <xf numFmtId="164" fontId="13" fillId="4" borderId="12" xfId="1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30" fillId="0" borderId="65" xfId="0" applyFont="1" applyBorder="1" applyAlignment="1"/>
    <xf numFmtId="0" fontId="13" fillId="0" borderId="21" xfId="0" applyFont="1" applyBorder="1" applyAlignment="1"/>
    <xf numFmtId="0" fontId="11" fillId="0" borderId="18" xfId="0" applyFont="1" applyBorder="1" applyAlignment="1">
      <alignment horizontal="left"/>
    </xf>
    <xf numFmtId="0" fontId="31" fillId="0" borderId="18" xfId="0" applyFont="1" applyBorder="1" applyAlignment="1">
      <alignment horizontal="center"/>
    </xf>
    <xf numFmtId="0" fontId="12" fillId="0" borderId="57" xfId="0" applyFont="1" applyBorder="1" applyAlignment="1"/>
    <xf numFmtId="0" fontId="11" fillId="0" borderId="12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3" fontId="12" fillId="7" borderId="31" xfId="3" applyNumberFormat="1" applyFont="1" applyFill="1" applyBorder="1" applyAlignment="1" applyProtection="1">
      <alignment horizontal="center"/>
    </xf>
    <xf numFmtId="0" fontId="13" fillId="4" borderId="12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13" fillId="0" borderId="73" xfId="0" applyFont="1" applyBorder="1" applyAlignment="1">
      <alignment horizontal="center" vertical="top"/>
    </xf>
    <xf numFmtId="0" fontId="13" fillId="0" borderId="74" xfId="0" applyFont="1" applyBorder="1" applyAlignment="1">
      <alignment vertical="top"/>
    </xf>
    <xf numFmtId="0" fontId="13" fillId="0" borderId="57" xfId="0" applyFont="1" applyBorder="1" applyAlignment="1"/>
    <xf numFmtId="3" fontId="11" fillId="0" borderId="18" xfId="2" applyNumberFormat="1" applyFont="1" applyFill="1" applyBorder="1" applyAlignment="1">
      <alignment horizontal="left" vertical="center"/>
    </xf>
    <xf numFmtId="164" fontId="11" fillId="0" borderId="18" xfId="1" applyFont="1" applyFill="1" applyBorder="1" applyAlignment="1" applyProtection="1">
      <alignment horizontal="center" vertical="center"/>
    </xf>
    <xf numFmtId="164" fontId="11" fillId="0" borderId="12" xfId="1" applyFont="1" applyFill="1" applyBorder="1" applyAlignment="1">
      <alignment horizontal="center" vertical="center"/>
    </xf>
    <xf numFmtId="3" fontId="11" fillId="0" borderId="31" xfId="2" applyNumberFormat="1" applyFont="1" applyFill="1" applyBorder="1" applyAlignment="1">
      <alignment horizontal="left" vertical="center"/>
    </xf>
    <xf numFmtId="3" fontId="11" fillId="0" borderId="31" xfId="2" applyNumberFormat="1" applyFont="1" applyFill="1" applyBorder="1" applyAlignment="1">
      <alignment horizontal="center" vertical="center"/>
    </xf>
    <xf numFmtId="164" fontId="11" fillId="0" borderId="31" xfId="1" applyFont="1" applyFill="1" applyBorder="1" applyAlignment="1">
      <alignment horizontal="center" vertical="center"/>
    </xf>
    <xf numFmtId="166" fontId="11" fillId="0" borderId="18" xfId="2" applyNumberFormat="1" applyFont="1" applyFill="1" applyBorder="1" applyAlignment="1">
      <alignment horizontal="center" vertical="center"/>
    </xf>
    <xf numFmtId="0" fontId="30" fillId="0" borderId="57" xfId="0" applyFont="1" applyBorder="1"/>
    <xf numFmtId="0" fontId="11" fillId="0" borderId="21" xfId="0" applyFont="1" applyBorder="1" applyAlignment="1">
      <alignment horizontal="left"/>
    </xf>
    <xf numFmtId="164" fontId="12" fillId="7" borderId="21" xfId="1" applyFont="1" applyFill="1" applyBorder="1" applyAlignment="1">
      <alignment horizontal="center"/>
    </xf>
    <xf numFmtId="1" fontId="11" fillId="0" borderId="18" xfId="3" applyNumberFormat="1" applyFont="1" applyFill="1" applyBorder="1" applyAlignment="1" applyProtection="1">
      <alignment horizontal="left"/>
    </xf>
    <xf numFmtId="1" fontId="11" fillId="0" borderId="31" xfId="3" applyNumberFormat="1" applyFont="1" applyFill="1" applyBorder="1" applyAlignment="1" applyProtection="1">
      <alignment horizontal="left"/>
    </xf>
    <xf numFmtId="164" fontId="13" fillId="6" borderId="12" xfId="1" applyFont="1" applyFill="1" applyBorder="1" applyAlignment="1">
      <alignment horizontal="center"/>
    </xf>
    <xf numFmtId="0" fontId="30" fillId="0" borderId="57" xfId="0" applyFont="1" applyBorder="1" applyAlignment="1"/>
    <xf numFmtId="0" fontId="11" fillId="7" borderId="12" xfId="0" applyFont="1" applyFill="1" applyBorder="1" applyAlignment="1">
      <alignment horizontal="left"/>
    </xf>
    <xf numFmtId="3" fontId="11" fillId="0" borderId="12" xfId="0" applyNumberFormat="1" applyFont="1" applyBorder="1" applyAlignment="1">
      <alignment horizontal="left"/>
    </xf>
    <xf numFmtId="164" fontId="12" fillId="0" borderId="12" xfId="1" applyFont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164" fontId="12" fillId="0" borderId="18" xfId="1" applyFont="1" applyBorder="1" applyAlignment="1">
      <alignment horizontal="center"/>
    </xf>
    <xf numFmtId="164" fontId="12" fillId="0" borderId="31" xfId="1" applyFont="1" applyBorder="1" applyAlignment="1">
      <alignment horizontal="center"/>
    </xf>
    <xf numFmtId="0" fontId="12" fillId="0" borderId="21" xfId="0" applyFont="1" applyBorder="1" applyAlignment="1">
      <alignment horizontal="left"/>
    </xf>
    <xf numFmtId="164" fontId="12" fillId="0" borderId="21" xfId="1" applyFont="1" applyBorder="1" applyAlignment="1">
      <alignment horizontal="center"/>
    </xf>
    <xf numFmtId="164" fontId="12" fillId="0" borderId="12" xfId="1" applyFont="1" applyBorder="1" applyAlignment="1"/>
    <xf numFmtId="0" fontId="12" fillId="0" borderId="12" xfId="1" applyNumberFormat="1" applyFont="1" applyBorder="1" applyAlignment="1">
      <alignment horizontal="center"/>
    </xf>
    <xf numFmtId="164" fontId="12" fillId="0" borderId="31" xfId="1" applyFont="1" applyBorder="1" applyAlignment="1"/>
    <xf numFmtId="0" fontId="12" fillId="0" borderId="31" xfId="1" applyNumberFormat="1" applyFont="1" applyBorder="1" applyAlignment="1">
      <alignment horizontal="center"/>
    </xf>
    <xf numFmtId="164" fontId="12" fillId="0" borderId="18" xfId="1" applyFont="1" applyBorder="1" applyAlignment="1"/>
    <xf numFmtId="164" fontId="13" fillId="4" borderId="6" xfId="1" applyFont="1" applyFill="1" applyBorder="1" applyAlignment="1">
      <alignment horizontal="center"/>
    </xf>
    <xf numFmtId="0" fontId="30" fillId="4" borderId="10" xfId="0" applyFont="1" applyFill="1" applyBorder="1" applyAlignment="1"/>
    <xf numFmtId="0" fontId="32" fillId="0" borderId="0" xfId="0" applyFont="1" applyBorder="1" applyAlignment="1"/>
    <xf numFmtId="0" fontId="13" fillId="0" borderId="21" xfId="0" applyFont="1" applyBorder="1" applyAlignment="1">
      <alignment horizontal="center"/>
    </xf>
    <xf numFmtId="0" fontId="13" fillId="0" borderId="20" xfId="0" applyFont="1" applyBorder="1" applyAlignment="1"/>
    <xf numFmtId="0" fontId="13" fillId="4" borderId="44" xfId="0" applyFont="1" applyFill="1" applyBorder="1" applyAlignment="1">
      <alignment horizontal="center"/>
    </xf>
    <xf numFmtId="164" fontId="13" fillId="4" borderId="18" xfId="1" applyFont="1" applyFill="1" applyBorder="1" applyAlignment="1">
      <alignment horizontal="center"/>
    </xf>
    <xf numFmtId="0" fontId="12" fillId="4" borderId="18" xfId="0" applyFont="1" applyFill="1" applyBorder="1" applyAlignment="1">
      <alignment horizontal="center"/>
    </xf>
    <xf numFmtId="0" fontId="13" fillId="6" borderId="59" xfId="0" applyFont="1" applyFill="1" applyBorder="1" applyAlignment="1">
      <alignment horizontal="center" vertical="top"/>
    </xf>
    <xf numFmtId="0" fontId="2" fillId="2" borderId="59" xfId="0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1" applyFont="1" applyAlignment="1">
      <alignment horizontal="center"/>
    </xf>
    <xf numFmtId="0" fontId="4" fillId="0" borderId="0" xfId="0" applyFont="1" applyFill="1"/>
    <xf numFmtId="0" fontId="4" fillId="0" borderId="0" xfId="0" applyFont="1" applyBorder="1"/>
    <xf numFmtId="0" fontId="2" fillId="0" borderId="0" xfId="0" applyFont="1"/>
    <xf numFmtId="0" fontId="33" fillId="0" borderId="14" xfId="0" applyFont="1" applyBorder="1" applyAlignment="1">
      <alignment horizontal="left"/>
    </xf>
    <xf numFmtId="164" fontId="33" fillId="0" borderId="16" xfId="1" applyFont="1" applyBorder="1" applyAlignment="1">
      <alignment horizontal="center"/>
    </xf>
    <xf numFmtId="164" fontId="2" fillId="0" borderId="0" xfId="1" applyFont="1" applyFill="1" applyAlignment="1">
      <alignment horizontal="center"/>
    </xf>
    <xf numFmtId="0" fontId="33" fillId="0" borderId="65" xfId="0" applyFont="1" applyBorder="1" applyAlignment="1">
      <alignment horizontal="left"/>
    </xf>
    <xf numFmtId="164" fontId="33" fillId="0" borderId="58" xfId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43" fontId="33" fillId="0" borderId="58" xfId="0" applyNumberFormat="1" applyFont="1" applyFill="1" applyBorder="1" applyAlignment="1">
      <alignment horizontal="center"/>
    </xf>
    <xf numFmtId="43" fontId="4" fillId="0" borderId="0" xfId="0" applyNumberFormat="1" applyFont="1" applyAlignment="1">
      <alignment horizontal="center"/>
    </xf>
    <xf numFmtId="0" fontId="33" fillId="0" borderId="43" xfId="0" applyFont="1" applyBorder="1" applyAlignment="1">
      <alignment horizontal="left"/>
    </xf>
    <xf numFmtId="164" fontId="33" fillId="0" borderId="45" xfId="0" applyNumberFormat="1" applyFont="1" applyFill="1" applyBorder="1" applyAlignment="1">
      <alignment horizontal="center"/>
    </xf>
    <xf numFmtId="0" fontId="4" fillId="0" borderId="22" xfId="0" applyFont="1" applyBorder="1"/>
    <xf numFmtId="0" fontId="11" fillId="0" borderId="36" xfId="0" applyFont="1" applyBorder="1" applyAlignment="1">
      <alignment horizontal="left"/>
    </xf>
    <xf numFmtId="3" fontId="12" fillId="7" borderId="36" xfId="0" applyNumberFormat="1" applyFont="1" applyFill="1" applyBorder="1" applyAlignment="1">
      <alignment horizontal="center"/>
    </xf>
    <xf numFmtId="164" fontId="12" fillId="7" borderId="36" xfId="1" applyFont="1" applyFill="1" applyBorder="1" applyAlignment="1">
      <alignment horizontal="center"/>
    </xf>
    <xf numFmtId="0" fontId="12" fillId="0" borderId="57" xfId="0" applyFont="1" applyBorder="1" applyAlignment="1">
      <alignment horizontal="center"/>
    </xf>
    <xf numFmtId="3" fontId="11" fillId="0" borderId="40" xfId="0" applyNumberFormat="1" applyFont="1" applyBorder="1" applyAlignment="1">
      <alignment horizontal="left"/>
    </xf>
    <xf numFmtId="3" fontId="13" fillId="8" borderId="6" xfId="0" applyNumberFormat="1" applyFont="1" applyFill="1" applyBorder="1" applyAlignment="1">
      <alignment horizontal="center"/>
    </xf>
    <xf numFmtId="164" fontId="13" fillId="8" borderId="6" xfId="1" applyFont="1" applyFill="1" applyBorder="1" applyAlignment="1">
      <alignment horizontal="center"/>
    </xf>
    <xf numFmtId="0" fontId="13" fillId="8" borderId="7" xfId="0" applyFont="1" applyFill="1" applyBorder="1" applyAlignment="1">
      <alignment horizontal="center"/>
    </xf>
    <xf numFmtId="0" fontId="13" fillId="0" borderId="11" xfId="0" applyFont="1" applyBorder="1" applyAlignment="1"/>
    <xf numFmtId="0" fontId="13" fillId="8" borderId="10" xfId="0" applyFont="1" applyFill="1" applyBorder="1" applyAlignment="1">
      <alignment horizontal="center"/>
    </xf>
    <xf numFmtId="164" fontId="13" fillId="5" borderId="6" xfId="1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164" fontId="13" fillId="6" borderId="18" xfId="1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2" fillId="0" borderId="36" xfId="0" applyFont="1" applyBorder="1" applyAlignment="1">
      <alignment horizontal="left"/>
    </xf>
    <xf numFmtId="0" fontId="12" fillId="0" borderId="13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164" fontId="13" fillId="5" borderId="6" xfId="0" applyNumberFormat="1" applyFont="1" applyFill="1" applyBorder="1" applyAlignment="1">
      <alignment horizontal="center"/>
    </xf>
    <xf numFmtId="0" fontId="12" fillId="0" borderId="3" xfId="1" applyNumberFormat="1" applyFont="1" applyBorder="1" applyAlignment="1">
      <alignment horizontal="center"/>
    </xf>
    <xf numFmtId="0" fontId="12" fillId="0" borderId="13" xfId="1" applyNumberFormat="1" applyFont="1" applyBorder="1" applyAlignment="1">
      <alignment horizontal="center"/>
    </xf>
    <xf numFmtId="0" fontId="12" fillId="0" borderId="33" xfId="1" applyNumberFormat="1" applyFont="1" applyBorder="1" applyAlignment="1">
      <alignment horizontal="center"/>
    </xf>
    <xf numFmtId="164" fontId="12" fillId="0" borderId="36" xfId="1" applyFont="1" applyBorder="1" applyAlignment="1"/>
    <xf numFmtId="0" fontId="12" fillId="0" borderId="37" xfId="1" applyNumberFormat="1" applyFont="1" applyBorder="1" applyAlignment="1">
      <alignment horizontal="center"/>
    </xf>
    <xf numFmtId="0" fontId="30" fillId="5" borderId="10" xfId="0" applyFont="1" applyFill="1" applyBorder="1" applyAlignment="1"/>
    <xf numFmtId="0" fontId="30" fillId="0" borderId="43" xfId="0" applyFont="1" applyBorder="1" applyAlignment="1"/>
    <xf numFmtId="0" fontId="34" fillId="0" borderId="0" xfId="0" applyFont="1"/>
    <xf numFmtId="0" fontId="13" fillId="7" borderId="69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left"/>
    </xf>
    <xf numFmtId="0" fontId="12" fillId="7" borderId="2" xfId="0" applyFont="1" applyFill="1" applyBorder="1" applyAlignment="1">
      <alignment horizontal="center"/>
    </xf>
    <xf numFmtId="164" fontId="12" fillId="7" borderId="2" xfId="0" applyNumberFormat="1" applyFont="1" applyFill="1" applyBorder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8" fillId="2" borderId="31" xfId="0" applyFont="1" applyFill="1" applyBorder="1" applyAlignment="1">
      <alignment horizontal="center" vertical="center" wrapText="1"/>
    </xf>
    <xf numFmtId="0" fontId="39" fillId="2" borderId="33" xfId="0" applyFont="1" applyFill="1" applyBorder="1" applyAlignment="1">
      <alignment horizontal="center"/>
    </xf>
    <xf numFmtId="3" fontId="17" fillId="3" borderId="9" xfId="0" applyNumberFormat="1" applyFont="1" applyFill="1" applyBorder="1" applyAlignment="1">
      <alignment vertical="center"/>
    </xf>
    <xf numFmtId="3" fontId="17" fillId="3" borderId="4" xfId="0" applyNumberFormat="1" applyFont="1" applyFill="1" applyBorder="1" applyAlignment="1">
      <alignment vertical="center"/>
    </xf>
    <xf numFmtId="3" fontId="17" fillId="3" borderId="10" xfId="0" applyNumberFormat="1" applyFont="1" applyFill="1" applyBorder="1" applyAlignment="1">
      <alignment vertical="center"/>
    </xf>
    <xf numFmtId="3" fontId="17" fillId="6" borderId="9" xfId="0" applyNumberFormat="1" applyFont="1" applyFill="1" applyBorder="1" applyAlignment="1"/>
    <xf numFmtId="3" fontId="17" fillId="6" borderId="4" xfId="0" applyNumberFormat="1" applyFont="1" applyFill="1" applyBorder="1" applyAlignment="1"/>
    <xf numFmtId="3" fontId="17" fillId="6" borderId="10" xfId="0" applyNumberFormat="1" applyFont="1" applyFill="1" applyBorder="1" applyAlignment="1"/>
    <xf numFmtId="0" fontId="40" fillId="0" borderId="11" xfId="0" applyFont="1" applyBorder="1" applyAlignment="1"/>
    <xf numFmtId="0" fontId="40" fillId="0" borderId="12" xfId="0" applyFont="1" applyBorder="1" applyAlignment="1">
      <alignment horizontal="center"/>
    </xf>
    <xf numFmtId="164" fontId="40" fillId="0" borderId="13" xfId="1" applyFont="1" applyBorder="1" applyAlignment="1"/>
    <xf numFmtId="0" fontId="37" fillId="0" borderId="46" xfId="0" applyFont="1" applyBorder="1" applyAlignment="1">
      <alignment horizontal="center"/>
    </xf>
    <xf numFmtId="3" fontId="41" fillId="0" borderId="12" xfId="2" applyNumberFormat="1" applyFont="1" applyFill="1" applyBorder="1" applyAlignment="1">
      <alignment horizontal="center" vertical="center"/>
    </xf>
    <xf numFmtId="164" fontId="37" fillId="0" borderId="13" xfId="1" applyFont="1" applyBorder="1" applyAlignment="1">
      <alignment horizontal="center"/>
    </xf>
    <xf numFmtId="0" fontId="40" fillId="0" borderId="17" xfId="0" applyFont="1" applyBorder="1" applyAlignment="1">
      <alignment horizontal="left"/>
    </xf>
    <xf numFmtId="0" fontId="40" fillId="0" borderId="18" xfId="0" applyFont="1" applyBorder="1" applyAlignment="1">
      <alignment horizontal="center"/>
    </xf>
    <xf numFmtId="164" fontId="40" fillId="0" borderId="19" xfId="1" applyFont="1" applyBorder="1" applyAlignment="1">
      <alignment horizontal="center"/>
    </xf>
    <xf numFmtId="0" fontId="37" fillId="0" borderId="18" xfId="0" applyFont="1" applyBorder="1" applyAlignment="1"/>
    <xf numFmtId="164" fontId="37" fillId="0" borderId="19" xfId="1" applyFont="1" applyBorder="1" applyAlignment="1"/>
    <xf numFmtId="0" fontId="40" fillId="0" borderId="11" xfId="0" applyFont="1" applyBorder="1" applyAlignment="1">
      <alignment horizontal="left" vertical="center"/>
    </xf>
    <xf numFmtId="0" fontId="40" fillId="0" borderId="12" xfId="0" applyFont="1" applyBorder="1" applyAlignment="1">
      <alignment horizontal="center" vertical="center" wrapText="1"/>
    </xf>
    <xf numFmtId="164" fontId="40" fillId="0" borderId="13" xfId="1" applyFont="1" applyBorder="1" applyAlignment="1">
      <alignment horizontal="center"/>
    </xf>
    <xf numFmtId="0" fontId="37" fillId="0" borderId="12" xfId="0" applyFont="1" applyBorder="1" applyAlignment="1"/>
    <xf numFmtId="164" fontId="37" fillId="0" borderId="13" xfId="1" applyFont="1" applyBorder="1" applyAlignment="1"/>
    <xf numFmtId="0" fontId="24" fillId="3" borderId="14" xfId="0" applyFont="1" applyFill="1" applyBorder="1"/>
    <xf numFmtId="0" fontId="24" fillId="3" borderId="15" xfId="0" applyFont="1" applyFill="1" applyBorder="1"/>
    <xf numFmtId="0" fontId="24" fillId="3" borderId="15" xfId="0" applyFont="1" applyFill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37" fillId="0" borderId="11" xfId="0" applyFont="1" applyBorder="1"/>
    <xf numFmtId="0" fontId="37" fillId="0" borderId="12" xfId="0" applyFont="1" applyBorder="1" applyAlignment="1">
      <alignment horizontal="center"/>
    </xf>
    <xf numFmtId="167" fontId="37" fillId="0" borderId="12" xfId="1" applyNumberFormat="1" applyFont="1" applyBorder="1" applyAlignment="1">
      <alignment horizontal="center"/>
    </xf>
    <xf numFmtId="167" fontId="37" fillId="0" borderId="12" xfId="1" applyNumberFormat="1" applyFont="1" applyBorder="1"/>
    <xf numFmtId="0" fontId="40" fillId="0" borderId="32" xfId="0" applyFont="1" applyBorder="1" applyAlignment="1"/>
    <xf numFmtId="0" fontId="40" fillId="0" borderId="31" xfId="0" applyFont="1" applyBorder="1" applyAlignment="1">
      <alignment horizontal="center"/>
    </xf>
    <xf numFmtId="164" fontId="40" fillId="0" borderId="33" xfId="1" applyFont="1" applyBorder="1" applyAlignment="1"/>
    <xf numFmtId="0" fontId="37" fillId="0" borderId="22" xfId="0" applyFont="1" applyBorder="1" applyAlignment="1">
      <alignment horizontal="center"/>
    </xf>
    <xf numFmtId="3" fontId="41" fillId="0" borderId="31" xfId="2" applyNumberFormat="1" applyFont="1" applyFill="1" applyBorder="1" applyAlignment="1">
      <alignment horizontal="center" vertical="center"/>
    </xf>
    <xf numFmtId="164" fontId="37" fillId="0" borderId="33" xfId="1" applyFont="1" applyBorder="1" applyAlignment="1">
      <alignment horizontal="center"/>
    </xf>
    <xf numFmtId="43" fontId="45" fillId="8" borderId="10" xfId="0" applyNumberFormat="1" applyFont="1" applyFill="1" applyBorder="1" applyAlignment="1">
      <alignment vertical="center"/>
    </xf>
    <xf numFmtId="164" fontId="42" fillId="11" borderId="72" xfId="1" applyFont="1" applyFill="1" applyBorder="1" applyAlignment="1">
      <alignment vertical="center"/>
    </xf>
    <xf numFmtId="43" fontId="43" fillId="5" borderId="10" xfId="0" applyNumberFormat="1" applyFont="1" applyFill="1" applyBorder="1" applyAlignment="1">
      <alignment vertical="center"/>
    </xf>
    <xf numFmtId="164" fontId="42" fillId="11" borderId="53" xfId="1" applyFont="1" applyFill="1" applyBorder="1" applyAlignment="1">
      <alignment vertical="center"/>
    </xf>
    <xf numFmtId="43" fontId="44" fillId="11" borderId="49" xfId="0" applyNumberFormat="1" applyFont="1" applyFill="1" applyBorder="1" applyAlignment="1">
      <alignment vertical="center"/>
    </xf>
    <xf numFmtId="0" fontId="46" fillId="2" borderId="12" xfId="0" applyFont="1" applyFill="1" applyBorder="1" applyAlignment="1">
      <alignment horizontal="center"/>
    </xf>
    <xf numFmtId="0" fontId="46" fillId="2" borderId="12" xfId="0" applyNumberFormat="1" applyFont="1" applyFill="1" applyBorder="1" applyAlignment="1">
      <alignment horizontal="center"/>
    </xf>
    <xf numFmtId="164" fontId="31" fillId="0" borderId="18" xfId="1" applyFont="1" applyBorder="1"/>
    <xf numFmtId="164" fontId="31" fillId="0" borderId="12" xfId="1" applyFont="1" applyBorder="1"/>
    <xf numFmtId="164" fontId="31" fillId="0" borderId="31" xfId="1" applyFont="1" applyBorder="1"/>
    <xf numFmtId="164" fontId="31" fillId="0" borderId="21" xfId="1" applyFont="1" applyBorder="1"/>
    <xf numFmtId="164" fontId="26" fillId="11" borderId="6" xfId="1" applyFont="1" applyFill="1" applyBorder="1" applyAlignment="1">
      <alignment horizontal="center" vertical="center"/>
    </xf>
    <xf numFmtId="164" fontId="46" fillId="11" borderId="6" xfId="1" applyFont="1" applyFill="1" applyBorder="1"/>
    <xf numFmtId="164" fontId="46" fillId="11" borderId="6" xfId="1" applyFont="1" applyFill="1" applyBorder="1" applyAlignment="1">
      <alignment horizontal="center"/>
    </xf>
    <xf numFmtId="164" fontId="46" fillId="11" borderId="7" xfId="1" applyFont="1" applyFill="1" applyBorder="1" applyAlignment="1">
      <alignment horizontal="center"/>
    </xf>
    <xf numFmtId="3" fontId="26" fillId="11" borderId="35" xfId="2" applyNumberFormat="1" applyFont="1" applyFill="1" applyBorder="1" applyAlignment="1">
      <alignment horizontal="left" vertical="center"/>
    </xf>
    <xf numFmtId="3" fontId="26" fillId="11" borderId="36" xfId="2" applyNumberFormat="1" applyFont="1" applyFill="1" applyBorder="1" applyAlignment="1">
      <alignment horizontal="center" vertical="center"/>
    </xf>
    <xf numFmtId="164" fontId="26" fillId="11" borderId="36" xfId="1" applyFont="1" applyFill="1" applyBorder="1" applyAlignment="1">
      <alignment horizontal="center" vertical="center"/>
    </xf>
    <xf numFmtId="164" fontId="46" fillId="11" borderId="36" xfId="1" applyFont="1" applyFill="1" applyBorder="1"/>
    <xf numFmtId="0" fontId="47" fillId="0" borderId="0" xfId="0" applyFont="1"/>
    <xf numFmtId="0" fontId="11" fillId="0" borderId="32" xfId="0" applyFont="1" applyBorder="1" applyAlignment="1">
      <alignment horizontal="left"/>
    </xf>
    <xf numFmtId="164" fontId="12" fillId="7" borderId="31" xfId="1" applyFont="1" applyFill="1" applyBorder="1" applyAlignment="1" applyProtection="1"/>
    <xf numFmtId="0" fontId="31" fillId="0" borderId="52" xfId="0" applyNumberFormat="1" applyFont="1" applyBorder="1" applyAlignment="1">
      <alignment horizontal="center"/>
    </xf>
    <xf numFmtId="0" fontId="26" fillId="11" borderId="5" xfId="0" applyFont="1" applyFill="1" applyBorder="1" applyAlignment="1">
      <alignment horizontal="left"/>
    </xf>
    <xf numFmtId="164" fontId="13" fillId="11" borderId="6" xfId="1" applyFont="1" applyFill="1" applyBorder="1" applyAlignment="1" applyProtection="1">
      <alignment horizontal="center"/>
    </xf>
    <xf numFmtId="164" fontId="13" fillId="11" borderId="6" xfId="1" applyFont="1" applyFill="1" applyBorder="1" applyAlignment="1" applyProtection="1"/>
    <xf numFmtId="164" fontId="46" fillId="11" borderId="7" xfId="1" applyFont="1" applyFill="1" applyBorder="1"/>
    <xf numFmtId="0" fontId="46" fillId="11" borderId="6" xfId="0" applyNumberFormat="1" applyFont="1" applyFill="1" applyBorder="1" applyAlignment="1">
      <alignment horizontal="center"/>
    </xf>
    <xf numFmtId="164" fontId="46" fillId="11" borderId="10" xfId="1" applyFont="1" applyFill="1" applyBorder="1"/>
    <xf numFmtId="0" fontId="26" fillId="3" borderId="14" xfId="0" applyFont="1" applyFill="1" applyBorder="1" applyAlignment="1"/>
    <xf numFmtId="0" fontId="26" fillId="3" borderId="15" xfId="0" applyFont="1" applyFill="1" applyBorder="1" applyAlignment="1"/>
    <xf numFmtId="0" fontId="26" fillId="3" borderId="16" xfId="0" applyFont="1" applyFill="1" applyBorder="1" applyAlignment="1"/>
    <xf numFmtId="3" fontId="11" fillId="0" borderId="17" xfId="2" applyNumberFormat="1" applyFont="1" applyFill="1" applyBorder="1" applyAlignment="1">
      <alignment horizontal="left" vertical="center"/>
    </xf>
    <xf numFmtId="0" fontId="31" fillId="0" borderId="18" xfId="0" applyFont="1" applyBorder="1"/>
    <xf numFmtId="0" fontId="31" fillId="0" borderId="18" xfId="1" applyNumberFormat="1" applyFont="1" applyFill="1" applyBorder="1" applyAlignment="1">
      <alignment horizontal="center"/>
    </xf>
    <xf numFmtId="43" fontId="31" fillId="0" borderId="18" xfId="0" applyNumberFormat="1" applyFont="1" applyBorder="1"/>
    <xf numFmtId="164" fontId="31" fillId="0" borderId="18" xfId="1" applyFont="1" applyFill="1" applyBorder="1" applyAlignment="1">
      <alignment horizontal="center"/>
    </xf>
    <xf numFmtId="164" fontId="31" fillId="0" borderId="46" xfId="1" applyFont="1" applyBorder="1"/>
    <xf numFmtId="164" fontId="31" fillId="0" borderId="12" xfId="1" applyFont="1" applyFill="1" applyBorder="1" applyAlignment="1">
      <alignment horizontal="center"/>
    </xf>
    <xf numFmtId="0" fontId="31" fillId="0" borderId="31" xfId="1" applyNumberFormat="1" applyFont="1" applyFill="1" applyBorder="1" applyAlignment="1">
      <alignment horizontal="center"/>
    </xf>
    <xf numFmtId="164" fontId="31" fillId="0" borderId="31" xfId="1" applyFont="1" applyFill="1" applyBorder="1" applyAlignment="1">
      <alignment horizontal="center"/>
    </xf>
    <xf numFmtId="0" fontId="46" fillId="11" borderId="36" xfId="1" applyNumberFormat="1" applyFont="1" applyFill="1" applyBorder="1" applyAlignment="1">
      <alignment horizontal="center"/>
    </xf>
    <xf numFmtId="43" fontId="46" fillId="11" borderId="36" xfId="0" applyNumberFormat="1" applyFont="1" applyFill="1" applyBorder="1"/>
    <xf numFmtId="164" fontId="46" fillId="11" borderId="36" xfId="1" applyFont="1" applyFill="1" applyBorder="1" applyAlignment="1">
      <alignment horizontal="center"/>
    </xf>
    <xf numFmtId="164" fontId="46" fillId="11" borderId="37" xfId="1" applyFont="1" applyFill="1" applyBorder="1"/>
    <xf numFmtId="0" fontId="13" fillId="6" borderId="28" xfId="0" applyFont="1" applyFill="1" applyBorder="1" applyAlignment="1"/>
    <xf numFmtId="0" fontId="13" fillId="6" borderId="29" xfId="0" applyFont="1" applyFill="1" applyBorder="1" applyAlignment="1"/>
    <xf numFmtId="0" fontId="13" fillId="6" borderId="30" xfId="0" applyFont="1" applyFill="1" applyBorder="1" applyAlignment="1"/>
    <xf numFmtId="43" fontId="31" fillId="0" borderId="19" xfId="0" applyNumberFormat="1" applyFont="1" applyBorder="1"/>
    <xf numFmtId="164" fontId="31" fillId="0" borderId="21" xfId="1" applyFont="1" applyFill="1" applyBorder="1" applyAlignment="1">
      <alignment horizontal="center"/>
    </xf>
    <xf numFmtId="164" fontId="12" fillId="0" borderId="18" xfId="1" applyFont="1" applyFill="1" applyBorder="1" applyAlignment="1">
      <alignment horizontal="center"/>
    </xf>
    <xf numFmtId="164" fontId="12" fillId="0" borderId="12" xfId="1" applyFont="1" applyFill="1" applyBorder="1" applyAlignment="1">
      <alignment horizontal="center"/>
    </xf>
    <xf numFmtId="0" fontId="31" fillId="0" borderId="12" xfId="0" applyFont="1" applyBorder="1" applyAlignment="1">
      <alignment horizontal="center"/>
    </xf>
    <xf numFmtId="164" fontId="12" fillId="0" borderId="31" xfId="1" applyFont="1" applyFill="1" applyBorder="1" applyAlignment="1">
      <alignment horizontal="center"/>
    </xf>
    <xf numFmtId="43" fontId="46" fillId="11" borderId="6" xfId="0" applyNumberFormat="1" applyFont="1" applyFill="1" applyBorder="1"/>
    <xf numFmtId="43" fontId="46" fillId="11" borderId="7" xfId="0" applyNumberFormat="1" applyFont="1" applyFill="1" applyBorder="1"/>
    <xf numFmtId="0" fontId="13" fillId="11" borderId="5" xfId="0" applyFont="1" applyFill="1" applyBorder="1" applyAlignment="1">
      <alignment vertical="center" wrapText="1"/>
    </xf>
    <xf numFmtId="164" fontId="13" fillId="11" borderId="6" xfId="1" applyFont="1" applyFill="1" applyBorder="1" applyAlignment="1">
      <alignment horizontal="center"/>
    </xf>
    <xf numFmtId="164" fontId="46" fillId="11" borderId="59" xfId="1" applyFont="1" applyFill="1" applyBorder="1" applyAlignment="1"/>
    <xf numFmtId="0" fontId="13" fillId="3" borderId="65" xfId="0" applyFont="1" applyFill="1" applyBorder="1" applyAlignment="1">
      <alignment vertical="center" wrapText="1"/>
    </xf>
    <xf numFmtId="0" fontId="13" fillId="3" borderId="0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46" fillId="11" borderId="6" xfId="1" applyNumberFormat="1" applyFont="1" applyFill="1" applyBorder="1" applyAlignment="1">
      <alignment horizontal="center"/>
    </xf>
    <xf numFmtId="0" fontId="31" fillId="0" borderId="18" xfId="0" applyFont="1" applyFill="1" applyBorder="1" applyAlignment="1">
      <alignment horizontal="center"/>
    </xf>
    <xf numFmtId="164" fontId="31" fillId="0" borderId="18" xfId="1" applyFont="1" applyFill="1" applyBorder="1"/>
    <xf numFmtId="0" fontId="31" fillId="0" borderId="12" xfId="0" applyFont="1" applyFill="1" applyBorder="1" applyAlignment="1">
      <alignment horizontal="center"/>
    </xf>
    <xf numFmtId="164" fontId="31" fillId="0" borderId="12" xfId="1" applyFont="1" applyFill="1" applyBorder="1"/>
    <xf numFmtId="0" fontId="0" fillId="0" borderId="0" xfId="0" applyNumberFormat="1"/>
    <xf numFmtId="0" fontId="0" fillId="0" borderId="0" xfId="0" applyAlignment="1">
      <alignment horizontal="center"/>
    </xf>
    <xf numFmtId="0" fontId="50" fillId="2" borderId="12" xfId="0" applyFont="1" applyFill="1" applyBorder="1" applyAlignment="1">
      <alignment horizontal="center" vertical="center" wrapText="1"/>
    </xf>
    <xf numFmtId="0" fontId="51" fillId="2" borderId="12" xfId="0" applyFont="1" applyFill="1" applyBorder="1" applyAlignment="1">
      <alignment horizontal="center"/>
    </xf>
    <xf numFmtId="0" fontId="49" fillId="3" borderId="12" xfId="0" applyFont="1" applyFill="1" applyBorder="1"/>
    <xf numFmtId="0" fontId="52" fillId="3" borderId="12" xfId="0" applyFont="1" applyFill="1" applyBorder="1"/>
    <xf numFmtId="164" fontId="52" fillId="3" borderId="12" xfId="1" applyFont="1" applyFill="1" applyBorder="1"/>
    <xf numFmtId="0" fontId="49" fillId="4" borderId="12" xfId="0" applyFont="1" applyFill="1" applyBorder="1"/>
    <xf numFmtId="0" fontId="52" fillId="4" borderId="12" xfId="0" applyFont="1" applyFill="1" applyBorder="1"/>
    <xf numFmtId="164" fontId="52" fillId="4" borderId="12" xfId="1" applyFont="1" applyFill="1" applyBorder="1"/>
    <xf numFmtId="0" fontId="52" fillId="0" borderId="12" xfId="0" applyFont="1" applyBorder="1"/>
    <xf numFmtId="0" fontId="52" fillId="0" borderId="12" xfId="0" applyFont="1" applyBorder="1" applyAlignment="1">
      <alignment horizontal="center"/>
    </xf>
    <xf numFmtId="167" fontId="52" fillId="0" borderId="12" xfId="1" applyNumberFormat="1" applyFont="1" applyBorder="1" applyAlignment="1">
      <alignment horizontal="center"/>
    </xf>
    <xf numFmtId="164" fontId="52" fillId="0" borderId="12" xfId="1" applyFont="1" applyBorder="1"/>
    <xf numFmtId="0" fontId="38" fillId="13" borderId="12" xfId="0" applyFont="1" applyFill="1" applyBorder="1" applyAlignment="1">
      <alignment horizontal="center" vertical="center" wrapText="1"/>
    </xf>
    <xf numFmtId="0" fontId="24" fillId="13" borderId="12" xfId="0" applyFont="1" applyFill="1" applyBorder="1" applyAlignment="1">
      <alignment horizontal="center" vertical="center"/>
    </xf>
    <xf numFmtId="164" fontId="24" fillId="13" borderId="12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4" fontId="48" fillId="13" borderId="12" xfId="1" applyFont="1" applyFill="1" applyBorder="1" applyAlignment="1">
      <alignment vertical="center"/>
    </xf>
    <xf numFmtId="164" fontId="53" fillId="14" borderId="12" xfId="0" applyNumberFormat="1" applyFont="1" applyFill="1" applyBorder="1" applyAlignment="1">
      <alignment vertical="center"/>
    </xf>
    <xf numFmtId="1" fontId="41" fillId="0" borderId="2" xfId="3" applyNumberFormat="1" applyFont="1" applyFill="1" applyBorder="1" applyAlignment="1" applyProtection="1"/>
    <xf numFmtId="9" fontId="55" fillId="0" borderId="47" xfId="3" applyNumberFormat="1" applyFont="1" applyFill="1" applyBorder="1" applyAlignment="1" applyProtection="1">
      <alignment horizontal="center"/>
    </xf>
    <xf numFmtId="3" fontId="40" fillId="7" borderId="47" xfId="3" applyNumberFormat="1" applyFont="1" applyFill="1" applyBorder="1" applyAlignment="1" applyProtection="1">
      <alignment horizontal="center"/>
    </xf>
    <xf numFmtId="3" fontId="40" fillId="7" borderId="18" xfId="3" applyNumberFormat="1" applyFont="1" applyFill="1" applyBorder="1" applyAlignment="1" applyProtection="1">
      <alignment horizontal="center"/>
    </xf>
    <xf numFmtId="0" fontId="40" fillId="7" borderId="18" xfId="4" applyNumberFormat="1" applyFont="1" applyFill="1" applyBorder="1" applyAlignment="1" applyProtection="1">
      <alignment horizontal="center"/>
    </xf>
    <xf numFmtId="164" fontId="40" fillId="7" borderId="18" xfId="1" applyFont="1" applyFill="1" applyBorder="1" applyAlignment="1" applyProtection="1">
      <alignment horizontal="center"/>
    </xf>
    <xf numFmtId="43" fontId="40" fillId="0" borderId="18" xfId="0" applyNumberFormat="1" applyFont="1" applyBorder="1"/>
    <xf numFmtId="1" fontId="41" fillId="0" borderId="40" xfId="3" applyNumberFormat="1" applyFont="1" applyFill="1" applyBorder="1" applyAlignment="1" applyProtection="1"/>
    <xf numFmtId="9" fontId="55" fillId="0" borderId="57" xfId="3" applyNumberFormat="1" applyFont="1" applyFill="1" applyBorder="1" applyAlignment="1" applyProtection="1">
      <alignment horizontal="center"/>
    </xf>
    <xf numFmtId="3" fontId="40" fillId="7" borderId="51" xfId="3" applyNumberFormat="1" applyFont="1" applyFill="1" applyBorder="1" applyAlignment="1" applyProtection="1">
      <alignment horizontal="center"/>
    </xf>
    <xf numFmtId="3" fontId="40" fillId="7" borderId="31" xfId="3" applyNumberFormat="1" applyFont="1" applyFill="1" applyBorder="1" applyAlignment="1" applyProtection="1">
      <alignment horizontal="center"/>
    </xf>
    <xf numFmtId="0" fontId="40" fillId="7" borderId="31" xfId="4" applyNumberFormat="1" applyFont="1" applyFill="1" applyBorder="1" applyAlignment="1" applyProtection="1">
      <alignment horizontal="center"/>
    </xf>
    <xf numFmtId="164" fontId="40" fillId="7" borderId="31" xfId="1" applyFont="1" applyFill="1" applyBorder="1" applyAlignment="1" applyProtection="1">
      <alignment horizontal="center"/>
    </xf>
    <xf numFmtId="43" fontId="40" fillId="0" borderId="21" xfId="0" applyNumberFormat="1" applyFont="1" applyBorder="1"/>
    <xf numFmtId="43" fontId="38" fillId="8" borderId="72" xfId="0" applyNumberFormat="1" applyFont="1" applyFill="1" applyBorder="1"/>
    <xf numFmtId="1" fontId="41" fillId="0" borderId="21" xfId="3" applyNumberFormat="1" applyFont="1" applyFill="1" applyBorder="1" applyAlignment="1" applyProtection="1"/>
    <xf numFmtId="1" fontId="41" fillId="0" borderId="31" xfId="3" applyNumberFormat="1" applyFont="1" applyFill="1" applyBorder="1" applyAlignment="1" applyProtection="1"/>
    <xf numFmtId="9" fontId="55" fillId="0" borderId="36" xfId="3" applyNumberFormat="1" applyFont="1" applyFill="1" applyBorder="1" applyAlignment="1" applyProtection="1">
      <alignment horizontal="center"/>
    </xf>
    <xf numFmtId="0" fontId="40" fillId="7" borderId="21" xfId="4" applyNumberFormat="1" applyFont="1" applyFill="1" applyBorder="1" applyAlignment="1" applyProtection="1">
      <alignment horizontal="center"/>
    </xf>
    <xf numFmtId="164" fontId="40" fillId="7" borderId="21" xfId="1" applyFont="1" applyFill="1" applyBorder="1" applyAlignment="1" applyProtection="1">
      <alignment horizontal="center"/>
    </xf>
    <xf numFmtId="43" fontId="43" fillId="5" borderId="31" xfId="0" applyNumberFormat="1" applyFont="1" applyFill="1" applyBorder="1"/>
    <xf numFmtId="1" fontId="41" fillId="0" borderId="52" xfId="3" applyNumberFormat="1" applyFont="1" applyFill="1" applyBorder="1" applyAlignment="1" applyProtection="1"/>
    <xf numFmtId="9" fontId="55" fillId="0" borderId="51" xfId="3" applyNumberFormat="1" applyFont="1" applyFill="1" applyBorder="1" applyAlignment="1" applyProtection="1">
      <alignment horizontal="center"/>
    </xf>
    <xf numFmtId="43" fontId="40" fillId="0" borderId="31" xfId="0" applyNumberFormat="1" applyFont="1" applyBorder="1"/>
    <xf numFmtId="0" fontId="41" fillId="7" borderId="18" xfId="0" applyFont="1" applyFill="1" applyBorder="1" applyAlignment="1">
      <alignment horizontal="left"/>
    </xf>
    <xf numFmtId="9" fontId="55" fillId="0" borderId="47" xfId="0" applyNumberFormat="1" applyFont="1" applyBorder="1" applyAlignment="1">
      <alignment horizontal="center"/>
    </xf>
    <xf numFmtId="43" fontId="40" fillId="0" borderId="12" xfId="0" applyNumberFormat="1" applyFont="1" applyBorder="1"/>
    <xf numFmtId="0" fontId="41" fillId="7" borderId="12" xfId="0" applyFont="1" applyFill="1" applyBorder="1" applyAlignment="1"/>
    <xf numFmtId="9" fontId="55" fillId="0" borderId="34" xfId="0" applyNumberFormat="1" applyFont="1" applyBorder="1" applyAlignment="1">
      <alignment horizontal="center"/>
    </xf>
    <xf numFmtId="43" fontId="38" fillId="8" borderId="18" xfId="0" applyNumberFormat="1" applyFont="1" applyFill="1" applyBorder="1"/>
    <xf numFmtId="43" fontId="57" fillId="11" borderId="12" xfId="0" applyNumberFormat="1" applyFont="1" applyFill="1" applyBorder="1"/>
    <xf numFmtId="0" fontId="41" fillId="0" borderId="2" xfId="0" applyFont="1" applyBorder="1" applyAlignment="1"/>
    <xf numFmtId="9" fontId="55" fillId="0" borderId="34" xfId="0" applyNumberFormat="1" applyFont="1" applyBorder="1" applyAlignment="1"/>
    <xf numFmtId="3" fontId="40" fillId="7" borderId="18" xfId="0" applyNumberFormat="1" applyFont="1" applyFill="1" applyBorder="1" applyAlignment="1">
      <alignment horizontal="center"/>
    </xf>
    <xf numFmtId="0" fontId="41" fillId="0" borderId="12" xfId="0" applyFont="1" applyBorder="1" applyAlignment="1"/>
    <xf numFmtId="43" fontId="38" fillId="8" borderId="12" xfId="0" applyNumberFormat="1" applyFont="1" applyFill="1" applyBorder="1"/>
    <xf numFmtId="3" fontId="41" fillId="0" borderId="29" xfId="0" applyNumberFormat="1" applyFont="1" applyBorder="1" applyAlignment="1"/>
    <xf numFmtId="9" fontId="55" fillId="0" borderId="47" xfId="0" applyNumberFormat="1" applyFont="1" applyBorder="1" applyAlignment="1"/>
    <xf numFmtId="0" fontId="41" fillId="0" borderId="48" xfId="0" applyFont="1" applyBorder="1" applyAlignment="1"/>
    <xf numFmtId="43" fontId="38" fillId="5" borderId="12" xfId="0" applyNumberFormat="1" applyFont="1" applyFill="1" applyBorder="1"/>
    <xf numFmtId="43" fontId="43" fillId="11" borderId="31" xfId="0" applyNumberFormat="1" applyFont="1" applyFill="1" applyBorder="1"/>
    <xf numFmtId="3" fontId="41" fillId="0" borderId="2" xfId="2" applyNumberFormat="1" applyFont="1" applyFill="1" applyBorder="1" applyAlignment="1">
      <alignment vertical="center"/>
    </xf>
    <xf numFmtId="9" fontId="55" fillId="0" borderId="47" xfId="4" applyFont="1" applyBorder="1" applyAlignment="1">
      <alignment horizontal="center"/>
    </xf>
    <xf numFmtId="3" fontId="41" fillId="0" borderId="18" xfId="2" applyNumberFormat="1" applyFont="1" applyFill="1" applyBorder="1" applyAlignment="1">
      <alignment horizontal="center" vertical="center"/>
    </xf>
    <xf numFmtId="3" fontId="41" fillId="0" borderId="12" xfId="2" applyNumberFormat="1" applyFont="1" applyFill="1" applyBorder="1" applyAlignment="1">
      <alignment vertical="center"/>
    </xf>
    <xf numFmtId="9" fontId="55" fillId="0" borderId="34" xfId="4" applyFont="1" applyBorder="1" applyAlignment="1">
      <alignment horizontal="center"/>
    </xf>
    <xf numFmtId="0" fontId="40" fillId="7" borderId="12" xfId="4" applyNumberFormat="1" applyFont="1" applyFill="1" applyBorder="1" applyAlignment="1" applyProtection="1">
      <alignment horizontal="center"/>
    </xf>
    <xf numFmtId="164" fontId="40" fillId="7" borderId="12" xfId="1" applyFont="1" applyFill="1" applyBorder="1" applyAlignment="1" applyProtection="1">
      <alignment horizontal="center"/>
    </xf>
    <xf numFmtId="3" fontId="41" fillId="0" borderId="21" xfId="2" applyNumberFormat="1" applyFont="1" applyFill="1" applyBorder="1" applyAlignment="1">
      <alignment vertical="center"/>
    </xf>
    <xf numFmtId="9" fontId="55" fillId="0" borderId="57" xfId="4" applyFont="1" applyBorder="1" applyAlignment="1">
      <alignment horizontal="center"/>
    </xf>
    <xf numFmtId="3" fontId="41" fillId="0" borderId="21" xfId="2" applyNumberFormat="1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/>
    </xf>
    <xf numFmtId="43" fontId="38" fillId="8" borderId="7" xfId="0" applyNumberFormat="1" applyFont="1" applyFill="1" applyBorder="1"/>
    <xf numFmtId="3" fontId="41" fillId="0" borderId="48" xfId="0" applyNumberFormat="1" applyFont="1" applyBorder="1" applyAlignment="1"/>
    <xf numFmtId="3" fontId="40" fillId="7" borderId="34" xfId="0" applyNumberFormat="1" applyFont="1" applyFill="1" applyBorder="1" applyAlignment="1">
      <alignment horizontal="center"/>
    </xf>
    <xf numFmtId="3" fontId="40" fillId="7" borderId="12" xfId="0" applyNumberFormat="1" applyFont="1" applyFill="1" applyBorder="1" applyAlignment="1">
      <alignment horizontal="center"/>
    </xf>
    <xf numFmtId="3" fontId="41" fillId="0" borderId="52" xfId="0" applyNumberFormat="1" applyFont="1" applyBorder="1" applyAlignment="1"/>
    <xf numFmtId="9" fontId="55" fillId="0" borderId="51" xfId="4" applyFont="1" applyBorder="1" applyAlignment="1">
      <alignment horizontal="center"/>
    </xf>
    <xf numFmtId="3" fontId="40" fillId="7" borderId="51" xfId="0" applyNumberFormat="1" applyFont="1" applyFill="1" applyBorder="1" applyAlignment="1">
      <alignment horizontal="center"/>
    </xf>
    <xf numFmtId="3" fontId="40" fillId="7" borderId="31" xfId="0" applyNumberFormat="1" applyFont="1" applyFill="1" applyBorder="1" applyAlignment="1">
      <alignment horizontal="center"/>
    </xf>
    <xf numFmtId="43" fontId="38" fillId="8" borderId="10" xfId="0" applyNumberFormat="1" applyFont="1" applyFill="1" applyBorder="1"/>
    <xf numFmtId="43" fontId="43" fillId="11" borderId="7" xfId="0" applyNumberFormat="1" applyFont="1" applyFill="1" applyBorder="1"/>
    <xf numFmtId="3" fontId="41" fillId="0" borderId="46" xfId="2" applyNumberFormat="1" applyFont="1" applyFill="1" applyBorder="1" applyAlignment="1">
      <alignment vertical="center"/>
    </xf>
    <xf numFmtId="3" fontId="41" fillId="0" borderId="48" xfId="2" applyNumberFormat="1" applyFont="1" applyFill="1" applyBorder="1" applyAlignment="1">
      <alignment vertical="center"/>
    </xf>
    <xf numFmtId="0" fontId="41" fillId="0" borderId="52" xfId="0" applyFont="1" applyBorder="1" applyAlignment="1"/>
    <xf numFmtId="9" fontId="55" fillId="0" borderId="51" xfId="0" applyNumberFormat="1" applyFont="1" applyBorder="1" applyAlignment="1">
      <alignment horizontal="center"/>
    </xf>
    <xf numFmtId="3" fontId="40" fillId="7" borderId="21" xfId="0" applyNumberFormat="1" applyFont="1" applyFill="1" applyBorder="1" applyAlignment="1">
      <alignment horizontal="center"/>
    </xf>
    <xf numFmtId="43" fontId="43" fillId="11" borderId="12" xfId="0" applyNumberFormat="1" applyFont="1" applyFill="1" applyBorder="1"/>
    <xf numFmtId="9" fontId="55" fillId="0" borderId="12" xfId="2" applyNumberFormat="1" applyFont="1" applyFill="1" applyBorder="1" applyAlignment="1">
      <alignment horizontal="center" vertical="center"/>
    </xf>
    <xf numFmtId="3" fontId="41" fillId="0" borderId="31" xfId="2" applyNumberFormat="1" applyFont="1" applyFill="1" applyBorder="1" applyAlignment="1">
      <alignment vertical="center"/>
    </xf>
    <xf numFmtId="9" fontId="55" fillId="0" borderId="31" xfId="2" applyNumberFormat="1" applyFont="1" applyFill="1" applyBorder="1" applyAlignment="1">
      <alignment horizontal="center" vertical="center"/>
    </xf>
    <xf numFmtId="43" fontId="43" fillId="8" borderId="7" xfId="0" applyNumberFormat="1" applyFont="1" applyFill="1" applyBorder="1"/>
    <xf numFmtId="0" fontId="41" fillId="0" borderId="18" xfId="0" applyFont="1" applyBorder="1" applyAlignment="1"/>
    <xf numFmtId="43" fontId="43" fillId="8" borderId="12" xfId="0" applyNumberFormat="1" applyFont="1" applyFill="1" applyBorder="1"/>
    <xf numFmtId="4" fontId="56" fillId="11" borderId="31" xfId="2" applyNumberFormat="1" applyFont="1" applyFill="1" applyBorder="1" applyAlignment="1">
      <alignment vertical="center"/>
    </xf>
    <xf numFmtId="0" fontId="40" fillId="0" borderId="2" xfId="0" applyFont="1" applyBorder="1" applyAlignment="1"/>
    <xf numFmtId="9" fontId="55" fillId="0" borderId="25" xfId="0" applyNumberFormat="1" applyFont="1" applyBorder="1" applyAlignment="1">
      <alignment horizontal="center"/>
    </xf>
    <xf numFmtId="3" fontId="40" fillId="7" borderId="2" xfId="0" applyNumberFormat="1" applyFont="1" applyFill="1" applyBorder="1" applyAlignment="1">
      <alignment horizontal="center"/>
    </xf>
    <xf numFmtId="0" fontId="40" fillId="7" borderId="2" xfId="4" applyNumberFormat="1" applyFont="1" applyFill="1" applyBorder="1" applyAlignment="1" applyProtection="1">
      <alignment horizontal="center"/>
    </xf>
    <xf numFmtId="0" fontId="40" fillId="0" borderId="12" xfId="0" applyFont="1" applyBorder="1" applyAlignment="1"/>
    <xf numFmtId="0" fontId="40" fillId="0" borderId="2" xfId="0" applyFont="1" applyBorder="1" applyAlignment="1">
      <alignment horizontal="left"/>
    </xf>
    <xf numFmtId="3" fontId="40" fillId="7" borderId="57" xfId="0" applyNumberFormat="1" applyFont="1" applyFill="1" applyBorder="1" applyAlignment="1">
      <alignment horizontal="center"/>
    </xf>
    <xf numFmtId="0" fontId="40" fillId="0" borderId="12" xfId="0" applyFont="1" applyBorder="1" applyAlignment="1">
      <alignment horizontal="left"/>
    </xf>
    <xf numFmtId="43" fontId="43" fillId="5" borderId="12" xfId="0" applyNumberFormat="1" applyFont="1" applyFill="1" applyBorder="1"/>
    <xf numFmtId="3" fontId="40" fillId="0" borderId="48" xfId="0" applyNumberFormat="1" applyFont="1" applyBorder="1"/>
    <xf numFmtId="3" fontId="40" fillId="0" borderId="12" xfId="0" applyNumberFormat="1" applyFont="1" applyBorder="1"/>
    <xf numFmtId="164" fontId="31" fillId="0" borderId="19" xfId="1" applyFont="1" applyBorder="1"/>
    <xf numFmtId="164" fontId="46" fillId="11" borderId="67" xfId="1" applyFont="1" applyFill="1" applyBorder="1"/>
    <xf numFmtId="164" fontId="46" fillId="11" borderId="5" xfId="1" applyFont="1" applyFill="1" applyBorder="1"/>
    <xf numFmtId="164" fontId="46" fillId="11" borderId="36" xfId="1" applyNumberFormat="1" applyFont="1" applyFill="1" applyBorder="1" applyAlignment="1">
      <alignment horizontal="center"/>
    </xf>
    <xf numFmtId="164" fontId="46" fillId="11" borderId="34" xfId="1" applyFont="1" applyFill="1" applyBorder="1" applyAlignment="1">
      <alignment horizontal="center"/>
    </xf>
    <xf numFmtId="164" fontId="46" fillId="11" borderId="34" xfId="1" applyFont="1" applyFill="1" applyBorder="1"/>
    <xf numFmtId="164" fontId="46" fillId="11" borderId="12" xfId="1" applyFont="1" applyFill="1" applyBorder="1"/>
    <xf numFmtId="164" fontId="46" fillId="11" borderId="12" xfId="1" applyFont="1" applyFill="1" applyBorder="1" applyAlignment="1">
      <alignment horizontal="center"/>
    </xf>
    <xf numFmtId="0" fontId="46" fillId="11" borderId="12" xfId="0" applyFont="1" applyFill="1" applyBorder="1" applyAlignment="1">
      <alignment horizontal="center"/>
    </xf>
    <xf numFmtId="164" fontId="26" fillId="11" borderId="12" xfId="1" applyFont="1" applyFill="1" applyBorder="1" applyAlignment="1">
      <alignment horizontal="center" vertical="center"/>
    </xf>
    <xf numFmtId="164" fontId="13" fillId="11" borderId="12" xfId="1" applyFont="1" applyFill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 vertical="center" wrapText="1"/>
    </xf>
    <xf numFmtId="164" fontId="12" fillId="0" borderId="21" xfId="1" applyFont="1" applyFill="1" applyBorder="1" applyAlignment="1">
      <alignment horizontal="center"/>
    </xf>
    <xf numFmtId="0" fontId="31" fillId="0" borderId="21" xfId="1" applyNumberFormat="1" applyFont="1" applyFill="1" applyBorder="1" applyAlignment="1">
      <alignment horizontal="center"/>
    </xf>
    <xf numFmtId="0" fontId="13" fillId="4" borderId="28" xfId="0" applyFont="1" applyFill="1" applyBorder="1" applyAlignment="1">
      <alignment vertical="center" wrapText="1"/>
    </xf>
    <xf numFmtId="0" fontId="13" fillId="4" borderId="29" xfId="0" applyFont="1" applyFill="1" applyBorder="1" applyAlignment="1">
      <alignment vertical="center" wrapText="1"/>
    </xf>
    <xf numFmtId="164" fontId="46" fillId="11" borderId="6" xfId="1" applyFont="1" applyFill="1" applyBorder="1" applyAlignment="1"/>
    <xf numFmtId="3" fontId="13" fillId="11" borderId="6" xfId="0" applyNumberFormat="1" applyFont="1" applyFill="1" applyBorder="1" applyAlignment="1">
      <alignment horizontal="center" vertical="center" wrapText="1"/>
    </xf>
    <xf numFmtId="3" fontId="11" fillId="7" borderId="12" xfId="0" applyNumberFormat="1" applyFont="1" applyFill="1" applyBorder="1" applyAlignment="1">
      <alignment horizontal="center"/>
    </xf>
    <xf numFmtId="164" fontId="11" fillId="7" borderId="12" xfId="1" applyFont="1" applyFill="1" applyBorder="1" applyAlignment="1" applyProtection="1">
      <alignment horizontal="center"/>
    </xf>
    <xf numFmtId="3" fontId="11" fillId="7" borderId="31" xfId="0" applyNumberFormat="1" applyFont="1" applyFill="1" applyBorder="1" applyAlignment="1">
      <alignment horizontal="center"/>
    </xf>
    <xf numFmtId="164" fontId="11" fillId="7" borderId="31" xfId="1" applyFont="1" applyFill="1" applyBorder="1" applyAlignment="1" applyProtection="1">
      <alignment horizontal="center"/>
    </xf>
    <xf numFmtId="3" fontId="11" fillId="7" borderId="21" xfId="0" applyNumberFormat="1" applyFont="1" applyFill="1" applyBorder="1" applyAlignment="1">
      <alignment horizontal="center"/>
    </xf>
    <xf numFmtId="164" fontId="11" fillId="7" borderId="21" xfId="1" applyFont="1" applyFill="1" applyBorder="1" applyAlignment="1" applyProtection="1">
      <alignment horizontal="center"/>
    </xf>
    <xf numFmtId="3" fontId="11" fillId="7" borderId="36" xfId="0" applyNumberFormat="1" applyFont="1" applyFill="1" applyBorder="1" applyAlignment="1">
      <alignment horizontal="center"/>
    </xf>
    <xf numFmtId="164" fontId="11" fillId="7" borderId="36" xfId="1" applyFont="1" applyFill="1" applyBorder="1" applyAlignment="1" applyProtection="1">
      <alignment horizontal="center"/>
    </xf>
    <xf numFmtId="164" fontId="31" fillId="0" borderId="36" xfId="1" applyFont="1" applyBorder="1"/>
    <xf numFmtId="43" fontId="0" fillId="0" borderId="0" xfId="0" applyNumberFormat="1"/>
    <xf numFmtId="43" fontId="58" fillId="0" borderId="0" xfId="0" applyNumberFormat="1" applyFont="1"/>
    <xf numFmtId="0" fontId="11" fillId="0" borderId="31" xfId="0" applyFont="1" applyBorder="1" applyAlignment="1">
      <alignment horizontal="center"/>
    </xf>
    <xf numFmtId="164" fontId="11" fillId="0" borderId="31" xfId="1" applyFont="1" applyBorder="1" applyAlignment="1"/>
    <xf numFmtId="0" fontId="11" fillId="0" borderId="13" xfId="1" applyNumberFormat="1" applyFont="1" applyBorder="1" applyAlignment="1">
      <alignment horizontal="center"/>
    </xf>
    <xf numFmtId="0" fontId="46" fillId="2" borderId="13" xfId="0" applyFont="1" applyFill="1" applyBorder="1" applyAlignment="1">
      <alignment horizontal="center"/>
    </xf>
    <xf numFmtId="164" fontId="31" fillId="0" borderId="33" xfId="1" applyFont="1" applyBorder="1"/>
    <xf numFmtId="0" fontId="12" fillId="0" borderId="11" xfId="0" applyFont="1" applyFill="1" applyBorder="1" applyAlignment="1">
      <alignment horizontal="left"/>
    </xf>
    <xf numFmtId="164" fontId="31" fillId="0" borderId="13" xfId="1" applyFont="1" applyFill="1" applyBorder="1" applyAlignment="1">
      <alignment horizontal="center"/>
    </xf>
    <xf numFmtId="0" fontId="13" fillId="11" borderId="61" xfId="0" applyFont="1" applyFill="1" applyBorder="1" applyAlignment="1">
      <alignment vertical="center"/>
    </xf>
    <xf numFmtId="164" fontId="46" fillId="11" borderId="49" xfId="1" applyFont="1" applyFill="1" applyBorder="1" applyAlignment="1">
      <alignment horizontal="center"/>
    </xf>
    <xf numFmtId="0" fontId="13" fillId="3" borderId="58" xfId="0" applyFont="1" applyFill="1" applyBorder="1" applyAlignment="1">
      <alignment vertical="center" wrapText="1"/>
    </xf>
    <xf numFmtId="0" fontId="13" fillId="4" borderId="30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vertical="center" wrapText="1"/>
    </xf>
    <xf numFmtId="164" fontId="31" fillId="0" borderId="19" xfId="1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164" fontId="31" fillId="0" borderId="33" xfId="1" applyFont="1" applyFill="1" applyBorder="1" applyAlignment="1">
      <alignment horizontal="center"/>
    </xf>
    <xf numFmtId="0" fontId="12" fillId="0" borderId="32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vertical="center" wrapText="1"/>
    </xf>
    <xf numFmtId="3" fontId="11" fillId="0" borderId="11" xfId="2" applyNumberFormat="1" applyFont="1" applyFill="1" applyBorder="1" applyAlignment="1">
      <alignment horizontal="left" vertical="center"/>
    </xf>
    <xf numFmtId="3" fontId="11" fillId="0" borderId="32" xfId="2" applyNumberFormat="1" applyFont="1" applyFill="1" applyBorder="1" applyAlignment="1">
      <alignment horizontal="left" vertical="center"/>
    </xf>
    <xf numFmtId="0" fontId="11" fillId="0" borderId="35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2" fillId="0" borderId="51" xfId="0" applyFont="1" applyBorder="1" applyAlignment="1">
      <alignment horizontal="left"/>
    </xf>
    <xf numFmtId="0" fontId="0" fillId="0" borderId="12" xfId="0" applyBorder="1"/>
    <xf numFmtId="167" fontId="0" fillId="0" borderId="12" xfId="1" applyNumberFormat="1" applyFont="1" applyBorder="1"/>
    <xf numFmtId="0" fontId="0" fillId="6" borderId="12" xfId="0" applyFill="1" applyBorder="1"/>
    <xf numFmtId="167" fontId="0" fillId="6" borderId="12" xfId="1" applyNumberFormat="1" applyFont="1" applyFill="1" applyBorder="1"/>
    <xf numFmtId="0" fontId="0" fillId="8" borderId="31" xfId="0" applyFill="1" applyBorder="1"/>
    <xf numFmtId="0" fontId="8" fillId="6" borderId="12" xfId="0" applyFont="1" applyFill="1" applyBorder="1"/>
    <xf numFmtId="0" fontId="0" fillId="0" borderId="12" xfId="0" applyFill="1" applyBorder="1"/>
    <xf numFmtId="167" fontId="0" fillId="0" borderId="0" xfId="1" applyNumberFormat="1" applyFont="1"/>
    <xf numFmtId="167" fontId="0" fillId="6" borderId="48" xfId="1" applyNumberFormat="1" applyFont="1" applyFill="1" applyBorder="1"/>
    <xf numFmtId="0" fontId="0" fillId="8" borderId="12" xfId="0" applyFill="1" applyBorder="1"/>
    <xf numFmtId="167" fontId="0" fillId="8" borderId="12" xfId="1" applyNumberFormat="1" applyFont="1" applyFill="1" applyBorder="1"/>
    <xf numFmtId="0" fontId="8" fillId="8" borderId="12" xfId="0" applyFont="1" applyFill="1" applyBorder="1"/>
    <xf numFmtId="0" fontId="0" fillId="0" borderId="31" xfId="0" applyBorder="1"/>
    <xf numFmtId="167" fontId="0" fillId="0" borderId="31" xfId="1" applyNumberFormat="1" applyFont="1" applyBorder="1"/>
    <xf numFmtId="0" fontId="0" fillId="0" borderId="21" xfId="0" applyBorder="1"/>
    <xf numFmtId="167" fontId="0" fillId="0" borderId="21" xfId="1" applyNumberFormat="1" applyFont="1" applyBorder="1"/>
    <xf numFmtId="0" fontId="0" fillId="0" borderId="18" xfId="0" applyBorder="1"/>
    <xf numFmtId="167" fontId="0" fillId="0" borderId="18" xfId="1" applyNumberFormat="1" applyFont="1" applyBorder="1"/>
    <xf numFmtId="167" fontId="2" fillId="2" borderId="12" xfId="1" applyNumberFormat="1" applyFont="1" applyFill="1" applyBorder="1" applyAlignment="1">
      <alignment horizontal="center" vertical="center"/>
    </xf>
    <xf numFmtId="49" fontId="2" fillId="2" borderId="31" xfId="1" applyNumberFormat="1" applyFont="1" applyFill="1" applyBorder="1" applyAlignment="1">
      <alignment horizontal="center" vertical="center"/>
    </xf>
    <xf numFmtId="43" fontId="12" fillId="0" borderId="18" xfId="0" applyNumberFormat="1" applyFont="1" applyBorder="1"/>
    <xf numFmtId="168" fontId="0" fillId="0" borderId="0" xfId="0" applyNumberFormat="1"/>
    <xf numFmtId="49" fontId="0" fillId="0" borderId="0" xfId="0" applyNumberFormat="1"/>
    <xf numFmtId="167" fontId="0" fillId="6" borderId="12" xfId="0" applyNumberFormat="1" applyFill="1" applyBorder="1"/>
    <xf numFmtId="168" fontId="0" fillId="2" borderId="0" xfId="0" applyNumberFormat="1" applyFill="1"/>
    <xf numFmtId="0" fontId="0" fillId="2" borderId="0" xfId="0" applyFill="1"/>
    <xf numFmtId="167" fontId="8" fillId="6" borderId="12" xfId="0" applyNumberFormat="1" applyFont="1" applyFill="1" applyBorder="1"/>
    <xf numFmtId="0" fontId="0" fillId="0" borderId="18" xfId="0" applyFill="1" applyBorder="1" applyAlignment="1">
      <alignment horizontal="left"/>
    </xf>
    <xf numFmtId="167" fontId="0" fillId="0" borderId="18" xfId="1" applyNumberFormat="1" applyFont="1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167" fontId="0" fillId="0" borderId="12" xfId="1" applyNumberFormat="1" applyFont="1" applyFill="1" applyBorder="1" applyAlignment="1">
      <alignment horizontal="left"/>
    </xf>
    <xf numFmtId="167" fontId="8" fillId="8" borderId="12" xfId="0" applyNumberFormat="1" applyFont="1" applyFill="1" applyBorder="1"/>
    <xf numFmtId="167" fontId="0" fillId="0" borderId="0" xfId="0" applyNumberFormat="1"/>
    <xf numFmtId="43" fontId="12" fillId="0" borderId="21" xfId="0" applyNumberFormat="1" applyFont="1" applyBorder="1"/>
    <xf numFmtId="43" fontId="12" fillId="8" borderId="18" xfId="0" applyNumberFormat="1" applyFont="1" applyFill="1" applyBorder="1"/>
    <xf numFmtId="167" fontId="0" fillId="8" borderId="12" xfId="0" applyNumberFormat="1" applyFill="1" applyBorder="1"/>
    <xf numFmtId="49" fontId="0" fillId="8" borderId="12" xfId="1" applyNumberFormat="1" applyFont="1" applyFill="1" applyBorder="1" applyAlignment="1">
      <alignment vertical="center"/>
    </xf>
    <xf numFmtId="43" fontId="12" fillId="8" borderId="12" xfId="0" applyNumberFormat="1" applyFont="1" applyFill="1" applyBorder="1"/>
    <xf numFmtId="49" fontId="0" fillId="6" borderId="12" xfId="1" applyNumberFormat="1" applyFont="1" applyFill="1" applyBorder="1" applyAlignment="1">
      <alignment vertical="center"/>
    </xf>
    <xf numFmtId="49" fontId="23" fillId="8" borderId="12" xfId="1" applyNumberFormat="1" applyFont="1" applyFill="1" applyBorder="1" applyAlignment="1">
      <alignment vertical="center"/>
    </xf>
    <xf numFmtId="0" fontId="13" fillId="0" borderId="68" xfId="0" applyFont="1" applyBorder="1" applyAlignment="1">
      <alignment horizontal="center"/>
    </xf>
    <xf numFmtId="0" fontId="13" fillId="9" borderId="14" xfId="0" applyFont="1" applyFill="1" applyBorder="1" applyAlignment="1">
      <alignment vertical="center"/>
    </xf>
    <xf numFmtId="0" fontId="2" fillId="9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3" fontId="11" fillId="0" borderId="31" xfId="0" applyNumberFormat="1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2" fontId="4" fillId="8" borderId="7" xfId="0" applyNumberFormat="1" applyFont="1" applyFill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2" fontId="12" fillId="4" borderId="7" xfId="0" applyNumberFormat="1" applyFont="1" applyFill="1" applyBorder="1" applyAlignment="1">
      <alignment horizontal="center"/>
    </xf>
    <xf numFmtId="3" fontId="13" fillId="6" borderId="31" xfId="0" applyNumberFormat="1" applyFont="1" applyFill="1" applyBorder="1" applyAlignment="1">
      <alignment horizontal="center"/>
    </xf>
    <xf numFmtId="0" fontId="13" fillId="6" borderId="31" xfId="0" applyFont="1" applyFill="1" applyBorder="1" applyAlignment="1">
      <alignment horizontal="center"/>
    </xf>
    <xf numFmtId="2" fontId="4" fillId="0" borderId="21" xfId="0" applyNumberFormat="1" applyFont="1" applyBorder="1" applyAlignment="1">
      <alignment horizontal="center"/>
    </xf>
    <xf numFmtId="2" fontId="13" fillId="8" borderId="7" xfId="0" applyNumberFormat="1" applyFont="1" applyFill="1" applyBorder="1" applyAlignment="1">
      <alignment horizontal="center"/>
    </xf>
    <xf numFmtId="3" fontId="13" fillId="4" borderId="31" xfId="0" applyNumberFormat="1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2" fontId="12" fillId="4" borderId="31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1" fillId="7" borderId="18" xfId="0" applyFont="1" applyFill="1" applyBorder="1" applyAlignment="1">
      <alignment horizontal="left"/>
    </xf>
    <xf numFmtId="0" fontId="12" fillId="7" borderId="18" xfId="0" applyFont="1" applyFill="1" applyBorder="1" applyAlignment="1">
      <alignment horizontal="center"/>
    </xf>
    <xf numFmtId="0" fontId="12" fillId="7" borderId="12" xfId="0" applyFont="1" applyFill="1" applyBorder="1" applyAlignment="1">
      <alignment horizontal="center"/>
    </xf>
    <xf numFmtId="3" fontId="11" fillId="7" borderId="12" xfId="3" applyNumberFormat="1" applyFont="1" applyFill="1" applyBorder="1" applyAlignment="1" applyProtection="1">
      <alignment horizontal="left"/>
    </xf>
    <xf numFmtId="3" fontId="11" fillId="7" borderId="31" xfId="3" applyNumberFormat="1" applyFont="1" applyFill="1" applyBorder="1" applyAlignment="1" applyProtection="1">
      <alignment horizontal="left"/>
    </xf>
    <xf numFmtId="0" fontId="12" fillId="7" borderId="31" xfId="0" applyFont="1" applyFill="1" applyBorder="1" applyAlignment="1">
      <alignment horizontal="center"/>
    </xf>
    <xf numFmtId="164" fontId="13" fillId="4" borderId="31" xfId="1" applyFont="1" applyFill="1" applyBorder="1" applyAlignment="1">
      <alignment horizontal="center"/>
    </xf>
    <xf numFmtId="3" fontId="13" fillId="6" borderId="6" xfId="0" applyNumberFormat="1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11" fillId="0" borderId="12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3" fontId="11" fillId="0" borderId="2" xfId="0" applyNumberFormat="1" applyFont="1" applyBorder="1" applyAlignment="1">
      <alignment horizontal="left"/>
    </xf>
    <xf numFmtId="3" fontId="11" fillId="7" borderId="2" xfId="0" applyNumberFormat="1" applyFont="1" applyFill="1" applyBorder="1" applyAlignment="1">
      <alignment horizontal="center"/>
    </xf>
    <xf numFmtId="164" fontId="11" fillId="7" borderId="2" xfId="1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164" fontId="11" fillId="7" borderId="12" xfId="1" applyFont="1" applyFill="1" applyBorder="1" applyAlignment="1">
      <alignment horizontal="center"/>
    </xf>
    <xf numFmtId="3" fontId="11" fillId="7" borderId="40" xfId="0" applyNumberFormat="1" applyFont="1" applyFill="1" applyBorder="1" applyAlignment="1">
      <alignment horizontal="center"/>
    </xf>
    <xf numFmtId="164" fontId="11" fillId="7" borderId="40" xfId="1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3" fontId="11" fillId="7" borderId="18" xfId="0" applyNumberFormat="1" applyFont="1" applyFill="1" applyBorder="1" applyAlignment="1">
      <alignment horizontal="center"/>
    </xf>
    <xf numFmtId="164" fontId="11" fillId="7" borderId="18" xfId="1" applyFont="1" applyFill="1" applyBorder="1" applyAlignment="1">
      <alignment horizontal="center"/>
    </xf>
    <xf numFmtId="164" fontId="11" fillId="7" borderId="31" xfId="1" applyFont="1" applyFill="1" applyBorder="1" applyAlignment="1">
      <alignment horizontal="center"/>
    </xf>
    <xf numFmtId="0" fontId="12" fillId="0" borderId="65" xfId="0" applyFont="1" applyBorder="1" applyAlignment="1">
      <alignment horizontal="center"/>
    </xf>
    <xf numFmtId="3" fontId="12" fillId="0" borderId="21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43" fontId="4" fillId="0" borderId="0" xfId="0" applyNumberFormat="1" applyFont="1"/>
    <xf numFmtId="0" fontId="12" fillId="4" borderId="6" xfId="0" applyFont="1" applyFill="1" applyBorder="1" applyAlignment="1">
      <alignment horizontal="center"/>
    </xf>
    <xf numFmtId="0" fontId="13" fillId="6" borderId="46" xfId="0" applyFont="1" applyFill="1" applyBorder="1" applyAlignment="1">
      <alignment horizontal="center"/>
    </xf>
    <xf numFmtId="0" fontId="13" fillId="6" borderId="72" xfId="0" applyFont="1" applyFill="1" applyBorder="1" applyAlignment="1">
      <alignment horizontal="center"/>
    </xf>
    <xf numFmtId="2" fontId="13" fillId="8" borderId="10" xfId="0" applyNumberFormat="1" applyFont="1" applyFill="1" applyBorder="1" applyAlignment="1">
      <alignment horizontal="center"/>
    </xf>
    <xf numFmtId="43" fontId="13" fillId="4" borderId="10" xfId="0" applyNumberFormat="1" applyFont="1" applyFill="1" applyBorder="1" applyAlignment="1">
      <alignment horizontal="center"/>
    </xf>
    <xf numFmtId="2" fontId="6" fillId="0" borderId="18" xfId="0" applyNumberFormat="1" applyFont="1" applyBorder="1" applyAlignment="1">
      <alignment horizontal="center"/>
    </xf>
    <xf numFmtId="0" fontId="13" fillId="6" borderId="48" xfId="0" applyFont="1" applyFill="1" applyBorder="1" applyAlignment="1">
      <alignment horizontal="center"/>
    </xf>
    <xf numFmtId="43" fontId="13" fillId="6" borderId="72" xfId="0" applyNumberFormat="1" applyFont="1" applyFill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64" fontId="11" fillId="0" borderId="18" xfId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64" fontId="11" fillId="0" borderId="12" xfId="1" applyFont="1" applyBorder="1" applyAlignment="1">
      <alignment horizontal="center"/>
    </xf>
    <xf numFmtId="164" fontId="11" fillId="0" borderId="31" xfId="1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164" fontId="11" fillId="0" borderId="36" xfId="1" applyFont="1" applyBorder="1" applyAlignment="1">
      <alignment horizontal="center"/>
    </xf>
    <xf numFmtId="2" fontId="13" fillId="5" borderId="7" xfId="0" applyNumberFormat="1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2" fontId="13" fillId="4" borderId="10" xfId="0" applyNumberFormat="1" applyFont="1" applyFill="1" applyBorder="1" applyAlignment="1">
      <alignment horizontal="center"/>
    </xf>
    <xf numFmtId="0" fontId="12" fillId="0" borderId="18" xfId="0" applyFont="1" applyBorder="1" applyAlignment="1"/>
    <xf numFmtId="49" fontId="12" fillId="0" borderId="18" xfId="1" applyNumberFormat="1" applyFont="1" applyBorder="1" applyAlignment="1">
      <alignment horizontal="center"/>
    </xf>
    <xf numFmtId="164" fontId="12" fillId="0" borderId="18" xfId="1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  <xf numFmtId="49" fontId="13" fillId="5" borderId="10" xfId="0" applyNumberFormat="1" applyFont="1" applyFill="1" applyBorder="1" applyAlignment="1">
      <alignment horizontal="center"/>
    </xf>
    <xf numFmtId="0" fontId="13" fillId="7" borderId="14" xfId="0" applyFont="1" applyFill="1" applyBorder="1" applyAlignment="1"/>
    <xf numFmtId="0" fontId="12" fillId="7" borderId="18" xfId="0" applyFont="1" applyFill="1" applyBorder="1" applyAlignment="1">
      <alignment horizontal="left"/>
    </xf>
    <xf numFmtId="164" fontId="12" fillId="7" borderId="18" xfId="1" applyFont="1" applyFill="1" applyBorder="1" applyAlignment="1">
      <alignment horizontal="center"/>
    </xf>
    <xf numFmtId="0" fontId="13" fillId="7" borderId="65" xfId="0" applyFont="1" applyFill="1" applyBorder="1" applyAlignment="1"/>
    <xf numFmtId="0" fontId="12" fillId="7" borderId="12" xfId="0" applyFont="1" applyFill="1" applyBorder="1" applyAlignment="1">
      <alignment horizontal="left"/>
    </xf>
    <xf numFmtId="164" fontId="12" fillId="7" borderId="12" xfId="1" applyFont="1" applyFill="1" applyBorder="1" applyAlignment="1">
      <alignment horizontal="center"/>
    </xf>
    <xf numFmtId="2" fontId="12" fillId="7" borderId="18" xfId="0" applyNumberFormat="1" applyFont="1" applyFill="1" applyBorder="1" applyAlignment="1">
      <alignment horizontal="center"/>
    </xf>
    <xf numFmtId="164" fontId="13" fillId="5" borderId="6" xfId="0" applyNumberFormat="1" applyFont="1" applyFill="1" applyBorder="1" applyAlignment="1">
      <alignment vertical="center"/>
    </xf>
    <xf numFmtId="2" fontId="12" fillId="0" borderId="18" xfId="0" applyNumberFormat="1" applyFont="1" applyBorder="1" applyAlignment="1">
      <alignment horizontal="center"/>
    </xf>
    <xf numFmtId="49" fontId="12" fillId="4" borderId="18" xfId="0" applyNumberFormat="1" applyFont="1" applyFill="1" applyBorder="1" applyAlignment="1">
      <alignment horizontal="center"/>
    </xf>
    <xf numFmtId="164" fontId="4" fillId="2" borderId="7" xfId="1" applyFont="1" applyFill="1" applyBorder="1" applyAlignment="1">
      <alignment horizontal="center"/>
    </xf>
    <xf numFmtId="164" fontId="4" fillId="0" borderId="0" xfId="1" applyFont="1" applyAlignment="1"/>
    <xf numFmtId="0" fontId="4" fillId="0" borderId="12" xfId="0" applyFont="1" applyBorder="1" applyAlignment="1">
      <alignment horizontal="left"/>
    </xf>
    <xf numFmtId="164" fontId="6" fillId="0" borderId="12" xfId="1" applyFont="1" applyFill="1" applyBorder="1" applyAlignment="1">
      <alignment horizontal="center" vertical="center"/>
    </xf>
    <xf numFmtId="0" fontId="6" fillId="0" borderId="12" xfId="2" applyFont="1" applyFill="1" applyBorder="1" applyAlignment="1">
      <alignment horizontal="center"/>
    </xf>
    <xf numFmtId="43" fontId="6" fillId="0" borderId="12" xfId="2" applyNumberFormat="1" applyFont="1" applyFill="1" applyBorder="1" applyAlignment="1">
      <alignment horizontal="center"/>
    </xf>
    <xf numFmtId="164" fontId="4" fillId="0" borderId="12" xfId="1" applyFont="1" applyBorder="1" applyAlignment="1"/>
    <xf numFmtId="164" fontId="4" fillId="0" borderId="12" xfId="1" applyFont="1" applyBorder="1" applyAlignment="1">
      <alignment horizontal="center"/>
    </xf>
    <xf numFmtId="0" fontId="4" fillId="0" borderId="12" xfId="0" applyFont="1" applyBorder="1"/>
    <xf numFmtId="164" fontId="6" fillId="0" borderId="12" xfId="1" applyFont="1" applyFill="1" applyBorder="1" applyAlignment="1" applyProtection="1">
      <alignment horizontal="center" vertical="center"/>
    </xf>
    <xf numFmtId="3" fontId="2" fillId="5" borderId="12" xfId="0" applyNumberFormat="1" applyFont="1" applyFill="1" applyBorder="1" applyAlignment="1">
      <alignment horizontal="center"/>
    </xf>
    <xf numFmtId="164" fontId="2" fillId="5" borderId="12" xfId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164" fontId="2" fillId="5" borderId="12" xfId="1" applyFont="1" applyFill="1" applyBorder="1" applyAlignment="1"/>
    <xf numFmtId="0" fontId="4" fillId="0" borderId="12" xfId="1" applyNumberFormat="1" applyFont="1" applyBorder="1" applyAlignment="1">
      <alignment horizontal="center"/>
    </xf>
    <xf numFmtId="3" fontId="2" fillId="8" borderId="12" xfId="0" applyNumberFormat="1" applyFont="1" applyFill="1" applyBorder="1" applyAlignment="1">
      <alignment horizontal="center"/>
    </xf>
    <xf numFmtId="4" fontId="2" fillId="8" borderId="12" xfId="0" applyNumberFormat="1" applyFont="1" applyFill="1" applyBorder="1" applyAlignment="1">
      <alignment horizontal="right"/>
    </xf>
    <xf numFmtId="0" fontId="2" fillId="8" borderId="12" xfId="0" applyFont="1" applyFill="1" applyBorder="1" applyAlignment="1">
      <alignment horizontal="center"/>
    </xf>
    <xf numFmtId="164" fontId="2" fillId="8" borderId="12" xfId="1" applyFont="1" applyFill="1" applyBorder="1" applyAlignment="1">
      <alignment horizontal="center"/>
    </xf>
    <xf numFmtId="2" fontId="2" fillId="8" borderId="12" xfId="0" applyNumberFormat="1" applyFont="1" applyFill="1" applyBorder="1" applyAlignment="1">
      <alignment horizontal="center"/>
    </xf>
    <xf numFmtId="2" fontId="2" fillId="5" borderId="12" xfId="0" applyNumberFormat="1" applyFont="1" applyFill="1" applyBorder="1" applyAlignment="1">
      <alignment horizontal="center"/>
    </xf>
    <xf numFmtId="43" fontId="2" fillId="5" borderId="12" xfId="0" applyNumberFormat="1" applyFont="1" applyFill="1" applyBorder="1" applyAlignment="1">
      <alignment horizontal="center"/>
    </xf>
    <xf numFmtId="43" fontId="40" fillId="0" borderId="19" xfId="0" applyNumberFormat="1" applyFont="1" applyBorder="1"/>
    <xf numFmtId="43" fontId="40" fillId="0" borderId="33" xfId="0" applyNumberFormat="1" applyFont="1" applyBorder="1"/>
    <xf numFmtId="43" fontId="40" fillId="0" borderId="13" xfId="0" applyNumberFormat="1" applyFont="1" applyBorder="1"/>
    <xf numFmtId="43" fontId="38" fillId="8" borderId="13" xfId="0" applyNumberFormat="1" applyFont="1" applyFill="1" applyBorder="1"/>
    <xf numFmtId="43" fontId="38" fillId="5" borderId="13" xfId="0" applyNumberFormat="1" applyFont="1" applyFill="1" applyBorder="1"/>
    <xf numFmtId="3" fontId="41" fillId="0" borderId="1" xfId="2" applyNumberFormat="1" applyFont="1" applyFill="1" applyBorder="1" applyAlignment="1">
      <alignment vertical="center"/>
    </xf>
    <xf numFmtId="3" fontId="41" fillId="0" borderId="11" xfId="2" applyNumberFormat="1" applyFont="1" applyFill="1" applyBorder="1" applyAlignment="1">
      <alignment vertical="center"/>
    </xf>
    <xf numFmtId="3" fontId="41" fillId="0" borderId="28" xfId="2" applyNumberFormat="1" applyFont="1" applyFill="1" applyBorder="1" applyAlignment="1">
      <alignment vertical="center"/>
    </xf>
    <xf numFmtId="0" fontId="41" fillId="0" borderId="17" xfId="0" applyFont="1" applyBorder="1" applyAlignment="1"/>
    <xf numFmtId="0" fontId="40" fillId="0" borderId="1" xfId="0" applyFont="1" applyBorder="1" applyAlignment="1"/>
    <xf numFmtId="0" fontId="40" fillId="0" borderId="1" xfId="0" applyFont="1" applyBorder="1" applyAlignment="1">
      <alignment horizontal="left"/>
    </xf>
    <xf numFmtId="0" fontId="40" fillId="0" borderId="11" xfId="0" applyFont="1" applyBorder="1" applyAlignment="1">
      <alignment horizontal="left"/>
    </xf>
    <xf numFmtId="3" fontId="40" fillId="0" borderId="61" xfId="0" applyNumberFormat="1" applyFont="1" applyBorder="1"/>
    <xf numFmtId="3" fontId="41" fillId="0" borderId="35" xfId="2" applyNumberFormat="1" applyFont="1" applyFill="1" applyBorder="1" applyAlignment="1">
      <alignment vertical="center"/>
    </xf>
    <xf numFmtId="9" fontId="55" fillId="0" borderId="36" xfId="2" applyNumberFormat="1" applyFont="1" applyFill="1" applyBorder="1" applyAlignment="1">
      <alignment horizontal="center" vertical="center"/>
    </xf>
    <xf numFmtId="3" fontId="41" fillId="0" borderId="36" xfId="2" applyNumberFormat="1" applyFont="1" applyFill="1" applyBorder="1" applyAlignment="1">
      <alignment horizontal="center" vertical="center"/>
    </xf>
    <xf numFmtId="0" fontId="40" fillId="7" borderId="36" xfId="4" applyNumberFormat="1" applyFont="1" applyFill="1" applyBorder="1" applyAlignment="1" applyProtection="1">
      <alignment horizontal="center"/>
    </xf>
    <xf numFmtId="164" fontId="40" fillId="7" borderId="36" xfId="1" applyFont="1" applyFill="1" applyBorder="1" applyAlignment="1" applyProtection="1">
      <alignment horizontal="center"/>
    </xf>
    <xf numFmtId="0" fontId="40" fillId="0" borderId="36" xfId="0" applyFont="1" applyBorder="1" applyAlignment="1">
      <alignment horizontal="center"/>
    </xf>
    <xf numFmtId="43" fontId="40" fillId="0" borderId="37" xfId="0" applyNumberFormat="1" applyFont="1" applyBorder="1"/>
    <xf numFmtId="43" fontId="60" fillId="11" borderId="33" xfId="0" applyNumberFormat="1" applyFont="1" applyFill="1" applyBorder="1"/>
    <xf numFmtId="43" fontId="60" fillId="11" borderId="7" xfId="0" applyNumberFormat="1" applyFont="1" applyFill="1" applyBorder="1"/>
    <xf numFmtId="3" fontId="41" fillId="0" borderId="60" xfId="2" applyNumberFormat="1" applyFont="1" applyFill="1" applyBorder="1" applyAlignment="1">
      <alignment vertical="center"/>
    </xf>
    <xf numFmtId="43" fontId="38" fillId="8" borderId="33" xfId="0" applyNumberFormat="1" applyFont="1" applyFill="1" applyBorder="1"/>
    <xf numFmtId="4" fontId="59" fillId="11" borderId="7" xfId="2" applyNumberFormat="1" applyFont="1" applyFill="1" applyBorder="1" applyAlignment="1">
      <alignment vertical="center"/>
    </xf>
    <xf numFmtId="9" fontId="55" fillId="0" borderId="2" xfId="0" applyNumberFormat="1" applyFont="1" applyBorder="1" applyAlignment="1">
      <alignment horizontal="center"/>
    </xf>
    <xf numFmtId="164" fontId="40" fillId="7" borderId="2" xfId="1" applyFont="1" applyFill="1" applyBorder="1" applyAlignment="1" applyProtection="1">
      <alignment horizontal="center"/>
    </xf>
    <xf numFmtId="0" fontId="40" fillId="0" borderId="2" xfId="0" applyFont="1" applyBorder="1" applyAlignment="1">
      <alignment horizontal="center"/>
    </xf>
    <xf numFmtId="43" fontId="40" fillId="0" borderId="3" xfId="0" applyNumberFormat="1" applyFont="1" applyBorder="1"/>
    <xf numFmtId="9" fontId="55" fillId="0" borderId="12" xfId="0" applyNumberFormat="1" applyFont="1" applyBorder="1" applyAlignment="1">
      <alignment horizontal="center"/>
    </xf>
    <xf numFmtId="9" fontId="55" fillId="0" borderId="18" xfId="0" applyNumberFormat="1" applyFont="1" applyBorder="1" applyAlignment="1">
      <alignment horizontal="center"/>
    </xf>
    <xf numFmtId="9" fontId="55" fillId="0" borderId="31" xfId="0" applyNumberFormat="1" applyFont="1" applyBorder="1" applyAlignment="1">
      <alignment horizontal="center"/>
    </xf>
    <xf numFmtId="43" fontId="60" fillId="5" borderId="13" xfId="0" applyNumberFormat="1" applyFont="1" applyFill="1" applyBorder="1"/>
    <xf numFmtId="43" fontId="60" fillId="11" borderId="37" xfId="0" applyNumberFormat="1" applyFont="1" applyFill="1" applyBorder="1"/>
    <xf numFmtId="0" fontId="62" fillId="0" borderId="0" xfId="0" applyFont="1" applyAlignment="1">
      <alignment vertical="center"/>
    </xf>
    <xf numFmtId="0" fontId="30" fillId="0" borderId="68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30" fillId="12" borderId="9" xfId="0" applyFont="1" applyFill="1" applyBorder="1" applyAlignment="1">
      <alignment horizontal="left"/>
    </xf>
    <xf numFmtId="0" fontId="30" fillId="12" borderId="4" xfId="0" applyFont="1" applyFill="1" applyBorder="1" applyAlignment="1">
      <alignment horizontal="left"/>
    </xf>
    <xf numFmtId="0" fontId="30" fillId="12" borderId="10" xfId="0" applyFont="1" applyFill="1" applyBorder="1" applyAlignment="1">
      <alignment horizontal="left"/>
    </xf>
    <xf numFmtId="0" fontId="13" fillId="6" borderId="9" xfId="0" applyFont="1" applyFill="1" applyBorder="1" applyAlignment="1">
      <alignment horizontal="center" vertical="top"/>
    </xf>
    <xf numFmtId="0" fontId="13" fillId="6" borderId="44" xfId="0" applyFont="1" applyFill="1" applyBorder="1" applyAlignment="1">
      <alignment horizontal="center" vertical="top"/>
    </xf>
    <xf numFmtId="0" fontId="13" fillId="6" borderId="55" xfId="0" applyFont="1" applyFill="1" applyBorder="1" applyAlignment="1">
      <alignment horizontal="center" vertical="top"/>
    </xf>
    <xf numFmtId="0" fontId="13" fillId="0" borderId="73" xfId="0" applyFont="1" applyBorder="1" applyAlignment="1">
      <alignment horizontal="center" vertical="top"/>
    </xf>
    <xf numFmtId="0" fontId="13" fillId="0" borderId="74" xfId="0" applyFont="1" applyBorder="1" applyAlignment="1">
      <alignment horizontal="center" vertical="top"/>
    </xf>
    <xf numFmtId="0" fontId="13" fillId="8" borderId="5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27" fillId="5" borderId="9" xfId="0" applyFont="1" applyFill="1" applyBorder="1" applyAlignment="1">
      <alignment horizontal="left"/>
    </xf>
    <xf numFmtId="0" fontId="27" fillId="5" borderId="4" xfId="0" applyFont="1" applyFill="1" applyBorder="1" applyAlignment="1">
      <alignment horizontal="left"/>
    </xf>
    <xf numFmtId="0" fontId="27" fillId="5" borderId="10" xfId="0" applyFont="1" applyFill="1" applyBorder="1" applyAlignment="1">
      <alignment horizontal="left"/>
    </xf>
    <xf numFmtId="0" fontId="13" fillId="6" borderId="4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68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13" fillId="6" borderId="59" xfId="0" applyFont="1" applyFill="1" applyBorder="1" applyAlignment="1">
      <alignment horizontal="center" vertical="top"/>
    </xf>
    <xf numFmtId="0" fontId="13" fillId="0" borderId="75" xfId="0" applyFont="1" applyBorder="1" applyAlignment="1">
      <alignment horizontal="center" vertical="top"/>
    </xf>
    <xf numFmtId="0" fontId="13" fillId="4" borderId="43" xfId="0" applyFont="1" applyFill="1" applyBorder="1" applyAlignment="1">
      <alignment horizontal="center"/>
    </xf>
    <xf numFmtId="0" fontId="13" fillId="4" borderId="44" xfId="0" applyFont="1" applyFill="1" applyBorder="1" applyAlignment="1">
      <alignment horizontal="center"/>
    </xf>
    <xf numFmtId="0" fontId="13" fillId="7" borderId="68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3" fillId="7" borderId="40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13" fillId="6" borderId="15" xfId="0" applyFont="1" applyFill="1" applyBorder="1" applyAlignment="1">
      <alignment horizontal="center" vertical="top"/>
    </xf>
    <xf numFmtId="0" fontId="13" fillId="0" borderId="14" xfId="0" applyFont="1" applyBorder="1" applyAlignment="1">
      <alignment horizontal="center" vertical="top"/>
    </xf>
    <xf numFmtId="0" fontId="13" fillId="0" borderId="65" xfId="0" applyFont="1" applyBorder="1" applyAlignment="1">
      <alignment horizontal="center" vertical="top"/>
    </xf>
    <xf numFmtId="0" fontId="13" fillId="0" borderId="43" xfId="0" applyFont="1" applyBorder="1" applyAlignment="1">
      <alignment horizontal="center" vertical="top"/>
    </xf>
    <xf numFmtId="0" fontId="13" fillId="4" borderId="4" xfId="0" applyFont="1" applyFill="1" applyBorder="1" applyAlignment="1">
      <alignment horizontal="center" vertical="top"/>
    </xf>
    <xf numFmtId="0" fontId="30" fillId="12" borderId="59" xfId="0" applyFont="1" applyFill="1" applyBorder="1" applyAlignment="1">
      <alignment horizontal="left"/>
    </xf>
    <xf numFmtId="0" fontId="61" fillId="0" borderId="0" xfId="0" applyFont="1" applyAlignment="1">
      <alignment horizontal="center" vertical="center"/>
    </xf>
    <xf numFmtId="0" fontId="2" fillId="5" borderId="12" xfId="0" applyFont="1" applyFill="1" applyBorder="1" applyAlignment="1">
      <alignment horizontal="center"/>
    </xf>
    <xf numFmtId="0" fontId="48" fillId="8" borderId="29" xfId="0" applyFont="1" applyFill="1" applyBorder="1" applyAlignment="1">
      <alignment horizontal="center"/>
    </xf>
    <xf numFmtId="0" fontId="2" fillId="8" borderId="48" xfId="0" applyFont="1" applyFill="1" applyBorder="1" applyAlignment="1">
      <alignment horizontal="center"/>
    </xf>
    <xf numFmtId="0" fontId="2" fillId="8" borderId="50" xfId="0" applyFont="1" applyFill="1" applyBorder="1" applyAlignment="1">
      <alignment horizontal="center"/>
    </xf>
    <xf numFmtId="0" fontId="2" fillId="8" borderId="34" xfId="0" applyFont="1" applyFill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2" fillId="4" borderId="48" xfId="0" applyFont="1" applyFill="1" applyBorder="1" applyAlignment="1">
      <alignment horizontal="left"/>
    </xf>
    <xf numFmtId="0" fontId="32" fillId="4" borderId="50" xfId="0" applyFont="1" applyFill="1" applyBorder="1" applyAlignment="1">
      <alignment horizontal="left"/>
    </xf>
    <xf numFmtId="0" fontId="32" fillId="4" borderId="34" xfId="0" applyFont="1" applyFill="1" applyBorder="1" applyAlignment="1">
      <alignment horizontal="left"/>
    </xf>
    <xf numFmtId="0" fontId="32" fillId="12" borderId="48" xfId="0" applyFont="1" applyFill="1" applyBorder="1" applyAlignment="1">
      <alignment horizontal="left"/>
    </xf>
    <xf numFmtId="0" fontId="32" fillId="12" borderId="50" xfId="0" applyFont="1" applyFill="1" applyBorder="1" applyAlignment="1">
      <alignment horizontal="left"/>
    </xf>
    <xf numFmtId="0" fontId="32" fillId="12" borderId="34" xfId="0" applyFont="1" applyFill="1" applyBorder="1" applyAlignment="1">
      <alignment horizontal="left"/>
    </xf>
    <xf numFmtId="0" fontId="2" fillId="0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64" fontId="2" fillId="0" borderId="12" xfId="1" applyFont="1" applyBorder="1" applyAlignment="1">
      <alignment horizontal="center" vertical="center"/>
    </xf>
    <xf numFmtId="164" fontId="2" fillId="0" borderId="12" xfId="1" applyFont="1" applyFill="1" applyBorder="1" applyAlignment="1">
      <alignment horizontal="center" vertical="center"/>
    </xf>
    <xf numFmtId="164" fontId="2" fillId="0" borderId="12" xfId="1" applyFont="1" applyFill="1" applyBorder="1" applyAlignment="1">
      <alignment horizontal="center" vertical="center" wrapText="1"/>
    </xf>
    <xf numFmtId="0" fontId="62" fillId="0" borderId="0" xfId="0" applyFont="1" applyAlignment="1">
      <alignment horizontal="left" vertical="center"/>
    </xf>
    <xf numFmtId="0" fontId="17" fillId="3" borderId="27" xfId="0" applyFont="1" applyFill="1" applyBorder="1" applyAlignment="1">
      <alignment horizontal="left" vertical="center"/>
    </xf>
    <xf numFmtId="0" fontId="17" fillId="3" borderId="24" xfId="0" applyFont="1" applyFill="1" applyBorder="1" applyAlignment="1">
      <alignment horizontal="left" vertical="center"/>
    </xf>
    <xf numFmtId="0" fontId="17" fillId="3" borderId="26" xfId="0" applyFont="1" applyFill="1" applyBorder="1" applyAlignment="1">
      <alignment horizontal="left" vertical="center"/>
    </xf>
    <xf numFmtId="0" fontId="16" fillId="10" borderId="69" xfId="0" applyFont="1" applyFill="1" applyBorder="1" applyAlignment="1">
      <alignment horizontal="center" vertical="center" wrapText="1"/>
    </xf>
    <xf numFmtId="0" fontId="16" fillId="10" borderId="39" xfId="0" applyFont="1" applyFill="1" applyBorder="1" applyAlignment="1">
      <alignment horizontal="center" vertical="center" wrapText="1"/>
    </xf>
    <xf numFmtId="3" fontId="2" fillId="10" borderId="68" xfId="0" applyNumberFormat="1" applyFont="1" applyFill="1" applyBorder="1" applyAlignment="1">
      <alignment horizontal="center" vertical="center"/>
    </xf>
    <xf numFmtId="3" fontId="2" fillId="10" borderId="40" xfId="0" applyNumberFormat="1" applyFont="1" applyFill="1" applyBorder="1" applyAlignment="1">
      <alignment horizontal="center" vertical="center"/>
    </xf>
    <xf numFmtId="3" fontId="4" fillId="10" borderId="71" xfId="0" applyNumberFormat="1" applyFont="1" applyFill="1" applyBorder="1" applyAlignment="1">
      <alignment horizontal="center" vertical="center"/>
    </xf>
    <xf numFmtId="3" fontId="4" fillId="10" borderId="68" xfId="0" applyNumberFormat="1" applyFont="1" applyFill="1" applyBorder="1" applyAlignment="1">
      <alignment horizontal="center" vertical="center"/>
    </xf>
    <xf numFmtId="3" fontId="4" fillId="10" borderId="70" xfId="0" applyNumberFormat="1" applyFont="1" applyFill="1" applyBorder="1" applyAlignment="1">
      <alignment horizontal="center" vertical="center"/>
    </xf>
    <xf numFmtId="3" fontId="4" fillId="10" borderId="55" xfId="0" applyNumberFormat="1" applyFont="1" applyFill="1" applyBorder="1" applyAlignment="1">
      <alignment horizontal="center" vertical="center"/>
    </xf>
    <xf numFmtId="3" fontId="4" fillId="10" borderId="40" xfId="0" applyNumberFormat="1" applyFont="1" applyFill="1" applyBorder="1" applyAlignment="1">
      <alignment horizontal="center" vertical="center"/>
    </xf>
    <xf numFmtId="3" fontId="4" fillId="10" borderId="42" xfId="0" applyNumberFormat="1" applyFont="1" applyFill="1" applyBorder="1" applyAlignment="1">
      <alignment horizontal="center" vertical="center"/>
    </xf>
    <xf numFmtId="43" fontId="2" fillId="8" borderId="62" xfId="0" applyNumberFormat="1" applyFont="1" applyFill="1" applyBorder="1" applyAlignment="1">
      <alignment horizontal="center"/>
    </xf>
    <xf numFmtId="43" fontId="2" fillId="8" borderId="38" xfId="0" applyNumberFormat="1" applyFont="1" applyFill="1" applyBorder="1" applyAlignment="1">
      <alignment horizontal="center"/>
    </xf>
    <xf numFmtId="43" fontId="7" fillId="9" borderId="62" xfId="0" applyNumberFormat="1" applyFont="1" applyFill="1" applyBorder="1" applyAlignment="1">
      <alignment horizontal="center"/>
    </xf>
    <xf numFmtId="43" fontId="7" fillId="9" borderId="63" xfId="0" applyNumberFormat="1" applyFont="1" applyFill="1" applyBorder="1" applyAlignment="1">
      <alignment horizontal="center"/>
    </xf>
    <xf numFmtId="43" fontId="7" fillId="9" borderId="38" xfId="0" applyNumberFormat="1" applyFont="1" applyFill="1" applyBorder="1" applyAlignment="1">
      <alignment horizontal="center"/>
    </xf>
    <xf numFmtId="164" fontId="0" fillId="8" borderId="67" xfId="1" applyFont="1" applyFill="1" applyBorder="1" applyAlignment="1">
      <alignment horizontal="center"/>
    </xf>
    <xf numFmtId="164" fontId="0" fillId="8" borderId="63" xfId="1" applyFont="1" applyFill="1" applyBorder="1" applyAlignment="1">
      <alignment horizontal="center"/>
    </xf>
    <xf numFmtId="164" fontId="0" fillId="8" borderId="64" xfId="1" applyFont="1" applyFill="1" applyBorder="1" applyAlignment="1">
      <alignment horizontal="center"/>
    </xf>
    <xf numFmtId="43" fontId="4" fillId="8" borderId="44" xfId="0" applyNumberFormat="1" applyFont="1" applyFill="1" applyBorder="1" applyAlignment="1">
      <alignment horizontal="center"/>
    </xf>
    <xf numFmtId="43" fontId="4" fillId="8" borderId="55" xfId="0" applyNumberFormat="1" applyFont="1" applyFill="1" applyBorder="1" applyAlignment="1">
      <alignment horizontal="center"/>
    </xf>
    <xf numFmtId="43" fontId="7" fillId="9" borderId="8" xfId="0" applyNumberFormat="1" applyFont="1" applyFill="1" applyBorder="1" applyAlignment="1">
      <alignment horizontal="center"/>
    </xf>
    <xf numFmtId="43" fontId="7" fillId="9" borderId="4" xfId="0" applyNumberFormat="1" applyFont="1" applyFill="1" applyBorder="1" applyAlignment="1">
      <alignment horizontal="center"/>
    </xf>
    <xf numFmtId="43" fontId="7" fillId="9" borderId="59" xfId="0" applyNumberFormat="1" applyFont="1" applyFill="1" applyBorder="1" applyAlignment="1">
      <alignment horizontal="center"/>
    </xf>
    <xf numFmtId="164" fontId="1" fillId="8" borderId="8" xfId="1" applyFont="1" applyFill="1" applyBorder="1" applyAlignment="1">
      <alignment horizontal="center"/>
    </xf>
    <xf numFmtId="164" fontId="1" fillId="8" borderId="4" xfId="1" applyFont="1" applyFill="1" applyBorder="1" applyAlignment="1">
      <alignment horizontal="center"/>
    </xf>
    <xf numFmtId="164" fontId="1" fillId="8" borderId="59" xfId="1" applyFont="1" applyFill="1" applyBorder="1" applyAlignment="1">
      <alignment horizontal="center"/>
    </xf>
    <xf numFmtId="164" fontId="2" fillId="8" borderId="9" xfId="0" applyNumberFormat="1" applyFont="1" applyFill="1" applyBorder="1" applyAlignment="1">
      <alignment horizontal="center"/>
    </xf>
    <xf numFmtId="164" fontId="2" fillId="8" borderId="59" xfId="0" applyNumberFormat="1" applyFont="1" applyFill="1" applyBorder="1" applyAlignment="1">
      <alignment horizontal="center"/>
    </xf>
    <xf numFmtId="164" fontId="7" fillId="9" borderId="9" xfId="0" applyNumberFormat="1" applyFont="1" applyFill="1" applyBorder="1" applyAlignment="1">
      <alignment horizontal="center"/>
    </xf>
    <xf numFmtId="164" fontId="7" fillId="9" borderId="4" xfId="0" applyNumberFormat="1" applyFont="1" applyFill="1" applyBorder="1" applyAlignment="1">
      <alignment horizontal="center"/>
    </xf>
    <xf numFmtId="164" fontId="7" fillId="9" borderId="59" xfId="0" applyNumberFormat="1" applyFont="1" applyFill="1" applyBorder="1" applyAlignment="1">
      <alignment horizontal="center"/>
    </xf>
    <xf numFmtId="164" fontId="20" fillId="8" borderId="8" xfId="1" applyFont="1" applyFill="1" applyBorder="1" applyAlignment="1">
      <alignment horizontal="center"/>
    </xf>
    <xf numFmtId="164" fontId="20" fillId="8" borderId="4" xfId="1" applyFont="1" applyFill="1" applyBorder="1" applyAlignment="1">
      <alignment horizontal="center"/>
    </xf>
    <xf numFmtId="164" fontId="20" fillId="8" borderId="10" xfId="1" applyFont="1" applyFill="1" applyBorder="1" applyAlignment="1">
      <alignment horizontal="center"/>
    </xf>
    <xf numFmtId="164" fontId="4" fillId="8" borderId="9" xfId="0" applyNumberFormat="1" applyFont="1" applyFill="1" applyBorder="1" applyAlignment="1">
      <alignment horizontal="center"/>
    </xf>
    <xf numFmtId="164" fontId="4" fillId="8" borderId="4" xfId="0" applyNumberFormat="1" applyFont="1" applyFill="1" applyBorder="1" applyAlignment="1">
      <alignment horizontal="center"/>
    </xf>
    <xf numFmtId="164" fontId="8" fillId="8" borderId="8" xfId="1" applyFont="1" applyFill="1" applyBorder="1" applyAlignment="1">
      <alignment horizontal="center"/>
    </xf>
    <xf numFmtId="164" fontId="8" fillId="8" borderId="4" xfId="1" applyFont="1" applyFill="1" applyBorder="1" applyAlignment="1">
      <alignment horizontal="center"/>
    </xf>
    <xf numFmtId="164" fontId="8" fillId="8" borderId="10" xfId="1" applyFont="1" applyFill="1" applyBorder="1" applyAlignment="1">
      <alignment horizontal="center"/>
    </xf>
    <xf numFmtId="0" fontId="24" fillId="6" borderId="65" xfId="0" applyFont="1" applyFill="1" applyBorder="1" applyAlignment="1">
      <alignment horizontal="left" vertical="center"/>
    </xf>
    <xf numFmtId="0" fontId="24" fillId="6" borderId="0" xfId="0" applyFont="1" applyFill="1" applyBorder="1" applyAlignment="1">
      <alignment horizontal="left" vertical="center"/>
    </xf>
    <xf numFmtId="3" fontId="2" fillId="10" borderId="70" xfId="0" applyNumberFormat="1" applyFont="1" applyFill="1" applyBorder="1" applyAlignment="1">
      <alignment horizontal="center" vertical="center"/>
    </xf>
    <xf numFmtId="3" fontId="2" fillId="10" borderId="42" xfId="0" applyNumberFormat="1" applyFont="1" applyFill="1" applyBorder="1" applyAlignment="1">
      <alignment horizontal="center" vertical="center"/>
    </xf>
    <xf numFmtId="43" fontId="19" fillId="8" borderId="44" xfId="0" applyNumberFormat="1" applyFont="1" applyFill="1" applyBorder="1" applyAlignment="1">
      <alignment horizontal="center"/>
    </xf>
    <xf numFmtId="43" fontId="19" fillId="8" borderId="55" xfId="0" applyNumberFormat="1" applyFont="1" applyFill="1" applyBorder="1" applyAlignment="1">
      <alignment horizontal="center"/>
    </xf>
    <xf numFmtId="164" fontId="21" fillId="8" borderId="14" xfId="1" applyFont="1" applyFill="1" applyBorder="1" applyAlignment="1">
      <alignment horizontal="center" vertical="center" wrapText="1"/>
    </xf>
    <xf numFmtId="164" fontId="21" fillId="8" borderId="15" xfId="1" applyFont="1" applyFill="1" applyBorder="1" applyAlignment="1">
      <alignment horizontal="center" vertical="center" wrapText="1"/>
    </xf>
    <xf numFmtId="164" fontId="21" fillId="8" borderId="16" xfId="1" applyFont="1" applyFill="1" applyBorder="1" applyAlignment="1">
      <alignment horizontal="center" vertical="center" wrapText="1"/>
    </xf>
    <xf numFmtId="164" fontId="21" fillId="8" borderId="65" xfId="1" applyFont="1" applyFill="1" applyBorder="1" applyAlignment="1">
      <alignment horizontal="center" vertical="center" wrapText="1"/>
    </xf>
    <xf numFmtId="164" fontId="21" fillId="8" borderId="0" xfId="1" applyFont="1" applyFill="1" applyBorder="1" applyAlignment="1">
      <alignment horizontal="center" vertical="center" wrapText="1"/>
    </xf>
    <xf numFmtId="164" fontId="21" fillId="8" borderId="58" xfId="1" applyFont="1" applyFill="1" applyBorder="1" applyAlignment="1">
      <alignment horizontal="center" vertical="center" wrapText="1"/>
    </xf>
    <xf numFmtId="164" fontId="21" fillId="8" borderId="43" xfId="1" applyFont="1" applyFill="1" applyBorder="1" applyAlignment="1">
      <alignment horizontal="center" vertical="center" wrapText="1"/>
    </xf>
    <xf numFmtId="164" fontId="21" fillId="8" borderId="44" xfId="1" applyFont="1" applyFill="1" applyBorder="1" applyAlignment="1">
      <alignment horizontal="center" vertical="center" wrapText="1"/>
    </xf>
    <xf numFmtId="164" fontId="21" fillId="8" borderId="45" xfId="1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left" vertical="center"/>
    </xf>
    <xf numFmtId="164" fontId="19" fillId="9" borderId="9" xfId="0" applyNumberFormat="1" applyFont="1" applyFill="1" applyBorder="1" applyAlignment="1">
      <alignment horizontal="center"/>
    </xf>
    <xf numFmtId="164" fontId="19" fillId="9" borderId="4" xfId="0" applyNumberFormat="1" applyFont="1" applyFill="1" applyBorder="1" applyAlignment="1">
      <alignment horizontal="center"/>
    </xf>
    <xf numFmtId="0" fontId="10" fillId="4" borderId="62" xfId="0" applyFont="1" applyFill="1" applyBorder="1" applyAlignment="1">
      <alignment horizontal="left" vertical="center"/>
    </xf>
    <xf numFmtId="0" fontId="10" fillId="4" borderId="63" xfId="0" applyFont="1" applyFill="1" applyBorder="1" applyAlignment="1">
      <alignment horizontal="left" vertical="center"/>
    </xf>
    <xf numFmtId="0" fontId="10" fillId="4" borderId="64" xfId="0" applyFont="1" applyFill="1" applyBorder="1" applyAlignment="1">
      <alignment horizontal="left" vertical="center"/>
    </xf>
    <xf numFmtId="164" fontId="22" fillId="8" borderId="14" xfId="1" applyFont="1" applyFill="1" applyBorder="1" applyAlignment="1">
      <alignment horizontal="center" vertical="center" wrapText="1"/>
    </xf>
    <xf numFmtId="164" fontId="22" fillId="8" borderId="15" xfId="1" applyFont="1" applyFill="1" applyBorder="1" applyAlignment="1">
      <alignment horizontal="center" vertical="center" wrapText="1"/>
    </xf>
    <xf numFmtId="164" fontId="22" fillId="8" borderId="16" xfId="1" applyFont="1" applyFill="1" applyBorder="1" applyAlignment="1">
      <alignment horizontal="center" vertical="center" wrapText="1"/>
    </xf>
    <xf numFmtId="43" fontId="19" fillId="9" borderId="44" xfId="0" applyNumberFormat="1" applyFont="1" applyFill="1" applyBorder="1" applyAlignment="1">
      <alignment horizontal="center"/>
    </xf>
    <xf numFmtId="43" fontId="19" fillId="9" borderId="55" xfId="0" applyNumberFormat="1" applyFont="1" applyFill="1" applyBorder="1" applyAlignment="1">
      <alignment horizontal="center"/>
    </xf>
    <xf numFmtId="3" fontId="2" fillId="10" borderId="68" xfId="0" applyNumberFormat="1" applyFont="1" applyFill="1" applyBorder="1" applyAlignment="1">
      <alignment horizontal="center" vertical="center" wrapText="1"/>
    </xf>
    <xf numFmtId="3" fontId="2" fillId="10" borderId="40" xfId="0" applyNumberFormat="1" applyFont="1" applyFill="1" applyBorder="1" applyAlignment="1">
      <alignment horizontal="center" vertical="center" wrapText="1"/>
    </xf>
    <xf numFmtId="164" fontId="8" fillId="8" borderId="15" xfId="1" applyFont="1" applyFill="1" applyBorder="1" applyAlignment="1">
      <alignment horizontal="center" vertical="center" wrapText="1"/>
    </xf>
    <xf numFmtId="164" fontId="8" fillId="8" borderId="16" xfId="1" applyFont="1" applyFill="1" applyBorder="1" applyAlignment="1">
      <alignment horizontal="center" vertical="center" wrapText="1"/>
    </xf>
    <xf numFmtId="164" fontId="8" fillId="8" borderId="65" xfId="1" applyFont="1" applyFill="1" applyBorder="1" applyAlignment="1">
      <alignment horizontal="center" vertical="center" wrapText="1"/>
    </xf>
    <xf numFmtId="164" fontId="8" fillId="8" borderId="0" xfId="1" applyFont="1" applyFill="1" applyBorder="1" applyAlignment="1">
      <alignment horizontal="center" vertical="center" wrapText="1"/>
    </xf>
    <xf numFmtId="164" fontId="8" fillId="8" borderId="58" xfId="1" applyFont="1" applyFill="1" applyBorder="1" applyAlignment="1">
      <alignment horizontal="center" vertical="center" wrapText="1"/>
    </xf>
    <xf numFmtId="164" fontId="8" fillId="8" borderId="43" xfId="1" applyFont="1" applyFill="1" applyBorder="1" applyAlignment="1">
      <alignment horizontal="center" vertical="center" wrapText="1"/>
    </xf>
    <xf numFmtId="164" fontId="8" fillId="8" borderId="44" xfId="1" applyFont="1" applyFill="1" applyBorder="1" applyAlignment="1">
      <alignment horizontal="center" vertical="center" wrapText="1"/>
    </xf>
    <xf numFmtId="164" fontId="8" fillId="8" borderId="45" xfId="1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left" vertical="center"/>
    </xf>
    <xf numFmtId="0" fontId="10" fillId="3" borderId="26" xfId="0" applyFont="1" applyFill="1" applyBorder="1" applyAlignment="1">
      <alignment horizontal="left" vertical="center"/>
    </xf>
    <xf numFmtId="164" fontId="0" fillId="8" borderId="8" xfId="1" applyFont="1" applyFill="1" applyBorder="1" applyAlignment="1">
      <alignment horizontal="center"/>
    </xf>
    <xf numFmtId="164" fontId="0" fillId="8" borderId="4" xfId="1" applyFont="1" applyFill="1" applyBorder="1" applyAlignment="1">
      <alignment horizontal="center"/>
    </xf>
    <xf numFmtId="164" fontId="0" fillId="8" borderId="59" xfId="1" applyFont="1" applyFill="1" applyBorder="1" applyAlignment="1">
      <alignment horizontal="center"/>
    </xf>
    <xf numFmtId="164" fontId="0" fillId="8" borderId="10" xfId="1" applyFont="1" applyFill="1" applyBorder="1" applyAlignment="1">
      <alignment horizontal="center"/>
    </xf>
    <xf numFmtId="0" fontId="2" fillId="10" borderId="69" xfId="0" applyFont="1" applyFill="1" applyBorder="1" applyAlignment="1">
      <alignment horizontal="center" vertical="center" wrapText="1"/>
    </xf>
    <xf numFmtId="0" fontId="2" fillId="10" borderId="39" xfId="0" applyFont="1" applyFill="1" applyBorder="1" applyAlignment="1">
      <alignment horizontal="center" vertical="center" wrapText="1"/>
    </xf>
    <xf numFmtId="164" fontId="0" fillId="8" borderId="38" xfId="1" applyFont="1" applyFill="1" applyBorder="1" applyAlignment="1">
      <alignment horizontal="center"/>
    </xf>
    <xf numFmtId="43" fontId="7" fillId="9" borderId="41" xfId="0" applyNumberFormat="1" applyFont="1" applyFill="1" applyBorder="1" applyAlignment="1">
      <alignment horizontal="center"/>
    </xf>
    <xf numFmtId="43" fontId="7" fillId="9" borderId="55" xfId="0" applyNumberFormat="1" applyFont="1" applyFill="1" applyBorder="1" applyAlignment="1">
      <alignment horizontal="center"/>
    </xf>
    <xf numFmtId="0" fontId="2" fillId="10" borderId="69" xfId="0" applyFont="1" applyFill="1" applyBorder="1" applyAlignment="1">
      <alignment horizontal="center" vertical="center"/>
    </xf>
    <xf numFmtId="0" fontId="2" fillId="10" borderId="3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4" fillId="8" borderId="9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25" fillId="0" borderId="44" xfId="0" applyFont="1" applyBorder="1" applyAlignment="1">
      <alignment horizontal="left" vertical="top"/>
    </xf>
    <xf numFmtId="164" fontId="2" fillId="2" borderId="23" xfId="1" applyFont="1" applyFill="1" applyBorder="1" applyAlignment="1">
      <alignment horizontal="center" vertical="center"/>
    </xf>
    <xf numFmtId="164" fontId="2" fillId="2" borderId="24" xfId="1" applyFont="1" applyFill="1" applyBorder="1" applyAlignment="1">
      <alignment horizontal="center" vertical="center"/>
    </xf>
    <xf numFmtId="164" fontId="2" fillId="2" borderId="27" xfId="1" applyFont="1" applyFill="1" applyBorder="1" applyAlignment="1">
      <alignment horizontal="center" vertical="center"/>
    </xf>
    <xf numFmtId="164" fontId="2" fillId="2" borderId="25" xfId="1" applyFont="1" applyFill="1" applyBorder="1" applyAlignment="1">
      <alignment horizontal="center" vertical="center"/>
    </xf>
    <xf numFmtId="164" fontId="2" fillId="2" borderId="32" xfId="1" applyFont="1" applyFill="1" applyBorder="1" applyAlignment="1">
      <alignment horizontal="center" vertical="center"/>
    </xf>
    <xf numFmtId="164" fontId="2" fillId="2" borderId="39" xfId="1" applyFont="1" applyFill="1" applyBorder="1" applyAlignment="1">
      <alignment horizontal="center" vertical="center"/>
    </xf>
    <xf numFmtId="164" fontId="2" fillId="2" borderId="51" xfId="1" applyFont="1" applyFill="1" applyBorder="1" applyAlignment="1">
      <alignment horizontal="center" vertical="center"/>
    </xf>
    <xf numFmtId="164" fontId="2" fillId="2" borderId="55" xfId="1" applyFont="1" applyFill="1" applyBorder="1" applyAlignment="1">
      <alignment horizontal="center" vertical="center"/>
    </xf>
    <xf numFmtId="164" fontId="2" fillId="2" borderId="31" xfId="1" applyFont="1" applyFill="1" applyBorder="1" applyAlignment="1">
      <alignment horizontal="center" vertical="center"/>
    </xf>
    <xf numFmtId="164" fontId="2" fillId="2" borderId="40" xfId="1" applyFont="1" applyFill="1" applyBorder="1" applyAlignment="1">
      <alignment horizontal="center" vertical="center"/>
    </xf>
    <xf numFmtId="164" fontId="2" fillId="2" borderId="12" xfId="1" applyFont="1" applyFill="1" applyBorder="1" applyAlignment="1">
      <alignment horizontal="center" vertical="center"/>
    </xf>
    <xf numFmtId="164" fontId="2" fillId="2" borderId="36" xfId="1" applyFont="1" applyFill="1" applyBorder="1" applyAlignment="1">
      <alignment horizontal="center" vertical="center"/>
    </xf>
    <xf numFmtId="164" fontId="2" fillId="2" borderId="48" xfId="1" applyFont="1" applyFill="1" applyBorder="1" applyAlignment="1">
      <alignment horizontal="center" vertical="center"/>
    </xf>
    <xf numFmtId="164" fontId="2" fillId="2" borderId="67" xfId="1" applyFont="1" applyFill="1" applyBorder="1" applyAlignment="1">
      <alignment horizontal="center" vertical="center"/>
    </xf>
    <xf numFmtId="164" fontId="2" fillId="2" borderId="14" xfId="1" applyFont="1" applyFill="1" applyBorder="1" applyAlignment="1">
      <alignment horizontal="center" vertical="center" wrapText="1"/>
    </xf>
    <xf numFmtId="164" fontId="2" fillId="2" borderId="15" xfId="1" applyFont="1" applyFill="1" applyBorder="1" applyAlignment="1">
      <alignment horizontal="center" vertical="center" wrapText="1"/>
    </xf>
    <xf numFmtId="164" fontId="2" fillId="2" borderId="16" xfId="1" applyFont="1" applyFill="1" applyBorder="1" applyAlignment="1">
      <alignment horizontal="center" vertical="center" wrapText="1"/>
    </xf>
    <xf numFmtId="164" fontId="2" fillId="2" borderId="28" xfId="1" applyFont="1" applyFill="1" applyBorder="1" applyAlignment="1">
      <alignment horizontal="center" vertical="center" wrapText="1"/>
    </xf>
    <xf numFmtId="164" fontId="2" fillId="2" borderId="29" xfId="1" applyFont="1" applyFill="1" applyBorder="1" applyAlignment="1">
      <alignment horizontal="center" vertical="center" wrapText="1"/>
    </xf>
    <xf numFmtId="164" fontId="2" fillId="2" borderId="30" xfId="1" applyFont="1" applyFill="1" applyBorder="1" applyAlignment="1">
      <alignment horizontal="center" vertical="center" wrapText="1"/>
    </xf>
    <xf numFmtId="164" fontId="2" fillId="2" borderId="17" xfId="1" applyFont="1" applyFill="1" applyBorder="1" applyAlignment="1">
      <alignment horizontal="center" vertical="center"/>
    </xf>
    <xf numFmtId="164" fontId="2" fillId="2" borderId="11" xfId="1" applyFont="1" applyFill="1" applyBorder="1" applyAlignment="1">
      <alignment horizontal="center" vertical="center"/>
    </xf>
    <xf numFmtId="164" fontId="2" fillId="2" borderId="35" xfId="1" applyFont="1" applyFill="1" applyBorder="1" applyAlignment="1">
      <alignment horizontal="center" vertical="center"/>
    </xf>
    <xf numFmtId="164" fontId="2" fillId="2" borderId="18" xfId="1" applyFont="1" applyFill="1" applyBorder="1" applyAlignment="1">
      <alignment horizontal="center" vertical="center"/>
    </xf>
    <xf numFmtId="164" fontId="2" fillId="2" borderId="19" xfId="1" applyFont="1" applyFill="1" applyBorder="1" applyAlignment="1">
      <alignment horizontal="center" vertical="center"/>
    </xf>
    <xf numFmtId="164" fontId="2" fillId="2" borderId="13" xfId="1" applyFont="1" applyFill="1" applyBorder="1" applyAlignment="1">
      <alignment horizontal="center" vertical="center"/>
    </xf>
    <xf numFmtId="164" fontId="2" fillId="2" borderId="37" xfId="1" applyFont="1" applyFill="1" applyBorder="1" applyAlignment="1">
      <alignment horizontal="center" vertical="center"/>
    </xf>
    <xf numFmtId="164" fontId="2" fillId="2" borderId="20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164" fontId="2" fillId="2" borderId="4" xfId="1" applyFont="1" applyFill="1" applyBorder="1" applyAlignment="1">
      <alignment horizontal="center" vertical="center" wrapText="1"/>
    </xf>
    <xf numFmtId="164" fontId="2" fillId="2" borderId="5" xfId="1" applyFont="1" applyFill="1" applyBorder="1" applyAlignment="1">
      <alignment horizontal="center" vertical="center"/>
    </xf>
    <xf numFmtId="164" fontId="2" fillId="2" borderId="6" xfId="1" applyFont="1" applyFill="1" applyBorder="1" applyAlignment="1">
      <alignment horizontal="center" vertical="center"/>
    </xf>
    <xf numFmtId="164" fontId="2" fillId="2" borderId="7" xfId="1" applyFont="1" applyFill="1" applyBorder="1" applyAlignment="1">
      <alignment horizontal="center" vertical="center"/>
    </xf>
    <xf numFmtId="164" fontId="2" fillId="2" borderId="21" xfId="1" applyFont="1" applyFill="1" applyBorder="1" applyAlignment="1">
      <alignment horizontal="center" vertical="center"/>
    </xf>
    <xf numFmtId="164" fontId="2" fillId="2" borderId="22" xfId="1" applyFont="1" applyFill="1" applyBorder="1" applyAlignment="1">
      <alignment horizontal="center" vertical="center"/>
    </xf>
    <xf numFmtId="164" fontId="2" fillId="2" borderId="41" xfId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2" fillId="2" borderId="2" xfId="1" applyFont="1" applyFill="1" applyBorder="1" applyAlignment="1">
      <alignment horizontal="center" vertical="center"/>
    </xf>
    <xf numFmtId="164" fontId="2" fillId="2" borderId="34" xfId="1" applyFont="1" applyFill="1" applyBorder="1" applyAlignment="1">
      <alignment horizontal="center" vertical="center"/>
    </xf>
    <xf numFmtId="164" fontId="2" fillId="2" borderId="38" xfId="1" applyFont="1" applyFill="1" applyBorder="1" applyAlignment="1">
      <alignment horizontal="center" vertical="center"/>
    </xf>
    <xf numFmtId="164" fontId="2" fillId="2" borderId="8" xfId="1" applyFont="1" applyFill="1" applyBorder="1" applyAlignment="1">
      <alignment horizontal="center" vertical="center"/>
    </xf>
    <xf numFmtId="164" fontId="3" fillId="2" borderId="9" xfId="1" applyFont="1" applyFill="1" applyBorder="1" applyAlignment="1">
      <alignment horizontal="center" vertical="center" wrapText="1"/>
    </xf>
    <xf numFmtId="164" fontId="3" fillId="2" borderId="4" xfId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14" fillId="3" borderId="43" xfId="0" applyFont="1" applyFill="1" applyBorder="1" applyAlignment="1">
      <alignment horizontal="left" vertical="center"/>
    </xf>
    <xf numFmtId="0" fontId="14" fillId="3" borderId="44" xfId="0" applyFont="1" applyFill="1" applyBorder="1" applyAlignment="1">
      <alignment horizontal="left" vertical="center"/>
    </xf>
    <xf numFmtId="0" fontId="14" fillId="3" borderId="45" xfId="0" applyFont="1" applyFill="1" applyBorder="1" applyAlignment="1">
      <alignment horizontal="left" vertical="center"/>
    </xf>
    <xf numFmtId="164" fontId="3" fillId="2" borderId="10" xfId="1" applyFont="1" applyFill="1" applyBorder="1" applyAlignment="1">
      <alignment horizontal="center" vertical="center" wrapText="1"/>
    </xf>
    <xf numFmtId="164" fontId="2" fillId="2" borderId="26" xfId="1" applyFont="1" applyFill="1" applyBorder="1" applyAlignment="1">
      <alignment horizontal="center" vertical="center"/>
    </xf>
    <xf numFmtId="43" fontId="7" fillId="9" borderId="9" xfId="0" applyNumberFormat="1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164" fontId="7" fillId="9" borderId="10" xfId="0" applyNumberFormat="1" applyFont="1" applyFill="1" applyBorder="1" applyAlignment="1">
      <alignment horizontal="center"/>
    </xf>
    <xf numFmtId="164" fontId="2" fillId="2" borderId="33" xfId="1" applyFont="1" applyFill="1" applyBorder="1" applyAlignment="1">
      <alignment horizontal="center" vertical="center"/>
    </xf>
    <xf numFmtId="164" fontId="2" fillId="2" borderId="42" xfId="1" applyFont="1" applyFill="1" applyBorder="1" applyAlignment="1">
      <alignment horizontal="center" vertical="center"/>
    </xf>
    <xf numFmtId="0" fontId="16" fillId="10" borderId="69" xfId="0" applyFont="1" applyFill="1" applyBorder="1" applyAlignment="1">
      <alignment horizontal="center" vertical="center"/>
    </xf>
    <xf numFmtId="0" fontId="16" fillId="10" borderId="39" xfId="0" applyFont="1" applyFill="1" applyBorder="1" applyAlignment="1">
      <alignment horizontal="center" vertical="center"/>
    </xf>
    <xf numFmtId="0" fontId="13" fillId="5" borderId="65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58" xfId="0" applyFont="1" applyFill="1" applyBorder="1" applyAlignment="1">
      <alignment horizontal="center" vertical="center"/>
    </xf>
    <xf numFmtId="0" fontId="13" fillId="5" borderId="43" xfId="0" applyFont="1" applyFill="1" applyBorder="1" applyAlignment="1">
      <alignment horizontal="center" vertical="center"/>
    </xf>
    <xf numFmtId="0" fontId="13" fillId="5" borderId="44" xfId="0" applyFont="1" applyFill="1" applyBorder="1" applyAlignment="1">
      <alignment horizontal="center" vertical="center"/>
    </xf>
    <xf numFmtId="0" fontId="13" fillId="5" borderId="45" xfId="0" applyFont="1" applyFill="1" applyBorder="1" applyAlignment="1">
      <alignment horizontal="center" vertical="center"/>
    </xf>
    <xf numFmtId="164" fontId="9" fillId="9" borderId="8" xfId="1" applyFont="1" applyFill="1" applyBorder="1" applyAlignment="1">
      <alignment horizontal="center"/>
    </xf>
    <xf numFmtId="164" fontId="9" fillId="9" borderId="4" xfId="1" applyFont="1" applyFill="1" applyBorder="1" applyAlignment="1">
      <alignment horizontal="center"/>
    </xf>
    <xf numFmtId="164" fontId="9" fillId="9" borderId="59" xfId="1" applyFont="1" applyFill="1" applyBorder="1" applyAlignment="1">
      <alignment horizontal="center"/>
    </xf>
    <xf numFmtId="164" fontId="9" fillId="9" borderId="67" xfId="1" applyFont="1" applyFill="1" applyBorder="1" applyAlignment="1">
      <alignment horizontal="center"/>
    </xf>
    <xf numFmtId="164" fontId="9" fillId="9" borderId="63" xfId="1" applyFont="1" applyFill="1" applyBorder="1" applyAlignment="1">
      <alignment horizontal="center"/>
    </xf>
    <xf numFmtId="164" fontId="9" fillId="9" borderId="38" xfId="1" applyFont="1" applyFill="1" applyBorder="1" applyAlignment="1">
      <alignment horizontal="center"/>
    </xf>
    <xf numFmtId="43" fontId="2" fillId="8" borderId="41" xfId="0" applyNumberFormat="1" applyFont="1" applyFill="1" applyBorder="1" applyAlignment="1">
      <alignment horizontal="center"/>
    </xf>
    <xf numFmtId="43" fontId="2" fillId="8" borderId="55" xfId="0" applyNumberFormat="1" applyFont="1" applyFill="1" applyBorder="1" applyAlignment="1">
      <alignment horizontal="center"/>
    </xf>
    <xf numFmtId="164" fontId="2" fillId="8" borderId="4" xfId="0" applyNumberFormat="1" applyFont="1" applyFill="1" applyBorder="1" applyAlignment="1">
      <alignment horizontal="center"/>
    </xf>
    <xf numFmtId="43" fontId="2" fillId="8" borderId="63" xfId="0" applyNumberFormat="1" applyFont="1" applyFill="1" applyBorder="1" applyAlignment="1">
      <alignment horizontal="center"/>
    </xf>
    <xf numFmtId="164" fontId="9" fillId="9" borderId="10" xfId="1" applyFont="1" applyFill="1" applyBorder="1" applyAlignment="1">
      <alignment horizontal="center"/>
    </xf>
    <xf numFmtId="0" fontId="24" fillId="6" borderId="28" xfId="0" applyFont="1" applyFill="1" applyBorder="1" applyAlignment="1">
      <alignment horizontal="left" vertical="center"/>
    </xf>
    <xf numFmtId="0" fontId="24" fillId="6" borderId="29" xfId="0" applyFont="1" applyFill="1" applyBorder="1" applyAlignment="1">
      <alignment horizontal="left" vertical="center"/>
    </xf>
    <xf numFmtId="0" fontId="24" fillId="6" borderId="30" xfId="0" applyFont="1" applyFill="1" applyBorder="1" applyAlignment="1">
      <alignment horizontal="left" vertical="center"/>
    </xf>
    <xf numFmtId="164" fontId="15" fillId="9" borderId="8" xfId="1" applyFont="1" applyFill="1" applyBorder="1" applyAlignment="1">
      <alignment horizontal="center"/>
    </xf>
    <xf numFmtId="164" fontId="15" fillId="9" borderId="4" xfId="1" applyFont="1" applyFill="1" applyBorder="1" applyAlignment="1">
      <alignment horizontal="center"/>
    </xf>
    <xf numFmtId="164" fontId="15" fillId="9" borderId="59" xfId="1" applyFont="1" applyFill="1" applyBorder="1" applyAlignment="1">
      <alignment horizontal="center"/>
    </xf>
    <xf numFmtId="164" fontId="18" fillId="9" borderId="8" xfId="1" applyFont="1" applyFill="1" applyBorder="1" applyAlignment="1">
      <alignment horizontal="center"/>
    </xf>
    <xf numFmtId="164" fontId="18" fillId="9" borderId="4" xfId="1" applyFont="1" applyFill="1" applyBorder="1" applyAlignment="1">
      <alignment horizontal="center"/>
    </xf>
    <xf numFmtId="164" fontId="18" fillId="9" borderId="10" xfId="1" applyFont="1" applyFill="1" applyBorder="1" applyAlignment="1">
      <alignment horizontal="center"/>
    </xf>
    <xf numFmtId="0" fontId="56" fillId="5" borderId="60" xfId="0" applyFont="1" applyFill="1" applyBorder="1" applyAlignment="1">
      <alignment horizontal="center"/>
    </xf>
    <xf numFmtId="0" fontId="56" fillId="5" borderId="54" xfId="0" applyFont="1" applyFill="1" applyBorder="1" applyAlignment="1">
      <alignment horizontal="center"/>
    </xf>
    <xf numFmtId="0" fontId="56" fillId="5" borderId="51" xfId="0" applyFont="1" applyFill="1" applyBorder="1" applyAlignment="1">
      <alignment horizontal="center"/>
    </xf>
    <xf numFmtId="3" fontId="17" fillId="3" borderId="9" xfId="2" applyNumberFormat="1" applyFont="1" applyFill="1" applyBorder="1" applyAlignment="1">
      <alignment horizontal="left" vertical="center"/>
    </xf>
    <xf numFmtId="3" fontId="17" fillId="3" borderId="4" xfId="2" applyNumberFormat="1" applyFont="1" applyFill="1" applyBorder="1" applyAlignment="1">
      <alignment horizontal="left" vertical="center"/>
    </xf>
    <xf numFmtId="3" fontId="17" fillId="3" borderId="10" xfId="2" applyNumberFormat="1" applyFont="1" applyFill="1" applyBorder="1" applyAlignment="1">
      <alignment horizontal="left" vertical="center"/>
    </xf>
    <xf numFmtId="0" fontId="24" fillId="8" borderId="9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1" fontId="17" fillId="8" borderId="9" xfId="3" applyNumberFormat="1" applyFont="1" applyFill="1" applyBorder="1" applyAlignment="1" applyProtection="1">
      <alignment horizontal="center"/>
    </xf>
    <xf numFmtId="1" fontId="17" fillId="8" borderId="4" xfId="3" applyNumberFormat="1" applyFont="1" applyFill="1" applyBorder="1" applyAlignment="1" applyProtection="1">
      <alignment horizontal="center"/>
    </xf>
    <xf numFmtId="1" fontId="17" fillId="8" borderId="10" xfId="3" applyNumberFormat="1" applyFont="1" applyFill="1" applyBorder="1" applyAlignment="1" applyProtection="1">
      <alignment horizontal="center"/>
    </xf>
    <xf numFmtId="0" fontId="17" fillId="8" borderId="48" xfId="0" applyFont="1" applyFill="1" applyBorder="1" applyAlignment="1">
      <alignment horizontal="center"/>
    </xf>
    <xf numFmtId="0" fontId="17" fillId="8" borderId="50" xfId="0" applyFont="1" applyFill="1" applyBorder="1" applyAlignment="1">
      <alignment horizontal="center"/>
    </xf>
    <xf numFmtId="0" fontId="13" fillId="2" borderId="52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5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12" xfId="4" applyNumberFormat="1" applyFont="1" applyFill="1" applyBorder="1" applyAlignment="1">
      <alignment horizontal="center" vertical="center" wrapText="1"/>
    </xf>
    <xf numFmtId="0" fontId="13" fillId="2" borderId="31" xfId="4" applyNumberFormat="1" applyFont="1" applyFill="1" applyBorder="1" applyAlignment="1">
      <alignment horizontal="center" vertical="center" wrapText="1"/>
    </xf>
    <xf numFmtId="164" fontId="13" fillId="2" borderId="12" xfId="1" applyFont="1" applyFill="1" applyBorder="1" applyAlignment="1">
      <alignment horizontal="center" vertical="center" wrapText="1"/>
    </xf>
    <xf numFmtId="164" fontId="13" fillId="2" borderId="31" xfId="1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left" vertical="center"/>
    </xf>
    <xf numFmtId="0" fontId="24" fillId="4" borderId="4" xfId="0" applyFont="1" applyFill="1" applyBorder="1" applyAlignment="1">
      <alignment horizontal="left" vertical="center"/>
    </xf>
    <xf numFmtId="0" fontId="24" fillId="4" borderId="10" xfId="0" applyFont="1" applyFill="1" applyBorder="1" applyAlignment="1">
      <alignment horizontal="left" vertical="center"/>
    </xf>
    <xf numFmtId="0" fontId="54" fillId="3" borderId="9" xfId="0" applyFont="1" applyFill="1" applyBorder="1" applyAlignment="1">
      <alignment horizontal="left" vertical="center"/>
    </xf>
    <xf numFmtId="0" fontId="54" fillId="3" borderId="4" xfId="0" applyFont="1" applyFill="1" applyBorder="1" applyAlignment="1">
      <alignment horizontal="left" vertical="center"/>
    </xf>
    <xf numFmtId="0" fontId="54" fillId="3" borderId="10" xfId="0" applyFont="1" applyFill="1" applyBorder="1" applyAlignment="1">
      <alignment horizontal="left" vertical="center"/>
    </xf>
    <xf numFmtId="0" fontId="38" fillId="6" borderId="27" xfId="0" applyFont="1" applyFill="1" applyBorder="1" applyAlignment="1">
      <alignment horizontal="left"/>
    </xf>
    <xf numFmtId="0" fontId="38" fillId="6" borderId="24" xfId="0" applyFont="1" applyFill="1" applyBorder="1" applyAlignment="1">
      <alignment horizontal="left"/>
    </xf>
    <xf numFmtId="0" fontId="38" fillId="6" borderId="26" xfId="0" applyFont="1" applyFill="1" applyBorder="1" applyAlignment="1">
      <alignment horizontal="left"/>
    </xf>
    <xf numFmtId="0" fontId="38" fillId="11" borderId="22" xfId="0" applyFont="1" applyFill="1" applyBorder="1" applyAlignment="1">
      <alignment horizontal="center"/>
    </xf>
    <xf numFmtId="0" fontId="38" fillId="11" borderId="0" xfId="0" applyFont="1" applyFill="1" applyBorder="1" applyAlignment="1">
      <alignment horizontal="center"/>
    </xf>
    <xf numFmtId="0" fontId="38" fillId="11" borderId="54" xfId="0" applyFont="1" applyFill="1" applyBorder="1" applyAlignment="1">
      <alignment horizontal="center"/>
    </xf>
    <xf numFmtId="0" fontId="38" fillId="5" borderId="46" xfId="0" applyFont="1" applyFill="1" applyBorder="1" applyAlignment="1">
      <alignment horizontal="center"/>
    </xf>
    <xf numFmtId="0" fontId="38" fillId="5" borderId="29" xfId="0" applyFont="1" applyFill="1" applyBorder="1" applyAlignment="1">
      <alignment horizontal="center"/>
    </xf>
    <xf numFmtId="0" fontId="38" fillId="5" borderId="50" xfId="0" applyFont="1" applyFill="1" applyBorder="1" applyAlignment="1">
      <alignment horizontal="center"/>
    </xf>
    <xf numFmtId="0" fontId="13" fillId="2" borderId="31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3" fontId="17" fillId="11" borderId="43" xfId="2" applyNumberFormat="1" applyFont="1" applyFill="1" applyBorder="1" applyAlignment="1">
      <alignment horizontal="center" vertical="center"/>
    </xf>
    <xf numFmtId="3" fontId="17" fillId="11" borderId="44" xfId="2" applyNumberFormat="1" applyFont="1" applyFill="1" applyBorder="1" applyAlignment="1">
      <alignment horizontal="center" vertical="center"/>
    </xf>
    <xf numFmtId="0" fontId="56" fillId="11" borderId="62" xfId="0" applyFont="1" applyFill="1" applyBorder="1" applyAlignment="1">
      <alignment horizontal="center"/>
    </xf>
    <xf numFmtId="0" fontId="56" fillId="11" borderId="63" xfId="0" applyFont="1" applyFill="1" applyBorder="1" applyAlignment="1">
      <alignment horizontal="center"/>
    </xf>
    <xf numFmtId="3" fontId="17" fillId="8" borderId="48" xfId="0" applyNumberFormat="1" applyFont="1" applyFill="1" applyBorder="1" applyAlignment="1">
      <alignment horizontal="center"/>
    </xf>
    <xf numFmtId="3" fontId="17" fillId="8" borderId="50" xfId="0" applyNumberFormat="1" applyFont="1" applyFill="1" applyBorder="1" applyAlignment="1">
      <alignment horizontal="center"/>
    </xf>
    <xf numFmtId="0" fontId="56" fillId="11" borderId="60" xfId="0" applyFont="1" applyFill="1" applyBorder="1" applyAlignment="1">
      <alignment horizontal="center"/>
    </xf>
    <xf numFmtId="0" fontId="56" fillId="11" borderId="54" xfId="0" applyFont="1" applyFill="1" applyBorder="1" applyAlignment="1">
      <alignment horizontal="center"/>
    </xf>
    <xf numFmtId="3" fontId="17" fillId="3" borderId="65" xfId="2" applyNumberFormat="1" applyFont="1" applyFill="1" applyBorder="1" applyAlignment="1">
      <alignment horizontal="left" vertical="center"/>
    </xf>
    <xf numFmtId="3" fontId="17" fillId="3" borderId="0" xfId="2" applyNumberFormat="1" applyFont="1" applyFill="1" applyBorder="1" applyAlignment="1">
      <alignment horizontal="left" vertical="center"/>
    </xf>
    <xf numFmtId="3" fontId="17" fillId="3" borderId="57" xfId="2" applyNumberFormat="1" applyFont="1" applyFill="1" applyBorder="1" applyAlignment="1">
      <alignment horizontal="left" vertical="center"/>
    </xf>
    <xf numFmtId="3" fontId="17" fillId="6" borderId="61" xfId="2" applyNumberFormat="1" applyFont="1" applyFill="1" applyBorder="1" applyAlignment="1">
      <alignment horizontal="left" vertical="center"/>
    </xf>
    <xf numFmtId="3" fontId="17" fillId="6" borderId="50" xfId="2" applyNumberFormat="1" applyFont="1" applyFill="1" applyBorder="1" applyAlignment="1">
      <alignment horizontal="left" vertical="center"/>
    </xf>
    <xf numFmtId="3" fontId="17" fillId="6" borderId="34" xfId="2" applyNumberFormat="1" applyFont="1" applyFill="1" applyBorder="1" applyAlignment="1">
      <alignment horizontal="left" vertical="center"/>
    </xf>
    <xf numFmtId="0" fontId="38" fillId="11" borderId="31" xfId="0" applyFont="1" applyFill="1" applyBorder="1" applyAlignment="1">
      <alignment horizontal="center"/>
    </xf>
    <xf numFmtId="0" fontId="38" fillId="4" borderId="9" xfId="0" applyFont="1" applyFill="1" applyBorder="1" applyAlignment="1">
      <alignment horizontal="left"/>
    </xf>
    <xf numFmtId="0" fontId="38" fillId="4" borderId="4" xfId="0" applyFont="1" applyFill="1" applyBorder="1" applyAlignment="1">
      <alignment horizontal="left"/>
    </xf>
    <xf numFmtId="0" fontId="38" fillId="4" borderId="10" xfId="0" applyFont="1" applyFill="1" applyBorder="1" applyAlignment="1">
      <alignment horizontal="left"/>
    </xf>
    <xf numFmtId="3" fontId="17" fillId="6" borderId="27" xfId="2" applyNumberFormat="1" applyFont="1" applyFill="1" applyBorder="1" applyAlignment="1">
      <alignment horizontal="left" vertical="center"/>
    </xf>
    <xf numFmtId="3" fontId="17" fillId="6" borderId="24" xfId="2" applyNumberFormat="1" applyFont="1" applyFill="1" applyBorder="1" applyAlignment="1">
      <alignment horizontal="left" vertical="center"/>
    </xf>
    <xf numFmtId="3" fontId="17" fillId="6" borderId="25" xfId="2" applyNumberFormat="1" applyFont="1" applyFill="1" applyBorder="1" applyAlignment="1">
      <alignment horizontal="left" vertical="center"/>
    </xf>
    <xf numFmtId="3" fontId="17" fillId="8" borderId="9" xfId="0" applyNumberFormat="1" applyFont="1" applyFill="1" applyBorder="1" applyAlignment="1">
      <alignment horizontal="center"/>
    </xf>
    <xf numFmtId="3" fontId="17" fillId="8" borderId="4" xfId="0" applyNumberFormat="1" applyFont="1" applyFill="1" applyBorder="1" applyAlignment="1">
      <alignment horizontal="center"/>
    </xf>
    <xf numFmtId="3" fontId="17" fillId="8" borderId="10" xfId="0" applyNumberFormat="1" applyFont="1" applyFill="1" applyBorder="1" applyAlignment="1">
      <alignment horizontal="center"/>
    </xf>
    <xf numFmtId="3" fontId="17" fillId="8" borderId="9" xfId="2" applyNumberFormat="1" applyFont="1" applyFill="1" applyBorder="1" applyAlignment="1">
      <alignment horizontal="center" vertical="center"/>
    </xf>
    <xf numFmtId="3" fontId="17" fillId="8" borderId="4" xfId="2" applyNumberFormat="1" applyFont="1" applyFill="1" applyBorder="1" applyAlignment="1">
      <alignment horizontal="center" vertical="center"/>
    </xf>
    <xf numFmtId="3" fontId="17" fillId="11" borderId="9" xfId="2" applyNumberFormat="1" applyFont="1" applyFill="1" applyBorder="1" applyAlignment="1">
      <alignment horizontal="center" vertical="center"/>
    </xf>
    <xf numFmtId="3" fontId="17" fillId="11" borderId="4" xfId="2" applyNumberFormat="1" applyFont="1" applyFill="1" applyBorder="1" applyAlignment="1">
      <alignment horizontal="center" vertical="center"/>
    </xf>
    <xf numFmtId="0" fontId="17" fillId="6" borderId="46" xfId="0" applyFont="1" applyFill="1" applyBorder="1" applyAlignment="1">
      <alignment horizontal="left"/>
    </xf>
    <xf numFmtId="0" fontId="17" fillId="6" borderId="29" xfId="0" applyFont="1" applyFill="1" applyBorder="1" applyAlignment="1">
      <alignment horizontal="left"/>
    </xf>
    <xf numFmtId="0" fontId="17" fillId="6" borderId="47" xfId="0" applyFont="1" applyFill="1" applyBorder="1" applyAlignment="1">
      <alignment horizontal="left"/>
    </xf>
    <xf numFmtId="0" fontId="17" fillId="4" borderId="60" xfId="0" applyFont="1" applyFill="1" applyBorder="1" applyAlignment="1">
      <alignment horizontal="left"/>
    </xf>
    <xf numFmtId="0" fontId="17" fillId="4" borderId="54" xfId="0" applyFont="1" applyFill="1" applyBorder="1" applyAlignment="1">
      <alignment horizontal="left"/>
    </xf>
    <xf numFmtId="0" fontId="17" fillId="4" borderId="51" xfId="0" applyFont="1" applyFill="1" applyBorder="1" applyAlignment="1">
      <alignment horizontal="left"/>
    </xf>
    <xf numFmtId="0" fontId="38" fillId="3" borderId="61" xfId="0" applyFont="1" applyFill="1" applyBorder="1" applyAlignment="1">
      <alignment horizontal="left"/>
    </xf>
    <xf numFmtId="0" fontId="38" fillId="3" borderId="50" xfId="0" applyFont="1" applyFill="1" applyBorder="1" applyAlignment="1">
      <alignment horizontal="left"/>
    </xf>
    <xf numFmtId="0" fontId="38" fillId="3" borderId="34" xfId="0" applyFont="1" applyFill="1" applyBorder="1" applyAlignment="1">
      <alignment horizontal="left"/>
    </xf>
    <xf numFmtId="3" fontId="17" fillId="3" borderId="23" xfId="2" applyNumberFormat="1" applyFont="1" applyFill="1" applyBorder="1" applyAlignment="1">
      <alignment horizontal="left" vertical="center"/>
    </xf>
    <xf numFmtId="3" fontId="17" fillId="3" borderId="24" xfId="2" applyNumberFormat="1" applyFont="1" applyFill="1" applyBorder="1" applyAlignment="1">
      <alignment horizontal="left" vertical="center"/>
    </xf>
    <xf numFmtId="3" fontId="17" fillId="3" borderId="25" xfId="2" applyNumberFormat="1" applyFont="1" applyFill="1" applyBorder="1" applyAlignment="1">
      <alignment horizontal="left" vertical="center"/>
    </xf>
    <xf numFmtId="0" fontId="38" fillId="11" borderId="46" xfId="0" applyFont="1" applyFill="1" applyBorder="1" applyAlignment="1">
      <alignment horizontal="center"/>
    </xf>
    <xf numFmtId="0" fontId="38" fillId="11" borderId="29" xfId="0" applyFont="1" applyFill="1" applyBorder="1" applyAlignment="1">
      <alignment horizontal="center"/>
    </xf>
    <xf numFmtId="0" fontId="38" fillId="11" borderId="50" xfId="0" applyFont="1" applyFill="1" applyBorder="1" applyAlignment="1">
      <alignment horizontal="center"/>
    </xf>
    <xf numFmtId="0" fontId="17" fillId="11" borderId="48" xfId="0" applyFont="1" applyFill="1" applyBorder="1" applyAlignment="1">
      <alignment horizontal="center"/>
    </xf>
    <xf numFmtId="0" fontId="17" fillId="11" borderId="50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center"/>
    </xf>
    <xf numFmtId="3" fontId="17" fillId="11" borderId="14" xfId="2" applyNumberFormat="1" applyFont="1" applyFill="1" applyBorder="1" applyAlignment="1">
      <alignment horizontal="center" vertical="center"/>
    </xf>
    <xf numFmtId="3" fontId="17" fillId="11" borderId="15" xfId="2" applyNumberFormat="1" applyFont="1" applyFill="1" applyBorder="1" applyAlignment="1">
      <alignment horizontal="center" vertical="center"/>
    </xf>
    <xf numFmtId="0" fontId="38" fillId="8" borderId="48" xfId="0" applyFont="1" applyFill="1" applyBorder="1" applyAlignment="1">
      <alignment horizontal="center"/>
    </xf>
    <xf numFmtId="0" fontId="38" fillId="8" borderId="50" xfId="0" applyFont="1" applyFill="1" applyBorder="1" applyAlignment="1">
      <alignment horizontal="center"/>
    </xf>
    <xf numFmtId="0" fontId="38" fillId="3" borderId="9" xfId="0" applyFont="1" applyFill="1" applyBorder="1" applyAlignment="1">
      <alignment horizontal="left"/>
    </xf>
    <xf numFmtId="0" fontId="38" fillId="3" borderId="4" xfId="0" applyFont="1" applyFill="1" applyBorder="1" applyAlignment="1">
      <alignment horizontal="left"/>
    </xf>
    <xf numFmtId="0" fontId="38" fillId="3" borderId="10" xfId="0" applyFont="1" applyFill="1" applyBorder="1" applyAlignment="1">
      <alignment horizontal="left"/>
    </xf>
    <xf numFmtId="0" fontId="38" fillId="6" borderId="9" xfId="0" applyFont="1" applyFill="1" applyBorder="1" applyAlignment="1">
      <alignment horizontal="left"/>
    </xf>
    <xf numFmtId="0" fontId="38" fillId="6" borderId="4" xfId="0" applyFont="1" applyFill="1" applyBorder="1" applyAlignment="1">
      <alignment horizontal="left"/>
    </xf>
    <xf numFmtId="0" fontId="38" fillId="6" borderId="59" xfId="0" applyFont="1" applyFill="1" applyBorder="1" applyAlignment="1">
      <alignment horizontal="left"/>
    </xf>
    <xf numFmtId="0" fontId="38" fillId="6" borderId="10" xfId="0" applyFont="1" applyFill="1" applyBorder="1" applyAlignment="1">
      <alignment horizontal="left"/>
    </xf>
    <xf numFmtId="0" fontId="38" fillId="6" borderId="23" xfId="0" applyFont="1" applyFill="1" applyBorder="1" applyAlignment="1">
      <alignment horizontal="left"/>
    </xf>
    <xf numFmtId="0" fontId="38" fillId="6" borderId="25" xfId="0" applyFont="1" applyFill="1" applyBorder="1" applyAlignment="1">
      <alignment horizontal="left"/>
    </xf>
    <xf numFmtId="0" fontId="38" fillId="4" borderId="9" xfId="0" applyFont="1" applyFill="1" applyBorder="1" applyAlignment="1">
      <alignment horizontal="center" vertical="center"/>
    </xf>
    <xf numFmtId="0" fontId="38" fillId="4" borderId="4" xfId="0" applyFont="1" applyFill="1" applyBorder="1" applyAlignment="1">
      <alignment horizontal="center" vertical="center"/>
    </xf>
    <xf numFmtId="0" fontId="24" fillId="12" borderId="9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center" vertical="center"/>
    </xf>
    <xf numFmtId="0" fontId="38" fillId="11" borderId="9" xfId="0" applyFont="1" applyFill="1" applyBorder="1" applyAlignment="1">
      <alignment horizontal="center" vertical="center"/>
    </xf>
    <xf numFmtId="0" fontId="38" fillId="11" borderId="4" xfId="0" applyFont="1" applyFill="1" applyBorder="1" applyAlignment="1">
      <alignment horizontal="center" vertical="center"/>
    </xf>
    <xf numFmtId="0" fontId="38" fillId="11" borderId="10" xfId="0" applyFont="1" applyFill="1" applyBorder="1" applyAlignment="1">
      <alignment horizontal="center" vertical="center"/>
    </xf>
    <xf numFmtId="0" fontId="38" fillId="11" borderId="62" xfId="0" applyFont="1" applyFill="1" applyBorder="1" applyAlignment="1">
      <alignment horizontal="center" vertical="center"/>
    </xf>
    <xf numFmtId="0" fontId="38" fillId="11" borderId="63" xfId="0" applyFont="1" applyFill="1" applyBorder="1" applyAlignment="1">
      <alignment horizontal="center" vertical="center"/>
    </xf>
    <xf numFmtId="0" fontId="24" fillId="8" borderId="61" xfId="0" applyFont="1" applyFill="1" applyBorder="1" applyAlignment="1">
      <alignment horizontal="left" vertical="center"/>
    </xf>
    <xf numFmtId="0" fontId="24" fillId="8" borderId="50" xfId="0" applyFont="1" applyFill="1" applyBorder="1" applyAlignment="1">
      <alignment horizontal="left" vertical="center"/>
    </xf>
    <xf numFmtId="0" fontId="24" fillId="8" borderId="49" xfId="0" applyFont="1" applyFill="1" applyBorder="1" applyAlignment="1">
      <alignment horizontal="left" vertical="center"/>
    </xf>
    <xf numFmtId="0" fontId="24" fillId="11" borderId="61" xfId="0" applyFont="1" applyFill="1" applyBorder="1" applyAlignment="1">
      <alignment horizontal="center" vertical="center"/>
    </xf>
    <xf numFmtId="0" fontId="24" fillId="11" borderId="50" xfId="0" applyFont="1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/>
    </xf>
    <xf numFmtId="0" fontId="24" fillId="8" borderId="4" xfId="0" applyFont="1" applyFill="1" applyBorder="1" applyAlignment="1">
      <alignment horizontal="center"/>
    </xf>
    <xf numFmtId="0" fontId="24" fillId="8" borderId="10" xfId="0" applyFont="1" applyFill="1" applyBorder="1" applyAlignment="1">
      <alignment horizontal="center"/>
    </xf>
    <xf numFmtId="0" fontId="24" fillId="8" borderId="9" xfId="0" applyFont="1" applyFill="1" applyBorder="1" applyAlignment="1">
      <alignment horizontal="left"/>
    </xf>
    <xf numFmtId="0" fontId="24" fillId="8" borderId="4" xfId="0" applyFont="1" applyFill="1" applyBorder="1" applyAlignment="1">
      <alignment horizontal="left"/>
    </xf>
    <xf numFmtId="0" fontId="24" fillId="8" borderId="10" xfId="0" applyFont="1" applyFill="1" applyBorder="1" applyAlignment="1">
      <alignment horizontal="left"/>
    </xf>
    <xf numFmtId="0" fontId="38" fillId="2" borderId="23" xfId="0" applyFont="1" applyFill="1" applyBorder="1" applyAlignment="1">
      <alignment horizontal="center" vertical="center" wrapText="1"/>
    </xf>
    <xf numFmtId="0" fontId="38" fillId="2" borderId="26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/>
    </xf>
    <xf numFmtId="0" fontId="24" fillId="6" borderId="61" xfId="0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left" vertical="center"/>
    </xf>
    <xf numFmtId="0" fontId="24" fillId="6" borderId="49" xfId="0" applyFont="1" applyFill="1" applyBorder="1" applyAlignment="1">
      <alignment horizontal="left" vertical="center"/>
    </xf>
    <xf numFmtId="0" fontId="38" fillId="2" borderId="69" xfId="0" applyFont="1" applyFill="1" applyBorder="1" applyAlignment="1">
      <alignment horizontal="center" vertical="center"/>
    </xf>
    <xf numFmtId="0" fontId="38" fillId="2" borderId="20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center" vertical="center"/>
    </xf>
    <xf numFmtId="0" fontId="38" fillId="2" borderId="31" xfId="0" applyFont="1" applyFill="1" applyBorder="1" applyAlignment="1">
      <alignment horizontal="center" vertical="center"/>
    </xf>
    <xf numFmtId="0" fontId="38" fillId="2" borderId="68" xfId="0" applyFont="1" applyFill="1" applyBorder="1" applyAlignment="1">
      <alignment horizontal="center" vertical="center" wrapText="1"/>
    </xf>
    <xf numFmtId="0" fontId="38" fillId="2" borderId="21" xfId="0" applyFont="1" applyFill="1" applyBorder="1" applyAlignment="1">
      <alignment horizontal="center" vertical="center" wrapText="1"/>
    </xf>
    <xf numFmtId="0" fontId="38" fillId="2" borderId="40" xfId="0" applyFont="1" applyFill="1" applyBorder="1" applyAlignment="1">
      <alignment horizontal="center" vertical="center" wrapText="1"/>
    </xf>
    <xf numFmtId="0" fontId="38" fillId="2" borderId="12" xfId="0" applyFont="1" applyFill="1" applyBorder="1" applyAlignment="1">
      <alignment horizontal="center" vertical="center" wrapText="1"/>
    </xf>
    <xf numFmtId="0" fontId="38" fillId="2" borderId="13" xfId="0" applyFont="1" applyFill="1" applyBorder="1" applyAlignment="1">
      <alignment horizontal="center" vertical="center" wrapText="1"/>
    </xf>
    <xf numFmtId="0" fontId="26" fillId="4" borderId="61" xfId="0" applyFont="1" applyFill="1" applyBorder="1" applyAlignment="1">
      <alignment horizontal="left"/>
    </xf>
    <xf numFmtId="0" fontId="26" fillId="4" borderId="50" xfId="0" applyFont="1" applyFill="1" applyBorder="1" applyAlignment="1">
      <alignment horizontal="left"/>
    </xf>
    <xf numFmtId="0" fontId="26" fillId="4" borderId="49" xfId="0" applyFont="1" applyFill="1" applyBorder="1" applyAlignment="1">
      <alignment horizontal="left"/>
    </xf>
    <xf numFmtId="0" fontId="48" fillId="8" borderId="27" xfId="0" applyFont="1" applyFill="1" applyBorder="1" applyAlignment="1">
      <alignment horizontal="center"/>
    </xf>
    <xf numFmtId="0" fontId="48" fillId="8" borderId="24" xfId="0" applyFont="1" applyFill="1" applyBorder="1" applyAlignment="1">
      <alignment horizontal="center"/>
    </xf>
    <xf numFmtId="0" fontId="48" fillId="8" borderId="26" xfId="0" applyFont="1" applyFill="1" applyBorder="1" applyAlignment="1">
      <alignment horizontal="center"/>
    </xf>
    <xf numFmtId="0" fontId="13" fillId="3" borderId="27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2" borderId="18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left" vertical="center"/>
    </xf>
    <xf numFmtId="0" fontId="13" fillId="3" borderId="29" xfId="0" applyFont="1" applyFill="1" applyBorder="1" applyAlignment="1">
      <alignment horizontal="left" vertical="center"/>
    </xf>
    <xf numFmtId="0" fontId="13" fillId="3" borderId="30" xfId="0" applyFont="1" applyFill="1" applyBorder="1" applyAlignment="1">
      <alignment horizontal="left" vertical="center"/>
    </xf>
    <xf numFmtId="0" fontId="13" fillId="6" borderId="61" xfId="0" applyFont="1" applyFill="1" applyBorder="1" applyAlignment="1">
      <alignment horizontal="left"/>
    </xf>
    <xf numFmtId="0" fontId="13" fillId="6" borderId="50" xfId="0" applyFont="1" applyFill="1" applyBorder="1" applyAlignment="1">
      <alignment horizontal="left"/>
    </xf>
    <xf numFmtId="0" fontId="13" fillId="6" borderId="49" xfId="0" applyFont="1" applyFill="1" applyBorder="1" applyAlignment="1">
      <alignment horizontal="left"/>
    </xf>
    <xf numFmtId="0" fontId="13" fillId="3" borderId="14" xfId="0" applyFont="1" applyFill="1" applyBorder="1" applyAlignment="1">
      <alignment horizontal="left" vertical="center" wrapText="1"/>
    </xf>
    <xf numFmtId="0" fontId="13" fillId="3" borderId="15" xfId="0" applyFont="1" applyFill="1" applyBorder="1" applyAlignment="1">
      <alignment horizontal="left" vertical="center" wrapText="1"/>
    </xf>
    <xf numFmtId="0" fontId="13" fillId="3" borderId="16" xfId="0" applyFont="1" applyFill="1" applyBorder="1" applyAlignment="1">
      <alignment horizontal="left" vertical="center" wrapText="1"/>
    </xf>
    <xf numFmtId="0" fontId="13" fillId="4" borderId="28" xfId="0" applyFont="1" applyFill="1" applyBorder="1" applyAlignment="1">
      <alignment horizontal="left" vertical="center" wrapText="1"/>
    </xf>
    <xf numFmtId="0" fontId="13" fillId="4" borderId="29" xfId="0" applyFont="1" applyFill="1" applyBorder="1" applyAlignment="1">
      <alignment horizontal="left" vertical="center" wrapText="1"/>
    </xf>
    <xf numFmtId="0" fontId="13" fillId="4" borderId="30" xfId="0" applyFont="1" applyFill="1" applyBorder="1" applyAlignment="1">
      <alignment horizontal="left" vertical="center" wrapText="1"/>
    </xf>
    <xf numFmtId="0" fontId="13" fillId="6" borderId="27" xfId="0" applyFont="1" applyFill="1" applyBorder="1" applyAlignment="1">
      <alignment horizontal="left"/>
    </xf>
    <xf numFmtId="0" fontId="13" fillId="6" borderId="24" xfId="0" applyFont="1" applyFill="1" applyBorder="1" applyAlignment="1">
      <alignment horizontal="left"/>
    </xf>
    <xf numFmtId="0" fontId="13" fillId="6" borderId="26" xfId="0" applyFont="1" applyFill="1" applyBorder="1" applyAlignment="1">
      <alignment horizontal="left"/>
    </xf>
    <xf numFmtId="0" fontId="49" fillId="8" borderId="12" xfId="0" applyFont="1" applyFill="1" applyBorder="1" applyAlignment="1">
      <alignment horizontal="center"/>
    </xf>
    <xf numFmtId="0" fontId="50" fillId="14" borderId="12" xfId="0" applyFont="1" applyFill="1" applyBorder="1" applyAlignment="1">
      <alignment horizontal="center" vertical="center"/>
    </xf>
    <xf numFmtId="164" fontId="50" fillId="2" borderId="12" xfId="1" applyFont="1" applyFill="1" applyBorder="1" applyAlignment="1">
      <alignment horizontal="center" vertical="center" wrapText="1"/>
    </xf>
    <xf numFmtId="0" fontId="50" fillId="2" borderId="12" xfId="0" applyFont="1" applyFill="1" applyBorder="1" applyAlignment="1">
      <alignment horizontal="center" vertical="center" wrapText="1"/>
    </xf>
    <xf numFmtId="0" fontId="50" fillId="2" borderId="12" xfId="0" applyFont="1" applyFill="1" applyBorder="1" applyAlignment="1">
      <alignment horizontal="center" vertical="center"/>
    </xf>
    <xf numFmtId="0" fontId="50" fillId="2" borderId="12" xfId="4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49" fillId="8" borderId="48" xfId="0" applyFont="1" applyFill="1" applyBorder="1" applyAlignment="1">
      <alignment horizontal="center" vertical="center"/>
    </xf>
    <xf numFmtId="0" fontId="49" fillId="8" borderId="50" xfId="0" applyFont="1" applyFill="1" applyBorder="1" applyAlignment="1">
      <alignment horizontal="center" vertical="center"/>
    </xf>
    <xf numFmtId="0" fontId="49" fillId="8" borderId="3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167" fontId="2" fillId="2" borderId="12" xfId="1" applyNumberFormat="1" applyFont="1" applyFill="1" applyBorder="1" applyAlignment="1">
      <alignment horizontal="center" vertical="center"/>
    </xf>
    <xf numFmtId="167" fontId="2" fillId="2" borderId="31" xfId="1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6" borderId="18" xfId="0" applyFill="1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8" borderId="12" xfId="0" applyFill="1" applyBorder="1" applyAlignment="1">
      <alignment horizontal="left"/>
    </xf>
    <xf numFmtId="0" fontId="0" fillId="6" borderId="15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6" borderId="12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63" fillId="0" borderId="0" xfId="0" applyFont="1" applyAlignment="1">
      <alignment horizontal="center"/>
    </xf>
    <xf numFmtId="49" fontId="0" fillId="0" borderId="31" xfId="1" applyNumberFormat="1" applyFont="1" applyBorder="1" applyAlignment="1">
      <alignment horizontal="center" vertical="center"/>
    </xf>
    <xf numFmtId="49" fontId="0" fillId="0" borderId="21" xfId="1" applyNumberFormat="1" applyFont="1" applyBorder="1" applyAlignment="1">
      <alignment horizontal="center" vertical="center"/>
    </xf>
    <xf numFmtId="167" fontId="2" fillId="2" borderId="40" xfId="1" applyNumberFormat="1" applyFont="1" applyFill="1" applyBorder="1" applyAlignment="1">
      <alignment horizontal="center" vertical="center"/>
    </xf>
    <xf numFmtId="167" fontId="36" fillId="2" borderId="31" xfId="0" applyNumberFormat="1" applyFont="1" applyFill="1" applyBorder="1" applyAlignment="1">
      <alignment horizontal="center" vertical="center" wrapText="1"/>
    </xf>
    <xf numFmtId="167" fontId="36" fillId="2" borderId="40" xfId="0" applyNumberFormat="1" applyFont="1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49" fontId="0" fillId="0" borderId="18" xfId="1" applyNumberFormat="1" applyFont="1" applyBorder="1" applyAlignment="1">
      <alignment horizontal="center" vertical="center"/>
    </xf>
    <xf numFmtId="0" fontId="49" fillId="8" borderId="46" xfId="0" applyFont="1" applyFill="1" applyBorder="1" applyAlignment="1">
      <alignment horizontal="center"/>
    </xf>
    <xf numFmtId="0" fontId="49" fillId="8" borderId="29" xfId="0" applyFont="1" applyFill="1" applyBorder="1" applyAlignment="1">
      <alignment horizontal="center"/>
    </xf>
    <xf numFmtId="0" fontId="50" fillId="2" borderId="52" xfId="0" applyFont="1" applyFill="1" applyBorder="1" applyAlignment="1">
      <alignment horizontal="center" vertical="center" wrapText="1"/>
    </xf>
    <xf numFmtId="0" fontId="50" fillId="2" borderId="54" xfId="0" applyFont="1" applyFill="1" applyBorder="1" applyAlignment="1">
      <alignment horizontal="center" vertical="center" wrapText="1"/>
    </xf>
    <xf numFmtId="0" fontId="50" fillId="2" borderId="51" xfId="0" applyFont="1" applyFill="1" applyBorder="1" applyAlignment="1">
      <alignment horizontal="center" vertical="center" wrapText="1"/>
    </xf>
    <xf numFmtId="0" fontId="50" fillId="2" borderId="48" xfId="0" applyFont="1" applyFill="1" applyBorder="1" applyAlignment="1">
      <alignment horizontal="center" vertical="center" wrapText="1"/>
    </xf>
    <xf numFmtId="0" fontId="50" fillId="2" borderId="50" xfId="0" applyFont="1" applyFill="1" applyBorder="1" applyAlignment="1">
      <alignment horizontal="center" vertical="center" wrapText="1"/>
    </xf>
    <xf numFmtId="0" fontId="50" fillId="2" borderId="34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13" fillId="2" borderId="68" xfId="4" applyNumberFormat="1" applyFont="1" applyFill="1" applyBorder="1" applyAlignment="1">
      <alignment horizontal="center" vertical="center" wrapText="1"/>
    </xf>
    <xf numFmtId="0" fontId="13" fillId="2" borderId="40" xfId="4" applyNumberFormat="1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2" borderId="68" xfId="0" applyFont="1" applyFill="1" applyBorder="1" applyAlignment="1">
      <alignment horizontal="center" vertical="center" wrapText="1"/>
    </xf>
    <xf numFmtId="3" fontId="17" fillId="3" borderId="27" xfId="2" applyNumberFormat="1" applyFont="1" applyFill="1" applyBorder="1" applyAlignment="1">
      <alignment horizontal="left" vertical="center"/>
    </xf>
    <xf numFmtId="3" fontId="17" fillId="3" borderId="26" xfId="2" applyNumberFormat="1" applyFont="1" applyFill="1" applyBorder="1" applyAlignment="1">
      <alignment horizontal="left" vertical="center"/>
    </xf>
    <xf numFmtId="0" fontId="38" fillId="3" borderId="28" xfId="0" applyFont="1" applyFill="1" applyBorder="1" applyAlignment="1">
      <alignment horizontal="left"/>
    </xf>
    <xf numFmtId="0" fontId="38" fillId="3" borderId="29" xfId="0" applyFont="1" applyFill="1" applyBorder="1" applyAlignment="1">
      <alignment horizontal="left"/>
    </xf>
    <xf numFmtId="0" fontId="38" fillId="3" borderId="30" xfId="0" applyFont="1" applyFill="1" applyBorder="1" applyAlignment="1">
      <alignment horizontal="left"/>
    </xf>
    <xf numFmtId="0" fontId="17" fillId="4" borderId="53" xfId="0" applyFont="1" applyFill="1" applyBorder="1" applyAlignment="1">
      <alignment horizontal="left"/>
    </xf>
    <xf numFmtId="0" fontId="17" fillId="6" borderId="28" xfId="0" applyFont="1" applyFill="1" applyBorder="1" applyAlignment="1">
      <alignment horizontal="left"/>
    </xf>
    <xf numFmtId="0" fontId="17" fillId="6" borderId="30" xfId="0" applyFont="1" applyFill="1" applyBorder="1" applyAlignment="1">
      <alignment horizontal="left"/>
    </xf>
    <xf numFmtId="0" fontId="38" fillId="11" borderId="65" xfId="0" applyFont="1" applyFill="1" applyBorder="1" applyAlignment="1">
      <alignment horizontal="center"/>
    </xf>
    <xf numFmtId="0" fontId="17" fillId="4" borderId="9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10" xfId="0" applyFont="1" applyFill="1" applyBorder="1" applyAlignment="1">
      <alignment horizontal="left"/>
    </xf>
    <xf numFmtId="0" fontId="38" fillId="8" borderId="61" xfId="0" applyFont="1" applyFill="1" applyBorder="1" applyAlignment="1">
      <alignment horizontal="center"/>
    </xf>
    <xf numFmtId="0" fontId="38" fillId="11" borderId="32" xfId="0" applyFont="1" applyFill="1" applyBorder="1" applyAlignment="1">
      <alignment horizontal="center"/>
    </xf>
    <xf numFmtId="0" fontId="38" fillId="5" borderId="9" xfId="0" applyFont="1" applyFill="1" applyBorder="1" applyAlignment="1">
      <alignment horizontal="center"/>
    </xf>
    <xf numFmtId="0" fontId="38" fillId="5" borderId="4" xfId="0" applyFont="1" applyFill="1" applyBorder="1" applyAlignment="1">
      <alignment horizontal="center"/>
    </xf>
    <xf numFmtId="0" fontId="38" fillId="5" borderId="59" xfId="0" applyFont="1" applyFill="1" applyBorder="1" applyAlignment="1">
      <alignment horizontal="center"/>
    </xf>
    <xf numFmtId="164" fontId="13" fillId="2" borderId="68" xfId="1" applyFont="1" applyFill="1" applyBorder="1" applyAlignment="1">
      <alignment horizontal="center" vertical="center" wrapText="1"/>
    </xf>
    <xf numFmtId="164" fontId="13" fillId="2" borderId="40" xfId="1" applyFont="1" applyFill="1" applyBorder="1" applyAlignment="1">
      <alignment horizontal="center" vertical="center" wrapText="1"/>
    </xf>
    <xf numFmtId="0" fontId="38" fillId="5" borderId="28" xfId="0" applyFont="1" applyFill="1" applyBorder="1" applyAlignment="1">
      <alignment horizontal="center"/>
    </xf>
  </cellXfs>
  <cellStyles count="6">
    <cellStyle name="Comma" xfId="1" builtinId="3"/>
    <cellStyle name="Comma 2" xfId="3" xr:uid="{00000000-0005-0000-0000-000001000000}"/>
    <cellStyle name="Comma 2 2" xfId="5" xr:uid="{00000000-0005-0000-0000-000002000000}"/>
    <cellStyle name="Normal" xfId="0" builtinId="0"/>
    <cellStyle name="Normal 2" xfId="2" xr:uid="{00000000-0005-0000-0000-000004000000}"/>
    <cellStyle name="Percent" xfId="4" builtinId="5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175"/>
  <sheetViews>
    <sheetView zoomScale="90" zoomScaleNormal="90" workbookViewId="0">
      <pane xSplit="1" ySplit="2" topLeftCell="B159" activePane="bottomRight" state="frozen"/>
      <selection pane="topRight" activeCell="H1" sqref="H1"/>
      <selection pane="bottomLeft" activeCell="A3" sqref="A3"/>
      <selection pane="bottomRight" activeCell="L12" sqref="L12"/>
    </sheetView>
  </sheetViews>
  <sheetFormatPr defaultColWidth="9" defaultRowHeight="19.8" x14ac:dyDescent="0.4"/>
  <cols>
    <col min="1" max="1" width="10.5" style="334" customWidth="1"/>
    <col min="2" max="2" width="23.8984375" style="238" customWidth="1"/>
    <col min="3" max="3" width="9" style="323" customWidth="1"/>
    <col min="4" max="4" width="16.3984375" style="318" customWidth="1"/>
    <col min="5" max="5" width="11.59765625" style="319" customWidth="1"/>
    <col min="6" max="6" width="11.69921875" style="320" customWidth="1"/>
    <col min="7" max="7" width="12.59765625" style="319" customWidth="1"/>
    <col min="8" max="8" width="17.19921875" style="319" customWidth="1"/>
    <col min="9" max="16384" width="9" style="238"/>
  </cols>
  <sheetData>
    <row r="1" spans="1:9" ht="24.75" customHeight="1" thickBot="1" x14ac:dyDescent="0.45">
      <c r="A1" s="850" t="s">
        <v>300</v>
      </c>
      <c r="B1" s="851"/>
      <c r="C1" s="851"/>
      <c r="D1" s="851"/>
      <c r="E1" s="851"/>
      <c r="F1" s="851"/>
      <c r="G1" s="851"/>
      <c r="H1" s="852"/>
    </row>
    <row r="2" spans="1:9" ht="20.399999999999999" thickBot="1" x14ac:dyDescent="0.45">
      <c r="A2" s="239" t="s">
        <v>239</v>
      </c>
      <c r="B2" s="240" t="s">
        <v>240</v>
      </c>
      <c r="C2" s="241" t="s">
        <v>241</v>
      </c>
      <c r="D2" s="240" t="s">
        <v>204</v>
      </c>
      <c r="E2" s="240" t="s">
        <v>242</v>
      </c>
      <c r="F2" s="242" t="s">
        <v>243</v>
      </c>
      <c r="G2" s="243" t="s">
        <v>244</v>
      </c>
      <c r="H2" s="675" t="s">
        <v>374</v>
      </c>
      <c r="I2" s="676">
        <v>6.25</v>
      </c>
    </row>
    <row r="3" spans="1:9" ht="24.75" customHeight="1" thickBot="1" x14ac:dyDescent="0.45">
      <c r="A3" s="854" t="s">
        <v>245</v>
      </c>
      <c r="B3" s="832" t="s">
        <v>22</v>
      </c>
      <c r="C3" s="833"/>
      <c r="D3" s="833"/>
      <c r="E3" s="833"/>
      <c r="F3" s="833"/>
      <c r="G3" s="833"/>
      <c r="H3" s="834"/>
      <c r="I3" s="244"/>
    </row>
    <row r="4" spans="1:9" ht="23.25" customHeight="1" x14ac:dyDescent="0.4">
      <c r="A4" s="855"/>
      <c r="B4" s="248"/>
      <c r="C4" s="838" t="s">
        <v>246</v>
      </c>
      <c r="D4" s="252" t="s">
        <v>23</v>
      </c>
      <c r="E4" s="122">
        <v>136</v>
      </c>
      <c r="F4" s="250">
        <v>2243</v>
      </c>
      <c r="G4" s="251">
        <v>22</v>
      </c>
      <c r="H4" s="66">
        <f>E4/$I2</f>
        <v>21.76</v>
      </c>
    </row>
    <row r="5" spans="1:9" ht="25.5" customHeight="1" thickBot="1" x14ac:dyDescent="0.45">
      <c r="A5" s="855"/>
      <c r="B5" s="248"/>
      <c r="C5" s="816"/>
      <c r="D5" s="253" t="s">
        <v>24</v>
      </c>
      <c r="E5" s="124">
        <v>151</v>
      </c>
      <c r="F5" s="254">
        <v>2494</v>
      </c>
      <c r="G5" s="255">
        <v>22</v>
      </c>
      <c r="H5" s="680">
        <f>E5/$I$2</f>
        <v>24.16</v>
      </c>
    </row>
    <row r="6" spans="1:9" ht="24.75" customHeight="1" thickBot="1" x14ac:dyDescent="0.45">
      <c r="A6" s="855"/>
      <c r="B6" s="828" t="s">
        <v>247</v>
      </c>
      <c r="C6" s="829"/>
      <c r="D6" s="829"/>
      <c r="E6" s="340">
        <f>SUM(E4:E5)</f>
        <v>287</v>
      </c>
      <c r="F6" s="341">
        <f>SUM(F4:F5)</f>
        <v>4737</v>
      </c>
      <c r="G6" s="342"/>
      <c r="H6" s="681">
        <f>SUM(H4:H5)</f>
        <v>45.92</v>
      </c>
    </row>
    <row r="7" spans="1:9" ht="24.75" customHeight="1" thickBot="1" x14ac:dyDescent="0.45">
      <c r="A7" s="855"/>
      <c r="B7" s="256"/>
      <c r="C7" s="257" t="s">
        <v>248</v>
      </c>
      <c r="D7" s="258" t="s">
        <v>26</v>
      </c>
      <c r="E7" s="259">
        <v>6</v>
      </c>
      <c r="F7" s="260">
        <v>126</v>
      </c>
      <c r="G7" s="127">
        <v>22</v>
      </c>
      <c r="H7" s="66">
        <f>E7/$I$2</f>
        <v>0.96</v>
      </c>
    </row>
    <row r="8" spans="1:9" ht="24.75" customHeight="1" thickBot="1" x14ac:dyDescent="0.45">
      <c r="A8" s="855"/>
      <c r="B8" s="828" t="s">
        <v>249</v>
      </c>
      <c r="C8" s="829"/>
      <c r="D8" s="829"/>
      <c r="E8" s="340">
        <f>SUM(E7)</f>
        <v>6</v>
      </c>
      <c r="F8" s="341">
        <f>SUM(F7)</f>
        <v>126</v>
      </c>
      <c r="G8" s="342"/>
      <c r="H8" s="342">
        <f>SUM(H7)</f>
        <v>0.96</v>
      </c>
    </row>
    <row r="9" spans="1:9" ht="24.75" customHeight="1" thickBot="1" x14ac:dyDescent="0.45">
      <c r="A9" s="855"/>
      <c r="B9" s="830" t="s">
        <v>250</v>
      </c>
      <c r="C9" s="831"/>
      <c r="D9" s="831"/>
      <c r="E9" s="261">
        <f>+E6+E8</f>
        <v>293</v>
      </c>
      <c r="F9" s="262">
        <f>+F6+F8</f>
        <v>4863</v>
      </c>
      <c r="G9" s="263"/>
      <c r="H9" s="684">
        <f>H6+H8</f>
        <v>46.88</v>
      </c>
    </row>
    <row r="10" spans="1:9" ht="24" customHeight="1" thickBot="1" x14ac:dyDescent="0.45">
      <c r="A10" s="855"/>
      <c r="B10" s="820" t="s">
        <v>27</v>
      </c>
      <c r="C10" s="821"/>
      <c r="D10" s="821"/>
      <c r="E10" s="821"/>
      <c r="F10" s="821"/>
      <c r="G10" s="821"/>
      <c r="H10" s="858"/>
    </row>
    <row r="11" spans="1:9" ht="24" customHeight="1" thickBot="1" x14ac:dyDescent="0.65">
      <c r="A11" s="855"/>
      <c r="B11" s="264"/>
      <c r="C11" s="265" t="s">
        <v>60</v>
      </c>
      <c r="D11" s="266" t="s">
        <v>251</v>
      </c>
      <c r="E11" s="225">
        <v>8</v>
      </c>
      <c r="F11" s="226">
        <v>184</v>
      </c>
      <c r="G11" s="267">
        <v>22</v>
      </c>
      <c r="H11" s="66">
        <f>E11/$I$2</f>
        <v>1.28</v>
      </c>
    </row>
    <row r="12" spans="1:9" ht="24.75" customHeight="1" thickBot="1" x14ac:dyDescent="0.45">
      <c r="A12" s="855"/>
      <c r="B12" s="828" t="s">
        <v>252</v>
      </c>
      <c r="C12" s="829"/>
      <c r="D12" s="829"/>
      <c r="E12" s="340">
        <f>SUM(E11)</f>
        <v>8</v>
      </c>
      <c r="F12" s="341">
        <f>SUM(F11)</f>
        <v>184</v>
      </c>
      <c r="G12" s="342"/>
      <c r="H12" s="342">
        <f>H11</f>
        <v>1.28</v>
      </c>
    </row>
    <row r="13" spans="1:9" ht="24" customHeight="1" x14ac:dyDescent="0.4">
      <c r="A13" s="855"/>
      <c r="B13" s="268"/>
      <c r="C13" s="816" t="s">
        <v>253</v>
      </c>
      <c r="D13" s="269" t="s">
        <v>28</v>
      </c>
      <c r="E13" s="222">
        <v>82</v>
      </c>
      <c r="F13" s="223">
        <v>1813</v>
      </c>
      <c r="G13" s="122">
        <v>22</v>
      </c>
      <c r="H13" s="66">
        <f>E13/$I$2</f>
        <v>13.12</v>
      </c>
    </row>
    <row r="14" spans="1:9" ht="24" customHeight="1" x14ac:dyDescent="0.4">
      <c r="A14" s="855"/>
      <c r="B14" s="268"/>
      <c r="C14" s="816"/>
      <c r="D14" s="269" t="s">
        <v>29</v>
      </c>
      <c r="E14" s="222">
        <v>72</v>
      </c>
      <c r="F14" s="223">
        <v>1574</v>
      </c>
      <c r="G14" s="122">
        <v>22</v>
      </c>
      <c r="H14" s="66">
        <f>E14/$I$2</f>
        <v>11.52</v>
      </c>
    </row>
    <row r="15" spans="1:9" ht="24.75" customHeight="1" thickBot="1" x14ac:dyDescent="0.45">
      <c r="A15" s="855"/>
      <c r="B15" s="268"/>
      <c r="C15" s="817"/>
      <c r="D15" s="270" t="s">
        <v>30</v>
      </c>
      <c r="E15" s="271">
        <v>69</v>
      </c>
      <c r="F15" s="233">
        <v>1509</v>
      </c>
      <c r="G15" s="124">
        <v>22</v>
      </c>
      <c r="H15" s="66">
        <f>E15/$I$2</f>
        <v>11.04</v>
      </c>
    </row>
    <row r="16" spans="1:9" ht="24.75" customHeight="1" thickBot="1" x14ac:dyDescent="0.45">
      <c r="A16" s="855"/>
      <c r="B16" s="828" t="s">
        <v>254</v>
      </c>
      <c r="C16" s="829"/>
      <c r="D16" s="829"/>
      <c r="E16" s="340">
        <f>SUM(E13:E15)</f>
        <v>223</v>
      </c>
      <c r="F16" s="341">
        <f>SUM(F13:F15)</f>
        <v>4896</v>
      </c>
      <c r="G16" s="342"/>
      <c r="H16" s="342">
        <f>SUM(H13:H15)</f>
        <v>35.68</v>
      </c>
    </row>
    <row r="17" spans="1:8" ht="24.75" customHeight="1" thickBot="1" x14ac:dyDescent="0.45">
      <c r="A17" s="856"/>
      <c r="B17" s="857" t="s">
        <v>255</v>
      </c>
      <c r="C17" s="857"/>
      <c r="D17" s="857"/>
      <c r="E17" s="261">
        <f>E12+E16</f>
        <v>231</v>
      </c>
      <c r="F17" s="261">
        <f>F12+F16</f>
        <v>5080</v>
      </c>
      <c r="G17" s="272"/>
      <c r="H17" s="272">
        <f>H12+H16</f>
        <v>36.96</v>
      </c>
    </row>
    <row r="18" spans="1:8" ht="24.75" customHeight="1" thickBot="1" x14ac:dyDescent="0.45">
      <c r="A18" s="823" t="s">
        <v>256</v>
      </c>
      <c r="B18" s="853"/>
      <c r="C18" s="853"/>
      <c r="D18" s="853"/>
      <c r="E18" s="685">
        <f>+E9+E17</f>
        <v>524</v>
      </c>
      <c r="F18" s="685">
        <f>+F9+F17</f>
        <v>9943</v>
      </c>
      <c r="G18" s="686"/>
      <c r="H18" s="686">
        <f>H17+H9</f>
        <v>83.84</v>
      </c>
    </row>
    <row r="19" spans="1:8" ht="24" customHeight="1" thickBot="1" x14ac:dyDescent="0.45">
      <c r="A19" s="274" t="s">
        <v>257</v>
      </c>
      <c r="B19" s="832" t="s">
        <v>22</v>
      </c>
      <c r="C19" s="833"/>
      <c r="D19" s="833"/>
      <c r="E19" s="833"/>
      <c r="F19" s="833"/>
      <c r="G19" s="833"/>
      <c r="H19" s="834"/>
    </row>
    <row r="20" spans="1:8" ht="24" customHeight="1" x14ac:dyDescent="0.4">
      <c r="A20" s="275"/>
      <c r="B20" s="276"/>
      <c r="C20" s="816" t="s">
        <v>246</v>
      </c>
      <c r="D20" s="277" t="s">
        <v>64</v>
      </c>
      <c r="E20" s="120">
        <v>4</v>
      </c>
      <c r="F20" s="278">
        <v>112</v>
      </c>
      <c r="G20" s="113">
        <v>25</v>
      </c>
      <c r="H20" s="66">
        <f>E20/$I$2</f>
        <v>0.64</v>
      </c>
    </row>
    <row r="21" spans="1:8" ht="24" customHeight="1" x14ac:dyDescent="0.4">
      <c r="A21" s="275"/>
      <c r="B21" s="276"/>
      <c r="C21" s="816"/>
      <c r="D21" s="249" t="s">
        <v>65</v>
      </c>
      <c r="E21" s="122">
        <v>113</v>
      </c>
      <c r="F21" s="250">
        <v>2833</v>
      </c>
      <c r="G21" s="115">
        <v>25</v>
      </c>
      <c r="H21" s="66">
        <f>E21/$I$2</f>
        <v>18.079999999999998</v>
      </c>
    </row>
    <row r="22" spans="1:8" ht="24" customHeight="1" x14ac:dyDescent="0.4">
      <c r="A22" s="275"/>
      <c r="B22" s="276"/>
      <c r="C22" s="816"/>
      <c r="D22" s="249" t="s">
        <v>73</v>
      </c>
      <c r="E22" s="228">
        <v>115</v>
      </c>
      <c r="F22" s="279">
        <v>2872</v>
      </c>
      <c r="G22" s="115">
        <v>25</v>
      </c>
      <c r="H22" s="682">
        <f>E22/$I$2</f>
        <v>18.399999999999999</v>
      </c>
    </row>
    <row r="23" spans="1:8" ht="24" customHeight="1" x14ac:dyDescent="0.4">
      <c r="A23" s="275"/>
      <c r="B23" s="276"/>
      <c r="C23" s="816"/>
      <c r="D23" s="249" t="s">
        <v>74</v>
      </c>
      <c r="E23" s="228">
        <v>121</v>
      </c>
      <c r="F23" s="279">
        <v>3030</v>
      </c>
      <c r="G23" s="115">
        <v>25</v>
      </c>
      <c r="H23" s="66">
        <f t="shared" ref="H23" si="0">E23/$I$2</f>
        <v>19.36</v>
      </c>
    </row>
    <row r="24" spans="1:8" ht="24.75" customHeight="1" thickBot="1" x14ac:dyDescent="0.45">
      <c r="A24" s="275"/>
      <c r="B24" s="276"/>
      <c r="C24" s="817"/>
      <c r="D24" s="280" t="s">
        <v>90</v>
      </c>
      <c r="E24" s="281">
        <v>4</v>
      </c>
      <c r="F24" s="282">
        <v>92</v>
      </c>
      <c r="G24" s="117">
        <v>25</v>
      </c>
      <c r="H24" s="66">
        <f>E24/$I$2</f>
        <v>0.64</v>
      </c>
    </row>
    <row r="25" spans="1:8" ht="24.75" customHeight="1" thickBot="1" x14ac:dyDescent="0.45">
      <c r="A25" s="275"/>
      <c r="B25" s="828" t="s">
        <v>258</v>
      </c>
      <c r="C25" s="829"/>
      <c r="D25" s="829"/>
      <c r="E25" s="340">
        <f>SUM(E20:E24)</f>
        <v>357</v>
      </c>
      <c r="F25" s="341">
        <f>SUM(F20:F24)</f>
        <v>8939</v>
      </c>
      <c r="G25" s="342"/>
      <c r="H25" s="342">
        <f>SUM(H20:H24)</f>
        <v>57.12</v>
      </c>
    </row>
    <row r="26" spans="1:8" ht="24" customHeight="1" x14ac:dyDescent="0.4">
      <c r="A26" s="275"/>
      <c r="B26" s="268"/>
      <c r="C26" s="838" t="s">
        <v>248</v>
      </c>
      <c r="D26" s="277" t="s">
        <v>48</v>
      </c>
      <c r="E26" s="283">
        <v>168</v>
      </c>
      <c r="F26" s="247">
        <v>4192</v>
      </c>
      <c r="G26" s="120">
        <v>25</v>
      </c>
      <c r="H26" s="678">
        <f>E26/$I$2</f>
        <v>26.88</v>
      </c>
    </row>
    <row r="27" spans="1:8" ht="24" customHeight="1" x14ac:dyDescent="0.4">
      <c r="A27" s="275"/>
      <c r="B27" s="268"/>
      <c r="C27" s="816"/>
      <c r="D27" s="249" t="s">
        <v>49</v>
      </c>
      <c r="E27" s="228">
        <v>157</v>
      </c>
      <c r="F27" s="279">
        <v>4022</v>
      </c>
      <c r="G27" s="122" t="s">
        <v>259</v>
      </c>
      <c r="H27" s="66">
        <f>E27/$I$2</f>
        <v>25.12</v>
      </c>
    </row>
    <row r="28" spans="1:8" ht="24.75" customHeight="1" thickBot="1" x14ac:dyDescent="0.45">
      <c r="A28" s="275"/>
      <c r="B28" s="268"/>
      <c r="C28" s="817"/>
      <c r="D28" s="280" t="s">
        <v>35</v>
      </c>
      <c r="E28" s="281">
        <v>170</v>
      </c>
      <c r="F28" s="282">
        <v>4245</v>
      </c>
      <c r="G28" s="124">
        <v>25</v>
      </c>
      <c r="H28" s="687">
        <f>E28/$I$2</f>
        <v>27.2</v>
      </c>
    </row>
    <row r="29" spans="1:8" ht="24.75" customHeight="1" thickBot="1" x14ac:dyDescent="0.45">
      <c r="A29" s="275"/>
      <c r="B29" s="828" t="s">
        <v>260</v>
      </c>
      <c r="C29" s="829"/>
      <c r="D29" s="829"/>
      <c r="E29" s="340">
        <f>SUM(E26:E28)</f>
        <v>495</v>
      </c>
      <c r="F29" s="341">
        <f>SUM(F26:F28)</f>
        <v>12459</v>
      </c>
      <c r="G29" s="342"/>
      <c r="H29" s="688">
        <f>SUM(H26:H28)</f>
        <v>79.2</v>
      </c>
    </row>
    <row r="30" spans="1:8" ht="24.75" customHeight="1" thickBot="1" x14ac:dyDescent="0.45">
      <c r="A30" s="275"/>
      <c r="B30" s="848" t="s">
        <v>261</v>
      </c>
      <c r="C30" s="849"/>
      <c r="D30" s="849"/>
      <c r="E30" s="689">
        <f>+E25+E29</f>
        <v>852</v>
      </c>
      <c r="F30" s="689">
        <f>+F25+F29</f>
        <v>21398</v>
      </c>
      <c r="G30" s="690"/>
      <c r="H30" s="691">
        <f>H25+H29</f>
        <v>136.32</v>
      </c>
    </row>
    <row r="31" spans="1:8" ht="24.75" customHeight="1" thickBot="1" x14ac:dyDescent="0.45">
      <c r="A31" s="275"/>
      <c r="B31" s="820" t="s">
        <v>27</v>
      </c>
      <c r="C31" s="821"/>
      <c r="D31" s="821"/>
      <c r="E31" s="821"/>
      <c r="F31" s="821"/>
      <c r="G31" s="821"/>
      <c r="H31" s="822"/>
    </row>
    <row r="32" spans="1:8" ht="24" customHeight="1" x14ac:dyDescent="0.4">
      <c r="A32" s="275"/>
      <c r="B32" s="268"/>
      <c r="C32" s="816" t="s">
        <v>265</v>
      </c>
      <c r="D32" s="693" t="s">
        <v>66</v>
      </c>
      <c r="E32" s="225">
        <v>112</v>
      </c>
      <c r="F32" s="226">
        <v>2785</v>
      </c>
      <c r="G32" s="694">
        <v>25</v>
      </c>
      <c r="H32" s="692">
        <f>E32/$I$2</f>
        <v>17.920000000000002</v>
      </c>
    </row>
    <row r="33" spans="1:8" ht="24" customHeight="1" x14ac:dyDescent="0.4">
      <c r="A33" s="275"/>
      <c r="B33" s="268"/>
      <c r="C33" s="816"/>
      <c r="D33" s="291" t="s">
        <v>67</v>
      </c>
      <c r="E33" s="222">
        <v>98</v>
      </c>
      <c r="F33" s="223">
        <v>2421</v>
      </c>
      <c r="G33" s="695">
        <v>25</v>
      </c>
      <c r="H33" s="692">
        <f>E33/$I$2</f>
        <v>15.68</v>
      </c>
    </row>
    <row r="34" spans="1:8" ht="24" customHeight="1" x14ac:dyDescent="0.4">
      <c r="A34" s="275"/>
      <c r="B34" s="268"/>
      <c r="C34" s="816"/>
      <c r="D34" s="291" t="s">
        <v>68</v>
      </c>
      <c r="E34" s="222">
        <v>153</v>
      </c>
      <c r="F34" s="223">
        <v>3764</v>
      </c>
      <c r="G34" s="695">
        <v>25</v>
      </c>
      <c r="H34" s="692">
        <f t="shared" ref="H34:H37" si="1">E34/$I$2</f>
        <v>24.48</v>
      </c>
    </row>
    <row r="35" spans="1:8" ht="24" customHeight="1" x14ac:dyDescent="0.4">
      <c r="A35" s="275"/>
      <c r="B35" s="268"/>
      <c r="C35" s="816"/>
      <c r="D35" s="291" t="s">
        <v>69</v>
      </c>
      <c r="E35" s="222">
        <v>116</v>
      </c>
      <c r="F35" s="223">
        <v>2893</v>
      </c>
      <c r="G35" s="695">
        <v>25</v>
      </c>
      <c r="H35" s="692">
        <f t="shared" si="1"/>
        <v>18.559999999999999</v>
      </c>
    </row>
    <row r="36" spans="1:8" ht="24" customHeight="1" x14ac:dyDescent="0.4">
      <c r="A36" s="275"/>
      <c r="B36" s="268"/>
      <c r="C36" s="816"/>
      <c r="D36" s="696" t="s">
        <v>78</v>
      </c>
      <c r="E36" s="222">
        <v>195</v>
      </c>
      <c r="F36" s="223">
        <v>4864</v>
      </c>
      <c r="G36" s="695">
        <v>25</v>
      </c>
      <c r="H36" s="677">
        <f t="shared" si="1"/>
        <v>31.2</v>
      </c>
    </row>
    <row r="37" spans="1:8" ht="24.75" customHeight="1" thickBot="1" x14ac:dyDescent="0.45">
      <c r="A37" s="275"/>
      <c r="B37" s="268"/>
      <c r="C37" s="817"/>
      <c r="D37" s="697" t="s">
        <v>79</v>
      </c>
      <c r="E37" s="271">
        <v>171</v>
      </c>
      <c r="F37" s="233">
        <v>4608</v>
      </c>
      <c r="G37" s="698">
        <v>27</v>
      </c>
      <c r="H37" s="677">
        <f t="shared" si="1"/>
        <v>27.36</v>
      </c>
    </row>
    <row r="38" spans="1:8" ht="24.75" customHeight="1" thickBot="1" x14ac:dyDescent="0.45">
      <c r="A38" s="275"/>
      <c r="B38" s="828" t="s">
        <v>266</v>
      </c>
      <c r="C38" s="829"/>
      <c r="D38" s="829"/>
      <c r="E38" s="340">
        <f>SUM(E32:E37)</f>
        <v>845</v>
      </c>
      <c r="F38" s="341">
        <f>SUM(F32:F37)</f>
        <v>21335</v>
      </c>
      <c r="G38" s="342"/>
      <c r="H38" s="342">
        <f>SUM(H32:H37)</f>
        <v>135.19999999999999</v>
      </c>
    </row>
    <row r="39" spans="1:8" ht="24.75" customHeight="1" x14ac:dyDescent="0.4">
      <c r="A39" s="275"/>
      <c r="B39" s="284"/>
      <c r="C39" s="839" t="s">
        <v>262</v>
      </c>
      <c r="D39" s="285" t="s">
        <v>85</v>
      </c>
      <c r="E39" s="230">
        <v>15</v>
      </c>
      <c r="F39" s="286">
        <v>401</v>
      </c>
      <c r="G39" s="127">
        <v>27</v>
      </c>
      <c r="H39" s="677">
        <f>E39/$I$2</f>
        <v>2.4</v>
      </c>
    </row>
    <row r="40" spans="1:8" ht="24.75" customHeight="1" thickBot="1" x14ac:dyDescent="0.45">
      <c r="A40" s="275"/>
      <c r="B40" s="284"/>
      <c r="C40" s="840"/>
      <c r="D40" s="335" t="s">
        <v>86</v>
      </c>
      <c r="E40" s="336">
        <v>5</v>
      </c>
      <c r="F40" s="337">
        <v>152</v>
      </c>
      <c r="G40" s="142">
        <v>27</v>
      </c>
      <c r="H40" s="66">
        <f>E40/$I$2</f>
        <v>0.8</v>
      </c>
    </row>
    <row r="41" spans="1:8" ht="24.75" customHeight="1" thickBot="1" x14ac:dyDescent="0.45">
      <c r="A41" s="275"/>
      <c r="B41" s="828" t="s">
        <v>263</v>
      </c>
      <c r="C41" s="829"/>
      <c r="D41" s="829"/>
      <c r="E41" s="340">
        <f>SUM(E39:E40)</f>
        <v>20</v>
      </c>
      <c r="F41" s="341">
        <f>SUM(F39:F40)</f>
        <v>553</v>
      </c>
      <c r="G41" s="342"/>
      <c r="H41" s="342">
        <f>H39+H40</f>
        <v>3.2</v>
      </c>
    </row>
    <row r="42" spans="1:8" ht="24" customHeight="1" x14ac:dyDescent="0.4">
      <c r="A42" s="275"/>
      <c r="B42" s="268"/>
      <c r="C42" s="838" t="s">
        <v>60</v>
      </c>
      <c r="D42" s="287" t="s">
        <v>82</v>
      </c>
      <c r="E42" s="225">
        <v>103</v>
      </c>
      <c r="F42" s="226">
        <v>2792</v>
      </c>
      <c r="G42" s="113">
        <v>27</v>
      </c>
      <c r="H42" s="677">
        <f>E42/$I$2</f>
        <v>16.48</v>
      </c>
    </row>
    <row r="43" spans="1:8" ht="24.75" customHeight="1" thickBot="1" x14ac:dyDescent="0.45">
      <c r="A43" s="275"/>
      <c r="B43" s="268"/>
      <c r="C43" s="817"/>
      <c r="D43" s="288" t="s">
        <v>83</v>
      </c>
      <c r="E43" s="271">
        <v>156</v>
      </c>
      <c r="F43" s="233">
        <v>4202</v>
      </c>
      <c r="G43" s="117">
        <v>27</v>
      </c>
      <c r="H43" s="66">
        <f>E43/$I$2</f>
        <v>24.96</v>
      </c>
    </row>
    <row r="44" spans="1:8" ht="24.75" customHeight="1" thickBot="1" x14ac:dyDescent="0.45">
      <c r="A44" s="275"/>
      <c r="B44" s="828" t="s">
        <v>264</v>
      </c>
      <c r="C44" s="829"/>
      <c r="D44" s="829"/>
      <c r="E44" s="340">
        <f>SUM(E42:E43)</f>
        <v>259</v>
      </c>
      <c r="F44" s="341">
        <f>SUM(F42:F43)</f>
        <v>6994</v>
      </c>
      <c r="G44" s="342"/>
      <c r="H44" s="342">
        <f>H42+H43</f>
        <v>41.44</v>
      </c>
    </row>
    <row r="45" spans="1:8" ht="24.75" customHeight="1" thickBot="1" x14ac:dyDescent="0.45">
      <c r="A45" s="275"/>
      <c r="B45" s="848" t="s">
        <v>267</v>
      </c>
      <c r="C45" s="849"/>
      <c r="D45" s="849"/>
      <c r="E45" s="689">
        <f>+E41+E44+E38</f>
        <v>1124</v>
      </c>
      <c r="F45" s="699">
        <f>+F41+F44+F38</f>
        <v>28882</v>
      </c>
      <c r="G45" s="690"/>
      <c r="H45" s="690">
        <f>H44+H41+H38</f>
        <v>179.83999999999997</v>
      </c>
    </row>
    <row r="46" spans="1:8" ht="24.75" customHeight="1" thickBot="1" x14ac:dyDescent="0.45">
      <c r="A46" s="823" t="s">
        <v>268</v>
      </c>
      <c r="B46" s="835"/>
      <c r="C46" s="835"/>
      <c r="D46" s="841"/>
      <c r="E46" s="700">
        <f>E45+E30</f>
        <v>1976</v>
      </c>
      <c r="F46" s="700">
        <f>F45+F30</f>
        <v>50280</v>
      </c>
      <c r="G46" s="701"/>
      <c r="H46" s="702">
        <f>H45+H30</f>
        <v>316.15999999999997</v>
      </c>
    </row>
    <row r="47" spans="1:8" ht="24.75" customHeight="1" thickBot="1" x14ac:dyDescent="0.45">
      <c r="A47" s="827" t="s">
        <v>269</v>
      </c>
      <c r="B47" s="832" t="s">
        <v>22</v>
      </c>
      <c r="C47" s="833"/>
      <c r="D47" s="833"/>
      <c r="E47" s="833"/>
      <c r="F47" s="833"/>
      <c r="G47" s="833"/>
      <c r="H47" s="834"/>
    </row>
    <row r="48" spans="1:8" ht="24" customHeight="1" x14ac:dyDescent="0.4">
      <c r="A48" s="827"/>
      <c r="B48" s="290"/>
      <c r="C48" s="265" t="s">
        <v>246</v>
      </c>
      <c r="D48" s="277" t="s">
        <v>93</v>
      </c>
      <c r="E48" s="232">
        <v>113</v>
      </c>
      <c r="F48" s="247">
        <v>2816</v>
      </c>
      <c r="G48" s="703">
        <v>25</v>
      </c>
      <c r="H48" s="66">
        <f>E48/$I$2</f>
        <v>18.079999999999998</v>
      </c>
    </row>
    <row r="49" spans="1:8" ht="24" customHeight="1" x14ac:dyDescent="0.4">
      <c r="A49" s="827"/>
      <c r="B49" s="276"/>
      <c r="C49" s="265"/>
      <c r="D49" s="249" t="s">
        <v>50</v>
      </c>
      <c r="E49" s="228">
        <v>9</v>
      </c>
      <c r="F49" s="279">
        <v>213</v>
      </c>
      <c r="G49" s="704">
        <v>25</v>
      </c>
      <c r="H49" s="66">
        <f t="shared" ref="H49:H57" si="2">E49/$I$2</f>
        <v>1.44</v>
      </c>
    </row>
    <row r="50" spans="1:8" ht="24" customHeight="1" x14ac:dyDescent="0.4">
      <c r="A50" s="827"/>
      <c r="B50" s="276"/>
      <c r="C50" s="265"/>
      <c r="D50" s="249" t="s">
        <v>94</v>
      </c>
      <c r="E50" s="228">
        <v>128</v>
      </c>
      <c r="F50" s="279">
        <v>3199</v>
      </c>
      <c r="G50" s="704">
        <v>25</v>
      </c>
      <c r="H50" s="66">
        <f t="shared" si="2"/>
        <v>20.48</v>
      </c>
    </row>
    <row r="51" spans="1:8" ht="24" customHeight="1" x14ac:dyDescent="0.4">
      <c r="A51" s="827"/>
      <c r="B51" s="276"/>
      <c r="C51" s="265"/>
      <c r="D51" s="249" t="s">
        <v>95</v>
      </c>
      <c r="E51" s="228">
        <v>121</v>
      </c>
      <c r="F51" s="279">
        <v>3015</v>
      </c>
      <c r="G51" s="704">
        <v>25</v>
      </c>
      <c r="H51" s="66">
        <f t="shared" si="2"/>
        <v>19.36</v>
      </c>
    </row>
    <row r="52" spans="1:8" ht="24" customHeight="1" x14ac:dyDescent="0.4">
      <c r="A52" s="827"/>
      <c r="B52" s="276"/>
      <c r="C52" s="265"/>
      <c r="D52" s="249" t="s">
        <v>96</v>
      </c>
      <c r="E52" s="228">
        <v>56</v>
      </c>
      <c r="F52" s="279">
        <v>1403</v>
      </c>
      <c r="G52" s="704">
        <v>25</v>
      </c>
      <c r="H52" s="66">
        <f t="shared" si="2"/>
        <v>8.9600000000000009</v>
      </c>
    </row>
    <row r="53" spans="1:8" ht="24" customHeight="1" x14ac:dyDescent="0.4">
      <c r="A53" s="827"/>
      <c r="B53" s="276"/>
      <c r="C53" s="265"/>
      <c r="D53" s="249" t="s">
        <v>111</v>
      </c>
      <c r="E53" s="228">
        <v>117</v>
      </c>
      <c r="F53" s="279">
        <v>2934</v>
      </c>
      <c r="G53" s="704">
        <v>25</v>
      </c>
      <c r="H53" s="66">
        <f t="shared" si="2"/>
        <v>18.72</v>
      </c>
    </row>
    <row r="54" spans="1:8" ht="24" customHeight="1" x14ac:dyDescent="0.4">
      <c r="A54" s="827"/>
      <c r="B54" s="276"/>
      <c r="C54" s="265"/>
      <c r="D54" s="249" t="s">
        <v>112</v>
      </c>
      <c r="E54" s="228">
        <v>116</v>
      </c>
      <c r="F54" s="279">
        <v>2903</v>
      </c>
      <c r="G54" s="704">
        <v>25</v>
      </c>
      <c r="H54" s="66">
        <f t="shared" si="2"/>
        <v>18.559999999999999</v>
      </c>
    </row>
    <row r="55" spans="1:8" ht="24" customHeight="1" x14ac:dyDescent="0.4">
      <c r="A55" s="827"/>
      <c r="B55" s="276"/>
      <c r="C55" s="265"/>
      <c r="D55" s="249" t="s">
        <v>113</v>
      </c>
      <c r="E55" s="228">
        <v>115</v>
      </c>
      <c r="F55" s="279">
        <v>2864</v>
      </c>
      <c r="G55" s="704">
        <v>25</v>
      </c>
      <c r="H55" s="66">
        <f t="shared" si="2"/>
        <v>18.399999999999999</v>
      </c>
    </row>
    <row r="56" spans="1:8" ht="24" customHeight="1" x14ac:dyDescent="0.4">
      <c r="A56" s="827"/>
      <c r="B56" s="276"/>
      <c r="C56" s="265"/>
      <c r="D56" s="249" t="s">
        <v>114</v>
      </c>
      <c r="E56" s="228">
        <v>128</v>
      </c>
      <c r="F56" s="279">
        <v>2825</v>
      </c>
      <c r="G56" s="704">
        <v>22</v>
      </c>
      <c r="H56" s="66">
        <f t="shared" si="2"/>
        <v>20.48</v>
      </c>
    </row>
    <row r="57" spans="1:8" ht="24" customHeight="1" thickBot="1" x14ac:dyDescent="0.45">
      <c r="A57" s="827"/>
      <c r="B57" s="276"/>
      <c r="C57" s="265"/>
      <c r="D57" s="280" t="s">
        <v>115</v>
      </c>
      <c r="E57" s="281">
        <v>129</v>
      </c>
      <c r="F57" s="282">
        <v>2843</v>
      </c>
      <c r="G57" s="705">
        <v>22</v>
      </c>
      <c r="H57" s="66">
        <f t="shared" si="2"/>
        <v>20.64</v>
      </c>
    </row>
    <row r="58" spans="1:8" ht="24" customHeight="1" thickBot="1" x14ac:dyDescent="0.45">
      <c r="A58" s="827"/>
      <c r="B58" s="828" t="s">
        <v>270</v>
      </c>
      <c r="C58" s="829"/>
      <c r="D58" s="829"/>
      <c r="E58" s="340">
        <f>SUM(E48:E57)</f>
        <v>1032</v>
      </c>
      <c r="F58" s="341">
        <f>SUM(F48:F57)</f>
        <v>25015</v>
      </c>
      <c r="G58" s="342"/>
      <c r="H58" s="342">
        <f>SUM(H48:H57)</f>
        <v>165.12</v>
      </c>
    </row>
    <row r="59" spans="1:8" ht="24" customHeight="1" x14ac:dyDescent="0.4">
      <c r="A59" s="827"/>
      <c r="B59" s="268"/>
      <c r="C59" s="265" t="s">
        <v>248</v>
      </c>
      <c r="D59" s="277" t="s">
        <v>51</v>
      </c>
      <c r="E59" s="232">
        <v>169</v>
      </c>
      <c r="F59" s="247">
        <v>4231</v>
      </c>
      <c r="G59" s="120">
        <v>25</v>
      </c>
      <c r="H59" s="66">
        <f>E59/$I$2</f>
        <v>27.04</v>
      </c>
    </row>
    <row r="60" spans="1:8" ht="24" customHeight="1" x14ac:dyDescent="0.4">
      <c r="A60" s="827"/>
      <c r="B60" s="268"/>
      <c r="C60" s="265"/>
      <c r="D60" s="249" t="s">
        <v>38</v>
      </c>
      <c r="E60" s="228">
        <v>171</v>
      </c>
      <c r="F60" s="279">
        <v>4265</v>
      </c>
      <c r="G60" s="122">
        <v>25</v>
      </c>
      <c r="H60" s="66">
        <f>E60/$I$2</f>
        <v>27.36</v>
      </c>
    </row>
    <row r="61" spans="1:8" ht="24" customHeight="1" thickBot="1" x14ac:dyDescent="0.45">
      <c r="A61" s="827"/>
      <c r="B61" s="268"/>
      <c r="C61" s="265"/>
      <c r="D61" s="280" t="s">
        <v>37</v>
      </c>
      <c r="E61" s="281">
        <v>67</v>
      </c>
      <c r="F61" s="282">
        <v>1663</v>
      </c>
      <c r="G61" s="124">
        <v>25</v>
      </c>
      <c r="H61" s="66">
        <f>E61/$I$2</f>
        <v>10.72</v>
      </c>
    </row>
    <row r="62" spans="1:8" ht="24" customHeight="1" thickBot="1" x14ac:dyDescent="0.45">
      <c r="A62" s="827"/>
      <c r="B62" s="828" t="s">
        <v>271</v>
      </c>
      <c r="C62" s="829"/>
      <c r="D62" s="829"/>
      <c r="E62" s="340">
        <f>SUM(E59:E61)</f>
        <v>407</v>
      </c>
      <c r="F62" s="341">
        <f>SUM(F59:F61)</f>
        <v>10159</v>
      </c>
      <c r="G62" s="342"/>
      <c r="H62" s="342">
        <f>SUM(H59:H61)</f>
        <v>65.12</v>
      </c>
    </row>
    <row r="63" spans="1:8" ht="24" customHeight="1" thickBot="1" x14ac:dyDescent="0.45">
      <c r="A63" s="827"/>
      <c r="B63" s="848" t="s">
        <v>272</v>
      </c>
      <c r="C63" s="849"/>
      <c r="D63" s="849"/>
      <c r="E63" s="689">
        <f>+E58+E62</f>
        <v>1439</v>
      </c>
      <c r="F63" s="689">
        <f>+F58+F62</f>
        <v>35174</v>
      </c>
      <c r="G63" s="690"/>
      <c r="H63" s="690">
        <f>H58+H62</f>
        <v>230.24</v>
      </c>
    </row>
    <row r="64" spans="1:8" ht="24" customHeight="1" thickBot="1" x14ac:dyDescent="0.45">
      <c r="A64" s="827"/>
      <c r="B64" s="820" t="s">
        <v>27</v>
      </c>
      <c r="C64" s="821"/>
      <c r="D64" s="821"/>
      <c r="E64" s="821"/>
      <c r="F64" s="821"/>
      <c r="G64" s="821"/>
      <c r="H64" s="822"/>
    </row>
    <row r="65" spans="1:9" ht="24" customHeight="1" thickBot="1" x14ac:dyDescent="0.45">
      <c r="A65" s="827"/>
      <c r="B65" s="284"/>
      <c r="C65" s="257" t="s">
        <v>262</v>
      </c>
      <c r="D65" s="285" t="s">
        <v>62</v>
      </c>
      <c r="E65" s="230">
        <v>4</v>
      </c>
      <c r="F65" s="286">
        <v>93</v>
      </c>
      <c r="G65" s="127">
        <v>22</v>
      </c>
      <c r="H65" s="692">
        <f>E65/$I$2</f>
        <v>0.64</v>
      </c>
    </row>
    <row r="66" spans="1:9" ht="24" customHeight="1" thickBot="1" x14ac:dyDescent="0.45">
      <c r="A66" s="827"/>
      <c r="B66" s="828" t="s">
        <v>273</v>
      </c>
      <c r="C66" s="829"/>
      <c r="D66" s="829"/>
      <c r="E66" s="340">
        <f>SUM(E65)</f>
        <v>4</v>
      </c>
      <c r="F66" s="341">
        <f>SUM(F65)</f>
        <v>93</v>
      </c>
      <c r="G66" s="342"/>
      <c r="H66" s="342">
        <f>H65</f>
        <v>0.64</v>
      </c>
    </row>
    <row r="67" spans="1:9" ht="24" customHeight="1" x14ac:dyDescent="0.4">
      <c r="A67" s="827"/>
      <c r="B67" s="338"/>
      <c r="C67" s="838" t="s">
        <v>60</v>
      </c>
      <c r="D67" s="706" t="s">
        <v>97</v>
      </c>
      <c r="E67" s="707">
        <v>124</v>
      </c>
      <c r="F67" s="708">
        <v>3106</v>
      </c>
      <c r="G67" s="709">
        <v>25</v>
      </c>
      <c r="H67" s="66">
        <f>E67/$I$2</f>
        <v>19.84</v>
      </c>
    </row>
    <row r="68" spans="1:9" ht="24" customHeight="1" x14ac:dyDescent="0.4">
      <c r="A68" s="827"/>
      <c r="B68" s="338"/>
      <c r="C68" s="816"/>
      <c r="D68" s="292" t="s">
        <v>105</v>
      </c>
      <c r="E68" s="601">
        <v>100</v>
      </c>
      <c r="F68" s="710">
        <v>2495</v>
      </c>
      <c r="G68" s="714">
        <v>25</v>
      </c>
      <c r="H68" s="682">
        <f>E68/$I$2</f>
        <v>16</v>
      </c>
    </row>
    <row r="69" spans="1:9" ht="24" customHeight="1" thickBot="1" x14ac:dyDescent="0.45">
      <c r="A69" s="827"/>
      <c r="B69" s="338"/>
      <c r="C69" s="816"/>
      <c r="D69" s="339" t="s">
        <v>106</v>
      </c>
      <c r="E69" s="711">
        <v>12</v>
      </c>
      <c r="F69" s="712">
        <v>300</v>
      </c>
      <c r="G69" s="713">
        <v>25</v>
      </c>
      <c r="H69" s="66">
        <f>E69/$I$2</f>
        <v>1.92</v>
      </c>
    </row>
    <row r="70" spans="1:9" ht="24" customHeight="1" thickBot="1" x14ac:dyDescent="0.45">
      <c r="A70" s="827"/>
      <c r="B70" s="828" t="s">
        <v>274</v>
      </c>
      <c r="C70" s="829"/>
      <c r="D70" s="829"/>
      <c r="E70" s="340">
        <f>SUM(E67:E69)</f>
        <v>236</v>
      </c>
      <c r="F70" s="340">
        <f>SUM(F67:F69)</f>
        <v>5901</v>
      </c>
      <c r="G70" s="342"/>
      <c r="H70" s="342">
        <f>SUM(H67:H69)</f>
        <v>37.760000000000005</v>
      </c>
    </row>
    <row r="71" spans="1:9" ht="24" customHeight="1" x14ac:dyDescent="0.4">
      <c r="A71" s="827"/>
      <c r="B71" s="268"/>
      <c r="C71" s="838" t="s">
        <v>265</v>
      </c>
      <c r="D71" s="266" t="s">
        <v>100</v>
      </c>
      <c r="E71" s="715">
        <v>78</v>
      </c>
      <c r="F71" s="716">
        <v>1950</v>
      </c>
      <c r="G71" s="703">
        <v>25</v>
      </c>
      <c r="H71" s="678">
        <f>E71/$I$2</f>
        <v>12.48</v>
      </c>
    </row>
    <row r="72" spans="1:9" ht="24" customHeight="1" x14ac:dyDescent="0.4">
      <c r="A72" s="827"/>
      <c r="B72" s="268"/>
      <c r="C72" s="816"/>
      <c r="D72" s="269" t="s">
        <v>101</v>
      </c>
      <c r="E72" s="601">
        <v>154</v>
      </c>
      <c r="F72" s="710">
        <v>3835</v>
      </c>
      <c r="G72" s="704">
        <v>25</v>
      </c>
      <c r="H72" s="66">
        <f>E72/$I$2</f>
        <v>24.64</v>
      </c>
    </row>
    <row r="73" spans="1:9" ht="24" customHeight="1" x14ac:dyDescent="0.4">
      <c r="A73" s="827"/>
      <c r="B73" s="268"/>
      <c r="C73" s="816"/>
      <c r="D73" s="291" t="s">
        <v>102</v>
      </c>
      <c r="E73" s="601">
        <v>85</v>
      </c>
      <c r="F73" s="710">
        <v>2119</v>
      </c>
      <c r="G73" s="704">
        <v>25</v>
      </c>
      <c r="H73" s="66">
        <f>E73/$I$2</f>
        <v>13.6</v>
      </c>
    </row>
    <row r="74" spans="1:9" ht="24" customHeight="1" x14ac:dyDescent="0.4">
      <c r="A74" s="827"/>
      <c r="B74" s="268"/>
      <c r="C74" s="816"/>
      <c r="D74" s="292" t="s">
        <v>107</v>
      </c>
      <c r="E74" s="601">
        <v>172</v>
      </c>
      <c r="F74" s="710">
        <v>4308</v>
      </c>
      <c r="G74" s="704">
        <v>25</v>
      </c>
      <c r="H74" s="66">
        <f>E74/$I$2</f>
        <v>27.52</v>
      </c>
    </row>
    <row r="75" spans="1:9" ht="24" customHeight="1" thickBot="1" x14ac:dyDescent="0.45">
      <c r="A75" s="827"/>
      <c r="B75" s="268"/>
      <c r="C75" s="817"/>
      <c r="D75" s="679" t="s">
        <v>108</v>
      </c>
      <c r="E75" s="603">
        <v>154</v>
      </c>
      <c r="F75" s="717">
        <v>3861</v>
      </c>
      <c r="G75" s="705">
        <v>25</v>
      </c>
      <c r="H75" s="66">
        <f>E75/$I$2</f>
        <v>24.64</v>
      </c>
    </row>
    <row r="76" spans="1:9" ht="24.75" customHeight="1" thickBot="1" x14ac:dyDescent="0.45">
      <c r="A76" s="827"/>
      <c r="B76" s="828" t="s">
        <v>275</v>
      </c>
      <c r="C76" s="829"/>
      <c r="D76" s="829"/>
      <c r="E76" s="340">
        <f>SUM(E71:E75)</f>
        <v>643</v>
      </c>
      <c r="F76" s="341">
        <f>SUM(F71:F75)</f>
        <v>16073</v>
      </c>
      <c r="G76" s="342"/>
      <c r="H76" s="342">
        <f>H71+H72+H73+H74+H75</f>
        <v>102.88000000000001</v>
      </c>
    </row>
    <row r="77" spans="1:9" ht="24.75" customHeight="1" thickBot="1" x14ac:dyDescent="0.45">
      <c r="A77" s="827"/>
      <c r="B77" s="718"/>
      <c r="C77" s="674" t="s">
        <v>276</v>
      </c>
      <c r="D77" s="298" t="s">
        <v>277</v>
      </c>
      <c r="E77" s="719">
        <v>157</v>
      </c>
      <c r="F77" s="299">
        <v>3932</v>
      </c>
      <c r="G77" s="127">
        <v>25</v>
      </c>
      <c r="H77" s="720">
        <f>E77/$I$2</f>
        <v>25.12</v>
      </c>
    </row>
    <row r="78" spans="1:9" ht="24.75" customHeight="1" thickBot="1" x14ac:dyDescent="0.45">
      <c r="A78" s="827"/>
      <c r="B78" s="828" t="s">
        <v>278</v>
      </c>
      <c r="C78" s="829"/>
      <c r="D78" s="829"/>
      <c r="E78" s="340">
        <f>SUM(E77)</f>
        <v>157</v>
      </c>
      <c r="F78" s="341">
        <f>SUM(F77)</f>
        <v>3932</v>
      </c>
      <c r="G78" s="344"/>
      <c r="H78" s="344">
        <f>E78/$I$2</f>
        <v>25.12</v>
      </c>
    </row>
    <row r="79" spans="1:9" ht="24.75" customHeight="1" thickBot="1" x14ac:dyDescent="0.45">
      <c r="A79" s="842"/>
      <c r="B79" s="830" t="s">
        <v>279</v>
      </c>
      <c r="C79" s="831"/>
      <c r="D79" s="831"/>
      <c r="E79" s="305">
        <f>+E66+E70+E76+E78</f>
        <v>1040</v>
      </c>
      <c r="F79" s="305">
        <f>+F66+F70+F76+F78</f>
        <v>25999</v>
      </c>
      <c r="G79" s="722"/>
      <c r="H79" s="683">
        <f>+H66+H70+H76+H78</f>
        <v>166.40000000000003</v>
      </c>
      <c r="I79" s="721"/>
    </row>
    <row r="80" spans="1:9" ht="24.75" customHeight="1" thickBot="1" x14ac:dyDescent="0.45">
      <c r="A80" s="823" t="s">
        <v>280</v>
      </c>
      <c r="B80" s="824"/>
      <c r="C80" s="824"/>
      <c r="D80" s="825"/>
      <c r="E80" s="347">
        <f>+E63+E79</f>
        <v>2479</v>
      </c>
      <c r="F80" s="347">
        <f>+F63+F79</f>
        <v>61173</v>
      </c>
      <c r="G80" s="723"/>
      <c r="H80" s="724">
        <f>H79+H63</f>
        <v>396.64000000000004</v>
      </c>
      <c r="I80" s="721"/>
    </row>
    <row r="81" spans="1:8" ht="24.75" customHeight="1" thickBot="1" x14ac:dyDescent="0.45">
      <c r="A81" s="826" t="s">
        <v>281</v>
      </c>
      <c r="B81" s="832" t="s">
        <v>22</v>
      </c>
      <c r="C81" s="833"/>
      <c r="D81" s="833"/>
      <c r="E81" s="833"/>
      <c r="F81" s="833"/>
      <c r="G81" s="833"/>
      <c r="H81" s="834"/>
    </row>
    <row r="82" spans="1:8" ht="24" customHeight="1" x14ac:dyDescent="0.4">
      <c r="A82" s="827"/>
      <c r="B82" s="290"/>
      <c r="C82" s="816" t="s">
        <v>248</v>
      </c>
      <c r="D82" s="277" t="s">
        <v>52</v>
      </c>
      <c r="E82" s="232">
        <v>154</v>
      </c>
      <c r="F82" s="247">
        <v>3851</v>
      </c>
      <c r="G82" s="120">
        <v>25</v>
      </c>
      <c r="H82" s="66">
        <f>E82/$I$2</f>
        <v>24.64</v>
      </c>
    </row>
    <row r="83" spans="1:8" ht="24" customHeight="1" x14ac:dyDescent="0.4">
      <c r="A83" s="827"/>
      <c r="B83" s="343"/>
      <c r="C83" s="816"/>
      <c r="D83" s="249" t="s">
        <v>53</v>
      </c>
      <c r="E83" s="228">
        <v>139</v>
      </c>
      <c r="F83" s="279">
        <v>3476</v>
      </c>
      <c r="G83" s="122">
        <v>25</v>
      </c>
      <c r="H83" s="66">
        <f>E83/$I$2</f>
        <v>22.24</v>
      </c>
    </row>
    <row r="84" spans="1:8" ht="24.75" customHeight="1" thickBot="1" x14ac:dyDescent="0.45">
      <c r="A84" s="827"/>
      <c r="B84" s="276"/>
      <c r="C84" s="816"/>
      <c r="D84" s="280" t="s">
        <v>54</v>
      </c>
      <c r="E84" s="281">
        <v>165</v>
      </c>
      <c r="F84" s="282">
        <v>4127</v>
      </c>
      <c r="G84" s="124">
        <v>25</v>
      </c>
      <c r="H84" s="682">
        <f>E84/$I$2</f>
        <v>26.4</v>
      </c>
    </row>
    <row r="85" spans="1:8" ht="24.75" customHeight="1" thickBot="1" x14ac:dyDescent="0.45">
      <c r="A85" s="827"/>
      <c r="B85" s="828" t="s">
        <v>282</v>
      </c>
      <c r="C85" s="829"/>
      <c r="D85" s="829"/>
      <c r="E85" s="340">
        <f>SUM(E82:E84)</f>
        <v>458</v>
      </c>
      <c r="F85" s="341">
        <f>SUM(F82:F84)</f>
        <v>11454</v>
      </c>
      <c r="G85" s="344"/>
      <c r="H85" s="725">
        <f>H82+H83+H84</f>
        <v>73.28</v>
      </c>
    </row>
    <row r="86" spans="1:8" ht="24.75" customHeight="1" thickBot="1" x14ac:dyDescent="0.45">
      <c r="A86" s="827"/>
      <c r="B86" s="830" t="s">
        <v>283</v>
      </c>
      <c r="C86" s="831"/>
      <c r="D86" s="831"/>
      <c r="E86" s="262">
        <f>E85</f>
        <v>458</v>
      </c>
      <c r="F86" s="262">
        <f>F85</f>
        <v>11454</v>
      </c>
      <c r="G86" s="294"/>
      <c r="H86" s="726">
        <f>E86/$I$2</f>
        <v>73.28</v>
      </c>
    </row>
    <row r="87" spans="1:8" ht="24.75" customHeight="1" thickBot="1" x14ac:dyDescent="0.45">
      <c r="A87" s="827"/>
      <c r="B87" s="820" t="s">
        <v>27</v>
      </c>
      <c r="C87" s="821"/>
      <c r="D87" s="821"/>
      <c r="E87" s="821"/>
      <c r="F87" s="821"/>
      <c r="G87" s="821"/>
      <c r="H87" s="822"/>
    </row>
    <row r="88" spans="1:8" ht="24" customHeight="1" x14ac:dyDescent="0.4">
      <c r="A88" s="827"/>
      <c r="B88" s="290"/>
      <c r="C88" s="816" t="s">
        <v>60</v>
      </c>
      <c r="D88" s="266" t="s">
        <v>119</v>
      </c>
      <c r="E88" s="715">
        <v>134</v>
      </c>
      <c r="F88" s="716">
        <v>3333</v>
      </c>
      <c r="G88" s="703">
        <v>25</v>
      </c>
      <c r="H88" s="727">
        <f t="shared" ref="H88:H93" si="3">E88/$I$2</f>
        <v>21.44</v>
      </c>
    </row>
    <row r="89" spans="1:8" ht="24" customHeight="1" x14ac:dyDescent="0.4">
      <c r="A89" s="827"/>
      <c r="B89" s="276"/>
      <c r="C89" s="816"/>
      <c r="D89" s="269" t="s">
        <v>120</v>
      </c>
      <c r="E89" s="601">
        <v>101</v>
      </c>
      <c r="F89" s="710">
        <v>2525</v>
      </c>
      <c r="G89" s="704">
        <v>25</v>
      </c>
      <c r="H89" s="727">
        <f t="shared" si="3"/>
        <v>16.16</v>
      </c>
    </row>
    <row r="90" spans="1:8" ht="24" customHeight="1" x14ac:dyDescent="0.4">
      <c r="A90" s="827"/>
      <c r="B90" s="276"/>
      <c r="C90" s="816"/>
      <c r="D90" s="269" t="s">
        <v>121</v>
      </c>
      <c r="E90" s="601">
        <v>116</v>
      </c>
      <c r="F90" s="710">
        <v>2888</v>
      </c>
      <c r="G90" s="704">
        <v>25</v>
      </c>
      <c r="H90" s="727">
        <f t="shared" si="3"/>
        <v>18.559999999999999</v>
      </c>
    </row>
    <row r="91" spans="1:8" ht="24" customHeight="1" x14ac:dyDescent="0.4">
      <c r="A91" s="827"/>
      <c r="B91" s="276"/>
      <c r="C91" s="816"/>
      <c r="D91" s="269" t="s">
        <v>122</v>
      </c>
      <c r="E91" s="601">
        <v>76</v>
      </c>
      <c r="F91" s="710">
        <v>1905</v>
      </c>
      <c r="G91" s="704">
        <v>25</v>
      </c>
      <c r="H91" s="727">
        <f t="shared" si="3"/>
        <v>12.16</v>
      </c>
    </row>
    <row r="92" spans="1:8" ht="24" customHeight="1" x14ac:dyDescent="0.4">
      <c r="A92" s="827"/>
      <c r="B92" s="276"/>
      <c r="C92" s="816"/>
      <c r="D92" s="269" t="s">
        <v>123</v>
      </c>
      <c r="E92" s="601">
        <v>92</v>
      </c>
      <c r="F92" s="710">
        <v>2291</v>
      </c>
      <c r="G92" s="704">
        <v>25</v>
      </c>
      <c r="H92" s="727">
        <f t="shared" si="3"/>
        <v>14.72</v>
      </c>
    </row>
    <row r="93" spans="1:8" ht="24" customHeight="1" x14ac:dyDescent="0.4">
      <c r="A93" s="827"/>
      <c r="B93" s="276"/>
      <c r="C93" s="816"/>
      <c r="D93" s="269" t="s">
        <v>126</v>
      </c>
      <c r="E93" s="601">
        <v>108</v>
      </c>
      <c r="F93" s="602">
        <v>2707</v>
      </c>
      <c r="G93" s="704">
        <v>25</v>
      </c>
      <c r="H93" s="727">
        <f t="shared" si="3"/>
        <v>17.28</v>
      </c>
    </row>
    <row r="94" spans="1:8" ht="24" customHeight="1" x14ac:dyDescent="0.4">
      <c r="A94" s="827"/>
      <c r="B94" s="276"/>
      <c r="C94" s="816"/>
      <c r="D94" s="269" t="s">
        <v>127</v>
      </c>
      <c r="E94" s="601">
        <v>86</v>
      </c>
      <c r="F94" s="602">
        <v>2132</v>
      </c>
      <c r="G94" s="704">
        <v>25</v>
      </c>
      <c r="H94" s="727">
        <f t="shared" ref="H94:H95" si="4">E94/$I$2</f>
        <v>13.76</v>
      </c>
    </row>
    <row r="95" spans="1:8" ht="24.75" customHeight="1" thickBot="1" x14ac:dyDescent="0.45">
      <c r="A95" s="827"/>
      <c r="B95" s="276"/>
      <c r="C95" s="817"/>
      <c r="D95" s="270" t="s">
        <v>128</v>
      </c>
      <c r="E95" s="603">
        <v>29</v>
      </c>
      <c r="F95" s="604">
        <v>720</v>
      </c>
      <c r="G95" s="705">
        <v>25</v>
      </c>
      <c r="H95" s="727">
        <f t="shared" si="4"/>
        <v>4.6399999999999997</v>
      </c>
    </row>
    <row r="96" spans="1:8" ht="24.75" customHeight="1" thickBot="1" x14ac:dyDescent="0.45">
      <c r="A96" s="827"/>
      <c r="B96" s="828" t="s">
        <v>284</v>
      </c>
      <c r="C96" s="829"/>
      <c r="D96" s="829"/>
      <c r="E96" s="340">
        <f>SUM(E88:E95)</f>
        <v>742</v>
      </c>
      <c r="F96" s="341">
        <f>SUM(F88:F95)</f>
        <v>18501</v>
      </c>
      <c r="G96" s="344"/>
      <c r="H96" s="725">
        <f>SUM(H88:H95)</f>
        <v>118.72</v>
      </c>
    </row>
    <row r="97" spans="1:9" ht="24.75" customHeight="1" thickBot="1" x14ac:dyDescent="0.45">
      <c r="A97" s="827"/>
      <c r="B97" s="256"/>
      <c r="C97" s="308" t="s">
        <v>265</v>
      </c>
      <c r="D97" s="285" t="s">
        <v>135</v>
      </c>
      <c r="E97" s="230">
        <v>142</v>
      </c>
      <c r="F97" s="231">
        <v>3259</v>
      </c>
      <c r="G97" s="295">
        <v>25</v>
      </c>
      <c r="H97" s="678">
        <f>E97/$I$2</f>
        <v>22.72</v>
      </c>
    </row>
    <row r="98" spans="1:9" ht="24.75" customHeight="1" thickBot="1" x14ac:dyDescent="0.45">
      <c r="A98" s="827"/>
      <c r="B98" s="828" t="s">
        <v>285</v>
      </c>
      <c r="C98" s="829"/>
      <c r="D98" s="829"/>
      <c r="E98" s="340">
        <f>SUM(E97)</f>
        <v>142</v>
      </c>
      <c r="F98" s="341">
        <f>SUM(F97)</f>
        <v>3259</v>
      </c>
      <c r="G98" s="344"/>
      <c r="H98" s="344">
        <f>H97</f>
        <v>22.72</v>
      </c>
    </row>
    <row r="99" spans="1:9" ht="24.75" customHeight="1" thickBot="1" x14ac:dyDescent="0.45">
      <c r="A99" s="827"/>
      <c r="B99" s="830" t="s">
        <v>286</v>
      </c>
      <c r="C99" s="831"/>
      <c r="D99" s="831"/>
      <c r="E99" s="305">
        <f>+E96+E98</f>
        <v>884</v>
      </c>
      <c r="F99" s="305">
        <f>+F96+F98</f>
        <v>21760</v>
      </c>
      <c r="G99" s="294"/>
      <c r="H99" s="726">
        <f>E99/$I$2</f>
        <v>141.44</v>
      </c>
    </row>
    <row r="100" spans="1:9" ht="20.399999999999999" thickBot="1" x14ac:dyDescent="0.45">
      <c r="A100" s="823" t="s">
        <v>287</v>
      </c>
      <c r="B100" s="835"/>
      <c r="C100" s="835"/>
      <c r="D100" s="841"/>
      <c r="E100" s="347">
        <f>+E86+E99</f>
        <v>1342</v>
      </c>
      <c r="F100" s="347">
        <f>+F86+F99</f>
        <v>33214</v>
      </c>
      <c r="G100" s="728"/>
      <c r="H100" s="729">
        <f>+H99+H86</f>
        <v>214.72</v>
      </c>
      <c r="I100" s="721"/>
    </row>
    <row r="101" spans="1:9" ht="24.75" customHeight="1" thickBot="1" x14ac:dyDescent="0.45">
      <c r="A101" s="826">
        <v>63</v>
      </c>
      <c r="B101" s="832" t="s">
        <v>22</v>
      </c>
      <c r="C101" s="833"/>
      <c r="D101" s="833"/>
      <c r="E101" s="833"/>
      <c r="F101" s="833"/>
      <c r="G101" s="833"/>
      <c r="H101" s="834"/>
    </row>
    <row r="102" spans="1:9" ht="24" customHeight="1" x14ac:dyDescent="0.4">
      <c r="A102" s="827"/>
      <c r="B102" s="290"/>
      <c r="C102" s="816" t="s">
        <v>246</v>
      </c>
      <c r="D102" s="246" t="s">
        <v>139</v>
      </c>
      <c r="E102" s="120">
        <v>121</v>
      </c>
      <c r="F102" s="296">
        <v>3037</v>
      </c>
      <c r="G102" s="120">
        <v>25</v>
      </c>
      <c r="H102" s="66">
        <f>E102/$I$2</f>
        <v>19.36</v>
      </c>
    </row>
    <row r="103" spans="1:9" ht="24" customHeight="1" x14ac:dyDescent="0.4">
      <c r="A103" s="827"/>
      <c r="B103" s="276"/>
      <c r="C103" s="816"/>
      <c r="D103" s="252" t="s">
        <v>140</v>
      </c>
      <c r="E103" s="122">
        <v>38</v>
      </c>
      <c r="F103" s="293">
        <v>842</v>
      </c>
      <c r="G103" s="122">
        <v>22</v>
      </c>
      <c r="H103" s="66">
        <f>E103/$I$2</f>
        <v>6.08</v>
      </c>
    </row>
    <row r="104" spans="1:9" ht="24.75" customHeight="1" thickBot="1" x14ac:dyDescent="0.45">
      <c r="A104" s="827"/>
      <c r="B104" s="276"/>
      <c r="C104" s="817"/>
      <c r="D104" s="253" t="s">
        <v>141</v>
      </c>
      <c r="E104" s="124">
        <v>38</v>
      </c>
      <c r="F104" s="297">
        <v>844</v>
      </c>
      <c r="G104" s="124">
        <v>22</v>
      </c>
      <c r="H104" s="66">
        <f>E104/$I$2</f>
        <v>6.08</v>
      </c>
    </row>
    <row r="105" spans="1:9" ht="24.75" customHeight="1" thickBot="1" x14ac:dyDescent="0.45">
      <c r="A105" s="827"/>
      <c r="B105" s="828" t="s">
        <v>288</v>
      </c>
      <c r="C105" s="829"/>
      <c r="D105" s="829"/>
      <c r="E105" s="340">
        <f>SUM(E102:E104)</f>
        <v>197</v>
      </c>
      <c r="F105" s="341">
        <f>SUM(F102:F104)</f>
        <v>4723</v>
      </c>
      <c r="G105" s="344"/>
      <c r="H105" s="344">
        <f>H102+H103+H104</f>
        <v>31.519999999999996</v>
      </c>
    </row>
    <row r="106" spans="1:9" ht="24.75" customHeight="1" thickBot="1" x14ac:dyDescent="0.45">
      <c r="A106" s="827"/>
      <c r="B106" s="830" t="s">
        <v>289</v>
      </c>
      <c r="C106" s="831"/>
      <c r="D106" s="831"/>
      <c r="E106" s="262">
        <f>E105</f>
        <v>197</v>
      </c>
      <c r="F106" s="262">
        <f>F105</f>
        <v>4723</v>
      </c>
      <c r="G106" s="294"/>
      <c r="H106" s="294">
        <f>H105</f>
        <v>31.519999999999996</v>
      </c>
    </row>
    <row r="107" spans="1:9" ht="24.75" customHeight="1" thickBot="1" x14ac:dyDescent="0.45">
      <c r="A107" s="827"/>
      <c r="B107" s="820" t="s">
        <v>27</v>
      </c>
      <c r="C107" s="821"/>
      <c r="D107" s="821"/>
      <c r="E107" s="821"/>
      <c r="F107" s="821"/>
      <c r="G107" s="821"/>
      <c r="H107" s="822"/>
    </row>
    <row r="108" spans="1:9" ht="24" customHeight="1" x14ac:dyDescent="0.4">
      <c r="A108" s="827"/>
      <c r="B108" s="290"/>
      <c r="C108" s="816" t="s">
        <v>265</v>
      </c>
      <c r="D108" s="266" t="s">
        <v>144</v>
      </c>
      <c r="E108" s="731">
        <v>24</v>
      </c>
      <c r="F108" s="732">
        <v>534</v>
      </c>
      <c r="G108" s="730">
        <v>22</v>
      </c>
      <c r="H108" s="66">
        <f t="shared" ref="H108:H109" si="5">E108/$I$2</f>
        <v>3.84</v>
      </c>
    </row>
    <row r="109" spans="1:9" ht="24" customHeight="1" x14ac:dyDescent="0.4">
      <c r="A109" s="827"/>
      <c r="B109" s="276"/>
      <c r="C109" s="816"/>
      <c r="D109" s="269" t="s">
        <v>145</v>
      </c>
      <c r="E109" s="733">
        <v>39</v>
      </c>
      <c r="F109" s="734">
        <v>980</v>
      </c>
      <c r="G109" s="350">
        <v>25</v>
      </c>
      <c r="H109" s="678">
        <f t="shared" si="5"/>
        <v>6.24</v>
      </c>
    </row>
    <row r="110" spans="1:9" ht="24.75" customHeight="1" x14ac:dyDescent="0.4">
      <c r="A110" s="827"/>
      <c r="B110" s="276"/>
      <c r="C110" s="816"/>
      <c r="D110" s="270" t="s">
        <v>146</v>
      </c>
      <c r="E110" s="612">
        <v>14</v>
      </c>
      <c r="F110" s="735">
        <v>309</v>
      </c>
      <c r="G110" s="351">
        <v>22</v>
      </c>
      <c r="H110" s="66">
        <f>E110/$I$2</f>
        <v>2.2400000000000002</v>
      </c>
    </row>
    <row r="111" spans="1:9" ht="24.75" customHeight="1" thickBot="1" x14ac:dyDescent="0.45">
      <c r="A111" s="827"/>
      <c r="B111" s="276"/>
      <c r="C111" s="817"/>
      <c r="D111" s="335" t="s">
        <v>147</v>
      </c>
      <c r="E111" s="736">
        <v>109</v>
      </c>
      <c r="F111" s="737">
        <v>2388</v>
      </c>
      <c r="G111" s="352">
        <v>22</v>
      </c>
      <c r="H111" s="66">
        <f t="shared" ref="H111" si="6">E111/$I$2</f>
        <v>17.440000000000001</v>
      </c>
    </row>
    <row r="112" spans="1:9" ht="24.75" customHeight="1" thickBot="1" x14ac:dyDescent="0.45">
      <c r="A112" s="827"/>
      <c r="B112" s="818" t="s">
        <v>290</v>
      </c>
      <c r="C112" s="819"/>
      <c r="D112" s="819"/>
      <c r="E112" s="348">
        <f>SUM(E108:E111)</f>
        <v>186</v>
      </c>
      <c r="F112" s="354">
        <f>SUM(F108:F111)</f>
        <v>4211</v>
      </c>
      <c r="G112" s="346"/>
      <c r="H112" s="346">
        <f>SUM(H108:H111)</f>
        <v>29.76</v>
      </c>
    </row>
    <row r="113" spans="1:9" ht="24.75" customHeight="1" thickBot="1" x14ac:dyDescent="0.45">
      <c r="A113" s="827"/>
      <c r="B113" s="256"/>
      <c r="C113" s="353" t="s">
        <v>276</v>
      </c>
      <c r="D113" s="298" t="s">
        <v>149</v>
      </c>
      <c r="E113" s="127">
        <v>108</v>
      </c>
      <c r="F113" s="299">
        <v>2365</v>
      </c>
      <c r="G113" s="127">
        <v>22</v>
      </c>
      <c r="H113" s="66">
        <f>E113/$I$2</f>
        <v>17.28</v>
      </c>
    </row>
    <row r="114" spans="1:9" ht="24.75" customHeight="1" thickBot="1" x14ac:dyDescent="0.45">
      <c r="A114" s="827"/>
      <c r="B114" s="818" t="s">
        <v>291</v>
      </c>
      <c r="C114" s="819"/>
      <c r="D114" s="819"/>
      <c r="E114" s="348">
        <f>SUM(E113:E113)</f>
        <v>108</v>
      </c>
      <c r="F114" s="345">
        <f>SUM(F113)</f>
        <v>2365</v>
      </c>
      <c r="G114" s="346"/>
      <c r="H114" s="346">
        <f>H113</f>
        <v>17.28</v>
      </c>
    </row>
    <row r="115" spans="1:9" ht="24.75" customHeight="1" thickBot="1" x14ac:dyDescent="0.45">
      <c r="A115" s="827"/>
      <c r="B115" s="830" t="s">
        <v>292</v>
      </c>
      <c r="C115" s="831"/>
      <c r="D115" s="831"/>
      <c r="E115" s="305">
        <f>+E112+E114</f>
        <v>294</v>
      </c>
      <c r="F115" s="305">
        <f>+F112+F114</f>
        <v>6576</v>
      </c>
      <c r="G115" s="294"/>
      <c r="H115" s="294">
        <f>H114+H112</f>
        <v>47.040000000000006</v>
      </c>
    </row>
    <row r="116" spans="1:9" ht="20.399999999999999" thickBot="1" x14ac:dyDescent="0.45">
      <c r="A116" s="823" t="s">
        <v>293</v>
      </c>
      <c r="B116" s="835"/>
      <c r="C116" s="835"/>
      <c r="D116" s="841"/>
      <c r="E116" s="347">
        <f>+E106+E115</f>
        <v>491</v>
      </c>
      <c r="F116" s="347">
        <f>+F106+F115</f>
        <v>11299</v>
      </c>
      <c r="G116" s="728"/>
      <c r="H116" s="724">
        <f>H115+H106</f>
        <v>78.56</v>
      </c>
      <c r="I116" s="721"/>
    </row>
    <row r="117" spans="1:9" ht="24" customHeight="1" thickBot="1" x14ac:dyDescent="0.45">
      <c r="A117" s="826" t="s">
        <v>301</v>
      </c>
      <c r="B117" s="832" t="s">
        <v>22</v>
      </c>
      <c r="C117" s="833"/>
      <c r="D117" s="833"/>
      <c r="E117" s="833"/>
      <c r="F117" s="833"/>
      <c r="G117" s="833"/>
      <c r="H117" s="834"/>
    </row>
    <row r="118" spans="1:9" ht="24" customHeight="1" x14ac:dyDescent="0.4">
      <c r="A118" s="827"/>
      <c r="B118" s="290"/>
      <c r="C118" s="816" t="s">
        <v>248</v>
      </c>
      <c r="D118" s="246" t="s">
        <v>55</v>
      </c>
      <c r="E118" s="130">
        <v>158</v>
      </c>
      <c r="F118" s="296">
        <v>3480</v>
      </c>
      <c r="G118" s="130">
        <v>22</v>
      </c>
      <c r="H118" s="66">
        <f>E118/$I$2</f>
        <v>25.28</v>
      </c>
    </row>
    <row r="119" spans="1:9" ht="24" customHeight="1" x14ac:dyDescent="0.4">
      <c r="A119" s="827"/>
      <c r="B119" s="290"/>
      <c r="C119" s="816"/>
      <c r="D119" s="252" t="s">
        <v>56</v>
      </c>
      <c r="E119" s="122">
        <v>143</v>
      </c>
      <c r="F119" s="300">
        <v>3140</v>
      </c>
      <c r="G119" s="301">
        <v>22</v>
      </c>
      <c r="H119" s="66">
        <f>E119/$I$2</f>
        <v>22.88</v>
      </c>
    </row>
    <row r="120" spans="1:9" ht="24" customHeight="1" x14ac:dyDescent="0.4">
      <c r="A120" s="827"/>
      <c r="B120" s="290"/>
      <c r="C120" s="816"/>
      <c r="D120" s="252" t="s">
        <v>57</v>
      </c>
      <c r="E120" s="122">
        <v>167</v>
      </c>
      <c r="F120" s="300">
        <v>3671</v>
      </c>
      <c r="G120" s="301">
        <v>22</v>
      </c>
      <c r="H120" s="66">
        <f t="shared" ref="H120" si="7">E120/$I$2</f>
        <v>26.72</v>
      </c>
    </row>
    <row r="121" spans="1:9" ht="24" customHeight="1" x14ac:dyDescent="0.4">
      <c r="A121" s="827"/>
      <c r="B121" s="290"/>
      <c r="C121" s="816"/>
      <c r="D121" s="252" t="s">
        <v>58</v>
      </c>
      <c r="E121" s="122">
        <v>130</v>
      </c>
      <c r="F121" s="300">
        <v>2868</v>
      </c>
      <c r="G121" s="301">
        <v>22</v>
      </c>
      <c r="H121" s="682">
        <f>E121/$I$2</f>
        <v>20.8</v>
      </c>
    </row>
    <row r="122" spans="1:9" ht="24" customHeight="1" thickBot="1" x14ac:dyDescent="0.45">
      <c r="A122" s="827"/>
      <c r="B122" s="290"/>
      <c r="C122" s="817"/>
      <c r="D122" s="253" t="s">
        <v>44</v>
      </c>
      <c r="E122" s="124">
        <v>145</v>
      </c>
      <c r="F122" s="302">
        <v>3193</v>
      </c>
      <c r="G122" s="303">
        <v>22</v>
      </c>
      <c r="H122" s="682">
        <f>E122/$I$2</f>
        <v>23.2</v>
      </c>
    </row>
    <row r="123" spans="1:9" ht="24" customHeight="1" thickBot="1" x14ac:dyDescent="0.45">
      <c r="A123" s="827"/>
      <c r="B123" s="818" t="s">
        <v>294</v>
      </c>
      <c r="C123" s="819"/>
      <c r="D123" s="819"/>
      <c r="E123" s="348">
        <f>SUM(E118:E122)</f>
        <v>743</v>
      </c>
      <c r="F123" s="345">
        <f>SUM(F118:F122)</f>
        <v>16352</v>
      </c>
      <c r="G123" s="346"/>
      <c r="H123" s="738">
        <f>H118+H119+H120+H121+H122</f>
        <v>118.88</v>
      </c>
    </row>
    <row r="124" spans="1:9" ht="24" customHeight="1" x14ac:dyDescent="0.4">
      <c r="A124" s="827"/>
      <c r="B124" s="245"/>
      <c r="C124" s="813" t="s">
        <v>246</v>
      </c>
      <c r="D124" s="246" t="s">
        <v>174</v>
      </c>
      <c r="E124" s="120">
        <v>111</v>
      </c>
      <c r="F124" s="304">
        <v>2449</v>
      </c>
      <c r="G124" s="355">
        <v>22</v>
      </c>
      <c r="H124" s="66">
        <f>E124/$I$2</f>
        <v>17.760000000000002</v>
      </c>
    </row>
    <row r="125" spans="1:9" ht="24" customHeight="1" x14ac:dyDescent="0.4">
      <c r="A125" s="827"/>
      <c r="B125" s="248"/>
      <c r="C125" s="814"/>
      <c r="D125" s="252" t="s">
        <v>175</v>
      </c>
      <c r="E125" s="122">
        <v>92</v>
      </c>
      <c r="F125" s="300">
        <v>2014</v>
      </c>
      <c r="G125" s="356">
        <v>22</v>
      </c>
      <c r="H125" s="66">
        <f t="shared" ref="H125:H134" si="8">E125/$I$2</f>
        <v>14.72</v>
      </c>
    </row>
    <row r="126" spans="1:9" ht="24" customHeight="1" x14ac:dyDescent="0.4">
      <c r="A126" s="827"/>
      <c r="B126" s="248"/>
      <c r="C126" s="814"/>
      <c r="D126" s="252" t="s">
        <v>176</v>
      </c>
      <c r="E126" s="122">
        <v>132</v>
      </c>
      <c r="F126" s="300">
        <v>2898</v>
      </c>
      <c r="G126" s="356">
        <v>22</v>
      </c>
      <c r="H126" s="66">
        <f t="shared" si="8"/>
        <v>21.12</v>
      </c>
    </row>
    <row r="127" spans="1:9" ht="24" customHeight="1" x14ac:dyDescent="0.4">
      <c r="A127" s="827"/>
      <c r="B127" s="248"/>
      <c r="C127" s="814"/>
      <c r="D127" s="253" t="s">
        <v>177</v>
      </c>
      <c r="E127" s="124">
        <v>107</v>
      </c>
      <c r="F127" s="302">
        <v>2364</v>
      </c>
      <c r="G127" s="357">
        <v>22</v>
      </c>
      <c r="H127" s="66">
        <f t="shared" si="8"/>
        <v>17.12</v>
      </c>
    </row>
    <row r="128" spans="1:9" ht="24" customHeight="1" x14ac:dyDescent="0.4">
      <c r="A128" s="827"/>
      <c r="B128" s="248"/>
      <c r="C128" s="814"/>
      <c r="D128" s="269" t="s">
        <v>178</v>
      </c>
      <c r="E128" s="612">
        <v>3</v>
      </c>
      <c r="F128" s="613">
        <v>61</v>
      </c>
      <c r="G128" s="614">
        <v>22</v>
      </c>
      <c r="H128" s="66">
        <f t="shared" si="8"/>
        <v>0.48</v>
      </c>
    </row>
    <row r="129" spans="1:9" ht="24" customHeight="1" x14ac:dyDescent="0.4">
      <c r="A129" s="827"/>
      <c r="B129" s="248"/>
      <c r="C129" s="814"/>
      <c r="D129" s="269" t="s">
        <v>179</v>
      </c>
      <c r="E129" s="612">
        <v>8</v>
      </c>
      <c r="F129" s="613">
        <v>171</v>
      </c>
      <c r="G129" s="614">
        <v>22</v>
      </c>
      <c r="H129" s="66">
        <f t="shared" si="8"/>
        <v>1.28</v>
      </c>
    </row>
    <row r="130" spans="1:9" ht="24" customHeight="1" x14ac:dyDescent="0.4">
      <c r="A130" s="827"/>
      <c r="B130" s="248"/>
      <c r="C130" s="814"/>
      <c r="D130" s="269" t="s">
        <v>180</v>
      </c>
      <c r="E130" s="612">
        <v>11</v>
      </c>
      <c r="F130" s="613">
        <v>241</v>
      </c>
      <c r="G130" s="614">
        <v>22</v>
      </c>
      <c r="H130" s="66">
        <f t="shared" si="8"/>
        <v>1.76</v>
      </c>
    </row>
    <row r="131" spans="1:9" ht="24" customHeight="1" x14ac:dyDescent="0.4">
      <c r="A131" s="827"/>
      <c r="B131" s="248"/>
      <c r="C131" s="814"/>
      <c r="D131" s="252" t="s">
        <v>181</v>
      </c>
      <c r="E131" s="124">
        <v>140</v>
      </c>
      <c r="F131" s="302">
        <v>3070</v>
      </c>
      <c r="G131" s="356">
        <v>22</v>
      </c>
      <c r="H131" s="66">
        <f t="shared" si="8"/>
        <v>22.4</v>
      </c>
    </row>
    <row r="132" spans="1:9" ht="24" customHeight="1" x14ac:dyDescent="0.4">
      <c r="A132" s="827"/>
      <c r="B132" s="248"/>
      <c r="C132" s="814"/>
      <c r="D132" s="252" t="s">
        <v>182</v>
      </c>
      <c r="E132" s="122">
        <v>149</v>
      </c>
      <c r="F132" s="300">
        <v>3270</v>
      </c>
      <c r="G132" s="356">
        <v>22</v>
      </c>
      <c r="H132" s="66">
        <f t="shared" si="8"/>
        <v>23.84</v>
      </c>
    </row>
    <row r="133" spans="1:9" ht="24" customHeight="1" x14ac:dyDescent="0.4">
      <c r="A133" s="827"/>
      <c r="B133" s="248"/>
      <c r="C133" s="814"/>
      <c r="D133" s="252" t="s">
        <v>183</v>
      </c>
      <c r="E133" s="122">
        <v>144</v>
      </c>
      <c r="F133" s="300">
        <v>3171</v>
      </c>
      <c r="G133" s="356">
        <v>22</v>
      </c>
      <c r="H133" s="66">
        <f t="shared" si="8"/>
        <v>23.04</v>
      </c>
    </row>
    <row r="134" spans="1:9" ht="24" customHeight="1" thickBot="1" x14ac:dyDescent="0.45">
      <c r="A134" s="827"/>
      <c r="B134" s="248"/>
      <c r="C134" s="815"/>
      <c r="D134" s="349" t="s">
        <v>184</v>
      </c>
      <c r="E134" s="142">
        <v>134</v>
      </c>
      <c r="F134" s="358">
        <v>2950</v>
      </c>
      <c r="G134" s="359">
        <v>22</v>
      </c>
      <c r="H134" s="66">
        <f t="shared" si="8"/>
        <v>21.44</v>
      </c>
    </row>
    <row r="135" spans="1:9" ht="24" customHeight="1" thickBot="1" x14ac:dyDescent="0.45">
      <c r="A135" s="827"/>
      <c r="B135" s="818" t="s">
        <v>329</v>
      </c>
      <c r="C135" s="819"/>
      <c r="D135" s="819"/>
      <c r="E135" s="345">
        <f>SUM(E124:E134)</f>
        <v>1031</v>
      </c>
      <c r="F135" s="354">
        <f>SUM(F124:F134)</f>
        <v>22659</v>
      </c>
      <c r="G135" s="360"/>
      <c r="H135" s="739">
        <f>SUM(H124:H134)</f>
        <v>164.96</v>
      </c>
    </row>
    <row r="136" spans="1:9" ht="24" customHeight="1" thickBot="1" x14ac:dyDescent="0.45">
      <c r="A136" s="827"/>
      <c r="B136" s="830" t="s">
        <v>318</v>
      </c>
      <c r="C136" s="831"/>
      <c r="D136" s="831"/>
      <c r="E136" s="305">
        <f>+E123+E135</f>
        <v>1774</v>
      </c>
      <c r="F136" s="305">
        <f>+F123+F135</f>
        <v>39011</v>
      </c>
      <c r="G136" s="306"/>
      <c r="H136" s="740">
        <f>H135+H123</f>
        <v>283.84000000000003</v>
      </c>
      <c r="I136" s="721"/>
    </row>
    <row r="137" spans="1:9" ht="24" customHeight="1" thickBot="1" x14ac:dyDescent="0.45">
      <c r="A137" s="827"/>
      <c r="B137" s="820" t="s">
        <v>27</v>
      </c>
      <c r="C137" s="821"/>
      <c r="D137" s="821"/>
      <c r="E137" s="821"/>
      <c r="F137" s="821"/>
      <c r="G137" s="821"/>
      <c r="H137" s="822"/>
      <c r="I137" s="307"/>
    </row>
    <row r="138" spans="1:9" ht="24" customHeight="1" x14ac:dyDescent="0.4">
      <c r="A138" s="827"/>
      <c r="B138" s="264"/>
      <c r="C138" s="816" t="s">
        <v>302</v>
      </c>
      <c r="D138" s="741" t="s">
        <v>152</v>
      </c>
      <c r="E138" s="742">
        <v>131</v>
      </c>
      <c r="F138" s="743">
        <v>2886</v>
      </c>
      <c r="G138" s="730">
        <v>22</v>
      </c>
      <c r="H138" s="744">
        <f t="shared" ref="H138:H146" si="9">E138/$I$2</f>
        <v>20.96</v>
      </c>
      <c r="I138" s="307"/>
    </row>
    <row r="139" spans="1:9" ht="24" customHeight="1" x14ac:dyDescent="0.4">
      <c r="A139" s="827"/>
      <c r="B139" s="264"/>
      <c r="C139" s="816"/>
      <c r="D139" s="252" t="s">
        <v>153</v>
      </c>
      <c r="E139" s="122">
        <v>117</v>
      </c>
      <c r="F139" s="293">
        <v>2579</v>
      </c>
      <c r="G139" s="350">
        <v>22</v>
      </c>
      <c r="H139" s="744">
        <f t="shared" si="9"/>
        <v>18.72</v>
      </c>
    </row>
    <row r="140" spans="1:9" ht="24" customHeight="1" x14ac:dyDescent="0.4">
      <c r="A140" s="827"/>
      <c r="B140" s="264"/>
      <c r="C140" s="816"/>
      <c r="D140" s="252" t="s">
        <v>154</v>
      </c>
      <c r="E140" s="122">
        <v>155</v>
      </c>
      <c r="F140" s="293">
        <v>3402</v>
      </c>
      <c r="G140" s="350">
        <v>22</v>
      </c>
      <c r="H140" s="744">
        <f t="shared" si="9"/>
        <v>24.8</v>
      </c>
    </row>
    <row r="141" spans="1:9" ht="24" customHeight="1" x14ac:dyDescent="0.4">
      <c r="A141" s="827"/>
      <c r="B141" s="264"/>
      <c r="C141" s="816"/>
      <c r="D141" s="252" t="s">
        <v>155</v>
      </c>
      <c r="E141" s="122">
        <v>100</v>
      </c>
      <c r="F141" s="293">
        <v>2192</v>
      </c>
      <c r="G141" s="350">
        <v>22</v>
      </c>
      <c r="H141" s="744">
        <f t="shared" si="9"/>
        <v>16</v>
      </c>
    </row>
    <row r="142" spans="1:9" ht="24" customHeight="1" x14ac:dyDescent="0.4">
      <c r="A142" s="827"/>
      <c r="B142" s="264"/>
      <c r="C142" s="816"/>
      <c r="D142" s="252" t="s">
        <v>168</v>
      </c>
      <c r="E142" s="122">
        <v>116</v>
      </c>
      <c r="F142" s="293">
        <v>2550</v>
      </c>
      <c r="G142" s="350">
        <v>22</v>
      </c>
      <c r="H142" s="744">
        <f t="shared" si="9"/>
        <v>18.559999999999999</v>
      </c>
    </row>
    <row r="143" spans="1:9" ht="24" customHeight="1" x14ac:dyDescent="0.4">
      <c r="A143" s="827"/>
      <c r="B143" s="264"/>
      <c r="C143" s="816"/>
      <c r="D143" s="252" t="s">
        <v>169</v>
      </c>
      <c r="E143" s="122">
        <v>130</v>
      </c>
      <c r="F143" s="293">
        <v>2854</v>
      </c>
      <c r="G143" s="350">
        <v>22</v>
      </c>
      <c r="H143" s="744">
        <f t="shared" si="9"/>
        <v>20.8</v>
      </c>
    </row>
    <row r="144" spans="1:9" ht="24.75" customHeight="1" x14ac:dyDescent="0.4">
      <c r="A144" s="827"/>
      <c r="B144" s="264"/>
      <c r="C144" s="816"/>
      <c r="D144" s="252" t="s">
        <v>170</v>
      </c>
      <c r="E144" s="122">
        <v>141</v>
      </c>
      <c r="F144" s="293">
        <v>3111</v>
      </c>
      <c r="G144" s="350">
        <v>22</v>
      </c>
      <c r="H144" s="744">
        <f t="shared" si="9"/>
        <v>22.56</v>
      </c>
    </row>
    <row r="145" spans="1:8" ht="24.75" customHeight="1" x14ac:dyDescent="0.4">
      <c r="A145" s="827"/>
      <c r="B145" s="264"/>
      <c r="C145" s="816"/>
      <c r="D145" s="252" t="s">
        <v>187</v>
      </c>
      <c r="E145" s="122">
        <v>99</v>
      </c>
      <c r="F145" s="293">
        <v>2167</v>
      </c>
      <c r="G145" s="350">
        <v>22</v>
      </c>
      <c r="H145" s="744">
        <f t="shared" si="9"/>
        <v>15.84</v>
      </c>
    </row>
    <row r="146" spans="1:8" ht="24.75" customHeight="1" thickBot="1" x14ac:dyDescent="0.45">
      <c r="A146" s="827"/>
      <c r="B146" s="361"/>
      <c r="C146" s="817"/>
      <c r="D146" s="253" t="s">
        <v>189</v>
      </c>
      <c r="E146" s="124">
        <v>105</v>
      </c>
      <c r="F146" s="297">
        <v>2320</v>
      </c>
      <c r="G146" s="350">
        <v>22</v>
      </c>
      <c r="H146" s="744">
        <f t="shared" si="9"/>
        <v>16.8</v>
      </c>
    </row>
    <row r="147" spans="1:8" ht="24.75" customHeight="1" thickBot="1" x14ac:dyDescent="0.45">
      <c r="A147" s="827"/>
      <c r="B147" s="818" t="s">
        <v>303</v>
      </c>
      <c r="C147" s="819"/>
      <c r="D147" s="819"/>
      <c r="E147" s="348">
        <f>SUM(E137:E146)</f>
        <v>1094</v>
      </c>
      <c r="F147" s="354">
        <f>SUM(F137:F146)</f>
        <v>24061</v>
      </c>
      <c r="G147" s="360"/>
      <c r="H147" s="745" t="s">
        <v>375</v>
      </c>
    </row>
    <row r="148" spans="1:8" ht="24.75" customHeight="1" x14ac:dyDescent="0.4">
      <c r="A148" s="827"/>
      <c r="B148" s="746"/>
      <c r="C148" s="845" t="s">
        <v>276</v>
      </c>
      <c r="D148" s="747" t="s">
        <v>158</v>
      </c>
      <c r="E148" s="694">
        <v>130</v>
      </c>
      <c r="F148" s="748">
        <v>2853</v>
      </c>
      <c r="G148" s="694">
        <v>22</v>
      </c>
      <c r="H148" s="752">
        <f t="shared" ref="H148:H154" si="10">E148/$I$2</f>
        <v>20.8</v>
      </c>
    </row>
    <row r="149" spans="1:8" ht="24" customHeight="1" x14ac:dyDescent="0.4">
      <c r="A149" s="827"/>
      <c r="B149" s="749"/>
      <c r="C149" s="846"/>
      <c r="D149" s="750" t="s">
        <v>160</v>
      </c>
      <c r="E149" s="695">
        <v>115</v>
      </c>
      <c r="F149" s="751">
        <v>2531</v>
      </c>
      <c r="G149" s="694">
        <v>22</v>
      </c>
      <c r="H149" s="752">
        <f t="shared" si="10"/>
        <v>18.399999999999999</v>
      </c>
    </row>
    <row r="150" spans="1:8" ht="24" customHeight="1" x14ac:dyDescent="0.4">
      <c r="A150" s="827"/>
      <c r="B150" s="749"/>
      <c r="C150" s="846"/>
      <c r="D150" s="750" t="s">
        <v>161</v>
      </c>
      <c r="E150" s="695">
        <v>127</v>
      </c>
      <c r="F150" s="751">
        <v>2803</v>
      </c>
      <c r="G150" s="694">
        <v>22</v>
      </c>
      <c r="H150" s="752">
        <f t="shared" si="10"/>
        <v>20.32</v>
      </c>
    </row>
    <row r="151" spans="1:8" ht="24" customHeight="1" x14ac:dyDescent="0.4">
      <c r="A151" s="827"/>
      <c r="B151" s="749"/>
      <c r="C151" s="846"/>
      <c r="D151" s="750" t="s">
        <v>162</v>
      </c>
      <c r="E151" s="695">
        <v>128</v>
      </c>
      <c r="F151" s="751">
        <v>2819</v>
      </c>
      <c r="G151" s="694">
        <v>22</v>
      </c>
      <c r="H151" s="752">
        <f t="shared" si="10"/>
        <v>20.48</v>
      </c>
    </row>
    <row r="152" spans="1:8" ht="24" customHeight="1" x14ac:dyDescent="0.4">
      <c r="A152" s="827"/>
      <c r="B152" s="749"/>
      <c r="C152" s="846"/>
      <c r="D152" s="750" t="s">
        <v>163</v>
      </c>
      <c r="E152" s="695">
        <v>122</v>
      </c>
      <c r="F152" s="751">
        <v>2687</v>
      </c>
      <c r="G152" s="694">
        <v>22</v>
      </c>
      <c r="H152" s="752">
        <f t="shared" si="10"/>
        <v>19.52</v>
      </c>
    </row>
    <row r="153" spans="1:8" ht="24" customHeight="1" x14ac:dyDescent="0.4">
      <c r="A153" s="827"/>
      <c r="B153" s="749"/>
      <c r="C153" s="846"/>
      <c r="D153" s="750" t="s">
        <v>172</v>
      </c>
      <c r="E153" s="695">
        <v>136</v>
      </c>
      <c r="F153" s="751">
        <v>2999</v>
      </c>
      <c r="G153" s="694">
        <v>22</v>
      </c>
      <c r="H153" s="752">
        <f t="shared" si="10"/>
        <v>21.76</v>
      </c>
    </row>
    <row r="154" spans="1:8" ht="24" customHeight="1" thickBot="1" x14ac:dyDescent="0.45">
      <c r="A154" s="827"/>
      <c r="B154" s="749"/>
      <c r="C154" s="847"/>
      <c r="D154" s="750" t="s">
        <v>190</v>
      </c>
      <c r="E154" s="695">
        <v>130</v>
      </c>
      <c r="F154" s="751">
        <v>2865</v>
      </c>
      <c r="G154" s="694">
        <v>22</v>
      </c>
      <c r="H154" s="752">
        <f t="shared" si="10"/>
        <v>20.8</v>
      </c>
    </row>
    <row r="155" spans="1:8" ht="24.75" customHeight="1" thickBot="1" x14ac:dyDescent="0.45">
      <c r="A155" s="827"/>
      <c r="B155" s="818" t="s">
        <v>304</v>
      </c>
      <c r="C155" s="819"/>
      <c r="D155" s="819"/>
      <c r="E155" s="348">
        <f>SUM(E148:E154)</f>
        <v>888</v>
      </c>
      <c r="F155" s="354">
        <f>SUM(F148:F154)</f>
        <v>19557</v>
      </c>
      <c r="G155" s="354"/>
      <c r="H155" s="753">
        <f>SUM(H148:H154)</f>
        <v>142.08000000000001</v>
      </c>
    </row>
    <row r="156" spans="1:8" ht="24.75" customHeight="1" x14ac:dyDescent="0.4">
      <c r="A156" s="827"/>
      <c r="B156" s="363"/>
      <c r="C156" s="845" t="s">
        <v>253</v>
      </c>
      <c r="D156" s="364" t="s">
        <v>319</v>
      </c>
      <c r="E156" s="365">
        <v>90</v>
      </c>
      <c r="F156" s="366">
        <v>1970</v>
      </c>
      <c r="G156" s="120">
        <v>22</v>
      </c>
      <c r="H156" s="754">
        <f>E156/$I$2</f>
        <v>14.4</v>
      </c>
    </row>
    <row r="157" spans="1:8" ht="24.75" customHeight="1" x14ac:dyDescent="0.4">
      <c r="A157" s="827"/>
      <c r="B157" s="309"/>
      <c r="C157" s="846"/>
      <c r="D157" s="246" t="s">
        <v>305</v>
      </c>
      <c r="E157" s="120">
        <v>86</v>
      </c>
      <c r="F157" s="296">
        <v>1892</v>
      </c>
      <c r="G157" s="120">
        <v>22</v>
      </c>
      <c r="H157" s="754">
        <f t="shared" ref="H157:H163" si="11">E157/$I$2</f>
        <v>13.76</v>
      </c>
    </row>
    <row r="158" spans="1:8" ht="24.75" customHeight="1" x14ac:dyDescent="0.4">
      <c r="A158" s="827"/>
      <c r="B158" s="309"/>
      <c r="C158" s="846"/>
      <c r="D158" s="246" t="s">
        <v>306</v>
      </c>
      <c r="E158" s="120">
        <v>77</v>
      </c>
      <c r="F158" s="296">
        <v>1686</v>
      </c>
      <c r="G158" s="120">
        <v>22</v>
      </c>
      <c r="H158" s="754">
        <f t="shared" si="11"/>
        <v>12.32</v>
      </c>
    </row>
    <row r="159" spans="1:8" ht="24.75" customHeight="1" x14ac:dyDescent="0.4">
      <c r="A159" s="827"/>
      <c r="B159" s="309"/>
      <c r="C159" s="846"/>
      <c r="D159" s="246" t="s">
        <v>307</v>
      </c>
      <c r="E159" s="120">
        <v>63</v>
      </c>
      <c r="F159" s="296">
        <v>1380</v>
      </c>
      <c r="G159" s="120">
        <v>22</v>
      </c>
      <c r="H159" s="754">
        <f t="shared" si="11"/>
        <v>10.08</v>
      </c>
    </row>
    <row r="160" spans="1:8" ht="24.75" customHeight="1" x14ac:dyDescent="0.4">
      <c r="A160" s="827"/>
      <c r="B160" s="309"/>
      <c r="C160" s="846"/>
      <c r="D160" s="246" t="s">
        <v>308</v>
      </c>
      <c r="E160" s="120">
        <v>53</v>
      </c>
      <c r="F160" s="296">
        <v>1168</v>
      </c>
      <c r="G160" s="120">
        <v>22</v>
      </c>
      <c r="H160" s="754">
        <f t="shared" si="11"/>
        <v>8.48</v>
      </c>
    </row>
    <row r="161" spans="1:9" ht="24.75" customHeight="1" x14ac:dyDescent="0.4">
      <c r="A161" s="827"/>
      <c r="B161" s="309"/>
      <c r="C161" s="846"/>
      <c r="D161" s="246" t="s">
        <v>309</v>
      </c>
      <c r="E161" s="120">
        <v>34</v>
      </c>
      <c r="F161" s="296">
        <v>751</v>
      </c>
      <c r="G161" s="120">
        <v>22</v>
      </c>
      <c r="H161" s="754">
        <f t="shared" si="11"/>
        <v>5.44</v>
      </c>
    </row>
    <row r="162" spans="1:9" ht="24" customHeight="1" x14ac:dyDescent="0.4">
      <c r="A162" s="827"/>
      <c r="B162" s="309"/>
      <c r="C162" s="846"/>
      <c r="D162" s="252" t="s">
        <v>310</v>
      </c>
      <c r="E162" s="122">
        <v>70</v>
      </c>
      <c r="F162" s="293">
        <v>1547</v>
      </c>
      <c r="G162" s="120">
        <v>22</v>
      </c>
      <c r="H162" s="754">
        <f t="shared" si="11"/>
        <v>11.2</v>
      </c>
    </row>
    <row r="163" spans="1:9" ht="24" customHeight="1" thickBot="1" x14ac:dyDescent="0.45">
      <c r="A163" s="827"/>
      <c r="B163" s="309"/>
      <c r="C163" s="847"/>
      <c r="D163" s="253" t="s">
        <v>311</v>
      </c>
      <c r="E163" s="124">
        <v>7</v>
      </c>
      <c r="F163" s="297">
        <v>145</v>
      </c>
      <c r="G163" s="127">
        <v>22</v>
      </c>
      <c r="H163" s="754">
        <f t="shared" si="11"/>
        <v>1.1200000000000001</v>
      </c>
    </row>
    <row r="164" spans="1:9" ht="24.75" customHeight="1" thickBot="1" x14ac:dyDescent="0.45">
      <c r="A164" s="827"/>
      <c r="B164" s="818" t="s">
        <v>314</v>
      </c>
      <c r="C164" s="819"/>
      <c r="D164" s="819"/>
      <c r="E164" s="348">
        <f>SUM(E156:E163)</f>
        <v>480</v>
      </c>
      <c r="F164" s="354">
        <f>SUM(F156:F163)</f>
        <v>10539</v>
      </c>
      <c r="G164" s="354"/>
      <c r="H164" s="354">
        <f>SUM(H156:H163)</f>
        <v>76.800000000000011</v>
      </c>
    </row>
    <row r="165" spans="1:9" ht="24.75" customHeight="1" thickBot="1" x14ac:dyDescent="0.45">
      <c r="A165" s="842"/>
      <c r="B165" s="843" t="s">
        <v>312</v>
      </c>
      <c r="C165" s="844"/>
      <c r="D165" s="310"/>
      <c r="E165" s="311">
        <f>E164+E155+E147</f>
        <v>2462</v>
      </c>
      <c r="F165" s="311">
        <f>F164+F155+F147</f>
        <v>54157</v>
      </c>
      <c r="G165" s="312"/>
      <c r="H165" s="755">
        <f>H164+H155+H147</f>
        <v>393.92</v>
      </c>
      <c r="I165" s="721"/>
    </row>
    <row r="166" spans="1:9" ht="24.75" customHeight="1" thickBot="1" x14ac:dyDescent="0.45">
      <c r="A166" s="823" t="s">
        <v>313</v>
      </c>
      <c r="B166" s="835"/>
      <c r="C166" s="835"/>
      <c r="D166" s="313"/>
      <c r="E166" s="289">
        <f>+E136+E165</f>
        <v>4236</v>
      </c>
      <c r="F166" s="289">
        <f>+F136+F165</f>
        <v>93168</v>
      </c>
      <c r="G166" s="273"/>
      <c r="H166" s="755">
        <f>+H136+H165</f>
        <v>677.76</v>
      </c>
    </row>
    <row r="167" spans="1:9" ht="24.75" customHeight="1" thickBot="1" x14ac:dyDescent="0.45">
      <c r="A167" s="836" t="s">
        <v>295</v>
      </c>
      <c r="B167" s="837"/>
      <c r="C167" s="837"/>
      <c r="D167" s="314"/>
      <c r="E167" s="315">
        <f>+E18+E46+E80+E100+E116+E166</f>
        <v>11048</v>
      </c>
      <c r="F167" s="315">
        <f>+F18+F46+F80+F100+F116+F166</f>
        <v>259077</v>
      </c>
      <c r="G167" s="316"/>
      <c r="H167" s="756">
        <f>E167/I2</f>
        <v>1767.68</v>
      </c>
    </row>
    <row r="168" spans="1:9" s="321" customFormat="1" ht="24.75" customHeight="1" thickBot="1" x14ac:dyDescent="0.45">
      <c r="A168" s="317"/>
      <c r="B168" s="317"/>
      <c r="C168" s="317"/>
      <c r="D168" s="318"/>
      <c r="E168" s="319"/>
      <c r="F168" s="320"/>
      <c r="G168" s="319"/>
      <c r="H168" s="319"/>
    </row>
    <row r="169" spans="1:9" x14ac:dyDescent="0.4">
      <c r="A169" s="322"/>
      <c r="D169" s="324" t="s">
        <v>296</v>
      </c>
      <c r="E169" s="325">
        <f>F9+F30+F63+F86+F106+F136</f>
        <v>116623</v>
      </c>
      <c r="F169" s="326"/>
    </row>
    <row r="170" spans="1:9" x14ac:dyDescent="0.4">
      <c r="A170" s="322"/>
      <c r="D170" s="327" t="s">
        <v>297</v>
      </c>
      <c r="E170" s="328">
        <f>E9+E30+E63+E86+E106+E136</f>
        <v>5013</v>
      </c>
      <c r="F170" s="326"/>
      <c r="G170" s="329"/>
    </row>
    <row r="171" spans="1:9" x14ac:dyDescent="0.4">
      <c r="A171" s="322"/>
      <c r="D171" s="327" t="s">
        <v>298</v>
      </c>
      <c r="E171" s="330">
        <f>F17+F45+F79+F99+F115+F165</f>
        <v>142454</v>
      </c>
      <c r="F171" s="326"/>
      <c r="G171" s="331"/>
    </row>
    <row r="172" spans="1:9" ht="20.399999999999999" thickBot="1" x14ac:dyDescent="0.45">
      <c r="A172" s="322"/>
      <c r="D172" s="332" t="s">
        <v>299</v>
      </c>
      <c r="E172" s="333">
        <f>E17+E45+E79+E99+E115+E165</f>
        <v>6035</v>
      </c>
      <c r="F172" s="326"/>
    </row>
    <row r="173" spans="1:9" x14ac:dyDescent="0.4">
      <c r="A173" s="322"/>
    </row>
    <row r="174" spans="1:9" x14ac:dyDescent="0.4">
      <c r="A174" s="322"/>
    </row>
    <row r="175" spans="1:9" x14ac:dyDescent="0.4">
      <c r="A175" s="322"/>
    </row>
  </sheetData>
  <mergeCells count="81">
    <mergeCell ref="A1:H1"/>
    <mergeCell ref="A18:D18"/>
    <mergeCell ref="B25:D25"/>
    <mergeCell ref="B29:D29"/>
    <mergeCell ref="B30:D30"/>
    <mergeCell ref="A3:A17"/>
    <mergeCell ref="B6:D6"/>
    <mergeCell ref="B8:D8"/>
    <mergeCell ref="B9:D9"/>
    <mergeCell ref="B12:D12"/>
    <mergeCell ref="B16:D16"/>
    <mergeCell ref="B17:D17"/>
    <mergeCell ref="B10:H10"/>
    <mergeCell ref="B3:H3"/>
    <mergeCell ref="B41:D41"/>
    <mergeCell ref="B19:H19"/>
    <mergeCell ref="B31:H31"/>
    <mergeCell ref="B38:D38"/>
    <mergeCell ref="A46:D46"/>
    <mergeCell ref="C42:C43"/>
    <mergeCell ref="B45:D45"/>
    <mergeCell ref="A47:A79"/>
    <mergeCell ref="B58:D58"/>
    <mergeCell ref="B62:D62"/>
    <mergeCell ref="B63:D63"/>
    <mergeCell ref="B66:D66"/>
    <mergeCell ref="B70:D70"/>
    <mergeCell ref="C71:C75"/>
    <mergeCell ref="B76:D76"/>
    <mergeCell ref="B78:D78"/>
    <mergeCell ref="B79:D79"/>
    <mergeCell ref="B47:H47"/>
    <mergeCell ref="B64:H64"/>
    <mergeCell ref="B165:C165"/>
    <mergeCell ref="A100:D100"/>
    <mergeCell ref="A101:A115"/>
    <mergeCell ref="B105:D105"/>
    <mergeCell ref="B106:D106"/>
    <mergeCell ref="B112:D112"/>
    <mergeCell ref="B114:D114"/>
    <mergeCell ref="B115:D115"/>
    <mergeCell ref="C108:C111"/>
    <mergeCell ref="B101:H101"/>
    <mergeCell ref="B107:H107"/>
    <mergeCell ref="B117:H117"/>
    <mergeCell ref="C102:C104"/>
    <mergeCell ref="B155:D155"/>
    <mergeCell ref="C148:C154"/>
    <mergeCell ref="C156:C163"/>
    <mergeCell ref="A166:C166"/>
    <mergeCell ref="A167:C167"/>
    <mergeCell ref="C4:C5"/>
    <mergeCell ref="C13:C15"/>
    <mergeCell ref="C20:C24"/>
    <mergeCell ref="C39:C40"/>
    <mergeCell ref="C32:C37"/>
    <mergeCell ref="C26:C28"/>
    <mergeCell ref="A116:D116"/>
    <mergeCell ref="A117:A165"/>
    <mergeCell ref="B123:D123"/>
    <mergeCell ref="B135:D135"/>
    <mergeCell ref="B136:D136"/>
    <mergeCell ref="B164:D164"/>
    <mergeCell ref="C67:C69"/>
    <mergeCell ref="B44:D44"/>
    <mergeCell ref="A80:D80"/>
    <mergeCell ref="A81:A99"/>
    <mergeCell ref="B85:D85"/>
    <mergeCell ref="B86:D86"/>
    <mergeCell ref="B96:D96"/>
    <mergeCell ref="B98:D98"/>
    <mergeCell ref="B99:D99"/>
    <mergeCell ref="B81:H81"/>
    <mergeCell ref="C82:C84"/>
    <mergeCell ref="C88:C95"/>
    <mergeCell ref="B87:H87"/>
    <mergeCell ref="C124:C134"/>
    <mergeCell ref="C118:C122"/>
    <mergeCell ref="C138:C146"/>
    <mergeCell ref="B147:D147"/>
    <mergeCell ref="B137:H137"/>
  </mergeCells>
  <pageMargins left="0.28999999999999998" right="0.23622047244094491" top="0.17" bottom="0.17" header="0.31496062992125984" footer="1.2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R96"/>
  <sheetViews>
    <sheetView topLeftCell="B1" zoomScale="80" zoomScaleNormal="80" workbookViewId="0">
      <pane xSplit="1" ySplit="3" topLeftCell="C13" activePane="bottomRight" state="frozen"/>
      <selection activeCell="B1" sqref="B1"/>
      <selection pane="topRight" activeCell="C1" sqref="C1"/>
      <selection pane="bottomLeft" activeCell="B4" sqref="B4"/>
      <selection pane="bottomRight" activeCell="O18" sqref="O18"/>
    </sheetView>
  </sheetViews>
  <sheetFormatPr defaultColWidth="9" defaultRowHeight="19.8" x14ac:dyDescent="0.4"/>
  <cols>
    <col min="1" max="1" width="0" style="238" hidden="1" customWidth="1"/>
    <col min="2" max="2" width="18.3984375" style="238" customWidth="1"/>
    <col min="3" max="3" width="11.69921875" style="323" customWidth="1"/>
    <col min="4" max="4" width="13.69921875" style="318" customWidth="1"/>
    <col min="5" max="5" width="10.5" style="319" customWidth="1"/>
    <col min="6" max="6" width="11.3984375" style="320" customWidth="1"/>
    <col min="7" max="7" width="11.3984375" style="319" hidden="1" customWidth="1"/>
    <col min="8" max="8" width="10.69921875" style="319" customWidth="1"/>
    <col min="9" max="9" width="13.3984375" style="757" customWidth="1"/>
    <col min="10" max="10" width="15.19921875" style="319" customWidth="1"/>
    <col min="11" max="11" width="13.8984375" style="320" bestFit="1" customWidth="1"/>
    <col min="12" max="12" width="15" style="319" customWidth="1"/>
    <col min="13" max="16384" width="9" style="238"/>
  </cols>
  <sheetData>
    <row r="1" spans="2:18" ht="33" customHeight="1" x14ac:dyDescent="0.85">
      <c r="B1" s="861" t="s">
        <v>386</v>
      </c>
      <c r="C1" s="861"/>
      <c r="D1" s="861"/>
      <c r="E1" s="861"/>
      <c r="F1" s="861"/>
      <c r="G1" s="861"/>
      <c r="H1" s="861"/>
      <c r="I1" s="861"/>
      <c r="J1" s="861"/>
      <c r="K1" s="861"/>
      <c r="L1" s="861"/>
    </row>
    <row r="2" spans="2:18" x14ac:dyDescent="0.4">
      <c r="B2" s="875" t="s">
        <v>240</v>
      </c>
      <c r="C2" s="875" t="s">
        <v>241</v>
      </c>
      <c r="D2" s="875" t="s">
        <v>204</v>
      </c>
      <c r="E2" s="876" t="s">
        <v>242</v>
      </c>
      <c r="F2" s="877" t="s">
        <v>243</v>
      </c>
      <c r="G2" s="677" t="s">
        <v>244</v>
      </c>
      <c r="H2" s="875" t="s">
        <v>376</v>
      </c>
      <c r="I2" s="878" t="s">
        <v>377</v>
      </c>
      <c r="J2" s="874" t="s">
        <v>378</v>
      </c>
      <c r="K2" s="879" t="s">
        <v>379</v>
      </c>
      <c r="L2" s="874" t="s">
        <v>380</v>
      </c>
      <c r="M2" s="244"/>
    </row>
    <row r="3" spans="2:18" ht="21" x14ac:dyDescent="0.4">
      <c r="B3" s="875"/>
      <c r="C3" s="875"/>
      <c r="D3" s="875"/>
      <c r="E3" s="876"/>
      <c r="F3" s="877"/>
      <c r="G3" s="677"/>
      <c r="H3" s="875"/>
      <c r="I3" s="878"/>
      <c r="J3" s="874"/>
      <c r="K3" s="879"/>
      <c r="L3" s="874"/>
      <c r="M3" s="244"/>
      <c r="N3" s="859" t="s">
        <v>414</v>
      </c>
      <c r="O3" s="859"/>
      <c r="P3" s="859"/>
      <c r="Q3" s="859"/>
      <c r="R3" s="859"/>
    </row>
    <row r="4" spans="2:18" x14ac:dyDescent="0.4">
      <c r="B4" s="868" t="s">
        <v>27</v>
      </c>
      <c r="C4" s="869"/>
      <c r="D4" s="869"/>
      <c r="E4" s="869"/>
      <c r="F4" s="869"/>
      <c r="G4" s="869"/>
      <c r="H4" s="869"/>
      <c r="I4" s="869"/>
      <c r="J4" s="869"/>
      <c r="K4" s="869"/>
      <c r="L4" s="870"/>
      <c r="M4" s="244"/>
    </row>
    <row r="5" spans="2:18" x14ac:dyDescent="0.4">
      <c r="C5" s="865" t="s">
        <v>265</v>
      </c>
      <c r="D5" s="758" t="s">
        <v>78</v>
      </c>
      <c r="E5" s="20">
        <v>195</v>
      </c>
      <c r="F5" s="759">
        <v>4864</v>
      </c>
      <c r="G5" s="760">
        <v>22</v>
      </c>
      <c r="H5" s="761">
        <f>I5/E5</f>
        <v>3.8461538461538463</v>
      </c>
      <c r="I5" s="762">
        <v>750</v>
      </c>
      <c r="J5" s="678">
        <v>450</v>
      </c>
      <c r="K5" s="763">
        <f>J5*I5</f>
        <v>337500</v>
      </c>
      <c r="L5" s="678"/>
    </row>
    <row r="6" spans="2:18" x14ac:dyDescent="0.4">
      <c r="B6" s="764"/>
      <c r="C6" s="866"/>
      <c r="D6" s="758" t="s">
        <v>79</v>
      </c>
      <c r="E6" s="678">
        <v>171</v>
      </c>
      <c r="F6" s="765">
        <v>4608</v>
      </c>
      <c r="G6" s="760">
        <v>22</v>
      </c>
      <c r="H6" s="761">
        <f>I6/E6</f>
        <v>4.0935672514619883</v>
      </c>
      <c r="I6" s="762">
        <v>700</v>
      </c>
      <c r="J6" s="678">
        <v>450</v>
      </c>
      <c r="K6" s="763">
        <f t="shared" ref="K6:K19" si="0">J6*I6</f>
        <v>315000</v>
      </c>
      <c r="L6" s="678"/>
    </row>
    <row r="7" spans="2:18" x14ac:dyDescent="0.4">
      <c r="B7" s="764"/>
      <c r="C7" s="866"/>
      <c r="D7" s="758" t="s">
        <v>66</v>
      </c>
      <c r="E7" s="678">
        <v>112</v>
      </c>
      <c r="F7" s="765">
        <v>2785</v>
      </c>
      <c r="G7" s="760"/>
      <c r="H7" s="761">
        <f t="shared" ref="H7:H20" si="1">I7/E7</f>
        <v>3.5714285714285716</v>
      </c>
      <c r="I7" s="762">
        <v>400</v>
      </c>
      <c r="J7" s="678">
        <v>730</v>
      </c>
      <c r="K7" s="763">
        <f t="shared" si="0"/>
        <v>292000</v>
      </c>
      <c r="L7" s="678"/>
    </row>
    <row r="8" spans="2:18" x14ac:dyDescent="0.4">
      <c r="B8" s="764"/>
      <c r="C8" s="866"/>
      <c r="D8" s="758" t="s">
        <v>67</v>
      </c>
      <c r="E8" s="678">
        <v>98</v>
      </c>
      <c r="F8" s="765">
        <v>2421</v>
      </c>
      <c r="G8" s="760"/>
      <c r="H8" s="761">
        <f t="shared" si="1"/>
        <v>3.5714285714285716</v>
      </c>
      <c r="I8" s="762">
        <v>350</v>
      </c>
      <c r="J8" s="678" t="s">
        <v>385</v>
      </c>
      <c r="K8" s="770">
        <f>0</f>
        <v>0</v>
      </c>
      <c r="L8" s="678"/>
    </row>
    <row r="9" spans="2:18" x14ac:dyDescent="0.4">
      <c r="B9" s="764"/>
      <c r="C9" s="866"/>
      <c r="D9" s="758" t="s">
        <v>68</v>
      </c>
      <c r="E9" s="678">
        <v>153</v>
      </c>
      <c r="F9" s="765">
        <v>3764</v>
      </c>
      <c r="G9" s="760"/>
      <c r="H9" s="761">
        <f t="shared" si="1"/>
        <v>3.4640522875816995</v>
      </c>
      <c r="I9" s="762">
        <v>530</v>
      </c>
      <c r="J9" s="678">
        <v>730</v>
      </c>
      <c r="K9" s="763">
        <f t="shared" si="0"/>
        <v>386900</v>
      </c>
      <c r="L9" s="678"/>
    </row>
    <row r="10" spans="2:18" x14ac:dyDescent="0.4">
      <c r="B10" s="764"/>
      <c r="C10" s="866"/>
      <c r="D10" s="758" t="s">
        <v>69</v>
      </c>
      <c r="E10" s="678">
        <v>116</v>
      </c>
      <c r="F10" s="765">
        <v>2893</v>
      </c>
      <c r="G10" s="760"/>
      <c r="H10" s="761">
        <f t="shared" si="1"/>
        <v>3.4482758620689653</v>
      </c>
      <c r="I10" s="762">
        <v>400</v>
      </c>
      <c r="J10" s="678">
        <v>730</v>
      </c>
      <c r="K10" s="763">
        <f t="shared" si="0"/>
        <v>292000</v>
      </c>
      <c r="L10" s="678"/>
    </row>
    <row r="11" spans="2:18" x14ac:dyDescent="0.4">
      <c r="B11" s="764"/>
      <c r="C11" s="866"/>
      <c r="D11" s="758" t="s">
        <v>100</v>
      </c>
      <c r="E11" s="678">
        <v>78</v>
      </c>
      <c r="F11" s="765">
        <v>1950</v>
      </c>
      <c r="G11" s="760"/>
      <c r="H11" s="761">
        <f t="shared" si="1"/>
        <v>3.0769230769230771</v>
      </c>
      <c r="I11" s="762">
        <v>240</v>
      </c>
      <c r="J11" s="678">
        <v>700</v>
      </c>
      <c r="K11" s="763">
        <f t="shared" si="0"/>
        <v>168000</v>
      </c>
      <c r="L11" s="678"/>
    </row>
    <row r="12" spans="2:18" x14ac:dyDescent="0.4">
      <c r="B12" s="764"/>
      <c r="C12" s="866"/>
      <c r="D12" s="758" t="s">
        <v>101</v>
      </c>
      <c r="E12" s="678">
        <v>154</v>
      </c>
      <c r="F12" s="765">
        <v>3835</v>
      </c>
      <c r="G12" s="760"/>
      <c r="H12" s="761">
        <f t="shared" si="1"/>
        <v>3.2467532467532467</v>
      </c>
      <c r="I12" s="762">
        <v>500</v>
      </c>
      <c r="J12" s="678">
        <v>700</v>
      </c>
      <c r="K12" s="763">
        <f t="shared" si="0"/>
        <v>350000</v>
      </c>
      <c r="L12" s="678"/>
    </row>
    <row r="13" spans="2:18" x14ac:dyDescent="0.4">
      <c r="B13" s="764"/>
      <c r="C13" s="866"/>
      <c r="D13" s="758" t="s">
        <v>102</v>
      </c>
      <c r="E13" s="678">
        <v>85</v>
      </c>
      <c r="F13" s="765">
        <v>2119</v>
      </c>
      <c r="G13" s="760"/>
      <c r="H13" s="761">
        <f t="shared" si="1"/>
        <v>3.1764705882352939</v>
      </c>
      <c r="I13" s="762">
        <v>270</v>
      </c>
      <c r="J13" s="678">
        <v>700</v>
      </c>
      <c r="K13" s="763">
        <f t="shared" si="0"/>
        <v>189000</v>
      </c>
      <c r="L13" s="678"/>
    </row>
    <row r="14" spans="2:18" x14ac:dyDescent="0.4">
      <c r="B14" s="764"/>
      <c r="C14" s="866"/>
      <c r="D14" s="758" t="s">
        <v>107</v>
      </c>
      <c r="E14" s="678">
        <v>172</v>
      </c>
      <c r="F14" s="765">
        <v>4308</v>
      </c>
      <c r="G14" s="760"/>
      <c r="H14" s="761">
        <f t="shared" si="1"/>
        <v>3.1976744186046511</v>
      </c>
      <c r="I14" s="762">
        <v>550</v>
      </c>
      <c r="J14" s="678">
        <v>700</v>
      </c>
      <c r="K14" s="763">
        <f t="shared" si="0"/>
        <v>385000</v>
      </c>
      <c r="L14" s="678"/>
    </row>
    <row r="15" spans="2:18" x14ac:dyDescent="0.4">
      <c r="B15" s="764"/>
      <c r="C15" s="866"/>
      <c r="D15" s="758" t="s">
        <v>108</v>
      </c>
      <c r="E15" s="678">
        <v>154</v>
      </c>
      <c r="F15" s="765">
        <v>3861</v>
      </c>
      <c r="G15" s="760"/>
      <c r="H15" s="761">
        <f t="shared" si="1"/>
        <v>3.051948051948052</v>
      </c>
      <c r="I15" s="762">
        <v>470</v>
      </c>
      <c r="J15" s="678">
        <v>700</v>
      </c>
      <c r="K15" s="763">
        <f t="shared" si="0"/>
        <v>329000</v>
      </c>
      <c r="L15" s="678"/>
    </row>
    <row r="16" spans="2:18" x14ac:dyDescent="0.4">
      <c r="B16" s="764"/>
      <c r="C16" s="866"/>
      <c r="D16" s="758" t="s">
        <v>135</v>
      </c>
      <c r="E16" s="678">
        <v>142</v>
      </c>
      <c r="F16" s="765">
        <v>3259</v>
      </c>
      <c r="G16" s="760"/>
      <c r="H16" s="761">
        <f t="shared" si="1"/>
        <v>2.464788732394366</v>
      </c>
      <c r="I16" s="762">
        <v>350</v>
      </c>
      <c r="J16" s="678">
        <v>760</v>
      </c>
      <c r="K16" s="763">
        <f t="shared" si="0"/>
        <v>266000</v>
      </c>
      <c r="L16" s="678"/>
    </row>
    <row r="17" spans="2:12" x14ac:dyDescent="0.4">
      <c r="B17" s="764"/>
      <c r="C17" s="866"/>
      <c r="D17" s="758" t="s">
        <v>144</v>
      </c>
      <c r="E17" s="678">
        <v>24</v>
      </c>
      <c r="F17" s="765">
        <v>534</v>
      </c>
      <c r="G17" s="760"/>
      <c r="H17" s="761">
        <f t="shared" si="1"/>
        <v>2.5</v>
      </c>
      <c r="I17" s="762">
        <v>60</v>
      </c>
      <c r="J17" s="678">
        <v>900</v>
      </c>
      <c r="K17" s="763">
        <f t="shared" si="0"/>
        <v>54000</v>
      </c>
      <c r="L17" s="678"/>
    </row>
    <row r="18" spans="2:12" x14ac:dyDescent="0.4">
      <c r="B18" s="764"/>
      <c r="C18" s="866"/>
      <c r="D18" s="758" t="s">
        <v>145</v>
      </c>
      <c r="E18" s="678">
        <v>39</v>
      </c>
      <c r="F18" s="765">
        <v>980</v>
      </c>
      <c r="G18" s="760"/>
      <c r="H18" s="761">
        <f t="shared" si="1"/>
        <v>1.2820512820512822</v>
      </c>
      <c r="I18" s="762">
        <v>50</v>
      </c>
      <c r="J18" s="678">
        <v>900</v>
      </c>
      <c r="K18" s="763">
        <f t="shared" si="0"/>
        <v>45000</v>
      </c>
      <c r="L18" s="678"/>
    </row>
    <row r="19" spans="2:12" x14ac:dyDescent="0.4">
      <c r="B19" s="764"/>
      <c r="C19" s="866"/>
      <c r="D19" s="758" t="s">
        <v>146</v>
      </c>
      <c r="E19" s="678">
        <v>14</v>
      </c>
      <c r="F19" s="765">
        <v>309</v>
      </c>
      <c r="G19" s="760"/>
      <c r="H19" s="761">
        <f>I19/E19</f>
        <v>2.5</v>
      </c>
      <c r="I19" s="762">
        <v>35</v>
      </c>
      <c r="J19" s="678">
        <v>900</v>
      </c>
      <c r="K19" s="763">
        <f t="shared" si="0"/>
        <v>31500</v>
      </c>
      <c r="L19" s="678"/>
    </row>
    <row r="20" spans="2:12" x14ac:dyDescent="0.4">
      <c r="B20" s="764"/>
      <c r="C20" s="867"/>
      <c r="D20" s="758" t="s">
        <v>147</v>
      </c>
      <c r="E20" s="678">
        <v>109</v>
      </c>
      <c r="F20" s="765">
        <v>2388</v>
      </c>
      <c r="G20" s="760"/>
      <c r="H20" s="761">
        <f t="shared" si="1"/>
        <v>2.3853211009174311</v>
      </c>
      <c r="I20" s="762">
        <v>260</v>
      </c>
      <c r="J20" s="678">
        <v>900</v>
      </c>
      <c r="K20" s="763">
        <f>J20*I20</f>
        <v>234000</v>
      </c>
      <c r="L20" s="678"/>
    </row>
    <row r="21" spans="2:12" x14ac:dyDescent="0.4">
      <c r="B21" s="862" t="s">
        <v>36</v>
      </c>
      <c r="C21" s="863"/>
      <c r="D21" s="864"/>
      <c r="E21" s="771">
        <f>SUM(E5:E20)</f>
        <v>1816</v>
      </c>
      <c r="F21" s="771">
        <f>SUM(F5:F20)</f>
        <v>44878</v>
      </c>
      <c r="G21" s="771">
        <f t="shared" ref="G21:I21" si="2">SUM(G5:G20)</f>
        <v>44</v>
      </c>
      <c r="H21" s="772">
        <f>I21/E21</f>
        <v>3.2571585903083702</v>
      </c>
      <c r="I21" s="771">
        <f t="shared" si="2"/>
        <v>5915</v>
      </c>
      <c r="J21" s="775">
        <f>AVERAGE(J5:J7,J9:J20)</f>
        <v>730</v>
      </c>
      <c r="K21" s="774">
        <f>SUM(K5:K20)</f>
        <v>3674900</v>
      </c>
      <c r="L21" s="773"/>
    </row>
    <row r="22" spans="2:12" x14ac:dyDescent="0.4">
      <c r="C22" s="865" t="s">
        <v>276</v>
      </c>
      <c r="D22" s="758" t="s">
        <v>277</v>
      </c>
      <c r="E22" s="20">
        <v>157</v>
      </c>
      <c r="F22" s="759">
        <v>3932</v>
      </c>
      <c r="G22" s="760">
        <v>22</v>
      </c>
      <c r="H22" s="761">
        <f>I22/E22</f>
        <v>3.1847133757961785</v>
      </c>
      <c r="I22" s="762">
        <v>500</v>
      </c>
      <c r="J22" s="678">
        <v>430</v>
      </c>
      <c r="K22" s="763">
        <f>J22*I22</f>
        <v>215000</v>
      </c>
      <c r="L22" s="678"/>
    </row>
    <row r="23" spans="2:12" x14ac:dyDescent="0.4">
      <c r="B23" s="764"/>
      <c r="C23" s="866"/>
      <c r="D23" s="758" t="s">
        <v>149</v>
      </c>
      <c r="E23" s="678">
        <v>108</v>
      </c>
      <c r="F23" s="765">
        <v>2365</v>
      </c>
      <c r="G23" s="760">
        <v>22</v>
      </c>
      <c r="H23" s="761">
        <f>I23/E23</f>
        <v>3.5185185185185186</v>
      </c>
      <c r="I23" s="762">
        <v>380</v>
      </c>
      <c r="J23" s="678">
        <v>700</v>
      </c>
      <c r="K23" s="763">
        <f t="shared" ref="K23:K24" si="3">J23*I23</f>
        <v>266000</v>
      </c>
      <c r="L23" s="678"/>
    </row>
    <row r="24" spans="2:12" x14ac:dyDescent="0.4">
      <c r="B24" s="764"/>
      <c r="C24" s="866"/>
      <c r="D24" s="758" t="s">
        <v>158</v>
      </c>
      <c r="E24" s="678">
        <v>130</v>
      </c>
      <c r="F24" s="765">
        <v>2853</v>
      </c>
      <c r="G24" s="760"/>
      <c r="H24" s="761">
        <f t="shared" ref="H24:H28" si="4">I24/E24</f>
        <v>1.5384615384615385</v>
      </c>
      <c r="I24" s="762">
        <v>200</v>
      </c>
      <c r="J24" s="678">
        <v>1050</v>
      </c>
      <c r="K24" s="763">
        <f t="shared" si="3"/>
        <v>210000</v>
      </c>
      <c r="L24" s="678"/>
    </row>
    <row r="25" spans="2:12" x14ac:dyDescent="0.4">
      <c r="B25" s="764"/>
      <c r="C25" s="866"/>
      <c r="D25" s="758" t="s">
        <v>160</v>
      </c>
      <c r="E25" s="678">
        <v>115</v>
      </c>
      <c r="F25" s="765">
        <v>2531</v>
      </c>
      <c r="G25" s="760"/>
      <c r="H25" s="761">
        <f t="shared" si="4"/>
        <v>0.8</v>
      </c>
      <c r="I25" s="762">
        <v>92</v>
      </c>
      <c r="J25" s="678" t="s">
        <v>385</v>
      </c>
      <c r="K25" s="770">
        <f>0</f>
        <v>0</v>
      </c>
      <c r="L25" s="678"/>
    </row>
    <row r="26" spans="2:12" x14ac:dyDescent="0.4">
      <c r="B26" s="764"/>
      <c r="C26" s="866"/>
      <c r="D26" s="758" t="s">
        <v>161</v>
      </c>
      <c r="E26" s="678">
        <v>127</v>
      </c>
      <c r="F26" s="765">
        <v>2803</v>
      </c>
      <c r="G26" s="760"/>
      <c r="H26" s="761">
        <f t="shared" si="4"/>
        <v>0.64566929133858264</v>
      </c>
      <c r="I26" s="762">
        <v>82</v>
      </c>
      <c r="J26" s="678" t="s">
        <v>385</v>
      </c>
      <c r="K26" s="770">
        <f>0</f>
        <v>0</v>
      </c>
      <c r="L26" s="678"/>
    </row>
    <row r="27" spans="2:12" x14ac:dyDescent="0.4">
      <c r="B27" s="764"/>
      <c r="C27" s="866"/>
      <c r="D27" s="758" t="s">
        <v>162</v>
      </c>
      <c r="E27" s="678">
        <v>128</v>
      </c>
      <c r="F27" s="765">
        <v>2819</v>
      </c>
      <c r="G27" s="760"/>
      <c r="H27" s="761">
        <f t="shared" si="4"/>
        <v>1.171875</v>
      </c>
      <c r="I27" s="762">
        <v>150</v>
      </c>
      <c r="J27" s="678" t="s">
        <v>385</v>
      </c>
      <c r="K27" s="770">
        <f>0</f>
        <v>0</v>
      </c>
      <c r="L27" s="678"/>
    </row>
    <row r="28" spans="2:12" x14ac:dyDescent="0.4">
      <c r="B28" s="764"/>
      <c r="C28" s="866"/>
      <c r="D28" s="758" t="s">
        <v>163</v>
      </c>
      <c r="E28" s="678">
        <v>122</v>
      </c>
      <c r="F28" s="765">
        <v>2687</v>
      </c>
      <c r="G28" s="760"/>
      <c r="H28" s="761">
        <f t="shared" si="4"/>
        <v>0.4098360655737705</v>
      </c>
      <c r="I28" s="762">
        <v>50</v>
      </c>
      <c r="J28" s="678" t="s">
        <v>385</v>
      </c>
      <c r="K28" s="770">
        <f>0</f>
        <v>0</v>
      </c>
      <c r="L28" s="678"/>
    </row>
    <row r="29" spans="2:12" x14ac:dyDescent="0.4">
      <c r="B29" s="862" t="s">
        <v>33</v>
      </c>
      <c r="C29" s="863"/>
      <c r="D29" s="864"/>
      <c r="E29" s="771">
        <f>SUM(E22:E28)</f>
        <v>887</v>
      </c>
      <c r="F29" s="771">
        <f>SUM(F22:F28)</f>
        <v>19990</v>
      </c>
      <c r="G29" s="771">
        <f>SUM(G22:G28)</f>
        <v>44</v>
      </c>
      <c r="H29" s="772">
        <f>I29/E29</f>
        <v>1.6392333709131905</v>
      </c>
      <c r="I29" s="771">
        <f>SUM(I22:I28)</f>
        <v>1454</v>
      </c>
      <c r="J29" s="775">
        <f>AVERAGE(J22:J24,J26:J28)</f>
        <v>726.66666666666663</v>
      </c>
      <c r="K29" s="774">
        <f>SUM(K22:K28)</f>
        <v>691000</v>
      </c>
      <c r="L29" s="773"/>
    </row>
    <row r="30" spans="2:12" x14ac:dyDescent="0.4">
      <c r="C30" s="865" t="s">
        <v>60</v>
      </c>
      <c r="D30" s="758" t="s">
        <v>251</v>
      </c>
      <c r="E30" s="20">
        <v>8</v>
      </c>
      <c r="F30" s="759">
        <v>184</v>
      </c>
      <c r="G30" s="760">
        <v>22</v>
      </c>
      <c r="H30" s="761">
        <f>I30/E30</f>
        <v>4.25</v>
      </c>
      <c r="I30" s="762">
        <v>34</v>
      </c>
      <c r="J30" s="678">
        <v>550</v>
      </c>
      <c r="K30" s="763">
        <f>J30*I30</f>
        <v>18700</v>
      </c>
      <c r="L30" s="678"/>
    </row>
    <row r="31" spans="2:12" x14ac:dyDescent="0.4">
      <c r="B31" s="764"/>
      <c r="C31" s="866"/>
      <c r="D31" s="758" t="s">
        <v>82</v>
      </c>
      <c r="E31" s="678">
        <v>103</v>
      </c>
      <c r="F31" s="765">
        <v>2792</v>
      </c>
      <c r="G31" s="760">
        <v>22</v>
      </c>
      <c r="H31" s="761">
        <f>I31/E31</f>
        <v>4.3689320388349513</v>
      </c>
      <c r="I31" s="762">
        <v>450</v>
      </c>
      <c r="J31" s="678">
        <v>450</v>
      </c>
      <c r="K31" s="763">
        <f t="shared" ref="K31:K43" si="5">J31*I31</f>
        <v>202500</v>
      </c>
      <c r="L31" s="678"/>
    </row>
    <row r="32" spans="2:12" x14ac:dyDescent="0.4">
      <c r="B32" s="764"/>
      <c r="C32" s="866"/>
      <c r="D32" s="758" t="s">
        <v>83</v>
      </c>
      <c r="E32" s="678">
        <v>156</v>
      </c>
      <c r="F32" s="765">
        <v>4202</v>
      </c>
      <c r="G32" s="760"/>
      <c r="H32" s="761">
        <f t="shared" ref="H32:H43" si="6">I32/E32</f>
        <v>4.3589743589743586</v>
      </c>
      <c r="I32" s="762">
        <v>680</v>
      </c>
      <c r="J32" s="678">
        <v>450</v>
      </c>
      <c r="K32" s="763">
        <f t="shared" si="5"/>
        <v>306000</v>
      </c>
      <c r="L32" s="678"/>
    </row>
    <row r="33" spans="2:12" x14ac:dyDescent="0.4">
      <c r="B33" s="764"/>
      <c r="C33" s="866"/>
      <c r="D33" s="758" t="s">
        <v>97</v>
      </c>
      <c r="E33" s="678">
        <v>124</v>
      </c>
      <c r="F33" s="765">
        <v>3106</v>
      </c>
      <c r="G33" s="760"/>
      <c r="H33" s="761">
        <f t="shared" si="6"/>
        <v>2.903225806451613</v>
      </c>
      <c r="I33" s="762">
        <v>360</v>
      </c>
      <c r="J33" s="678">
        <v>430</v>
      </c>
      <c r="K33" s="763">
        <f t="shared" si="5"/>
        <v>154800</v>
      </c>
      <c r="L33" s="678"/>
    </row>
    <row r="34" spans="2:12" x14ac:dyDescent="0.4">
      <c r="B34" s="764"/>
      <c r="C34" s="866"/>
      <c r="D34" s="758" t="s">
        <v>105</v>
      </c>
      <c r="E34" s="678">
        <v>100</v>
      </c>
      <c r="F34" s="765">
        <v>2495</v>
      </c>
      <c r="G34" s="760"/>
      <c r="H34" s="761">
        <f t="shared" si="6"/>
        <v>3.4</v>
      </c>
      <c r="I34" s="762">
        <v>340</v>
      </c>
      <c r="J34" s="678">
        <v>700</v>
      </c>
      <c r="K34" s="763">
        <f t="shared" si="5"/>
        <v>238000</v>
      </c>
      <c r="L34" s="678"/>
    </row>
    <row r="35" spans="2:12" x14ac:dyDescent="0.4">
      <c r="B35" s="764"/>
      <c r="C35" s="866"/>
      <c r="D35" s="758" t="s">
        <v>106</v>
      </c>
      <c r="E35" s="678">
        <v>12</v>
      </c>
      <c r="F35" s="765">
        <v>300</v>
      </c>
      <c r="G35" s="760"/>
      <c r="H35" s="761">
        <f t="shared" si="6"/>
        <v>3.3333333333333335</v>
      </c>
      <c r="I35" s="762">
        <v>40</v>
      </c>
      <c r="J35" s="678">
        <v>700</v>
      </c>
      <c r="K35" s="763">
        <f t="shared" si="5"/>
        <v>28000</v>
      </c>
      <c r="L35" s="678"/>
    </row>
    <row r="36" spans="2:12" x14ac:dyDescent="0.4">
      <c r="B36" s="764"/>
      <c r="C36" s="866"/>
      <c r="D36" s="758" t="s">
        <v>119</v>
      </c>
      <c r="E36" s="678">
        <v>134</v>
      </c>
      <c r="F36" s="765">
        <v>3333</v>
      </c>
      <c r="G36" s="760"/>
      <c r="H36" s="761">
        <f t="shared" si="6"/>
        <v>2.6119402985074629</v>
      </c>
      <c r="I36" s="762">
        <v>350</v>
      </c>
      <c r="J36" s="678">
        <v>680</v>
      </c>
      <c r="K36" s="763">
        <f t="shared" si="5"/>
        <v>238000</v>
      </c>
      <c r="L36" s="678"/>
    </row>
    <row r="37" spans="2:12" x14ac:dyDescent="0.4">
      <c r="B37" s="764"/>
      <c r="C37" s="866"/>
      <c r="D37" s="758" t="s">
        <v>120</v>
      </c>
      <c r="E37" s="678">
        <v>101</v>
      </c>
      <c r="F37" s="765">
        <v>2525</v>
      </c>
      <c r="G37" s="760"/>
      <c r="H37" s="761">
        <f t="shared" si="6"/>
        <v>2.5742574257425743</v>
      </c>
      <c r="I37" s="762">
        <v>260</v>
      </c>
      <c r="J37" s="678">
        <v>680</v>
      </c>
      <c r="K37" s="763">
        <f t="shared" si="5"/>
        <v>176800</v>
      </c>
      <c r="L37" s="678"/>
    </row>
    <row r="38" spans="2:12" x14ac:dyDescent="0.4">
      <c r="B38" s="764"/>
      <c r="C38" s="866"/>
      <c r="D38" s="758" t="s">
        <v>121</v>
      </c>
      <c r="E38" s="678">
        <v>116</v>
      </c>
      <c r="F38" s="765">
        <v>2888</v>
      </c>
      <c r="G38" s="760"/>
      <c r="H38" s="761">
        <f t="shared" si="6"/>
        <v>2.9310344827586206</v>
      </c>
      <c r="I38" s="762">
        <v>340</v>
      </c>
      <c r="J38" s="678">
        <v>680</v>
      </c>
      <c r="K38" s="763">
        <f t="shared" si="5"/>
        <v>231200</v>
      </c>
      <c r="L38" s="678"/>
    </row>
    <row r="39" spans="2:12" x14ac:dyDescent="0.4">
      <c r="B39" s="764"/>
      <c r="C39" s="866"/>
      <c r="D39" s="758" t="s">
        <v>122</v>
      </c>
      <c r="E39" s="678">
        <v>76</v>
      </c>
      <c r="F39" s="765">
        <v>1905</v>
      </c>
      <c r="G39" s="760"/>
      <c r="H39" s="761">
        <f t="shared" si="6"/>
        <v>2.6315789473684212</v>
      </c>
      <c r="I39" s="762">
        <v>200</v>
      </c>
      <c r="J39" s="678">
        <v>680</v>
      </c>
      <c r="K39" s="763">
        <f t="shared" si="5"/>
        <v>136000</v>
      </c>
      <c r="L39" s="678"/>
    </row>
    <row r="40" spans="2:12" x14ac:dyDescent="0.4">
      <c r="B40" s="764"/>
      <c r="C40" s="866"/>
      <c r="D40" s="758" t="s">
        <v>123</v>
      </c>
      <c r="E40" s="678">
        <v>92</v>
      </c>
      <c r="F40" s="765">
        <v>2291</v>
      </c>
      <c r="G40" s="760"/>
      <c r="H40" s="761">
        <f t="shared" si="6"/>
        <v>2.7173913043478262</v>
      </c>
      <c r="I40" s="762">
        <v>250</v>
      </c>
      <c r="J40" s="678">
        <v>680</v>
      </c>
      <c r="K40" s="763">
        <f t="shared" si="5"/>
        <v>170000</v>
      </c>
      <c r="L40" s="678"/>
    </row>
    <row r="41" spans="2:12" x14ac:dyDescent="0.4">
      <c r="B41" s="764"/>
      <c r="C41" s="866"/>
      <c r="D41" s="758" t="s">
        <v>126</v>
      </c>
      <c r="E41" s="678">
        <v>108</v>
      </c>
      <c r="F41" s="765">
        <v>2707</v>
      </c>
      <c r="G41" s="760"/>
      <c r="H41" s="761">
        <f t="shared" si="6"/>
        <v>2.7777777777777777</v>
      </c>
      <c r="I41" s="762">
        <v>300</v>
      </c>
      <c r="J41" s="678">
        <v>680</v>
      </c>
      <c r="K41" s="763">
        <f t="shared" si="5"/>
        <v>204000</v>
      </c>
      <c r="L41" s="678"/>
    </row>
    <row r="42" spans="2:12" x14ac:dyDescent="0.4">
      <c r="B42" s="764"/>
      <c r="C42" s="866"/>
      <c r="D42" s="758" t="s">
        <v>127</v>
      </c>
      <c r="E42" s="678">
        <v>86</v>
      </c>
      <c r="F42" s="765">
        <v>2132</v>
      </c>
      <c r="G42" s="760"/>
      <c r="H42" s="761">
        <f t="shared" si="6"/>
        <v>2.6744186046511627</v>
      </c>
      <c r="I42" s="762">
        <v>230</v>
      </c>
      <c r="J42" s="678">
        <v>680</v>
      </c>
      <c r="K42" s="763">
        <f t="shared" si="5"/>
        <v>156400</v>
      </c>
      <c r="L42" s="678"/>
    </row>
    <row r="43" spans="2:12" x14ac:dyDescent="0.4">
      <c r="B43" s="764"/>
      <c r="C43" s="866"/>
      <c r="D43" s="758" t="s">
        <v>128</v>
      </c>
      <c r="E43" s="678">
        <v>29</v>
      </c>
      <c r="F43" s="765">
        <v>720</v>
      </c>
      <c r="G43" s="760"/>
      <c r="H43" s="761">
        <f t="shared" si="6"/>
        <v>2.7586206896551726</v>
      </c>
      <c r="I43" s="762">
        <v>80</v>
      </c>
      <c r="J43" s="678">
        <v>680</v>
      </c>
      <c r="K43" s="763">
        <f t="shared" si="5"/>
        <v>54400</v>
      </c>
      <c r="L43" s="678"/>
    </row>
    <row r="44" spans="2:12" x14ac:dyDescent="0.4">
      <c r="B44" s="862" t="s">
        <v>32</v>
      </c>
      <c r="C44" s="863"/>
      <c r="D44" s="864"/>
      <c r="E44" s="771">
        <f>SUM(E30:E43)</f>
        <v>1245</v>
      </c>
      <c r="F44" s="771">
        <f>SUM(F30:F43)</f>
        <v>31580</v>
      </c>
      <c r="G44" s="771">
        <f>SUM(G30:G43)</f>
        <v>44</v>
      </c>
      <c r="H44" s="772">
        <f>I44/E44</f>
        <v>3.1437751004016063</v>
      </c>
      <c r="I44" s="771">
        <f>SUM(I30:I43)</f>
        <v>3914</v>
      </c>
      <c r="J44" s="775">
        <f>AVERAGE(J30:J43)</f>
        <v>622.85714285714289</v>
      </c>
      <c r="K44" s="774">
        <f>SUM(K30:K43)</f>
        <v>2314800</v>
      </c>
      <c r="L44" s="773"/>
    </row>
    <row r="45" spans="2:12" x14ac:dyDescent="0.4">
      <c r="C45" s="865" t="s">
        <v>381</v>
      </c>
      <c r="D45" s="758" t="s">
        <v>85</v>
      </c>
      <c r="E45" s="20">
        <v>15</v>
      </c>
      <c r="F45" s="759">
        <v>401</v>
      </c>
      <c r="G45" s="760">
        <v>22</v>
      </c>
      <c r="H45" s="761">
        <v>75</v>
      </c>
      <c r="I45" s="762">
        <v>75</v>
      </c>
      <c r="J45" s="678">
        <v>450</v>
      </c>
      <c r="K45" s="763">
        <f>J45*I45</f>
        <v>33750</v>
      </c>
      <c r="L45" s="678"/>
    </row>
    <row r="46" spans="2:12" x14ac:dyDescent="0.4">
      <c r="B46" s="764"/>
      <c r="C46" s="866"/>
      <c r="D46" s="758" t="s">
        <v>86</v>
      </c>
      <c r="E46" s="678">
        <v>5</v>
      </c>
      <c r="F46" s="765">
        <v>152</v>
      </c>
      <c r="G46" s="760">
        <v>22</v>
      </c>
      <c r="H46" s="761">
        <v>25</v>
      </c>
      <c r="I46" s="762">
        <v>25</v>
      </c>
      <c r="J46" s="678">
        <v>450</v>
      </c>
      <c r="K46" s="763">
        <f t="shared" ref="K46:K51" si="7">J46*I46</f>
        <v>11250</v>
      </c>
      <c r="L46" s="678"/>
    </row>
    <row r="47" spans="2:12" x14ac:dyDescent="0.4">
      <c r="B47" s="764"/>
      <c r="C47" s="866"/>
      <c r="D47" s="758" t="s">
        <v>62</v>
      </c>
      <c r="E47" s="678">
        <v>4</v>
      </c>
      <c r="F47" s="765">
        <v>93</v>
      </c>
      <c r="G47" s="760"/>
      <c r="H47" s="761">
        <v>12</v>
      </c>
      <c r="I47" s="762">
        <v>12</v>
      </c>
      <c r="J47" s="678">
        <v>430</v>
      </c>
      <c r="K47" s="763">
        <f t="shared" si="7"/>
        <v>5160</v>
      </c>
      <c r="L47" s="678"/>
    </row>
    <row r="48" spans="2:12" x14ac:dyDescent="0.4">
      <c r="B48" s="764"/>
      <c r="C48" s="866"/>
      <c r="D48" s="758" t="s">
        <v>152</v>
      </c>
      <c r="E48" s="678">
        <v>131</v>
      </c>
      <c r="F48" s="765">
        <v>2886</v>
      </c>
      <c r="G48" s="760"/>
      <c r="H48" s="761">
        <v>190</v>
      </c>
      <c r="I48" s="762">
        <v>190</v>
      </c>
      <c r="J48" s="678">
        <v>1050</v>
      </c>
      <c r="K48" s="763">
        <f t="shared" si="7"/>
        <v>199500</v>
      </c>
      <c r="L48" s="678"/>
    </row>
    <row r="49" spans="2:13" x14ac:dyDescent="0.4">
      <c r="B49" s="764"/>
      <c r="C49" s="866"/>
      <c r="D49" s="758" t="s">
        <v>153</v>
      </c>
      <c r="E49" s="678">
        <v>117</v>
      </c>
      <c r="F49" s="765">
        <v>2579</v>
      </c>
      <c r="G49" s="760"/>
      <c r="H49" s="761">
        <v>150</v>
      </c>
      <c r="I49" s="762">
        <v>150</v>
      </c>
      <c r="J49" s="678">
        <v>1050</v>
      </c>
      <c r="K49" s="763">
        <f t="shared" si="7"/>
        <v>157500</v>
      </c>
      <c r="L49" s="678"/>
    </row>
    <row r="50" spans="2:13" x14ac:dyDescent="0.4">
      <c r="B50" s="764"/>
      <c r="C50" s="866"/>
      <c r="D50" s="758" t="s">
        <v>154</v>
      </c>
      <c r="E50" s="678">
        <v>155</v>
      </c>
      <c r="F50" s="765">
        <v>3402</v>
      </c>
      <c r="G50" s="760"/>
      <c r="H50" s="761">
        <v>170</v>
      </c>
      <c r="I50" s="762">
        <v>170</v>
      </c>
      <c r="J50" s="678" t="s">
        <v>385</v>
      </c>
      <c r="K50" s="763">
        <f>0</f>
        <v>0</v>
      </c>
      <c r="L50" s="678"/>
    </row>
    <row r="51" spans="2:13" x14ac:dyDescent="0.4">
      <c r="B51" s="764"/>
      <c r="C51" s="866"/>
      <c r="D51" s="758" t="s">
        <v>155</v>
      </c>
      <c r="E51" s="678">
        <v>100</v>
      </c>
      <c r="F51" s="765">
        <v>2192</v>
      </c>
      <c r="G51" s="760"/>
      <c r="H51" s="761">
        <v>160</v>
      </c>
      <c r="I51" s="762">
        <v>160</v>
      </c>
      <c r="J51" s="678">
        <v>1050</v>
      </c>
      <c r="K51" s="763">
        <f t="shared" si="7"/>
        <v>168000</v>
      </c>
      <c r="L51" s="678"/>
    </row>
    <row r="52" spans="2:13" x14ac:dyDescent="0.4">
      <c r="B52" s="862" t="s">
        <v>43</v>
      </c>
      <c r="C52" s="863"/>
      <c r="D52" s="864"/>
      <c r="E52" s="771">
        <f>SUM(E45:E51)</f>
        <v>527</v>
      </c>
      <c r="F52" s="771">
        <f>SUM(F45:F51)</f>
        <v>11705</v>
      </c>
      <c r="G52" s="771">
        <f>SUM(G45:G51)</f>
        <v>44</v>
      </c>
      <c r="H52" s="772">
        <f>I52/E52</f>
        <v>1.4838709677419355</v>
      </c>
      <c r="I52" s="771">
        <f>SUM(I45:I51)</f>
        <v>782</v>
      </c>
      <c r="J52" s="775">
        <f>AVERAGE(J45:J51)</f>
        <v>746.66666666666663</v>
      </c>
      <c r="K52" s="774">
        <f>SUM(K45:K51)</f>
        <v>575160</v>
      </c>
      <c r="L52" s="773"/>
    </row>
    <row r="53" spans="2:13" x14ac:dyDescent="0.4">
      <c r="C53" s="865" t="s">
        <v>253</v>
      </c>
      <c r="D53" s="758" t="s">
        <v>28</v>
      </c>
      <c r="E53" s="20">
        <v>82</v>
      </c>
      <c r="F53" s="759">
        <v>1813</v>
      </c>
      <c r="G53" s="760">
        <v>22</v>
      </c>
      <c r="H53" s="761">
        <v>75</v>
      </c>
      <c r="I53" s="762">
        <v>90</v>
      </c>
      <c r="J53" s="678">
        <v>625</v>
      </c>
      <c r="K53" s="763">
        <f>J53*I53</f>
        <v>56250</v>
      </c>
      <c r="L53" s="678"/>
    </row>
    <row r="54" spans="2:13" x14ac:dyDescent="0.4">
      <c r="B54" s="764"/>
      <c r="C54" s="866"/>
      <c r="D54" s="758" t="s">
        <v>29</v>
      </c>
      <c r="E54" s="678">
        <v>72</v>
      </c>
      <c r="F54" s="765">
        <v>1574</v>
      </c>
      <c r="G54" s="760">
        <v>22</v>
      </c>
      <c r="H54" s="761">
        <v>25</v>
      </c>
      <c r="I54" s="762">
        <v>120</v>
      </c>
      <c r="J54" s="678">
        <v>625</v>
      </c>
      <c r="K54" s="763">
        <f>J54*I54</f>
        <v>75000</v>
      </c>
      <c r="L54" s="678"/>
    </row>
    <row r="55" spans="2:13" x14ac:dyDescent="0.4">
      <c r="B55" s="764"/>
      <c r="C55" s="866"/>
      <c r="D55" s="758" t="s">
        <v>30</v>
      </c>
      <c r="E55" s="678">
        <v>69</v>
      </c>
      <c r="F55" s="765">
        <v>1509</v>
      </c>
      <c r="G55" s="760"/>
      <c r="H55" s="761">
        <v>12</v>
      </c>
      <c r="I55" s="762">
        <v>100</v>
      </c>
      <c r="J55" s="678">
        <v>625</v>
      </c>
      <c r="K55" s="763">
        <f>J55*I55</f>
        <v>62500</v>
      </c>
      <c r="L55" s="678"/>
    </row>
    <row r="56" spans="2:13" x14ac:dyDescent="0.4">
      <c r="B56" s="862" t="s">
        <v>31</v>
      </c>
      <c r="C56" s="863"/>
      <c r="D56" s="864"/>
      <c r="E56" s="771">
        <f>SUM(E53:E55)</f>
        <v>223</v>
      </c>
      <c r="F56" s="771">
        <f>SUM(F53:F55)</f>
        <v>4896</v>
      </c>
      <c r="G56" s="771">
        <f>SUM(G53:G55)</f>
        <v>44</v>
      </c>
      <c r="H56" s="772">
        <f>I56/E56</f>
        <v>1.3901345291479821</v>
      </c>
      <c r="I56" s="771">
        <f>SUM(I53:I55)</f>
        <v>310</v>
      </c>
      <c r="J56" s="775">
        <f>AVERAGE(J53:J55)</f>
        <v>625</v>
      </c>
      <c r="K56" s="774">
        <f>SUM(K53:K55)</f>
        <v>193750</v>
      </c>
      <c r="L56" s="773"/>
    </row>
    <row r="57" spans="2:13" x14ac:dyDescent="0.4">
      <c r="B57" s="871" t="s">
        <v>22</v>
      </c>
      <c r="C57" s="872"/>
      <c r="D57" s="872"/>
      <c r="E57" s="872"/>
      <c r="F57" s="872"/>
      <c r="G57" s="872"/>
      <c r="H57" s="872"/>
      <c r="I57" s="872"/>
      <c r="J57" s="872"/>
      <c r="K57" s="872"/>
      <c r="L57" s="873"/>
      <c r="M57" s="244"/>
    </row>
    <row r="58" spans="2:13" x14ac:dyDescent="0.4">
      <c r="C58" s="865" t="s">
        <v>248</v>
      </c>
      <c r="D58" s="758" t="s">
        <v>26</v>
      </c>
      <c r="E58" s="20">
        <v>6</v>
      </c>
      <c r="F58" s="759">
        <v>126</v>
      </c>
      <c r="G58" s="760">
        <v>22</v>
      </c>
      <c r="H58" s="761">
        <f>I58/E58</f>
        <v>3.6666666666666665</v>
      </c>
      <c r="I58" s="762">
        <v>22</v>
      </c>
      <c r="J58" s="678">
        <v>550</v>
      </c>
      <c r="K58" s="763">
        <f>J58*I58</f>
        <v>12100</v>
      </c>
      <c r="L58" s="678"/>
    </row>
    <row r="59" spans="2:13" x14ac:dyDescent="0.4">
      <c r="B59" s="764"/>
      <c r="C59" s="866"/>
      <c r="D59" s="758" t="s">
        <v>48</v>
      </c>
      <c r="E59" s="678">
        <v>168</v>
      </c>
      <c r="F59" s="765">
        <v>4192</v>
      </c>
      <c r="G59" s="760">
        <v>22</v>
      </c>
      <c r="H59" s="761">
        <f>I59/E59</f>
        <v>2.9761904761904763</v>
      </c>
      <c r="I59" s="762">
        <v>500</v>
      </c>
      <c r="J59" s="678" t="s">
        <v>385</v>
      </c>
      <c r="K59" s="763">
        <f>0</f>
        <v>0</v>
      </c>
      <c r="L59" s="678"/>
    </row>
    <row r="60" spans="2:13" x14ac:dyDescent="0.4">
      <c r="B60" s="764"/>
      <c r="C60" s="866"/>
      <c r="D60" s="758" t="s">
        <v>49</v>
      </c>
      <c r="E60" s="678">
        <v>157</v>
      </c>
      <c r="F60" s="765">
        <v>4022</v>
      </c>
      <c r="G60" s="760"/>
      <c r="H60" s="761">
        <f t="shared" ref="H60:H71" si="8">I60/E60</f>
        <v>3.5031847133757963</v>
      </c>
      <c r="I60" s="762">
        <v>550</v>
      </c>
      <c r="J60" s="678">
        <v>450</v>
      </c>
      <c r="K60" s="763">
        <f t="shared" ref="K60" si="9">J60*I60</f>
        <v>247500</v>
      </c>
      <c r="L60" s="678"/>
    </row>
    <row r="61" spans="2:13" x14ac:dyDescent="0.4">
      <c r="B61" s="764"/>
      <c r="C61" s="866"/>
      <c r="D61" s="758" t="s">
        <v>35</v>
      </c>
      <c r="E61" s="678">
        <v>170</v>
      </c>
      <c r="F61" s="765">
        <v>4245</v>
      </c>
      <c r="G61" s="760"/>
      <c r="H61" s="761">
        <f t="shared" si="8"/>
        <v>3.4117647058823528</v>
      </c>
      <c r="I61" s="762">
        <v>580</v>
      </c>
      <c r="J61" s="678" t="s">
        <v>385</v>
      </c>
      <c r="K61" s="770">
        <f>0</f>
        <v>0</v>
      </c>
      <c r="L61" s="678"/>
    </row>
    <row r="62" spans="2:13" x14ac:dyDescent="0.4">
      <c r="B62" s="764"/>
      <c r="C62" s="866"/>
      <c r="D62" s="758" t="s">
        <v>51</v>
      </c>
      <c r="E62" s="678">
        <v>169</v>
      </c>
      <c r="F62" s="765">
        <v>4231</v>
      </c>
      <c r="G62" s="760"/>
      <c r="H62" s="761">
        <f t="shared" si="8"/>
        <v>3.7278106508875739</v>
      </c>
      <c r="I62" s="762">
        <v>630</v>
      </c>
      <c r="J62" s="678">
        <v>630</v>
      </c>
      <c r="K62" s="763">
        <f t="shared" ref="K62:K70" si="10">J62*I62</f>
        <v>396900</v>
      </c>
      <c r="L62" s="678"/>
    </row>
    <row r="63" spans="2:13" x14ac:dyDescent="0.4">
      <c r="B63" s="764"/>
      <c r="C63" s="866"/>
      <c r="D63" s="758" t="s">
        <v>38</v>
      </c>
      <c r="E63" s="678">
        <v>171</v>
      </c>
      <c r="F63" s="765">
        <v>4265</v>
      </c>
      <c r="G63" s="760"/>
      <c r="H63" s="761">
        <f t="shared" si="8"/>
        <v>1.3450292397660819</v>
      </c>
      <c r="I63" s="762">
        <v>230</v>
      </c>
      <c r="J63" s="678">
        <v>430</v>
      </c>
      <c r="K63" s="763">
        <f t="shared" si="10"/>
        <v>98900</v>
      </c>
      <c r="L63" s="678"/>
    </row>
    <row r="64" spans="2:13" x14ac:dyDescent="0.4">
      <c r="B64" s="764"/>
      <c r="C64" s="866"/>
      <c r="D64" s="758" t="s">
        <v>37</v>
      </c>
      <c r="E64" s="678">
        <v>67</v>
      </c>
      <c r="F64" s="765">
        <v>1663</v>
      </c>
      <c r="G64" s="760"/>
      <c r="H64" s="761">
        <f t="shared" si="8"/>
        <v>8.2089552238805972</v>
      </c>
      <c r="I64" s="762">
        <v>550</v>
      </c>
      <c r="J64" s="678">
        <v>430</v>
      </c>
      <c r="K64" s="763">
        <f t="shared" si="10"/>
        <v>236500</v>
      </c>
      <c r="L64" s="678"/>
    </row>
    <row r="65" spans="2:12" x14ac:dyDescent="0.4">
      <c r="B65" s="764"/>
      <c r="C65" s="866"/>
      <c r="D65" s="758" t="s">
        <v>52</v>
      </c>
      <c r="E65" s="678">
        <v>154</v>
      </c>
      <c r="F65" s="765">
        <v>3851</v>
      </c>
      <c r="G65" s="760"/>
      <c r="H65" s="761">
        <f t="shared" si="8"/>
        <v>2.7922077922077921</v>
      </c>
      <c r="I65" s="762">
        <v>430</v>
      </c>
      <c r="J65" s="678">
        <v>690</v>
      </c>
      <c r="K65" s="763">
        <f t="shared" si="10"/>
        <v>296700</v>
      </c>
      <c r="L65" s="678"/>
    </row>
    <row r="66" spans="2:12" x14ac:dyDescent="0.4">
      <c r="B66" s="764"/>
      <c r="C66" s="866"/>
      <c r="D66" s="758" t="s">
        <v>53</v>
      </c>
      <c r="E66" s="678">
        <v>139</v>
      </c>
      <c r="F66" s="765">
        <v>3476</v>
      </c>
      <c r="G66" s="760"/>
      <c r="H66" s="761">
        <f t="shared" si="8"/>
        <v>3.9568345323741005</v>
      </c>
      <c r="I66" s="762">
        <v>550</v>
      </c>
      <c r="J66" s="678">
        <v>430</v>
      </c>
      <c r="K66" s="763">
        <f t="shared" si="10"/>
        <v>236500</v>
      </c>
      <c r="L66" s="678"/>
    </row>
    <row r="67" spans="2:12" x14ac:dyDescent="0.4">
      <c r="B67" s="764"/>
      <c r="C67" s="866"/>
      <c r="D67" s="758" t="s">
        <v>54</v>
      </c>
      <c r="E67" s="678">
        <v>165</v>
      </c>
      <c r="F67" s="765">
        <v>4127</v>
      </c>
      <c r="G67" s="760"/>
      <c r="H67" s="761">
        <f t="shared" si="8"/>
        <v>3.0303030303030303</v>
      </c>
      <c r="I67" s="762">
        <v>500</v>
      </c>
      <c r="J67" s="678">
        <v>690</v>
      </c>
      <c r="K67" s="763">
        <f t="shared" si="10"/>
        <v>345000</v>
      </c>
      <c r="L67" s="678"/>
    </row>
    <row r="68" spans="2:12" x14ac:dyDescent="0.4">
      <c r="B68" s="764"/>
      <c r="C68" s="866"/>
      <c r="D68" s="758" t="s">
        <v>55</v>
      </c>
      <c r="E68" s="678">
        <v>158</v>
      </c>
      <c r="F68" s="765">
        <v>3480</v>
      </c>
      <c r="G68" s="760"/>
      <c r="H68" s="761">
        <f t="shared" si="8"/>
        <v>1.139240506329114</v>
      </c>
      <c r="I68" s="762">
        <v>180</v>
      </c>
      <c r="J68" s="678">
        <v>1050</v>
      </c>
      <c r="K68" s="763">
        <f t="shared" si="10"/>
        <v>189000</v>
      </c>
      <c r="L68" s="678"/>
    </row>
    <row r="69" spans="2:12" x14ac:dyDescent="0.4">
      <c r="B69" s="764"/>
      <c r="C69" s="866"/>
      <c r="D69" s="758" t="s">
        <v>56</v>
      </c>
      <c r="E69" s="678">
        <v>143</v>
      </c>
      <c r="F69" s="765">
        <v>3140</v>
      </c>
      <c r="G69" s="760"/>
      <c r="H69" s="761">
        <f t="shared" si="8"/>
        <v>1.3986013986013985</v>
      </c>
      <c r="I69" s="762">
        <v>200</v>
      </c>
      <c r="J69" s="678">
        <v>1050</v>
      </c>
      <c r="K69" s="763">
        <f t="shared" si="10"/>
        <v>210000</v>
      </c>
      <c r="L69" s="678"/>
    </row>
    <row r="70" spans="2:12" x14ac:dyDescent="0.4">
      <c r="B70" s="764"/>
      <c r="C70" s="866"/>
      <c r="D70" s="758" t="s">
        <v>57</v>
      </c>
      <c r="E70" s="678">
        <v>167</v>
      </c>
      <c r="F70" s="765">
        <v>3671</v>
      </c>
      <c r="G70" s="760"/>
      <c r="H70" s="761">
        <f t="shared" si="8"/>
        <v>1.4970059880239521</v>
      </c>
      <c r="I70" s="762">
        <v>250</v>
      </c>
      <c r="J70" s="678">
        <v>1050</v>
      </c>
      <c r="K70" s="763">
        <f t="shared" si="10"/>
        <v>262500</v>
      </c>
      <c r="L70" s="678"/>
    </row>
    <row r="71" spans="2:12" x14ac:dyDescent="0.4">
      <c r="B71" s="764"/>
      <c r="C71" s="866"/>
      <c r="D71" s="758" t="s">
        <v>58</v>
      </c>
      <c r="E71" s="678">
        <v>130</v>
      </c>
      <c r="F71" s="765">
        <v>2868</v>
      </c>
      <c r="G71" s="760"/>
      <c r="H71" s="761">
        <f t="shared" si="8"/>
        <v>0.92307692307692313</v>
      </c>
      <c r="I71" s="762">
        <v>120</v>
      </c>
      <c r="J71" s="678" t="s">
        <v>385</v>
      </c>
      <c r="K71" s="763">
        <f>0</f>
        <v>0</v>
      </c>
      <c r="L71" s="678"/>
    </row>
    <row r="72" spans="2:12" x14ac:dyDescent="0.4">
      <c r="B72" s="764"/>
      <c r="C72" s="866"/>
      <c r="D72" s="758" t="s">
        <v>44</v>
      </c>
      <c r="E72" s="678">
        <v>145</v>
      </c>
      <c r="F72" s="765">
        <v>3193</v>
      </c>
      <c r="G72" s="760"/>
      <c r="H72" s="761">
        <f>I72/E72</f>
        <v>0.89655172413793105</v>
      </c>
      <c r="I72" s="762">
        <v>130</v>
      </c>
      <c r="J72" s="678" t="s">
        <v>385</v>
      </c>
      <c r="K72" s="763">
        <f>0</f>
        <v>0</v>
      </c>
      <c r="L72" s="678"/>
    </row>
    <row r="73" spans="2:12" x14ac:dyDescent="0.4">
      <c r="B73" s="862" t="s">
        <v>219</v>
      </c>
      <c r="C73" s="863"/>
      <c r="D73" s="864"/>
      <c r="E73" s="771">
        <f>SUM(E58:E72)</f>
        <v>2109</v>
      </c>
      <c r="F73" s="771">
        <f>SUM(F58:F72)</f>
        <v>50550</v>
      </c>
      <c r="G73" s="771">
        <f>SUM(G58:G72)</f>
        <v>44</v>
      </c>
      <c r="H73" s="772">
        <f>I73/E73</f>
        <v>2.5708866761498341</v>
      </c>
      <c r="I73" s="771">
        <f>SUM(I58:I72)</f>
        <v>5422</v>
      </c>
      <c r="J73" s="775">
        <f>AVERAGE(J58:J72)</f>
        <v>677.27272727272725</v>
      </c>
      <c r="K73" s="774">
        <f>SUM(K58:K72)</f>
        <v>2531600</v>
      </c>
      <c r="L73" s="773"/>
    </row>
    <row r="74" spans="2:12" x14ac:dyDescent="0.4">
      <c r="C74" s="865" t="s">
        <v>246</v>
      </c>
      <c r="D74" s="758" t="s">
        <v>23</v>
      </c>
      <c r="E74" s="20">
        <v>136</v>
      </c>
      <c r="F74" s="759">
        <v>2243</v>
      </c>
      <c r="G74" s="760">
        <v>22</v>
      </c>
      <c r="H74" s="761">
        <f>I74/E74</f>
        <v>0.73529411764705888</v>
      </c>
      <c r="I74" s="762">
        <v>100</v>
      </c>
      <c r="J74" s="678">
        <v>625</v>
      </c>
      <c r="K74" s="763">
        <f>J74*I74</f>
        <v>62500</v>
      </c>
      <c r="L74" s="678"/>
    </row>
    <row r="75" spans="2:12" x14ac:dyDescent="0.4">
      <c r="B75" s="764"/>
      <c r="C75" s="866"/>
      <c r="D75" s="758" t="s">
        <v>24</v>
      </c>
      <c r="E75" s="678">
        <v>151</v>
      </c>
      <c r="F75" s="765">
        <v>2494</v>
      </c>
      <c r="G75" s="760">
        <v>22</v>
      </c>
      <c r="H75" s="761">
        <f>I75/E75</f>
        <v>0.72847682119205293</v>
      </c>
      <c r="I75" s="762">
        <v>110</v>
      </c>
      <c r="J75" s="678">
        <v>625</v>
      </c>
      <c r="K75" s="763">
        <f t="shared" ref="K75:K92" si="11">J75*I75</f>
        <v>68750</v>
      </c>
      <c r="L75" s="678"/>
    </row>
    <row r="76" spans="2:12" x14ac:dyDescent="0.4">
      <c r="B76" s="764"/>
      <c r="C76" s="866"/>
      <c r="D76" s="758" t="s">
        <v>64</v>
      </c>
      <c r="E76" s="678">
        <v>4</v>
      </c>
      <c r="F76" s="765">
        <v>112</v>
      </c>
      <c r="G76" s="760"/>
      <c r="H76" s="761">
        <f t="shared" ref="H76:H92" si="12">I76/E76</f>
        <v>5</v>
      </c>
      <c r="I76" s="762">
        <v>20</v>
      </c>
      <c r="J76" s="678">
        <v>450</v>
      </c>
      <c r="K76" s="763">
        <f t="shared" si="11"/>
        <v>9000</v>
      </c>
      <c r="L76" s="678"/>
    </row>
    <row r="77" spans="2:12" x14ac:dyDescent="0.4">
      <c r="B77" s="764"/>
      <c r="C77" s="866"/>
      <c r="D77" s="758" t="s">
        <v>65</v>
      </c>
      <c r="E77" s="678">
        <v>113</v>
      </c>
      <c r="F77" s="765">
        <v>2833</v>
      </c>
      <c r="G77" s="760"/>
      <c r="H77" s="761">
        <f t="shared" si="12"/>
        <v>3.6725663716814161</v>
      </c>
      <c r="I77" s="762">
        <v>415</v>
      </c>
      <c r="J77" s="678">
        <v>450</v>
      </c>
      <c r="K77" s="763">
        <f t="shared" si="11"/>
        <v>186750</v>
      </c>
      <c r="L77" s="678"/>
    </row>
    <row r="78" spans="2:12" x14ac:dyDescent="0.4">
      <c r="B78" s="764"/>
      <c r="C78" s="866"/>
      <c r="D78" s="758" t="s">
        <v>73</v>
      </c>
      <c r="E78" s="678">
        <v>115</v>
      </c>
      <c r="F78" s="765">
        <v>2872</v>
      </c>
      <c r="G78" s="760"/>
      <c r="H78" s="761">
        <f t="shared" si="12"/>
        <v>4.5652173913043477</v>
      </c>
      <c r="I78" s="762">
        <v>525</v>
      </c>
      <c r="J78" s="678">
        <v>450</v>
      </c>
      <c r="K78" s="763">
        <f t="shared" si="11"/>
        <v>236250</v>
      </c>
      <c r="L78" s="678"/>
    </row>
    <row r="79" spans="2:12" x14ac:dyDescent="0.4">
      <c r="B79" s="764"/>
      <c r="C79" s="866"/>
      <c r="D79" s="758" t="s">
        <v>74</v>
      </c>
      <c r="E79" s="678">
        <v>121</v>
      </c>
      <c r="F79" s="765">
        <v>3030</v>
      </c>
      <c r="G79" s="760"/>
      <c r="H79" s="761">
        <f t="shared" si="12"/>
        <v>3.3057851239669422</v>
      </c>
      <c r="I79" s="762">
        <v>400</v>
      </c>
      <c r="J79" s="678">
        <v>720</v>
      </c>
      <c r="K79" s="763">
        <f t="shared" si="11"/>
        <v>288000</v>
      </c>
      <c r="L79" s="678"/>
    </row>
    <row r="80" spans="2:12" x14ac:dyDescent="0.4">
      <c r="B80" s="764"/>
      <c r="C80" s="866"/>
      <c r="D80" s="758" t="s">
        <v>90</v>
      </c>
      <c r="E80" s="678">
        <v>4</v>
      </c>
      <c r="F80" s="765">
        <v>92</v>
      </c>
      <c r="G80" s="760"/>
      <c r="H80" s="761">
        <f t="shared" si="12"/>
        <v>3</v>
      </c>
      <c r="I80" s="762">
        <v>12</v>
      </c>
      <c r="J80" s="678">
        <v>720</v>
      </c>
      <c r="K80" s="763">
        <f t="shared" si="11"/>
        <v>8640</v>
      </c>
      <c r="L80" s="678"/>
    </row>
    <row r="81" spans="2:12" x14ac:dyDescent="0.4">
      <c r="B81" s="764"/>
      <c r="C81" s="866"/>
      <c r="D81" s="758" t="s">
        <v>94</v>
      </c>
      <c r="E81" s="678">
        <v>128</v>
      </c>
      <c r="F81" s="765">
        <v>3199</v>
      </c>
      <c r="G81" s="760"/>
      <c r="H81" s="761">
        <f t="shared" si="12"/>
        <v>3.90625</v>
      </c>
      <c r="I81" s="762">
        <v>500</v>
      </c>
      <c r="J81" s="678">
        <v>430</v>
      </c>
      <c r="K81" s="763">
        <f t="shared" si="11"/>
        <v>215000</v>
      </c>
      <c r="L81" s="678"/>
    </row>
    <row r="82" spans="2:12" x14ac:dyDescent="0.4">
      <c r="B82" s="764"/>
      <c r="C82" s="866"/>
      <c r="D82" s="758" t="s">
        <v>95</v>
      </c>
      <c r="E82" s="678">
        <v>121</v>
      </c>
      <c r="F82" s="765">
        <v>3015</v>
      </c>
      <c r="G82" s="760"/>
      <c r="H82" s="761">
        <f t="shared" si="12"/>
        <v>3.6363636363636362</v>
      </c>
      <c r="I82" s="762">
        <v>440</v>
      </c>
      <c r="J82" s="678">
        <v>430</v>
      </c>
      <c r="K82" s="763">
        <f t="shared" si="11"/>
        <v>189200</v>
      </c>
      <c r="L82" s="678"/>
    </row>
    <row r="83" spans="2:12" x14ac:dyDescent="0.4">
      <c r="B83" s="764"/>
      <c r="C83" s="866"/>
      <c r="D83" s="758" t="s">
        <v>96</v>
      </c>
      <c r="E83" s="678">
        <v>56</v>
      </c>
      <c r="F83" s="765">
        <v>1403</v>
      </c>
      <c r="G83" s="760"/>
      <c r="H83" s="761">
        <f t="shared" si="12"/>
        <v>3.0357142857142856</v>
      </c>
      <c r="I83" s="762">
        <v>170</v>
      </c>
      <c r="J83" s="678">
        <v>700</v>
      </c>
      <c r="K83" s="763">
        <f t="shared" si="11"/>
        <v>119000</v>
      </c>
      <c r="L83" s="678"/>
    </row>
    <row r="84" spans="2:12" x14ac:dyDescent="0.4">
      <c r="B84" s="764"/>
      <c r="C84" s="866"/>
      <c r="D84" s="758" t="s">
        <v>93</v>
      </c>
      <c r="E84" s="678">
        <v>113</v>
      </c>
      <c r="F84" s="765">
        <v>2816</v>
      </c>
      <c r="G84" s="760"/>
      <c r="H84" s="761">
        <f t="shared" si="12"/>
        <v>3.8938053097345131</v>
      </c>
      <c r="I84" s="762">
        <v>440</v>
      </c>
      <c r="J84" s="678">
        <v>430</v>
      </c>
      <c r="K84" s="763">
        <f t="shared" si="11"/>
        <v>189200</v>
      </c>
      <c r="L84" s="678"/>
    </row>
    <row r="85" spans="2:12" x14ac:dyDescent="0.4">
      <c r="B85" s="764"/>
      <c r="C85" s="866"/>
      <c r="D85" s="758" t="s">
        <v>112</v>
      </c>
      <c r="E85" s="678">
        <v>116</v>
      </c>
      <c r="F85" s="765">
        <v>2903</v>
      </c>
      <c r="G85" s="760"/>
      <c r="H85" s="761">
        <f t="shared" si="12"/>
        <v>4.6551724137931032</v>
      </c>
      <c r="I85" s="762">
        <v>540</v>
      </c>
      <c r="J85" s="678">
        <v>430</v>
      </c>
      <c r="K85" s="763">
        <f t="shared" si="11"/>
        <v>232200</v>
      </c>
      <c r="L85" s="678"/>
    </row>
    <row r="86" spans="2:12" x14ac:dyDescent="0.4">
      <c r="B86" s="764"/>
      <c r="C86" s="866"/>
      <c r="D86" s="758" t="s">
        <v>113</v>
      </c>
      <c r="E86" s="678">
        <v>115</v>
      </c>
      <c r="F86" s="765">
        <v>2864</v>
      </c>
      <c r="G86" s="760"/>
      <c r="H86" s="761">
        <f t="shared" si="12"/>
        <v>3.5652173913043477</v>
      </c>
      <c r="I86" s="762">
        <v>410</v>
      </c>
      <c r="J86" s="678">
        <v>700</v>
      </c>
      <c r="K86" s="763">
        <f t="shared" si="11"/>
        <v>287000</v>
      </c>
      <c r="L86" s="678"/>
    </row>
    <row r="87" spans="2:12" x14ac:dyDescent="0.4">
      <c r="B87" s="764"/>
      <c r="C87" s="866"/>
      <c r="D87" s="758" t="s">
        <v>114</v>
      </c>
      <c r="E87" s="678">
        <v>128</v>
      </c>
      <c r="F87" s="765">
        <v>2825</v>
      </c>
      <c r="G87" s="760"/>
      <c r="H87" s="761">
        <f t="shared" si="12"/>
        <v>3.90625</v>
      </c>
      <c r="I87" s="762">
        <v>500</v>
      </c>
      <c r="J87" s="678">
        <v>430</v>
      </c>
      <c r="K87" s="763">
        <f t="shared" si="11"/>
        <v>215000</v>
      </c>
      <c r="L87" s="678"/>
    </row>
    <row r="88" spans="2:12" x14ac:dyDescent="0.4">
      <c r="B88" s="764"/>
      <c r="C88" s="866"/>
      <c r="D88" s="758" t="s">
        <v>115</v>
      </c>
      <c r="E88" s="678">
        <v>129</v>
      </c>
      <c r="F88" s="765">
        <v>2843</v>
      </c>
      <c r="G88" s="760"/>
      <c r="H88" s="761">
        <f t="shared" si="12"/>
        <v>3.8759689922480618</v>
      </c>
      <c r="I88" s="762">
        <v>500</v>
      </c>
      <c r="J88" s="678">
        <v>430</v>
      </c>
      <c r="K88" s="763">
        <f t="shared" si="11"/>
        <v>215000</v>
      </c>
      <c r="L88" s="678"/>
    </row>
    <row r="89" spans="2:12" x14ac:dyDescent="0.4">
      <c r="B89" s="764"/>
      <c r="C89" s="866"/>
      <c r="D89" s="758" t="s">
        <v>111</v>
      </c>
      <c r="E89" s="678">
        <v>117</v>
      </c>
      <c r="F89" s="765">
        <v>2934</v>
      </c>
      <c r="G89" s="760"/>
      <c r="H89" s="761">
        <f t="shared" si="12"/>
        <v>3.5897435897435899</v>
      </c>
      <c r="I89" s="762">
        <v>420</v>
      </c>
      <c r="J89" s="678">
        <v>700</v>
      </c>
      <c r="K89" s="763">
        <f t="shared" si="11"/>
        <v>294000</v>
      </c>
      <c r="L89" s="678"/>
    </row>
    <row r="90" spans="2:12" x14ac:dyDescent="0.4">
      <c r="B90" s="764"/>
      <c r="C90" s="866"/>
      <c r="D90" s="758" t="s">
        <v>139</v>
      </c>
      <c r="E90" s="678">
        <v>121</v>
      </c>
      <c r="F90" s="765">
        <v>3037</v>
      </c>
      <c r="G90" s="760"/>
      <c r="H90" s="761">
        <f t="shared" si="12"/>
        <v>1.6528925619834711</v>
      </c>
      <c r="I90" s="762">
        <v>200</v>
      </c>
      <c r="J90" s="678">
        <v>700</v>
      </c>
      <c r="K90" s="763">
        <f t="shared" si="11"/>
        <v>140000</v>
      </c>
      <c r="L90" s="678"/>
    </row>
    <row r="91" spans="2:12" x14ac:dyDescent="0.4">
      <c r="B91" s="764"/>
      <c r="C91" s="866"/>
      <c r="D91" s="758" t="s">
        <v>140</v>
      </c>
      <c r="E91" s="678">
        <v>38</v>
      </c>
      <c r="F91" s="765">
        <v>842</v>
      </c>
      <c r="G91" s="760"/>
      <c r="H91" s="761">
        <f t="shared" si="12"/>
        <v>1.7105263157894737</v>
      </c>
      <c r="I91" s="762">
        <v>65</v>
      </c>
      <c r="J91" s="678">
        <v>700</v>
      </c>
      <c r="K91" s="763">
        <f t="shared" si="11"/>
        <v>45500</v>
      </c>
      <c r="L91" s="678"/>
    </row>
    <row r="92" spans="2:12" x14ac:dyDescent="0.4">
      <c r="B92" s="764"/>
      <c r="C92" s="866"/>
      <c r="D92" s="758" t="s">
        <v>141</v>
      </c>
      <c r="E92" s="678">
        <v>38</v>
      </c>
      <c r="F92" s="765">
        <v>844</v>
      </c>
      <c r="G92" s="760"/>
      <c r="H92" s="761">
        <f t="shared" si="12"/>
        <v>1.7105263157894737</v>
      </c>
      <c r="I92" s="762">
        <v>65</v>
      </c>
      <c r="J92" s="678">
        <v>700</v>
      </c>
      <c r="K92" s="763">
        <f t="shared" si="11"/>
        <v>45500</v>
      </c>
      <c r="L92" s="678"/>
    </row>
    <row r="93" spans="2:12" x14ac:dyDescent="0.4">
      <c r="B93" s="862" t="s">
        <v>25</v>
      </c>
      <c r="C93" s="863"/>
      <c r="D93" s="864"/>
      <c r="E93" s="771">
        <f>SUM(E74:E92)</f>
        <v>1864</v>
      </c>
      <c r="F93" s="771">
        <f>SUM(F74:F92)</f>
        <v>43201</v>
      </c>
      <c r="G93" s="771">
        <f>SUM(G74:G92)</f>
        <v>44</v>
      </c>
      <c r="H93" s="772">
        <f>I93/E93</f>
        <v>3.1287553648068669</v>
      </c>
      <c r="I93" s="771">
        <f>SUM(I74:I92)</f>
        <v>5832</v>
      </c>
      <c r="J93" s="775">
        <f>AVERAGE(J74:J92)</f>
        <v>569.47368421052636</v>
      </c>
      <c r="K93" s="774">
        <f>SUM(K74:K92)</f>
        <v>3046490</v>
      </c>
      <c r="L93" s="773"/>
    </row>
    <row r="94" spans="2:12" x14ac:dyDescent="0.4">
      <c r="B94" s="860" t="s">
        <v>382</v>
      </c>
      <c r="C94" s="860"/>
      <c r="D94" s="860"/>
      <c r="E94" s="766">
        <f>E93+E73</f>
        <v>3973</v>
      </c>
      <c r="F94" s="766">
        <f>F93+F73</f>
        <v>93751</v>
      </c>
      <c r="G94" s="768"/>
      <c r="H94" s="777">
        <f>I94/E94</f>
        <v>2.8326201862572362</v>
      </c>
      <c r="I94" s="769">
        <f>I93+I73</f>
        <v>11254</v>
      </c>
      <c r="J94" s="776">
        <f>AVERAGE(J93,J73)</f>
        <v>623.37320574162686</v>
      </c>
      <c r="K94" s="767">
        <f>K93+K73</f>
        <v>5578090</v>
      </c>
      <c r="L94" s="768"/>
    </row>
    <row r="95" spans="2:12" x14ac:dyDescent="0.4">
      <c r="B95" s="860" t="s">
        <v>383</v>
      </c>
      <c r="C95" s="860"/>
      <c r="D95" s="860"/>
      <c r="E95" s="766">
        <f>E56+E52+E44+E29+E21</f>
        <v>4698</v>
      </c>
      <c r="F95" s="766">
        <f>F56+F52+F44+F29+F21</f>
        <v>113049</v>
      </c>
      <c r="G95" s="768"/>
      <c r="H95" s="777">
        <f>I95/E95</f>
        <v>2.6340996168582373</v>
      </c>
      <c r="I95" s="769">
        <f>I56+I52+I44+I29+I21</f>
        <v>12375</v>
      </c>
      <c r="J95" s="776">
        <f>AVERAGE(J21,J29,J44,J52,J56)</f>
        <v>690.23809523809518</v>
      </c>
      <c r="K95" s="767">
        <f>K56+K52+K44+K29+K21</f>
        <v>7449610</v>
      </c>
      <c r="L95" s="768"/>
    </row>
    <row r="96" spans="2:12" x14ac:dyDescent="0.4">
      <c r="B96" s="860" t="s">
        <v>384</v>
      </c>
      <c r="C96" s="860"/>
      <c r="D96" s="860"/>
      <c r="E96" s="766">
        <f>SUM(E94:E95)</f>
        <v>8671</v>
      </c>
      <c r="F96" s="767">
        <f>SUM(F94:F95)</f>
        <v>206800</v>
      </c>
      <c r="G96" s="768"/>
      <c r="H96" s="777">
        <f>I96/E96</f>
        <v>2.7250605466497522</v>
      </c>
      <c r="I96" s="769">
        <f>SUM(I94:I95)</f>
        <v>23629</v>
      </c>
      <c r="J96" s="776">
        <f>AVERAGE(J94:J95)</f>
        <v>656.80565048986102</v>
      </c>
      <c r="K96" s="767">
        <f>SUM(K94:K95)</f>
        <v>13027700</v>
      </c>
      <c r="L96" s="768"/>
    </row>
  </sheetData>
  <mergeCells count="31">
    <mergeCell ref="L2:L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B93:D93"/>
    <mergeCell ref="B57:L57"/>
    <mergeCell ref="C58:C72"/>
    <mergeCell ref="B56:D56"/>
    <mergeCell ref="B73:D73"/>
    <mergeCell ref="N3:R3"/>
    <mergeCell ref="B96:D96"/>
    <mergeCell ref="B1:L1"/>
    <mergeCell ref="B21:D21"/>
    <mergeCell ref="C5:C20"/>
    <mergeCell ref="B4:L4"/>
    <mergeCell ref="C22:C28"/>
    <mergeCell ref="B29:D29"/>
    <mergeCell ref="C30:C43"/>
    <mergeCell ref="B94:D94"/>
    <mergeCell ref="B95:D95"/>
    <mergeCell ref="B44:D44"/>
    <mergeCell ref="C45:C51"/>
    <mergeCell ref="B52:D52"/>
    <mergeCell ref="C53:C55"/>
    <mergeCell ref="C74:C92"/>
  </mergeCells>
  <pageMargins left="0.39370078740157483" right="0.23622047244094491" top="0.35433070866141736" bottom="0.35433070866141736" header="0.31496062992125984" footer="0.70866141732283472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XEO248"/>
  <sheetViews>
    <sheetView zoomScale="70" zoomScaleNormal="70" workbookViewId="0">
      <pane ySplit="5" topLeftCell="A63" activePane="bottomLeft" state="frozen"/>
      <selection pane="bottomLeft" activeCell="L3" sqref="L3:L5"/>
    </sheetView>
  </sheetViews>
  <sheetFormatPr defaultRowHeight="24.6" x14ac:dyDescent="0.7"/>
  <cols>
    <col min="1" max="1" width="12" customWidth="1"/>
    <col min="2" max="2" width="9.59765625" customWidth="1"/>
    <col min="3" max="3" width="10.3984375" customWidth="1"/>
    <col min="4" max="4" width="8.59765625" style="150" customWidth="1"/>
    <col min="5" max="5" width="9.5" style="150" customWidth="1"/>
    <col min="6" max="6" width="8.59765625" style="150" customWidth="1"/>
    <col min="7" max="7" width="9.5" style="150" customWidth="1"/>
    <col min="8" max="8" width="9.19921875" style="150" customWidth="1"/>
    <col min="9" max="9" width="8.09765625" style="150" customWidth="1"/>
    <col min="10" max="11" width="8.69921875" style="150" customWidth="1"/>
    <col min="12" max="12" width="9.69921875" style="150" customWidth="1"/>
    <col min="13" max="14" width="10.19921875" style="150" customWidth="1"/>
    <col min="15" max="15" width="8.19921875" style="150" customWidth="1"/>
    <col min="16" max="16" width="8.5" style="150" customWidth="1"/>
    <col min="17" max="17" width="8.59765625" style="150" customWidth="1"/>
    <col min="18" max="18" width="8.5" style="150" customWidth="1"/>
    <col min="19" max="19" width="7.59765625" style="150" customWidth="1"/>
    <col min="20" max="20" width="9.3984375" style="150" customWidth="1"/>
    <col min="21" max="21" width="10.59765625" style="150" bestFit="1" customWidth="1"/>
    <col min="22" max="22" width="9.8984375" style="150" bestFit="1" customWidth="1"/>
    <col min="23" max="23" width="11.69921875" style="150" customWidth="1"/>
    <col min="24" max="24" width="12.09765625" style="150" customWidth="1"/>
    <col min="25" max="25" width="11.69921875" style="150" customWidth="1"/>
    <col min="26" max="26" width="12.09765625" style="150" customWidth="1"/>
    <col min="27" max="27" width="11.69921875" style="150" customWidth="1"/>
    <col min="28" max="29" width="12.8984375" style="150" customWidth="1"/>
    <col min="30" max="30" width="13.19921875" style="150" customWidth="1"/>
    <col min="31" max="32" width="12.8984375" style="150" customWidth="1"/>
    <col min="33" max="33" width="13" style="150" customWidth="1"/>
    <col min="34" max="40" width="12.8984375" style="150" customWidth="1"/>
    <col min="41" max="41" width="13" style="150" customWidth="1"/>
    <col min="42" max="44" width="12.8984375" style="150" customWidth="1"/>
    <col min="45" max="45" width="8.69921875" customWidth="1"/>
    <col min="47" max="47" width="8" customWidth="1"/>
    <col min="48" max="48" width="11.3984375" customWidth="1"/>
  </cols>
  <sheetData>
    <row r="1" spans="1:133" ht="26.4" thickBot="1" x14ac:dyDescent="0.75">
      <c r="A1" s="981" t="s">
        <v>0</v>
      </c>
      <c r="B1" s="981"/>
      <c r="C1" s="981"/>
      <c r="D1" s="981"/>
      <c r="E1" s="981"/>
      <c r="F1" s="981"/>
      <c r="G1" s="981"/>
      <c r="H1" s="981"/>
      <c r="I1" s="981"/>
      <c r="J1" s="981"/>
      <c r="K1" s="981"/>
      <c r="L1" s="981"/>
      <c r="M1" s="981"/>
      <c r="N1" s="981"/>
      <c r="O1" s="981"/>
      <c r="P1" s="981"/>
      <c r="Q1" s="981"/>
      <c r="R1" s="981"/>
      <c r="S1" s="981"/>
      <c r="T1" s="981"/>
      <c r="U1" s="981"/>
      <c r="V1" s="981"/>
      <c r="W1" s="981"/>
      <c r="X1" s="981"/>
      <c r="Y1" s="981"/>
      <c r="Z1" s="981"/>
      <c r="AA1" s="981"/>
      <c r="AB1" s="981"/>
      <c r="AC1" s="981"/>
      <c r="AD1" s="981"/>
      <c r="AE1" s="981"/>
      <c r="AF1" s="981"/>
      <c r="AG1" s="981"/>
      <c r="AH1" s="981"/>
      <c r="AI1" s="981"/>
      <c r="AJ1" s="981"/>
      <c r="AK1" s="981"/>
      <c r="AL1" s="981"/>
      <c r="AM1" s="981"/>
      <c r="AN1" s="981"/>
      <c r="AO1" s="981"/>
      <c r="AP1" s="981"/>
      <c r="AQ1" s="981"/>
      <c r="AR1" s="98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133" ht="27" customHeight="1" thickBot="1" x14ac:dyDescent="0.75">
      <c r="A2" s="1010" t="s">
        <v>47</v>
      </c>
      <c r="B2" s="1013" t="s">
        <v>1</v>
      </c>
      <c r="C2" s="1016" t="s">
        <v>2</v>
      </c>
      <c r="D2" s="1019" t="s">
        <v>3</v>
      </c>
      <c r="E2" s="1019"/>
      <c r="F2" s="1019"/>
      <c r="G2" s="1020" t="s">
        <v>4</v>
      </c>
      <c r="H2" s="1021"/>
      <c r="I2" s="1022"/>
      <c r="J2" s="1020" t="s">
        <v>5</v>
      </c>
      <c r="K2" s="1021"/>
      <c r="L2" s="1030"/>
      <c r="M2" s="1031" t="s">
        <v>6</v>
      </c>
      <c r="N2" s="1032"/>
      <c r="O2" s="1032"/>
      <c r="P2" s="1032"/>
      <c r="Q2" s="1032"/>
      <c r="R2" s="1032"/>
      <c r="S2" s="1032"/>
      <c r="T2" s="1032"/>
      <c r="U2" s="1031" t="s">
        <v>7</v>
      </c>
      <c r="V2" s="1032"/>
      <c r="W2" s="1032"/>
      <c r="X2" s="1032"/>
      <c r="Y2" s="1032"/>
      <c r="Z2" s="1032"/>
      <c r="AA2" s="1032"/>
      <c r="AB2" s="1039"/>
      <c r="AC2" s="1032" t="s">
        <v>59</v>
      </c>
      <c r="AD2" s="1032"/>
      <c r="AE2" s="1032"/>
      <c r="AF2" s="1032"/>
      <c r="AG2" s="1032"/>
      <c r="AH2" s="1032"/>
      <c r="AI2" s="1032"/>
      <c r="AJ2" s="1039"/>
      <c r="AK2" s="1031" t="s">
        <v>8</v>
      </c>
      <c r="AL2" s="1032"/>
      <c r="AM2" s="1032"/>
      <c r="AN2" s="1032"/>
      <c r="AO2" s="1032"/>
      <c r="AP2" s="1032"/>
      <c r="AQ2" s="1032"/>
      <c r="AR2" s="1039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spans="1:133" ht="26.25" customHeight="1" x14ac:dyDescent="0.7">
      <c r="A3" s="1011"/>
      <c r="B3" s="1014"/>
      <c r="C3" s="1017"/>
      <c r="D3" s="996" t="s">
        <v>9</v>
      </c>
      <c r="E3" s="997"/>
      <c r="F3" s="998"/>
      <c r="G3" s="1002" t="s">
        <v>10</v>
      </c>
      <c r="H3" s="1005" t="s">
        <v>11</v>
      </c>
      <c r="I3" s="1006" t="s">
        <v>12</v>
      </c>
      <c r="J3" s="1009" t="s">
        <v>10</v>
      </c>
      <c r="K3" s="1023" t="s">
        <v>11</v>
      </c>
      <c r="L3" s="1024" t="s">
        <v>12</v>
      </c>
      <c r="M3" s="1026" t="s">
        <v>10</v>
      </c>
      <c r="N3" s="1027"/>
      <c r="O3" s="982" t="s">
        <v>11</v>
      </c>
      <c r="P3" s="983"/>
      <c r="Q3" s="985"/>
      <c r="R3" s="982" t="s">
        <v>12</v>
      </c>
      <c r="S3" s="983"/>
      <c r="T3" s="983"/>
      <c r="U3" s="984" t="s">
        <v>10</v>
      </c>
      <c r="V3" s="985"/>
      <c r="W3" s="982" t="s">
        <v>11</v>
      </c>
      <c r="X3" s="983"/>
      <c r="Y3" s="985"/>
      <c r="Z3" s="982" t="s">
        <v>12</v>
      </c>
      <c r="AA3" s="983"/>
      <c r="AB3" s="1040"/>
      <c r="AC3" s="985" t="s">
        <v>10</v>
      </c>
      <c r="AD3" s="1027"/>
      <c r="AE3" s="982" t="s">
        <v>11</v>
      </c>
      <c r="AF3" s="983"/>
      <c r="AG3" s="985"/>
      <c r="AH3" s="982" t="s">
        <v>12</v>
      </c>
      <c r="AI3" s="983"/>
      <c r="AJ3" s="1040"/>
      <c r="AK3" s="1026" t="s">
        <v>10</v>
      </c>
      <c r="AL3" s="1027"/>
      <c r="AM3" s="982" t="s">
        <v>11</v>
      </c>
      <c r="AN3" s="983"/>
      <c r="AO3" s="985"/>
      <c r="AP3" s="982" t="s">
        <v>12</v>
      </c>
      <c r="AQ3" s="983"/>
      <c r="AR3" s="1040"/>
      <c r="AS3" s="1"/>
      <c r="AT3" s="880" t="s">
        <v>415</v>
      </c>
      <c r="AU3" s="880"/>
      <c r="AV3" s="880"/>
      <c r="AW3" s="880"/>
      <c r="AX3" s="880"/>
      <c r="AY3" s="880"/>
      <c r="AZ3" s="880"/>
      <c r="BA3" s="880"/>
      <c r="BB3" s="880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spans="1:133" ht="24" customHeight="1" x14ac:dyDescent="0.7">
      <c r="A4" s="1011"/>
      <c r="B4" s="1014"/>
      <c r="C4" s="1017"/>
      <c r="D4" s="999"/>
      <c r="E4" s="1000"/>
      <c r="F4" s="1001"/>
      <c r="G4" s="1003"/>
      <c r="H4" s="992"/>
      <c r="I4" s="1007"/>
      <c r="J4" s="1009"/>
      <c r="K4" s="1023"/>
      <c r="L4" s="1024"/>
      <c r="M4" s="1003" t="s">
        <v>13</v>
      </c>
      <c r="N4" s="1028" t="s">
        <v>14</v>
      </c>
      <c r="O4" s="992" t="s">
        <v>15</v>
      </c>
      <c r="P4" s="992" t="s">
        <v>16</v>
      </c>
      <c r="Q4" s="990" t="s">
        <v>17</v>
      </c>
      <c r="R4" s="992" t="s">
        <v>18</v>
      </c>
      <c r="S4" s="990" t="s">
        <v>19</v>
      </c>
      <c r="T4" s="994" t="s">
        <v>20</v>
      </c>
      <c r="U4" s="986" t="s">
        <v>13</v>
      </c>
      <c r="V4" s="988" t="s">
        <v>14</v>
      </c>
      <c r="W4" s="990" t="s">
        <v>15</v>
      </c>
      <c r="X4" s="990" t="s">
        <v>16</v>
      </c>
      <c r="Y4" s="990" t="s">
        <v>17</v>
      </c>
      <c r="Z4" s="990" t="s">
        <v>18</v>
      </c>
      <c r="AA4" s="990" t="s">
        <v>19</v>
      </c>
      <c r="AB4" s="1045" t="s">
        <v>20</v>
      </c>
      <c r="AC4" s="1028" t="s">
        <v>13</v>
      </c>
      <c r="AD4" s="1028" t="s">
        <v>14</v>
      </c>
      <c r="AE4" s="992" t="s">
        <v>15</v>
      </c>
      <c r="AF4" s="992" t="s">
        <v>16</v>
      </c>
      <c r="AG4" s="990" t="s">
        <v>17</v>
      </c>
      <c r="AH4" s="992" t="s">
        <v>18</v>
      </c>
      <c r="AI4" s="990" t="s">
        <v>19</v>
      </c>
      <c r="AJ4" s="1007" t="s">
        <v>20</v>
      </c>
      <c r="AK4" s="1003" t="s">
        <v>13</v>
      </c>
      <c r="AL4" s="992" t="s">
        <v>14</v>
      </c>
      <c r="AM4" s="992" t="s">
        <v>15</v>
      </c>
      <c r="AN4" s="992" t="s">
        <v>16</v>
      </c>
      <c r="AO4" s="990" t="s">
        <v>17</v>
      </c>
      <c r="AP4" s="992" t="s">
        <v>18</v>
      </c>
      <c r="AQ4" s="990" t="s">
        <v>19</v>
      </c>
      <c r="AR4" s="1007" t="s">
        <v>20</v>
      </c>
      <c r="AS4" s="1"/>
      <c r="AT4" s="812"/>
      <c r="AU4" s="812"/>
      <c r="AV4" s="812" t="s">
        <v>416</v>
      </c>
      <c r="AW4" s="812"/>
      <c r="AX4" s="812"/>
      <c r="AY4" s="812"/>
      <c r="AZ4" s="812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26.4" thickBot="1" x14ac:dyDescent="0.75">
      <c r="A5" s="1012"/>
      <c r="B5" s="1015"/>
      <c r="C5" s="1018"/>
      <c r="D5" s="2" t="s">
        <v>10</v>
      </c>
      <c r="E5" s="3" t="s">
        <v>11</v>
      </c>
      <c r="F5" s="3" t="s">
        <v>12</v>
      </c>
      <c r="G5" s="1004"/>
      <c r="H5" s="993"/>
      <c r="I5" s="1008"/>
      <c r="J5" s="987"/>
      <c r="K5" s="991"/>
      <c r="L5" s="1025"/>
      <c r="M5" s="1004"/>
      <c r="N5" s="1029"/>
      <c r="O5" s="993"/>
      <c r="P5" s="993"/>
      <c r="Q5" s="991"/>
      <c r="R5" s="993"/>
      <c r="S5" s="991"/>
      <c r="T5" s="995"/>
      <c r="U5" s="987"/>
      <c r="V5" s="989"/>
      <c r="W5" s="991"/>
      <c r="X5" s="991"/>
      <c r="Y5" s="991"/>
      <c r="Z5" s="991"/>
      <c r="AA5" s="991"/>
      <c r="AB5" s="1046"/>
      <c r="AC5" s="1029"/>
      <c r="AD5" s="1029"/>
      <c r="AE5" s="993"/>
      <c r="AF5" s="993"/>
      <c r="AG5" s="991"/>
      <c r="AH5" s="993"/>
      <c r="AI5" s="1023"/>
      <c r="AJ5" s="1008"/>
      <c r="AK5" s="1004"/>
      <c r="AL5" s="993"/>
      <c r="AM5" s="993"/>
      <c r="AN5" s="993"/>
      <c r="AO5" s="991"/>
      <c r="AP5" s="993"/>
      <c r="AQ5" s="1023"/>
      <c r="AR5" s="1008"/>
      <c r="AS5" s="1"/>
      <c r="AT5" s="1"/>
      <c r="AU5" s="1"/>
      <c r="AV5" s="812" t="s">
        <v>417</v>
      </c>
      <c r="AW5" s="812"/>
      <c r="AX5" s="812"/>
      <c r="AY5" s="812"/>
      <c r="AZ5" s="812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spans="1:133" s="179" customFormat="1" ht="39.9" customHeight="1" thickBot="1" x14ac:dyDescent="0.75">
      <c r="A6" s="1036" t="s">
        <v>21</v>
      </c>
      <c r="B6" s="1037"/>
      <c r="C6" s="1037"/>
      <c r="D6" s="1037"/>
      <c r="E6" s="1037"/>
      <c r="F6" s="1037"/>
      <c r="G6" s="1037"/>
      <c r="H6" s="1037"/>
      <c r="I6" s="1037"/>
      <c r="J6" s="1037"/>
      <c r="K6" s="1037"/>
      <c r="L6" s="1037"/>
      <c r="M6" s="1037"/>
      <c r="N6" s="1037"/>
      <c r="O6" s="1037"/>
      <c r="P6" s="1037"/>
      <c r="Q6" s="1037"/>
      <c r="R6" s="1037"/>
      <c r="S6" s="1037"/>
      <c r="T6" s="1037"/>
      <c r="U6" s="1037"/>
      <c r="V6" s="1037"/>
      <c r="W6" s="1037"/>
      <c r="X6" s="1037"/>
      <c r="Y6" s="1037"/>
      <c r="Z6" s="1037"/>
      <c r="AA6" s="1037"/>
      <c r="AB6" s="1037"/>
      <c r="AC6" s="1037"/>
      <c r="AD6" s="1037"/>
      <c r="AE6" s="1037"/>
      <c r="AF6" s="1037"/>
      <c r="AG6" s="1037"/>
      <c r="AH6" s="1037"/>
      <c r="AI6" s="1037"/>
      <c r="AJ6" s="1037"/>
      <c r="AK6" s="1037"/>
      <c r="AL6" s="1037"/>
      <c r="AM6" s="1037"/>
      <c r="AN6" s="1037"/>
      <c r="AO6" s="1037"/>
      <c r="AP6" s="1037"/>
      <c r="AQ6" s="1037"/>
      <c r="AR6" s="103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  <c r="CO6" s="178"/>
      <c r="CP6" s="178"/>
      <c r="CQ6" s="178"/>
      <c r="CR6" s="178"/>
      <c r="CS6" s="178"/>
      <c r="CT6" s="178"/>
      <c r="CU6" s="178"/>
      <c r="CV6" s="178"/>
      <c r="CW6" s="178"/>
      <c r="CX6" s="178"/>
      <c r="CY6" s="178"/>
      <c r="CZ6" s="178"/>
      <c r="DA6" s="178"/>
      <c r="DB6" s="178"/>
      <c r="DC6" s="178"/>
      <c r="DD6" s="178"/>
      <c r="DE6" s="178"/>
      <c r="DF6" s="178"/>
      <c r="DG6" s="178"/>
      <c r="DH6" s="178"/>
      <c r="DI6" s="178"/>
      <c r="DJ6" s="178"/>
      <c r="DK6" s="178"/>
      <c r="DL6" s="178"/>
      <c r="DM6" s="178"/>
      <c r="DN6" s="178"/>
      <c r="DO6" s="178"/>
      <c r="DP6" s="178"/>
      <c r="DQ6" s="178"/>
      <c r="DR6" s="178"/>
      <c r="DS6" s="178"/>
      <c r="DT6" s="178"/>
      <c r="DU6" s="178"/>
      <c r="DV6" s="178"/>
      <c r="DW6" s="178"/>
      <c r="DX6" s="178"/>
      <c r="DY6" s="178"/>
      <c r="DZ6" s="178"/>
      <c r="EA6" s="178"/>
      <c r="EB6" s="178"/>
      <c r="EC6" s="178"/>
    </row>
    <row r="7" spans="1:133" s="179" customFormat="1" ht="39.9" customHeight="1" thickBot="1" x14ac:dyDescent="0.75">
      <c r="A7" s="1033" t="s">
        <v>22</v>
      </c>
      <c r="B7" s="1034"/>
      <c r="C7" s="1034"/>
      <c r="D7" s="1034"/>
      <c r="E7" s="1034"/>
      <c r="F7" s="1034"/>
      <c r="G7" s="1034"/>
      <c r="H7" s="1034"/>
      <c r="I7" s="1034"/>
      <c r="J7" s="1034"/>
      <c r="K7" s="1034"/>
      <c r="L7" s="1034"/>
      <c r="M7" s="1034"/>
      <c r="N7" s="1034"/>
      <c r="O7" s="1034"/>
      <c r="P7" s="1034"/>
      <c r="Q7" s="1034"/>
      <c r="R7" s="1034"/>
      <c r="S7" s="1034"/>
      <c r="T7" s="1034"/>
      <c r="U7" s="1034"/>
      <c r="V7" s="1034"/>
      <c r="W7" s="1034"/>
      <c r="X7" s="1034"/>
      <c r="Y7" s="1034"/>
      <c r="Z7" s="1034"/>
      <c r="AA7" s="1034"/>
      <c r="AB7" s="1034"/>
      <c r="AC7" s="1034"/>
      <c r="AD7" s="1034"/>
      <c r="AE7" s="1034"/>
      <c r="AF7" s="1034"/>
      <c r="AG7" s="1034"/>
      <c r="AH7" s="1034"/>
      <c r="AI7" s="1034"/>
      <c r="AJ7" s="1034"/>
      <c r="AK7" s="1034"/>
      <c r="AL7" s="1034"/>
      <c r="AM7" s="1034"/>
      <c r="AN7" s="1034"/>
      <c r="AO7" s="1034"/>
      <c r="AP7" s="1034"/>
      <c r="AQ7" s="1034"/>
      <c r="AR7" s="1035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  <c r="CO7" s="178"/>
      <c r="CP7" s="178"/>
      <c r="CQ7" s="178"/>
      <c r="CR7" s="178"/>
      <c r="CS7" s="178"/>
      <c r="CT7" s="178"/>
      <c r="CU7" s="178"/>
      <c r="CV7" s="178"/>
      <c r="CW7" s="178"/>
      <c r="CX7" s="178"/>
      <c r="CY7" s="178"/>
      <c r="CZ7" s="178"/>
      <c r="DA7" s="178"/>
      <c r="DB7" s="178"/>
      <c r="DC7" s="178"/>
      <c r="DD7" s="178"/>
      <c r="DE7" s="178"/>
      <c r="DF7" s="178"/>
      <c r="DG7" s="178"/>
      <c r="DH7" s="178"/>
      <c r="DI7" s="178"/>
      <c r="DJ7" s="178"/>
      <c r="DK7" s="178"/>
      <c r="DL7" s="178"/>
      <c r="DM7" s="178"/>
      <c r="DN7" s="178"/>
      <c r="DO7" s="178"/>
      <c r="DP7" s="178"/>
      <c r="DQ7" s="178"/>
      <c r="DR7" s="178"/>
      <c r="DS7" s="178"/>
      <c r="DT7" s="178"/>
      <c r="DU7" s="178"/>
      <c r="DV7" s="178"/>
      <c r="DW7" s="178"/>
      <c r="DX7" s="178"/>
      <c r="DY7" s="178"/>
      <c r="DZ7" s="178"/>
      <c r="EA7" s="178"/>
      <c r="EB7" s="178"/>
      <c r="EC7" s="178"/>
    </row>
    <row r="8" spans="1:133" x14ac:dyDescent="0.7">
      <c r="A8" s="4" t="s">
        <v>23</v>
      </c>
      <c r="B8" s="5">
        <v>102</v>
      </c>
      <c r="C8" s="6">
        <v>2243</v>
      </c>
      <c r="D8" s="7">
        <v>1</v>
      </c>
      <c r="E8" s="8">
        <v>0</v>
      </c>
      <c r="F8" s="8">
        <v>0</v>
      </c>
      <c r="G8" s="10">
        <v>5</v>
      </c>
      <c r="H8" s="10">
        <f>0</f>
        <v>0</v>
      </c>
      <c r="I8" s="10">
        <f>0</f>
        <v>0</v>
      </c>
      <c r="J8" s="10">
        <v>1.1000000000000001</v>
      </c>
      <c r="K8" s="10">
        <v>2</v>
      </c>
      <c r="L8" s="11">
        <v>1.7</v>
      </c>
      <c r="M8" s="9">
        <f>ROUND(C8*G8/1000,0)</f>
        <v>11</v>
      </c>
      <c r="N8" s="46"/>
      <c r="O8" s="10"/>
      <c r="P8" s="10"/>
      <c r="Q8" s="10"/>
      <c r="R8" s="12"/>
      <c r="S8" s="10"/>
      <c r="T8" s="48"/>
      <c r="U8" s="9">
        <f>ROUND(C8*J8,0)</f>
        <v>2467</v>
      </c>
      <c r="V8" s="46"/>
      <c r="W8" s="10"/>
      <c r="X8" s="10"/>
      <c r="Y8" s="10"/>
      <c r="Z8" s="10"/>
      <c r="AA8" s="12"/>
      <c r="AB8" s="11"/>
      <c r="AC8" s="46">
        <f>ROUND(M8*95,0)</f>
        <v>1045</v>
      </c>
      <c r="AD8" s="46"/>
      <c r="AE8" s="10"/>
      <c r="AF8" s="10"/>
      <c r="AG8" s="10"/>
      <c r="AH8" s="12"/>
      <c r="AI8" s="10"/>
      <c r="AJ8" s="47"/>
      <c r="AK8" s="168">
        <f>U8+AC8</f>
        <v>3512</v>
      </c>
      <c r="AL8" s="10">
        <f>V8+AD8</f>
        <v>0</v>
      </c>
      <c r="AM8" s="10"/>
      <c r="AN8" s="10"/>
      <c r="AO8" s="10"/>
      <c r="AP8" s="10"/>
      <c r="AQ8" s="10"/>
      <c r="AR8" s="47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</row>
    <row r="9" spans="1:133" x14ac:dyDescent="0.7">
      <c r="A9" s="19" t="s">
        <v>24</v>
      </c>
      <c r="B9" s="20">
        <v>113</v>
      </c>
      <c r="C9" s="21">
        <v>2494</v>
      </c>
      <c r="D9" s="22">
        <v>1</v>
      </c>
      <c r="E9" s="52">
        <v>0</v>
      </c>
      <c r="F9" s="52">
        <v>0</v>
      </c>
      <c r="G9" s="14">
        <v>5</v>
      </c>
      <c r="H9" s="14">
        <f>0</f>
        <v>0</v>
      </c>
      <c r="I9" s="14">
        <f>0</f>
        <v>0</v>
      </c>
      <c r="J9" s="14">
        <v>1.1000000000000001</v>
      </c>
      <c r="K9" s="14">
        <v>2</v>
      </c>
      <c r="L9" s="23">
        <v>1.7</v>
      </c>
      <c r="M9" s="13">
        <f>ROUND(C9*G9/1000,0)</f>
        <v>12</v>
      </c>
      <c r="N9" s="17"/>
      <c r="O9" s="14"/>
      <c r="P9" s="14"/>
      <c r="Q9" s="14"/>
      <c r="R9" s="15"/>
      <c r="S9" s="14"/>
      <c r="T9" s="18"/>
      <c r="U9" s="13">
        <f>ROUND(C9*J9,0)</f>
        <v>2743</v>
      </c>
      <c r="V9" s="17"/>
      <c r="W9" s="14"/>
      <c r="X9" s="14"/>
      <c r="Y9" s="14"/>
      <c r="Z9" s="14"/>
      <c r="AA9" s="15"/>
      <c r="AB9" s="23"/>
      <c r="AC9" s="46">
        <f t="shared" ref="AC9" si="0">ROUND(M9*95,0)</f>
        <v>1140</v>
      </c>
      <c r="AD9" s="17"/>
      <c r="AE9" s="14"/>
      <c r="AF9" s="14"/>
      <c r="AG9" s="14"/>
      <c r="AH9" s="15"/>
      <c r="AI9" s="14"/>
      <c r="AJ9" s="16"/>
      <c r="AK9" s="100">
        <f>U9+AC9</f>
        <v>3883</v>
      </c>
      <c r="AL9" s="14">
        <f t="shared" ref="AL9:AL24" si="1">V9+AD9</f>
        <v>0</v>
      </c>
      <c r="AM9" s="14"/>
      <c r="AN9" s="14"/>
      <c r="AO9" s="14"/>
      <c r="AP9" s="14"/>
      <c r="AQ9" s="14"/>
      <c r="AR9" s="16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</row>
    <row r="10" spans="1:133" x14ac:dyDescent="0.7">
      <c r="A10" s="19" t="s">
        <v>50</v>
      </c>
      <c r="B10" s="20">
        <v>9</v>
      </c>
      <c r="C10" s="21">
        <v>213</v>
      </c>
      <c r="D10" s="22">
        <v>1</v>
      </c>
      <c r="E10" s="52">
        <f>0</f>
        <v>0</v>
      </c>
      <c r="F10" s="52">
        <f>0</f>
        <v>0</v>
      </c>
      <c r="G10" s="14">
        <v>5</v>
      </c>
      <c r="H10" s="14">
        <f>0</f>
        <v>0</v>
      </c>
      <c r="I10" s="14">
        <f>0</f>
        <v>0</v>
      </c>
      <c r="J10" s="14">
        <v>1.1000000000000001</v>
      </c>
      <c r="K10" s="14">
        <v>2</v>
      </c>
      <c r="L10" s="23">
        <v>1.7</v>
      </c>
      <c r="M10" s="13">
        <f>ROUND(C10*G10/1000,0)</f>
        <v>1</v>
      </c>
      <c r="N10" s="17"/>
      <c r="O10" s="14"/>
      <c r="P10" s="14"/>
      <c r="Q10" s="14"/>
      <c r="R10" s="15"/>
      <c r="S10" s="14"/>
      <c r="T10" s="18"/>
      <c r="U10" s="13">
        <f>ROUND(C10*J10,0)</f>
        <v>234</v>
      </c>
      <c r="V10" s="17"/>
      <c r="W10" s="14"/>
      <c r="X10" s="14"/>
      <c r="Y10" s="14"/>
      <c r="Z10" s="14"/>
      <c r="AA10" s="15"/>
      <c r="AB10" s="23"/>
      <c r="AC10" s="46">
        <f>ROUND(M10*95,0)</f>
        <v>95</v>
      </c>
      <c r="AD10" s="17"/>
      <c r="AE10" s="14"/>
      <c r="AF10" s="14"/>
      <c r="AG10" s="14"/>
      <c r="AH10" s="15"/>
      <c r="AI10" s="14"/>
      <c r="AJ10" s="16"/>
      <c r="AK10" s="100">
        <f>U10+AC10</f>
        <v>329</v>
      </c>
      <c r="AL10" s="14"/>
      <c r="AM10" s="14"/>
      <c r="AN10" s="14"/>
      <c r="AO10" s="14"/>
      <c r="AP10" s="14"/>
      <c r="AQ10" s="14"/>
      <c r="AR10" s="16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</row>
    <row r="11" spans="1:133" x14ac:dyDescent="0.7">
      <c r="A11" s="19" t="s">
        <v>174</v>
      </c>
      <c r="B11" s="20">
        <v>111</v>
      </c>
      <c r="C11" s="21">
        <v>2449</v>
      </c>
      <c r="D11" s="22">
        <v>1</v>
      </c>
      <c r="E11" s="52">
        <f>0</f>
        <v>0</v>
      </c>
      <c r="F11" s="52">
        <f>0</f>
        <v>0</v>
      </c>
      <c r="G11" s="14">
        <v>5</v>
      </c>
      <c r="H11" s="14">
        <f>0</f>
        <v>0</v>
      </c>
      <c r="I11" s="14">
        <f>0</f>
        <v>0</v>
      </c>
      <c r="J11" s="14">
        <v>1.1000000000000001</v>
      </c>
      <c r="K11" s="14">
        <v>2</v>
      </c>
      <c r="L11" s="23">
        <v>1.7</v>
      </c>
      <c r="M11" s="13">
        <f t="shared" ref="M11:M21" si="2">ROUND(C11*G11/1000,0)</f>
        <v>12</v>
      </c>
      <c r="N11" s="17"/>
      <c r="O11" s="14"/>
      <c r="P11" s="14"/>
      <c r="Q11" s="14"/>
      <c r="R11" s="15"/>
      <c r="S11" s="14"/>
      <c r="T11" s="18"/>
      <c r="U11" s="13">
        <f t="shared" ref="U11:U21" si="3">ROUND(C11*J11,0)</f>
        <v>2694</v>
      </c>
      <c r="V11" s="17"/>
      <c r="W11" s="14"/>
      <c r="X11" s="14"/>
      <c r="Y11" s="14"/>
      <c r="Z11" s="14"/>
      <c r="AA11" s="15"/>
      <c r="AB11" s="23"/>
      <c r="AC11" s="46">
        <f t="shared" ref="AC11:AC21" si="4">ROUND(M11*95,0)</f>
        <v>1140</v>
      </c>
      <c r="AD11" s="17"/>
      <c r="AE11" s="14"/>
      <c r="AF11" s="14"/>
      <c r="AG11" s="14"/>
      <c r="AH11" s="15"/>
      <c r="AI11" s="14"/>
      <c r="AJ11" s="16"/>
      <c r="AK11" s="100">
        <f t="shared" ref="AK11:AK21" si="5">U11+AC11</f>
        <v>3834</v>
      </c>
      <c r="AL11" s="14"/>
      <c r="AM11" s="14"/>
      <c r="AN11" s="14"/>
      <c r="AO11" s="14"/>
      <c r="AP11" s="14"/>
      <c r="AQ11" s="14"/>
      <c r="AR11" s="16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</row>
    <row r="12" spans="1:133" x14ac:dyDescent="0.7">
      <c r="A12" s="19" t="s">
        <v>175</v>
      </c>
      <c r="B12" s="20">
        <v>92</v>
      </c>
      <c r="C12" s="21">
        <v>2014</v>
      </c>
      <c r="D12" s="22">
        <v>1</v>
      </c>
      <c r="E12" s="52">
        <f>0</f>
        <v>0</v>
      </c>
      <c r="F12" s="52">
        <f>0</f>
        <v>0</v>
      </c>
      <c r="G12" s="14">
        <v>5</v>
      </c>
      <c r="H12" s="14">
        <f>0</f>
        <v>0</v>
      </c>
      <c r="I12" s="14">
        <f>0</f>
        <v>0</v>
      </c>
      <c r="J12" s="14">
        <v>1.1000000000000001</v>
      </c>
      <c r="K12" s="14">
        <v>2</v>
      </c>
      <c r="L12" s="23">
        <v>1.7</v>
      </c>
      <c r="M12" s="13">
        <f t="shared" si="2"/>
        <v>10</v>
      </c>
      <c r="N12" s="17"/>
      <c r="O12" s="14"/>
      <c r="P12" s="14"/>
      <c r="Q12" s="14"/>
      <c r="R12" s="15"/>
      <c r="S12" s="14"/>
      <c r="T12" s="18"/>
      <c r="U12" s="13">
        <f t="shared" si="3"/>
        <v>2215</v>
      </c>
      <c r="V12" s="17"/>
      <c r="W12" s="14"/>
      <c r="X12" s="14"/>
      <c r="Y12" s="14"/>
      <c r="Z12" s="14"/>
      <c r="AA12" s="15"/>
      <c r="AB12" s="23"/>
      <c r="AC12" s="46">
        <f t="shared" si="4"/>
        <v>950</v>
      </c>
      <c r="AD12" s="17"/>
      <c r="AE12" s="14"/>
      <c r="AF12" s="14"/>
      <c r="AG12" s="14"/>
      <c r="AH12" s="15"/>
      <c r="AI12" s="14"/>
      <c r="AJ12" s="16"/>
      <c r="AK12" s="100">
        <f t="shared" si="5"/>
        <v>3165</v>
      </c>
      <c r="AL12" s="14"/>
      <c r="AM12" s="14"/>
      <c r="AN12" s="14"/>
      <c r="AO12" s="14"/>
      <c r="AP12" s="14"/>
      <c r="AQ12" s="14"/>
      <c r="AR12" s="16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</row>
    <row r="13" spans="1:133" x14ac:dyDescent="0.7">
      <c r="A13" s="19" t="s">
        <v>176</v>
      </c>
      <c r="B13" s="20">
        <v>132</v>
      </c>
      <c r="C13" s="21">
        <v>2898</v>
      </c>
      <c r="D13" s="22">
        <v>1</v>
      </c>
      <c r="E13" s="52">
        <f>0</f>
        <v>0</v>
      </c>
      <c r="F13" s="52">
        <f>0</f>
        <v>0</v>
      </c>
      <c r="G13" s="14">
        <v>5</v>
      </c>
      <c r="H13" s="14">
        <f>0</f>
        <v>0</v>
      </c>
      <c r="I13" s="14">
        <f>0</f>
        <v>0</v>
      </c>
      <c r="J13" s="14">
        <v>1.1000000000000001</v>
      </c>
      <c r="K13" s="14">
        <v>2</v>
      </c>
      <c r="L13" s="23">
        <v>1.7</v>
      </c>
      <c r="M13" s="13">
        <f t="shared" si="2"/>
        <v>14</v>
      </c>
      <c r="N13" s="17"/>
      <c r="O13" s="14"/>
      <c r="P13" s="14"/>
      <c r="Q13" s="14"/>
      <c r="R13" s="15"/>
      <c r="S13" s="14"/>
      <c r="T13" s="18"/>
      <c r="U13" s="13">
        <f t="shared" si="3"/>
        <v>3188</v>
      </c>
      <c r="V13" s="17"/>
      <c r="W13" s="14"/>
      <c r="X13" s="14"/>
      <c r="Y13" s="14"/>
      <c r="Z13" s="14"/>
      <c r="AA13" s="15"/>
      <c r="AB13" s="23"/>
      <c r="AC13" s="46">
        <f t="shared" si="4"/>
        <v>1330</v>
      </c>
      <c r="AD13" s="17"/>
      <c r="AE13" s="14"/>
      <c r="AF13" s="14"/>
      <c r="AG13" s="14"/>
      <c r="AH13" s="15"/>
      <c r="AI13" s="14"/>
      <c r="AJ13" s="16"/>
      <c r="AK13" s="100">
        <f t="shared" si="5"/>
        <v>4518</v>
      </c>
      <c r="AL13" s="14"/>
      <c r="AM13" s="14"/>
      <c r="AN13" s="14"/>
      <c r="AO13" s="14"/>
      <c r="AP13" s="14"/>
      <c r="AQ13" s="14"/>
      <c r="AR13" s="16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</row>
    <row r="14" spans="1:133" x14ac:dyDescent="0.7">
      <c r="A14" s="19" t="s">
        <v>177</v>
      </c>
      <c r="B14" s="20">
        <v>107</v>
      </c>
      <c r="C14" s="21">
        <v>2364</v>
      </c>
      <c r="D14" s="22">
        <v>1</v>
      </c>
      <c r="E14" s="52">
        <f>0</f>
        <v>0</v>
      </c>
      <c r="F14" s="52">
        <f>0</f>
        <v>0</v>
      </c>
      <c r="G14" s="14">
        <v>5</v>
      </c>
      <c r="H14" s="14">
        <f>0</f>
        <v>0</v>
      </c>
      <c r="I14" s="14">
        <f>0</f>
        <v>0</v>
      </c>
      <c r="J14" s="14">
        <v>1.1000000000000001</v>
      </c>
      <c r="K14" s="14">
        <v>2</v>
      </c>
      <c r="L14" s="23">
        <v>1.7</v>
      </c>
      <c r="M14" s="13">
        <f t="shared" si="2"/>
        <v>12</v>
      </c>
      <c r="N14" s="17"/>
      <c r="O14" s="14"/>
      <c r="P14" s="14"/>
      <c r="Q14" s="14"/>
      <c r="R14" s="15"/>
      <c r="S14" s="14"/>
      <c r="T14" s="18"/>
      <c r="U14" s="13">
        <f t="shared" si="3"/>
        <v>2600</v>
      </c>
      <c r="V14" s="17"/>
      <c r="W14" s="14"/>
      <c r="X14" s="14"/>
      <c r="Y14" s="14"/>
      <c r="Z14" s="14"/>
      <c r="AA14" s="15"/>
      <c r="AB14" s="23"/>
      <c r="AC14" s="46">
        <f t="shared" si="4"/>
        <v>1140</v>
      </c>
      <c r="AD14" s="17"/>
      <c r="AE14" s="14"/>
      <c r="AF14" s="14"/>
      <c r="AG14" s="14"/>
      <c r="AH14" s="15"/>
      <c r="AI14" s="14"/>
      <c r="AJ14" s="16"/>
      <c r="AK14" s="100">
        <f t="shared" si="5"/>
        <v>3740</v>
      </c>
      <c r="AL14" s="14"/>
      <c r="AM14" s="14"/>
      <c r="AN14" s="14"/>
      <c r="AO14" s="14"/>
      <c r="AP14" s="14"/>
      <c r="AQ14" s="14"/>
      <c r="AR14" s="16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</row>
    <row r="15" spans="1:133" x14ac:dyDescent="0.7">
      <c r="A15" s="19" t="s">
        <v>178</v>
      </c>
      <c r="B15" s="20">
        <v>3</v>
      </c>
      <c r="C15" s="21">
        <v>61</v>
      </c>
      <c r="D15" s="22">
        <v>1</v>
      </c>
      <c r="E15" s="52">
        <f>0</f>
        <v>0</v>
      </c>
      <c r="F15" s="52">
        <f>0</f>
        <v>0</v>
      </c>
      <c r="G15" s="14">
        <v>5</v>
      </c>
      <c r="H15" s="14">
        <f>0</f>
        <v>0</v>
      </c>
      <c r="I15" s="14">
        <f>0</f>
        <v>0</v>
      </c>
      <c r="J15" s="14">
        <v>1.1000000000000001</v>
      </c>
      <c r="K15" s="14">
        <v>2</v>
      </c>
      <c r="L15" s="23">
        <v>1.7</v>
      </c>
      <c r="M15" s="13">
        <f>C15*G15/1000</f>
        <v>0.30499999999999999</v>
      </c>
      <c r="N15" s="17"/>
      <c r="O15" s="14"/>
      <c r="P15" s="14"/>
      <c r="Q15" s="14"/>
      <c r="R15" s="15"/>
      <c r="S15" s="14"/>
      <c r="T15" s="18"/>
      <c r="U15" s="13">
        <f t="shared" si="3"/>
        <v>67</v>
      </c>
      <c r="V15" s="17"/>
      <c r="W15" s="14"/>
      <c r="X15" s="14"/>
      <c r="Y15" s="14"/>
      <c r="Z15" s="14"/>
      <c r="AA15" s="15"/>
      <c r="AB15" s="23"/>
      <c r="AC15" s="46">
        <f t="shared" si="4"/>
        <v>29</v>
      </c>
      <c r="AD15" s="17"/>
      <c r="AE15" s="14"/>
      <c r="AF15" s="14"/>
      <c r="AG15" s="14"/>
      <c r="AH15" s="15"/>
      <c r="AI15" s="14"/>
      <c r="AJ15" s="16"/>
      <c r="AK15" s="100">
        <f t="shared" si="5"/>
        <v>96</v>
      </c>
      <c r="AL15" s="14"/>
      <c r="AM15" s="14"/>
      <c r="AN15" s="14"/>
      <c r="AO15" s="14"/>
      <c r="AP15" s="14"/>
      <c r="AQ15" s="14"/>
      <c r="AR15" s="16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6" spans="1:133" x14ac:dyDescent="0.7">
      <c r="A16" s="19" t="s">
        <v>179</v>
      </c>
      <c r="B16" s="20">
        <v>8</v>
      </c>
      <c r="C16" s="21">
        <v>171</v>
      </c>
      <c r="D16" s="22">
        <v>1</v>
      </c>
      <c r="E16" s="52">
        <f>0</f>
        <v>0</v>
      </c>
      <c r="F16" s="52">
        <f>0</f>
        <v>0</v>
      </c>
      <c r="G16" s="14">
        <v>5</v>
      </c>
      <c r="H16" s="14">
        <f>0</f>
        <v>0</v>
      </c>
      <c r="I16" s="14">
        <f>0</f>
        <v>0</v>
      </c>
      <c r="J16" s="14">
        <v>1.1000000000000001</v>
      </c>
      <c r="K16" s="14">
        <v>2</v>
      </c>
      <c r="L16" s="23">
        <v>1.7</v>
      </c>
      <c r="M16" s="13">
        <f t="shared" si="2"/>
        <v>1</v>
      </c>
      <c r="N16" s="17"/>
      <c r="O16" s="14"/>
      <c r="P16" s="14"/>
      <c r="Q16" s="14"/>
      <c r="R16" s="15"/>
      <c r="S16" s="14"/>
      <c r="T16" s="18"/>
      <c r="U16" s="13">
        <f t="shared" si="3"/>
        <v>188</v>
      </c>
      <c r="V16" s="17"/>
      <c r="W16" s="14"/>
      <c r="X16" s="14"/>
      <c r="Y16" s="14"/>
      <c r="Z16" s="14"/>
      <c r="AA16" s="15"/>
      <c r="AB16" s="23"/>
      <c r="AC16" s="46">
        <f t="shared" si="4"/>
        <v>95</v>
      </c>
      <c r="AD16" s="17"/>
      <c r="AE16" s="14"/>
      <c r="AF16" s="14"/>
      <c r="AG16" s="14"/>
      <c r="AH16" s="15"/>
      <c r="AI16" s="14"/>
      <c r="AJ16" s="16"/>
      <c r="AK16" s="100">
        <f t="shared" si="5"/>
        <v>283</v>
      </c>
      <c r="AL16" s="14"/>
      <c r="AM16" s="14"/>
      <c r="AN16" s="14"/>
      <c r="AO16" s="14"/>
      <c r="AP16" s="14"/>
      <c r="AQ16" s="14"/>
      <c r="AR16" s="16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</row>
    <row r="17" spans="1:133" x14ac:dyDescent="0.7">
      <c r="A17" s="19" t="s">
        <v>180</v>
      </c>
      <c r="B17" s="20">
        <v>11</v>
      </c>
      <c r="C17" s="21">
        <v>241</v>
      </c>
      <c r="D17" s="22">
        <v>1</v>
      </c>
      <c r="E17" s="52">
        <f>0</f>
        <v>0</v>
      </c>
      <c r="F17" s="52">
        <f>0</f>
        <v>0</v>
      </c>
      <c r="G17" s="14">
        <v>5</v>
      </c>
      <c r="H17" s="14">
        <f>0</f>
        <v>0</v>
      </c>
      <c r="I17" s="14">
        <f>0</f>
        <v>0</v>
      </c>
      <c r="J17" s="14">
        <v>1.1000000000000001</v>
      </c>
      <c r="K17" s="14">
        <v>2</v>
      </c>
      <c r="L17" s="23">
        <v>1.7</v>
      </c>
      <c r="M17" s="13">
        <f t="shared" si="2"/>
        <v>1</v>
      </c>
      <c r="N17" s="17"/>
      <c r="O17" s="14"/>
      <c r="P17" s="14"/>
      <c r="Q17" s="14"/>
      <c r="R17" s="15"/>
      <c r="S17" s="14"/>
      <c r="T17" s="18"/>
      <c r="U17" s="13">
        <f t="shared" si="3"/>
        <v>265</v>
      </c>
      <c r="V17" s="17"/>
      <c r="W17" s="14"/>
      <c r="X17" s="14"/>
      <c r="Y17" s="14"/>
      <c r="Z17" s="14"/>
      <c r="AA17" s="15"/>
      <c r="AB17" s="23"/>
      <c r="AC17" s="46">
        <f t="shared" si="4"/>
        <v>95</v>
      </c>
      <c r="AD17" s="17"/>
      <c r="AE17" s="14"/>
      <c r="AF17" s="14"/>
      <c r="AG17" s="14"/>
      <c r="AH17" s="15"/>
      <c r="AI17" s="14"/>
      <c r="AJ17" s="16"/>
      <c r="AK17" s="100">
        <f t="shared" si="5"/>
        <v>360</v>
      </c>
      <c r="AL17" s="14"/>
      <c r="AM17" s="14"/>
      <c r="AN17" s="14"/>
      <c r="AO17" s="14"/>
      <c r="AP17" s="14"/>
      <c r="AQ17" s="14"/>
      <c r="AR17" s="16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</row>
    <row r="18" spans="1:133" x14ac:dyDescent="0.7">
      <c r="A18" s="19" t="s">
        <v>181</v>
      </c>
      <c r="B18" s="20">
        <v>140</v>
      </c>
      <c r="C18" s="21">
        <v>3070</v>
      </c>
      <c r="D18" s="22">
        <v>1</v>
      </c>
      <c r="E18" s="52">
        <f>0</f>
        <v>0</v>
      </c>
      <c r="F18" s="52">
        <f>0</f>
        <v>0</v>
      </c>
      <c r="G18" s="14">
        <v>5</v>
      </c>
      <c r="H18" s="14">
        <f>0</f>
        <v>0</v>
      </c>
      <c r="I18" s="14">
        <f>0</f>
        <v>0</v>
      </c>
      <c r="J18" s="14">
        <v>1.1000000000000001</v>
      </c>
      <c r="K18" s="14">
        <v>2</v>
      </c>
      <c r="L18" s="23">
        <v>1.7</v>
      </c>
      <c r="M18" s="13">
        <f t="shared" si="2"/>
        <v>15</v>
      </c>
      <c r="N18" s="17"/>
      <c r="O18" s="14"/>
      <c r="P18" s="14"/>
      <c r="Q18" s="14"/>
      <c r="R18" s="15"/>
      <c r="S18" s="14"/>
      <c r="T18" s="18"/>
      <c r="U18" s="13">
        <f t="shared" si="3"/>
        <v>3377</v>
      </c>
      <c r="V18" s="17"/>
      <c r="W18" s="14"/>
      <c r="X18" s="14"/>
      <c r="Y18" s="14"/>
      <c r="Z18" s="14"/>
      <c r="AA18" s="15"/>
      <c r="AB18" s="23"/>
      <c r="AC18" s="46">
        <f t="shared" si="4"/>
        <v>1425</v>
      </c>
      <c r="AD18" s="17"/>
      <c r="AE18" s="14"/>
      <c r="AF18" s="14"/>
      <c r="AG18" s="14"/>
      <c r="AH18" s="15"/>
      <c r="AI18" s="14"/>
      <c r="AJ18" s="16"/>
      <c r="AK18" s="100">
        <f t="shared" si="5"/>
        <v>4802</v>
      </c>
      <c r="AL18" s="14"/>
      <c r="AM18" s="14"/>
      <c r="AN18" s="14"/>
      <c r="AO18" s="14"/>
      <c r="AP18" s="14"/>
      <c r="AQ18" s="14"/>
      <c r="AR18" s="16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</row>
    <row r="19" spans="1:133" x14ac:dyDescent="0.7">
      <c r="A19" s="19" t="s">
        <v>182</v>
      </c>
      <c r="B19" s="20">
        <v>149</v>
      </c>
      <c r="C19" s="21">
        <v>3270</v>
      </c>
      <c r="D19" s="22">
        <v>1</v>
      </c>
      <c r="E19" s="52">
        <f>0</f>
        <v>0</v>
      </c>
      <c r="F19" s="52">
        <f>0</f>
        <v>0</v>
      </c>
      <c r="G19" s="14">
        <v>5</v>
      </c>
      <c r="H19" s="14">
        <f>0</f>
        <v>0</v>
      </c>
      <c r="I19" s="14">
        <f>0</f>
        <v>0</v>
      </c>
      <c r="J19" s="14">
        <v>1.1000000000000001</v>
      </c>
      <c r="K19" s="14">
        <v>2</v>
      </c>
      <c r="L19" s="23">
        <v>1.7</v>
      </c>
      <c r="M19" s="13">
        <f t="shared" si="2"/>
        <v>16</v>
      </c>
      <c r="N19" s="17"/>
      <c r="O19" s="14"/>
      <c r="P19" s="14"/>
      <c r="Q19" s="14"/>
      <c r="R19" s="15"/>
      <c r="S19" s="14"/>
      <c r="T19" s="18"/>
      <c r="U19" s="13">
        <f t="shared" si="3"/>
        <v>3597</v>
      </c>
      <c r="V19" s="17"/>
      <c r="W19" s="14"/>
      <c r="X19" s="14"/>
      <c r="Y19" s="14"/>
      <c r="Z19" s="14"/>
      <c r="AA19" s="15"/>
      <c r="AB19" s="23"/>
      <c r="AC19" s="46">
        <f t="shared" si="4"/>
        <v>1520</v>
      </c>
      <c r="AD19" s="17"/>
      <c r="AE19" s="14"/>
      <c r="AF19" s="14"/>
      <c r="AG19" s="14"/>
      <c r="AH19" s="15"/>
      <c r="AI19" s="14"/>
      <c r="AJ19" s="16"/>
      <c r="AK19" s="100">
        <f t="shared" si="5"/>
        <v>5117</v>
      </c>
      <c r="AL19" s="14"/>
      <c r="AM19" s="14"/>
      <c r="AN19" s="14"/>
      <c r="AO19" s="14"/>
      <c r="AP19" s="14"/>
      <c r="AQ19" s="14"/>
      <c r="AR19" s="16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</row>
    <row r="20" spans="1:133" x14ac:dyDescent="0.7">
      <c r="A20" s="19" t="s">
        <v>183</v>
      </c>
      <c r="B20" s="20">
        <v>144</v>
      </c>
      <c r="C20" s="21">
        <v>3171</v>
      </c>
      <c r="D20" s="22">
        <v>1</v>
      </c>
      <c r="E20" s="52">
        <f>0</f>
        <v>0</v>
      </c>
      <c r="F20" s="52">
        <f>0</f>
        <v>0</v>
      </c>
      <c r="G20" s="14">
        <v>5</v>
      </c>
      <c r="H20" s="14">
        <f>0</f>
        <v>0</v>
      </c>
      <c r="I20" s="14">
        <f>0</f>
        <v>0</v>
      </c>
      <c r="J20" s="14">
        <v>1.1000000000000001</v>
      </c>
      <c r="K20" s="14">
        <v>2</v>
      </c>
      <c r="L20" s="23">
        <v>1.7</v>
      </c>
      <c r="M20" s="13">
        <f t="shared" si="2"/>
        <v>16</v>
      </c>
      <c r="N20" s="17"/>
      <c r="O20" s="14"/>
      <c r="P20" s="14"/>
      <c r="Q20" s="14"/>
      <c r="R20" s="15"/>
      <c r="S20" s="14"/>
      <c r="T20" s="18"/>
      <c r="U20" s="13">
        <f t="shared" si="3"/>
        <v>3488</v>
      </c>
      <c r="V20" s="17"/>
      <c r="W20" s="14"/>
      <c r="X20" s="14"/>
      <c r="Y20" s="14"/>
      <c r="Z20" s="14"/>
      <c r="AA20" s="15"/>
      <c r="AB20" s="23"/>
      <c r="AC20" s="46">
        <f t="shared" si="4"/>
        <v>1520</v>
      </c>
      <c r="AD20" s="17"/>
      <c r="AE20" s="14"/>
      <c r="AF20" s="14"/>
      <c r="AG20" s="14"/>
      <c r="AH20" s="15"/>
      <c r="AI20" s="14"/>
      <c r="AJ20" s="16"/>
      <c r="AK20" s="100">
        <f t="shared" si="5"/>
        <v>5008</v>
      </c>
      <c r="AL20" s="14"/>
      <c r="AM20" s="14"/>
      <c r="AN20" s="14"/>
      <c r="AO20" s="14"/>
      <c r="AP20" s="14"/>
      <c r="AQ20" s="14"/>
      <c r="AR20" s="16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</row>
    <row r="21" spans="1:133" ht="25.2" thickBot="1" x14ac:dyDescent="0.75">
      <c r="A21" s="19" t="s">
        <v>184</v>
      </c>
      <c r="B21" s="20">
        <v>134</v>
      </c>
      <c r="C21" s="21">
        <v>2950</v>
      </c>
      <c r="D21" s="22">
        <v>1</v>
      </c>
      <c r="E21" s="52">
        <f>0</f>
        <v>0</v>
      </c>
      <c r="F21" s="52">
        <f>0</f>
        <v>0</v>
      </c>
      <c r="G21" s="14">
        <v>5</v>
      </c>
      <c r="H21" s="14">
        <f>0</f>
        <v>0</v>
      </c>
      <c r="I21" s="14">
        <f>0</f>
        <v>0</v>
      </c>
      <c r="J21" s="14">
        <v>1.1000000000000001</v>
      </c>
      <c r="K21" s="14">
        <v>2</v>
      </c>
      <c r="L21" s="23">
        <v>1.7</v>
      </c>
      <c r="M21" s="13">
        <f t="shared" si="2"/>
        <v>15</v>
      </c>
      <c r="N21" s="17"/>
      <c r="O21" s="14"/>
      <c r="P21" s="14"/>
      <c r="Q21" s="14"/>
      <c r="R21" s="15"/>
      <c r="S21" s="14"/>
      <c r="T21" s="18"/>
      <c r="U21" s="13">
        <f t="shared" si="3"/>
        <v>3245</v>
      </c>
      <c r="V21" s="17"/>
      <c r="W21" s="14"/>
      <c r="X21" s="14"/>
      <c r="Y21" s="14"/>
      <c r="Z21" s="14"/>
      <c r="AA21" s="15"/>
      <c r="AB21" s="23"/>
      <c r="AC21" s="46">
        <f t="shared" si="4"/>
        <v>1425</v>
      </c>
      <c r="AD21" s="17"/>
      <c r="AE21" s="14"/>
      <c r="AF21" s="14"/>
      <c r="AG21" s="14"/>
      <c r="AH21" s="15"/>
      <c r="AI21" s="14"/>
      <c r="AJ21" s="16"/>
      <c r="AK21" s="100">
        <f t="shared" si="5"/>
        <v>4670</v>
      </c>
      <c r="AL21" s="14"/>
      <c r="AM21" s="14"/>
      <c r="AN21" s="14"/>
      <c r="AO21" s="14"/>
      <c r="AP21" s="14"/>
      <c r="AQ21" s="14"/>
      <c r="AR21" s="16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</row>
    <row r="22" spans="1:133" ht="25.2" thickBot="1" x14ac:dyDescent="0.75">
      <c r="A22" s="973" t="s">
        <v>25</v>
      </c>
      <c r="B22" s="886">
        <f>SUM(B8:B21)</f>
        <v>1255</v>
      </c>
      <c r="C22" s="925">
        <f>SUM(C8:C21)</f>
        <v>27609</v>
      </c>
      <c r="D22" s="888"/>
      <c r="E22" s="889"/>
      <c r="F22" s="889"/>
      <c r="G22" s="889"/>
      <c r="H22" s="889"/>
      <c r="I22" s="889"/>
      <c r="J22" s="889"/>
      <c r="K22" s="889"/>
      <c r="L22" s="890"/>
      <c r="M22" s="158">
        <f>SUM(M8:M21)</f>
        <v>136.30500000000001</v>
      </c>
      <c r="N22" s="159">
        <f>SUM(N8:N9)</f>
        <v>0</v>
      </c>
      <c r="O22" s="160"/>
      <c r="P22" s="160"/>
      <c r="Q22" s="160"/>
      <c r="R22" s="161"/>
      <c r="S22" s="160"/>
      <c r="T22" s="162"/>
      <c r="U22" s="155">
        <f>SUM(U8:U21)</f>
        <v>30368</v>
      </c>
      <c r="V22" s="164"/>
      <c r="W22" s="164"/>
      <c r="X22" s="164"/>
      <c r="Y22" s="164"/>
      <c r="Z22" s="164"/>
      <c r="AA22" s="164"/>
      <c r="AB22" s="164"/>
      <c r="AC22" s="157">
        <f>SUM(AC8:AC10)</f>
        <v>2280</v>
      </c>
      <c r="AD22" s="164"/>
      <c r="AE22" s="164"/>
      <c r="AF22" s="164"/>
      <c r="AG22" s="164"/>
      <c r="AH22" s="164"/>
      <c r="AI22" s="164"/>
      <c r="AJ22" s="164"/>
      <c r="AK22" s="165">
        <f>SUM(AK8:AK10)</f>
        <v>7724</v>
      </c>
      <c r="AL22" s="166">
        <f>AL8+AL9</f>
        <v>0</v>
      </c>
      <c r="AM22" s="164"/>
      <c r="AN22" s="164"/>
      <c r="AO22" s="164"/>
      <c r="AP22" s="164"/>
      <c r="AQ22" s="164"/>
      <c r="AR22" s="167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</row>
    <row r="23" spans="1:133" ht="25.2" thickBot="1" x14ac:dyDescent="0.75">
      <c r="A23" s="974"/>
      <c r="B23" s="887"/>
      <c r="C23" s="926"/>
      <c r="D23" s="891"/>
      <c r="E23" s="892"/>
      <c r="F23" s="892"/>
      <c r="G23" s="892"/>
      <c r="H23" s="892"/>
      <c r="I23" s="892"/>
      <c r="J23" s="892"/>
      <c r="K23" s="892"/>
      <c r="L23" s="893"/>
      <c r="M23" s="896">
        <f>M22+N22</f>
        <v>136.30500000000001</v>
      </c>
      <c r="N23" s="898"/>
      <c r="O23" s="899"/>
      <c r="P23" s="900"/>
      <c r="Q23" s="970"/>
      <c r="R23" s="899"/>
      <c r="S23" s="900"/>
      <c r="T23" s="901"/>
      <c r="U23" s="1041">
        <f>U22+V22</f>
        <v>30368</v>
      </c>
      <c r="V23" s="906"/>
      <c r="W23" s="1042"/>
      <c r="X23" s="979"/>
      <c r="Y23" s="1043"/>
      <c r="Z23" s="1042"/>
      <c r="AA23" s="979"/>
      <c r="AB23" s="980"/>
      <c r="AC23" s="912">
        <f>AC22+AD22</f>
        <v>2280</v>
      </c>
      <c r="AD23" s="913"/>
      <c r="AE23" s="978"/>
      <c r="AF23" s="979"/>
      <c r="AG23" s="980"/>
      <c r="AH23" s="979"/>
      <c r="AI23" s="979"/>
      <c r="AJ23" s="980"/>
      <c r="AK23" s="912">
        <f>AK22+AL22</f>
        <v>7724</v>
      </c>
      <c r="AL23" s="1044"/>
      <c r="AM23" s="978"/>
      <c r="AN23" s="979"/>
      <c r="AO23" s="980"/>
      <c r="AP23" s="979"/>
      <c r="AQ23" s="979"/>
      <c r="AR23" s="980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</row>
    <row r="24" spans="1:133" s="152" customFormat="1" x14ac:dyDescent="0.7">
      <c r="A24" s="52" t="s">
        <v>26</v>
      </c>
      <c r="B24" s="52">
        <v>6</v>
      </c>
      <c r="C24" s="87">
        <v>126</v>
      </c>
      <c r="D24" s="22">
        <v>1</v>
      </c>
      <c r="E24" s="52">
        <v>0</v>
      </c>
      <c r="F24" s="52">
        <v>0</v>
      </c>
      <c r="G24" s="14">
        <v>5</v>
      </c>
      <c r="H24" s="14">
        <f>0</f>
        <v>0</v>
      </c>
      <c r="I24" s="14">
        <f>0</f>
        <v>0</v>
      </c>
      <c r="J24" s="14">
        <v>1.1000000000000001</v>
      </c>
      <c r="K24" s="14">
        <v>2</v>
      </c>
      <c r="L24" s="14">
        <v>1.7</v>
      </c>
      <c r="M24" s="9">
        <f>ROUND(C24*G24/1000,0)</f>
        <v>1</v>
      </c>
      <c r="N24" s="46"/>
      <c r="O24" s="10"/>
      <c r="P24" s="10"/>
      <c r="Q24" s="10"/>
      <c r="R24" s="12"/>
      <c r="S24" s="10"/>
      <c r="T24" s="48"/>
      <c r="U24" s="9">
        <f>ROUND(C24*J24,0)</f>
        <v>139</v>
      </c>
      <c r="V24" s="46"/>
      <c r="W24" s="10"/>
      <c r="X24" s="10"/>
      <c r="Y24" s="10"/>
      <c r="Z24" s="10"/>
      <c r="AA24" s="12"/>
      <c r="AB24" s="154"/>
      <c r="AC24" s="46">
        <f>ROUND(M24*95,0)</f>
        <v>95</v>
      </c>
      <c r="AD24" s="153">
        <f>N24*960</f>
        <v>0</v>
      </c>
      <c r="AE24" s="153"/>
      <c r="AF24" s="153"/>
      <c r="AG24" s="153"/>
      <c r="AH24" s="153"/>
      <c r="AI24" s="153"/>
      <c r="AJ24" s="154"/>
      <c r="AK24" s="173">
        <f>U24+AC24</f>
        <v>234</v>
      </c>
      <c r="AL24" s="153">
        <f t="shared" si="1"/>
        <v>0</v>
      </c>
      <c r="AM24" s="153"/>
      <c r="AN24" s="153"/>
      <c r="AO24" s="153"/>
      <c r="AP24" s="153"/>
      <c r="AQ24" s="153"/>
      <c r="AR24" s="154"/>
    </row>
    <row r="25" spans="1:133" s="1" customFormat="1" x14ac:dyDescent="0.7">
      <c r="A25" s="52" t="s">
        <v>51</v>
      </c>
      <c r="B25" s="52">
        <v>169</v>
      </c>
      <c r="C25" s="87">
        <v>4231</v>
      </c>
      <c r="D25" s="22">
        <v>1</v>
      </c>
      <c r="E25" s="52">
        <v>0</v>
      </c>
      <c r="F25" s="52">
        <v>0</v>
      </c>
      <c r="G25" s="14">
        <v>5</v>
      </c>
      <c r="H25" s="14">
        <f>0</f>
        <v>0</v>
      </c>
      <c r="I25" s="14">
        <f>0</f>
        <v>0</v>
      </c>
      <c r="J25" s="14">
        <v>1.1000000000000001</v>
      </c>
      <c r="K25" s="14">
        <v>2</v>
      </c>
      <c r="L25" s="14">
        <v>1.7</v>
      </c>
      <c r="M25" s="9">
        <f t="shared" ref="M25:M35" si="6">ROUND(C25*G25/1000,0)</f>
        <v>21</v>
      </c>
      <c r="N25" s="48"/>
      <c r="O25" s="10"/>
      <c r="P25" s="10"/>
      <c r="Q25" s="10"/>
      <c r="R25" s="12"/>
      <c r="S25" s="10"/>
      <c r="T25" s="48"/>
      <c r="U25" s="9">
        <f t="shared" ref="U25:U33" si="7">ROUND(C25*J25,0)</f>
        <v>4654</v>
      </c>
      <c r="V25" s="48"/>
      <c r="W25" s="10"/>
      <c r="X25" s="10"/>
      <c r="Y25" s="10"/>
      <c r="Z25" s="10"/>
      <c r="AA25" s="12"/>
      <c r="AB25" s="11"/>
      <c r="AC25" s="46">
        <f t="shared" ref="AC25:AC34" si="8">ROUND(M25*95,0)</f>
        <v>1995</v>
      </c>
      <c r="AD25" s="10"/>
      <c r="AE25" s="14"/>
      <c r="AF25" s="14"/>
      <c r="AG25" s="14"/>
      <c r="AH25" s="14"/>
      <c r="AI25" s="14"/>
      <c r="AJ25" s="23"/>
      <c r="AK25" s="13">
        <f>U25+AC25</f>
        <v>6649</v>
      </c>
      <c r="AL25" s="14"/>
      <c r="AM25" s="14"/>
      <c r="AN25" s="14"/>
      <c r="AO25" s="14"/>
      <c r="AP25" s="14"/>
      <c r="AQ25" s="14"/>
      <c r="AR25" s="23"/>
    </row>
    <row r="26" spans="1:133" s="1" customFormat="1" x14ac:dyDescent="0.7">
      <c r="A26" s="52" t="s">
        <v>38</v>
      </c>
      <c r="B26" s="52">
        <v>171</v>
      </c>
      <c r="C26" s="87">
        <v>4265</v>
      </c>
      <c r="D26" s="22">
        <v>1</v>
      </c>
      <c r="E26" s="52">
        <f>0</f>
        <v>0</v>
      </c>
      <c r="F26" s="52">
        <f>0</f>
        <v>0</v>
      </c>
      <c r="G26" s="14">
        <v>5</v>
      </c>
      <c r="H26" s="14">
        <f>0</f>
        <v>0</v>
      </c>
      <c r="I26" s="14">
        <f>0</f>
        <v>0</v>
      </c>
      <c r="J26" s="14">
        <v>1.1000000000000001</v>
      </c>
      <c r="K26" s="14">
        <v>2</v>
      </c>
      <c r="L26" s="14">
        <v>1.7</v>
      </c>
      <c r="M26" s="9">
        <f t="shared" si="6"/>
        <v>21</v>
      </c>
      <c r="N26" s="48"/>
      <c r="O26" s="10"/>
      <c r="P26" s="10"/>
      <c r="Q26" s="10"/>
      <c r="R26" s="12"/>
      <c r="S26" s="10"/>
      <c r="T26" s="48"/>
      <c r="U26" s="9">
        <f t="shared" si="7"/>
        <v>4692</v>
      </c>
      <c r="V26" s="48"/>
      <c r="W26" s="10"/>
      <c r="X26" s="10"/>
      <c r="Y26" s="10"/>
      <c r="Z26" s="10"/>
      <c r="AA26" s="12"/>
      <c r="AB26" s="11"/>
      <c r="AC26" s="46">
        <f t="shared" si="8"/>
        <v>1995</v>
      </c>
      <c r="AD26" s="10"/>
      <c r="AE26" s="14"/>
      <c r="AF26" s="14"/>
      <c r="AG26" s="14"/>
      <c r="AH26" s="14"/>
      <c r="AI26" s="14"/>
      <c r="AJ26" s="23"/>
      <c r="AK26" s="13">
        <f>U26+AC26</f>
        <v>6687</v>
      </c>
      <c r="AL26" s="14"/>
      <c r="AM26" s="14"/>
      <c r="AN26" s="14"/>
      <c r="AO26" s="14"/>
      <c r="AP26" s="14"/>
      <c r="AQ26" s="14"/>
      <c r="AR26" s="23"/>
    </row>
    <row r="27" spans="1:133" s="1" customFormat="1" x14ac:dyDescent="0.7">
      <c r="A27" s="52" t="s">
        <v>37</v>
      </c>
      <c r="B27" s="52">
        <v>67</v>
      </c>
      <c r="C27" s="87">
        <v>1663</v>
      </c>
      <c r="D27" s="22">
        <v>1</v>
      </c>
      <c r="E27" s="52">
        <v>0</v>
      </c>
      <c r="F27" s="52">
        <v>0</v>
      </c>
      <c r="G27" s="14">
        <v>5</v>
      </c>
      <c r="H27" s="14">
        <f>0</f>
        <v>0</v>
      </c>
      <c r="I27" s="14">
        <f>0</f>
        <v>0</v>
      </c>
      <c r="J27" s="14">
        <v>1.1000000000000001</v>
      </c>
      <c r="K27" s="14">
        <v>2</v>
      </c>
      <c r="L27" s="14">
        <v>1.7</v>
      </c>
      <c r="M27" s="9">
        <f t="shared" si="6"/>
        <v>8</v>
      </c>
      <c r="N27" s="48"/>
      <c r="O27" s="10"/>
      <c r="P27" s="10"/>
      <c r="Q27" s="10"/>
      <c r="R27" s="12"/>
      <c r="S27" s="10"/>
      <c r="T27" s="48"/>
      <c r="U27" s="9">
        <f t="shared" si="7"/>
        <v>1829</v>
      </c>
      <c r="V27" s="48"/>
      <c r="W27" s="10"/>
      <c r="X27" s="10"/>
      <c r="Y27" s="10"/>
      <c r="Z27" s="10"/>
      <c r="AA27" s="12"/>
      <c r="AB27" s="11"/>
      <c r="AC27" s="46">
        <f t="shared" si="8"/>
        <v>760</v>
      </c>
      <c r="AD27" s="10"/>
      <c r="AE27" s="14"/>
      <c r="AF27" s="14"/>
      <c r="AG27" s="14"/>
      <c r="AH27" s="14"/>
      <c r="AI27" s="14"/>
      <c r="AJ27" s="23"/>
      <c r="AK27" s="13">
        <f t="shared" ref="AK27:AK35" si="9">U27+AC27</f>
        <v>2589</v>
      </c>
      <c r="AL27" s="14"/>
      <c r="AM27" s="14"/>
      <c r="AN27" s="14"/>
      <c r="AO27" s="14"/>
      <c r="AP27" s="14"/>
      <c r="AQ27" s="14"/>
      <c r="AR27" s="23"/>
    </row>
    <row r="28" spans="1:133" s="1" customFormat="1" x14ac:dyDescent="0.7">
      <c r="A28" s="52" t="s">
        <v>52</v>
      </c>
      <c r="B28" s="52">
        <v>154</v>
      </c>
      <c r="C28" s="87">
        <v>3851</v>
      </c>
      <c r="D28" s="22">
        <v>1</v>
      </c>
      <c r="E28" s="52">
        <v>0</v>
      </c>
      <c r="F28" s="52">
        <v>0</v>
      </c>
      <c r="G28" s="14">
        <v>5</v>
      </c>
      <c r="H28" s="14">
        <f>0</f>
        <v>0</v>
      </c>
      <c r="I28" s="14">
        <f>0</f>
        <v>0</v>
      </c>
      <c r="J28" s="14">
        <v>1.1000000000000001</v>
      </c>
      <c r="K28" s="14">
        <v>2</v>
      </c>
      <c r="L28" s="14">
        <v>1.7</v>
      </c>
      <c r="M28" s="9">
        <f t="shared" si="6"/>
        <v>19</v>
      </c>
      <c r="N28" s="48"/>
      <c r="O28" s="10"/>
      <c r="P28" s="10"/>
      <c r="Q28" s="10"/>
      <c r="R28" s="12"/>
      <c r="S28" s="10"/>
      <c r="T28" s="48"/>
      <c r="U28" s="9">
        <f t="shared" si="7"/>
        <v>4236</v>
      </c>
      <c r="V28" s="48"/>
      <c r="W28" s="10"/>
      <c r="X28" s="10"/>
      <c r="Y28" s="10"/>
      <c r="Z28" s="10"/>
      <c r="AA28" s="12"/>
      <c r="AB28" s="11"/>
      <c r="AC28" s="46">
        <f t="shared" si="8"/>
        <v>1805</v>
      </c>
      <c r="AD28" s="10"/>
      <c r="AE28" s="14"/>
      <c r="AF28" s="14"/>
      <c r="AG28" s="14"/>
      <c r="AH28" s="14"/>
      <c r="AI28" s="14"/>
      <c r="AJ28" s="23"/>
      <c r="AK28" s="13">
        <f t="shared" si="9"/>
        <v>6041</v>
      </c>
      <c r="AL28" s="14"/>
      <c r="AM28" s="14"/>
      <c r="AN28" s="14"/>
      <c r="AO28" s="14"/>
      <c r="AP28" s="14"/>
      <c r="AQ28" s="14"/>
      <c r="AR28" s="23"/>
    </row>
    <row r="29" spans="1:133" s="1" customFormat="1" x14ac:dyDescent="0.7">
      <c r="A29" s="52" t="s">
        <v>53</v>
      </c>
      <c r="B29" s="52">
        <v>139</v>
      </c>
      <c r="C29" s="87">
        <v>3476</v>
      </c>
      <c r="D29" s="22">
        <v>1</v>
      </c>
      <c r="E29" s="52">
        <f>0</f>
        <v>0</v>
      </c>
      <c r="F29" s="52">
        <f>0</f>
        <v>0</v>
      </c>
      <c r="G29" s="14">
        <v>5</v>
      </c>
      <c r="H29" s="14">
        <f>0</f>
        <v>0</v>
      </c>
      <c r="I29" s="14">
        <f>0</f>
        <v>0</v>
      </c>
      <c r="J29" s="14">
        <v>1.1000000000000001</v>
      </c>
      <c r="K29" s="14">
        <v>2</v>
      </c>
      <c r="L29" s="14">
        <v>1.7</v>
      </c>
      <c r="M29" s="9">
        <f t="shared" si="6"/>
        <v>17</v>
      </c>
      <c r="N29" s="48"/>
      <c r="O29" s="10"/>
      <c r="P29" s="10"/>
      <c r="Q29" s="10"/>
      <c r="R29" s="12"/>
      <c r="S29" s="10"/>
      <c r="T29" s="48"/>
      <c r="U29" s="9">
        <f t="shared" si="7"/>
        <v>3824</v>
      </c>
      <c r="V29" s="48"/>
      <c r="W29" s="10"/>
      <c r="X29" s="10"/>
      <c r="Y29" s="10"/>
      <c r="Z29" s="10"/>
      <c r="AA29" s="12"/>
      <c r="AB29" s="11"/>
      <c r="AC29" s="46">
        <f t="shared" si="8"/>
        <v>1615</v>
      </c>
      <c r="AD29" s="10"/>
      <c r="AE29" s="14"/>
      <c r="AF29" s="14"/>
      <c r="AG29" s="14"/>
      <c r="AH29" s="14"/>
      <c r="AI29" s="14"/>
      <c r="AJ29" s="23"/>
      <c r="AK29" s="13">
        <f t="shared" si="9"/>
        <v>5439</v>
      </c>
      <c r="AL29" s="14"/>
      <c r="AM29" s="14"/>
      <c r="AN29" s="14"/>
      <c r="AO29" s="14"/>
      <c r="AP29" s="14"/>
      <c r="AQ29" s="14"/>
      <c r="AR29" s="23"/>
    </row>
    <row r="30" spans="1:133" s="1" customFormat="1" x14ac:dyDescent="0.7">
      <c r="A30" s="52" t="s">
        <v>54</v>
      </c>
      <c r="B30" s="52">
        <v>165</v>
      </c>
      <c r="C30" s="87">
        <v>4127</v>
      </c>
      <c r="D30" s="22">
        <v>1</v>
      </c>
      <c r="E30" s="52">
        <v>0</v>
      </c>
      <c r="F30" s="52">
        <v>0</v>
      </c>
      <c r="G30" s="14">
        <v>5</v>
      </c>
      <c r="H30" s="14">
        <f>0</f>
        <v>0</v>
      </c>
      <c r="I30" s="14">
        <f>0</f>
        <v>0</v>
      </c>
      <c r="J30" s="14">
        <v>1.1000000000000001</v>
      </c>
      <c r="K30" s="14">
        <v>2</v>
      </c>
      <c r="L30" s="14">
        <v>1.7</v>
      </c>
      <c r="M30" s="9">
        <f t="shared" si="6"/>
        <v>21</v>
      </c>
      <c r="N30" s="48"/>
      <c r="O30" s="10"/>
      <c r="P30" s="10"/>
      <c r="Q30" s="10"/>
      <c r="R30" s="12"/>
      <c r="S30" s="10"/>
      <c r="T30" s="48"/>
      <c r="U30" s="9">
        <f t="shared" si="7"/>
        <v>4540</v>
      </c>
      <c r="V30" s="48"/>
      <c r="W30" s="10"/>
      <c r="X30" s="10"/>
      <c r="Y30" s="10"/>
      <c r="Z30" s="10"/>
      <c r="AA30" s="12"/>
      <c r="AB30" s="11"/>
      <c r="AC30" s="46">
        <f t="shared" si="8"/>
        <v>1995</v>
      </c>
      <c r="AD30" s="10"/>
      <c r="AE30" s="14"/>
      <c r="AF30" s="14"/>
      <c r="AG30" s="14"/>
      <c r="AH30" s="14"/>
      <c r="AI30" s="14"/>
      <c r="AJ30" s="23"/>
      <c r="AK30" s="13">
        <f t="shared" si="9"/>
        <v>6535</v>
      </c>
      <c r="AL30" s="14"/>
      <c r="AM30" s="14"/>
      <c r="AN30" s="14"/>
      <c r="AO30" s="14"/>
      <c r="AP30" s="14"/>
      <c r="AQ30" s="14"/>
      <c r="AR30" s="23"/>
    </row>
    <row r="31" spans="1:133" s="1" customFormat="1" x14ac:dyDescent="0.7">
      <c r="A31" s="52" t="s">
        <v>55</v>
      </c>
      <c r="B31" s="52">
        <v>158</v>
      </c>
      <c r="C31" s="87">
        <v>3480</v>
      </c>
      <c r="D31" s="22">
        <v>1</v>
      </c>
      <c r="E31" s="52">
        <v>0</v>
      </c>
      <c r="F31" s="52">
        <v>0</v>
      </c>
      <c r="G31" s="14">
        <v>5</v>
      </c>
      <c r="H31" s="14">
        <f>0</f>
        <v>0</v>
      </c>
      <c r="I31" s="14">
        <f>0</f>
        <v>0</v>
      </c>
      <c r="J31" s="14">
        <v>1.1000000000000001</v>
      </c>
      <c r="K31" s="14">
        <v>2</v>
      </c>
      <c r="L31" s="14">
        <v>1.7</v>
      </c>
      <c r="M31" s="9">
        <f t="shared" si="6"/>
        <v>17</v>
      </c>
      <c r="N31" s="48"/>
      <c r="O31" s="10"/>
      <c r="P31" s="10"/>
      <c r="Q31" s="10"/>
      <c r="R31" s="12"/>
      <c r="S31" s="10"/>
      <c r="T31" s="48"/>
      <c r="U31" s="9">
        <f t="shared" si="7"/>
        <v>3828</v>
      </c>
      <c r="V31" s="48"/>
      <c r="W31" s="10"/>
      <c r="X31" s="10"/>
      <c r="Y31" s="10"/>
      <c r="Z31" s="10"/>
      <c r="AA31" s="12"/>
      <c r="AB31" s="11"/>
      <c r="AC31" s="46">
        <f t="shared" si="8"/>
        <v>1615</v>
      </c>
      <c r="AD31" s="10"/>
      <c r="AE31" s="14"/>
      <c r="AF31" s="14"/>
      <c r="AG31" s="14"/>
      <c r="AH31" s="14"/>
      <c r="AI31" s="14"/>
      <c r="AJ31" s="23"/>
      <c r="AK31" s="13">
        <f t="shared" si="9"/>
        <v>5443</v>
      </c>
      <c r="AL31" s="14"/>
      <c r="AM31" s="14"/>
      <c r="AN31" s="14"/>
      <c r="AO31" s="14"/>
      <c r="AP31" s="14"/>
      <c r="AQ31" s="14"/>
      <c r="AR31" s="23"/>
    </row>
    <row r="32" spans="1:133" s="1" customFormat="1" x14ac:dyDescent="0.7">
      <c r="A32" s="52" t="s">
        <v>56</v>
      </c>
      <c r="B32" s="52">
        <v>143</v>
      </c>
      <c r="C32" s="87">
        <v>3140</v>
      </c>
      <c r="D32" s="22">
        <v>1</v>
      </c>
      <c r="E32" s="52">
        <f>0</f>
        <v>0</v>
      </c>
      <c r="F32" s="52">
        <f>0</f>
        <v>0</v>
      </c>
      <c r="G32" s="14">
        <v>5</v>
      </c>
      <c r="H32" s="14">
        <f>0</f>
        <v>0</v>
      </c>
      <c r="I32" s="14">
        <f>0</f>
        <v>0</v>
      </c>
      <c r="J32" s="14">
        <v>1.1000000000000001</v>
      </c>
      <c r="K32" s="14">
        <v>2</v>
      </c>
      <c r="L32" s="14">
        <v>1.7</v>
      </c>
      <c r="M32" s="9">
        <f t="shared" si="6"/>
        <v>16</v>
      </c>
      <c r="N32" s="48"/>
      <c r="O32" s="10"/>
      <c r="P32" s="10"/>
      <c r="Q32" s="10"/>
      <c r="R32" s="12"/>
      <c r="S32" s="10"/>
      <c r="T32" s="48"/>
      <c r="U32" s="9">
        <f t="shared" si="7"/>
        <v>3454</v>
      </c>
      <c r="V32" s="48"/>
      <c r="W32" s="10"/>
      <c r="X32" s="10"/>
      <c r="Y32" s="10"/>
      <c r="Z32" s="10"/>
      <c r="AA32" s="12"/>
      <c r="AB32" s="11"/>
      <c r="AC32" s="46">
        <f t="shared" si="8"/>
        <v>1520</v>
      </c>
      <c r="AD32" s="10"/>
      <c r="AE32" s="14"/>
      <c r="AF32" s="14"/>
      <c r="AG32" s="14"/>
      <c r="AH32" s="14"/>
      <c r="AI32" s="14"/>
      <c r="AJ32" s="23"/>
      <c r="AK32" s="13">
        <f t="shared" si="9"/>
        <v>4974</v>
      </c>
      <c r="AL32" s="14"/>
      <c r="AM32" s="14"/>
      <c r="AN32" s="14"/>
      <c r="AO32" s="14"/>
      <c r="AP32" s="14"/>
      <c r="AQ32" s="14"/>
      <c r="AR32" s="23"/>
    </row>
    <row r="33" spans="1:133" s="1" customFormat="1" x14ac:dyDescent="0.7">
      <c r="A33" s="52" t="s">
        <v>57</v>
      </c>
      <c r="B33" s="52">
        <v>167</v>
      </c>
      <c r="C33" s="87">
        <v>3671</v>
      </c>
      <c r="D33" s="22">
        <v>1</v>
      </c>
      <c r="E33" s="52">
        <v>0</v>
      </c>
      <c r="F33" s="52">
        <v>0</v>
      </c>
      <c r="G33" s="14">
        <v>5</v>
      </c>
      <c r="H33" s="14">
        <f>0</f>
        <v>0</v>
      </c>
      <c r="I33" s="14">
        <f>0</f>
        <v>0</v>
      </c>
      <c r="J33" s="14">
        <v>1.1000000000000001</v>
      </c>
      <c r="K33" s="14">
        <v>2</v>
      </c>
      <c r="L33" s="14">
        <v>1.7</v>
      </c>
      <c r="M33" s="9">
        <f t="shared" si="6"/>
        <v>18</v>
      </c>
      <c r="N33" s="48"/>
      <c r="O33" s="10"/>
      <c r="P33" s="10"/>
      <c r="Q33" s="10"/>
      <c r="R33" s="12"/>
      <c r="S33" s="10"/>
      <c r="T33" s="48"/>
      <c r="U33" s="9">
        <f t="shared" si="7"/>
        <v>4038</v>
      </c>
      <c r="V33" s="48"/>
      <c r="W33" s="10"/>
      <c r="X33" s="10"/>
      <c r="Y33" s="10"/>
      <c r="Z33" s="10"/>
      <c r="AA33" s="12"/>
      <c r="AB33" s="11"/>
      <c r="AC33" s="46">
        <f t="shared" si="8"/>
        <v>1710</v>
      </c>
      <c r="AD33" s="10"/>
      <c r="AE33" s="14"/>
      <c r="AF33" s="14"/>
      <c r="AG33" s="14"/>
      <c r="AH33" s="14"/>
      <c r="AI33" s="14"/>
      <c r="AJ33" s="23"/>
      <c r="AK33" s="13">
        <f t="shared" si="9"/>
        <v>5748</v>
      </c>
      <c r="AL33" s="14"/>
      <c r="AM33" s="14"/>
      <c r="AN33" s="14"/>
      <c r="AO33" s="14"/>
      <c r="AP33" s="14"/>
      <c r="AQ33" s="14"/>
      <c r="AR33" s="23"/>
    </row>
    <row r="34" spans="1:133" s="1" customFormat="1" x14ac:dyDescent="0.7">
      <c r="A34" s="52" t="s">
        <v>58</v>
      </c>
      <c r="B34" s="52">
        <v>130</v>
      </c>
      <c r="C34" s="87">
        <v>2868</v>
      </c>
      <c r="D34" s="22">
        <v>1</v>
      </c>
      <c r="E34" s="52">
        <v>0</v>
      </c>
      <c r="F34" s="52">
        <v>0</v>
      </c>
      <c r="G34" s="14">
        <v>5</v>
      </c>
      <c r="H34" s="14">
        <f>0</f>
        <v>0</v>
      </c>
      <c r="I34" s="14">
        <f>0</f>
        <v>0</v>
      </c>
      <c r="J34" s="14">
        <v>1.1000000000000001</v>
      </c>
      <c r="K34" s="14">
        <v>2</v>
      </c>
      <c r="L34" s="14">
        <v>1.7</v>
      </c>
      <c r="M34" s="9">
        <f t="shared" si="6"/>
        <v>14</v>
      </c>
      <c r="N34" s="48"/>
      <c r="O34" s="10"/>
      <c r="P34" s="10"/>
      <c r="Q34" s="10"/>
      <c r="R34" s="12"/>
      <c r="S34" s="10"/>
      <c r="T34" s="48"/>
      <c r="U34" s="9">
        <f>ROUND(C34*J34,0)</f>
        <v>3155</v>
      </c>
      <c r="V34" s="48"/>
      <c r="W34" s="10"/>
      <c r="X34" s="10"/>
      <c r="Y34" s="10"/>
      <c r="Z34" s="10"/>
      <c r="AA34" s="12"/>
      <c r="AB34" s="11"/>
      <c r="AC34" s="46">
        <f t="shared" si="8"/>
        <v>1330</v>
      </c>
      <c r="AD34" s="10"/>
      <c r="AE34" s="14"/>
      <c r="AF34" s="14"/>
      <c r="AG34" s="14"/>
      <c r="AH34" s="14"/>
      <c r="AI34" s="14"/>
      <c r="AJ34" s="23"/>
      <c r="AK34" s="13">
        <f>U34+AC34</f>
        <v>4485</v>
      </c>
      <c r="AL34" s="14"/>
      <c r="AM34" s="14"/>
      <c r="AN34" s="14"/>
      <c r="AO34" s="14"/>
      <c r="AP34" s="14"/>
      <c r="AQ34" s="14"/>
      <c r="AR34" s="23"/>
    </row>
    <row r="35" spans="1:133" s="1" customFormat="1" ht="25.2" thickBot="1" x14ac:dyDescent="0.75">
      <c r="A35" s="52" t="s">
        <v>44</v>
      </c>
      <c r="B35" s="52">
        <v>145</v>
      </c>
      <c r="C35" s="87">
        <v>3193</v>
      </c>
      <c r="D35" s="22">
        <v>1</v>
      </c>
      <c r="E35" s="52">
        <f>0</f>
        <v>0</v>
      </c>
      <c r="F35" s="52">
        <f>0</f>
        <v>0</v>
      </c>
      <c r="G35" s="14">
        <v>5</v>
      </c>
      <c r="H35" s="14">
        <f>0</f>
        <v>0</v>
      </c>
      <c r="I35" s="14">
        <f>0</f>
        <v>0</v>
      </c>
      <c r="J35" s="14">
        <v>1.1000000000000001</v>
      </c>
      <c r="K35" s="14">
        <v>2</v>
      </c>
      <c r="L35" s="14">
        <v>1.7</v>
      </c>
      <c r="M35" s="9">
        <f t="shared" si="6"/>
        <v>16</v>
      </c>
      <c r="N35" s="48"/>
      <c r="O35" s="10"/>
      <c r="P35" s="10"/>
      <c r="Q35" s="10"/>
      <c r="R35" s="12"/>
      <c r="S35" s="10"/>
      <c r="T35" s="48"/>
      <c r="U35" s="9">
        <f>ROUND(C35*J35,0)</f>
        <v>3512</v>
      </c>
      <c r="V35" s="48"/>
      <c r="W35" s="10"/>
      <c r="X35" s="10"/>
      <c r="Y35" s="10"/>
      <c r="Z35" s="10"/>
      <c r="AA35" s="12"/>
      <c r="AB35" s="174"/>
      <c r="AC35" s="46">
        <f t="shared" ref="AC35" si="10">ROUND(M35*960,0)</f>
        <v>15360</v>
      </c>
      <c r="AD35" s="10"/>
      <c r="AE35" s="145"/>
      <c r="AF35" s="145"/>
      <c r="AG35" s="145"/>
      <c r="AH35" s="145"/>
      <c r="AI35" s="145"/>
      <c r="AJ35" s="147"/>
      <c r="AK35" s="13">
        <f t="shared" si="9"/>
        <v>18872</v>
      </c>
      <c r="AL35" s="145"/>
      <c r="AM35" s="145"/>
      <c r="AN35" s="145"/>
      <c r="AO35" s="145"/>
      <c r="AP35" s="145"/>
      <c r="AQ35" s="145"/>
      <c r="AR35" s="147"/>
    </row>
    <row r="36" spans="1:133" ht="25.2" thickBot="1" x14ac:dyDescent="0.75">
      <c r="A36" s="973" t="s">
        <v>46</v>
      </c>
      <c r="B36" s="886">
        <f>SUM(B24:B35)</f>
        <v>1614</v>
      </c>
      <c r="C36" s="925">
        <f>SUM(C24:C35)</f>
        <v>38091</v>
      </c>
      <c r="D36" s="888"/>
      <c r="E36" s="889"/>
      <c r="F36" s="889"/>
      <c r="G36" s="889"/>
      <c r="H36" s="889"/>
      <c r="I36" s="889"/>
      <c r="J36" s="889"/>
      <c r="K36" s="889"/>
      <c r="L36" s="890"/>
      <c r="M36" s="158">
        <f t="shared" ref="M36:V36" si="11">SUM(M24:M35)</f>
        <v>189</v>
      </c>
      <c r="N36" s="158">
        <f t="shared" si="11"/>
        <v>0</v>
      </c>
      <c r="O36" s="160">
        <f t="shared" si="11"/>
        <v>0</v>
      </c>
      <c r="P36" s="160">
        <f t="shared" si="11"/>
        <v>0</v>
      </c>
      <c r="Q36" s="160">
        <f t="shared" si="11"/>
        <v>0</v>
      </c>
      <c r="R36" s="161">
        <f t="shared" si="11"/>
        <v>0</v>
      </c>
      <c r="S36" s="160">
        <f t="shared" si="11"/>
        <v>0</v>
      </c>
      <c r="T36" s="163">
        <f t="shared" si="11"/>
        <v>0</v>
      </c>
      <c r="U36" s="158">
        <f t="shared" si="11"/>
        <v>41901</v>
      </c>
      <c r="V36" s="158">
        <f t="shared" si="11"/>
        <v>0</v>
      </c>
      <c r="W36" s="164"/>
      <c r="X36" s="164"/>
      <c r="Y36" s="164"/>
      <c r="Z36" s="164"/>
      <c r="AA36" s="164"/>
      <c r="AB36" s="164"/>
      <c r="AC36" s="157">
        <f>SUM(AC24:AC35)</f>
        <v>31795</v>
      </c>
      <c r="AD36" s="157">
        <f>SUM(AD24:AD35)</f>
        <v>0</v>
      </c>
      <c r="AE36" s="164"/>
      <c r="AF36" s="164"/>
      <c r="AG36" s="164"/>
      <c r="AH36" s="164"/>
      <c r="AI36" s="164"/>
      <c r="AJ36" s="156"/>
      <c r="AK36" s="165">
        <f>SUM(AK24:AK35)</f>
        <v>73696</v>
      </c>
      <c r="AL36" s="165">
        <f>SUM(AL24:AL35)</f>
        <v>0</v>
      </c>
      <c r="AM36" s="164"/>
      <c r="AN36" s="164"/>
      <c r="AO36" s="164"/>
      <c r="AP36" s="164"/>
      <c r="AQ36" s="164"/>
      <c r="AR36" s="167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</row>
    <row r="37" spans="1:133" ht="25.2" thickBot="1" x14ac:dyDescent="0.75">
      <c r="A37" s="974"/>
      <c r="B37" s="887"/>
      <c r="C37" s="926"/>
      <c r="D37" s="891"/>
      <c r="E37" s="892"/>
      <c r="F37" s="892"/>
      <c r="G37" s="892"/>
      <c r="H37" s="892"/>
      <c r="I37" s="892"/>
      <c r="J37" s="892"/>
      <c r="K37" s="892"/>
      <c r="L37" s="893"/>
      <c r="M37" s="896">
        <f>M36+N36</f>
        <v>189</v>
      </c>
      <c r="N37" s="898"/>
      <c r="O37" s="899">
        <f>O36+P36+Q36</f>
        <v>0</v>
      </c>
      <c r="P37" s="900"/>
      <c r="Q37" s="970"/>
      <c r="R37" s="899">
        <f>R36+S36+T36</f>
        <v>0</v>
      </c>
      <c r="S37" s="900"/>
      <c r="T37" s="970"/>
      <c r="U37" s="971">
        <f>U36+V36</f>
        <v>41901</v>
      </c>
      <c r="V37" s="972"/>
      <c r="W37" s="964">
        <f>W36+X36+Y36</f>
        <v>0</v>
      </c>
      <c r="X37" s="965"/>
      <c r="Y37" s="966"/>
      <c r="Z37" s="964">
        <f>Z36+AA36+AB36</f>
        <v>0</v>
      </c>
      <c r="AA37" s="965"/>
      <c r="AB37" s="966"/>
      <c r="AC37" s="912">
        <f>AC36+AD36</f>
        <v>31795</v>
      </c>
      <c r="AD37" s="914"/>
      <c r="AE37" s="964">
        <f>AE36+AF36+AG36</f>
        <v>0</v>
      </c>
      <c r="AF37" s="965"/>
      <c r="AG37" s="966"/>
      <c r="AH37" s="964">
        <f>AH36+AI36+AJ36</f>
        <v>0</v>
      </c>
      <c r="AI37" s="965"/>
      <c r="AJ37" s="966"/>
      <c r="AK37" s="912">
        <f>AK36+AL36</f>
        <v>73696</v>
      </c>
      <c r="AL37" s="913"/>
      <c r="AM37" s="964">
        <f>AM36+AN36+AO36</f>
        <v>0</v>
      </c>
      <c r="AN37" s="965"/>
      <c r="AO37" s="966"/>
      <c r="AP37" s="964">
        <f>AP36+AQ36+AR36</f>
        <v>0</v>
      </c>
      <c r="AQ37" s="965"/>
      <c r="AR37" s="967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</row>
    <row r="38" spans="1:133" s="179" customFormat="1" ht="39.9" customHeight="1" thickBot="1" x14ac:dyDescent="0.75">
      <c r="A38" s="975" t="s">
        <v>27</v>
      </c>
      <c r="B38" s="976"/>
      <c r="C38" s="976"/>
      <c r="D38" s="976"/>
      <c r="E38" s="976"/>
      <c r="F38" s="976"/>
      <c r="G38" s="976"/>
      <c r="H38" s="976"/>
      <c r="I38" s="976"/>
      <c r="J38" s="976"/>
      <c r="K38" s="976"/>
      <c r="L38" s="976"/>
      <c r="M38" s="976"/>
      <c r="N38" s="976"/>
      <c r="O38" s="976"/>
      <c r="P38" s="976"/>
      <c r="Q38" s="976"/>
      <c r="R38" s="976"/>
      <c r="S38" s="976"/>
      <c r="T38" s="976"/>
      <c r="U38" s="976"/>
      <c r="V38" s="976"/>
      <c r="W38" s="976"/>
      <c r="X38" s="976"/>
      <c r="Y38" s="976"/>
      <c r="Z38" s="976"/>
      <c r="AA38" s="976"/>
      <c r="AB38" s="976"/>
      <c r="AC38" s="976"/>
      <c r="AD38" s="976"/>
      <c r="AE38" s="976"/>
      <c r="AF38" s="976"/>
      <c r="AG38" s="976"/>
      <c r="AH38" s="976"/>
      <c r="AI38" s="976"/>
      <c r="AJ38" s="976"/>
      <c r="AK38" s="976"/>
      <c r="AL38" s="976"/>
      <c r="AM38" s="976"/>
      <c r="AN38" s="976"/>
      <c r="AO38" s="976"/>
      <c r="AP38" s="976"/>
      <c r="AQ38" s="976"/>
      <c r="AR38" s="977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  <c r="CJ38" s="178"/>
      <c r="CK38" s="178"/>
      <c r="CL38" s="178"/>
      <c r="CM38" s="178"/>
      <c r="CN38" s="178"/>
      <c r="CO38" s="178"/>
      <c r="CP38" s="178"/>
      <c r="CQ38" s="178"/>
      <c r="CR38" s="178"/>
      <c r="CS38" s="178"/>
      <c r="CT38" s="178"/>
      <c r="CU38" s="178"/>
      <c r="CV38" s="178"/>
      <c r="CW38" s="178"/>
      <c r="CX38" s="178"/>
      <c r="CY38" s="178"/>
      <c r="CZ38" s="178"/>
      <c r="DA38" s="178"/>
      <c r="DB38" s="178"/>
      <c r="DC38" s="178"/>
      <c r="DD38" s="178"/>
      <c r="DE38" s="178"/>
      <c r="DF38" s="178"/>
      <c r="DG38" s="178"/>
      <c r="DH38" s="178"/>
      <c r="DI38" s="178"/>
      <c r="DJ38" s="178"/>
      <c r="DK38" s="178"/>
      <c r="DL38" s="178"/>
      <c r="DM38" s="178"/>
      <c r="DN38" s="178"/>
      <c r="DO38" s="178"/>
      <c r="DP38" s="178"/>
      <c r="DQ38" s="178"/>
      <c r="DR38" s="178"/>
      <c r="DS38" s="178"/>
      <c r="DT38" s="178"/>
      <c r="DU38" s="178"/>
      <c r="DV38" s="178"/>
      <c r="DW38" s="178"/>
      <c r="DX38" s="178"/>
      <c r="DY38" s="178"/>
      <c r="DZ38" s="178"/>
      <c r="EA38" s="178"/>
      <c r="EB38" s="178"/>
      <c r="EC38" s="178"/>
    </row>
    <row r="39" spans="1:133" x14ac:dyDescent="0.7">
      <c r="A39" s="49" t="s">
        <v>28</v>
      </c>
      <c r="B39" s="50">
        <v>82</v>
      </c>
      <c r="C39" s="51">
        <v>1813</v>
      </c>
      <c r="D39" s="46">
        <v>1</v>
      </c>
      <c r="E39" s="10">
        <v>0</v>
      </c>
      <c r="F39" s="10">
        <v>0</v>
      </c>
      <c r="G39" s="13">
        <v>5</v>
      </c>
      <c r="H39" s="14">
        <f>0</f>
        <v>0</v>
      </c>
      <c r="I39" s="23">
        <f>0</f>
        <v>0</v>
      </c>
      <c r="J39" s="13">
        <v>1.1000000000000001</v>
      </c>
      <c r="K39" s="14">
        <v>2</v>
      </c>
      <c r="L39" s="15">
        <v>1.7</v>
      </c>
      <c r="M39" s="13">
        <f>ROUND(C39*G39/1000,0)</f>
        <v>9</v>
      </c>
      <c r="N39" s="17">
        <f>0</f>
        <v>0</v>
      </c>
      <c r="O39" s="10">
        <f>0</f>
        <v>0</v>
      </c>
      <c r="P39" s="10">
        <f>0</f>
        <v>0</v>
      </c>
      <c r="Q39" s="10">
        <f>0</f>
        <v>0</v>
      </c>
      <c r="R39" s="15"/>
      <c r="S39" s="14"/>
      <c r="T39" s="18"/>
      <c r="U39" s="13">
        <f t="shared" ref="U39:U41" si="12">ROUND(C39*J39,0)</f>
        <v>1994</v>
      </c>
      <c r="V39" s="22"/>
      <c r="W39" s="52"/>
      <c r="X39" s="52"/>
      <c r="Y39" s="14"/>
      <c r="Z39" s="14"/>
      <c r="AA39" s="15"/>
      <c r="AB39" s="23"/>
      <c r="AC39" s="17">
        <f>ROUND(M39*95,0)</f>
        <v>855</v>
      </c>
      <c r="AD39" s="17">
        <f t="shared" ref="AD39:AD43" si="13">ROUND(N39*960,0)</f>
        <v>0</v>
      </c>
      <c r="AE39" s="10"/>
      <c r="AF39" s="14"/>
      <c r="AG39" s="14"/>
      <c r="AH39" s="15"/>
      <c r="AI39" s="14"/>
      <c r="AJ39" s="16"/>
      <c r="AK39" s="100">
        <f>U39+AC39</f>
        <v>2849</v>
      </c>
      <c r="AL39" s="14">
        <f t="shared" ref="AK39:AL43" si="14">V39+AD39</f>
        <v>0</v>
      </c>
      <c r="AM39" s="14"/>
      <c r="AN39" s="14"/>
      <c r="AO39" s="14"/>
      <c r="AP39" s="14"/>
      <c r="AQ39" s="14"/>
      <c r="AR39" s="16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133" x14ac:dyDescent="0.7">
      <c r="A40" s="49" t="s">
        <v>29</v>
      </c>
      <c r="B40" s="50">
        <v>72</v>
      </c>
      <c r="C40" s="51">
        <v>1574</v>
      </c>
      <c r="D40" s="46">
        <v>1</v>
      </c>
      <c r="E40" s="10">
        <v>0</v>
      </c>
      <c r="F40" s="10">
        <v>0</v>
      </c>
      <c r="G40" s="13">
        <v>5</v>
      </c>
      <c r="H40" s="14">
        <f>0</f>
        <v>0</v>
      </c>
      <c r="I40" s="23">
        <f>0</f>
        <v>0</v>
      </c>
      <c r="J40" s="13">
        <v>1.1000000000000001</v>
      </c>
      <c r="K40" s="14">
        <v>2</v>
      </c>
      <c r="L40" s="15">
        <v>1.7</v>
      </c>
      <c r="M40" s="13">
        <f t="shared" ref="M40:M41" si="15">ROUND(C40*G40/1000,0)</f>
        <v>8</v>
      </c>
      <c r="N40" s="17">
        <f>0</f>
        <v>0</v>
      </c>
      <c r="O40" s="10">
        <f>0</f>
        <v>0</v>
      </c>
      <c r="P40" s="10">
        <f>0</f>
        <v>0</v>
      </c>
      <c r="Q40" s="10">
        <f>0</f>
        <v>0</v>
      </c>
      <c r="R40" s="15"/>
      <c r="S40" s="14"/>
      <c r="T40" s="18"/>
      <c r="U40" s="13">
        <f>ROUND(C40*J40,0)</f>
        <v>1731</v>
      </c>
      <c r="V40" s="22"/>
      <c r="W40" s="52"/>
      <c r="X40" s="52"/>
      <c r="Y40" s="14"/>
      <c r="Z40" s="14"/>
      <c r="AA40" s="15"/>
      <c r="AB40" s="23"/>
      <c r="AC40" s="17">
        <f>ROUND(M40*95,0)</f>
        <v>760</v>
      </c>
      <c r="AD40" s="17">
        <f t="shared" si="13"/>
        <v>0</v>
      </c>
      <c r="AE40" s="10"/>
      <c r="AF40" s="14"/>
      <c r="AG40" s="14"/>
      <c r="AH40" s="15"/>
      <c r="AI40" s="14"/>
      <c r="AJ40" s="16"/>
      <c r="AK40" s="100">
        <f t="shared" si="14"/>
        <v>2491</v>
      </c>
      <c r="AL40" s="14">
        <f t="shared" si="14"/>
        <v>0</v>
      </c>
      <c r="AM40" s="14"/>
      <c r="AN40" s="14"/>
      <c r="AO40" s="14"/>
      <c r="AP40" s="14"/>
      <c r="AQ40" s="14"/>
      <c r="AR40" s="16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133" ht="25.2" thickBot="1" x14ac:dyDescent="0.75">
      <c r="A41" s="49" t="s">
        <v>30</v>
      </c>
      <c r="B41" s="50">
        <v>69</v>
      </c>
      <c r="C41" s="51">
        <v>1509</v>
      </c>
      <c r="D41" s="46">
        <v>1</v>
      </c>
      <c r="E41" s="10">
        <v>0</v>
      </c>
      <c r="F41" s="10">
        <v>0</v>
      </c>
      <c r="G41" s="13">
        <v>5</v>
      </c>
      <c r="H41" s="14">
        <f>0</f>
        <v>0</v>
      </c>
      <c r="I41" s="23">
        <f>0</f>
        <v>0</v>
      </c>
      <c r="J41" s="13">
        <v>1.1000000000000001</v>
      </c>
      <c r="K41" s="14">
        <v>2</v>
      </c>
      <c r="L41" s="15">
        <v>1.7</v>
      </c>
      <c r="M41" s="13">
        <f t="shared" si="15"/>
        <v>8</v>
      </c>
      <c r="N41" s="17">
        <f>0</f>
        <v>0</v>
      </c>
      <c r="O41" s="10">
        <f>0</f>
        <v>0</v>
      </c>
      <c r="P41" s="10">
        <f>0</f>
        <v>0</v>
      </c>
      <c r="Q41" s="10">
        <f>0</f>
        <v>0</v>
      </c>
      <c r="R41" s="15"/>
      <c r="S41" s="14"/>
      <c r="T41" s="18"/>
      <c r="U41" s="13">
        <f t="shared" si="12"/>
        <v>1660</v>
      </c>
      <c r="V41" s="22"/>
      <c r="W41" s="52"/>
      <c r="X41" s="52"/>
      <c r="Y41" s="14"/>
      <c r="Z41" s="14"/>
      <c r="AA41" s="15"/>
      <c r="AB41" s="23"/>
      <c r="AC41" s="17">
        <f>ROUND(M41*95,0)</f>
        <v>760</v>
      </c>
      <c r="AD41" s="17">
        <f t="shared" si="13"/>
        <v>0</v>
      </c>
      <c r="AE41" s="10"/>
      <c r="AF41" s="14"/>
      <c r="AG41" s="14"/>
      <c r="AH41" s="15"/>
      <c r="AI41" s="14"/>
      <c r="AJ41" s="16"/>
      <c r="AK41" s="100">
        <f t="shared" si="14"/>
        <v>2420</v>
      </c>
      <c r="AL41" s="14">
        <f t="shared" si="14"/>
        <v>0</v>
      </c>
      <c r="AM41" s="14"/>
      <c r="AN41" s="14"/>
      <c r="AO41" s="14"/>
      <c r="AP41" s="14"/>
      <c r="AQ41" s="14"/>
      <c r="AR41" s="16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133" ht="25.2" thickBot="1" x14ac:dyDescent="0.75">
      <c r="A42" s="973" t="s">
        <v>31</v>
      </c>
      <c r="B42" s="886">
        <f>SUM(B39:B41)</f>
        <v>223</v>
      </c>
      <c r="C42" s="925">
        <f>SUM(C39:C41)</f>
        <v>4896</v>
      </c>
      <c r="D42" s="888"/>
      <c r="E42" s="889"/>
      <c r="F42" s="889"/>
      <c r="G42" s="889"/>
      <c r="H42" s="889"/>
      <c r="I42" s="889"/>
      <c r="J42" s="889"/>
      <c r="K42" s="889"/>
      <c r="L42" s="890"/>
      <c r="M42" s="158">
        <f>SUM(M39:M41)</f>
        <v>25</v>
      </c>
      <c r="N42" s="158">
        <f>SUM(N39:N41)</f>
        <v>0</v>
      </c>
      <c r="O42" s="160">
        <f>0</f>
        <v>0</v>
      </c>
      <c r="P42" s="160">
        <f>0</f>
        <v>0</v>
      </c>
      <c r="Q42" s="160">
        <f>0</f>
        <v>0</v>
      </c>
      <c r="R42" s="161"/>
      <c r="S42" s="160"/>
      <c r="T42" s="163"/>
      <c r="U42" s="158">
        <f>SUM(U39:U41)</f>
        <v>5385</v>
      </c>
      <c r="V42" s="158">
        <f>SUM(V39:V41)</f>
        <v>0</v>
      </c>
      <c r="W42" s="164"/>
      <c r="X42" s="164"/>
      <c r="Y42" s="164"/>
      <c r="Z42" s="164"/>
      <c r="AA42" s="164"/>
      <c r="AB42" s="164"/>
      <c r="AC42" s="157">
        <f>SUM(AC39:AC41)</f>
        <v>2375</v>
      </c>
      <c r="AD42" s="157">
        <f t="shared" si="13"/>
        <v>0</v>
      </c>
      <c r="AE42" s="164"/>
      <c r="AF42" s="164"/>
      <c r="AG42" s="164"/>
      <c r="AH42" s="164"/>
      <c r="AI42" s="164"/>
      <c r="AJ42" s="156"/>
      <c r="AK42" s="165">
        <f>SUM(AK39:AK41)</f>
        <v>7760</v>
      </c>
      <c r="AL42" s="165">
        <f>SUM(AL39:AL41)</f>
        <v>0</v>
      </c>
      <c r="AM42" s="164"/>
      <c r="AN42" s="164"/>
      <c r="AO42" s="164"/>
      <c r="AP42" s="164"/>
      <c r="AQ42" s="164"/>
      <c r="AR42" s="167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133" ht="25.2" thickBot="1" x14ac:dyDescent="0.75">
      <c r="A43" s="974"/>
      <c r="B43" s="887"/>
      <c r="C43" s="926"/>
      <c r="D43" s="891"/>
      <c r="E43" s="892"/>
      <c r="F43" s="892"/>
      <c r="G43" s="892"/>
      <c r="H43" s="892"/>
      <c r="I43" s="892"/>
      <c r="J43" s="892"/>
      <c r="K43" s="892"/>
      <c r="L43" s="893"/>
      <c r="M43" s="896">
        <f>M42+N42</f>
        <v>25</v>
      </c>
      <c r="N43" s="898">
        <f>M42+N42</f>
        <v>25</v>
      </c>
      <c r="O43" s="899">
        <f>+O42+P42+Q42</f>
        <v>0</v>
      </c>
      <c r="P43" s="900"/>
      <c r="Q43" s="970"/>
      <c r="R43" s="899">
        <f>+R42+S42+T42</f>
        <v>0</v>
      </c>
      <c r="S43" s="900"/>
      <c r="T43" s="970"/>
      <c r="U43" s="971">
        <f>U42+V42</f>
        <v>5385</v>
      </c>
      <c r="V43" s="972"/>
      <c r="W43" s="964">
        <f>W42+X42+Y42</f>
        <v>0</v>
      </c>
      <c r="X43" s="965"/>
      <c r="Y43" s="966"/>
      <c r="Z43" s="964">
        <f>Z42+AA42+AB42</f>
        <v>0</v>
      </c>
      <c r="AA43" s="965"/>
      <c r="AB43" s="966"/>
      <c r="AC43" s="912">
        <f>AC42+AD42</f>
        <v>2375</v>
      </c>
      <c r="AD43" s="914">
        <f t="shared" si="13"/>
        <v>24000</v>
      </c>
      <c r="AE43" s="964">
        <f>AE42+AF42+AG42</f>
        <v>0</v>
      </c>
      <c r="AF43" s="965"/>
      <c r="AG43" s="966"/>
      <c r="AH43" s="964">
        <f>AH42+AI42+AJ42</f>
        <v>0</v>
      </c>
      <c r="AI43" s="965"/>
      <c r="AJ43" s="966"/>
      <c r="AK43" s="912">
        <f>AK42+AL42</f>
        <v>7760</v>
      </c>
      <c r="AL43" s="913">
        <f t="shared" si="14"/>
        <v>24000</v>
      </c>
      <c r="AM43" s="964">
        <f>AM42+AN42+AO42</f>
        <v>0</v>
      </c>
      <c r="AN43" s="965"/>
      <c r="AO43" s="966"/>
      <c r="AP43" s="964">
        <f>AP42+AQ42+AR42</f>
        <v>0</v>
      </c>
      <c r="AQ43" s="965"/>
      <c r="AR43" s="967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133" ht="25.2" thickBot="1" x14ac:dyDescent="0.75">
      <c r="A44" s="49" t="s">
        <v>61</v>
      </c>
      <c r="B44" s="50">
        <v>8</v>
      </c>
      <c r="C44" s="51">
        <v>184</v>
      </c>
      <c r="D44" s="46">
        <v>1</v>
      </c>
      <c r="E44" s="10">
        <v>0</v>
      </c>
      <c r="F44" s="10">
        <v>0</v>
      </c>
      <c r="G44" s="13">
        <v>5</v>
      </c>
      <c r="H44" s="14">
        <f>0</f>
        <v>0</v>
      </c>
      <c r="I44" s="23">
        <f>0</f>
        <v>0</v>
      </c>
      <c r="J44" s="13">
        <v>1.1000000000000001</v>
      </c>
      <c r="K44" s="14">
        <v>2</v>
      </c>
      <c r="L44" s="15">
        <v>1.7</v>
      </c>
      <c r="M44" s="13">
        <f>ROUND(C44*G44/1000,0)</f>
        <v>1</v>
      </c>
      <c r="N44" s="17">
        <f>0</f>
        <v>0</v>
      </c>
      <c r="O44" s="10">
        <f>0</f>
        <v>0</v>
      </c>
      <c r="P44" s="10">
        <f>0</f>
        <v>0</v>
      </c>
      <c r="Q44" s="10">
        <f>0</f>
        <v>0</v>
      </c>
      <c r="R44" s="15"/>
      <c r="S44" s="14"/>
      <c r="T44" s="18"/>
      <c r="U44" s="13">
        <f>ROUND(C44*J44,0)</f>
        <v>202</v>
      </c>
      <c r="V44" s="22"/>
      <c r="W44" s="52"/>
      <c r="X44" s="52"/>
      <c r="Y44" s="14"/>
      <c r="Z44" s="14"/>
      <c r="AA44" s="15"/>
      <c r="AB44" s="23"/>
      <c r="AC44" s="17">
        <f>ROUND(M44*95,0)</f>
        <v>95</v>
      </c>
      <c r="AD44" s="17">
        <f t="shared" ref="AD44:AD46" si="16">ROUND(N44*960,0)</f>
        <v>0</v>
      </c>
      <c r="AE44" s="10"/>
      <c r="AF44" s="14"/>
      <c r="AG44" s="14"/>
      <c r="AH44" s="15"/>
      <c r="AI44" s="14"/>
      <c r="AJ44" s="16"/>
      <c r="AK44" s="100">
        <f>U44+AC44</f>
        <v>297</v>
      </c>
      <c r="AL44" s="14">
        <f t="shared" ref="AL44" si="17">V44+AD44</f>
        <v>0</v>
      </c>
      <c r="AM44" s="14"/>
      <c r="AN44" s="14"/>
      <c r="AO44" s="14"/>
      <c r="AP44" s="14"/>
      <c r="AQ44" s="14"/>
      <c r="AR44" s="16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133" ht="25.2" thickBot="1" x14ac:dyDescent="0.75">
      <c r="A45" s="973" t="s">
        <v>60</v>
      </c>
      <c r="B45" s="886">
        <f>SUM(B44:B44)</f>
        <v>8</v>
      </c>
      <c r="C45" s="925">
        <f>SUM(C44:C44)</f>
        <v>184</v>
      </c>
      <c r="D45" s="888"/>
      <c r="E45" s="889"/>
      <c r="F45" s="889"/>
      <c r="G45" s="889"/>
      <c r="H45" s="889"/>
      <c r="I45" s="889"/>
      <c r="J45" s="889"/>
      <c r="K45" s="889"/>
      <c r="L45" s="890"/>
      <c r="M45" s="158">
        <f>SUM(M44:M44)</f>
        <v>1</v>
      </c>
      <c r="N45" s="158">
        <f>SUM(N44:N44)</f>
        <v>0</v>
      </c>
      <c r="O45" s="160">
        <f t="shared" ref="O45:T45" si="18">SUM(O44:O44)</f>
        <v>0</v>
      </c>
      <c r="P45" s="160">
        <f t="shared" si="18"/>
        <v>0</v>
      </c>
      <c r="Q45" s="160">
        <f t="shared" si="18"/>
        <v>0</v>
      </c>
      <c r="R45" s="161">
        <f t="shared" si="18"/>
        <v>0</v>
      </c>
      <c r="S45" s="160">
        <f t="shared" si="18"/>
        <v>0</v>
      </c>
      <c r="T45" s="163">
        <f t="shared" si="18"/>
        <v>0</v>
      </c>
      <c r="U45" s="158">
        <f>SUM(U44:U44)</f>
        <v>202</v>
      </c>
      <c r="V45" s="158">
        <f>SUM(V44:V44)</f>
        <v>0</v>
      </c>
      <c r="W45" s="160">
        <f t="shared" ref="W45:AB45" si="19">SUM(W44:W44)</f>
        <v>0</v>
      </c>
      <c r="X45" s="160">
        <f>SUM(X44:X44)</f>
        <v>0</v>
      </c>
      <c r="Y45" s="160">
        <f t="shared" si="19"/>
        <v>0</v>
      </c>
      <c r="Z45" s="160">
        <f t="shared" si="19"/>
        <v>0</v>
      </c>
      <c r="AA45" s="160">
        <f t="shared" si="19"/>
        <v>0</v>
      </c>
      <c r="AB45" s="160">
        <f t="shared" si="19"/>
        <v>0</v>
      </c>
      <c r="AC45" s="157">
        <f>SUM(AC44:AC44)</f>
        <v>95</v>
      </c>
      <c r="AD45" s="157">
        <f t="shared" si="16"/>
        <v>0</v>
      </c>
      <c r="AE45" s="164"/>
      <c r="AF45" s="164"/>
      <c r="AG45" s="164"/>
      <c r="AH45" s="164"/>
      <c r="AI45" s="164"/>
      <c r="AJ45" s="156"/>
      <c r="AK45" s="165">
        <f>SUM(AK44:AK44)</f>
        <v>297</v>
      </c>
      <c r="AL45" s="165">
        <f>SUM(AL44:AL44)</f>
        <v>0</v>
      </c>
      <c r="AM45" s="164"/>
      <c r="AN45" s="164"/>
      <c r="AO45" s="164"/>
      <c r="AP45" s="164"/>
      <c r="AQ45" s="164"/>
      <c r="AR45" s="167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133" ht="25.2" thickBot="1" x14ac:dyDescent="0.75">
      <c r="A46" s="974"/>
      <c r="B46" s="887"/>
      <c r="C46" s="926"/>
      <c r="D46" s="891"/>
      <c r="E46" s="892"/>
      <c r="F46" s="892"/>
      <c r="G46" s="892"/>
      <c r="H46" s="892"/>
      <c r="I46" s="892"/>
      <c r="J46" s="892"/>
      <c r="K46" s="892"/>
      <c r="L46" s="893"/>
      <c r="M46" s="896">
        <f>M45+N45</f>
        <v>1</v>
      </c>
      <c r="N46" s="898">
        <f>M45+N45</f>
        <v>1</v>
      </c>
      <c r="O46" s="899">
        <f>+O45+P45+Q45</f>
        <v>0</v>
      </c>
      <c r="P46" s="900"/>
      <c r="Q46" s="970"/>
      <c r="R46" s="899">
        <f>+R45+S45+T45</f>
        <v>0</v>
      </c>
      <c r="S46" s="900"/>
      <c r="T46" s="970"/>
      <c r="U46" s="971">
        <f>U45+V45</f>
        <v>202</v>
      </c>
      <c r="V46" s="972"/>
      <c r="W46" s="964">
        <f>W45+X45+Y45</f>
        <v>0</v>
      </c>
      <c r="X46" s="965"/>
      <c r="Y46" s="966"/>
      <c r="Z46" s="964">
        <f>Z45+AA45+AB45</f>
        <v>0</v>
      </c>
      <c r="AA46" s="965"/>
      <c r="AB46" s="966"/>
      <c r="AC46" s="912">
        <f>AC45+AD45</f>
        <v>95</v>
      </c>
      <c r="AD46" s="914">
        <f t="shared" si="16"/>
        <v>960</v>
      </c>
      <c r="AE46" s="964">
        <f>AE45+AF45+AG45</f>
        <v>0</v>
      </c>
      <c r="AF46" s="965"/>
      <c r="AG46" s="966"/>
      <c r="AH46" s="964">
        <f>AH45+AI45+AJ45</f>
        <v>0</v>
      </c>
      <c r="AI46" s="965"/>
      <c r="AJ46" s="966"/>
      <c r="AK46" s="912">
        <f>AK45+AL45</f>
        <v>297</v>
      </c>
      <c r="AL46" s="913">
        <f t="shared" ref="AL46" si="20">V46+AD46</f>
        <v>960</v>
      </c>
      <c r="AM46" s="964">
        <f>AM45+AN45+AO45</f>
        <v>0</v>
      </c>
      <c r="AN46" s="965"/>
      <c r="AO46" s="966"/>
      <c r="AP46" s="964">
        <f>AP45+AQ45+AR45</f>
        <v>0</v>
      </c>
      <c r="AQ46" s="965"/>
      <c r="AR46" s="967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133" ht="25.2" thickBot="1" x14ac:dyDescent="0.75">
      <c r="A47" s="49" t="s">
        <v>62</v>
      </c>
      <c r="B47" s="50">
        <v>4</v>
      </c>
      <c r="C47" s="51">
        <v>93</v>
      </c>
      <c r="D47" s="46">
        <v>1</v>
      </c>
      <c r="E47" s="10">
        <v>0</v>
      </c>
      <c r="F47" s="10">
        <v>0</v>
      </c>
      <c r="G47" s="13">
        <v>5</v>
      </c>
      <c r="H47" s="14">
        <f>0</f>
        <v>0</v>
      </c>
      <c r="I47" s="23">
        <f>0</f>
        <v>0</v>
      </c>
      <c r="J47" s="13">
        <v>1.1000000000000001</v>
      </c>
      <c r="K47" s="14">
        <v>2</v>
      </c>
      <c r="L47" s="15">
        <v>1.7</v>
      </c>
      <c r="M47" s="13">
        <v>0.5</v>
      </c>
      <c r="N47" s="17">
        <f>0</f>
        <v>0</v>
      </c>
      <c r="O47" s="10">
        <f>0</f>
        <v>0</v>
      </c>
      <c r="P47" s="10">
        <f>0</f>
        <v>0</v>
      </c>
      <c r="Q47" s="10">
        <f>0</f>
        <v>0</v>
      </c>
      <c r="R47" s="15"/>
      <c r="S47" s="14"/>
      <c r="T47" s="18"/>
      <c r="U47" s="13">
        <f>ROUND(C47*J47,0)</f>
        <v>102</v>
      </c>
      <c r="V47" s="22"/>
      <c r="W47" s="52"/>
      <c r="X47" s="52"/>
      <c r="Y47" s="14"/>
      <c r="Z47" s="14"/>
      <c r="AA47" s="15"/>
      <c r="AB47" s="23"/>
      <c r="AC47" s="17">
        <f>ROUND(M47*95,0)</f>
        <v>48</v>
      </c>
      <c r="AD47" s="17">
        <f>ROUND(N47*960,0)</f>
        <v>0</v>
      </c>
      <c r="AE47" s="10"/>
      <c r="AF47" s="14"/>
      <c r="AG47" s="14"/>
      <c r="AH47" s="15"/>
      <c r="AI47" s="14"/>
      <c r="AJ47" s="16"/>
      <c r="AK47" s="100">
        <f>U47+AC47</f>
        <v>150</v>
      </c>
      <c r="AL47" s="14">
        <f>V47+AD47</f>
        <v>0</v>
      </c>
      <c r="AM47" s="14"/>
      <c r="AN47" s="14"/>
      <c r="AO47" s="14"/>
      <c r="AP47" s="14"/>
      <c r="AQ47" s="14"/>
      <c r="AR47" s="16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133" ht="25.2" thickBot="1" x14ac:dyDescent="0.75">
      <c r="A48" s="968" t="s">
        <v>63</v>
      </c>
      <c r="B48" s="886">
        <f>SUM(B47:B47)</f>
        <v>4</v>
      </c>
      <c r="C48" s="925">
        <f>SUM(C47:C47)</f>
        <v>93</v>
      </c>
      <c r="D48" s="888"/>
      <c r="E48" s="889"/>
      <c r="F48" s="889"/>
      <c r="G48" s="889"/>
      <c r="H48" s="889"/>
      <c r="I48" s="889"/>
      <c r="J48" s="889"/>
      <c r="K48" s="889"/>
      <c r="L48" s="890"/>
      <c r="M48" s="158">
        <f t="shared" ref="M48:AC48" si="21">SUM(M47:M47)</f>
        <v>0.5</v>
      </c>
      <c r="N48" s="158">
        <f t="shared" si="21"/>
        <v>0</v>
      </c>
      <c r="O48" s="160">
        <f t="shared" si="21"/>
        <v>0</v>
      </c>
      <c r="P48" s="160">
        <f t="shared" si="21"/>
        <v>0</v>
      </c>
      <c r="Q48" s="160">
        <f t="shared" si="21"/>
        <v>0</v>
      </c>
      <c r="R48" s="161">
        <f t="shared" si="21"/>
        <v>0</v>
      </c>
      <c r="S48" s="160">
        <f t="shared" si="21"/>
        <v>0</v>
      </c>
      <c r="T48" s="163">
        <f t="shared" si="21"/>
        <v>0</v>
      </c>
      <c r="U48" s="158">
        <f t="shared" si="21"/>
        <v>102</v>
      </c>
      <c r="V48" s="158">
        <f t="shared" si="21"/>
        <v>0</v>
      </c>
      <c r="W48" s="160">
        <f t="shared" si="21"/>
        <v>0</v>
      </c>
      <c r="X48" s="160">
        <f t="shared" si="21"/>
        <v>0</v>
      </c>
      <c r="Y48" s="160">
        <f t="shared" si="21"/>
        <v>0</v>
      </c>
      <c r="Z48" s="160">
        <f t="shared" si="21"/>
        <v>0</v>
      </c>
      <c r="AA48" s="160">
        <f t="shared" si="21"/>
        <v>0</v>
      </c>
      <c r="AB48" s="160">
        <f t="shared" si="21"/>
        <v>0</v>
      </c>
      <c r="AC48" s="157">
        <f t="shared" si="21"/>
        <v>48</v>
      </c>
      <c r="AD48" s="157">
        <f>ROUND(N48*960,0)</f>
        <v>0</v>
      </c>
      <c r="AE48" s="164"/>
      <c r="AF48" s="164"/>
      <c r="AG48" s="164"/>
      <c r="AH48" s="164"/>
      <c r="AI48" s="164"/>
      <c r="AJ48" s="156"/>
      <c r="AK48" s="165">
        <f>SUM(AK47:AK47)</f>
        <v>150</v>
      </c>
      <c r="AL48" s="165">
        <f>SUM(AL47:AL47)</f>
        <v>0</v>
      </c>
      <c r="AM48" s="164"/>
      <c r="AN48" s="164"/>
      <c r="AO48" s="164"/>
      <c r="AP48" s="164"/>
      <c r="AQ48" s="164"/>
      <c r="AR48" s="167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141" ht="25.2" thickBot="1" x14ac:dyDescent="0.75">
      <c r="A49" s="969"/>
      <c r="B49" s="887"/>
      <c r="C49" s="926"/>
      <c r="D49" s="891"/>
      <c r="E49" s="892"/>
      <c r="F49" s="892"/>
      <c r="G49" s="892"/>
      <c r="H49" s="892"/>
      <c r="I49" s="892"/>
      <c r="J49" s="892"/>
      <c r="K49" s="892"/>
      <c r="L49" s="893"/>
      <c r="M49" s="896">
        <f>M48+N48</f>
        <v>0.5</v>
      </c>
      <c r="N49" s="898">
        <f>M48+N48</f>
        <v>0.5</v>
      </c>
      <c r="O49" s="899">
        <f>+O48+P48+Q48</f>
        <v>0</v>
      </c>
      <c r="P49" s="900"/>
      <c r="Q49" s="970"/>
      <c r="R49" s="899">
        <f>+R48+S48+T48</f>
        <v>0</v>
      </c>
      <c r="S49" s="900"/>
      <c r="T49" s="970"/>
      <c r="U49" s="971">
        <f>U48+V48</f>
        <v>102</v>
      </c>
      <c r="V49" s="972"/>
      <c r="W49" s="964">
        <f>W48+X48+Y48</f>
        <v>0</v>
      </c>
      <c r="X49" s="965"/>
      <c r="Y49" s="966"/>
      <c r="Z49" s="964">
        <f>Z48+AA48+AB48</f>
        <v>0</v>
      </c>
      <c r="AA49" s="965"/>
      <c r="AB49" s="966"/>
      <c r="AC49" s="912">
        <f>AC48+AD48</f>
        <v>48</v>
      </c>
      <c r="AD49" s="914">
        <f>ROUND(N49*960,0)</f>
        <v>480</v>
      </c>
      <c r="AE49" s="964">
        <f>AE48+AF48+AG48</f>
        <v>0</v>
      </c>
      <c r="AF49" s="965"/>
      <c r="AG49" s="966"/>
      <c r="AH49" s="964">
        <f>AH48+AI48+AJ48</f>
        <v>0</v>
      </c>
      <c r="AI49" s="965"/>
      <c r="AJ49" s="966"/>
      <c r="AK49" s="912">
        <f>AK48+AL48</f>
        <v>150</v>
      </c>
      <c r="AL49" s="913">
        <f>V49+AD49</f>
        <v>480</v>
      </c>
      <c r="AM49" s="964">
        <f>AM48+AN48+AO48</f>
        <v>0</v>
      </c>
      <c r="AN49" s="965"/>
      <c r="AO49" s="966"/>
      <c r="AP49" s="964">
        <f>AP48+AQ48+AR48</f>
        <v>0</v>
      </c>
      <c r="AQ49" s="965"/>
      <c r="AR49" s="967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141" s="180" customFormat="1" ht="39.9" customHeight="1" thickBot="1" x14ac:dyDescent="0.75">
      <c r="A50" s="961" t="s">
        <v>70</v>
      </c>
      <c r="B50" s="962"/>
      <c r="C50" s="962"/>
      <c r="D50" s="962"/>
      <c r="E50" s="962"/>
      <c r="F50" s="962"/>
      <c r="G50" s="962"/>
      <c r="H50" s="962"/>
      <c r="I50" s="962"/>
      <c r="J50" s="962"/>
      <c r="K50" s="962"/>
      <c r="L50" s="962"/>
      <c r="M50" s="962"/>
      <c r="N50" s="962"/>
      <c r="O50" s="962"/>
      <c r="P50" s="962"/>
      <c r="Q50" s="962"/>
      <c r="R50" s="962"/>
      <c r="S50" s="962"/>
      <c r="T50" s="962"/>
      <c r="U50" s="962"/>
      <c r="V50" s="962"/>
      <c r="W50" s="962"/>
      <c r="X50" s="962"/>
      <c r="Y50" s="962"/>
      <c r="Z50" s="962"/>
      <c r="AA50" s="962"/>
      <c r="AB50" s="962"/>
      <c r="AC50" s="962"/>
      <c r="AD50" s="962"/>
      <c r="AE50" s="962"/>
      <c r="AF50" s="962"/>
      <c r="AG50" s="962"/>
      <c r="AH50" s="962"/>
      <c r="AI50" s="962"/>
      <c r="AJ50" s="962"/>
      <c r="AK50" s="962"/>
      <c r="AL50" s="962"/>
      <c r="AM50" s="962"/>
      <c r="AN50" s="962"/>
      <c r="AO50" s="962"/>
      <c r="AP50" s="962"/>
      <c r="AQ50" s="962"/>
      <c r="AR50" s="963"/>
      <c r="AS50" s="176"/>
      <c r="AT50" s="176"/>
      <c r="AU50" s="176"/>
      <c r="AV50" s="176"/>
      <c r="AW50" s="176"/>
      <c r="AX50" s="176"/>
      <c r="AY50" s="176"/>
      <c r="AZ50" s="176"/>
      <c r="BA50" s="176"/>
      <c r="BB50" s="176"/>
      <c r="BC50" s="176"/>
      <c r="BD50" s="176"/>
      <c r="BE50" s="176"/>
      <c r="BF50" s="176"/>
      <c r="BG50" s="176"/>
      <c r="BH50" s="176"/>
      <c r="BI50" s="176"/>
      <c r="BJ50" s="176"/>
      <c r="BK50" s="176"/>
      <c r="BL50" s="176"/>
      <c r="BM50" s="176"/>
      <c r="BN50" s="176"/>
      <c r="BO50" s="176"/>
      <c r="BP50" s="176"/>
      <c r="BQ50" s="176"/>
      <c r="BR50" s="176"/>
      <c r="BS50" s="176"/>
      <c r="BT50" s="176"/>
      <c r="BU50" s="176"/>
      <c r="BV50" s="176"/>
      <c r="BW50" s="176"/>
      <c r="BX50" s="176"/>
      <c r="BY50" s="176"/>
      <c r="BZ50" s="176"/>
      <c r="CA50" s="176"/>
      <c r="CB50" s="176"/>
      <c r="CC50" s="176"/>
      <c r="CD50" s="176"/>
      <c r="CE50" s="176"/>
      <c r="CF50" s="176"/>
      <c r="CG50" s="176"/>
      <c r="CH50" s="176"/>
      <c r="CI50" s="176"/>
      <c r="CJ50" s="176"/>
      <c r="CK50" s="176"/>
      <c r="CL50" s="176"/>
      <c r="CM50" s="176"/>
      <c r="CN50" s="176"/>
      <c r="CO50" s="176"/>
      <c r="CP50" s="176"/>
      <c r="CQ50" s="176"/>
      <c r="CR50" s="176"/>
      <c r="CS50" s="176"/>
      <c r="CT50" s="176"/>
      <c r="CU50" s="176"/>
      <c r="CV50" s="176"/>
      <c r="CW50" s="176"/>
      <c r="CX50" s="176"/>
      <c r="CY50" s="176"/>
      <c r="CZ50" s="176"/>
      <c r="DA50" s="176"/>
      <c r="DB50" s="176"/>
      <c r="DC50" s="176"/>
      <c r="DD50" s="176"/>
      <c r="DE50" s="176"/>
      <c r="DF50" s="176"/>
      <c r="DG50" s="176"/>
      <c r="DH50" s="176"/>
      <c r="DI50" s="176"/>
      <c r="DJ50" s="176"/>
      <c r="DK50" s="176"/>
      <c r="DL50" s="176"/>
      <c r="DM50" s="176"/>
      <c r="DN50" s="176"/>
      <c r="DO50" s="176"/>
      <c r="DP50" s="176"/>
      <c r="DQ50" s="176"/>
      <c r="DR50" s="176"/>
      <c r="DS50" s="176"/>
      <c r="DT50" s="176"/>
      <c r="DU50" s="176"/>
      <c r="DV50" s="176"/>
      <c r="DW50" s="176"/>
      <c r="DX50" s="176"/>
      <c r="DY50" s="176"/>
      <c r="DZ50" s="176"/>
      <c r="EA50" s="176"/>
      <c r="EB50" s="176"/>
      <c r="EC50" s="176"/>
      <c r="ED50" s="176"/>
      <c r="EE50" s="176"/>
      <c r="EF50" s="176"/>
      <c r="EG50" s="176"/>
      <c r="EH50" s="176"/>
      <c r="EI50" s="176"/>
      <c r="EJ50" s="176"/>
      <c r="EK50" s="176"/>
    </row>
    <row r="51" spans="1:141" s="177" customFormat="1" ht="39.9" customHeight="1" thickBot="1" x14ac:dyDescent="0.75">
      <c r="A51" s="943" t="s">
        <v>72</v>
      </c>
      <c r="B51" s="944"/>
      <c r="C51" s="944"/>
      <c r="D51" s="944"/>
      <c r="E51" s="944"/>
      <c r="F51" s="944"/>
      <c r="G51" s="944"/>
      <c r="H51" s="944"/>
      <c r="I51" s="944"/>
      <c r="J51" s="944"/>
      <c r="K51" s="944"/>
      <c r="L51" s="944"/>
      <c r="M51" s="944"/>
      <c r="N51" s="944"/>
      <c r="O51" s="944"/>
      <c r="P51" s="944"/>
      <c r="Q51" s="944"/>
      <c r="R51" s="944"/>
      <c r="S51" s="944"/>
      <c r="T51" s="944"/>
      <c r="U51" s="944"/>
      <c r="V51" s="944"/>
      <c r="W51" s="944"/>
      <c r="X51" s="944"/>
      <c r="Y51" s="944"/>
      <c r="Z51" s="944"/>
      <c r="AA51" s="944"/>
      <c r="AB51" s="944"/>
      <c r="AC51" s="944"/>
      <c r="AD51" s="944"/>
      <c r="AE51" s="944"/>
      <c r="AF51" s="944"/>
      <c r="AG51" s="944"/>
      <c r="AH51" s="944"/>
      <c r="AI51" s="944"/>
      <c r="AJ51" s="944"/>
      <c r="AK51" s="944"/>
      <c r="AL51" s="944"/>
      <c r="AM51" s="944"/>
      <c r="AN51" s="944"/>
      <c r="AO51" s="944"/>
      <c r="AP51" s="944"/>
      <c r="AQ51" s="944"/>
      <c r="AR51" s="945"/>
      <c r="AS51" s="176"/>
      <c r="AT51" s="176"/>
      <c r="AU51" s="176"/>
      <c r="AV51" s="176"/>
      <c r="AW51" s="176"/>
      <c r="AX51" s="176"/>
      <c r="AY51" s="176"/>
      <c r="AZ51" s="176"/>
      <c r="BA51" s="176"/>
      <c r="BB51" s="176"/>
      <c r="BC51" s="176"/>
      <c r="BD51" s="176"/>
      <c r="BE51" s="176"/>
      <c r="BF51" s="176"/>
      <c r="BG51" s="176"/>
      <c r="BH51" s="176"/>
      <c r="BI51" s="176"/>
      <c r="BJ51" s="176"/>
      <c r="BK51" s="176"/>
      <c r="BL51" s="176"/>
      <c r="BM51" s="176"/>
      <c r="BN51" s="176"/>
      <c r="BO51" s="176"/>
      <c r="BP51" s="176"/>
      <c r="BQ51" s="176"/>
      <c r="BR51" s="176"/>
      <c r="BS51" s="176"/>
      <c r="BT51" s="176"/>
      <c r="BU51" s="176"/>
      <c r="BV51" s="176"/>
      <c r="BW51" s="176"/>
      <c r="BX51" s="176"/>
      <c r="BY51" s="176"/>
      <c r="BZ51" s="176"/>
      <c r="CA51" s="176"/>
      <c r="CB51" s="176"/>
      <c r="CC51" s="176"/>
      <c r="CD51" s="176"/>
      <c r="CE51" s="176"/>
      <c r="CF51" s="176"/>
      <c r="CG51" s="176"/>
      <c r="CH51" s="176"/>
      <c r="CI51" s="176"/>
      <c r="CJ51" s="176"/>
      <c r="CK51" s="176"/>
      <c r="CL51" s="176"/>
      <c r="CM51" s="176"/>
      <c r="CN51" s="176"/>
      <c r="CO51" s="176"/>
      <c r="CP51" s="176"/>
      <c r="CQ51" s="176"/>
      <c r="CR51" s="176"/>
      <c r="CS51" s="176"/>
      <c r="CT51" s="176"/>
      <c r="CU51" s="176"/>
      <c r="CV51" s="176"/>
      <c r="CW51" s="176"/>
      <c r="CX51" s="176"/>
      <c r="CY51" s="176"/>
      <c r="CZ51" s="176"/>
      <c r="DA51" s="176"/>
      <c r="DB51" s="176"/>
      <c r="DC51" s="176"/>
      <c r="DD51" s="176"/>
      <c r="DE51" s="176"/>
      <c r="DF51" s="176"/>
      <c r="DG51" s="176"/>
      <c r="DH51" s="176"/>
      <c r="DI51" s="176"/>
      <c r="DJ51" s="176"/>
      <c r="DK51" s="176"/>
      <c r="DL51" s="176"/>
      <c r="DM51" s="176"/>
      <c r="DN51" s="176"/>
      <c r="DO51" s="176"/>
      <c r="DP51" s="176"/>
      <c r="DQ51" s="176"/>
      <c r="DR51" s="176"/>
      <c r="DS51" s="176"/>
      <c r="DT51" s="176"/>
      <c r="DU51" s="176"/>
      <c r="DV51" s="176"/>
      <c r="DW51" s="176"/>
      <c r="DX51" s="176"/>
      <c r="DY51" s="176"/>
      <c r="DZ51" s="176"/>
      <c r="EA51" s="176"/>
      <c r="EB51" s="176"/>
      <c r="EC51" s="176"/>
      <c r="ED51" s="176"/>
      <c r="EE51" s="176"/>
      <c r="EF51" s="176"/>
      <c r="EG51" s="176"/>
      <c r="EH51" s="176"/>
      <c r="EI51" s="176"/>
      <c r="EJ51" s="176"/>
      <c r="EK51" s="176"/>
    </row>
    <row r="52" spans="1:141" x14ac:dyDescent="0.7">
      <c r="A52" s="65" t="s">
        <v>64</v>
      </c>
      <c r="B52" s="66">
        <v>4</v>
      </c>
      <c r="C52" s="67">
        <v>112</v>
      </c>
      <c r="D52" s="46">
        <v>1</v>
      </c>
      <c r="E52" s="10">
        <v>0</v>
      </c>
      <c r="F52" s="10">
        <v>0</v>
      </c>
      <c r="G52" s="9">
        <v>5</v>
      </c>
      <c r="H52" s="10">
        <v>12</v>
      </c>
      <c r="I52" s="11">
        <f>0</f>
        <v>0</v>
      </c>
      <c r="J52" s="9">
        <v>1.1000000000000001</v>
      </c>
      <c r="K52" s="10">
        <v>2</v>
      </c>
      <c r="L52" s="12">
        <v>1.7</v>
      </c>
      <c r="M52" s="9">
        <f>ROUND(C52*G52/1000,0)</f>
        <v>1</v>
      </c>
      <c r="N52" s="46">
        <f>0</f>
        <v>0</v>
      </c>
      <c r="O52" s="10">
        <f>ROUND(C52*H52/1000,0)</f>
        <v>1</v>
      </c>
      <c r="P52" s="10"/>
      <c r="Q52" s="10"/>
      <c r="R52" s="12"/>
      <c r="S52" s="10"/>
      <c r="T52" s="48"/>
      <c r="U52" s="9">
        <f>ROUND(C52*J52,0)</f>
        <v>123</v>
      </c>
      <c r="V52" s="46"/>
      <c r="W52" s="10">
        <f>ROUND(C52*K52,0)</f>
        <v>224</v>
      </c>
      <c r="X52" s="10"/>
      <c r="Y52" s="10"/>
      <c r="Z52" s="10"/>
      <c r="AA52" s="12"/>
      <c r="AB52" s="11"/>
      <c r="AC52" s="46">
        <f>ROUND(M52*95,0)</f>
        <v>95</v>
      </c>
      <c r="AD52" s="46"/>
      <c r="AE52" s="10">
        <f>ROUND(O52*95,0)</f>
        <v>95</v>
      </c>
      <c r="AF52" s="10"/>
      <c r="AG52" s="10"/>
      <c r="AH52" s="12"/>
      <c r="AI52" s="10"/>
      <c r="AJ52" s="47"/>
      <c r="AK52" s="168">
        <f>U52+AC52</f>
        <v>218</v>
      </c>
      <c r="AL52" s="10"/>
      <c r="AM52" s="10">
        <f>AE52+W52</f>
        <v>319</v>
      </c>
      <c r="AN52" s="10"/>
      <c r="AO52" s="10"/>
      <c r="AP52" s="10"/>
      <c r="AQ52" s="10"/>
      <c r="AR52" s="47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</row>
    <row r="53" spans="1:141" ht="25.2" thickBot="1" x14ac:dyDescent="0.75">
      <c r="A53" s="65" t="s">
        <v>65</v>
      </c>
      <c r="B53" s="24">
        <v>113</v>
      </c>
      <c r="C53" s="25">
        <v>2833</v>
      </c>
      <c r="D53" s="31">
        <v>1</v>
      </c>
      <c r="E53" s="10">
        <v>0</v>
      </c>
      <c r="F53" s="10">
        <v>0</v>
      </c>
      <c r="G53" s="27">
        <v>5</v>
      </c>
      <c r="H53" s="28">
        <v>12</v>
      </c>
      <c r="I53" s="29">
        <f>0</f>
        <v>0</v>
      </c>
      <c r="J53" s="27">
        <v>1.1000000000000001</v>
      </c>
      <c r="K53" s="28">
        <v>2</v>
      </c>
      <c r="L53" s="30">
        <v>1.7</v>
      </c>
      <c r="M53" s="13">
        <f>ROUND(C53*G53/1000,0)</f>
        <v>14</v>
      </c>
      <c r="N53" s="46">
        <f>0</f>
        <v>0</v>
      </c>
      <c r="O53" s="14">
        <f>ROUND(C53*H53/1000,0)</f>
        <v>34</v>
      </c>
      <c r="P53" s="14"/>
      <c r="Q53" s="14"/>
      <c r="R53" s="15"/>
      <c r="S53" s="14"/>
      <c r="T53" s="18"/>
      <c r="U53" s="13">
        <f>ROUND(C53*J53,0)</f>
        <v>3116</v>
      </c>
      <c r="V53" s="17"/>
      <c r="W53" s="14">
        <f>ROUND(C53*K53,0)</f>
        <v>5666</v>
      </c>
      <c r="X53" s="14"/>
      <c r="Y53" s="14"/>
      <c r="Z53" s="14"/>
      <c r="AA53" s="15"/>
      <c r="AB53" s="23"/>
      <c r="AC53" s="17">
        <f>ROUND(M53*95,0)</f>
        <v>1330</v>
      </c>
      <c r="AD53" s="17"/>
      <c r="AE53" s="14">
        <f>ROUND(O53*95,0)</f>
        <v>3230</v>
      </c>
      <c r="AF53" s="14"/>
      <c r="AG53" s="14"/>
      <c r="AH53" s="15"/>
      <c r="AI53" s="14"/>
      <c r="AJ53" s="16"/>
      <c r="AK53" s="100">
        <f>U53+AC53</f>
        <v>4446</v>
      </c>
      <c r="AL53" s="14"/>
      <c r="AM53" s="10">
        <f>AE53+W53</f>
        <v>8896</v>
      </c>
      <c r="AN53" s="14"/>
      <c r="AO53" s="14"/>
      <c r="AP53" s="14"/>
      <c r="AQ53" s="14"/>
      <c r="AR53" s="1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</row>
    <row r="54" spans="1:141" ht="25.2" thickBot="1" x14ac:dyDescent="0.75">
      <c r="A54" s="973" t="s">
        <v>25</v>
      </c>
      <c r="B54" s="886">
        <f>SUM(B52:B53)</f>
        <v>117</v>
      </c>
      <c r="C54" s="925">
        <f>SUM(C52:C53)</f>
        <v>2945</v>
      </c>
      <c r="D54" s="888"/>
      <c r="E54" s="889"/>
      <c r="F54" s="889"/>
      <c r="G54" s="889"/>
      <c r="H54" s="889"/>
      <c r="I54" s="889"/>
      <c r="J54" s="889"/>
      <c r="K54" s="889"/>
      <c r="L54" s="890"/>
      <c r="M54" s="158">
        <f>SUM(M52:M53)</f>
        <v>15</v>
      </c>
      <c r="N54" s="158">
        <f>SUM(N51:N53)</f>
        <v>0</v>
      </c>
      <c r="O54" s="160">
        <f>SUM(O52:O53)</f>
        <v>35</v>
      </c>
      <c r="P54" s="160">
        <f>0</f>
        <v>0</v>
      </c>
      <c r="Q54" s="160">
        <f>0</f>
        <v>0</v>
      </c>
      <c r="R54" s="161"/>
      <c r="S54" s="160"/>
      <c r="T54" s="163"/>
      <c r="U54" s="158">
        <f>SUM(U51:U53)</f>
        <v>3239</v>
      </c>
      <c r="V54" s="158">
        <f>SUM(V51:V53)</f>
        <v>0</v>
      </c>
      <c r="W54" s="166">
        <f>W52+W53</f>
        <v>5890</v>
      </c>
      <c r="X54" s="164"/>
      <c r="Y54" s="164"/>
      <c r="Z54" s="164"/>
      <c r="AA54" s="164"/>
      <c r="AB54" s="164"/>
      <c r="AC54" s="157">
        <f>SUM(AC51:AC53)</f>
        <v>1425</v>
      </c>
      <c r="AD54" s="157">
        <f t="shared" ref="AD54:AD58" si="22">ROUND(N54*960,0)</f>
        <v>0</v>
      </c>
      <c r="AE54" s="166">
        <f>AE52+AE53</f>
        <v>3325</v>
      </c>
      <c r="AF54" s="166">
        <f>AF52+AF53</f>
        <v>0</v>
      </c>
      <c r="AG54" s="164"/>
      <c r="AH54" s="164"/>
      <c r="AI54" s="164"/>
      <c r="AJ54" s="156"/>
      <c r="AK54" s="165">
        <f>SUM(AK51:AK53)</f>
        <v>4664</v>
      </c>
      <c r="AL54" s="165">
        <f>SUM(AL51:AL53)</f>
        <v>0</v>
      </c>
      <c r="AM54" s="166">
        <f>AM52+AM53</f>
        <v>9215</v>
      </c>
      <c r="AN54" s="166">
        <f>AN52+AN53</f>
        <v>0</v>
      </c>
      <c r="AO54" s="164"/>
      <c r="AP54" s="164"/>
      <c r="AQ54" s="164"/>
      <c r="AR54" s="167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141" ht="27" thickBot="1" x14ac:dyDescent="0.9">
      <c r="A55" s="974"/>
      <c r="B55" s="887"/>
      <c r="C55" s="926"/>
      <c r="D55" s="891"/>
      <c r="E55" s="892"/>
      <c r="F55" s="892"/>
      <c r="G55" s="892"/>
      <c r="H55" s="892"/>
      <c r="I55" s="892"/>
      <c r="J55" s="892"/>
      <c r="K55" s="892"/>
      <c r="L55" s="893"/>
      <c r="M55" s="896">
        <f>M54+N54</f>
        <v>15</v>
      </c>
      <c r="N55" s="898">
        <f>M54+N54</f>
        <v>15</v>
      </c>
      <c r="O55" s="896">
        <f>+O54+P54+Q54</f>
        <v>35</v>
      </c>
      <c r="P55" s="897"/>
      <c r="Q55" s="898"/>
      <c r="R55" s="899">
        <f>+R54+S54+T54</f>
        <v>0</v>
      </c>
      <c r="S55" s="900"/>
      <c r="T55" s="970"/>
      <c r="U55" s="971">
        <f>U54+V54</f>
        <v>3239</v>
      </c>
      <c r="V55" s="972"/>
      <c r="W55" s="1055">
        <f>W54+X54+Y54</f>
        <v>5890</v>
      </c>
      <c r="X55" s="1056"/>
      <c r="Y55" s="1057"/>
      <c r="Z55" s="964">
        <f>Z54+AA54+AB54</f>
        <v>0</v>
      </c>
      <c r="AA55" s="965"/>
      <c r="AB55" s="966"/>
      <c r="AC55" s="912">
        <f>AC54+AD54</f>
        <v>1425</v>
      </c>
      <c r="AD55" s="914">
        <f t="shared" si="22"/>
        <v>14400</v>
      </c>
      <c r="AE55" s="1055">
        <f>AE54+AF54+AG54</f>
        <v>3325</v>
      </c>
      <c r="AF55" s="1056"/>
      <c r="AG55" s="1057"/>
      <c r="AH55" s="964">
        <f>AH54+AI54+AJ54</f>
        <v>0</v>
      </c>
      <c r="AI55" s="965"/>
      <c r="AJ55" s="966"/>
      <c r="AK55" s="912">
        <f>AK54+AL54</f>
        <v>4664</v>
      </c>
      <c r="AL55" s="913">
        <f t="shared" ref="AL55" si="23">V55+AD55</f>
        <v>14400</v>
      </c>
      <c r="AM55" s="1055">
        <f>AM54+AN54+AO54</f>
        <v>9215</v>
      </c>
      <c r="AN55" s="1056"/>
      <c r="AO55" s="1057"/>
      <c r="AP55" s="964">
        <f>AP54+AQ54+AR54</f>
        <v>0</v>
      </c>
      <c r="AQ55" s="965"/>
      <c r="AR55" s="967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141" s="1" customFormat="1" ht="25.2" thickBot="1" x14ac:dyDescent="0.75">
      <c r="A56" s="52" t="s">
        <v>48</v>
      </c>
      <c r="B56" s="52">
        <v>168</v>
      </c>
      <c r="C56" s="87">
        <v>4192</v>
      </c>
      <c r="D56" s="22">
        <v>1</v>
      </c>
      <c r="E56" s="52">
        <v>0</v>
      </c>
      <c r="F56" s="52">
        <v>0</v>
      </c>
      <c r="G56" s="14">
        <v>5</v>
      </c>
      <c r="H56" s="14">
        <v>12</v>
      </c>
      <c r="I56" s="14">
        <f>0</f>
        <v>0</v>
      </c>
      <c r="J56" s="14">
        <v>1.1000000000000001</v>
      </c>
      <c r="K56" s="14">
        <v>2</v>
      </c>
      <c r="L56" s="14">
        <v>1.7</v>
      </c>
      <c r="M56" s="9">
        <f>ROUND(C56*G56/1000,0)</f>
        <v>21</v>
      </c>
      <c r="N56" s="48"/>
      <c r="O56" s="10">
        <f>ROUND(C56*H56/1000,0)</f>
        <v>50</v>
      </c>
      <c r="P56" s="10">
        <f>0</f>
        <v>0</v>
      </c>
      <c r="Q56" s="10">
        <f>0</f>
        <v>0</v>
      </c>
      <c r="R56" s="12">
        <f>0</f>
        <v>0</v>
      </c>
      <c r="S56" s="10">
        <f>0</f>
        <v>0</v>
      </c>
      <c r="T56" s="48">
        <f>0</f>
        <v>0</v>
      </c>
      <c r="U56" s="9">
        <f>ROUND(C56*J56,0)</f>
        <v>4611</v>
      </c>
      <c r="V56" s="48"/>
      <c r="W56" s="10">
        <f>ROUND(C56*K56,0)</f>
        <v>8384</v>
      </c>
      <c r="X56" s="10"/>
      <c r="Y56" s="10"/>
      <c r="Z56" s="10"/>
      <c r="AA56" s="12"/>
      <c r="AB56" s="11"/>
      <c r="AC56" s="46">
        <f>ROUND(M56*95,0)</f>
        <v>1995</v>
      </c>
      <c r="AD56" s="10">
        <f>0</f>
        <v>0</v>
      </c>
      <c r="AE56" s="14">
        <f>ROUND(O56*95,0)</f>
        <v>4750</v>
      </c>
      <c r="AF56" s="14">
        <f>ROUND(P56*95,0)</f>
        <v>0</v>
      </c>
      <c r="AG56" s="14"/>
      <c r="AH56" s="14"/>
      <c r="AI56" s="14"/>
      <c r="AJ56" s="23"/>
      <c r="AK56" s="13">
        <f>U56+AC56</f>
        <v>6606</v>
      </c>
      <c r="AL56" s="14">
        <f>0</f>
        <v>0</v>
      </c>
      <c r="AM56" s="14">
        <f>AE56+W56</f>
        <v>13134</v>
      </c>
      <c r="AN56" s="14">
        <f>0</f>
        <v>0</v>
      </c>
      <c r="AO56" s="14"/>
      <c r="AP56" s="14"/>
      <c r="AQ56" s="14"/>
      <c r="AR56" s="23"/>
    </row>
    <row r="57" spans="1:141" ht="25.2" thickBot="1" x14ac:dyDescent="0.75">
      <c r="A57" s="968" t="s">
        <v>46</v>
      </c>
      <c r="B57" s="886">
        <f>B56</f>
        <v>168</v>
      </c>
      <c r="C57" s="925">
        <f>C56</f>
        <v>4192</v>
      </c>
      <c r="D57" s="888"/>
      <c r="E57" s="889"/>
      <c r="F57" s="889"/>
      <c r="G57" s="889"/>
      <c r="H57" s="889"/>
      <c r="I57" s="889"/>
      <c r="J57" s="889"/>
      <c r="K57" s="889"/>
      <c r="L57" s="890"/>
      <c r="M57" s="158">
        <f>M56</f>
        <v>21</v>
      </c>
      <c r="N57" s="158">
        <f>N56</f>
        <v>0</v>
      </c>
      <c r="O57" s="160">
        <f>O56</f>
        <v>50</v>
      </c>
      <c r="P57" s="160">
        <f>P56</f>
        <v>0</v>
      </c>
      <c r="Q57" s="160">
        <f>0</f>
        <v>0</v>
      </c>
      <c r="R57" s="161">
        <f t="shared" ref="R57:X57" si="24">R56</f>
        <v>0</v>
      </c>
      <c r="S57" s="160">
        <f t="shared" si="24"/>
        <v>0</v>
      </c>
      <c r="T57" s="163">
        <f t="shared" si="24"/>
        <v>0</v>
      </c>
      <c r="U57" s="158">
        <f t="shared" si="24"/>
        <v>4611</v>
      </c>
      <c r="V57" s="158">
        <f t="shared" si="24"/>
        <v>0</v>
      </c>
      <c r="W57" s="160">
        <f t="shared" si="24"/>
        <v>8384</v>
      </c>
      <c r="X57" s="160">
        <f t="shared" si="24"/>
        <v>0</v>
      </c>
      <c r="Y57" s="160">
        <f>0</f>
        <v>0</v>
      </c>
      <c r="Z57" s="160">
        <f>0</f>
        <v>0</v>
      </c>
      <c r="AA57" s="160">
        <f>0</f>
        <v>0</v>
      </c>
      <c r="AB57" s="160">
        <f>0</f>
        <v>0</v>
      </c>
      <c r="AC57" s="157">
        <f>AC56</f>
        <v>1995</v>
      </c>
      <c r="AD57" s="157">
        <f t="shared" si="22"/>
        <v>0</v>
      </c>
      <c r="AE57" s="175">
        <f>AE56</f>
        <v>4750</v>
      </c>
      <c r="AF57" s="175">
        <f>AF56</f>
        <v>0</v>
      </c>
      <c r="AG57" s="164"/>
      <c r="AH57" s="164"/>
      <c r="AI57" s="164"/>
      <c r="AJ57" s="156"/>
      <c r="AK57" s="165">
        <f>SUM(AC56+U56)</f>
        <v>6606</v>
      </c>
      <c r="AL57" s="165">
        <f>AL56</f>
        <v>0</v>
      </c>
      <c r="AM57" s="175">
        <f>AM56</f>
        <v>13134</v>
      </c>
      <c r="AN57" s="164">
        <f>0</f>
        <v>0</v>
      </c>
      <c r="AO57" s="164"/>
      <c r="AP57" s="164"/>
      <c r="AQ57" s="164"/>
      <c r="AR57" s="167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141" ht="27" thickBot="1" x14ac:dyDescent="0.9">
      <c r="A58" s="969"/>
      <c r="B58" s="887"/>
      <c r="C58" s="926"/>
      <c r="D58" s="891"/>
      <c r="E58" s="892"/>
      <c r="F58" s="892"/>
      <c r="G58" s="892"/>
      <c r="H58" s="892"/>
      <c r="I58" s="892"/>
      <c r="J58" s="892"/>
      <c r="K58" s="892"/>
      <c r="L58" s="893"/>
      <c r="M58" s="896">
        <f>M57+N57</f>
        <v>21</v>
      </c>
      <c r="N58" s="898">
        <f>M57+N57</f>
        <v>21</v>
      </c>
      <c r="O58" s="1058">
        <f>O57+P57</f>
        <v>50</v>
      </c>
      <c r="P58" s="1059"/>
      <c r="Q58" s="1060"/>
      <c r="R58" s="899">
        <f>R57+S57+T57</f>
        <v>0</v>
      </c>
      <c r="S58" s="900"/>
      <c r="T58" s="970"/>
      <c r="U58" s="971">
        <f>U57+V57</f>
        <v>4611</v>
      </c>
      <c r="V58" s="972"/>
      <c r="W58" s="1055">
        <f>W57+X57+Y57</f>
        <v>8384</v>
      </c>
      <c r="X58" s="1056"/>
      <c r="Y58" s="1057"/>
      <c r="Z58" s="964">
        <f>Z57+AA57+AB57</f>
        <v>0</v>
      </c>
      <c r="AA58" s="965"/>
      <c r="AB58" s="966"/>
      <c r="AC58" s="912">
        <f>AC57+AD57</f>
        <v>1995</v>
      </c>
      <c r="AD58" s="914">
        <f t="shared" si="22"/>
        <v>20160</v>
      </c>
      <c r="AE58" s="1055">
        <f>AE57+AF57+AG57</f>
        <v>4750</v>
      </c>
      <c r="AF58" s="1056"/>
      <c r="AG58" s="1057"/>
      <c r="AH58" s="964">
        <f>AH57+AI57+AJ57</f>
        <v>0</v>
      </c>
      <c r="AI58" s="965"/>
      <c r="AJ58" s="966"/>
      <c r="AK58" s="912">
        <f>AK57+AL57</f>
        <v>6606</v>
      </c>
      <c r="AL58" s="913">
        <f t="shared" ref="AL58" si="25">V58+AD58</f>
        <v>20160</v>
      </c>
      <c r="AM58" s="1055">
        <f>AM57+AN57+AO57</f>
        <v>13134</v>
      </c>
      <c r="AN58" s="1056"/>
      <c r="AO58" s="1057"/>
      <c r="AP58" s="964">
        <f>AP57+AQ57+AR57</f>
        <v>0</v>
      </c>
      <c r="AQ58" s="965"/>
      <c r="AR58" s="967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141" s="68" customFormat="1" ht="39.9" customHeight="1" thickBot="1" x14ac:dyDescent="0.75">
      <c r="A59" s="938" t="s">
        <v>71</v>
      </c>
      <c r="B59" s="939"/>
      <c r="C59" s="939"/>
      <c r="D59" s="939"/>
      <c r="E59" s="939"/>
      <c r="F59" s="939"/>
      <c r="G59" s="939"/>
      <c r="H59" s="939"/>
      <c r="I59" s="939"/>
      <c r="J59" s="939"/>
      <c r="K59" s="939"/>
      <c r="L59" s="939"/>
      <c r="M59" s="939"/>
      <c r="N59" s="939"/>
      <c r="O59" s="939"/>
      <c r="P59" s="939"/>
      <c r="Q59" s="939"/>
      <c r="R59" s="939"/>
      <c r="S59" s="939"/>
      <c r="T59" s="939"/>
      <c r="U59" s="939"/>
      <c r="V59" s="939"/>
      <c r="W59" s="939"/>
      <c r="X59" s="939"/>
      <c r="Y59" s="939"/>
      <c r="Z59" s="939"/>
      <c r="AA59" s="939"/>
      <c r="AB59" s="939"/>
      <c r="AC59" s="939"/>
      <c r="AD59" s="939"/>
      <c r="AE59" s="939"/>
      <c r="AF59" s="939"/>
      <c r="AG59" s="939"/>
      <c r="AH59" s="939"/>
      <c r="AI59" s="939"/>
      <c r="AJ59" s="939"/>
      <c r="AK59" s="939"/>
      <c r="AL59" s="939"/>
      <c r="AM59" s="939"/>
      <c r="AN59" s="939"/>
      <c r="AO59" s="939"/>
      <c r="AP59" s="939"/>
      <c r="AQ59" s="939"/>
      <c r="AR59" s="940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  <c r="DG59" s="69"/>
      <c r="DH59" s="69"/>
      <c r="DI59" s="69"/>
      <c r="DJ59" s="69"/>
      <c r="DK59" s="69"/>
      <c r="DL59" s="69"/>
      <c r="DM59" s="69"/>
      <c r="DN59" s="69"/>
      <c r="DO59" s="69"/>
      <c r="DP59" s="69"/>
      <c r="DQ59" s="69"/>
      <c r="DR59" s="69"/>
      <c r="DS59" s="69"/>
      <c r="DT59" s="69"/>
      <c r="DU59" s="69"/>
      <c r="DV59" s="69"/>
      <c r="DW59" s="69"/>
      <c r="DX59" s="69"/>
      <c r="DY59" s="69"/>
      <c r="DZ59" s="69"/>
      <c r="EA59" s="69"/>
      <c r="EB59" s="69"/>
      <c r="EC59" s="69"/>
      <c r="ED59" s="69"/>
      <c r="EE59" s="69"/>
      <c r="EF59" s="69"/>
      <c r="EG59" s="69"/>
      <c r="EH59" s="69"/>
      <c r="EI59" s="69"/>
      <c r="EJ59" s="69"/>
      <c r="EK59" s="69"/>
    </row>
    <row r="60" spans="1:141" x14ac:dyDescent="0.7">
      <c r="A60" s="43" t="s">
        <v>66</v>
      </c>
      <c r="B60" s="44">
        <v>111</v>
      </c>
      <c r="C60" s="45">
        <v>2785</v>
      </c>
      <c r="D60" s="7">
        <v>1</v>
      </c>
      <c r="E60" s="8">
        <v>0</v>
      </c>
      <c r="F60" s="8">
        <v>0</v>
      </c>
      <c r="G60" s="9">
        <v>5</v>
      </c>
      <c r="H60" s="10">
        <v>12</v>
      </c>
      <c r="I60" s="11">
        <f>0</f>
        <v>0</v>
      </c>
      <c r="J60" s="9">
        <v>1.1000000000000001</v>
      </c>
      <c r="K60" s="10">
        <v>2</v>
      </c>
      <c r="L60" s="12">
        <v>1.7</v>
      </c>
      <c r="M60" s="9">
        <f>ROUND(C60*G60/1000,0)</f>
        <v>14</v>
      </c>
      <c r="N60" s="46"/>
      <c r="O60" s="10">
        <f>ROUND(C60*H60/1000,0)</f>
        <v>33</v>
      </c>
      <c r="P60" s="10">
        <f>0</f>
        <v>0</v>
      </c>
      <c r="Q60" s="10">
        <f>0</f>
        <v>0</v>
      </c>
      <c r="R60" s="12">
        <f>0</f>
        <v>0</v>
      </c>
      <c r="S60" s="10">
        <f>0</f>
        <v>0</v>
      </c>
      <c r="T60" s="48">
        <f>0</f>
        <v>0</v>
      </c>
      <c r="U60" s="9">
        <f>ROUND(C60*J60,0)</f>
        <v>3064</v>
      </c>
      <c r="V60" s="46"/>
      <c r="W60" s="10">
        <f>ROUND(C60*K60,0)</f>
        <v>5570</v>
      </c>
      <c r="X60" s="10"/>
      <c r="Y60" s="10"/>
      <c r="Z60" s="10"/>
      <c r="AA60" s="12"/>
      <c r="AB60" s="11"/>
      <c r="AC60" s="46">
        <f>ROUND(M60*95,0)</f>
        <v>1330</v>
      </c>
      <c r="AD60" s="46">
        <f>0</f>
        <v>0</v>
      </c>
      <c r="AE60" s="10">
        <f>ROUND(O60*95,0)</f>
        <v>3135</v>
      </c>
      <c r="AF60" s="10">
        <f t="shared" ref="AF60:AF63" si="26">ROUND(P60*95,0)</f>
        <v>0</v>
      </c>
      <c r="AG60" s="10"/>
      <c r="AH60" s="12"/>
      <c r="AI60" s="10"/>
      <c r="AJ60" s="47"/>
      <c r="AK60" s="168">
        <f>U60+AC60</f>
        <v>4394</v>
      </c>
      <c r="AL60" s="10">
        <f>0</f>
        <v>0</v>
      </c>
      <c r="AM60" s="10">
        <f t="shared" ref="AM60:AM63" si="27">AE60+W60</f>
        <v>8705</v>
      </c>
      <c r="AN60" s="10">
        <f>0</f>
        <v>0</v>
      </c>
      <c r="AO60" s="10"/>
      <c r="AP60" s="10"/>
      <c r="AQ60" s="10"/>
      <c r="AR60" s="47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56"/>
      <c r="DA60" s="56"/>
      <c r="DB60" s="56"/>
      <c r="DC60" s="56"/>
      <c r="DD60" s="56"/>
      <c r="DE60" s="56"/>
      <c r="DF60" s="56"/>
      <c r="DG60" s="56"/>
      <c r="DH60" s="56"/>
      <c r="DI60" s="56"/>
      <c r="DJ60" s="56"/>
      <c r="DK60" s="56"/>
      <c r="DL60" s="5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</row>
    <row r="61" spans="1:141" x14ac:dyDescent="0.7">
      <c r="A61" s="43" t="s">
        <v>67</v>
      </c>
      <c r="B61" s="50">
        <v>97</v>
      </c>
      <c r="C61" s="51">
        <v>2421</v>
      </c>
      <c r="D61" s="7">
        <v>1</v>
      </c>
      <c r="E61" s="8">
        <v>0</v>
      </c>
      <c r="F61" s="8">
        <v>0</v>
      </c>
      <c r="G61" s="13">
        <v>5</v>
      </c>
      <c r="H61" s="14">
        <v>12</v>
      </c>
      <c r="I61" s="23">
        <f>0</f>
        <v>0</v>
      </c>
      <c r="J61" s="13">
        <v>1.1000000000000001</v>
      </c>
      <c r="K61" s="14">
        <v>2</v>
      </c>
      <c r="L61" s="15">
        <v>1.7</v>
      </c>
      <c r="M61" s="13">
        <f>ROUND(C61*G61/1000,0)</f>
        <v>12</v>
      </c>
      <c r="N61" s="17"/>
      <c r="O61" s="14">
        <f>ROUND(C61*H61/1000,0)</f>
        <v>29</v>
      </c>
      <c r="P61" s="14">
        <f>0</f>
        <v>0</v>
      </c>
      <c r="Q61" s="14">
        <f>0</f>
        <v>0</v>
      </c>
      <c r="R61" s="15">
        <f>0</f>
        <v>0</v>
      </c>
      <c r="S61" s="14">
        <f>0</f>
        <v>0</v>
      </c>
      <c r="T61" s="18">
        <f>0</f>
        <v>0</v>
      </c>
      <c r="U61" s="13">
        <f>ROUND(C61*J61,0)</f>
        <v>2663</v>
      </c>
      <c r="V61" s="17"/>
      <c r="W61" s="14">
        <f>ROUND(C61*K61,0)</f>
        <v>4842</v>
      </c>
      <c r="X61" s="14"/>
      <c r="Y61" s="14"/>
      <c r="Z61" s="14"/>
      <c r="AA61" s="15"/>
      <c r="AB61" s="23"/>
      <c r="AC61" s="17">
        <f>ROUND(M61*95,0)</f>
        <v>1140</v>
      </c>
      <c r="AD61" s="17">
        <f>0</f>
        <v>0</v>
      </c>
      <c r="AE61" s="14">
        <f>ROUND(O61*95,0)</f>
        <v>2755</v>
      </c>
      <c r="AF61" s="14">
        <f t="shared" si="26"/>
        <v>0</v>
      </c>
      <c r="AG61" s="14"/>
      <c r="AH61" s="15"/>
      <c r="AI61" s="14"/>
      <c r="AJ61" s="16"/>
      <c r="AK61" s="100">
        <f>U61+AC61</f>
        <v>3803</v>
      </c>
      <c r="AL61" s="14">
        <f>0</f>
        <v>0</v>
      </c>
      <c r="AM61" s="14">
        <f t="shared" si="27"/>
        <v>7597</v>
      </c>
      <c r="AN61" s="14">
        <f>0</f>
        <v>0</v>
      </c>
      <c r="AO61" s="14"/>
      <c r="AP61" s="14"/>
      <c r="AQ61" s="14"/>
      <c r="AR61" s="1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  <c r="CZ61" s="56"/>
      <c r="DA61" s="56"/>
      <c r="DB61" s="56"/>
      <c r="DC61" s="56"/>
      <c r="DD61" s="56"/>
      <c r="DE61" s="56"/>
      <c r="DF61" s="56"/>
      <c r="DG61" s="56"/>
      <c r="DH61" s="56"/>
      <c r="DI61" s="56"/>
      <c r="DJ61" s="56"/>
      <c r="DK61" s="56"/>
      <c r="DL61" s="5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</row>
    <row r="62" spans="1:141" x14ac:dyDescent="0.7">
      <c r="A62" s="43" t="s">
        <v>68</v>
      </c>
      <c r="B62" s="50">
        <v>151</v>
      </c>
      <c r="C62" s="51">
        <v>3764</v>
      </c>
      <c r="D62" s="7">
        <v>1</v>
      </c>
      <c r="E62" s="8">
        <v>0</v>
      </c>
      <c r="F62" s="8">
        <v>0</v>
      </c>
      <c r="G62" s="13">
        <v>5</v>
      </c>
      <c r="H62" s="14">
        <v>12</v>
      </c>
      <c r="I62" s="23">
        <f>0</f>
        <v>0</v>
      </c>
      <c r="J62" s="13">
        <v>1.1000000000000001</v>
      </c>
      <c r="K62" s="14">
        <v>2</v>
      </c>
      <c r="L62" s="15">
        <v>1.7</v>
      </c>
      <c r="M62" s="13">
        <f>ROUND(C62*G62/1000,0)</f>
        <v>19</v>
      </c>
      <c r="N62" s="17"/>
      <c r="O62" s="14">
        <f>ROUND(C62*H62/1000,0)</f>
        <v>45</v>
      </c>
      <c r="P62" s="14">
        <f>0</f>
        <v>0</v>
      </c>
      <c r="Q62" s="14">
        <f>0</f>
        <v>0</v>
      </c>
      <c r="R62" s="15">
        <f>0</f>
        <v>0</v>
      </c>
      <c r="S62" s="14">
        <f>0</f>
        <v>0</v>
      </c>
      <c r="T62" s="18">
        <f>0</f>
        <v>0</v>
      </c>
      <c r="U62" s="13">
        <f>ROUND(C62*J62,0)</f>
        <v>4140</v>
      </c>
      <c r="V62" s="17"/>
      <c r="W62" s="14">
        <f>ROUND(C62*K62,0)</f>
        <v>7528</v>
      </c>
      <c r="X62" s="14"/>
      <c r="Y62" s="14"/>
      <c r="Z62" s="14"/>
      <c r="AA62" s="15"/>
      <c r="AB62" s="23"/>
      <c r="AC62" s="17">
        <f>ROUND(M62*95,0)</f>
        <v>1805</v>
      </c>
      <c r="AD62" s="17">
        <f>0</f>
        <v>0</v>
      </c>
      <c r="AE62" s="14">
        <f t="shared" ref="AE62:AE63" si="28">ROUND(O62*95,0)</f>
        <v>4275</v>
      </c>
      <c r="AF62" s="14">
        <f t="shared" si="26"/>
        <v>0</v>
      </c>
      <c r="AG62" s="14"/>
      <c r="AH62" s="15"/>
      <c r="AI62" s="14"/>
      <c r="AJ62" s="16"/>
      <c r="AK62" s="100">
        <f t="shared" ref="AK62:AK63" si="29">U62+AC62</f>
        <v>5945</v>
      </c>
      <c r="AL62" s="14">
        <f>0</f>
        <v>0</v>
      </c>
      <c r="AM62" s="14">
        <f t="shared" si="27"/>
        <v>11803</v>
      </c>
      <c r="AN62" s="14">
        <f>0</f>
        <v>0</v>
      </c>
      <c r="AO62" s="14"/>
      <c r="AP62" s="14"/>
      <c r="AQ62" s="14"/>
      <c r="AR62" s="1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</row>
    <row r="63" spans="1:141" ht="25.2" thickBot="1" x14ac:dyDescent="0.75">
      <c r="A63" s="43" t="s">
        <v>69</v>
      </c>
      <c r="B63" s="54">
        <v>116</v>
      </c>
      <c r="C63" s="55">
        <v>2893</v>
      </c>
      <c r="D63" s="7">
        <v>1</v>
      </c>
      <c r="E63" s="8">
        <v>0</v>
      </c>
      <c r="F63" s="8">
        <v>0</v>
      </c>
      <c r="G63" s="27">
        <v>5</v>
      </c>
      <c r="H63" s="28">
        <v>12</v>
      </c>
      <c r="I63" s="29">
        <f>0</f>
        <v>0</v>
      </c>
      <c r="J63" s="27">
        <v>1.1000000000000001</v>
      </c>
      <c r="K63" s="28">
        <v>2</v>
      </c>
      <c r="L63" s="30">
        <v>1.7</v>
      </c>
      <c r="M63" s="13">
        <f>ROUND(C63*G63/1000,0)</f>
        <v>14</v>
      </c>
      <c r="N63" s="17"/>
      <c r="O63" s="14">
        <f>ROUND(C63*H63/1000,0)</f>
        <v>35</v>
      </c>
      <c r="P63" s="14">
        <f>0</f>
        <v>0</v>
      </c>
      <c r="Q63" s="14">
        <f>0</f>
        <v>0</v>
      </c>
      <c r="R63" s="15">
        <f>0</f>
        <v>0</v>
      </c>
      <c r="S63" s="14">
        <f>0</f>
        <v>0</v>
      </c>
      <c r="T63" s="18">
        <f>0</f>
        <v>0</v>
      </c>
      <c r="U63" s="13">
        <f>ROUND(C63*J63,0)</f>
        <v>3182</v>
      </c>
      <c r="V63" s="17"/>
      <c r="W63" s="14">
        <f>ROUND(C63*K63,0)</f>
        <v>5786</v>
      </c>
      <c r="X63" s="14"/>
      <c r="Y63" s="14"/>
      <c r="Z63" s="14"/>
      <c r="AA63" s="15"/>
      <c r="AB63" s="23"/>
      <c r="AC63" s="17">
        <f>ROUND(M63*95,0)</f>
        <v>1330</v>
      </c>
      <c r="AD63" s="17">
        <f>0</f>
        <v>0</v>
      </c>
      <c r="AE63" s="14">
        <f t="shared" si="28"/>
        <v>3325</v>
      </c>
      <c r="AF63" s="14">
        <f t="shared" si="26"/>
        <v>0</v>
      </c>
      <c r="AG63" s="14"/>
      <c r="AH63" s="15"/>
      <c r="AI63" s="14"/>
      <c r="AJ63" s="16"/>
      <c r="AK63" s="100">
        <f t="shared" si="29"/>
        <v>4512</v>
      </c>
      <c r="AL63" s="14">
        <f>0</f>
        <v>0</v>
      </c>
      <c r="AM63" s="14">
        <f t="shared" si="27"/>
        <v>9111</v>
      </c>
      <c r="AN63" s="14">
        <f>0</f>
        <v>0</v>
      </c>
      <c r="AO63" s="14"/>
      <c r="AP63" s="14"/>
      <c r="AQ63" s="14"/>
      <c r="AR63" s="1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  <c r="CZ63" s="56"/>
      <c r="DA63" s="56"/>
      <c r="DB63" s="56"/>
      <c r="DC63" s="56"/>
      <c r="DD63" s="56"/>
      <c r="DE63" s="56"/>
      <c r="DF63" s="56"/>
      <c r="DG63" s="56"/>
      <c r="DH63" s="56"/>
      <c r="DI63" s="56"/>
      <c r="DJ63" s="56"/>
      <c r="DK63" s="56"/>
      <c r="DL63" s="56"/>
      <c r="DM63" s="56"/>
      <c r="DN63" s="56"/>
      <c r="DO63" s="56"/>
      <c r="DP63" s="56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</row>
    <row r="64" spans="1:141" ht="25.2" thickBot="1" x14ac:dyDescent="0.75">
      <c r="A64" s="1047" t="s">
        <v>36</v>
      </c>
      <c r="B64" s="886">
        <f>SUM(B60:B63)</f>
        <v>475</v>
      </c>
      <c r="C64" s="925">
        <f>SUM(C60:C63)</f>
        <v>11863</v>
      </c>
      <c r="D64" s="888"/>
      <c r="E64" s="889"/>
      <c r="F64" s="889"/>
      <c r="G64" s="889"/>
      <c r="H64" s="889"/>
      <c r="I64" s="889"/>
      <c r="J64" s="889"/>
      <c r="K64" s="889"/>
      <c r="L64" s="890"/>
      <c r="M64" s="158">
        <f>SUM(M60:M63)</f>
        <v>59</v>
      </c>
      <c r="N64" s="158">
        <f>SUM(N61:N63)</f>
        <v>0</v>
      </c>
      <c r="O64" s="160">
        <f>SUM(O60:O63)</f>
        <v>142</v>
      </c>
      <c r="P64" s="160">
        <f>0</f>
        <v>0</v>
      </c>
      <c r="Q64" s="160">
        <f>0</f>
        <v>0</v>
      </c>
      <c r="R64" s="161"/>
      <c r="S64" s="160"/>
      <c r="T64" s="163"/>
      <c r="U64" s="158">
        <f>SUM(U60:U63)</f>
        <v>13049</v>
      </c>
      <c r="V64" s="158">
        <f>SUM(V60:V63)</f>
        <v>0</v>
      </c>
      <c r="W64" s="175">
        <f>SUM(W60:W63)</f>
        <v>23726</v>
      </c>
      <c r="X64" s="164"/>
      <c r="Y64" s="164"/>
      <c r="Z64" s="164"/>
      <c r="AA64" s="164"/>
      <c r="AB64" s="164"/>
      <c r="AC64" s="157">
        <f>SUM(AC60:AC63)</f>
        <v>5605</v>
      </c>
      <c r="AD64" s="157">
        <f t="shared" ref="AD64:AD65" si="30">ROUND(N64*960,0)</f>
        <v>0</v>
      </c>
      <c r="AE64" s="166">
        <f>SUM(AE60:AE63)</f>
        <v>13490</v>
      </c>
      <c r="AF64" s="166">
        <f>AF62+AF63</f>
        <v>0</v>
      </c>
      <c r="AG64" s="164"/>
      <c r="AH64" s="164"/>
      <c r="AI64" s="164"/>
      <c r="AJ64" s="156"/>
      <c r="AK64" s="165">
        <f>SUM(AK60:AK63)</f>
        <v>18654</v>
      </c>
      <c r="AL64" s="165">
        <f>SUM(AL61:AL63)</f>
        <v>0</v>
      </c>
      <c r="AM64" s="166">
        <f>SUM(AM60:AM63)</f>
        <v>37216</v>
      </c>
      <c r="AN64" s="166">
        <f>AN62+AN63</f>
        <v>0</v>
      </c>
      <c r="AO64" s="164"/>
      <c r="AP64" s="164"/>
      <c r="AQ64" s="164"/>
      <c r="AR64" s="167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141" ht="27" thickBot="1" x14ac:dyDescent="0.9">
      <c r="A65" s="1048"/>
      <c r="B65" s="887"/>
      <c r="C65" s="926"/>
      <c r="D65" s="891"/>
      <c r="E65" s="892"/>
      <c r="F65" s="892"/>
      <c r="G65" s="892"/>
      <c r="H65" s="892"/>
      <c r="I65" s="892"/>
      <c r="J65" s="892"/>
      <c r="K65" s="892"/>
      <c r="L65" s="893"/>
      <c r="M65" s="896">
        <f>M64+N64</f>
        <v>59</v>
      </c>
      <c r="N65" s="898">
        <f>M64+N64</f>
        <v>59</v>
      </c>
      <c r="O65" s="896">
        <f>+O64+P64+Q64</f>
        <v>142</v>
      </c>
      <c r="P65" s="897"/>
      <c r="Q65" s="898"/>
      <c r="R65" s="899">
        <f>+R64+S64+T64</f>
        <v>0</v>
      </c>
      <c r="S65" s="900"/>
      <c r="T65" s="970"/>
      <c r="U65" s="971">
        <f>U64+V64</f>
        <v>13049</v>
      </c>
      <c r="V65" s="972"/>
      <c r="W65" s="1055">
        <f>W64+X64+Y64</f>
        <v>23726</v>
      </c>
      <c r="X65" s="1056"/>
      <c r="Y65" s="1057"/>
      <c r="Z65" s="964">
        <f>Z64+AA64+AB64</f>
        <v>0</v>
      </c>
      <c r="AA65" s="965"/>
      <c r="AB65" s="966"/>
      <c r="AC65" s="912">
        <f>AC64+AD64</f>
        <v>5605</v>
      </c>
      <c r="AD65" s="914">
        <f t="shared" si="30"/>
        <v>56640</v>
      </c>
      <c r="AE65" s="1055">
        <f>AE64+AF64+AG64</f>
        <v>13490</v>
      </c>
      <c r="AF65" s="1056"/>
      <c r="AG65" s="1057"/>
      <c r="AH65" s="964">
        <f>AH64+AI64+AJ64</f>
        <v>0</v>
      </c>
      <c r="AI65" s="965"/>
      <c r="AJ65" s="966"/>
      <c r="AK65" s="912">
        <f>AK64+AL64</f>
        <v>18654</v>
      </c>
      <c r="AL65" s="913">
        <f t="shared" ref="AL65" si="31">V65+AD65</f>
        <v>56640</v>
      </c>
      <c r="AM65" s="1055">
        <f>AM64+AN64+AO64</f>
        <v>37216</v>
      </c>
      <c r="AN65" s="1056"/>
      <c r="AO65" s="1057"/>
      <c r="AP65" s="964">
        <f>AP64+AQ64+AR64</f>
        <v>0</v>
      </c>
      <c r="AQ65" s="965"/>
      <c r="AR65" s="967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141" s="180" customFormat="1" ht="39.9" customHeight="1" thickBot="1" x14ac:dyDescent="0.75">
      <c r="A66" s="961" t="s">
        <v>76</v>
      </c>
      <c r="B66" s="962"/>
      <c r="C66" s="962"/>
      <c r="D66" s="962"/>
      <c r="E66" s="962"/>
      <c r="F66" s="962"/>
      <c r="G66" s="962"/>
      <c r="H66" s="962"/>
      <c r="I66" s="962"/>
      <c r="J66" s="962"/>
      <c r="K66" s="962"/>
      <c r="L66" s="962"/>
      <c r="M66" s="962"/>
      <c r="N66" s="962"/>
      <c r="O66" s="962"/>
      <c r="P66" s="962"/>
      <c r="Q66" s="962"/>
      <c r="R66" s="962"/>
      <c r="S66" s="962"/>
      <c r="T66" s="962"/>
      <c r="U66" s="962"/>
      <c r="V66" s="962"/>
      <c r="W66" s="962"/>
      <c r="X66" s="962"/>
      <c r="Y66" s="962"/>
      <c r="Z66" s="962"/>
      <c r="AA66" s="962"/>
      <c r="AB66" s="962"/>
      <c r="AC66" s="962"/>
      <c r="AD66" s="962"/>
      <c r="AE66" s="962"/>
      <c r="AF66" s="962"/>
      <c r="AG66" s="962"/>
      <c r="AH66" s="962"/>
      <c r="AI66" s="962"/>
      <c r="AJ66" s="962"/>
      <c r="AK66" s="962"/>
      <c r="AL66" s="962"/>
      <c r="AM66" s="962"/>
      <c r="AN66" s="962"/>
      <c r="AO66" s="962"/>
      <c r="AP66" s="962"/>
      <c r="AQ66" s="962"/>
      <c r="AR66" s="963"/>
      <c r="AS66" s="176"/>
      <c r="AT66" s="176"/>
      <c r="AU66" s="176"/>
      <c r="AV66" s="176"/>
      <c r="AW66" s="176"/>
      <c r="AX66" s="176"/>
      <c r="AY66" s="176"/>
      <c r="AZ66" s="176"/>
      <c r="BA66" s="176"/>
      <c r="BB66" s="176"/>
      <c r="BC66" s="176"/>
      <c r="BD66" s="176"/>
      <c r="BE66" s="176"/>
      <c r="BF66" s="176"/>
      <c r="BG66" s="176"/>
      <c r="BH66" s="176"/>
      <c r="BI66" s="176"/>
      <c r="BJ66" s="176"/>
      <c r="BK66" s="176"/>
      <c r="BL66" s="176"/>
      <c r="BM66" s="176"/>
      <c r="BN66" s="176"/>
      <c r="BO66" s="176"/>
      <c r="BP66" s="176"/>
      <c r="BQ66" s="176"/>
      <c r="BR66" s="176"/>
      <c r="BS66" s="176"/>
      <c r="BT66" s="176"/>
      <c r="BU66" s="176"/>
      <c r="BV66" s="176"/>
      <c r="BW66" s="176"/>
      <c r="BX66" s="176"/>
      <c r="BY66" s="176"/>
      <c r="BZ66" s="176"/>
      <c r="CA66" s="176"/>
      <c r="CB66" s="176"/>
      <c r="CC66" s="176"/>
      <c r="CD66" s="176"/>
      <c r="CE66" s="176"/>
      <c r="CF66" s="176"/>
      <c r="CG66" s="176"/>
      <c r="CH66" s="176"/>
      <c r="CI66" s="176"/>
      <c r="CJ66" s="176"/>
      <c r="CK66" s="176"/>
      <c r="CL66" s="176"/>
      <c r="CM66" s="176"/>
      <c r="CN66" s="176"/>
      <c r="CO66" s="176"/>
      <c r="CP66" s="176"/>
      <c r="CQ66" s="176"/>
      <c r="CR66" s="176"/>
      <c r="CS66" s="176"/>
      <c r="CT66" s="176"/>
      <c r="CU66" s="176"/>
      <c r="CV66" s="176"/>
      <c r="CW66" s="176"/>
      <c r="CX66" s="176"/>
      <c r="CY66" s="176"/>
      <c r="CZ66" s="176"/>
      <c r="DA66" s="176"/>
      <c r="DB66" s="176"/>
      <c r="DC66" s="176"/>
      <c r="DD66" s="176"/>
      <c r="DE66" s="176"/>
      <c r="DF66" s="176"/>
      <c r="DG66" s="176"/>
      <c r="DH66" s="176"/>
      <c r="DI66" s="176"/>
      <c r="DJ66" s="176"/>
      <c r="DK66" s="176"/>
      <c r="DL66" s="176"/>
      <c r="DM66" s="176"/>
      <c r="DN66" s="176"/>
      <c r="DO66" s="176"/>
      <c r="DP66" s="176"/>
      <c r="DQ66" s="176"/>
      <c r="DR66" s="176"/>
      <c r="DS66" s="176"/>
      <c r="DT66" s="176"/>
      <c r="DU66" s="176"/>
      <c r="DV66" s="176"/>
      <c r="DW66" s="176"/>
      <c r="DX66" s="176"/>
      <c r="DY66" s="176"/>
      <c r="DZ66" s="176"/>
      <c r="EA66" s="176"/>
      <c r="EB66" s="176"/>
      <c r="EC66" s="176"/>
      <c r="ED66" s="176"/>
      <c r="EE66" s="176"/>
      <c r="EF66" s="176"/>
      <c r="EG66" s="176"/>
      <c r="EH66" s="176"/>
      <c r="EI66" s="176"/>
      <c r="EJ66" s="176"/>
      <c r="EK66" s="176"/>
    </row>
    <row r="67" spans="1:141" s="177" customFormat="1" ht="39.9" customHeight="1" thickBot="1" x14ac:dyDescent="0.75">
      <c r="A67" s="943" t="s">
        <v>75</v>
      </c>
      <c r="B67" s="944"/>
      <c r="C67" s="944"/>
      <c r="D67" s="944"/>
      <c r="E67" s="944"/>
      <c r="F67" s="944"/>
      <c r="G67" s="944"/>
      <c r="H67" s="944"/>
      <c r="I67" s="944"/>
      <c r="J67" s="944"/>
      <c r="K67" s="944"/>
      <c r="L67" s="944"/>
      <c r="M67" s="944"/>
      <c r="N67" s="944"/>
      <c r="O67" s="944"/>
      <c r="P67" s="944"/>
      <c r="Q67" s="944"/>
      <c r="R67" s="944"/>
      <c r="S67" s="944"/>
      <c r="T67" s="944"/>
      <c r="U67" s="944"/>
      <c r="V67" s="944"/>
      <c r="W67" s="944"/>
      <c r="X67" s="944"/>
      <c r="Y67" s="944"/>
      <c r="Z67" s="944"/>
      <c r="AA67" s="944"/>
      <c r="AB67" s="944"/>
      <c r="AC67" s="944"/>
      <c r="AD67" s="944"/>
      <c r="AE67" s="944"/>
      <c r="AF67" s="944"/>
      <c r="AG67" s="944"/>
      <c r="AH67" s="944"/>
      <c r="AI67" s="944"/>
      <c r="AJ67" s="944"/>
      <c r="AK67" s="944"/>
      <c r="AL67" s="944"/>
      <c r="AM67" s="944"/>
      <c r="AN67" s="944"/>
      <c r="AO67" s="944"/>
      <c r="AP67" s="944"/>
      <c r="AQ67" s="944"/>
      <c r="AR67" s="945"/>
      <c r="AS67" s="176"/>
      <c r="AT67" s="176"/>
      <c r="AU67" s="176"/>
      <c r="AV67" s="176"/>
      <c r="AW67" s="176"/>
      <c r="AX67" s="176"/>
      <c r="AY67" s="176"/>
      <c r="AZ67" s="176"/>
      <c r="BA67" s="176"/>
      <c r="BB67" s="176"/>
      <c r="BC67" s="176"/>
      <c r="BD67" s="176"/>
      <c r="BE67" s="176"/>
      <c r="BF67" s="176"/>
      <c r="BG67" s="176"/>
      <c r="BH67" s="176"/>
      <c r="BI67" s="176"/>
      <c r="BJ67" s="176"/>
      <c r="BK67" s="176"/>
      <c r="BL67" s="176"/>
      <c r="BM67" s="176"/>
      <c r="BN67" s="176"/>
      <c r="BO67" s="176"/>
      <c r="BP67" s="176"/>
      <c r="BQ67" s="176"/>
      <c r="BR67" s="176"/>
      <c r="BS67" s="176"/>
      <c r="BT67" s="176"/>
      <c r="BU67" s="176"/>
      <c r="BV67" s="176"/>
      <c r="BW67" s="176"/>
      <c r="BX67" s="176"/>
      <c r="BY67" s="176"/>
      <c r="BZ67" s="176"/>
      <c r="CA67" s="176"/>
      <c r="CB67" s="176"/>
      <c r="CC67" s="176"/>
      <c r="CD67" s="176"/>
      <c r="CE67" s="176"/>
      <c r="CF67" s="176"/>
      <c r="CG67" s="176"/>
      <c r="CH67" s="176"/>
      <c r="CI67" s="176"/>
      <c r="CJ67" s="176"/>
      <c r="CK67" s="176"/>
      <c r="CL67" s="176"/>
      <c r="CM67" s="176"/>
      <c r="CN67" s="176"/>
      <c r="CO67" s="176"/>
      <c r="CP67" s="176"/>
      <c r="CQ67" s="176"/>
      <c r="CR67" s="176"/>
      <c r="CS67" s="176"/>
      <c r="CT67" s="176"/>
      <c r="CU67" s="176"/>
      <c r="CV67" s="176"/>
      <c r="CW67" s="176"/>
      <c r="CX67" s="176"/>
      <c r="CY67" s="176"/>
      <c r="CZ67" s="176"/>
      <c r="DA67" s="176"/>
      <c r="DB67" s="176"/>
      <c r="DC67" s="176"/>
      <c r="DD67" s="176"/>
      <c r="DE67" s="176"/>
      <c r="DF67" s="176"/>
      <c r="DG67" s="176"/>
      <c r="DH67" s="176"/>
      <c r="DI67" s="176"/>
      <c r="DJ67" s="176"/>
      <c r="DK67" s="176"/>
      <c r="DL67" s="176"/>
      <c r="DM67" s="176"/>
      <c r="DN67" s="176"/>
      <c r="DO67" s="176"/>
      <c r="DP67" s="176"/>
      <c r="DQ67" s="176"/>
      <c r="DR67" s="176"/>
      <c r="DS67" s="176"/>
      <c r="DT67" s="176"/>
      <c r="DU67" s="176"/>
      <c r="DV67" s="176"/>
      <c r="DW67" s="176"/>
      <c r="DX67" s="176"/>
      <c r="DY67" s="176"/>
      <c r="DZ67" s="176"/>
      <c r="EA67" s="176"/>
      <c r="EB67" s="176"/>
      <c r="EC67" s="176"/>
      <c r="ED67" s="176"/>
      <c r="EE67" s="176"/>
      <c r="EF67" s="176"/>
      <c r="EG67" s="176"/>
      <c r="EH67" s="176"/>
      <c r="EI67" s="176"/>
      <c r="EJ67" s="176"/>
      <c r="EK67" s="176"/>
    </row>
    <row r="68" spans="1:141" ht="24.75" customHeight="1" x14ac:dyDescent="0.7">
      <c r="A68" s="65" t="s">
        <v>73</v>
      </c>
      <c r="B68" s="5">
        <v>115</v>
      </c>
      <c r="C68" s="6">
        <v>2872</v>
      </c>
      <c r="D68" s="46">
        <v>1</v>
      </c>
      <c r="E68" s="10">
        <v>0</v>
      </c>
      <c r="F68" s="10">
        <v>0</v>
      </c>
      <c r="G68" s="9">
        <v>5</v>
      </c>
      <c r="H68" s="10">
        <f>0</f>
        <v>0</v>
      </c>
      <c r="I68" s="11">
        <f>0</f>
        <v>0</v>
      </c>
      <c r="J68" s="9">
        <v>1.1000000000000001</v>
      </c>
      <c r="K68" s="10">
        <v>2</v>
      </c>
      <c r="L68" s="12">
        <v>1.7</v>
      </c>
      <c r="M68" s="13">
        <f>ROUND(C68*G68/1000,0)</f>
        <v>14</v>
      </c>
      <c r="N68" s="17">
        <f>0</f>
        <v>0</v>
      </c>
      <c r="O68" s="14"/>
      <c r="P68" s="14"/>
      <c r="Q68" s="14"/>
      <c r="R68" s="15"/>
      <c r="S68" s="14"/>
      <c r="T68" s="18"/>
      <c r="U68" s="13">
        <f>ROUND(C68*J68,0)</f>
        <v>3159</v>
      </c>
      <c r="V68" s="17">
        <f>0</f>
        <v>0</v>
      </c>
      <c r="W68" s="14"/>
      <c r="X68" s="14"/>
      <c r="Y68" s="14"/>
      <c r="Z68" s="14"/>
      <c r="AA68" s="15"/>
      <c r="AB68" s="23"/>
      <c r="AC68" s="17">
        <f>ROUND(M68*95,0)</f>
        <v>1330</v>
      </c>
      <c r="AD68" s="17">
        <f t="shared" ref="AD68" si="32">ROUND(N68*960,0)</f>
        <v>0</v>
      </c>
      <c r="AE68" s="14"/>
      <c r="AF68" s="14"/>
      <c r="AG68" s="14"/>
      <c r="AH68" s="15"/>
      <c r="AI68" s="14"/>
      <c r="AJ68" s="16"/>
      <c r="AK68" s="100">
        <f>U68+AC68</f>
        <v>4489</v>
      </c>
      <c r="AL68" s="14">
        <f t="shared" ref="AK68:AL69" si="33">V68+AD68</f>
        <v>0</v>
      </c>
      <c r="AM68" s="14"/>
      <c r="AN68" s="14"/>
      <c r="AO68" s="14"/>
      <c r="AP68" s="14"/>
      <c r="AQ68" s="14"/>
      <c r="AR68" s="1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6"/>
      <c r="CT68" s="56"/>
      <c r="CU68" s="56"/>
      <c r="CV68" s="56"/>
      <c r="CW68" s="56"/>
      <c r="CX68" s="56"/>
      <c r="CY68" s="56"/>
      <c r="CZ68" s="56"/>
      <c r="DA68" s="56"/>
      <c r="DB68" s="56"/>
      <c r="DC68" s="56"/>
      <c r="DD68" s="56"/>
      <c r="DE68" s="56"/>
      <c r="DF68" s="56"/>
      <c r="DG68" s="56"/>
      <c r="DH68" s="56"/>
      <c r="DI68" s="56"/>
      <c r="DJ68" s="56"/>
      <c r="DK68" s="56"/>
      <c r="DL68" s="56"/>
      <c r="DM68" s="56"/>
      <c r="DN68" s="56"/>
      <c r="DO68" s="56"/>
      <c r="DP68" s="56"/>
      <c r="DQ68" s="56"/>
      <c r="DR68" s="56"/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6"/>
      <c r="EF68" s="56"/>
      <c r="EG68" s="56"/>
      <c r="EH68" s="56"/>
      <c r="EI68" s="56"/>
      <c r="EJ68" s="56"/>
      <c r="EK68" s="56"/>
    </row>
    <row r="69" spans="1:141" ht="25.2" thickBot="1" x14ac:dyDescent="0.75">
      <c r="A69" s="65" t="s">
        <v>74</v>
      </c>
      <c r="B69" s="20">
        <v>121</v>
      </c>
      <c r="C69" s="72">
        <v>3030</v>
      </c>
      <c r="D69" s="17">
        <v>1</v>
      </c>
      <c r="E69" s="10">
        <v>0</v>
      </c>
      <c r="F69" s="10">
        <v>0</v>
      </c>
      <c r="G69" s="13">
        <v>5</v>
      </c>
      <c r="H69" s="14">
        <f>0</f>
        <v>0</v>
      </c>
      <c r="I69" s="23">
        <f>0</f>
        <v>0</v>
      </c>
      <c r="J69" s="13">
        <v>1.1000000000000001</v>
      </c>
      <c r="K69" s="14">
        <v>2</v>
      </c>
      <c r="L69" s="15">
        <v>1.7</v>
      </c>
      <c r="M69" s="13">
        <f>ROUND(C69*G69/1000,0)</f>
        <v>15</v>
      </c>
      <c r="N69" s="17">
        <v>0</v>
      </c>
      <c r="O69" s="14"/>
      <c r="P69" s="14"/>
      <c r="Q69" s="14"/>
      <c r="R69" s="15"/>
      <c r="S69" s="14"/>
      <c r="T69" s="18"/>
      <c r="U69" s="13">
        <f>ROUND(C69*J69,0)</f>
        <v>3333</v>
      </c>
      <c r="V69" s="17">
        <v>0</v>
      </c>
      <c r="W69" s="14"/>
      <c r="X69" s="14"/>
      <c r="Y69" s="14"/>
      <c r="Z69" s="14"/>
      <c r="AA69" s="15"/>
      <c r="AB69" s="23"/>
      <c r="AC69" s="17">
        <f>ROUND(M69*95,0)</f>
        <v>1425</v>
      </c>
      <c r="AD69" s="17">
        <v>0</v>
      </c>
      <c r="AE69" s="14"/>
      <c r="AF69" s="14"/>
      <c r="AG69" s="14"/>
      <c r="AH69" s="15"/>
      <c r="AI69" s="14"/>
      <c r="AJ69" s="16"/>
      <c r="AK69" s="100">
        <f t="shared" si="33"/>
        <v>4758</v>
      </c>
      <c r="AL69" s="14">
        <f t="shared" si="33"/>
        <v>0</v>
      </c>
      <c r="AM69" s="14"/>
      <c r="AN69" s="14"/>
      <c r="AO69" s="14"/>
      <c r="AP69" s="14"/>
      <c r="AQ69" s="14"/>
      <c r="AR69" s="1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56"/>
      <c r="CS69" s="56"/>
      <c r="CT69" s="56"/>
      <c r="CU69" s="56"/>
      <c r="CV69" s="56"/>
      <c r="CW69" s="56"/>
      <c r="CX69" s="56"/>
      <c r="CY69" s="56"/>
      <c r="CZ69" s="56"/>
      <c r="DA69" s="56"/>
      <c r="DB69" s="56"/>
      <c r="DC69" s="56"/>
      <c r="DD69" s="56"/>
      <c r="DE69" s="56"/>
      <c r="DF69" s="56"/>
      <c r="DG69" s="56"/>
      <c r="DH69" s="56"/>
      <c r="DI69" s="56"/>
      <c r="DJ69" s="56"/>
      <c r="DK69" s="56"/>
      <c r="DL69" s="56"/>
      <c r="DM69" s="56"/>
      <c r="DN69" s="56"/>
      <c r="DO69" s="56"/>
      <c r="DP69" s="56"/>
      <c r="DQ69" s="56"/>
      <c r="DR69" s="56"/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  <c r="EG69" s="56"/>
      <c r="EH69" s="56"/>
      <c r="EI69" s="56"/>
      <c r="EJ69" s="56"/>
      <c r="EK69" s="56"/>
    </row>
    <row r="70" spans="1:141" ht="25.2" thickBot="1" x14ac:dyDescent="0.75">
      <c r="A70" s="1047" t="s">
        <v>25</v>
      </c>
      <c r="B70" s="886">
        <f>SUM(B68:B69)</f>
        <v>236</v>
      </c>
      <c r="C70" s="925">
        <f>SUM(C68:C69)</f>
        <v>5902</v>
      </c>
      <c r="D70" s="888"/>
      <c r="E70" s="889"/>
      <c r="F70" s="889"/>
      <c r="G70" s="889"/>
      <c r="H70" s="889"/>
      <c r="I70" s="889"/>
      <c r="J70" s="889"/>
      <c r="K70" s="889"/>
      <c r="L70" s="890"/>
      <c r="M70" s="158">
        <f>SUM(M68:M69)</f>
        <v>29</v>
      </c>
      <c r="N70" s="158">
        <f>SUM(N68:N69)</f>
        <v>0</v>
      </c>
      <c r="O70" s="160">
        <f>SUM(O66:O69)</f>
        <v>0</v>
      </c>
      <c r="P70" s="160">
        <f>0</f>
        <v>0</v>
      </c>
      <c r="Q70" s="160">
        <f>0</f>
        <v>0</v>
      </c>
      <c r="R70" s="161"/>
      <c r="S70" s="160"/>
      <c r="T70" s="163"/>
      <c r="U70" s="158">
        <f>SUM(U68:U69)</f>
        <v>6492</v>
      </c>
      <c r="V70" s="158">
        <f>SUM(V66:V69)</f>
        <v>0</v>
      </c>
      <c r="W70" s="175">
        <f>SUM(W66:W69)</f>
        <v>0</v>
      </c>
      <c r="X70" s="164"/>
      <c r="Y70" s="164"/>
      <c r="Z70" s="164"/>
      <c r="AA70" s="164"/>
      <c r="AB70" s="164"/>
      <c r="AC70" s="157">
        <f>SUM(AC68:AC69)</f>
        <v>2755</v>
      </c>
      <c r="AD70" s="157">
        <f t="shared" ref="AD70:AD71" si="34">ROUND(N70*960,0)</f>
        <v>0</v>
      </c>
      <c r="AE70" s="166">
        <f>SUM(AE66:AE69)</f>
        <v>0</v>
      </c>
      <c r="AF70" s="166">
        <f>AF68+AF69</f>
        <v>0</v>
      </c>
      <c r="AG70" s="164"/>
      <c r="AH70" s="164"/>
      <c r="AI70" s="164"/>
      <c r="AJ70" s="156"/>
      <c r="AK70" s="165">
        <f>SUM(AK66:AK69)</f>
        <v>9247</v>
      </c>
      <c r="AL70" s="165">
        <f>SUM(AL67:AL69)</f>
        <v>0</v>
      </c>
      <c r="AM70" s="166">
        <f>SUM(AM66:AM69)</f>
        <v>0</v>
      </c>
      <c r="AN70" s="166">
        <f>AN68+AN69</f>
        <v>0</v>
      </c>
      <c r="AO70" s="164"/>
      <c r="AP70" s="164"/>
      <c r="AQ70" s="164"/>
      <c r="AR70" s="167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141" ht="25.2" thickBot="1" x14ac:dyDescent="0.75">
      <c r="A71" s="1048"/>
      <c r="B71" s="887"/>
      <c r="C71" s="926"/>
      <c r="D71" s="891"/>
      <c r="E71" s="892"/>
      <c r="F71" s="892"/>
      <c r="G71" s="892"/>
      <c r="H71" s="892"/>
      <c r="I71" s="892"/>
      <c r="J71" s="892"/>
      <c r="K71" s="892"/>
      <c r="L71" s="893"/>
      <c r="M71" s="896">
        <f>M70+N70</f>
        <v>29</v>
      </c>
      <c r="N71" s="898">
        <f>M70+N70</f>
        <v>29</v>
      </c>
      <c r="O71" s="899">
        <f>+O70+P70+Q70</f>
        <v>0</v>
      </c>
      <c r="P71" s="900"/>
      <c r="Q71" s="970"/>
      <c r="R71" s="899">
        <f>+R70+S70+T70</f>
        <v>0</v>
      </c>
      <c r="S71" s="900"/>
      <c r="T71" s="970"/>
      <c r="U71" s="971">
        <f>U70+V70</f>
        <v>6492</v>
      </c>
      <c r="V71" s="972"/>
      <c r="W71" s="964">
        <f>W70+X70+Y70</f>
        <v>0</v>
      </c>
      <c r="X71" s="965"/>
      <c r="Y71" s="966"/>
      <c r="Z71" s="964">
        <f>Z70+AA70+AB70</f>
        <v>0</v>
      </c>
      <c r="AA71" s="965"/>
      <c r="AB71" s="966"/>
      <c r="AC71" s="912">
        <f>AC70+AD70</f>
        <v>2755</v>
      </c>
      <c r="AD71" s="914">
        <f t="shared" si="34"/>
        <v>27840</v>
      </c>
      <c r="AE71" s="964">
        <f>AE70+AF70+AG70</f>
        <v>0</v>
      </c>
      <c r="AF71" s="965"/>
      <c r="AG71" s="966"/>
      <c r="AH71" s="964">
        <f>AH70+AI70+AJ70</f>
        <v>0</v>
      </c>
      <c r="AI71" s="965"/>
      <c r="AJ71" s="966"/>
      <c r="AK71" s="912">
        <f>AK70+AL70</f>
        <v>9247</v>
      </c>
      <c r="AL71" s="913">
        <f t="shared" ref="AL71" si="35">V71+AD71</f>
        <v>27840</v>
      </c>
      <c r="AM71" s="964">
        <f>AM70+AN70+AO70</f>
        <v>0</v>
      </c>
      <c r="AN71" s="965"/>
      <c r="AO71" s="967"/>
      <c r="AP71" s="964">
        <f>AP70+AQ70+AR70</f>
        <v>0</v>
      </c>
      <c r="AQ71" s="965"/>
      <c r="AR71" s="967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141" ht="24.75" customHeight="1" x14ac:dyDescent="0.7">
      <c r="A72" s="65" t="s">
        <v>49</v>
      </c>
      <c r="B72" s="5">
        <v>157</v>
      </c>
      <c r="C72" s="6">
        <v>4022</v>
      </c>
      <c r="D72" s="46">
        <v>1</v>
      </c>
      <c r="E72" s="10">
        <f>0</f>
        <v>0</v>
      </c>
      <c r="F72" s="10">
        <f>0</f>
        <v>0</v>
      </c>
      <c r="G72" s="9">
        <v>5</v>
      </c>
      <c r="H72" s="10">
        <f>0</f>
        <v>0</v>
      </c>
      <c r="I72" s="11">
        <f>0</f>
        <v>0</v>
      </c>
      <c r="J72" s="9">
        <v>1.1000000000000001</v>
      </c>
      <c r="K72" s="10">
        <v>2</v>
      </c>
      <c r="L72" s="12">
        <v>1.7</v>
      </c>
      <c r="M72" s="13">
        <f>ROUND(C72*G72/1000,0)</f>
        <v>20</v>
      </c>
      <c r="N72" s="17"/>
      <c r="O72" s="14"/>
      <c r="P72" s="14"/>
      <c r="Q72" s="14"/>
      <c r="R72" s="15"/>
      <c r="S72" s="14"/>
      <c r="T72" s="18"/>
      <c r="U72" s="13">
        <f>ROUND(C72*J72,0)</f>
        <v>4424</v>
      </c>
      <c r="V72" s="17"/>
      <c r="W72" s="14"/>
      <c r="X72" s="14"/>
      <c r="Y72" s="14"/>
      <c r="Z72" s="14"/>
      <c r="AA72" s="15"/>
      <c r="AB72" s="23"/>
      <c r="AC72" s="17">
        <f>ROUND(M72*95,0)</f>
        <v>1900</v>
      </c>
      <c r="AD72" s="17"/>
      <c r="AE72" s="14"/>
      <c r="AF72" s="14"/>
      <c r="AG72" s="14"/>
      <c r="AH72" s="15"/>
      <c r="AI72" s="14"/>
      <c r="AJ72" s="16"/>
      <c r="AK72" s="100">
        <f>U72+AC72</f>
        <v>6324</v>
      </c>
      <c r="AL72" s="14"/>
      <c r="AM72" s="14"/>
      <c r="AN72" s="14"/>
      <c r="AO72" s="14"/>
      <c r="AP72" s="14"/>
      <c r="AQ72" s="14"/>
      <c r="AR72" s="1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6"/>
      <c r="CV72" s="56"/>
      <c r="CW72" s="56"/>
      <c r="CX72" s="56"/>
      <c r="CY72" s="56"/>
      <c r="CZ72" s="56"/>
      <c r="DA72" s="56"/>
      <c r="DB72" s="56"/>
      <c r="DC72" s="56"/>
      <c r="DD72" s="56"/>
      <c r="DE72" s="56"/>
      <c r="DF72" s="56"/>
      <c r="DG72" s="56"/>
      <c r="DH72" s="56"/>
      <c r="DI72" s="56"/>
      <c r="DJ72" s="56"/>
      <c r="DK72" s="56"/>
      <c r="DL72" s="56"/>
      <c r="DM72" s="56"/>
      <c r="DN72" s="56"/>
      <c r="DO72" s="56"/>
      <c r="DP72" s="56"/>
      <c r="DQ72" s="56"/>
      <c r="DR72" s="56"/>
      <c r="DS72" s="56"/>
      <c r="DT72" s="56"/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  <c r="EG72" s="56"/>
      <c r="EH72" s="56"/>
      <c r="EI72" s="56"/>
      <c r="EJ72" s="56"/>
      <c r="EK72" s="56"/>
    </row>
    <row r="73" spans="1:141" ht="25.2" thickBot="1" x14ac:dyDescent="0.75">
      <c r="A73" s="65" t="s">
        <v>35</v>
      </c>
      <c r="B73" s="20">
        <v>170</v>
      </c>
      <c r="C73" s="72">
        <v>4245</v>
      </c>
      <c r="D73" s="17">
        <v>1</v>
      </c>
      <c r="E73" s="10">
        <v>0</v>
      </c>
      <c r="F73" s="10">
        <v>0</v>
      </c>
      <c r="G73" s="13">
        <v>5</v>
      </c>
      <c r="H73" s="14">
        <f>0</f>
        <v>0</v>
      </c>
      <c r="I73" s="23">
        <f>0</f>
        <v>0</v>
      </c>
      <c r="J73" s="13">
        <v>1.1000000000000001</v>
      </c>
      <c r="K73" s="14">
        <v>2</v>
      </c>
      <c r="L73" s="15">
        <v>1.7</v>
      </c>
      <c r="M73" s="13">
        <f>ROUND(C73*G73/1000,0)</f>
        <v>21</v>
      </c>
      <c r="N73" s="17"/>
      <c r="O73" s="14"/>
      <c r="P73" s="14"/>
      <c r="Q73" s="14"/>
      <c r="R73" s="15"/>
      <c r="S73" s="14"/>
      <c r="T73" s="18"/>
      <c r="U73" s="13">
        <f>ROUND(C73*J73,0)</f>
        <v>4670</v>
      </c>
      <c r="V73" s="17"/>
      <c r="W73" s="14"/>
      <c r="X73" s="14"/>
      <c r="Y73" s="14"/>
      <c r="Z73" s="14"/>
      <c r="AA73" s="15"/>
      <c r="AB73" s="23"/>
      <c r="AC73" s="17">
        <f>ROUND(M73*95,0)</f>
        <v>1995</v>
      </c>
      <c r="AD73" s="17"/>
      <c r="AE73" s="14"/>
      <c r="AF73" s="14"/>
      <c r="AG73" s="14"/>
      <c r="AH73" s="15"/>
      <c r="AI73" s="14"/>
      <c r="AJ73" s="16"/>
      <c r="AK73" s="100">
        <f t="shared" ref="AK73" si="36">U73+AC73</f>
        <v>6665</v>
      </c>
      <c r="AL73" s="14"/>
      <c r="AM73" s="14"/>
      <c r="AN73" s="14"/>
      <c r="AO73" s="14"/>
      <c r="AP73" s="14"/>
      <c r="AQ73" s="14"/>
      <c r="AR73" s="1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56"/>
      <c r="CR73" s="56"/>
      <c r="CS73" s="56"/>
      <c r="CT73" s="56"/>
      <c r="CU73" s="56"/>
      <c r="CV73" s="56"/>
      <c r="CW73" s="56"/>
      <c r="CX73" s="56"/>
      <c r="CY73" s="56"/>
      <c r="CZ73" s="56"/>
      <c r="DA73" s="56"/>
      <c r="DB73" s="56"/>
      <c r="DC73" s="56"/>
      <c r="DD73" s="56"/>
      <c r="DE73" s="56"/>
      <c r="DF73" s="56"/>
      <c r="DG73" s="56"/>
      <c r="DH73" s="56"/>
      <c r="DI73" s="56"/>
      <c r="DJ73" s="56"/>
      <c r="DK73" s="56"/>
      <c r="DL73" s="56"/>
      <c r="DM73" s="56"/>
      <c r="DN73" s="56"/>
      <c r="DO73" s="56"/>
      <c r="DP73" s="56"/>
      <c r="DQ73" s="56"/>
      <c r="DR73" s="56"/>
      <c r="DS73" s="56"/>
      <c r="DT73" s="56"/>
      <c r="DU73" s="56"/>
      <c r="DV73" s="56"/>
      <c r="DW73" s="56"/>
      <c r="DX73" s="56"/>
      <c r="DY73" s="56"/>
      <c r="DZ73" s="56"/>
      <c r="EA73" s="56"/>
      <c r="EB73" s="56"/>
      <c r="EC73" s="56"/>
      <c r="ED73" s="56"/>
      <c r="EE73" s="56"/>
      <c r="EF73" s="56"/>
      <c r="EG73" s="56"/>
      <c r="EH73" s="56"/>
      <c r="EI73" s="56"/>
      <c r="EJ73" s="56"/>
      <c r="EK73" s="56"/>
    </row>
    <row r="74" spans="1:141" ht="25.2" thickBot="1" x14ac:dyDescent="0.75">
      <c r="A74" s="1047" t="s">
        <v>46</v>
      </c>
      <c r="B74" s="886">
        <f>SUM(B72:B73)</f>
        <v>327</v>
      </c>
      <c r="C74" s="925">
        <f>SUM(C72:C73)</f>
        <v>8267</v>
      </c>
      <c r="D74" s="888"/>
      <c r="E74" s="889"/>
      <c r="F74" s="889"/>
      <c r="G74" s="889"/>
      <c r="H74" s="889"/>
      <c r="I74" s="889"/>
      <c r="J74" s="889"/>
      <c r="K74" s="889"/>
      <c r="L74" s="890"/>
      <c r="M74" s="158">
        <f>SUM(M72:M73)</f>
        <v>41</v>
      </c>
      <c r="N74" s="158">
        <f>SUM(N72:N73)</f>
        <v>0</v>
      </c>
      <c r="O74" s="160">
        <f>SUM(O70:O73)</f>
        <v>0</v>
      </c>
      <c r="P74" s="160">
        <f>0</f>
        <v>0</v>
      </c>
      <c r="Q74" s="160">
        <f>0</f>
        <v>0</v>
      </c>
      <c r="R74" s="161"/>
      <c r="S74" s="160"/>
      <c r="T74" s="163"/>
      <c r="U74" s="158">
        <f>SUM(U72:U73)</f>
        <v>9094</v>
      </c>
      <c r="V74" s="158">
        <f>SUM(V70:V73)</f>
        <v>0</v>
      </c>
      <c r="W74" s="175">
        <f>SUM(W70:W73)</f>
        <v>0</v>
      </c>
      <c r="X74" s="164"/>
      <c r="Y74" s="164"/>
      <c r="Z74" s="164"/>
      <c r="AA74" s="164"/>
      <c r="AB74" s="164"/>
      <c r="AC74" s="157">
        <f>SUM(AC72:AC73)</f>
        <v>3895</v>
      </c>
      <c r="AD74" s="157">
        <f t="shared" ref="AD74:AD75" si="37">ROUND(N74*960,0)</f>
        <v>0</v>
      </c>
      <c r="AE74" s="166">
        <f>SUM(AE70:AE73)</f>
        <v>0</v>
      </c>
      <c r="AF74" s="166">
        <f>AF72+AF73</f>
        <v>0</v>
      </c>
      <c r="AG74" s="164"/>
      <c r="AH74" s="164"/>
      <c r="AI74" s="164"/>
      <c r="AJ74" s="156"/>
      <c r="AK74" s="165">
        <f>SUM(AK72:AK73)</f>
        <v>12989</v>
      </c>
      <c r="AL74" s="165">
        <f>SUM(AL72:AL73)</f>
        <v>0</v>
      </c>
      <c r="AM74" s="166">
        <f>SUM(AM70:AM73)</f>
        <v>0</v>
      </c>
      <c r="AN74" s="166">
        <f>AN72+AN73</f>
        <v>0</v>
      </c>
      <c r="AO74" s="164"/>
      <c r="AP74" s="164"/>
      <c r="AQ74" s="164"/>
      <c r="AR74" s="167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141" ht="25.2" thickBot="1" x14ac:dyDescent="0.75">
      <c r="A75" s="1048"/>
      <c r="B75" s="887"/>
      <c r="C75" s="926"/>
      <c r="D75" s="891"/>
      <c r="E75" s="892"/>
      <c r="F75" s="892"/>
      <c r="G75" s="892"/>
      <c r="H75" s="892"/>
      <c r="I75" s="892"/>
      <c r="J75" s="892"/>
      <c r="K75" s="892"/>
      <c r="L75" s="893"/>
      <c r="M75" s="896">
        <f>M74+N74</f>
        <v>41</v>
      </c>
      <c r="N75" s="898">
        <f>M74+N74</f>
        <v>41</v>
      </c>
      <c r="O75" s="899">
        <f>+O74+P74+Q74</f>
        <v>0</v>
      </c>
      <c r="P75" s="900"/>
      <c r="Q75" s="970"/>
      <c r="R75" s="899">
        <f>+R74+S74+T74</f>
        <v>0</v>
      </c>
      <c r="S75" s="900"/>
      <c r="T75" s="970"/>
      <c r="U75" s="971">
        <f>U74+V74</f>
        <v>9094</v>
      </c>
      <c r="V75" s="972"/>
      <c r="W75" s="964">
        <f>W74+X74+Y74</f>
        <v>0</v>
      </c>
      <c r="X75" s="965"/>
      <c r="Y75" s="966"/>
      <c r="Z75" s="964">
        <f>Z74+AA74+AB74</f>
        <v>0</v>
      </c>
      <c r="AA75" s="965"/>
      <c r="AB75" s="966"/>
      <c r="AC75" s="912">
        <f>AC74+AD74</f>
        <v>3895</v>
      </c>
      <c r="AD75" s="914">
        <f t="shared" si="37"/>
        <v>39360</v>
      </c>
      <c r="AE75" s="964">
        <f>AE74+AF74+AG74</f>
        <v>0</v>
      </c>
      <c r="AF75" s="965"/>
      <c r="AG75" s="966"/>
      <c r="AH75" s="964">
        <f>AH74+AI74+AJ74</f>
        <v>0</v>
      </c>
      <c r="AI75" s="965"/>
      <c r="AJ75" s="966"/>
      <c r="AK75" s="912">
        <f>AK74+AL74</f>
        <v>12989</v>
      </c>
      <c r="AL75" s="913">
        <f t="shared" ref="AL75" si="38">V75+AD75</f>
        <v>39360</v>
      </c>
      <c r="AM75" s="964">
        <f>AM74+AN74+AO74</f>
        <v>0</v>
      </c>
      <c r="AN75" s="965"/>
      <c r="AO75" s="967"/>
      <c r="AP75" s="964">
        <f>AP74+AQ74+AR74</f>
        <v>0</v>
      </c>
      <c r="AQ75" s="965"/>
      <c r="AR75" s="967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141" s="68" customFormat="1" ht="39.9" customHeight="1" thickBot="1" x14ac:dyDescent="0.75">
      <c r="A76" s="938" t="s">
        <v>77</v>
      </c>
      <c r="B76" s="939"/>
      <c r="C76" s="939"/>
      <c r="D76" s="939"/>
      <c r="E76" s="939"/>
      <c r="F76" s="939"/>
      <c r="G76" s="939"/>
      <c r="H76" s="939"/>
      <c r="I76" s="939"/>
      <c r="J76" s="939"/>
      <c r="K76" s="939"/>
      <c r="L76" s="939"/>
      <c r="M76" s="939"/>
      <c r="N76" s="939"/>
      <c r="O76" s="939"/>
      <c r="P76" s="939"/>
      <c r="Q76" s="939"/>
      <c r="R76" s="939"/>
      <c r="S76" s="939"/>
      <c r="T76" s="939"/>
      <c r="U76" s="939"/>
      <c r="V76" s="939"/>
      <c r="W76" s="939"/>
      <c r="X76" s="939"/>
      <c r="Y76" s="939"/>
      <c r="Z76" s="939"/>
      <c r="AA76" s="939"/>
      <c r="AB76" s="939"/>
      <c r="AC76" s="939"/>
      <c r="AD76" s="939"/>
      <c r="AE76" s="939"/>
      <c r="AF76" s="939"/>
      <c r="AG76" s="939"/>
      <c r="AH76" s="939"/>
      <c r="AI76" s="939"/>
      <c r="AJ76" s="939"/>
      <c r="AK76" s="939"/>
      <c r="AL76" s="939"/>
      <c r="AM76" s="939"/>
      <c r="AN76" s="939"/>
      <c r="AO76" s="939"/>
      <c r="AP76" s="939"/>
      <c r="AQ76" s="939"/>
      <c r="AR76" s="940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69"/>
      <c r="CX76" s="69"/>
      <c r="CY76" s="69"/>
      <c r="CZ76" s="69"/>
      <c r="DA76" s="69"/>
      <c r="DB76" s="69"/>
      <c r="DC76" s="69"/>
      <c r="DD76" s="69"/>
      <c r="DE76" s="69"/>
      <c r="DF76" s="69"/>
      <c r="DG76" s="69"/>
      <c r="DH76" s="69"/>
      <c r="DI76" s="69"/>
      <c r="DJ76" s="69"/>
      <c r="DK76" s="69"/>
      <c r="DL76" s="69"/>
      <c r="DM76" s="69"/>
      <c r="DN76" s="69"/>
      <c r="DO76" s="69"/>
      <c r="DP76" s="69"/>
      <c r="DQ76" s="69"/>
      <c r="DR76" s="69"/>
      <c r="DS76" s="69"/>
      <c r="DT76" s="69"/>
      <c r="DU76" s="69"/>
      <c r="DV76" s="69"/>
      <c r="DW76" s="69"/>
      <c r="DX76" s="69"/>
      <c r="DY76" s="69"/>
      <c r="DZ76" s="69"/>
      <c r="EA76" s="69"/>
      <c r="EB76" s="69"/>
      <c r="EC76" s="69"/>
      <c r="ED76" s="69"/>
      <c r="EE76" s="69"/>
      <c r="EF76" s="69"/>
      <c r="EG76" s="69"/>
      <c r="EH76" s="69"/>
      <c r="EI76" s="69"/>
      <c r="EJ76" s="69"/>
      <c r="EK76" s="69"/>
    </row>
    <row r="77" spans="1:141" x14ac:dyDescent="0.7">
      <c r="A77" s="75" t="s">
        <v>78</v>
      </c>
      <c r="B77" s="44">
        <v>195</v>
      </c>
      <c r="C77" s="45">
        <v>4864</v>
      </c>
      <c r="D77" s="46">
        <v>1</v>
      </c>
      <c r="E77" s="10">
        <v>0</v>
      </c>
      <c r="F77" s="10">
        <v>0</v>
      </c>
      <c r="G77" s="9">
        <v>5</v>
      </c>
      <c r="H77" s="10">
        <f>0</f>
        <v>0</v>
      </c>
      <c r="I77" s="11">
        <f>0</f>
        <v>0</v>
      </c>
      <c r="J77" s="9">
        <v>1.1000000000000001</v>
      </c>
      <c r="K77" s="10">
        <v>2</v>
      </c>
      <c r="L77" s="12">
        <v>1.7</v>
      </c>
      <c r="M77" s="13">
        <f>ROUND(C77*G77/1000,0)</f>
        <v>24</v>
      </c>
      <c r="N77" s="17"/>
      <c r="O77" s="14"/>
      <c r="P77" s="14"/>
      <c r="Q77" s="14"/>
      <c r="R77" s="15"/>
      <c r="S77" s="14"/>
      <c r="T77" s="18"/>
      <c r="U77" s="13">
        <f>ROUND(C77*J77,0)</f>
        <v>5350</v>
      </c>
      <c r="V77" s="17"/>
      <c r="W77" s="14"/>
      <c r="X77" s="14"/>
      <c r="Y77" s="14"/>
      <c r="Z77" s="14"/>
      <c r="AA77" s="15"/>
      <c r="AB77" s="23"/>
      <c r="AC77" s="17">
        <f>ROUND(M77*95,0)</f>
        <v>2280</v>
      </c>
      <c r="AD77" s="17"/>
      <c r="AE77" s="14"/>
      <c r="AF77" s="14"/>
      <c r="AG77" s="14"/>
      <c r="AH77" s="15"/>
      <c r="AI77" s="14"/>
      <c r="AJ77" s="16"/>
      <c r="AK77" s="100">
        <f>U77+AC77</f>
        <v>7630</v>
      </c>
      <c r="AL77" s="14"/>
      <c r="AM77" s="14"/>
      <c r="AN77" s="14"/>
      <c r="AO77" s="14"/>
      <c r="AP77" s="14"/>
      <c r="AQ77" s="14"/>
      <c r="AR77" s="1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56"/>
      <c r="CX77" s="56"/>
      <c r="CY77" s="56"/>
      <c r="CZ77" s="56"/>
      <c r="DA77" s="56"/>
      <c r="DB77" s="56"/>
      <c r="DC77" s="56"/>
      <c r="DD77" s="56"/>
      <c r="DE77" s="56"/>
      <c r="DF77" s="56"/>
      <c r="DG77" s="56"/>
      <c r="DH77" s="56"/>
      <c r="DI77" s="56"/>
      <c r="DJ77" s="56"/>
      <c r="DK77" s="56"/>
      <c r="DL77" s="56"/>
      <c r="DM77" s="56"/>
      <c r="DN77" s="56"/>
      <c r="DO77" s="56"/>
      <c r="DP77" s="56"/>
      <c r="DQ77" s="56"/>
      <c r="DR77" s="56"/>
      <c r="DS77" s="56"/>
      <c r="DT77" s="56"/>
      <c r="DU77" s="56"/>
      <c r="DV77" s="56"/>
      <c r="DW77" s="56"/>
      <c r="DX77" s="56"/>
      <c r="DY77" s="56"/>
      <c r="DZ77" s="56"/>
      <c r="EA77" s="56"/>
      <c r="EB77" s="56"/>
      <c r="EC77" s="56"/>
      <c r="ED77" s="56"/>
      <c r="EE77" s="56"/>
      <c r="EF77" s="56"/>
      <c r="EG77" s="56"/>
      <c r="EH77" s="56"/>
      <c r="EI77" s="56"/>
      <c r="EJ77" s="56"/>
      <c r="EK77" s="56"/>
    </row>
    <row r="78" spans="1:141" ht="25.2" thickBot="1" x14ac:dyDescent="0.75">
      <c r="A78" s="76" t="s">
        <v>79</v>
      </c>
      <c r="B78" s="50">
        <v>171</v>
      </c>
      <c r="C78" s="51">
        <v>4608</v>
      </c>
      <c r="D78" s="17">
        <v>1</v>
      </c>
      <c r="E78" s="10">
        <v>0</v>
      </c>
      <c r="F78" s="10">
        <v>0</v>
      </c>
      <c r="G78" s="13">
        <v>5</v>
      </c>
      <c r="H78" s="14">
        <f>0</f>
        <v>0</v>
      </c>
      <c r="I78" s="23">
        <f>0</f>
        <v>0</v>
      </c>
      <c r="J78" s="13">
        <v>1.1000000000000001</v>
      </c>
      <c r="K78" s="14">
        <v>2</v>
      </c>
      <c r="L78" s="15">
        <v>1.7</v>
      </c>
      <c r="M78" s="13">
        <f>ROUND(C78*G78/1000,0)</f>
        <v>23</v>
      </c>
      <c r="N78" s="17"/>
      <c r="O78" s="14"/>
      <c r="P78" s="14"/>
      <c r="Q78" s="14"/>
      <c r="R78" s="15"/>
      <c r="S78" s="14"/>
      <c r="T78" s="18"/>
      <c r="U78" s="13">
        <f>ROUND(C78*J78,0)</f>
        <v>5069</v>
      </c>
      <c r="V78" s="17"/>
      <c r="W78" s="14"/>
      <c r="X78" s="14"/>
      <c r="Y78" s="14"/>
      <c r="Z78" s="14"/>
      <c r="AA78" s="15"/>
      <c r="AB78" s="23"/>
      <c r="AC78" s="17">
        <f>ROUND(M78*95,0)</f>
        <v>2185</v>
      </c>
      <c r="AD78" s="17"/>
      <c r="AE78" s="14"/>
      <c r="AF78" s="14"/>
      <c r="AG78" s="14"/>
      <c r="AH78" s="15"/>
      <c r="AI78" s="14"/>
      <c r="AJ78" s="16"/>
      <c r="AK78" s="100">
        <f>U78+AC78</f>
        <v>7254</v>
      </c>
      <c r="AL78" s="14"/>
      <c r="AM78" s="14"/>
      <c r="AN78" s="14"/>
      <c r="AO78" s="14"/>
      <c r="AP78" s="14"/>
      <c r="AQ78" s="14"/>
      <c r="AR78" s="1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  <c r="CS78" s="56"/>
      <c r="CT78" s="56"/>
      <c r="CU78" s="56"/>
      <c r="CV78" s="56"/>
      <c r="CW78" s="56"/>
      <c r="CX78" s="56"/>
      <c r="CY78" s="56"/>
      <c r="CZ78" s="56"/>
      <c r="DA78" s="56"/>
      <c r="DB78" s="56"/>
      <c r="DC78" s="56"/>
      <c r="DD78" s="56"/>
      <c r="DE78" s="56"/>
      <c r="DF78" s="56"/>
      <c r="DG78" s="56"/>
      <c r="DH78" s="56"/>
      <c r="DI78" s="56"/>
      <c r="DJ78" s="56"/>
      <c r="DK78" s="56"/>
      <c r="DL78" s="56"/>
      <c r="DM78" s="56"/>
      <c r="DN78" s="56"/>
      <c r="DO78" s="56"/>
      <c r="DP78" s="56"/>
      <c r="DQ78" s="56"/>
      <c r="DR78" s="56"/>
      <c r="DS78" s="56"/>
      <c r="DT78" s="56"/>
      <c r="DU78" s="56"/>
      <c r="DV78" s="56"/>
      <c r="DW78" s="56"/>
      <c r="DX78" s="56"/>
      <c r="DY78" s="56"/>
      <c r="DZ78" s="56"/>
      <c r="EA78" s="56"/>
      <c r="EB78" s="56"/>
      <c r="EC78" s="56"/>
      <c r="ED78" s="56"/>
      <c r="EE78" s="56"/>
      <c r="EF78" s="56"/>
      <c r="EG78" s="56"/>
      <c r="EH78" s="56"/>
      <c r="EI78" s="56"/>
      <c r="EJ78" s="56"/>
      <c r="EK78" s="56"/>
    </row>
    <row r="79" spans="1:141" ht="25.2" thickBot="1" x14ac:dyDescent="0.75">
      <c r="A79" s="1047" t="s">
        <v>80</v>
      </c>
      <c r="B79" s="886">
        <f>SUM(B77:B78)</f>
        <v>366</v>
      </c>
      <c r="C79" s="925">
        <f>SUM(C77:C78)</f>
        <v>9472</v>
      </c>
      <c r="D79" s="888"/>
      <c r="E79" s="889"/>
      <c r="F79" s="889"/>
      <c r="G79" s="889"/>
      <c r="H79" s="889"/>
      <c r="I79" s="889"/>
      <c r="J79" s="889"/>
      <c r="K79" s="889"/>
      <c r="L79" s="890"/>
      <c r="M79" s="158">
        <f>SUM(M77:M78)</f>
        <v>47</v>
      </c>
      <c r="N79" s="158">
        <f>SUM(N77:N78)</f>
        <v>0</v>
      </c>
      <c r="O79" s="160">
        <f>SUM(O75:O78)</f>
        <v>0</v>
      </c>
      <c r="P79" s="160">
        <f>0</f>
        <v>0</v>
      </c>
      <c r="Q79" s="160">
        <f>0</f>
        <v>0</v>
      </c>
      <c r="R79" s="161"/>
      <c r="S79" s="160"/>
      <c r="T79" s="163"/>
      <c r="U79" s="158">
        <f>SUM(U77:U78)</f>
        <v>10419</v>
      </c>
      <c r="V79" s="158">
        <f>SUM(V75:V78)</f>
        <v>0</v>
      </c>
      <c r="W79" s="175">
        <f>SUM(W75:W78)</f>
        <v>0</v>
      </c>
      <c r="X79" s="164"/>
      <c r="Y79" s="164"/>
      <c r="Z79" s="164"/>
      <c r="AA79" s="164"/>
      <c r="AB79" s="164"/>
      <c r="AC79" s="157">
        <f>SUM(AC77:AC78)</f>
        <v>4465</v>
      </c>
      <c r="AD79" s="157">
        <f t="shared" ref="AD79:AD80" si="39">ROUND(N79*960,0)</f>
        <v>0</v>
      </c>
      <c r="AE79" s="166">
        <f>SUM(AE75:AE78)</f>
        <v>0</v>
      </c>
      <c r="AF79" s="166">
        <f>AF77+AF78</f>
        <v>0</v>
      </c>
      <c r="AG79" s="164"/>
      <c r="AH79" s="164"/>
      <c r="AI79" s="164"/>
      <c r="AJ79" s="156"/>
      <c r="AK79" s="165">
        <f>SUM(AK77:AK78)</f>
        <v>14884</v>
      </c>
      <c r="AL79" s="165">
        <f>SUM(AL77:AL78)</f>
        <v>0</v>
      </c>
      <c r="AM79" s="166">
        <f>SUM(AM75:AM78)</f>
        <v>0</v>
      </c>
      <c r="AN79" s="166">
        <f>AN77+AN78</f>
        <v>0</v>
      </c>
      <c r="AO79" s="164"/>
      <c r="AP79" s="164"/>
      <c r="AQ79" s="164"/>
      <c r="AR79" s="167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141" ht="25.2" thickBot="1" x14ac:dyDescent="0.75">
      <c r="A80" s="1048"/>
      <c r="B80" s="887"/>
      <c r="C80" s="926"/>
      <c r="D80" s="891"/>
      <c r="E80" s="892"/>
      <c r="F80" s="892"/>
      <c r="G80" s="892"/>
      <c r="H80" s="892"/>
      <c r="I80" s="892"/>
      <c r="J80" s="892"/>
      <c r="K80" s="892"/>
      <c r="L80" s="893"/>
      <c r="M80" s="896">
        <f>M79+N79</f>
        <v>47</v>
      </c>
      <c r="N80" s="898">
        <f>M79+N79</f>
        <v>47</v>
      </c>
      <c r="O80" s="899">
        <f>+O79+P79+Q79</f>
        <v>0</v>
      </c>
      <c r="P80" s="900"/>
      <c r="Q80" s="970"/>
      <c r="R80" s="899">
        <f>+R79+S79+T79</f>
        <v>0</v>
      </c>
      <c r="S80" s="900"/>
      <c r="T80" s="970"/>
      <c r="U80" s="971">
        <f>U79+V79</f>
        <v>10419</v>
      </c>
      <c r="V80" s="972"/>
      <c r="W80" s="964">
        <f>W79+X79+Y79</f>
        <v>0</v>
      </c>
      <c r="X80" s="965"/>
      <c r="Y80" s="966"/>
      <c r="Z80" s="964">
        <f>Z79+AA79+AB79</f>
        <v>0</v>
      </c>
      <c r="AA80" s="965"/>
      <c r="AB80" s="966"/>
      <c r="AC80" s="912">
        <f>AC79+AD79</f>
        <v>4465</v>
      </c>
      <c r="AD80" s="914">
        <f t="shared" si="39"/>
        <v>45120</v>
      </c>
      <c r="AE80" s="964">
        <f>AE79+AF79+AG79</f>
        <v>0</v>
      </c>
      <c r="AF80" s="965"/>
      <c r="AG80" s="966"/>
      <c r="AH80" s="964">
        <f>AH79+AI79+AJ79</f>
        <v>0</v>
      </c>
      <c r="AI80" s="965"/>
      <c r="AJ80" s="966"/>
      <c r="AK80" s="912">
        <f>AK79+AL79</f>
        <v>14884</v>
      </c>
      <c r="AL80" s="913">
        <f t="shared" ref="AL80" si="40">V80+AD80</f>
        <v>45120</v>
      </c>
      <c r="AM80" s="964">
        <f>AM79+AN79+AO79</f>
        <v>0</v>
      </c>
      <c r="AN80" s="965"/>
      <c r="AO80" s="967"/>
      <c r="AP80" s="964">
        <f>AP79+AQ79+AR79</f>
        <v>0</v>
      </c>
      <c r="AQ80" s="965"/>
      <c r="AR80" s="967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pans="1:141" x14ac:dyDescent="0.7">
      <c r="A81" s="77" t="s">
        <v>82</v>
      </c>
      <c r="B81" s="50">
        <v>103</v>
      </c>
      <c r="C81" s="51">
        <v>2792</v>
      </c>
      <c r="D81" s="17">
        <v>1</v>
      </c>
      <c r="E81" s="10">
        <v>0</v>
      </c>
      <c r="F81" s="10">
        <v>0</v>
      </c>
      <c r="G81" s="13">
        <v>5</v>
      </c>
      <c r="H81" s="10">
        <f>0</f>
        <v>0</v>
      </c>
      <c r="I81" s="11">
        <f>0</f>
        <v>0</v>
      </c>
      <c r="J81" s="13">
        <v>1.1000000000000001</v>
      </c>
      <c r="K81" s="14">
        <v>2</v>
      </c>
      <c r="L81" s="15">
        <v>1.7</v>
      </c>
      <c r="M81" s="13">
        <f>ROUND(C81*G81/1000,0)</f>
        <v>14</v>
      </c>
      <c r="N81" s="17"/>
      <c r="O81" s="14"/>
      <c r="P81" s="14"/>
      <c r="Q81" s="14"/>
      <c r="R81" s="15"/>
      <c r="S81" s="14"/>
      <c r="T81" s="18"/>
      <c r="U81" s="13">
        <f>ROUND(C81*J81,0)</f>
        <v>3071</v>
      </c>
      <c r="V81" s="17"/>
      <c r="W81" s="14"/>
      <c r="X81" s="14"/>
      <c r="Y81" s="14"/>
      <c r="Z81" s="14"/>
      <c r="AA81" s="15"/>
      <c r="AB81" s="23"/>
      <c r="AC81" s="17">
        <f>ROUND(M81*95,0)</f>
        <v>1330</v>
      </c>
      <c r="AD81" s="17"/>
      <c r="AE81" s="14"/>
      <c r="AF81" s="14"/>
      <c r="AG81" s="14"/>
      <c r="AH81" s="15"/>
      <c r="AI81" s="14"/>
      <c r="AJ81" s="16"/>
      <c r="AK81" s="100">
        <f>U81+AC81</f>
        <v>4401</v>
      </c>
      <c r="AL81" s="14"/>
      <c r="AM81" s="14"/>
      <c r="AN81" s="14"/>
      <c r="AO81" s="14"/>
      <c r="AP81" s="14"/>
      <c r="AQ81" s="14"/>
      <c r="AR81" s="1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  <c r="CZ81" s="56"/>
      <c r="DA81" s="56"/>
      <c r="DB81" s="56"/>
      <c r="DC81" s="56"/>
      <c r="DD81" s="56"/>
      <c r="DE81" s="56"/>
      <c r="DF81" s="56"/>
      <c r="DG81" s="56"/>
      <c r="DH81" s="56"/>
      <c r="DI81" s="56"/>
      <c r="DJ81" s="56"/>
      <c r="DK81" s="56"/>
      <c r="DL81" s="56"/>
      <c r="DM81" s="56"/>
      <c r="DN81" s="56"/>
      <c r="DO81" s="56"/>
      <c r="DP81" s="56"/>
      <c r="DQ81" s="56"/>
      <c r="DR81" s="56"/>
      <c r="DS81" s="56"/>
      <c r="DT81" s="56"/>
      <c r="DU81" s="56"/>
      <c r="DV81" s="56"/>
      <c r="DW81" s="56"/>
      <c r="DX81" s="56"/>
      <c r="DY81" s="56"/>
      <c r="DZ81" s="56"/>
      <c r="EA81" s="56"/>
      <c r="EB81" s="56"/>
      <c r="EC81" s="56"/>
      <c r="ED81" s="56"/>
      <c r="EE81" s="56"/>
      <c r="EF81" s="56"/>
      <c r="EG81" s="56"/>
      <c r="EH81" s="56"/>
      <c r="EI81" s="56"/>
      <c r="EJ81" s="56"/>
      <c r="EK81" s="56"/>
    </row>
    <row r="82" spans="1:141" ht="25.2" thickBot="1" x14ac:dyDescent="0.75">
      <c r="A82" s="78" t="s">
        <v>83</v>
      </c>
      <c r="B82" s="54">
        <v>156</v>
      </c>
      <c r="C82" s="55">
        <v>4202</v>
      </c>
      <c r="D82" s="31">
        <v>1</v>
      </c>
      <c r="E82" s="10">
        <v>0</v>
      </c>
      <c r="F82" s="10">
        <v>0</v>
      </c>
      <c r="G82" s="27">
        <v>5</v>
      </c>
      <c r="H82" s="14">
        <f>0</f>
        <v>0</v>
      </c>
      <c r="I82" s="23">
        <f>0</f>
        <v>0</v>
      </c>
      <c r="J82" s="27">
        <v>1.1000000000000001</v>
      </c>
      <c r="K82" s="28">
        <v>2</v>
      </c>
      <c r="L82" s="30">
        <v>1.7</v>
      </c>
      <c r="M82" s="13">
        <f>ROUND(C82*G82/1000,0)</f>
        <v>21</v>
      </c>
      <c r="N82" s="17"/>
      <c r="O82" s="14"/>
      <c r="P82" s="14"/>
      <c r="Q82" s="14"/>
      <c r="R82" s="15"/>
      <c r="S82" s="14"/>
      <c r="T82" s="18"/>
      <c r="U82" s="13">
        <f>ROUND(C82*J82,0)</f>
        <v>4622</v>
      </c>
      <c r="V82" s="17"/>
      <c r="W82" s="14"/>
      <c r="X82" s="14"/>
      <c r="Y82" s="14"/>
      <c r="Z82" s="14"/>
      <c r="AA82" s="15"/>
      <c r="AB82" s="23"/>
      <c r="AC82" s="17">
        <f>ROUND(M82*95,0)</f>
        <v>1995</v>
      </c>
      <c r="AD82" s="17"/>
      <c r="AE82" s="14"/>
      <c r="AF82" s="14"/>
      <c r="AG82" s="14"/>
      <c r="AH82" s="15"/>
      <c r="AI82" s="14"/>
      <c r="AJ82" s="16"/>
      <c r="AK82" s="100">
        <f>U82+AC82</f>
        <v>6617</v>
      </c>
      <c r="AL82" s="14"/>
      <c r="AM82" s="14"/>
      <c r="AN82" s="14"/>
      <c r="AO82" s="14"/>
      <c r="AP82" s="14"/>
      <c r="AQ82" s="14"/>
      <c r="AR82" s="1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  <c r="CZ82" s="56"/>
      <c r="DA82" s="56"/>
      <c r="DB82" s="56"/>
      <c r="DC82" s="56"/>
      <c r="DD82" s="56"/>
      <c r="DE82" s="56"/>
      <c r="DF82" s="56"/>
      <c r="DG82" s="56"/>
      <c r="DH82" s="56"/>
      <c r="DI82" s="56"/>
      <c r="DJ82" s="56"/>
      <c r="DK82" s="56"/>
      <c r="DL82" s="56"/>
      <c r="DM82" s="56"/>
      <c r="DN82" s="56"/>
      <c r="DO82" s="56"/>
      <c r="DP82" s="56"/>
      <c r="DQ82" s="56"/>
      <c r="DR82" s="56"/>
      <c r="DS82" s="56"/>
      <c r="DT82" s="56"/>
      <c r="DU82" s="56"/>
      <c r="DV82" s="56"/>
      <c r="DW82" s="56"/>
      <c r="DX82" s="56"/>
      <c r="DY82" s="56"/>
      <c r="DZ82" s="56"/>
      <c r="EA82" s="56"/>
      <c r="EB82" s="56"/>
      <c r="EC82" s="56"/>
      <c r="ED82" s="56"/>
      <c r="EE82" s="56"/>
      <c r="EF82" s="56"/>
      <c r="EG82" s="56"/>
      <c r="EH82" s="56"/>
      <c r="EI82" s="56"/>
      <c r="EJ82" s="56"/>
      <c r="EK82" s="56"/>
    </row>
    <row r="83" spans="1:141" ht="25.2" thickBot="1" x14ac:dyDescent="0.75">
      <c r="A83" s="1047" t="s">
        <v>81</v>
      </c>
      <c r="B83" s="886">
        <f>SUM(B81:B82)</f>
        <v>259</v>
      </c>
      <c r="C83" s="925">
        <f>SUM(C81:C82)</f>
        <v>6994</v>
      </c>
      <c r="D83" s="888"/>
      <c r="E83" s="889"/>
      <c r="F83" s="889"/>
      <c r="G83" s="889"/>
      <c r="H83" s="889"/>
      <c r="I83" s="889"/>
      <c r="J83" s="889"/>
      <c r="K83" s="889"/>
      <c r="L83" s="890"/>
      <c r="M83" s="158">
        <f>SUM(M81:M82)</f>
        <v>35</v>
      </c>
      <c r="N83" s="158">
        <f>SUM(N81:N82)</f>
        <v>0</v>
      </c>
      <c r="O83" s="160">
        <f>SUM(O79:O82)</f>
        <v>0</v>
      </c>
      <c r="P83" s="160">
        <f>0</f>
        <v>0</v>
      </c>
      <c r="Q83" s="160">
        <f>0</f>
        <v>0</v>
      </c>
      <c r="R83" s="161"/>
      <c r="S83" s="160"/>
      <c r="T83" s="163"/>
      <c r="U83" s="158">
        <f>SUM(U81:U82)</f>
        <v>7693</v>
      </c>
      <c r="V83" s="158">
        <f>SUM(V79:V82)</f>
        <v>0</v>
      </c>
      <c r="W83" s="175">
        <f>SUM(W79:W82)</f>
        <v>0</v>
      </c>
      <c r="X83" s="164"/>
      <c r="Y83" s="164"/>
      <c r="Z83" s="164"/>
      <c r="AA83" s="164"/>
      <c r="AB83" s="164"/>
      <c r="AC83" s="157">
        <f>SUM(AC81:AC82)</f>
        <v>3325</v>
      </c>
      <c r="AD83" s="157">
        <f t="shared" ref="AD83:AD84" si="41">ROUND(N83*960,0)</f>
        <v>0</v>
      </c>
      <c r="AE83" s="166">
        <f>SUM(AE79:AE82)</f>
        <v>0</v>
      </c>
      <c r="AF83" s="166">
        <f>AF81+AF82</f>
        <v>0</v>
      </c>
      <c r="AG83" s="164"/>
      <c r="AH83" s="164"/>
      <c r="AI83" s="164"/>
      <c r="AJ83" s="156"/>
      <c r="AK83" s="165">
        <f>SUM(AK81:AK82)</f>
        <v>11018</v>
      </c>
      <c r="AL83" s="165">
        <f>SUM(AL81:AL82)</f>
        <v>0</v>
      </c>
      <c r="AM83" s="166">
        <f>SUM(AM79:AM82)</f>
        <v>0</v>
      </c>
      <c r="AN83" s="166">
        <f>AN81+AN82</f>
        <v>0</v>
      </c>
      <c r="AO83" s="164"/>
      <c r="AP83" s="164"/>
      <c r="AQ83" s="164"/>
      <c r="AR83" s="167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141" ht="25.2" thickBot="1" x14ac:dyDescent="0.75">
      <c r="A84" s="1048"/>
      <c r="B84" s="887"/>
      <c r="C84" s="926"/>
      <c r="D84" s="891"/>
      <c r="E84" s="892"/>
      <c r="F84" s="892"/>
      <c r="G84" s="892"/>
      <c r="H84" s="892"/>
      <c r="I84" s="892"/>
      <c r="J84" s="892"/>
      <c r="K84" s="892"/>
      <c r="L84" s="893"/>
      <c r="M84" s="896">
        <f>M83+N83</f>
        <v>35</v>
      </c>
      <c r="N84" s="898">
        <f>M83+N83</f>
        <v>35</v>
      </c>
      <c r="O84" s="899">
        <f>+O83+P83+Q83</f>
        <v>0</v>
      </c>
      <c r="P84" s="900"/>
      <c r="Q84" s="970"/>
      <c r="R84" s="899">
        <f>+R83+S83+T83</f>
        <v>0</v>
      </c>
      <c r="S84" s="900"/>
      <c r="T84" s="970"/>
      <c r="U84" s="971">
        <f>U83+V83</f>
        <v>7693</v>
      </c>
      <c r="V84" s="972"/>
      <c r="W84" s="964">
        <f>W83+X83+Y83</f>
        <v>0</v>
      </c>
      <c r="X84" s="965"/>
      <c r="Y84" s="966"/>
      <c r="Z84" s="964">
        <f>Z83+AA83+AB83</f>
        <v>0</v>
      </c>
      <c r="AA84" s="965"/>
      <c r="AB84" s="966"/>
      <c r="AC84" s="912">
        <f>AC83+AD83</f>
        <v>3325</v>
      </c>
      <c r="AD84" s="914">
        <f t="shared" si="41"/>
        <v>33600</v>
      </c>
      <c r="AE84" s="964">
        <f>AE83+AF83+AG83</f>
        <v>0</v>
      </c>
      <c r="AF84" s="965"/>
      <c r="AG84" s="966"/>
      <c r="AH84" s="964">
        <f>AH83+AI83+AJ83</f>
        <v>0</v>
      </c>
      <c r="AI84" s="965"/>
      <c r="AJ84" s="966"/>
      <c r="AK84" s="912">
        <f>AK83+AL83</f>
        <v>11018</v>
      </c>
      <c r="AL84" s="913">
        <f t="shared" ref="AL84" si="42">V84+AD84</f>
        <v>33600</v>
      </c>
      <c r="AM84" s="964">
        <f>AM83+AN83+AO83</f>
        <v>0</v>
      </c>
      <c r="AN84" s="965"/>
      <c r="AO84" s="967"/>
      <c r="AP84" s="964">
        <f>AP83+AQ83+AR83</f>
        <v>0</v>
      </c>
      <c r="AQ84" s="965"/>
      <c r="AR84" s="967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141" s="180" customFormat="1" ht="39.9" customHeight="1" thickBot="1" x14ac:dyDescent="0.75">
      <c r="A85" s="961" t="s">
        <v>87</v>
      </c>
      <c r="B85" s="962"/>
      <c r="C85" s="962"/>
      <c r="D85" s="962"/>
      <c r="E85" s="962"/>
      <c r="F85" s="962"/>
      <c r="G85" s="962"/>
      <c r="H85" s="962"/>
      <c r="I85" s="962"/>
      <c r="J85" s="962"/>
      <c r="K85" s="962"/>
      <c r="L85" s="962"/>
      <c r="M85" s="962"/>
      <c r="N85" s="962"/>
      <c r="O85" s="962"/>
      <c r="P85" s="962"/>
      <c r="Q85" s="962"/>
      <c r="R85" s="962"/>
      <c r="S85" s="962"/>
      <c r="T85" s="962"/>
      <c r="U85" s="962"/>
      <c r="V85" s="962"/>
      <c r="W85" s="962"/>
      <c r="X85" s="962"/>
      <c r="Y85" s="962"/>
      <c r="Z85" s="962"/>
      <c r="AA85" s="962"/>
      <c r="AB85" s="962"/>
      <c r="AC85" s="962"/>
      <c r="AD85" s="962"/>
      <c r="AE85" s="962"/>
      <c r="AF85" s="962"/>
      <c r="AG85" s="962"/>
      <c r="AH85" s="962"/>
      <c r="AI85" s="962"/>
      <c r="AJ85" s="962"/>
      <c r="AK85" s="962"/>
      <c r="AL85" s="962"/>
      <c r="AM85" s="962"/>
      <c r="AN85" s="962"/>
      <c r="AO85" s="962"/>
      <c r="AP85" s="962"/>
      <c r="AQ85" s="962"/>
      <c r="AR85" s="963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  <c r="CK85" s="176"/>
      <c r="CL85" s="176"/>
      <c r="CM85" s="176"/>
      <c r="CN85" s="176"/>
      <c r="CO85" s="176"/>
      <c r="CP85" s="176"/>
      <c r="CQ85" s="176"/>
      <c r="CR85" s="176"/>
      <c r="CS85" s="176"/>
      <c r="CT85" s="176"/>
      <c r="CU85" s="176"/>
      <c r="CV85" s="176"/>
      <c r="CW85" s="176"/>
      <c r="CX85" s="176"/>
      <c r="CY85" s="176"/>
      <c r="CZ85" s="176"/>
      <c r="DA85" s="176"/>
      <c r="DB85" s="176"/>
      <c r="DC85" s="176"/>
      <c r="DD85" s="176"/>
      <c r="DE85" s="176"/>
      <c r="DF85" s="176"/>
      <c r="DG85" s="176"/>
      <c r="DH85" s="176"/>
      <c r="DI85" s="176"/>
      <c r="DJ85" s="176"/>
      <c r="DK85" s="176"/>
      <c r="DL85" s="176"/>
      <c r="DM85" s="176"/>
      <c r="DN85" s="176"/>
      <c r="DO85" s="176"/>
      <c r="DP85" s="176"/>
      <c r="DQ85" s="176"/>
      <c r="DR85" s="176"/>
      <c r="DS85" s="176"/>
      <c r="DT85" s="176"/>
      <c r="DU85" s="176"/>
      <c r="DV85" s="176"/>
      <c r="DW85" s="176"/>
      <c r="DX85" s="176"/>
      <c r="DY85" s="176"/>
      <c r="DZ85" s="176"/>
      <c r="EA85" s="176"/>
      <c r="EB85" s="176"/>
      <c r="EC85" s="176"/>
      <c r="ED85" s="176"/>
      <c r="EE85" s="176"/>
      <c r="EF85" s="176"/>
      <c r="EG85" s="176"/>
      <c r="EH85" s="176"/>
      <c r="EI85" s="176"/>
      <c r="EJ85" s="176"/>
      <c r="EK85" s="176"/>
    </row>
    <row r="86" spans="1:141" s="68" customFormat="1" ht="39.9" customHeight="1" thickBot="1" x14ac:dyDescent="0.75">
      <c r="A86" s="938" t="s">
        <v>84</v>
      </c>
      <c r="B86" s="939"/>
      <c r="C86" s="939"/>
      <c r="D86" s="939"/>
      <c r="E86" s="939"/>
      <c r="F86" s="939"/>
      <c r="G86" s="939"/>
      <c r="H86" s="939"/>
      <c r="I86" s="939"/>
      <c r="J86" s="939"/>
      <c r="K86" s="939"/>
      <c r="L86" s="939"/>
      <c r="M86" s="939"/>
      <c r="N86" s="939"/>
      <c r="O86" s="939"/>
      <c r="P86" s="939"/>
      <c r="Q86" s="939"/>
      <c r="R86" s="939"/>
      <c r="S86" s="939"/>
      <c r="T86" s="939"/>
      <c r="U86" s="939"/>
      <c r="V86" s="939"/>
      <c r="W86" s="939"/>
      <c r="X86" s="939"/>
      <c r="Y86" s="939"/>
      <c r="Z86" s="939"/>
      <c r="AA86" s="939"/>
      <c r="AB86" s="939"/>
      <c r="AC86" s="939"/>
      <c r="AD86" s="939"/>
      <c r="AE86" s="939"/>
      <c r="AF86" s="939"/>
      <c r="AG86" s="939"/>
      <c r="AH86" s="939"/>
      <c r="AI86" s="939"/>
      <c r="AJ86" s="939"/>
      <c r="AK86" s="939"/>
      <c r="AL86" s="939"/>
      <c r="AM86" s="939"/>
      <c r="AN86" s="939"/>
      <c r="AO86" s="939"/>
      <c r="AP86" s="939"/>
      <c r="AQ86" s="939"/>
      <c r="AR86" s="940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69"/>
      <c r="EJ86" s="69"/>
      <c r="EK86" s="69"/>
    </row>
    <row r="87" spans="1:141" x14ac:dyDescent="0.7">
      <c r="A87" s="79" t="s">
        <v>85</v>
      </c>
      <c r="B87" s="80">
        <v>15</v>
      </c>
      <c r="C87" s="81">
        <v>401</v>
      </c>
      <c r="D87" s="41">
        <f>0</f>
        <v>0</v>
      </c>
      <c r="E87" s="37">
        <v>2</v>
      </c>
      <c r="F87" s="37">
        <v>0</v>
      </c>
      <c r="G87" s="36">
        <f>0</f>
        <v>0</v>
      </c>
      <c r="H87" s="37">
        <v>12</v>
      </c>
      <c r="I87" s="38">
        <f>0</f>
        <v>0</v>
      </c>
      <c r="J87" s="36">
        <v>1.1000000000000001</v>
      </c>
      <c r="K87" s="37">
        <v>2</v>
      </c>
      <c r="L87" s="39">
        <v>1.7</v>
      </c>
      <c r="M87" s="27">
        <f>ROUND(C87*G87/1000,0)</f>
        <v>0</v>
      </c>
      <c r="N87" s="31">
        <f>0</f>
        <v>0</v>
      </c>
      <c r="O87" s="27">
        <f>ROUND(C87*H87/1000,0)</f>
        <v>5</v>
      </c>
      <c r="P87" s="28">
        <f>0</f>
        <v>0</v>
      </c>
      <c r="Q87" s="28">
        <f>0</f>
        <v>0</v>
      </c>
      <c r="R87" s="30">
        <f>0</f>
        <v>0</v>
      </c>
      <c r="S87" s="28">
        <f>0</f>
        <v>0</v>
      </c>
      <c r="T87" s="32">
        <f>0</f>
        <v>0</v>
      </c>
      <c r="U87" s="182">
        <f>0</f>
        <v>0</v>
      </c>
      <c r="V87" s="183">
        <f>0</f>
        <v>0</v>
      </c>
      <c r="W87" s="26">
        <f>ROUND(C87*K87,0)</f>
        <v>802</v>
      </c>
      <c r="X87" s="28"/>
      <c r="Y87" s="28"/>
      <c r="Z87" s="28"/>
      <c r="AA87" s="30"/>
      <c r="AB87" s="29"/>
      <c r="AC87" s="31">
        <f t="shared" ref="AC87" si="43">ROUND(M87*960,0)</f>
        <v>0</v>
      </c>
      <c r="AD87" s="31"/>
      <c r="AE87" s="27">
        <f>ROUND(O87*95,0)</f>
        <v>475</v>
      </c>
      <c r="AF87" s="28"/>
      <c r="AG87" s="28"/>
      <c r="AH87" s="30"/>
      <c r="AI87" s="28"/>
      <c r="AJ87" s="181"/>
      <c r="AK87" s="171">
        <f t="shared" ref="AK87" si="44">U87+AC87</f>
        <v>0</v>
      </c>
      <c r="AL87" s="28"/>
      <c r="AM87" s="28">
        <f>+W87+AE87</f>
        <v>1277</v>
      </c>
      <c r="AN87" s="28"/>
      <c r="AO87" s="28"/>
      <c r="AP87" s="28"/>
      <c r="AQ87" s="28"/>
      <c r="AR87" s="181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  <c r="CZ87" s="56"/>
      <c r="DA87" s="56"/>
      <c r="DB87" s="56"/>
      <c r="DC87" s="56"/>
      <c r="DD87" s="56"/>
      <c r="DE87" s="56"/>
      <c r="DF87" s="56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  <c r="EG87" s="56"/>
      <c r="EH87" s="56"/>
      <c r="EI87" s="56"/>
      <c r="EJ87" s="56"/>
      <c r="EK87" s="56"/>
    </row>
    <row r="88" spans="1:141" ht="25.2" thickBot="1" x14ac:dyDescent="0.75">
      <c r="A88" s="53" t="s">
        <v>86</v>
      </c>
      <c r="B88" s="97">
        <v>6</v>
      </c>
      <c r="C88" s="98">
        <v>152</v>
      </c>
      <c r="D88" s="31">
        <f>0</f>
        <v>0</v>
      </c>
      <c r="E88" s="28">
        <v>2</v>
      </c>
      <c r="F88" s="28">
        <v>0</v>
      </c>
      <c r="G88" s="27">
        <f>0</f>
        <v>0</v>
      </c>
      <c r="H88" s="145">
        <v>12</v>
      </c>
      <c r="I88" s="29">
        <f>0</f>
        <v>0</v>
      </c>
      <c r="J88" s="27">
        <v>1.1000000000000001</v>
      </c>
      <c r="K88" s="28">
        <v>2</v>
      </c>
      <c r="L88" s="30">
        <v>1.7</v>
      </c>
      <c r="M88" s="13">
        <f>ROUND(C88*G88/1000,0)</f>
        <v>0</v>
      </c>
      <c r="N88" s="17">
        <f>0</f>
        <v>0</v>
      </c>
      <c r="O88" s="27">
        <f>ROUND(C88*H88/1000,0)</f>
        <v>2</v>
      </c>
      <c r="P88" s="14">
        <f>0</f>
        <v>0</v>
      </c>
      <c r="Q88" s="14">
        <f>0</f>
        <v>0</v>
      </c>
      <c r="R88" s="15">
        <f>0</f>
        <v>0</v>
      </c>
      <c r="S88" s="14">
        <f>0</f>
        <v>0</v>
      </c>
      <c r="T88" s="18">
        <f>0</f>
        <v>0</v>
      </c>
      <c r="U88" s="13">
        <f>0</f>
        <v>0</v>
      </c>
      <c r="V88" s="17">
        <f>0</f>
        <v>0</v>
      </c>
      <c r="W88" s="26">
        <f>ROUND(C88*K88,0)</f>
        <v>304</v>
      </c>
      <c r="X88" s="14"/>
      <c r="Y88" s="14"/>
      <c r="Z88" s="14"/>
      <c r="AA88" s="15"/>
      <c r="AB88" s="23"/>
      <c r="AC88" s="17">
        <f>ROUND(M88*95,0)</f>
        <v>0</v>
      </c>
      <c r="AD88" s="17"/>
      <c r="AE88" s="27">
        <f>ROUND(O88*95,0)</f>
        <v>190</v>
      </c>
      <c r="AF88" s="14"/>
      <c r="AG88" s="14"/>
      <c r="AH88" s="15"/>
      <c r="AI88" s="14"/>
      <c r="AJ88" s="16"/>
      <c r="AK88" s="100">
        <f>U88+AC88</f>
        <v>0</v>
      </c>
      <c r="AL88" s="14"/>
      <c r="AM88" s="14">
        <f>W88+AE88</f>
        <v>494</v>
      </c>
      <c r="AN88" s="14"/>
      <c r="AO88" s="14"/>
      <c r="AP88" s="14"/>
      <c r="AQ88" s="14"/>
      <c r="AR88" s="1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  <c r="CZ88" s="56"/>
      <c r="DA88" s="56"/>
      <c r="DB88" s="56"/>
      <c r="DC88" s="56"/>
      <c r="DD88" s="56"/>
      <c r="DE88" s="56"/>
      <c r="DF88" s="56"/>
      <c r="DG88" s="56"/>
      <c r="DH88" s="56"/>
      <c r="DI88" s="56"/>
      <c r="DJ88" s="56"/>
      <c r="DK88" s="56"/>
      <c r="DL88" s="56"/>
      <c r="DM88" s="56"/>
      <c r="DN88" s="56"/>
      <c r="DO88" s="56"/>
      <c r="DP88" s="56"/>
      <c r="DQ88" s="56"/>
      <c r="DR88" s="56"/>
      <c r="DS88" s="56"/>
      <c r="DT88" s="56"/>
      <c r="DU88" s="56"/>
      <c r="DV88" s="56"/>
      <c r="DW88" s="56"/>
      <c r="DX88" s="56"/>
      <c r="DY88" s="56"/>
      <c r="DZ88" s="56"/>
      <c r="EA88" s="56"/>
      <c r="EB88" s="56"/>
      <c r="EC88" s="56"/>
      <c r="ED88" s="56"/>
      <c r="EE88" s="56"/>
      <c r="EF88" s="56"/>
      <c r="EG88" s="56"/>
      <c r="EH88" s="56"/>
      <c r="EI88" s="56"/>
      <c r="EJ88" s="56"/>
      <c r="EK88" s="56"/>
    </row>
    <row r="89" spans="1:141" ht="25.2" thickBot="1" x14ac:dyDescent="0.75">
      <c r="A89" s="1047" t="s">
        <v>43</v>
      </c>
      <c r="B89" s="886">
        <f>SUM(B87:B88)</f>
        <v>21</v>
      </c>
      <c r="C89" s="925">
        <f>SUM(C87:C88)</f>
        <v>553</v>
      </c>
      <c r="D89" s="888"/>
      <c r="E89" s="889"/>
      <c r="F89" s="889"/>
      <c r="G89" s="889"/>
      <c r="H89" s="889"/>
      <c r="I89" s="889"/>
      <c r="J89" s="889"/>
      <c r="K89" s="889"/>
      <c r="L89" s="890"/>
      <c r="M89" s="158">
        <f>SUM(M87:M88)</f>
        <v>0</v>
      </c>
      <c r="N89" s="158">
        <f>SUM(N87:N88)</f>
        <v>0</v>
      </c>
      <c r="O89" s="160">
        <f>SUM(O87:O88)</f>
        <v>7</v>
      </c>
      <c r="P89" s="160">
        <f>P87+P88</f>
        <v>0</v>
      </c>
      <c r="Q89" s="160">
        <f>Q87+Q88</f>
        <v>0</v>
      </c>
      <c r="R89" s="161">
        <f>R87+R88</f>
        <v>0</v>
      </c>
      <c r="S89" s="161">
        <f>S87+S88</f>
        <v>0</v>
      </c>
      <c r="T89" s="163">
        <f>T87+T88</f>
        <v>0</v>
      </c>
      <c r="U89" s="158">
        <f>SUM(U87:U88)</f>
        <v>0</v>
      </c>
      <c r="V89" s="158">
        <f>SUM(V87:V88)</f>
        <v>0</v>
      </c>
      <c r="W89" s="157">
        <f>SUM(W87:W88)</f>
        <v>1106</v>
      </c>
      <c r="X89" s="164"/>
      <c r="Y89" s="164"/>
      <c r="Z89" s="164"/>
      <c r="AA89" s="164"/>
      <c r="AB89" s="164"/>
      <c r="AC89" s="157">
        <f>SUM(AC87:AC88)</f>
        <v>0</v>
      </c>
      <c r="AD89" s="157">
        <f t="shared" ref="AD89:AD90" si="45">ROUND(N89*960,0)</f>
        <v>0</v>
      </c>
      <c r="AE89" s="166">
        <f>SUM(AE87:AE88)</f>
        <v>665</v>
      </c>
      <c r="AF89" s="166">
        <f>AF87+AF88</f>
        <v>0</v>
      </c>
      <c r="AG89" s="164"/>
      <c r="AH89" s="164"/>
      <c r="AI89" s="164"/>
      <c r="AJ89" s="156"/>
      <c r="AK89" s="165">
        <f>SUM(AK87:AK88)</f>
        <v>0</v>
      </c>
      <c r="AL89" s="165">
        <f>SUM(AL87:AL88)</f>
        <v>0</v>
      </c>
      <c r="AM89" s="166">
        <f>SUM(AM87:AM88)</f>
        <v>1771</v>
      </c>
      <c r="AN89" s="166">
        <f>AN87+AN88</f>
        <v>0</v>
      </c>
      <c r="AO89" s="164"/>
      <c r="AP89" s="164"/>
      <c r="AQ89" s="164"/>
      <c r="AR89" s="167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141" ht="25.2" thickBot="1" x14ac:dyDescent="0.75">
      <c r="A90" s="1048"/>
      <c r="B90" s="887"/>
      <c r="C90" s="926"/>
      <c r="D90" s="891"/>
      <c r="E90" s="892"/>
      <c r="F90" s="892"/>
      <c r="G90" s="892"/>
      <c r="H90" s="892"/>
      <c r="I90" s="892"/>
      <c r="J90" s="892"/>
      <c r="K90" s="892"/>
      <c r="L90" s="893"/>
      <c r="M90" s="894">
        <f>M89+N89</f>
        <v>0</v>
      </c>
      <c r="N90" s="895">
        <f>M89+N89</f>
        <v>0</v>
      </c>
      <c r="O90" s="896">
        <f>+O89+P89+Q89</f>
        <v>7</v>
      </c>
      <c r="P90" s="897"/>
      <c r="Q90" s="898"/>
      <c r="R90" s="899">
        <f>+R89+S89+T89</f>
        <v>0</v>
      </c>
      <c r="S90" s="900"/>
      <c r="T90" s="970"/>
      <c r="U90" s="1061">
        <f>U89+V89</f>
        <v>0</v>
      </c>
      <c r="V90" s="1062"/>
      <c r="W90" s="897">
        <f>W89+X89+Y89</f>
        <v>1106</v>
      </c>
      <c r="X90" s="897"/>
      <c r="Y90" s="898"/>
      <c r="Z90" s="964">
        <f>Z89+AA89+AB89</f>
        <v>0</v>
      </c>
      <c r="AA90" s="965"/>
      <c r="AB90" s="966"/>
      <c r="AC90" s="910">
        <f>AC89+AD89</f>
        <v>0</v>
      </c>
      <c r="AD90" s="911">
        <f t="shared" si="45"/>
        <v>0</v>
      </c>
      <c r="AE90" s="912">
        <f>AE89+AF89+AG89</f>
        <v>665</v>
      </c>
      <c r="AF90" s="913"/>
      <c r="AG90" s="914"/>
      <c r="AH90" s="964">
        <f>AH89+AI89+AJ89</f>
        <v>0</v>
      </c>
      <c r="AI90" s="965"/>
      <c r="AJ90" s="966"/>
      <c r="AK90" s="910">
        <f>AK89+AL89</f>
        <v>0</v>
      </c>
      <c r="AL90" s="1063">
        <f t="shared" ref="AL90" si="46">V90+AD90</f>
        <v>0</v>
      </c>
      <c r="AM90" s="912">
        <f>AM89+AN89+AO89</f>
        <v>1771</v>
      </c>
      <c r="AN90" s="913"/>
      <c r="AO90" s="914"/>
      <c r="AP90" s="964">
        <f>AP89+AQ89+AR89</f>
        <v>0</v>
      </c>
      <c r="AQ90" s="965"/>
      <c r="AR90" s="967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141" s="180" customFormat="1" ht="39.9" customHeight="1" thickBot="1" x14ac:dyDescent="0.75">
      <c r="A91" s="961" t="s">
        <v>88</v>
      </c>
      <c r="B91" s="962"/>
      <c r="C91" s="962"/>
      <c r="D91" s="962"/>
      <c r="E91" s="962"/>
      <c r="F91" s="962"/>
      <c r="G91" s="962"/>
      <c r="H91" s="962"/>
      <c r="I91" s="962"/>
      <c r="J91" s="962"/>
      <c r="K91" s="962"/>
      <c r="L91" s="962"/>
      <c r="M91" s="962"/>
      <c r="N91" s="962"/>
      <c r="O91" s="962"/>
      <c r="P91" s="962"/>
      <c r="Q91" s="962"/>
      <c r="R91" s="962"/>
      <c r="S91" s="962"/>
      <c r="T91" s="962"/>
      <c r="U91" s="962"/>
      <c r="V91" s="962"/>
      <c r="W91" s="962"/>
      <c r="X91" s="962"/>
      <c r="Y91" s="962"/>
      <c r="Z91" s="962"/>
      <c r="AA91" s="962"/>
      <c r="AB91" s="962"/>
      <c r="AC91" s="962"/>
      <c r="AD91" s="962"/>
      <c r="AE91" s="962"/>
      <c r="AF91" s="962"/>
      <c r="AG91" s="962"/>
      <c r="AH91" s="962"/>
      <c r="AI91" s="962"/>
      <c r="AJ91" s="962"/>
      <c r="AK91" s="962"/>
      <c r="AL91" s="962"/>
      <c r="AM91" s="962"/>
      <c r="AN91" s="962"/>
      <c r="AO91" s="962"/>
      <c r="AP91" s="962"/>
      <c r="AQ91" s="962"/>
      <c r="AR91" s="963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  <c r="CK91" s="176"/>
      <c r="CL91" s="176"/>
      <c r="CM91" s="176"/>
      <c r="CN91" s="176"/>
      <c r="CO91" s="176"/>
      <c r="CP91" s="176"/>
      <c r="CQ91" s="176"/>
      <c r="CR91" s="176"/>
      <c r="CS91" s="176"/>
      <c r="CT91" s="176"/>
      <c r="CU91" s="176"/>
      <c r="CV91" s="176"/>
      <c r="CW91" s="176"/>
      <c r="CX91" s="176"/>
      <c r="CY91" s="176"/>
      <c r="CZ91" s="176"/>
      <c r="DA91" s="176"/>
      <c r="DB91" s="176"/>
      <c r="DC91" s="176"/>
      <c r="DD91" s="176"/>
      <c r="DE91" s="176"/>
      <c r="DF91" s="176"/>
      <c r="DG91" s="176"/>
      <c r="DH91" s="176"/>
      <c r="DI91" s="176"/>
      <c r="DJ91" s="176"/>
      <c r="DK91" s="176"/>
      <c r="DL91" s="176"/>
      <c r="DM91" s="176"/>
      <c r="DN91" s="176"/>
      <c r="DO91" s="176"/>
      <c r="DP91" s="176"/>
      <c r="DQ91" s="176"/>
      <c r="DR91" s="176"/>
      <c r="DS91" s="176"/>
      <c r="DT91" s="176"/>
      <c r="DU91" s="176"/>
      <c r="DV91" s="176"/>
      <c r="DW91" s="176"/>
      <c r="DX91" s="176"/>
      <c r="DY91" s="176"/>
      <c r="DZ91" s="176"/>
      <c r="EA91" s="176"/>
      <c r="EB91" s="176"/>
      <c r="EC91" s="176"/>
      <c r="ED91" s="176"/>
      <c r="EE91" s="176"/>
      <c r="EF91" s="176"/>
      <c r="EG91" s="176"/>
      <c r="EH91" s="176"/>
      <c r="EI91" s="176"/>
      <c r="EJ91" s="176"/>
      <c r="EK91" s="176"/>
    </row>
    <row r="92" spans="1:141" s="177" customFormat="1" ht="39.9" customHeight="1" thickBot="1" x14ac:dyDescent="0.75">
      <c r="A92" s="943" t="s">
        <v>89</v>
      </c>
      <c r="B92" s="944"/>
      <c r="C92" s="944"/>
      <c r="D92" s="944"/>
      <c r="E92" s="944"/>
      <c r="F92" s="944"/>
      <c r="G92" s="944"/>
      <c r="H92" s="944"/>
      <c r="I92" s="944"/>
      <c r="J92" s="944"/>
      <c r="K92" s="944"/>
      <c r="L92" s="944"/>
      <c r="M92" s="944"/>
      <c r="N92" s="944"/>
      <c r="O92" s="944"/>
      <c r="P92" s="944"/>
      <c r="Q92" s="944"/>
      <c r="R92" s="944"/>
      <c r="S92" s="944"/>
      <c r="T92" s="944"/>
      <c r="U92" s="944"/>
      <c r="V92" s="944"/>
      <c r="W92" s="944"/>
      <c r="X92" s="944"/>
      <c r="Y92" s="944"/>
      <c r="Z92" s="944"/>
      <c r="AA92" s="944"/>
      <c r="AB92" s="944"/>
      <c r="AC92" s="944"/>
      <c r="AD92" s="944"/>
      <c r="AE92" s="944"/>
      <c r="AF92" s="944"/>
      <c r="AG92" s="944"/>
      <c r="AH92" s="944"/>
      <c r="AI92" s="944"/>
      <c r="AJ92" s="944"/>
      <c r="AK92" s="944"/>
      <c r="AL92" s="944"/>
      <c r="AM92" s="944"/>
      <c r="AN92" s="944"/>
      <c r="AO92" s="944"/>
      <c r="AP92" s="944"/>
      <c r="AQ92" s="944"/>
      <c r="AR92" s="945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  <c r="CK92" s="176"/>
      <c r="CL92" s="176"/>
      <c r="CM92" s="176"/>
      <c r="CN92" s="176"/>
      <c r="CO92" s="176"/>
      <c r="CP92" s="176"/>
      <c r="CQ92" s="176"/>
      <c r="CR92" s="176"/>
      <c r="CS92" s="176"/>
      <c r="CT92" s="176"/>
      <c r="CU92" s="176"/>
      <c r="CV92" s="176"/>
      <c r="CW92" s="176"/>
      <c r="CX92" s="176"/>
      <c r="CY92" s="176"/>
      <c r="CZ92" s="176"/>
      <c r="DA92" s="176"/>
      <c r="DB92" s="176"/>
      <c r="DC92" s="176"/>
      <c r="DD92" s="176"/>
      <c r="DE92" s="176"/>
      <c r="DF92" s="176"/>
      <c r="DG92" s="176"/>
      <c r="DH92" s="176"/>
      <c r="DI92" s="176"/>
      <c r="DJ92" s="176"/>
      <c r="DK92" s="176"/>
      <c r="DL92" s="176"/>
      <c r="DM92" s="176"/>
      <c r="DN92" s="176"/>
      <c r="DO92" s="176"/>
      <c r="DP92" s="176"/>
      <c r="DQ92" s="176"/>
      <c r="DR92" s="176"/>
      <c r="DS92" s="176"/>
      <c r="DT92" s="176"/>
      <c r="DU92" s="176"/>
      <c r="DV92" s="176"/>
      <c r="DW92" s="176"/>
      <c r="DX92" s="176"/>
      <c r="DY92" s="176"/>
      <c r="DZ92" s="176"/>
      <c r="EA92" s="176"/>
      <c r="EB92" s="176"/>
      <c r="EC92" s="176"/>
      <c r="ED92" s="176"/>
      <c r="EE92" s="176"/>
      <c r="EF92" s="176"/>
      <c r="EG92" s="176"/>
      <c r="EH92" s="176"/>
      <c r="EI92" s="176"/>
      <c r="EJ92" s="176"/>
      <c r="EK92" s="176"/>
    </row>
    <row r="93" spans="1:141" ht="25.2" thickBot="1" x14ac:dyDescent="0.75">
      <c r="A93" s="33" t="s">
        <v>90</v>
      </c>
      <c r="B93" s="34">
        <v>4</v>
      </c>
      <c r="C93" s="35">
        <v>92</v>
      </c>
      <c r="D93" s="41">
        <v>1</v>
      </c>
      <c r="E93" s="37">
        <v>0</v>
      </c>
      <c r="F93" s="37">
        <v>0</v>
      </c>
      <c r="G93" s="36">
        <v>5</v>
      </c>
      <c r="H93" s="37">
        <f>0</f>
        <v>0</v>
      </c>
      <c r="I93" s="38">
        <f>0</f>
        <v>0</v>
      </c>
      <c r="J93" s="36">
        <v>1.1000000000000001</v>
      </c>
      <c r="K93" s="37">
        <v>2</v>
      </c>
      <c r="L93" s="39">
        <v>1.7</v>
      </c>
      <c r="M93" s="13">
        <f>ROUND(C93*G93/1000,2)</f>
        <v>0.46</v>
      </c>
      <c r="N93" s="17"/>
      <c r="O93" s="14"/>
      <c r="P93" s="14"/>
      <c r="Q93" s="14"/>
      <c r="R93" s="15"/>
      <c r="S93" s="14"/>
      <c r="T93" s="18"/>
      <c r="U93" s="13">
        <f>ROUND(C93*J93,0)</f>
        <v>101</v>
      </c>
      <c r="V93" s="17"/>
      <c r="W93" s="17"/>
      <c r="X93" s="14"/>
      <c r="Y93" s="14"/>
      <c r="Z93" s="14"/>
      <c r="AA93" s="15"/>
      <c r="AB93" s="23"/>
      <c r="AC93" s="17">
        <f>ROUND(M93*95,0)</f>
        <v>44</v>
      </c>
      <c r="AD93" s="17"/>
      <c r="AE93" s="14"/>
      <c r="AF93" s="14"/>
      <c r="AG93" s="14"/>
      <c r="AH93" s="15"/>
      <c r="AI93" s="14"/>
      <c r="AJ93" s="16"/>
      <c r="AK93" s="100">
        <f>U93+AC93</f>
        <v>145</v>
      </c>
      <c r="AL93" s="14"/>
      <c r="AM93" s="14"/>
      <c r="AN93" s="14"/>
      <c r="AO93" s="14"/>
      <c r="AP93" s="14"/>
      <c r="AQ93" s="14"/>
      <c r="AR93" s="1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6"/>
      <c r="CV93" s="56"/>
      <c r="CW93" s="56"/>
      <c r="CX93" s="56"/>
      <c r="CY93" s="56"/>
      <c r="CZ93" s="56"/>
      <c r="DA93" s="56"/>
      <c r="DB93" s="56"/>
      <c r="DC93" s="56"/>
      <c r="DD93" s="56"/>
      <c r="DE93" s="56"/>
      <c r="DF93" s="56"/>
      <c r="DG93" s="56"/>
      <c r="DH93" s="56"/>
      <c r="DI93" s="56"/>
      <c r="DJ93" s="56"/>
      <c r="DK93" s="56"/>
      <c r="DL93" s="56"/>
      <c r="DM93" s="56"/>
      <c r="DN93" s="56"/>
      <c r="DO93" s="56"/>
      <c r="DP93" s="56"/>
      <c r="DQ93" s="56"/>
      <c r="DR93" s="56"/>
      <c r="DS93" s="56"/>
      <c r="DT93" s="56"/>
      <c r="DU93" s="56"/>
      <c r="DV93" s="56"/>
      <c r="DW93" s="56"/>
      <c r="DX93" s="56"/>
      <c r="DY93" s="56"/>
      <c r="DZ93" s="56"/>
      <c r="EA93" s="56"/>
      <c r="EB93" s="56"/>
      <c r="EC93" s="56"/>
      <c r="ED93" s="56"/>
      <c r="EE93" s="56"/>
      <c r="EF93" s="56"/>
      <c r="EG93" s="56"/>
      <c r="EH93" s="56"/>
      <c r="EI93" s="56"/>
      <c r="EJ93" s="56"/>
      <c r="EK93" s="56"/>
    </row>
    <row r="94" spans="1:141" ht="25.2" thickBot="1" x14ac:dyDescent="0.75">
      <c r="A94" s="1047" t="s">
        <v>25</v>
      </c>
      <c r="B94" s="886">
        <f>SUM(B93)</f>
        <v>4</v>
      </c>
      <c r="C94" s="925">
        <f>SUM(C93)</f>
        <v>92</v>
      </c>
      <c r="D94" s="888"/>
      <c r="E94" s="889"/>
      <c r="F94" s="889"/>
      <c r="G94" s="889"/>
      <c r="H94" s="889"/>
      <c r="I94" s="889"/>
      <c r="J94" s="889"/>
      <c r="K94" s="889"/>
      <c r="L94" s="890"/>
      <c r="M94" s="158">
        <f>SUM(M93)</f>
        <v>0.46</v>
      </c>
      <c r="N94" s="158">
        <f>SUM(N92:N93)</f>
        <v>0</v>
      </c>
      <c r="O94" s="160">
        <f>SUM(O92:O93)</f>
        <v>0</v>
      </c>
      <c r="P94" s="160">
        <f>P92+P93</f>
        <v>0</v>
      </c>
      <c r="Q94" s="160">
        <f>Q92+Q93</f>
        <v>0</v>
      </c>
      <c r="R94" s="161">
        <f>R92+R93</f>
        <v>0</v>
      </c>
      <c r="S94" s="161">
        <f>S92+S93</f>
        <v>0</v>
      </c>
      <c r="T94" s="163">
        <f>T92+T93</f>
        <v>0</v>
      </c>
      <c r="U94" s="158">
        <f>SUM(U93)</f>
        <v>101</v>
      </c>
      <c r="V94" s="158">
        <f>SUM(V92:V93)</f>
        <v>0</v>
      </c>
      <c r="W94" s="157">
        <f>SUM(W92:W93)</f>
        <v>0</v>
      </c>
      <c r="X94" s="164"/>
      <c r="Y94" s="164"/>
      <c r="Z94" s="164"/>
      <c r="AA94" s="164"/>
      <c r="AB94" s="164"/>
      <c r="AC94" s="157">
        <f>SUM(AC92:AC93)</f>
        <v>44</v>
      </c>
      <c r="AD94" s="157">
        <f t="shared" ref="AD94:AD95" si="47">ROUND(N94*960,0)</f>
        <v>0</v>
      </c>
      <c r="AE94" s="166">
        <f>SUM(AE92:AE93)</f>
        <v>0</v>
      </c>
      <c r="AF94" s="166">
        <f>AF92+AF93</f>
        <v>0</v>
      </c>
      <c r="AG94" s="164"/>
      <c r="AH94" s="164"/>
      <c r="AI94" s="164"/>
      <c r="AJ94" s="156"/>
      <c r="AK94" s="165">
        <f>SUM(AK92:AK93)</f>
        <v>145</v>
      </c>
      <c r="AL94" s="165">
        <f>SUM(AL92:AL93)</f>
        <v>0</v>
      </c>
      <c r="AM94" s="166">
        <f>SUM(AM92:AM93)</f>
        <v>0</v>
      </c>
      <c r="AN94" s="166">
        <f>AN92+AN93</f>
        <v>0</v>
      </c>
      <c r="AO94" s="164"/>
      <c r="AP94" s="164"/>
      <c r="AQ94" s="164"/>
      <c r="AR94" s="167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141" ht="25.2" thickBot="1" x14ac:dyDescent="0.75">
      <c r="A95" s="1048"/>
      <c r="B95" s="887"/>
      <c r="C95" s="926"/>
      <c r="D95" s="891"/>
      <c r="E95" s="892"/>
      <c r="F95" s="892"/>
      <c r="G95" s="892"/>
      <c r="H95" s="892"/>
      <c r="I95" s="892"/>
      <c r="J95" s="892"/>
      <c r="K95" s="892"/>
      <c r="L95" s="893"/>
      <c r="M95" s="896">
        <f>M94+N94</f>
        <v>0.46</v>
      </c>
      <c r="N95" s="898">
        <f>M94+N94</f>
        <v>0.46</v>
      </c>
      <c r="O95" s="894">
        <f>+O94+P94+Q94</f>
        <v>0</v>
      </c>
      <c r="P95" s="1064"/>
      <c r="Q95" s="895"/>
      <c r="R95" s="899">
        <f>+R94+S94+T94</f>
        <v>0</v>
      </c>
      <c r="S95" s="900"/>
      <c r="T95" s="970"/>
      <c r="U95" s="971">
        <f>U94+V94</f>
        <v>101</v>
      </c>
      <c r="V95" s="972"/>
      <c r="W95" s="1064">
        <f>W94+X94+Y94</f>
        <v>0</v>
      </c>
      <c r="X95" s="1064"/>
      <c r="Y95" s="895"/>
      <c r="Z95" s="964">
        <f>Z94+AA94+AB94</f>
        <v>0</v>
      </c>
      <c r="AA95" s="965"/>
      <c r="AB95" s="966"/>
      <c r="AC95" s="912">
        <f>AC94+AD94</f>
        <v>44</v>
      </c>
      <c r="AD95" s="914">
        <f t="shared" si="47"/>
        <v>442</v>
      </c>
      <c r="AE95" s="910">
        <f>AE94+AF94+AG94</f>
        <v>0</v>
      </c>
      <c r="AF95" s="1063"/>
      <c r="AG95" s="911"/>
      <c r="AH95" s="964">
        <f>AH94+AI94+AJ94</f>
        <v>0</v>
      </c>
      <c r="AI95" s="965"/>
      <c r="AJ95" s="966"/>
      <c r="AK95" s="912">
        <f>AK94+AL94</f>
        <v>145</v>
      </c>
      <c r="AL95" s="913">
        <f t="shared" ref="AL95" si="48">V95+AD95</f>
        <v>442</v>
      </c>
      <c r="AM95" s="910">
        <f>AM94+AN94+AO94</f>
        <v>0</v>
      </c>
      <c r="AN95" s="1063"/>
      <c r="AO95" s="911"/>
      <c r="AP95" s="964">
        <f>AP94+AQ94+AR94</f>
        <v>0</v>
      </c>
      <c r="AQ95" s="965"/>
      <c r="AR95" s="967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141" s="180" customFormat="1" ht="39.9" customHeight="1" thickBot="1" x14ac:dyDescent="0.75">
      <c r="A96" s="881" t="s">
        <v>92</v>
      </c>
      <c r="B96" s="882"/>
      <c r="C96" s="882"/>
      <c r="D96" s="882"/>
      <c r="E96" s="882"/>
      <c r="F96" s="882"/>
      <c r="G96" s="882"/>
      <c r="H96" s="882"/>
      <c r="I96" s="882"/>
      <c r="J96" s="882"/>
      <c r="K96" s="882"/>
      <c r="L96" s="882"/>
      <c r="M96" s="882"/>
      <c r="N96" s="882"/>
      <c r="O96" s="882"/>
      <c r="P96" s="882"/>
      <c r="Q96" s="882"/>
      <c r="R96" s="882"/>
      <c r="S96" s="882"/>
      <c r="T96" s="882"/>
      <c r="U96" s="882"/>
      <c r="V96" s="882"/>
      <c r="W96" s="882"/>
      <c r="X96" s="882"/>
      <c r="Y96" s="882"/>
      <c r="Z96" s="882"/>
      <c r="AA96" s="882"/>
      <c r="AB96" s="882"/>
      <c r="AC96" s="882"/>
      <c r="AD96" s="882"/>
      <c r="AE96" s="882"/>
      <c r="AF96" s="882"/>
      <c r="AG96" s="882"/>
      <c r="AH96" s="882"/>
      <c r="AI96" s="882"/>
      <c r="AJ96" s="882"/>
      <c r="AK96" s="882"/>
      <c r="AL96" s="882"/>
      <c r="AM96" s="882"/>
      <c r="AN96" s="882"/>
      <c r="AO96" s="882"/>
      <c r="AP96" s="882"/>
      <c r="AQ96" s="882"/>
      <c r="AR96" s="883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  <c r="BW96" s="176"/>
      <c r="BX96" s="176"/>
      <c r="BY96" s="176"/>
      <c r="BZ96" s="176"/>
      <c r="CA96" s="176"/>
      <c r="CB96" s="176"/>
      <c r="CC96" s="176"/>
      <c r="CD96" s="176"/>
      <c r="CE96" s="176"/>
      <c r="CF96" s="176"/>
      <c r="CG96" s="176"/>
      <c r="CH96" s="176"/>
      <c r="CI96" s="176"/>
      <c r="CJ96" s="176"/>
      <c r="CK96" s="176"/>
      <c r="CL96" s="176"/>
      <c r="CM96" s="176"/>
      <c r="CN96" s="176"/>
      <c r="CO96" s="176"/>
      <c r="CP96" s="176"/>
      <c r="CQ96" s="176"/>
      <c r="CR96" s="176"/>
      <c r="CS96" s="176"/>
      <c r="CT96" s="176"/>
      <c r="CU96" s="176"/>
      <c r="CV96" s="176"/>
      <c r="CW96" s="176"/>
      <c r="CX96" s="176"/>
      <c r="CY96" s="176"/>
      <c r="CZ96" s="176"/>
      <c r="DA96" s="176"/>
      <c r="DB96" s="176"/>
      <c r="DC96" s="176"/>
      <c r="DD96" s="176"/>
      <c r="DE96" s="176"/>
      <c r="DF96" s="176"/>
      <c r="DG96" s="176"/>
      <c r="DH96" s="176"/>
      <c r="DI96" s="176"/>
      <c r="DJ96" s="176"/>
      <c r="DK96" s="176"/>
      <c r="DL96" s="176"/>
      <c r="DM96" s="176"/>
      <c r="DN96" s="176"/>
      <c r="DO96" s="176"/>
      <c r="DP96" s="176"/>
      <c r="DQ96" s="176"/>
      <c r="DR96" s="176"/>
      <c r="DS96" s="176"/>
      <c r="DT96" s="176"/>
      <c r="DU96" s="176"/>
      <c r="DV96" s="176"/>
      <c r="DW96" s="176"/>
      <c r="DX96" s="176"/>
      <c r="DY96" s="176"/>
      <c r="DZ96" s="176"/>
      <c r="EA96" s="176"/>
      <c r="EB96" s="176"/>
      <c r="EC96" s="176"/>
      <c r="ED96" s="176"/>
      <c r="EE96" s="176"/>
      <c r="EF96" s="176"/>
      <c r="EG96" s="176"/>
      <c r="EH96" s="176"/>
      <c r="EI96" s="176"/>
      <c r="EJ96" s="176"/>
      <c r="EK96" s="176"/>
    </row>
    <row r="97" spans="1:141" s="177" customFormat="1" ht="39.9" customHeight="1" thickBot="1" x14ac:dyDescent="0.75">
      <c r="A97" s="943" t="s">
        <v>91</v>
      </c>
      <c r="B97" s="944"/>
      <c r="C97" s="944"/>
      <c r="D97" s="944"/>
      <c r="E97" s="944"/>
      <c r="F97" s="944"/>
      <c r="G97" s="944"/>
      <c r="H97" s="944"/>
      <c r="I97" s="944"/>
      <c r="J97" s="944"/>
      <c r="K97" s="944"/>
      <c r="L97" s="944"/>
      <c r="M97" s="944"/>
      <c r="N97" s="944"/>
      <c r="O97" s="944"/>
      <c r="P97" s="944"/>
      <c r="Q97" s="944"/>
      <c r="R97" s="944"/>
      <c r="S97" s="944"/>
      <c r="T97" s="944"/>
      <c r="U97" s="944"/>
      <c r="V97" s="944"/>
      <c r="W97" s="944"/>
      <c r="X97" s="944"/>
      <c r="Y97" s="944"/>
      <c r="Z97" s="944"/>
      <c r="AA97" s="944"/>
      <c r="AB97" s="944"/>
      <c r="AC97" s="944"/>
      <c r="AD97" s="944"/>
      <c r="AE97" s="944"/>
      <c r="AF97" s="944"/>
      <c r="AG97" s="944"/>
      <c r="AH97" s="944"/>
      <c r="AI97" s="944"/>
      <c r="AJ97" s="944"/>
      <c r="AK97" s="944"/>
      <c r="AL97" s="944"/>
      <c r="AM97" s="944"/>
      <c r="AN97" s="944"/>
      <c r="AO97" s="944"/>
      <c r="AP97" s="944"/>
      <c r="AQ97" s="944"/>
      <c r="AR97" s="945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  <c r="BV97" s="176"/>
      <c r="BW97" s="176"/>
      <c r="BX97" s="176"/>
      <c r="BY97" s="176"/>
      <c r="BZ97" s="176"/>
      <c r="CA97" s="176"/>
      <c r="CB97" s="176"/>
      <c r="CC97" s="176"/>
      <c r="CD97" s="176"/>
      <c r="CE97" s="176"/>
      <c r="CF97" s="176"/>
      <c r="CG97" s="176"/>
      <c r="CH97" s="176"/>
      <c r="CI97" s="176"/>
      <c r="CJ97" s="176"/>
      <c r="CK97" s="176"/>
      <c r="CL97" s="176"/>
      <c r="CM97" s="176"/>
      <c r="CN97" s="176"/>
      <c r="CO97" s="176"/>
      <c r="CP97" s="176"/>
      <c r="CQ97" s="176"/>
      <c r="CR97" s="176"/>
      <c r="CS97" s="176"/>
      <c r="CT97" s="176"/>
      <c r="CU97" s="176"/>
      <c r="CV97" s="176"/>
      <c r="CW97" s="176"/>
      <c r="CX97" s="176"/>
      <c r="CY97" s="176"/>
      <c r="CZ97" s="176"/>
      <c r="DA97" s="176"/>
      <c r="DB97" s="176"/>
      <c r="DC97" s="176"/>
      <c r="DD97" s="176"/>
      <c r="DE97" s="176"/>
      <c r="DF97" s="176"/>
      <c r="DG97" s="176"/>
      <c r="DH97" s="176"/>
      <c r="DI97" s="176"/>
      <c r="DJ97" s="176"/>
      <c r="DK97" s="176"/>
      <c r="DL97" s="176"/>
      <c r="DM97" s="176"/>
      <c r="DN97" s="176"/>
      <c r="DO97" s="176"/>
      <c r="DP97" s="176"/>
      <c r="DQ97" s="176"/>
      <c r="DR97" s="176"/>
      <c r="DS97" s="176"/>
      <c r="DT97" s="176"/>
      <c r="DU97" s="176"/>
      <c r="DV97" s="176"/>
      <c r="DW97" s="176"/>
      <c r="DX97" s="176"/>
      <c r="DY97" s="176"/>
      <c r="DZ97" s="176"/>
      <c r="EA97" s="176"/>
      <c r="EB97" s="176"/>
      <c r="EC97" s="176"/>
      <c r="ED97" s="176"/>
      <c r="EE97" s="176"/>
      <c r="EF97" s="176"/>
      <c r="EG97" s="176"/>
      <c r="EH97" s="176"/>
      <c r="EI97" s="176"/>
      <c r="EJ97" s="176"/>
      <c r="EK97" s="176"/>
    </row>
    <row r="98" spans="1:141" s="56" customFormat="1" x14ac:dyDescent="0.7">
      <c r="A98" s="184" t="s">
        <v>93</v>
      </c>
      <c r="B98" s="5">
        <v>113</v>
      </c>
      <c r="C98" s="6">
        <v>2816</v>
      </c>
      <c r="D98" s="46">
        <v>2</v>
      </c>
      <c r="E98" s="10">
        <v>0</v>
      </c>
      <c r="F98" s="10">
        <v>0</v>
      </c>
      <c r="G98" s="9">
        <v>5</v>
      </c>
      <c r="H98" s="10">
        <v>0</v>
      </c>
      <c r="I98" s="10">
        <v>0</v>
      </c>
      <c r="J98" s="9">
        <v>1.1000000000000001</v>
      </c>
      <c r="K98" s="10">
        <v>2</v>
      </c>
      <c r="L98" s="12">
        <v>1.7</v>
      </c>
      <c r="M98" s="13">
        <f>ROUND(C98*G98/1000,0)</f>
        <v>14</v>
      </c>
      <c r="N98" s="17">
        <f>ROUND(C98*G98/1000,0)</f>
        <v>14</v>
      </c>
      <c r="O98" s="82">
        <f>ROUND(C98*H98/1000,0)</f>
        <v>0</v>
      </c>
      <c r="P98" s="82">
        <f>ROUND(C98*H98/1000,0)</f>
        <v>0</v>
      </c>
      <c r="Q98" s="52"/>
      <c r="R98" s="84"/>
      <c r="S98" s="52"/>
      <c r="T98" s="86"/>
      <c r="U98" s="13">
        <f>ROUND(C98*J98,0)</f>
        <v>3098</v>
      </c>
      <c r="V98" s="13">
        <f>ROUND(C98*J98,0)</f>
        <v>3098</v>
      </c>
      <c r="W98" s="52"/>
      <c r="X98" s="52"/>
      <c r="Y98" s="52"/>
      <c r="Z98" s="52"/>
      <c r="AA98" s="84"/>
      <c r="AB98" s="87"/>
      <c r="AC98" s="17">
        <f>ROUND(M98*95,0)</f>
        <v>1330</v>
      </c>
      <c r="AD98" s="17">
        <f>ROUND(N98*95,0)</f>
        <v>1330</v>
      </c>
      <c r="AE98" s="52"/>
      <c r="AF98" s="52"/>
      <c r="AG98" s="52"/>
      <c r="AH98" s="84"/>
      <c r="AI98" s="52"/>
      <c r="AJ98" s="85"/>
      <c r="AK98" s="100">
        <f>U98+AC98</f>
        <v>4428</v>
      </c>
      <c r="AL98" s="100">
        <f>V98+AD98</f>
        <v>4428</v>
      </c>
      <c r="AM98" s="52">
        <v>0</v>
      </c>
      <c r="AN98" s="52">
        <v>0</v>
      </c>
      <c r="AO98" s="52"/>
      <c r="AP98" s="52"/>
      <c r="AQ98" s="52"/>
      <c r="AR98" s="85"/>
    </row>
    <row r="99" spans="1:141" x14ac:dyDescent="0.7">
      <c r="A99" s="184" t="s">
        <v>94</v>
      </c>
      <c r="B99" s="5">
        <v>128</v>
      </c>
      <c r="C99" s="6">
        <v>3199</v>
      </c>
      <c r="D99" s="46">
        <v>2</v>
      </c>
      <c r="E99" s="10">
        <v>0</v>
      </c>
      <c r="F99" s="10">
        <v>0</v>
      </c>
      <c r="G99" s="9">
        <v>5</v>
      </c>
      <c r="H99" s="10">
        <v>0</v>
      </c>
      <c r="I99" s="10">
        <v>0</v>
      </c>
      <c r="J99" s="9">
        <v>1.1000000000000001</v>
      </c>
      <c r="K99" s="10">
        <v>2</v>
      </c>
      <c r="L99" s="12">
        <v>1.7</v>
      </c>
      <c r="M99" s="13">
        <f>ROUND(C99*G99/1000,0)</f>
        <v>16</v>
      </c>
      <c r="N99" s="17">
        <f t="shared" ref="N99:N101" si="49">ROUND(C99*G99/1000,0)</f>
        <v>16</v>
      </c>
      <c r="O99" s="14">
        <f>+C99*H99*E99</f>
        <v>0</v>
      </c>
      <c r="P99" s="14">
        <v>0</v>
      </c>
      <c r="Q99" s="14"/>
      <c r="R99" s="15"/>
      <c r="S99" s="14"/>
      <c r="T99" s="18"/>
      <c r="U99" s="13">
        <f t="shared" ref="U99:U101" si="50">ROUND(C99*J99,0)</f>
        <v>3519</v>
      </c>
      <c r="V99" s="13">
        <f>ROUND(C99*J99,0)</f>
        <v>3519</v>
      </c>
      <c r="W99" s="14">
        <v>0</v>
      </c>
      <c r="X99" s="14">
        <v>0</v>
      </c>
      <c r="Y99" s="14"/>
      <c r="Z99" s="14"/>
      <c r="AA99" s="15"/>
      <c r="AB99" s="23"/>
      <c r="AC99" s="17">
        <f t="shared" ref="AC99:AC101" si="51">ROUND(M99*95,0)</f>
        <v>1520</v>
      </c>
      <c r="AD99" s="17">
        <f t="shared" ref="AD99:AD101" si="52">ROUND(N99*95,0)</f>
        <v>1520</v>
      </c>
      <c r="AE99" s="14">
        <f>+S99*X99*U99</f>
        <v>0</v>
      </c>
      <c r="AF99" s="14">
        <v>0</v>
      </c>
      <c r="AG99" s="14"/>
      <c r="AH99" s="15"/>
      <c r="AI99" s="14"/>
      <c r="AJ99" s="16"/>
      <c r="AK99" s="100">
        <f>U99+AC99</f>
        <v>5039</v>
      </c>
      <c r="AL99" s="100">
        <f t="shared" ref="AL99:AL101" si="53">V99+AD99</f>
        <v>5039</v>
      </c>
      <c r="AM99" s="14">
        <v>0</v>
      </c>
      <c r="AN99" s="14">
        <v>0</v>
      </c>
      <c r="AO99" s="14"/>
      <c r="AP99" s="14"/>
      <c r="AQ99" s="14"/>
      <c r="AR99" s="1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56"/>
      <c r="CP99" s="56"/>
      <c r="CQ99" s="56"/>
      <c r="CR99" s="56"/>
      <c r="CS99" s="56"/>
      <c r="CT99" s="56"/>
      <c r="CU99" s="56"/>
      <c r="CV99" s="56"/>
      <c r="CW99" s="56"/>
      <c r="CX99" s="56"/>
      <c r="CY99" s="56"/>
      <c r="CZ99" s="56"/>
      <c r="DA99" s="56"/>
      <c r="DB99" s="56"/>
      <c r="DC99" s="56"/>
      <c r="DD99" s="56"/>
      <c r="DE99" s="56"/>
      <c r="DF99" s="56"/>
      <c r="DG99" s="56"/>
      <c r="DH99" s="56"/>
      <c r="DI99" s="56"/>
      <c r="DJ99" s="56"/>
      <c r="DK99" s="56"/>
      <c r="DL99" s="56"/>
      <c r="DM99" s="56"/>
      <c r="DN99" s="56"/>
      <c r="DO99" s="56"/>
      <c r="DP99" s="56"/>
      <c r="DQ99" s="56"/>
      <c r="DR99" s="56"/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  <c r="EG99" s="56"/>
      <c r="EH99" s="56"/>
      <c r="EI99" s="56"/>
      <c r="EJ99" s="56"/>
      <c r="EK99" s="56"/>
    </row>
    <row r="100" spans="1:141" s="88" customFormat="1" x14ac:dyDescent="0.7">
      <c r="A100" s="184" t="s">
        <v>95</v>
      </c>
      <c r="B100" s="20">
        <v>121</v>
      </c>
      <c r="C100" s="72">
        <v>3015</v>
      </c>
      <c r="D100" s="22">
        <v>2</v>
      </c>
      <c r="E100" s="52">
        <v>0</v>
      </c>
      <c r="F100" s="52">
        <v>0</v>
      </c>
      <c r="G100" s="82">
        <v>5</v>
      </c>
      <c r="H100" s="52">
        <v>0</v>
      </c>
      <c r="I100" s="52">
        <v>0</v>
      </c>
      <c r="J100" s="82">
        <v>1.1000000000000001</v>
      </c>
      <c r="K100" s="52">
        <v>2</v>
      </c>
      <c r="L100" s="84">
        <v>1.7</v>
      </c>
      <c r="M100" s="82">
        <f>ROUND(C100*G100/1000,0)</f>
        <v>15</v>
      </c>
      <c r="N100" s="17">
        <f t="shared" si="49"/>
        <v>15</v>
      </c>
      <c r="O100" s="52">
        <f>+C100*H100*E100</f>
        <v>0</v>
      </c>
      <c r="P100" s="52"/>
      <c r="Q100" s="52"/>
      <c r="R100" s="84"/>
      <c r="S100" s="52"/>
      <c r="T100" s="86"/>
      <c r="U100" s="82">
        <f t="shared" si="50"/>
        <v>3317</v>
      </c>
      <c r="V100" s="13">
        <f>ROUND(C100*J100,0)</f>
        <v>3317</v>
      </c>
      <c r="W100" s="52">
        <v>0</v>
      </c>
      <c r="X100" s="52">
        <v>0</v>
      </c>
      <c r="Y100" s="52"/>
      <c r="Z100" s="52"/>
      <c r="AA100" s="84"/>
      <c r="AB100" s="87"/>
      <c r="AC100" s="17">
        <f t="shared" si="51"/>
        <v>1425</v>
      </c>
      <c r="AD100" s="17">
        <f t="shared" si="52"/>
        <v>1425</v>
      </c>
      <c r="AE100" s="52">
        <f>+S100*X100*U100</f>
        <v>0</v>
      </c>
      <c r="AF100" s="52">
        <v>0</v>
      </c>
      <c r="AG100" s="52"/>
      <c r="AH100" s="84"/>
      <c r="AI100" s="52"/>
      <c r="AJ100" s="85"/>
      <c r="AK100" s="100">
        <f>U100+AC100</f>
        <v>4742</v>
      </c>
      <c r="AL100" s="100">
        <f t="shared" si="53"/>
        <v>4742</v>
      </c>
      <c r="AM100" s="52">
        <v>0</v>
      </c>
      <c r="AN100" s="52">
        <v>0</v>
      </c>
      <c r="AO100" s="52"/>
      <c r="AP100" s="52"/>
      <c r="AQ100" s="52"/>
      <c r="AR100" s="85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  <c r="CS100" s="56"/>
      <c r="CT100" s="56"/>
      <c r="CU100" s="56"/>
      <c r="CV100" s="56"/>
      <c r="CW100" s="56"/>
      <c r="CX100" s="56"/>
      <c r="CY100" s="56"/>
      <c r="CZ100" s="56"/>
      <c r="DA100" s="56"/>
      <c r="DB100" s="56"/>
      <c r="DC100" s="56"/>
      <c r="DD100" s="56"/>
      <c r="DE100" s="56"/>
      <c r="DF100" s="56"/>
      <c r="DG100" s="56"/>
      <c r="DH100" s="56"/>
      <c r="DI100" s="56"/>
      <c r="DJ100" s="56"/>
      <c r="DK100" s="56"/>
      <c r="DL100" s="56"/>
      <c r="DM100" s="56"/>
      <c r="DN100" s="56"/>
      <c r="DO100" s="56"/>
      <c r="DP100" s="56"/>
      <c r="DQ100" s="56"/>
      <c r="DR100" s="56"/>
      <c r="DS100" s="56"/>
      <c r="DT100" s="56"/>
      <c r="DU100" s="56"/>
      <c r="DV100" s="56"/>
      <c r="DW100" s="56"/>
      <c r="DX100" s="56"/>
      <c r="DY100" s="56"/>
      <c r="DZ100" s="56"/>
      <c r="EA100" s="56"/>
      <c r="EB100" s="56"/>
      <c r="EC100" s="56"/>
      <c r="ED100" s="56"/>
      <c r="EE100" s="56"/>
      <c r="EF100" s="56"/>
      <c r="EG100" s="56"/>
      <c r="EH100" s="56"/>
      <c r="EI100" s="56"/>
      <c r="EJ100" s="56"/>
      <c r="EK100" s="56"/>
    </row>
    <row r="101" spans="1:141" s="88" customFormat="1" ht="25.2" thickBot="1" x14ac:dyDescent="0.75">
      <c r="A101" s="184" t="s">
        <v>96</v>
      </c>
      <c r="B101" s="20">
        <v>56</v>
      </c>
      <c r="C101" s="72">
        <v>1403</v>
      </c>
      <c r="D101" s="22">
        <v>2</v>
      </c>
      <c r="E101" s="52">
        <v>0</v>
      </c>
      <c r="F101" s="52">
        <v>0</v>
      </c>
      <c r="G101" s="82">
        <v>5</v>
      </c>
      <c r="H101" s="52">
        <v>0</v>
      </c>
      <c r="I101" s="52">
        <v>0</v>
      </c>
      <c r="J101" s="82">
        <v>1.1000000000000001</v>
      </c>
      <c r="K101" s="52">
        <v>2</v>
      </c>
      <c r="L101" s="84">
        <v>1.7</v>
      </c>
      <c r="M101" s="82">
        <f>ROUND(C101*G101/1000,0)</f>
        <v>7</v>
      </c>
      <c r="N101" s="17">
        <f t="shared" si="49"/>
        <v>7</v>
      </c>
      <c r="O101" s="82">
        <f>ROUND(C101*H101/1000,0)</f>
        <v>0</v>
      </c>
      <c r="P101" s="52">
        <v>0</v>
      </c>
      <c r="Q101" s="52"/>
      <c r="R101" s="84"/>
      <c r="S101" s="52"/>
      <c r="T101" s="86"/>
      <c r="U101" s="82">
        <f t="shared" si="50"/>
        <v>1543</v>
      </c>
      <c r="V101" s="13">
        <f>ROUND(C101*J101,0)</f>
        <v>1543</v>
      </c>
      <c r="W101" s="52">
        <v>0</v>
      </c>
      <c r="X101" s="52">
        <v>0</v>
      </c>
      <c r="Y101" s="52"/>
      <c r="Z101" s="52"/>
      <c r="AA101" s="84"/>
      <c r="AB101" s="87"/>
      <c r="AC101" s="17">
        <f t="shared" si="51"/>
        <v>665</v>
      </c>
      <c r="AD101" s="17">
        <f t="shared" si="52"/>
        <v>665</v>
      </c>
      <c r="AE101" s="82">
        <f>ROUND(O101*960,0)</f>
        <v>0</v>
      </c>
      <c r="AF101" s="52">
        <v>0</v>
      </c>
      <c r="AG101" s="52"/>
      <c r="AH101" s="84"/>
      <c r="AI101" s="52"/>
      <c r="AJ101" s="85"/>
      <c r="AK101" s="100">
        <f>U101+AC101</f>
        <v>2208</v>
      </c>
      <c r="AL101" s="100">
        <f t="shared" si="53"/>
        <v>2208</v>
      </c>
      <c r="AM101" s="52">
        <f>W101+AE101</f>
        <v>0</v>
      </c>
      <c r="AN101" s="52">
        <v>0</v>
      </c>
      <c r="AO101" s="52"/>
      <c r="AP101" s="52"/>
      <c r="AQ101" s="52"/>
      <c r="AR101" s="85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  <c r="BZ101" s="56"/>
      <c r="CA101" s="56"/>
      <c r="CB101" s="56"/>
      <c r="CC101" s="56"/>
      <c r="CD101" s="56"/>
      <c r="CE101" s="56"/>
      <c r="CF101" s="56"/>
      <c r="CG101" s="56"/>
      <c r="CH101" s="56"/>
      <c r="CI101" s="56"/>
      <c r="CJ101" s="56"/>
      <c r="CK101" s="56"/>
      <c r="CL101" s="56"/>
      <c r="CM101" s="56"/>
      <c r="CN101" s="56"/>
      <c r="CO101" s="56"/>
      <c r="CP101" s="56"/>
      <c r="CQ101" s="56"/>
      <c r="CR101" s="56"/>
      <c r="CS101" s="56"/>
      <c r="CT101" s="56"/>
      <c r="CU101" s="56"/>
      <c r="CV101" s="56"/>
      <c r="CW101" s="56"/>
      <c r="CX101" s="56"/>
      <c r="CY101" s="56"/>
      <c r="CZ101" s="56"/>
      <c r="DA101" s="56"/>
      <c r="DB101" s="56"/>
      <c r="DC101" s="56"/>
      <c r="DD101" s="56"/>
      <c r="DE101" s="56"/>
      <c r="DF101" s="56"/>
      <c r="DG101" s="56"/>
      <c r="DH101" s="56"/>
      <c r="DI101" s="56"/>
      <c r="DJ101" s="56"/>
      <c r="DK101" s="56"/>
      <c r="DL101" s="56"/>
      <c r="DM101" s="56"/>
      <c r="DN101" s="56"/>
      <c r="DO101" s="56"/>
      <c r="DP101" s="56"/>
      <c r="DQ101" s="56"/>
      <c r="DR101" s="56"/>
      <c r="DS101" s="56"/>
      <c r="DT101" s="56"/>
      <c r="DU101" s="56"/>
      <c r="DV101" s="56"/>
      <c r="DW101" s="56"/>
      <c r="DX101" s="56"/>
      <c r="DY101" s="56"/>
      <c r="DZ101" s="56"/>
      <c r="EA101" s="56"/>
      <c r="EB101" s="56"/>
      <c r="EC101" s="56"/>
      <c r="ED101" s="56"/>
      <c r="EE101" s="56"/>
      <c r="EF101" s="56"/>
      <c r="EG101" s="56"/>
      <c r="EH101" s="56"/>
      <c r="EI101" s="56"/>
      <c r="EJ101" s="56"/>
      <c r="EK101" s="56"/>
    </row>
    <row r="102" spans="1:141" ht="25.2" thickBot="1" x14ac:dyDescent="0.75">
      <c r="A102" s="1047" t="s">
        <v>25</v>
      </c>
      <c r="B102" s="886">
        <f>SUM(B98:B101)</f>
        <v>418</v>
      </c>
      <c r="C102" s="925">
        <f>SUM(C98:C101)</f>
        <v>10433</v>
      </c>
      <c r="D102" s="888"/>
      <c r="E102" s="889"/>
      <c r="F102" s="889"/>
      <c r="G102" s="889"/>
      <c r="H102" s="889"/>
      <c r="I102" s="889"/>
      <c r="J102" s="889"/>
      <c r="K102" s="889"/>
      <c r="L102" s="890"/>
      <c r="M102" s="158">
        <f>SUM(M98:M101)</f>
        <v>52</v>
      </c>
      <c r="N102" s="158">
        <f>SUM(N98:N101)</f>
        <v>52</v>
      </c>
      <c r="O102" s="160">
        <f>SUM(O100:O101)</f>
        <v>0</v>
      </c>
      <c r="P102" s="160">
        <f>P100+P101</f>
        <v>0</v>
      </c>
      <c r="Q102" s="160">
        <f>Q100+Q101</f>
        <v>0</v>
      </c>
      <c r="R102" s="161">
        <f>R100+R101</f>
        <v>0</v>
      </c>
      <c r="S102" s="161">
        <f>S100+S101</f>
        <v>0</v>
      </c>
      <c r="T102" s="163">
        <f>T100+T101</f>
        <v>0</v>
      </c>
      <c r="U102" s="158">
        <f>SUM(U98:U101)</f>
        <v>11477</v>
      </c>
      <c r="V102" s="158">
        <f>SUM(V98:V101)</f>
        <v>11477</v>
      </c>
      <c r="W102" s="157">
        <f>SUM(W100:W101)</f>
        <v>0</v>
      </c>
      <c r="X102" s="164"/>
      <c r="Y102" s="164"/>
      <c r="Z102" s="164"/>
      <c r="AA102" s="164"/>
      <c r="AB102" s="164"/>
      <c r="AC102" s="157">
        <f>SUM(AC98:AC101)</f>
        <v>4940</v>
      </c>
      <c r="AD102" s="157">
        <f>SUM(AD98:AD101)</f>
        <v>4940</v>
      </c>
      <c r="AE102" s="166">
        <f>SUM(AE100:AE101)</f>
        <v>0</v>
      </c>
      <c r="AF102" s="166">
        <f>AF100+AF101</f>
        <v>0</v>
      </c>
      <c r="AG102" s="164"/>
      <c r="AH102" s="164"/>
      <c r="AI102" s="164"/>
      <c r="AJ102" s="156"/>
      <c r="AK102" s="165">
        <f>SUM(AK100:AK101)</f>
        <v>6950</v>
      </c>
      <c r="AL102" s="165">
        <f>SUM(AL100:AL101)</f>
        <v>6950</v>
      </c>
      <c r="AM102" s="166">
        <f>SUM(AM100:AM101)</f>
        <v>0</v>
      </c>
      <c r="AN102" s="166">
        <f>AN100+AN101</f>
        <v>0</v>
      </c>
      <c r="AO102" s="164"/>
      <c r="AP102" s="164"/>
      <c r="AQ102" s="164"/>
      <c r="AR102" s="167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141" ht="25.2" thickBot="1" x14ac:dyDescent="0.75">
      <c r="A103" s="1048"/>
      <c r="B103" s="887"/>
      <c r="C103" s="926"/>
      <c r="D103" s="891"/>
      <c r="E103" s="892"/>
      <c r="F103" s="892"/>
      <c r="G103" s="892"/>
      <c r="H103" s="892"/>
      <c r="I103" s="892"/>
      <c r="J103" s="892"/>
      <c r="K103" s="892"/>
      <c r="L103" s="893"/>
      <c r="M103" s="896">
        <f>M102+N102</f>
        <v>104</v>
      </c>
      <c r="N103" s="898">
        <f>M102+N102</f>
        <v>104</v>
      </c>
      <c r="O103" s="894">
        <f>+O102+P102+Q102</f>
        <v>0</v>
      </c>
      <c r="P103" s="1064"/>
      <c r="Q103" s="895"/>
      <c r="R103" s="899">
        <f>+R102+S102+T102</f>
        <v>0</v>
      </c>
      <c r="S103" s="900"/>
      <c r="T103" s="970"/>
      <c r="U103" s="971">
        <f>U102+V102</f>
        <v>22954</v>
      </c>
      <c r="V103" s="972"/>
      <c r="W103" s="1064">
        <f>W102+X102+Y102</f>
        <v>0</v>
      </c>
      <c r="X103" s="1064"/>
      <c r="Y103" s="895"/>
      <c r="Z103" s="964">
        <f>Z102+AA102+AB102</f>
        <v>0</v>
      </c>
      <c r="AA103" s="965"/>
      <c r="AB103" s="966"/>
      <c r="AC103" s="912">
        <f>AC102+AD102</f>
        <v>9880</v>
      </c>
      <c r="AD103" s="914">
        <f t="shared" ref="AD103" si="54">ROUND(N103*960,0)</f>
        <v>99840</v>
      </c>
      <c r="AE103" s="910">
        <f>AE102+AF102+AG102</f>
        <v>0</v>
      </c>
      <c r="AF103" s="1063"/>
      <c r="AG103" s="911"/>
      <c r="AH103" s="964">
        <f>AH102+AI102+AJ102</f>
        <v>0</v>
      </c>
      <c r="AI103" s="965"/>
      <c r="AJ103" s="966"/>
      <c r="AK103" s="912">
        <f>AK102+AL102</f>
        <v>13900</v>
      </c>
      <c r="AL103" s="913">
        <f t="shared" ref="AL103" si="55">V103+AD103</f>
        <v>99840</v>
      </c>
      <c r="AM103" s="910">
        <f>AM102+AN102+AO102</f>
        <v>0</v>
      </c>
      <c r="AN103" s="1063"/>
      <c r="AO103" s="911"/>
      <c r="AP103" s="964">
        <f>AP102+AQ102+AR102</f>
        <v>0</v>
      </c>
      <c r="AQ103" s="965"/>
      <c r="AR103" s="967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141" s="68" customFormat="1" ht="39.9" customHeight="1" thickBot="1" x14ac:dyDescent="0.75">
      <c r="A104" s="938" t="s">
        <v>98</v>
      </c>
      <c r="B104" s="939"/>
      <c r="C104" s="939"/>
      <c r="D104" s="939"/>
      <c r="E104" s="939"/>
      <c r="F104" s="939"/>
      <c r="G104" s="939"/>
      <c r="H104" s="939"/>
      <c r="I104" s="939"/>
      <c r="J104" s="939"/>
      <c r="K104" s="939"/>
      <c r="L104" s="939"/>
      <c r="M104" s="939"/>
      <c r="N104" s="939"/>
      <c r="O104" s="939"/>
      <c r="P104" s="939"/>
      <c r="Q104" s="939"/>
      <c r="R104" s="939"/>
      <c r="S104" s="939"/>
      <c r="T104" s="939"/>
      <c r="U104" s="939"/>
      <c r="V104" s="939"/>
      <c r="W104" s="939"/>
      <c r="X104" s="939"/>
      <c r="Y104" s="939"/>
      <c r="Z104" s="939"/>
      <c r="AA104" s="939"/>
      <c r="AB104" s="939"/>
      <c r="AC104" s="939"/>
      <c r="AD104" s="939"/>
      <c r="AE104" s="939"/>
      <c r="AF104" s="939"/>
      <c r="AG104" s="939"/>
      <c r="AH104" s="939"/>
      <c r="AI104" s="939"/>
      <c r="AJ104" s="939"/>
      <c r="AK104" s="939"/>
      <c r="AL104" s="939"/>
      <c r="AM104" s="939"/>
      <c r="AN104" s="939"/>
      <c r="AO104" s="939"/>
      <c r="AP104" s="939"/>
      <c r="AQ104" s="939"/>
      <c r="AR104" s="940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  <c r="CS104" s="69"/>
      <c r="CT104" s="69"/>
      <c r="CU104" s="69"/>
      <c r="CV104" s="69"/>
      <c r="CW104" s="69"/>
      <c r="CX104" s="69"/>
      <c r="CY104" s="69"/>
      <c r="CZ104" s="69"/>
      <c r="DA104" s="69"/>
      <c r="DB104" s="69"/>
      <c r="DC104" s="69"/>
      <c r="DD104" s="69"/>
      <c r="DE104" s="69"/>
      <c r="DF104" s="69"/>
      <c r="DG104" s="69"/>
      <c r="DH104" s="69"/>
      <c r="DI104" s="69"/>
      <c r="DJ104" s="69"/>
      <c r="DK104" s="69"/>
      <c r="DL104" s="69"/>
      <c r="DM104" s="69"/>
      <c r="DN104" s="69"/>
      <c r="DO104" s="69"/>
      <c r="DP104" s="69"/>
      <c r="DQ104" s="69"/>
      <c r="DR104" s="69"/>
      <c r="DS104" s="69"/>
      <c r="DT104" s="69"/>
      <c r="DU104" s="69"/>
      <c r="DV104" s="69"/>
      <c r="DW104" s="69"/>
      <c r="DX104" s="69"/>
      <c r="DY104" s="69"/>
      <c r="DZ104" s="69"/>
      <c r="EA104" s="69"/>
      <c r="EB104" s="69"/>
      <c r="EC104" s="69"/>
      <c r="ED104" s="69"/>
      <c r="EE104" s="69"/>
      <c r="EF104" s="69"/>
      <c r="EG104" s="69"/>
      <c r="EH104" s="69"/>
      <c r="EI104" s="69"/>
      <c r="EJ104" s="69"/>
      <c r="EK104" s="69"/>
    </row>
    <row r="105" spans="1:141" ht="25.2" thickBot="1" x14ac:dyDescent="0.75">
      <c r="A105" s="96" t="s">
        <v>97</v>
      </c>
      <c r="B105" s="94">
        <v>124</v>
      </c>
      <c r="C105" s="95">
        <v>3106</v>
      </c>
      <c r="D105" s="46">
        <v>1</v>
      </c>
      <c r="E105" s="10">
        <f>0</f>
        <v>0</v>
      </c>
      <c r="F105" s="10">
        <v>0</v>
      </c>
      <c r="G105" s="13">
        <v>5</v>
      </c>
      <c r="H105" s="14">
        <f>0</f>
        <v>0</v>
      </c>
      <c r="I105" s="23">
        <f>0</f>
        <v>0</v>
      </c>
      <c r="J105" s="13">
        <v>1.1000000000000001</v>
      </c>
      <c r="K105" s="14">
        <v>2</v>
      </c>
      <c r="L105" s="15">
        <v>1.7</v>
      </c>
      <c r="M105" s="13">
        <f>ROUND(C105*G105/1000,0)</f>
        <v>16</v>
      </c>
      <c r="N105" s="17">
        <f>0</f>
        <v>0</v>
      </c>
      <c r="O105" s="13">
        <f>ROUND(C105*H105/1000,0)</f>
        <v>0</v>
      </c>
      <c r="P105" s="14">
        <v>0</v>
      </c>
      <c r="Q105" s="14"/>
      <c r="R105" s="15"/>
      <c r="S105" s="14"/>
      <c r="T105" s="18"/>
      <c r="U105" s="13">
        <f>ROUND(C105*J105,0)</f>
        <v>3417</v>
      </c>
      <c r="V105" s="17">
        <f>0</f>
        <v>0</v>
      </c>
      <c r="W105" s="13">
        <v>0</v>
      </c>
      <c r="X105" s="14">
        <v>0</v>
      </c>
      <c r="Y105" s="14"/>
      <c r="Z105" s="14"/>
      <c r="AA105" s="15"/>
      <c r="AB105" s="23"/>
      <c r="AC105" s="17">
        <f>ROUND(M105*95,0)</f>
        <v>1520</v>
      </c>
      <c r="AD105" s="17">
        <f t="shared" ref="AD105" si="56">ROUND(N105*95,0)</f>
        <v>0</v>
      </c>
      <c r="AE105" s="13">
        <f>ROUND(O105*960,0)</f>
        <v>0</v>
      </c>
      <c r="AF105" s="14">
        <v>0</v>
      </c>
      <c r="AG105" s="14"/>
      <c r="AH105" s="15"/>
      <c r="AI105" s="14"/>
      <c r="AJ105" s="16"/>
      <c r="AK105" s="100">
        <f>U105+AC105</f>
        <v>4937</v>
      </c>
      <c r="AL105" s="14">
        <f t="shared" ref="AL105" si="57">V105+AD105</f>
        <v>0</v>
      </c>
      <c r="AM105" s="52">
        <f>W105+AE105</f>
        <v>0</v>
      </c>
      <c r="AN105" s="14">
        <v>0</v>
      </c>
      <c r="AO105" s="14"/>
      <c r="AP105" s="14"/>
      <c r="AQ105" s="14"/>
      <c r="AR105" s="1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6"/>
      <c r="CV105" s="56"/>
      <c r="CW105" s="56"/>
      <c r="CX105" s="56"/>
      <c r="CY105" s="56"/>
      <c r="CZ105" s="56"/>
      <c r="DA105" s="56"/>
      <c r="DB105" s="56"/>
      <c r="DC105" s="56"/>
      <c r="DD105" s="56"/>
      <c r="DE105" s="56"/>
      <c r="DF105" s="56"/>
      <c r="DG105" s="56"/>
      <c r="DH105" s="56"/>
      <c r="DI105" s="56"/>
      <c r="DJ105" s="56"/>
      <c r="DK105" s="56"/>
      <c r="DL105" s="56"/>
      <c r="DM105" s="56"/>
      <c r="DN105" s="56"/>
      <c r="DO105" s="56"/>
      <c r="DP105" s="56"/>
      <c r="DQ105" s="56"/>
      <c r="DR105" s="56"/>
      <c r="DS105" s="56"/>
      <c r="DT105" s="56"/>
      <c r="DU105" s="56"/>
      <c r="DV105" s="56"/>
      <c r="DW105" s="56"/>
      <c r="DX105" s="56"/>
      <c r="DY105" s="56"/>
      <c r="DZ105" s="56"/>
      <c r="EA105" s="56"/>
      <c r="EB105" s="56"/>
      <c r="EC105" s="56"/>
      <c r="ED105" s="56"/>
      <c r="EE105" s="56"/>
      <c r="EF105" s="56"/>
      <c r="EG105" s="56"/>
      <c r="EH105" s="56"/>
      <c r="EI105" s="56"/>
      <c r="EJ105" s="56"/>
      <c r="EK105" s="56"/>
    </row>
    <row r="106" spans="1:141" ht="25.2" thickBot="1" x14ac:dyDescent="0.75">
      <c r="A106" s="1047" t="s">
        <v>32</v>
      </c>
      <c r="B106" s="886">
        <f>SUM(B105)</f>
        <v>124</v>
      </c>
      <c r="C106" s="925">
        <f>SUM(C105)</f>
        <v>3106</v>
      </c>
      <c r="D106" s="888"/>
      <c r="E106" s="889"/>
      <c r="F106" s="889"/>
      <c r="G106" s="889"/>
      <c r="H106" s="889"/>
      <c r="I106" s="889"/>
      <c r="J106" s="889"/>
      <c r="K106" s="889"/>
      <c r="L106" s="890"/>
      <c r="M106" s="158">
        <f>M105</f>
        <v>16</v>
      </c>
      <c r="N106" s="158">
        <f>N105</f>
        <v>0</v>
      </c>
      <c r="O106" s="160">
        <f>SUM(O104:O105)</f>
        <v>0</v>
      </c>
      <c r="P106" s="160">
        <f>P104+P105</f>
        <v>0</v>
      </c>
      <c r="Q106" s="160">
        <f>Q104+Q105</f>
        <v>0</v>
      </c>
      <c r="R106" s="161">
        <f>R104+R105</f>
        <v>0</v>
      </c>
      <c r="S106" s="161">
        <f>S104+S105</f>
        <v>0</v>
      </c>
      <c r="T106" s="163">
        <f>T104+T105</f>
        <v>0</v>
      </c>
      <c r="U106" s="158">
        <f>U105</f>
        <v>3417</v>
      </c>
      <c r="V106" s="158">
        <f>V105</f>
        <v>0</v>
      </c>
      <c r="W106" s="157">
        <f>SUM(W104:W105)</f>
        <v>0</v>
      </c>
      <c r="X106" s="164"/>
      <c r="Y106" s="164"/>
      <c r="Z106" s="164"/>
      <c r="AA106" s="164"/>
      <c r="AB106" s="164"/>
      <c r="AC106" s="157">
        <f>SUM(AC105)</f>
        <v>1520</v>
      </c>
      <c r="AD106" s="157">
        <f>SUM(AD105)</f>
        <v>0</v>
      </c>
      <c r="AE106" s="166">
        <f>SUM(AE104:AE105)</f>
        <v>0</v>
      </c>
      <c r="AF106" s="166">
        <f>AF104+AF105</f>
        <v>0</v>
      </c>
      <c r="AG106" s="164"/>
      <c r="AH106" s="164"/>
      <c r="AI106" s="164"/>
      <c r="AJ106" s="156"/>
      <c r="AK106" s="165">
        <f>SUM(AK105)</f>
        <v>4937</v>
      </c>
      <c r="AL106" s="165">
        <f>SUM(AL104:AL105)</f>
        <v>0</v>
      </c>
      <c r="AM106" s="166">
        <f>SUM(AM104:AM105)</f>
        <v>0</v>
      </c>
      <c r="AN106" s="166">
        <f>AN104+AN105</f>
        <v>0</v>
      </c>
      <c r="AO106" s="164"/>
      <c r="AP106" s="164"/>
      <c r="AQ106" s="164"/>
      <c r="AR106" s="167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141" ht="25.2" thickBot="1" x14ac:dyDescent="0.75">
      <c r="A107" s="1048"/>
      <c r="B107" s="887"/>
      <c r="C107" s="926"/>
      <c r="D107" s="891"/>
      <c r="E107" s="892"/>
      <c r="F107" s="892"/>
      <c r="G107" s="892"/>
      <c r="H107" s="892"/>
      <c r="I107" s="892"/>
      <c r="J107" s="892"/>
      <c r="K107" s="892"/>
      <c r="L107" s="893"/>
      <c r="M107" s="896">
        <f>M106+N106</f>
        <v>16</v>
      </c>
      <c r="N107" s="898">
        <f>M106+N106</f>
        <v>16</v>
      </c>
      <c r="O107" s="894">
        <f>+O106+P106+Q106</f>
        <v>0</v>
      </c>
      <c r="P107" s="1064"/>
      <c r="Q107" s="895"/>
      <c r="R107" s="899">
        <f>+R106+S106+T106</f>
        <v>0</v>
      </c>
      <c r="S107" s="900"/>
      <c r="T107" s="970"/>
      <c r="U107" s="971">
        <f>U106+V106</f>
        <v>3417</v>
      </c>
      <c r="V107" s="972"/>
      <c r="W107" s="1064">
        <f>W106+X106+Y106</f>
        <v>0</v>
      </c>
      <c r="X107" s="1064"/>
      <c r="Y107" s="895"/>
      <c r="Z107" s="964">
        <f>Z106+AA106+AB106</f>
        <v>0</v>
      </c>
      <c r="AA107" s="965"/>
      <c r="AB107" s="966"/>
      <c r="AC107" s="912">
        <f>AC106+AD106</f>
        <v>1520</v>
      </c>
      <c r="AD107" s="914">
        <f t="shared" ref="AD107" si="58">ROUND(N107*960,0)</f>
        <v>15360</v>
      </c>
      <c r="AE107" s="910">
        <f>AE106+AF106+AG106</f>
        <v>0</v>
      </c>
      <c r="AF107" s="1063"/>
      <c r="AG107" s="911"/>
      <c r="AH107" s="964">
        <f>AH106+AI106+AJ106</f>
        <v>0</v>
      </c>
      <c r="AI107" s="965"/>
      <c r="AJ107" s="966"/>
      <c r="AK107" s="912">
        <f>AK106+AL106</f>
        <v>4937</v>
      </c>
      <c r="AL107" s="913">
        <f t="shared" ref="AL107:AL108" si="59">V107+AD107</f>
        <v>15360</v>
      </c>
      <c r="AM107" s="910">
        <f>AM106+AN106+AO106</f>
        <v>0</v>
      </c>
      <c r="AN107" s="1063"/>
      <c r="AO107" s="911"/>
      <c r="AP107" s="964">
        <f>AP106+AQ106+AR106</f>
        <v>0</v>
      </c>
      <c r="AQ107" s="965"/>
      <c r="AR107" s="967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141" ht="25.2" thickBot="1" x14ac:dyDescent="0.75">
      <c r="A108" s="96" t="s">
        <v>99</v>
      </c>
      <c r="B108" s="94">
        <v>157</v>
      </c>
      <c r="C108" s="95">
        <v>3931</v>
      </c>
      <c r="D108" s="46">
        <v>1</v>
      </c>
      <c r="E108" s="10">
        <f>0</f>
        <v>0</v>
      </c>
      <c r="F108" s="10">
        <v>0</v>
      </c>
      <c r="G108" s="13">
        <v>5</v>
      </c>
      <c r="H108" s="14">
        <f>0</f>
        <v>0</v>
      </c>
      <c r="I108" s="23">
        <f>0</f>
        <v>0</v>
      </c>
      <c r="J108" s="13">
        <v>1.1000000000000001</v>
      </c>
      <c r="K108" s="14">
        <v>2</v>
      </c>
      <c r="L108" s="15">
        <v>1.7</v>
      </c>
      <c r="M108" s="13">
        <f>ROUND(C108*G108/1000,0)</f>
        <v>20</v>
      </c>
      <c r="N108" s="17">
        <f>0</f>
        <v>0</v>
      </c>
      <c r="O108" s="13">
        <f>ROUND(C108*H108/1000,0)</f>
        <v>0</v>
      </c>
      <c r="P108" s="14">
        <v>0</v>
      </c>
      <c r="Q108" s="14"/>
      <c r="R108" s="15"/>
      <c r="S108" s="14"/>
      <c r="T108" s="18"/>
      <c r="U108" s="13">
        <f>ROUND(C108*J108,0)</f>
        <v>4324</v>
      </c>
      <c r="V108" s="17">
        <f>0</f>
        <v>0</v>
      </c>
      <c r="W108" s="13">
        <v>0</v>
      </c>
      <c r="X108" s="14">
        <v>0</v>
      </c>
      <c r="Y108" s="14"/>
      <c r="Z108" s="14"/>
      <c r="AA108" s="15"/>
      <c r="AB108" s="23"/>
      <c r="AC108" s="17">
        <f>ROUND(M108*95,0)</f>
        <v>1900</v>
      </c>
      <c r="AD108" s="17">
        <f t="shared" ref="AD108" si="60">ROUND(N108*95,0)</f>
        <v>0</v>
      </c>
      <c r="AE108" s="13">
        <f>ROUND(O108*960,0)</f>
        <v>0</v>
      </c>
      <c r="AF108" s="14">
        <v>0</v>
      </c>
      <c r="AG108" s="14"/>
      <c r="AH108" s="15"/>
      <c r="AI108" s="14"/>
      <c r="AJ108" s="16"/>
      <c r="AK108" s="100">
        <f>U108+AC108</f>
        <v>6224</v>
      </c>
      <c r="AL108" s="14">
        <f t="shared" si="59"/>
        <v>0</v>
      </c>
      <c r="AM108" s="52">
        <f>W108+AE108</f>
        <v>0</v>
      </c>
      <c r="AN108" s="14">
        <v>0</v>
      </c>
      <c r="AO108" s="14"/>
      <c r="AP108" s="14"/>
      <c r="AQ108" s="14"/>
      <c r="AR108" s="1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  <c r="BV108" s="56"/>
      <c r="BW108" s="56"/>
      <c r="BX108" s="56"/>
      <c r="BY108" s="56"/>
      <c r="BZ108" s="56"/>
      <c r="CA108" s="56"/>
      <c r="CB108" s="56"/>
      <c r="CC108" s="56"/>
      <c r="CD108" s="56"/>
      <c r="CE108" s="56"/>
      <c r="CF108" s="56"/>
      <c r="CG108" s="56"/>
      <c r="CH108" s="56"/>
      <c r="CI108" s="56"/>
      <c r="CJ108" s="56"/>
      <c r="CK108" s="56"/>
      <c r="CL108" s="56"/>
      <c r="CM108" s="56"/>
      <c r="CN108" s="56"/>
      <c r="CO108" s="56"/>
      <c r="CP108" s="56"/>
      <c r="CQ108" s="56"/>
      <c r="CR108" s="56"/>
      <c r="CS108" s="56"/>
      <c r="CT108" s="56"/>
      <c r="CU108" s="56"/>
      <c r="CV108" s="56"/>
      <c r="CW108" s="56"/>
      <c r="CX108" s="56"/>
      <c r="CY108" s="56"/>
      <c r="CZ108" s="56"/>
      <c r="DA108" s="56"/>
      <c r="DB108" s="56"/>
      <c r="DC108" s="56"/>
      <c r="DD108" s="56"/>
      <c r="DE108" s="56"/>
      <c r="DF108" s="56"/>
      <c r="DG108" s="56"/>
      <c r="DH108" s="56"/>
      <c r="DI108" s="56"/>
      <c r="DJ108" s="56"/>
      <c r="DK108" s="56"/>
      <c r="DL108" s="56"/>
      <c r="DM108" s="56"/>
      <c r="DN108" s="56"/>
      <c r="DO108" s="56"/>
      <c r="DP108" s="56"/>
      <c r="DQ108" s="56"/>
      <c r="DR108" s="56"/>
      <c r="DS108" s="56"/>
      <c r="DT108" s="56"/>
      <c r="DU108" s="56"/>
      <c r="DV108" s="56"/>
      <c r="DW108" s="56"/>
      <c r="DX108" s="56"/>
      <c r="DY108" s="56"/>
      <c r="DZ108" s="56"/>
      <c r="EA108" s="56"/>
      <c r="EB108" s="56"/>
      <c r="EC108" s="56"/>
      <c r="ED108" s="56"/>
      <c r="EE108" s="56"/>
      <c r="EF108" s="56"/>
      <c r="EG108" s="56"/>
      <c r="EH108" s="56"/>
      <c r="EI108" s="56"/>
      <c r="EJ108" s="56"/>
      <c r="EK108" s="56"/>
    </row>
    <row r="109" spans="1:141" ht="25.2" thickBot="1" x14ac:dyDescent="0.75">
      <c r="A109" s="1047" t="s">
        <v>33</v>
      </c>
      <c r="B109" s="886">
        <f>SUM(B108)</f>
        <v>157</v>
      </c>
      <c r="C109" s="925">
        <f>SUM(C108)</f>
        <v>3931</v>
      </c>
      <c r="D109" s="888"/>
      <c r="E109" s="889"/>
      <c r="F109" s="889"/>
      <c r="G109" s="889"/>
      <c r="H109" s="889"/>
      <c r="I109" s="889"/>
      <c r="J109" s="889"/>
      <c r="K109" s="889"/>
      <c r="L109" s="890"/>
      <c r="M109" s="158">
        <f>M108</f>
        <v>20</v>
      </c>
      <c r="N109" s="158">
        <f>N108</f>
        <v>0</v>
      </c>
      <c r="O109" s="160">
        <f>SUM(O107:O108)</f>
        <v>0</v>
      </c>
      <c r="P109" s="160">
        <f>P107+P108</f>
        <v>0</v>
      </c>
      <c r="Q109" s="160">
        <f>Q107+Q108</f>
        <v>0</v>
      </c>
      <c r="R109" s="161">
        <f>R107+R108</f>
        <v>0</v>
      </c>
      <c r="S109" s="161">
        <f>S107+S108</f>
        <v>0</v>
      </c>
      <c r="T109" s="163">
        <f>T107+T108</f>
        <v>0</v>
      </c>
      <c r="U109" s="158">
        <f>U108</f>
        <v>4324</v>
      </c>
      <c r="V109" s="158">
        <f>V108</f>
        <v>0</v>
      </c>
      <c r="W109" s="157">
        <f>SUM(W107:W108)</f>
        <v>0</v>
      </c>
      <c r="X109" s="164"/>
      <c r="Y109" s="164"/>
      <c r="Z109" s="164"/>
      <c r="AA109" s="164"/>
      <c r="AB109" s="164"/>
      <c r="AC109" s="157">
        <f>SUM(AC108)</f>
        <v>1900</v>
      </c>
      <c r="AD109" s="157">
        <f>SUM(AD108)</f>
        <v>0</v>
      </c>
      <c r="AE109" s="166">
        <f>SUM(AE107:AE108)</f>
        <v>0</v>
      </c>
      <c r="AF109" s="166">
        <f>AF107+AF108</f>
        <v>0</v>
      </c>
      <c r="AG109" s="164"/>
      <c r="AH109" s="164"/>
      <c r="AI109" s="164"/>
      <c r="AJ109" s="156"/>
      <c r="AK109" s="165">
        <f>SUM(AK108)</f>
        <v>6224</v>
      </c>
      <c r="AL109" s="165">
        <f>SUM(AL108)</f>
        <v>0</v>
      </c>
      <c r="AM109" s="166">
        <f>SUM(AM107:AM108)</f>
        <v>0</v>
      </c>
      <c r="AN109" s="166">
        <f>AN107+AN108</f>
        <v>0</v>
      </c>
      <c r="AO109" s="164"/>
      <c r="AP109" s="164"/>
      <c r="AQ109" s="164"/>
      <c r="AR109" s="167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pans="1:141" ht="25.2" thickBot="1" x14ac:dyDescent="0.75">
      <c r="A110" s="1048"/>
      <c r="B110" s="887"/>
      <c r="C110" s="926"/>
      <c r="D110" s="891"/>
      <c r="E110" s="892"/>
      <c r="F110" s="892"/>
      <c r="G110" s="892"/>
      <c r="H110" s="892"/>
      <c r="I110" s="892"/>
      <c r="J110" s="892"/>
      <c r="K110" s="892"/>
      <c r="L110" s="893"/>
      <c r="M110" s="896">
        <f>M109+N109</f>
        <v>20</v>
      </c>
      <c r="N110" s="898">
        <f>M109+N109</f>
        <v>20</v>
      </c>
      <c r="O110" s="894">
        <f>+O109+P109+Q109</f>
        <v>0</v>
      </c>
      <c r="P110" s="1064"/>
      <c r="Q110" s="895"/>
      <c r="R110" s="899">
        <f>+R109+S109+T109</f>
        <v>0</v>
      </c>
      <c r="S110" s="900"/>
      <c r="T110" s="970"/>
      <c r="U110" s="971">
        <f>U109+V109</f>
        <v>4324</v>
      </c>
      <c r="V110" s="972"/>
      <c r="W110" s="1064">
        <f>W109+X109+Y109</f>
        <v>0</v>
      </c>
      <c r="X110" s="1064"/>
      <c r="Y110" s="895"/>
      <c r="Z110" s="964">
        <f>Z109+AA109+AB109</f>
        <v>0</v>
      </c>
      <c r="AA110" s="965"/>
      <c r="AB110" s="966"/>
      <c r="AC110" s="912">
        <f>AC109+AD109</f>
        <v>1900</v>
      </c>
      <c r="AD110" s="914">
        <f t="shared" ref="AD110" si="61">ROUND(N110*960,0)</f>
        <v>19200</v>
      </c>
      <c r="AE110" s="910">
        <f>AE109+AF109+AG109</f>
        <v>0</v>
      </c>
      <c r="AF110" s="1063"/>
      <c r="AG110" s="911"/>
      <c r="AH110" s="964">
        <f>AH109+AI109+AJ109</f>
        <v>0</v>
      </c>
      <c r="AI110" s="965"/>
      <c r="AJ110" s="966"/>
      <c r="AK110" s="912">
        <f>AK109+AL109</f>
        <v>6224</v>
      </c>
      <c r="AL110" s="913">
        <f t="shared" ref="AL110" si="62">V110+AD110</f>
        <v>19200</v>
      </c>
      <c r="AM110" s="910">
        <f>AM109+AN109+AO109</f>
        <v>0</v>
      </c>
      <c r="AN110" s="1063"/>
      <c r="AO110" s="911"/>
      <c r="AP110" s="964">
        <f>AP109+AQ109+AR109</f>
        <v>0</v>
      </c>
      <c r="AQ110" s="965"/>
      <c r="AR110" s="967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141" x14ac:dyDescent="0.7">
      <c r="A111" s="43" t="s">
        <v>100</v>
      </c>
      <c r="B111" s="92">
        <v>78</v>
      </c>
      <c r="C111" s="93">
        <v>1950</v>
      </c>
      <c r="D111" s="46">
        <v>1</v>
      </c>
      <c r="E111" s="10">
        <v>0</v>
      </c>
      <c r="F111" s="10">
        <v>0</v>
      </c>
      <c r="G111" s="9">
        <v>5</v>
      </c>
      <c r="H111" s="10">
        <v>0</v>
      </c>
      <c r="I111" s="11">
        <v>0</v>
      </c>
      <c r="J111" s="9">
        <v>1.1000000000000001</v>
      </c>
      <c r="K111" s="10">
        <v>2</v>
      </c>
      <c r="L111" s="12">
        <v>1.7</v>
      </c>
      <c r="M111" s="13">
        <f>ROUND(C111*G111/1000,0)</f>
        <v>10</v>
      </c>
      <c r="N111" s="17"/>
      <c r="O111" s="14">
        <v>0</v>
      </c>
      <c r="P111" s="14"/>
      <c r="Q111" s="14"/>
      <c r="R111" s="15"/>
      <c r="S111" s="14"/>
      <c r="T111" s="18"/>
      <c r="U111" s="13">
        <f>ROUND(C111*J111,0)</f>
        <v>2145</v>
      </c>
      <c r="V111" s="17"/>
      <c r="W111" s="14">
        <v>0</v>
      </c>
      <c r="X111" s="14"/>
      <c r="Y111" s="14"/>
      <c r="Z111" s="14"/>
      <c r="AA111" s="15"/>
      <c r="AB111" s="23"/>
      <c r="AC111" s="17">
        <f>ROUND(M111*95,0)</f>
        <v>950</v>
      </c>
      <c r="AD111" s="17"/>
      <c r="AE111" s="14">
        <v>0</v>
      </c>
      <c r="AF111" s="14"/>
      <c r="AG111" s="14"/>
      <c r="AH111" s="15"/>
      <c r="AI111" s="14"/>
      <c r="AJ111" s="16"/>
      <c r="AK111" s="100">
        <f>U111+AC111</f>
        <v>3095</v>
      </c>
      <c r="AL111" s="14"/>
      <c r="AM111" s="52">
        <f>W111+AE111</f>
        <v>0</v>
      </c>
      <c r="AN111" s="14"/>
      <c r="AO111" s="14"/>
      <c r="AP111" s="14"/>
      <c r="AQ111" s="14"/>
      <c r="AR111" s="1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6"/>
      <c r="CA111" s="56"/>
      <c r="CB111" s="56"/>
      <c r="CC111" s="56"/>
      <c r="CD111" s="56"/>
      <c r="CE111" s="56"/>
      <c r="CF111" s="56"/>
      <c r="CG111" s="56"/>
      <c r="CH111" s="56"/>
      <c r="CI111" s="56"/>
      <c r="CJ111" s="56"/>
      <c r="CK111" s="56"/>
      <c r="CL111" s="56"/>
      <c r="CM111" s="56"/>
      <c r="CN111" s="56"/>
      <c r="CO111" s="56"/>
      <c r="CP111" s="56"/>
      <c r="CQ111" s="56"/>
      <c r="CR111" s="56"/>
      <c r="CS111" s="56"/>
      <c r="CT111" s="56"/>
      <c r="CU111" s="56"/>
      <c r="CV111" s="56"/>
      <c r="CW111" s="56"/>
      <c r="CX111" s="56"/>
      <c r="CY111" s="56"/>
      <c r="CZ111" s="56"/>
      <c r="DA111" s="56"/>
      <c r="DB111" s="56"/>
      <c r="DC111" s="56"/>
      <c r="DD111" s="56"/>
      <c r="DE111" s="56"/>
      <c r="DF111" s="56"/>
      <c r="DG111" s="56"/>
      <c r="DH111" s="56"/>
      <c r="DI111" s="56"/>
      <c r="DJ111" s="56"/>
      <c r="DK111" s="56"/>
      <c r="DL111" s="56"/>
      <c r="DM111" s="56"/>
      <c r="DN111" s="56"/>
      <c r="DO111" s="56"/>
      <c r="DP111" s="56"/>
      <c r="DQ111" s="56"/>
      <c r="DR111" s="56"/>
      <c r="DS111" s="56"/>
      <c r="DT111" s="56"/>
      <c r="DU111" s="56"/>
      <c r="DV111" s="56"/>
      <c r="DW111" s="56"/>
      <c r="DX111" s="56"/>
      <c r="DY111" s="56"/>
      <c r="DZ111" s="56"/>
      <c r="EA111" s="56"/>
      <c r="EB111" s="56"/>
      <c r="EC111" s="56"/>
      <c r="ED111" s="56"/>
      <c r="EE111" s="56"/>
      <c r="EF111" s="56"/>
      <c r="EG111" s="56"/>
      <c r="EH111" s="56"/>
      <c r="EI111" s="56"/>
      <c r="EJ111" s="56"/>
      <c r="EK111" s="56"/>
    </row>
    <row r="112" spans="1:141" x14ac:dyDescent="0.7">
      <c r="A112" s="43" t="s">
        <v>101</v>
      </c>
      <c r="B112" s="94">
        <v>153</v>
      </c>
      <c r="C112" s="95">
        <v>3835</v>
      </c>
      <c r="D112" s="46">
        <v>1</v>
      </c>
      <c r="E112" s="10">
        <v>0</v>
      </c>
      <c r="F112" s="10">
        <v>0</v>
      </c>
      <c r="G112" s="13">
        <v>5</v>
      </c>
      <c r="H112" s="14">
        <v>0</v>
      </c>
      <c r="I112" s="23">
        <v>0</v>
      </c>
      <c r="J112" s="13">
        <v>1.1000000000000001</v>
      </c>
      <c r="K112" s="14">
        <v>2</v>
      </c>
      <c r="L112" s="15">
        <v>1.7</v>
      </c>
      <c r="M112" s="13">
        <f>ROUND(C112*G112/1000,0)</f>
        <v>19</v>
      </c>
      <c r="N112" s="17"/>
      <c r="O112" s="13">
        <f>ROUND(C112*H112/1000,0)</f>
        <v>0</v>
      </c>
      <c r="P112" s="14"/>
      <c r="Q112" s="14"/>
      <c r="R112" s="15"/>
      <c r="S112" s="14"/>
      <c r="T112" s="18"/>
      <c r="U112" s="13">
        <f>ROUND(C112*J112,0)</f>
        <v>4219</v>
      </c>
      <c r="V112" s="17"/>
      <c r="W112" s="14">
        <v>0</v>
      </c>
      <c r="X112" s="14"/>
      <c r="Y112" s="14"/>
      <c r="Z112" s="14"/>
      <c r="AA112" s="15"/>
      <c r="AB112" s="23"/>
      <c r="AC112" s="17">
        <f>ROUND(M112*95,0)</f>
        <v>1805</v>
      </c>
      <c r="AD112" s="17"/>
      <c r="AE112" s="13">
        <f t="shared" ref="AE112" si="63">ROUND(O112*960,0)</f>
        <v>0</v>
      </c>
      <c r="AF112" s="14"/>
      <c r="AG112" s="14"/>
      <c r="AH112" s="15"/>
      <c r="AI112" s="14"/>
      <c r="AJ112" s="16"/>
      <c r="AK112" s="100">
        <f>U112+AC112</f>
        <v>6024</v>
      </c>
      <c r="AL112" s="14"/>
      <c r="AM112" s="52">
        <f t="shared" ref="AM112:AM113" si="64">W112+AE112</f>
        <v>0</v>
      </c>
      <c r="AN112" s="14"/>
      <c r="AO112" s="14"/>
      <c r="AP112" s="14"/>
      <c r="AQ112" s="14"/>
      <c r="AR112" s="1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6"/>
      <c r="CA112" s="56"/>
      <c r="CB112" s="56"/>
      <c r="CC112" s="56"/>
      <c r="CD112" s="56"/>
      <c r="CE112" s="56"/>
      <c r="CF112" s="56"/>
      <c r="CG112" s="56"/>
      <c r="CH112" s="56"/>
      <c r="CI112" s="56"/>
      <c r="CJ112" s="56"/>
      <c r="CK112" s="56"/>
      <c r="CL112" s="56"/>
      <c r="CM112" s="56"/>
      <c r="CN112" s="56"/>
      <c r="CO112" s="56"/>
      <c r="CP112" s="56"/>
      <c r="CQ112" s="56"/>
      <c r="CR112" s="56"/>
      <c r="CS112" s="56"/>
      <c r="CT112" s="56"/>
      <c r="CU112" s="56"/>
      <c r="CV112" s="56"/>
      <c r="CW112" s="56"/>
      <c r="CX112" s="56"/>
      <c r="CY112" s="56"/>
      <c r="CZ112" s="56"/>
      <c r="DA112" s="56"/>
      <c r="DB112" s="56"/>
      <c r="DC112" s="56"/>
      <c r="DD112" s="56"/>
      <c r="DE112" s="56"/>
      <c r="DF112" s="56"/>
      <c r="DG112" s="56"/>
      <c r="DH112" s="56"/>
      <c r="DI112" s="56"/>
      <c r="DJ112" s="56"/>
      <c r="DK112" s="56"/>
      <c r="DL112" s="56"/>
      <c r="DM112" s="56"/>
      <c r="DN112" s="56"/>
      <c r="DO112" s="56"/>
      <c r="DP112" s="56"/>
      <c r="DQ112" s="56"/>
      <c r="DR112" s="56"/>
      <c r="DS112" s="56"/>
      <c r="DT112" s="56"/>
      <c r="DU112" s="56"/>
      <c r="DV112" s="56"/>
      <c r="DW112" s="56"/>
      <c r="DX112" s="56"/>
      <c r="DY112" s="56"/>
      <c r="DZ112" s="56"/>
      <c r="EA112" s="56"/>
      <c r="EB112" s="56"/>
      <c r="EC112" s="56"/>
      <c r="ED112" s="56"/>
      <c r="EE112" s="56"/>
      <c r="EF112" s="56"/>
      <c r="EG112" s="56"/>
      <c r="EH112" s="56"/>
      <c r="EI112" s="56"/>
      <c r="EJ112" s="56"/>
      <c r="EK112" s="56"/>
    </row>
    <row r="113" spans="1:141" ht="25.2" thickBot="1" x14ac:dyDescent="0.75">
      <c r="A113" s="43" t="s">
        <v>102</v>
      </c>
      <c r="B113" s="94">
        <v>85</v>
      </c>
      <c r="C113" s="95">
        <v>2119</v>
      </c>
      <c r="D113" s="46">
        <v>0</v>
      </c>
      <c r="E113" s="10">
        <v>1</v>
      </c>
      <c r="F113" s="10">
        <v>0</v>
      </c>
      <c r="G113" s="13">
        <v>0</v>
      </c>
      <c r="H113" s="14">
        <v>15</v>
      </c>
      <c r="I113" s="23">
        <v>0</v>
      </c>
      <c r="J113" s="13">
        <v>1.1000000000000001</v>
      </c>
      <c r="K113" s="14">
        <v>2</v>
      </c>
      <c r="L113" s="15">
        <v>1.7</v>
      </c>
      <c r="M113" s="13">
        <v>0</v>
      </c>
      <c r="N113" s="17"/>
      <c r="O113" s="13">
        <f>ROUND(C113*H113/1000,0)</f>
        <v>32</v>
      </c>
      <c r="P113" s="14"/>
      <c r="Q113" s="14"/>
      <c r="R113" s="15"/>
      <c r="S113" s="14"/>
      <c r="T113" s="18"/>
      <c r="U113" s="13">
        <v>0</v>
      </c>
      <c r="V113" s="17">
        <f>0</f>
        <v>0</v>
      </c>
      <c r="W113" s="13">
        <f>ROUND(C113*K113,0)</f>
        <v>4238</v>
      </c>
      <c r="X113" s="14"/>
      <c r="Y113" s="14"/>
      <c r="Z113" s="14"/>
      <c r="AA113" s="15"/>
      <c r="AB113" s="23"/>
      <c r="AC113" s="17">
        <v>0</v>
      </c>
      <c r="AD113" s="17"/>
      <c r="AE113" s="13">
        <f>ROUND(O113*95,0)</f>
        <v>3040</v>
      </c>
      <c r="AF113" s="14"/>
      <c r="AG113" s="14"/>
      <c r="AH113" s="15"/>
      <c r="AI113" s="14"/>
      <c r="AJ113" s="16"/>
      <c r="AK113" s="100">
        <f t="shared" ref="AK113" si="65">U113+AC113</f>
        <v>0</v>
      </c>
      <c r="AL113" s="14"/>
      <c r="AM113" s="52">
        <f t="shared" si="64"/>
        <v>7278</v>
      </c>
      <c r="AN113" s="14"/>
      <c r="AO113" s="14"/>
      <c r="AP113" s="14"/>
      <c r="AQ113" s="14"/>
      <c r="AR113" s="1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6"/>
      <c r="BR113" s="56"/>
      <c r="BS113" s="56"/>
      <c r="BT113" s="56"/>
      <c r="BU113" s="56"/>
      <c r="BV113" s="56"/>
      <c r="BW113" s="56"/>
      <c r="BX113" s="56"/>
      <c r="BY113" s="56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6"/>
      <c r="CO113" s="56"/>
      <c r="CP113" s="56"/>
      <c r="CQ113" s="56"/>
      <c r="CR113" s="56"/>
      <c r="CS113" s="56"/>
      <c r="CT113" s="56"/>
      <c r="CU113" s="56"/>
      <c r="CV113" s="56"/>
      <c r="CW113" s="56"/>
      <c r="CX113" s="56"/>
      <c r="CY113" s="56"/>
      <c r="CZ113" s="56"/>
      <c r="DA113" s="56"/>
      <c r="DB113" s="56"/>
      <c r="DC113" s="56"/>
      <c r="DD113" s="56"/>
      <c r="DE113" s="56"/>
      <c r="DF113" s="56"/>
      <c r="DG113" s="56"/>
      <c r="DH113" s="56"/>
      <c r="DI113" s="56"/>
      <c r="DJ113" s="56"/>
      <c r="DK113" s="56"/>
      <c r="DL113" s="56"/>
      <c r="DM113" s="56"/>
      <c r="DN113" s="56"/>
      <c r="DO113" s="56"/>
      <c r="DP113" s="56"/>
      <c r="DQ113" s="56"/>
      <c r="DR113" s="56"/>
      <c r="DS113" s="56"/>
      <c r="DT113" s="56"/>
      <c r="DU113" s="56"/>
      <c r="DV113" s="56"/>
      <c r="DW113" s="56"/>
      <c r="DX113" s="56"/>
      <c r="DY113" s="56"/>
      <c r="DZ113" s="56"/>
      <c r="EA113" s="56"/>
      <c r="EB113" s="56"/>
      <c r="EC113" s="56"/>
      <c r="ED113" s="56"/>
      <c r="EE113" s="56"/>
      <c r="EF113" s="56"/>
      <c r="EG113" s="56"/>
      <c r="EH113" s="56"/>
      <c r="EI113" s="56"/>
      <c r="EJ113" s="56"/>
      <c r="EK113" s="56"/>
    </row>
    <row r="114" spans="1:141" ht="25.2" thickBot="1" x14ac:dyDescent="0.75">
      <c r="A114" s="1047" t="s">
        <v>36</v>
      </c>
      <c r="B114" s="886">
        <f>SUM(B111:B113)</f>
        <v>316</v>
      </c>
      <c r="C114" s="925">
        <f>SUM(C111:C113)</f>
        <v>7904</v>
      </c>
      <c r="D114" s="888"/>
      <c r="E114" s="889"/>
      <c r="F114" s="889"/>
      <c r="G114" s="889"/>
      <c r="H114" s="889"/>
      <c r="I114" s="889"/>
      <c r="J114" s="889"/>
      <c r="K114" s="889"/>
      <c r="L114" s="890"/>
      <c r="M114" s="158">
        <f>M111+M112+M113</f>
        <v>29</v>
      </c>
      <c r="N114" s="158">
        <f>N113</f>
        <v>0</v>
      </c>
      <c r="O114" s="160">
        <f>SUM(O111:O113)</f>
        <v>32</v>
      </c>
      <c r="P114" s="160">
        <f>P112+P113</f>
        <v>0</v>
      </c>
      <c r="Q114" s="160">
        <f>Q112+Q113</f>
        <v>0</v>
      </c>
      <c r="R114" s="161">
        <f>R112+R113</f>
        <v>0</v>
      </c>
      <c r="S114" s="161">
        <f>S112+S113</f>
        <v>0</v>
      </c>
      <c r="T114" s="163">
        <f>T112+T113</f>
        <v>0</v>
      </c>
      <c r="U114" s="158">
        <f>U113+U112+U111</f>
        <v>6364</v>
      </c>
      <c r="V114" s="158">
        <f>V113+V112+V111</f>
        <v>0</v>
      </c>
      <c r="W114" s="157">
        <f>SUM(W112:W113)</f>
        <v>4238</v>
      </c>
      <c r="X114" s="164"/>
      <c r="Y114" s="164"/>
      <c r="Z114" s="164"/>
      <c r="AA114" s="164"/>
      <c r="AB114" s="164"/>
      <c r="AC114" s="157">
        <f>SUM(AC111:AC113)</f>
        <v>2755</v>
      </c>
      <c r="AD114" s="157">
        <f>SUM(AD111:AD113)</f>
        <v>0</v>
      </c>
      <c r="AE114" s="166">
        <f>SUM(AE111:AE113)</f>
        <v>3040</v>
      </c>
      <c r="AF114" s="166">
        <f>SUM(AF111:AF113)</f>
        <v>0</v>
      </c>
      <c r="AG114" s="164"/>
      <c r="AH114" s="164"/>
      <c r="AI114" s="164"/>
      <c r="AJ114" s="156"/>
      <c r="AK114" s="165">
        <f>SUM(AK111:AK113)</f>
        <v>9119</v>
      </c>
      <c r="AL114" s="165">
        <f>SUM(AL111:AL113)</f>
        <v>0</v>
      </c>
      <c r="AM114" s="166">
        <f>SUM(AM111:AM113)</f>
        <v>7278</v>
      </c>
      <c r="AN114" s="166">
        <f>AN112+AN113</f>
        <v>0</v>
      </c>
      <c r="AO114" s="164"/>
      <c r="AP114" s="164"/>
      <c r="AQ114" s="164"/>
      <c r="AR114" s="167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141" ht="25.2" thickBot="1" x14ac:dyDescent="0.75">
      <c r="A115" s="1048"/>
      <c r="B115" s="887"/>
      <c r="C115" s="926"/>
      <c r="D115" s="891"/>
      <c r="E115" s="892"/>
      <c r="F115" s="892"/>
      <c r="G115" s="892"/>
      <c r="H115" s="892"/>
      <c r="I115" s="892"/>
      <c r="J115" s="892"/>
      <c r="K115" s="892"/>
      <c r="L115" s="893"/>
      <c r="M115" s="896">
        <f>M114+N114</f>
        <v>29</v>
      </c>
      <c r="N115" s="898">
        <f>M114+N114</f>
        <v>29</v>
      </c>
      <c r="O115" s="896">
        <f>+O114+P114+Q114</f>
        <v>32</v>
      </c>
      <c r="P115" s="897"/>
      <c r="Q115" s="898"/>
      <c r="R115" s="899">
        <f>+R114+S114+T114</f>
        <v>0</v>
      </c>
      <c r="S115" s="900"/>
      <c r="T115" s="970"/>
      <c r="U115" s="971">
        <f>U114+V114</f>
        <v>6364</v>
      </c>
      <c r="V115" s="972"/>
      <c r="W115" s="1064">
        <f>W114+X114+Y114</f>
        <v>4238</v>
      </c>
      <c r="X115" s="1064"/>
      <c r="Y115" s="895"/>
      <c r="Z115" s="964">
        <f>Z114+AA114+AB114</f>
        <v>0</v>
      </c>
      <c r="AA115" s="965"/>
      <c r="AB115" s="966"/>
      <c r="AC115" s="912">
        <f>AC114+AD114</f>
        <v>2755</v>
      </c>
      <c r="AD115" s="914">
        <f t="shared" ref="AD115" si="66">ROUND(N115*960,0)</f>
        <v>27840</v>
      </c>
      <c r="AE115" s="912">
        <f>AE114+AF114+AG114</f>
        <v>3040</v>
      </c>
      <c r="AF115" s="913"/>
      <c r="AG115" s="914"/>
      <c r="AH115" s="964">
        <f>AH114+AI114+AJ114</f>
        <v>0</v>
      </c>
      <c r="AI115" s="965"/>
      <c r="AJ115" s="966"/>
      <c r="AK115" s="912">
        <f>AK114+AL114</f>
        <v>9119</v>
      </c>
      <c r="AL115" s="913">
        <f t="shared" ref="AL115" si="67">V115+AD115</f>
        <v>27840</v>
      </c>
      <c r="AM115" s="912">
        <f>AM114+AN114+AO114</f>
        <v>7278</v>
      </c>
      <c r="AN115" s="913"/>
      <c r="AO115" s="914"/>
      <c r="AP115" s="964">
        <f>AP114+AQ114+AR114</f>
        <v>0</v>
      </c>
      <c r="AQ115" s="965"/>
      <c r="AR115" s="967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141" s="180" customFormat="1" ht="39.9" customHeight="1" thickBot="1" x14ac:dyDescent="0.75">
      <c r="A116" s="881" t="s">
        <v>103</v>
      </c>
      <c r="B116" s="882"/>
      <c r="C116" s="882"/>
      <c r="D116" s="882"/>
      <c r="E116" s="882"/>
      <c r="F116" s="882"/>
      <c r="G116" s="882"/>
      <c r="H116" s="882"/>
      <c r="I116" s="882"/>
      <c r="J116" s="882"/>
      <c r="K116" s="882"/>
      <c r="L116" s="882"/>
      <c r="M116" s="882"/>
      <c r="N116" s="882"/>
      <c r="O116" s="882"/>
      <c r="P116" s="882"/>
      <c r="Q116" s="882"/>
      <c r="R116" s="882"/>
      <c r="S116" s="882"/>
      <c r="T116" s="882"/>
      <c r="U116" s="882"/>
      <c r="V116" s="882"/>
      <c r="W116" s="882"/>
      <c r="X116" s="882"/>
      <c r="Y116" s="882"/>
      <c r="Z116" s="882"/>
      <c r="AA116" s="882"/>
      <c r="AB116" s="882"/>
      <c r="AC116" s="882"/>
      <c r="AD116" s="882"/>
      <c r="AE116" s="882"/>
      <c r="AF116" s="882"/>
      <c r="AG116" s="882"/>
      <c r="AH116" s="882"/>
      <c r="AI116" s="882"/>
      <c r="AJ116" s="882"/>
      <c r="AK116" s="882"/>
      <c r="AL116" s="882"/>
      <c r="AM116" s="882"/>
      <c r="AN116" s="882"/>
      <c r="AO116" s="882"/>
      <c r="AP116" s="882"/>
      <c r="AQ116" s="882"/>
      <c r="AR116" s="883"/>
      <c r="AS116" s="176"/>
      <c r="AT116" s="176"/>
      <c r="AU116" s="176"/>
      <c r="AV116" s="176"/>
      <c r="AW116" s="176"/>
      <c r="AX116" s="176"/>
      <c r="AY116" s="176"/>
      <c r="AZ116" s="176"/>
      <c r="BA116" s="176"/>
      <c r="BB116" s="176"/>
      <c r="BC116" s="176"/>
      <c r="BD116" s="176"/>
      <c r="BE116" s="176"/>
      <c r="BF116" s="176"/>
      <c r="BG116" s="176"/>
      <c r="BH116" s="176"/>
      <c r="BI116" s="176"/>
      <c r="BJ116" s="176"/>
      <c r="BK116" s="176"/>
      <c r="BL116" s="176"/>
      <c r="BM116" s="176"/>
      <c r="BN116" s="176"/>
      <c r="BO116" s="176"/>
      <c r="BP116" s="176"/>
      <c r="BQ116" s="176"/>
      <c r="BR116" s="176"/>
      <c r="BS116" s="176"/>
      <c r="BT116" s="176"/>
      <c r="BU116" s="176"/>
      <c r="BV116" s="176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6"/>
      <c r="CL116" s="176"/>
      <c r="CM116" s="176"/>
      <c r="CN116" s="176"/>
      <c r="CO116" s="176"/>
      <c r="CP116" s="176"/>
      <c r="CQ116" s="176"/>
      <c r="CR116" s="176"/>
      <c r="CS116" s="176"/>
      <c r="CT116" s="176"/>
      <c r="CU116" s="176"/>
      <c r="CV116" s="176"/>
      <c r="CW116" s="176"/>
      <c r="CX116" s="176"/>
      <c r="CY116" s="176"/>
      <c r="CZ116" s="176"/>
      <c r="DA116" s="176"/>
      <c r="DB116" s="176"/>
      <c r="DC116" s="176"/>
      <c r="DD116" s="176"/>
      <c r="DE116" s="176"/>
      <c r="DF116" s="176"/>
      <c r="DG116" s="176"/>
      <c r="DH116" s="176"/>
      <c r="DI116" s="176"/>
      <c r="DJ116" s="176"/>
      <c r="DK116" s="176"/>
      <c r="DL116" s="176"/>
      <c r="DM116" s="176"/>
      <c r="DN116" s="176"/>
      <c r="DO116" s="176"/>
      <c r="DP116" s="176"/>
      <c r="DQ116" s="176"/>
      <c r="DR116" s="176"/>
      <c r="DS116" s="176"/>
      <c r="DT116" s="176"/>
      <c r="DU116" s="176"/>
      <c r="DV116" s="176"/>
      <c r="DW116" s="176"/>
      <c r="DX116" s="176"/>
      <c r="DY116" s="176"/>
      <c r="DZ116" s="176"/>
      <c r="EA116" s="176"/>
      <c r="EB116" s="176"/>
      <c r="EC116" s="176"/>
      <c r="ED116" s="176"/>
      <c r="EE116" s="176"/>
      <c r="EF116" s="176"/>
      <c r="EG116" s="176"/>
      <c r="EH116" s="176"/>
      <c r="EI116" s="176"/>
      <c r="EJ116" s="176"/>
      <c r="EK116" s="176"/>
    </row>
    <row r="117" spans="1:141" s="68" customFormat="1" ht="39.9" customHeight="1" thickBot="1" x14ac:dyDescent="0.75">
      <c r="A117" s="938" t="s">
        <v>104</v>
      </c>
      <c r="B117" s="939"/>
      <c r="C117" s="939"/>
      <c r="D117" s="939"/>
      <c r="E117" s="939"/>
      <c r="F117" s="939"/>
      <c r="G117" s="939"/>
      <c r="H117" s="939"/>
      <c r="I117" s="939"/>
      <c r="J117" s="939"/>
      <c r="K117" s="939"/>
      <c r="L117" s="939"/>
      <c r="M117" s="939"/>
      <c r="N117" s="939"/>
      <c r="O117" s="939"/>
      <c r="P117" s="939"/>
      <c r="Q117" s="939"/>
      <c r="R117" s="939"/>
      <c r="S117" s="939"/>
      <c r="T117" s="939"/>
      <c r="U117" s="939"/>
      <c r="V117" s="939"/>
      <c r="W117" s="939"/>
      <c r="X117" s="939"/>
      <c r="Y117" s="939"/>
      <c r="Z117" s="939"/>
      <c r="AA117" s="939"/>
      <c r="AB117" s="939"/>
      <c r="AC117" s="939"/>
      <c r="AD117" s="939"/>
      <c r="AE117" s="939"/>
      <c r="AF117" s="939"/>
      <c r="AG117" s="939"/>
      <c r="AH117" s="939"/>
      <c r="AI117" s="939"/>
      <c r="AJ117" s="939"/>
      <c r="AK117" s="939"/>
      <c r="AL117" s="939"/>
      <c r="AM117" s="939"/>
      <c r="AN117" s="939"/>
      <c r="AO117" s="939"/>
      <c r="AP117" s="939"/>
      <c r="AQ117" s="939"/>
      <c r="AR117" s="940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69"/>
      <c r="BQ117" s="69"/>
      <c r="BR117" s="69"/>
      <c r="BS117" s="69"/>
      <c r="BT117" s="69"/>
      <c r="BU117" s="69"/>
      <c r="BV117" s="69"/>
      <c r="BW117" s="69"/>
      <c r="BX117" s="69"/>
      <c r="BY117" s="69"/>
      <c r="BZ117" s="69"/>
      <c r="CA117" s="69"/>
      <c r="CB117" s="69"/>
      <c r="CC117" s="69"/>
      <c r="CD117" s="69"/>
      <c r="CE117" s="69"/>
      <c r="CF117" s="69"/>
      <c r="CG117" s="69"/>
      <c r="CH117" s="69"/>
      <c r="CI117" s="69"/>
      <c r="CJ117" s="69"/>
      <c r="CK117" s="69"/>
      <c r="CL117" s="69"/>
      <c r="CM117" s="69"/>
      <c r="CN117" s="69"/>
      <c r="CO117" s="69"/>
      <c r="CP117" s="69"/>
      <c r="CQ117" s="69"/>
      <c r="CR117" s="69"/>
      <c r="CS117" s="69"/>
      <c r="CT117" s="69"/>
      <c r="CU117" s="69"/>
      <c r="CV117" s="69"/>
      <c r="CW117" s="69"/>
      <c r="CX117" s="69"/>
      <c r="CY117" s="69"/>
      <c r="CZ117" s="69"/>
      <c r="DA117" s="69"/>
      <c r="DB117" s="69"/>
      <c r="DC117" s="69"/>
      <c r="DD117" s="69"/>
      <c r="DE117" s="69"/>
      <c r="DF117" s="69"/>
      <c r="DG117" s="69"/>
      <c r="DH117" s="69"/>
      <c r="DI117" s="69"/>
      <c r="DJ117" s="69"/>
      <c r="DK117" s="69"/>
      <c r="DL117" s="69"/>
      <c r="DM117" s="69"/>
      <c r="DN117" s="69"/>
      <c r="DO117" s="69"/>
      <c r="DP117" s="69"/>
      <c r="DQ117" s="69"/>
      <c r="DR117" s="69"/>
      <c r="DS117" s="69"/>
      <c r="DT117" s="69"/>
      <c r="DU117" s="69"/>
      <c r="DV117" s="69"/>
      <c r="DW117" s="69"/>
      <c r="DX117" s="69"/>
      <c r="DY117" s="69"/>
      <c r="DZ117" s="69"/>
      <c r="EA117" s="69"/>
      <c r="EB117" s="69"/>
      <c r="EC117" s="69"/>
      <c r="ED117" s="69"/>
      <c r="EE117" s="69"/>
      <c r="EF117" s="69"/>
      <c r="EG117" s="69"/>
      <c r="EH117" s="69"/>
      <c r="EI117" s="69"/>
      <c r="EJ117" s="69"/>
      <c r="EK117" s="69"/>
    </row>
    <row r="118" spans="1:141" x14ac:dyDescent="0.7">
      <c r="A118" s="99" t="s">
        <v>105</v>
      </c>
      <c r="B118" s="92">
        <v>100</v>
      </c>
      <c r="C118" s="93">
        <v>2495</v>
      </c>
      <c r="D118" s="46">
        <v>1</v>
      </c>
      <c r="E118" s="10">
        <v>1</v>
      </c>
      <c r="F118" s="154">
        <v>0</v>
      </c>
      <c r="G118" s="46">
        <v>5</v>
      </c>
      <c r="H118" s="10">
        <v>15</v>
      </c>
      <c r="I118" s="154">
        <f>0</f>
        <v>0</v>
      </c>
      <c r="J118" s="46">
        <v>1.1000000000000001</v>
      </c>
      <c r="K118" s="10">
        <v>2</v>
      </c>
      <c r="L118" s="154">
        <v>1.7</v>
      </c>
      <c r="M118" s="17">
        <f>ROUND(C118*G118/1000,0)</f>
        <v>12</v>
      </c>
      <c r="N118" s="17"/>
      <c r="O118" s="13">
        <f>ROUND(C118*H118/1000,0)</f>
        <v>37</v>
      </c>
      <c r="P118" s="14"/>
      <c r="Q118" s="14"/>
      <c r="R118" s="15"/>
      <c r="S118" s="153"/>
      <c r="T118" s="187"/>
      <c r="U118" s="17">
        <f>ROUND(C118*J118,0)</f>
        <v>2745</v>
      </c>
      <c r="V118" s="154"/>
      <c r="W118" s="17">
        <f>ROUND(C118*K118,0)</f>
        <v>4990</v>
      </c>
      <c r="X118" s="14"/>
      <c r="Y118" s="14"/>
      <c r="Z118" s="14"/>
      <c r="AA118" s="15"/>
      <c r="AB118" s="154"/>
      <c r="AC118" s="17">
        <f>ROUND(M118*95,0)</f>
        <v>1140</v>
      </c>
      <c r="AD118" s="17"/>
      <c r="AE118" s="13">
        <f>ROUND(O118*95,0)</f>
        <v>3515</v>
      </c>
      <c r="AF118" s="14"/>
      <c r="AG118" s="14"/>
      <c r="AH118" s="15"/>
      <c r="AI118" s="14"/>
      <c r="AJ118" s="16"/>
      <c r="AK118" s="100">
        <f>U118+AC118</f>
        <v>3885</v>
      </c>
      <c r="AL118" s="14"/>
      <c r="AM118" s="52">
        <f>W118+AE118</f>
        <v>8505</v>
      </c>
      <c r="AN118" s="14"/>
      <c r="AO118" s="14"/>
      <c r="AP118" s="14"/>
      <c r="AQ118" s="14"/>
      <c r="AR118" s="1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</row>
    <row r="119" spans="1:141" ht="25.2" thickBot="1" x14ac:dyDescent="0.75">
      <c r="A119" s="185" t="s">
        <v>106</v>
      </c>
      <c r="B119" s="80">
        <v>12</v>
      </c>
      <c r="C119" s="81">
        <v>300</v>
      </c>
      <c r="D119" s="146">
        <v>1</v>
      </c>
      <c r="E119" s="145">
        <v>1</v>
      </c>
      <c r="F119" s="147">
        <v>0</v>
      </c>
      <c r="G119" s="144">
        <v>5</v>
      </c>
      <c r="H119" s="145">
        <v>15</v>
      </c>
      <c r="I119" s="147">
        <f>0</f>
        <v>0</v>
      </c>
      <c r="J119" s="144">
        <v>1.1000000000000001</v>
      </c>
      <c r="K119" s="145">
        <v>2</v>
      </c>
      <c r="L119" s="147">
        <v>1.7</v>
      </c>
      <c r="M119" s="46">
        <f>ROUND(C119*G119/1000,0)</f>
        <v>2</v>
      </c>
      <c r="N119" s="46"/>
      <c r="O119" s="46">
        <f>ROUND(C119*H119/1000,0)</f>
        <v>5</v>
      </c>
      <c r="P119" s="10"/>
      <c r="Q119" s="10"/>
      <c r="R119" s="12"/>
      <c r="S119" s="189"/>
      <c r="T119" s="47"/>
      <c r="U119" s="46">
        <f>ROUND(C119*J119,0)</f>
        <v>330</v>
      </c>
      <c r="V119" s="11"/>
      <c r="W119" s="41">
        <f>ROUND(C119*K119,0)</f>
        <v>600</v>
      </c>
      <c r="X119" s="37"/>
      <c r="Y119" s="37"/>
      <c r="Z119" s="37"/>
      <c r="AA119" s="39"/>
      <c r="AB119" s="174"/>
      <c r="AC119" s="41">
        <f>ROUND(M119*95,0)</f>
        <v>190</v>
      </c>
      <c r="AD119" s="41"/>
      <c r="AE119" s="41">
        <f>ROUND(O119*95,0)</f>
        <v>475</v>
      </c>
      <c r="AF119" s="37"/>
      <c r="AG119" s="37"/>
      <c r="AH119" s="39"/>
      <c r="AI119" s="37"/>
      <c r="AJ119" s="40"/>
      <c r="AK119" s="106">
        <f>U119+AC119</f>
        <v>520</v>
      </c>
      <c r="AL119" s="145"/>
      <c r="AM119" s="186">
        <f>W119+AE119</f>
        <v>1075</v>
      </c>
      <c r="AN119" s="37"/>
      <c r="AO119" s="37"/>
      <c r="AP119" s="37"/>
      <c r="AQ119" s="37"/>
      <c r="AR119" s="40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</row>
    <row r="120" spans="1:141" ht="25.2" thickBot="1" x14ac:dyDescent="0.75">
      <c r="A120" s="884" t="s">
        <v>134</v>
      </c>
      <c r="B120" s="886">
        <f>SUM(B118:B119)</f>
        <v>112</v>
      </c>
      <c r="C120" s="925">
        <f>SUM(C118:C119)</f>
        <v>2795</v>
      </c>
      <c r="D120" s="888"/>
      <c r="E120" s="889"/>
      <c r="F120" s="889"/>
      <c r="G120" s="889"/>
      <c r="H120" s="889"/>
      <c r="I120" s="889"/>
      <c r="J120" s="889"/>
      <c r="K120" s="889"/>
      <c r="L120" s="890"/>
      <c r="M120" s="158">
        <f>M116+M117+M118</f>
        <v>12</v>
      </c>
      <c r="N120" s="158">
        <f>N118</f>
        <v>0</v>
      </c>
      <c r="O120" s="160">
        <f>SUM(O118:O119)</f>
        <v>42</v>
      </c>
      <c r="P120" s="160">
        <f>P117+P118</f>
        <v>0</v>
      </c>
      <c r="Q120" s="160">
        <f>Q117+Q118</f>
        <v>0</v>
      </c>
      <c r="R120" s="161">
        <f>R117+R118</f>
        <v>0</v>
      </c>
      <c r="S120" s="161">
        <f>S117+S118</f>
        <v>0</v>
      </c>
      <c r="T120" s="163">
        <f>T117+T118</f>
        <v>0</v>
      </c>
      <c r="U120" s="158">
        <f>U118+U119</f>
        <v>3075</v>
      </c>
      <c r="V120" s="188">
        <f>V118+V117+V116</f>
        <v>0</v>
      </c>
      <c r="W120" s="157">
        <f>SUM(W118:W119)</f>
        <v>5590</v>
      </c>
      <c r="X120" s="164"/>
      <c r="Y120" s="164"/>
      <c r="Z120" s="164"/>
      <c r="AA120" s="164"/>
      <c r="AB120" s="164"/>
      <c r="AC120" s="157">
        <f>SUM(AC118:AC119)</f>
        <v>1330</v>
      </c>
      <c r="AD120" s="157">
        <f>SUM(AD116:AD118)</f>
        <v>0</v>
      </c>
      <c r="AE120" s="166">
        <f>SUM(AE118:AE119)</f>
        <v>3990</v>
      </c>
      <c r="AF120" s="166">
        <f>SUM(AF116:AF118)</f>
        <v>0</v>
      </c>
      <c r="AG120" s="164"/>
      <c r="AH120" s="164"/>
      <c r="AI120" s="164"/>
      <c r="AJ120" s="156"/>
      <c r="AK120" s="165">
        <f>SUM(AK118:AK119)</f>
        <v>4405</v>
      </c>
      <c r="AL120" s="165">
        <f>SUM(AL116:AL118)</f>
        <v>0</v>
      </c>
      <c r="AM120" s="166">
        <f>SUM(AM118:AM119)</f>
        <v>9580</v>
      </c>
      <c r="AN120" s="166">
        <f>AN117+AN118</f>
        <v>0</v>
      </c>
      <c r="AO120" s="164"/>
      <c r="AP120" s="164"/>
      <c r="AQ120" s="164"/>
      <c r="AR120" s="167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141" ht="25.2" thickBot="1" x14ac:dyDescent="0.75">
      <c r="A121" s="885"/>
      <c r="B121" s="887"/>
      <c r="C121" s="926"/>
      <c r="D121" s="891"/>
      <c r="E121" s="892"/>
      <c r="F121" s="892"/>
      <c r="G121" s="892"/>
      <c r="H121" s="892"/>
      <c r="I121" s="892"/>
      <c r="J121" s="892"/>
      <c r="K121" s="892"/>
      <c r="L121" s="893"/>
      <c r="M121" s="896">
        <f>M120+N120</f>
        <v>12</v>
      </c>
      <c r="N121" s="898">
        <f>M120+N120</f>
        <v>12</v>
      </c>
      <c r="O121" s="896">
        <f>+O120+P120+Q120</f>
        <v>42</v>
      </c>
      <c r="P121" s="897"/>
      <c r="Q121" s="898"/>
      <c r="R121" s="899">
        <f>+R120+S120+T120</f>
        <v>0</v>
      </c>
      <c r="S121" s="900"/>
      <c r="T121" s="970"/>
      <c r="U121" s="971">
        <f>U120+V120</f>
        <v>3075</v>
      </c>
      <c r="V121" s="972"/>
      <c r="W121" s="897">
        <f>W120+X120+Y120</f>
        <v>5590</v>
      </c>
      <c r="X121" s="897"/>
      <c r="Y121" s="898"/>
      <c r="Z121" s="964">
        <f>Z120+AA120+AB120</f>
        <v>0</v>
      </c>
      <c r="AA121" s="965"/>
      <c r="AB121" s="966"/>
      <c r="AC121" s="912">
        <f>AC120+AD120</f>
        <v>1330</v>
      </c>
      <c r="AD121" s="914">
        <f t="shared" ref="AD121" si="68">ROUND(N121*960,0)</f>
        <v>11520</v>
      </c>
      <c r="AE121" s="912">
        <f>AE120+AF120+AG120</f>
        <v>3990</v>
      </c>
      <c r="AF121" s="913"/>
      <c r="AG121" s="914"/>
      <c r="AH121" s="964">
        <f>AH120+AI120+AJ120</f>
        <v>0</v>
      </c>
      <c r="AI121" s="965"/>
      <c r="AJ121" s="966"/>
      <c r="AK121" s="912">
        <f>AK120+AL120</f>
        <v>4405</v>
      </c>
      <c r="AL121" s="913">
        <f t="shared" ref="AL121" si="69">V121+AD121</f>
        <v>11520</v>
      </c>
      <c r="AM121" s="912">
        <f>AM120+AN120+AO120</f>
        <v>9580</v>
      </c>
      <c r="AN121" s="913"/>
      <c r="AO121" s="914"/>
      <c r="AP121" s="964">
        <f>AP120+AQ120+AR120</f>
        <v>0</v>
      </c>
      <c r="AQ121" s="965"/>
      <c r="AR121" s="967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141" ht="24.75" customHeight="1" x14ac:dyDescent="0.7">
      <c r="A122" s="96" t="s">
        <v>107</v>
      </c>
      <c r="B122" s="94">
        <v>172</v>
      </c>
      <c r="C122" s="95">
        <v>4308</v>
      </c>
      <c r="D122" s="17">
        <v>1</v>
      </c>
      <c r="E122" s="14">
        <v>1</v>
      </c>
      <c r="F122" s="14">
        <v>0</v>
      </c>
      <c r="G122" s="13">
        <v>5</v>
      </c>
      <c r="H122" s="14">
        <v>15</v>
      </c>
      <c r="I122" s="23">
        <f>0</f>
        <v>0</v>
      </c>
      <c r="J122" s="13">
        <v>1.1000000000000001</v>
      </c>
      <c r="K122" s="14">
        <v>2</v>
      </c>
      <c r="L122" s="15">
        <v>1.7</v>
      </c>
      <c r="M122" s="13">
        <f>ROUND(C122*G122/1000,0)</f>
        <v>22</v>
      </c>
      <c r="N122" s="17"/>
      <c r="O122" s="13">
        <f>ROUND(C122*H122/1000,0)</f>
        <v>65</v>
      </c>
      <c r="P122" s="14"/>
      <c r="Q122" s="14"/>
      <c r="R122" s="15"/>
      <c r="S122" s="14"/>
      <c r="T122" s="18"/>
      <c r="U122" s="13">
        <f>ROUND(C122*J122,0)</f>
        <v>4739</v>
      </c>
      <c r="V122" s="17"/>
      <c r="W122" s="13">
        <f>ROUND(C122*K122,0)</f>
        <v>8616</v>
      </c>
      <c r="X122" s="14"/>
      <c r="Y122" s="14"/>
      <c r="Z122" s="14"/>
      <c r="AA122" s="15"/>
      <c r="AB122" s="23"/>
      <c r="AC122" s="17">
        <f>ROUND(M122*95,0)</f>
        <v>2090</v>
      </c>
      <c r="AD122" s="17"/>
      <c r="AE122" s="13">
        <f>ROUND(O122*95,0)</f>
        <v>6175</v>
      </c>
      <c r="AF122" s="14"/>
      <c r="AG122" s="14"/>
      <c r="AH122" s="15"/>
      <c r="AI122" s="14"/>
      <c r="AJ122" s="16"/>
      <c r="AK122" s="100">
        <f>U122+AC122</f>
        <v>6829</v>
      </c>
      <c r="AL122" s="14"/>
      <c r="AM122" s="52">
        <f>W122+AE122</f>
        <v>14791</v>
      </c>
      <c r="AN122" s="14"/>
      <c r="AO122" s="14"/>
      <c r="AP122" s="14"/>
      <c r="AQ122" s="14"/>
      <c r="AR122" s="1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6"/>
      <c r="CO122" s="56"/>
      <c r="CP122" s="56"/>
      <c r="CQ122" s="56"/>
      <c r="CR122" s="56"/>
      <c r="CS122" s="56"/>
      <c r="CT122" s="56"/>
      <c r="CU122" s="56"/>
      <c r="CV122" s="56"/>
      <c r="CW122" s="56"/>
      <c r="CX122" s="56"/>
      <c r="CY122" s="56"/>
      <c r="CZ122" s="56"/>
      <c r="DA122" s="56"/>
      <c r="DB122" s="56"/>
      <c r="DC122" s="56"/>
      <c r="DD122" s="56"/>
      <c r="DE122" s="56"/>
      <c r="DF122" s="56"/>
      <c r="DG122" s="56"/>
      <c r="DH122" s="56"/>
      <c r="DI122" s="56"/>
      <c r="DJ122" s="56"/>
      <c r="DK122" s="56"/>
      <c r="DL122" s="56"/>
      <c r="DM122" s="56"/>
      <c r="DN122" s="56"/>
      <c r="DO122" s="56"/>
      <c r="DP122" s="56"/>
      <c r="DQ122" s="56"/>
      <c r="DR122" s="56"/>
      <c r="DS122" s="56"/>
      <c r="DT122" s="56"/>
      <c r="DU122" s="56"/>
      <c r="DV122" s="56"/>
      <c r="DW122" s="56"/>
      <c r="DX122" s="56"/>
      <c r="DY122" s="56"/>
      <c r="DZ122" s="56"/>
      <c r="EA122" s="56"/>
      <c r="EB122" s="56"/>
      <c r="EC122" s="56"/>
      <c r="ED122" s="56"/>
      <c r="EE122" s="56"/>
      <c r="EF122" s="56"/>
      <c r="EG122" s="56"/>
      <c r="EH122" s="56"/>
      <c r="EI122" s="56"/>
      <c r="EJ122" s="56"/>
      <c r="EK122" s="56"/>
    </row>
    <row r="123" spans="1:141" ht="25.2" thickBot="1" x14ac:dyDescent="0.75">
      <c r="A123" s="96" t="s">
        <v>108</v>
      </c>
      <c r="B123" s="97">
        <v>154</v>
      </c>
      <c r="C123" s="98">
        <v>3861</v>
      </c>
      <c r="D123" s="31">
        <v>1</v>
      </c>
      <c r="E123" s="28">
        <v>1</v>
      </c>
      <c r="F123" s="28">
        <v>0</v>
      </c>
      <c r="G123" s="27">
        <v>5</v>
      </c>
      <c r="H123" s="28">
        <v>15</v>
      </c>
      <c r="I123" s="29">
        <f>0</f>
        <v>0</v>
      </c>
      <c r="J123" s="27">
        <v>1.1000000000000001</v>
      </c>
      <c r="K123" s="28">
        <v>2</v>
      </c>
      <c r="L123" s="30">
        <v>1.7</v>
      </c>
      <c r="M123" s="13">
        <f>ROUND(C123*G123/1000,0)</f>
        <v>19</v>
      </c>
      <c r="N123" s="17"/>
      <c r="O123" s="13">
        <f>ROUND(C123*H123/1000,0)</f>
        <v>58</v>
      </c>
      <c r="P123" s="14"/>
      <c r="Q123" s="14"/>
      <c r="R123" s="15"/>
      <c r="S123" s="14"/>
      <c r="T123" s="18"/>
      <c r="U123" s="13">
        <f>ROUND(C123*J123,0)</f>
        <v>4247</v>
      </c>
      <c r="V123" s="17"/>
      <c r="W123" s="13">
        <f>ROUND(C123*K123,0)</f>
        <v>7722</v>
      </c>
      <c r="X123" s="14"/>
      <c r="Y123" s="14"/>
      <c r="Z123" s="14"/>
      <c r="AA123" s="15"/>
      <c r="AB123" s="23"/>
      <c r="AC123" s="17">
        <f>ROUND(M123*95,0)</f>
        <v>1805</v>
      </c>
      <c r="AD123" s="17"/>
      <c r="AE123" s="13">
        <f>ROUND(O123*95,0)</f>
        <v>5510</v>
      </c>
      <c r="AF123" s="14"/>
      <c r="AG123" s="14"/>
      <c r="AH123" s="15"/>
      <c r="AI123" s="14"/>
      <c r="AJ123" s="16"/>
      <c r="AK123" s="100">
        <f>U123+AC123</f>
        <v>6052</v>
      </c>
      <c r="AL123" s="14"/>
      <c r="AM123" s="52">
        <f>W123+AE123</f>
        <v>13232</v>
      </c>
      <c r="AN123" s="14"/>
      <c r="AO123" s="14"/>
      <c r="AP123" s="14"/>
      <c r="AQ123" s="14"/>
      <c r="AR123" s="1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56"/>
      <c r="CR123" s="56"/>
      <c r="CS123" s="56"/>
      <c r="CT123" s="56"/>
      <c r="CU123" s="56"/>
      <c r="CV123" s="56"/>
      <c r="CW123" s="56"/>
      <c r="CX123" s="56"/>
      <c r="CY123" s="56"/>
      <c r="CZ123" s="56"/>
      <c r="DA123" s="56"/>
      <c r="DB123" s="56"/>
      <c r="DC123" s="56"/>
      <c r="DD123" s="56"/>
      <c r="DE123" s="56"/>
      <c r="DF123" s="56"/>
      <c r="DG123" s="56"/>
      <c r="DH123" s="56"/>
      <c r="DI123" s="56"/>
      <c r="DJ123" s="56"/>
      <c r="DK123" s="56"/>
      <c r="DL123" s="56"/>
      <c r="DM123" s="56"/>
      <c r="DN123" s="56"/>
      <c r="DO123" s="56"/>
      <c r="DP123" s="56"/>
      <c r="DQ123" s="56"/>
      <c r="DR123" s="56"/>
      <c r="DS123" s="56"/>
      <c r="DT123" s="56"/>
      <c r="DU123" s="56"/>
      <c r="DV123" s="56"/>
      <c r="DW123" s="56"/>
      <c r="DX123" s="56"/>
      <c r="DY123" s="56"/>
      <c r="DZ123" s="56"/>
      <c r="EA123" s="56"/>
      <c r="EB123" s="56"/>
      <c r="EC123" s="56"/>
      <c r="ED123" s="56"/>
      <c r="EE123" s="56"/>
      <c r="EF123" s="56"/>
      <c r="EG123" s="56"/>
      <c r="EH123" s="56"/>
      <c r="EI123" s="56"/>
      <c r="EJ123" s="56"/>
      <c r="EK123" s="56"/>
    </row>
    <row r="124" spans="1:141" ht="25.2" thickBot="1" x14ac:dyDescent="0.75">
      <c r="A124" s="884" t="s">
        <v>133</v>
      </c>
      <c r="B124" s="886">
        <f>SUM(B122:B123)</f>
        <v>326</v>
      </c>
      <c r="C124" s="925">
        <f>SUM(C122:C123)</f>
        <v>8169</v>
      </c>
      <c r="D124" s="888"/>
      <c r="E124" s="889"/>
      <c r="F124" s="889"/>
      <c r="G124" s="889"/>
      <c r="H124" s="889"/>
      <c r="I124" s="889"/>
      <c r="J124" s="889"/>
      <c r="K124" s="889"/>
      <c r="L124" s="890"/>
      <c r="M124" s="158">
        <f>M122+M123</f>
        <v>41</v>
      </c>
      <c r="N124" s="158">
        <f>N122</f>
        <v>0</v>
      </c>
      <c r="O124" s="160">
        <f>O122+O123</f>
        <v>123</v>
      </c>
      <c r="P124" s="160">
        <f>P121+P122</f>
        <v>0</v>
      </c>
      <c r="Q124" s="160">
        <f>Q121+Q122</f>
        <v>0</v>
      </c>
      <c r="R124" s="161">
        <f>R121+R122</f>
        <v>0</v>
      </c>
      <c r="S124" s="161">
        <f>S121+S122</f>
        <v>0</v>
      </c>
      <c r="T124" s="163">
        <f>T121+T122</f>
        <v>0</v>
      </c>
      <c r="U124" s="158">
        <f>U122+U123</f>
        <v>8986</v>
      </c>
      <c r="V124" s="188">
        <f>V122+V121+V120</f>
        <v>0</v>
      </c>
      <c r="W124" s="157">
        <f>SUM(W122:W123)</f>
        <v>16338</v>
      </c>
      <c r="X124" s="164"/>
      <c r="Y124" s="164"/>
      <c r="Z124" s="164"/>
      <c r="AA124" s="164"/>
      <c r="AB124" s="164"/>
      <c r="AC124" s="157">
        <f>SUM(AC122:AC123)</f>
        <v>3895</v>
      </c>
      <c r="AD124" s="157">
        <f>0</f>
        <v>0</v>
      </c>
      <c r="AE124" s="166">
        <f>SUM(AE122:AE123)</f>
        <v>11685</v>
      </c>
      <c r="AF124" s="166">
        <f>SUM(AF120:AF122)</f>
        <v>0</v>
      </c>
      <c r="AG124" s="164"/>
      <c r="AH124" s="164"/>
      <c r="AI124" s="164"/>
      <c r="AJ124" s="156"/>
      <c r="AK124" s="165">
        <f>SUM(AK122:AK123)</f>
        <v>12881</v>
      </c>
      <c r="AL124" s="165">
        <f>0</f>
        <v>0</v>
      </c>
      <c r="AM124" s="166">
        <f>SUM(AM122:AM123)</f>
        <v>28023</v>
      </c>
      <c r="AN124" s="166">
        <f>AN121+AN122</f>
        <v>0</v>
      </c>
      <c r="AO124" s="164"/>
      <c r="AP124" s="164"/>
      <c r="AQ124" s="164"/>
      <c r="AR124" s="167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pans="1:141" ht="25.2" thickBot="1" x14ac:dyDescent="0.75">
      <c r="A125" s="885"/>
      <c r="B125" s="887"/>
      <c r="C125" s="926"/>
      <c r="D125" s="891"/>
      <c r="E125" s="892"/>
      <c r="F125" s="892"/>
      <c r="G125" s="892"/>
      <c r="H125" s="892"/>
      <c r="I125" s="892"/>
      <c r="J125" s="892"/>
      <c r="K125" s="892"/>
      <c r="L125" s="893"/>
      <c r="M125" s="896">
        <f>M124+N124</f>
        <v>41</v>
      </c>
      <c r="N125" s="898">
        <f>M124+N124</f>
        <v>41</v>
      </c>
      <c r="O125" s="896">
        <f>+O124+P124+Q124</f>
        <v>123</v>
      </c>
      <c r="P125" s="897"/>
      <c r="Q125" s="898"/>
      <c r="R125" s="899">
        <f>+R124+S124+T124</f>
        <v>0</v>
      </c>
      <c r="S125" s="900"/>
      <c r="T125" s="970"/>
      <c r="U125" s="971">
        <f>U124+V124</f>
        <v>8986</v>
      </c>
      <c r="V125" s="972"/>
      <c r="W125" s="897">
        <f>W124+X124+Y124</f>
        <v>16338</v>
      </c>
      <c r="X125" s="897"/>
      <c r="Y125" s="898"/>
      <c r="Z125" s="964">
        <f>Z124+AA124+AB124</f>
        <v>0</v>
      </c>
      <c r="AA125" s="965"/>
      <c r="AB125" s="966"/>
      <c r="AC125" s="912">
        <f>AC124+AD124</f>
        <v>3895</v>
      </c>
      <c r="AD125" s="914">
        <f t="shared" ref="AD125" si="70">ROUND(N125*960,0)</f>
        <v>39360</v>
      </c>
      <c r="AE125" s="912">
        <f>AE124+AF124+AG124</f>
        <v>11685</v>
      </c>
      <c r="AF125" s="913"/>
      <c r="AG125" s="914"/>
      <c r="AH125" s="964">
        <f>AH124+AI124+AJ124</f>
        <v>0</v>
      </c>
      <c r="AI125" s="965"/>
      <c r="AJ125" s="966"/>
      <c r="AK125" s="912">
        <f>AK124+AL124</f>
        <v>12881</v>
      </c>
      <c r="AL125" s="913">
        <f t="shared" ref="AL125" si="71">V125+AD125</f>
        <v>39360</v>
      </c>
      <c r="AM125" s="912">
        <f>AM124+AN124+AO124</f>
        <v>28023</v>
      </c>
      <c r="AN125" s="913"/>
      <c r="AO125" s="914"/>
      <c r="AP125" s="964">
        <f>AP124+AQ124+AR124</f>
        <v>0</v>
      </c>
      <c r="AQ125" s="965"/>
      <c r="AR125" s="967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141" s="180" customFormat="1" ht="39.9" customHeight="1" thickBot="1" x14ac:dyDescent="0.75">
      <c r="A126" s="881" t="s">
        <v>109</v>
      </c>
      <c r="B126" s="882"/>
      <c r="C126" s="882"/>
      <c r="D126" s="882"/>
      <c r="E126" s="882"/>
      <c r="F126" s="882"/>
      <c r="G126" s="882"/>
      <c r="H126" s="882"/>
      <c r="I126" s="882"/>
      <c r="J126" s="882"/>
      <c r="K126" s="882"/>
      <c r="L126" s="882"/>
      <c r="M126" s="882"/>
      <c r="N126" s="882"/>
      <c r="O126" s="882"/>
      <c r="P126" s="882"/>
      <c r="Q126" s="882"/>
      <c r="R126" s="882"/>
      <c r="S126" s="882"/>
      <c r="T126" s="882"/>
      <c r="U126" s="882"/>
      <c r="V126" s="882"/>
      <c r="W126" s="882"/>
      <c r="X126" s="882"/>
      <c r="Y126" s="882"/>
      <c r="Z126" s="882"/>
      <c r="AA126" s="882"/>
      <c r="AB126" s="882"/>
      <c r="AC126" s="882"/>
      <c r="AD126" s="882"/>
      <c r="AE126" s="882"/>
      <c r="AF126" s="882"/>
      <c r="AG126" s="882"/>
      <c r="AH126" s="882"/>
      <c r="AI126" s="882"/>
      <c r="AJ126" s="882"/>
      <c r="AK126" s="882"/>
      <c r="AL126" s="882"/>
      <c r="AM126" s="882"/>
      <c r="AN126" s="882"/>
      <c r="AO126" s="882"/>
      <c r="AP126" s="882"/>
      <c r="AQ126" s="882"/>
      <c r="AR126" s="883"/>
      <c r="AS126" s="176"/>
      <c r="AT126" s="176"/>
      <c r="AU126" s="176"/>
      <c r="AV126" s="176"/>
      <c r="AW126" s="176"/>
      <c r="AX126" s="176"/>
      <c r="AY126" s="176"/>
      <c r="AZ126" s="176"/>
      <c r="BA126" s="176"/>
      <c r="BB126" s="176"/>
      <c r="BC126" s="176"/>
      <c r="BD126" s="176"/>
      <c r="BE126" s="176"/>
      <c r="BF126" s="176"/>
      <c r="BG126" s="176"/>
      <c r="BH126" s="176"/>
      <c r="BI126" s="176"/>
      <c r="BJ126" s="176"/>
      <c r="BK126" s="176"/>
      <c r="BL126" s="176"/>
      <c r="BM126" s="176"/>
      <c r="BN126" s="176"/>
      <c r="BO126" s="176"/>
      <c r="BP126" s="176"/>
      <c r="BQ126" s="176"/>
      <c r="BR126" s="176"/>
      <c r="BS126" s="176"/>
      <c r="BT126" s="176"/>
      <c r="BU126" s="176"/>
      <c r="BV126" s="176"/>
      <c r="BW126" s="176"/>
      <c r="BX126" s="176"/>
      <c r="BY126" s="176"/>
      <c r="BZ126" s="176"/>
      <c r="CA126" s="176"/>
      <c r="CB126" s="176"/>
      <c r="CC126" s="176"/>
      <c r="CD126" s="176"/>
      <c r="CE126" s="176"/>
      <c r="CF126" s="176"/>
      <c r="CG126" s="176"/>
      <c r="CH126" s="176"/>
      <c r="CI126" s="176"/>
      <c r="CJ126" s="176"/>
      <c r="CK126" s="176"/>
      <c r="CL126" s="176"/>
      <c r="CM126" s="176"/>
      <c r="CN126" s="176"/>
      <c r="CO126" s="176"/>
      <c r="CP126" s="176"/>
      <c r="CQ126" s="176"/>
      <c r="CR126" s="176"/>
      <c r="CS126" s="176"/>
      <c r="CT126" s="176"/>
      <c r="CU126" s="176"/>
      <c r="CV126" s="176"/>
      <c r="CW126" s="176"/>
      <c r="CX126" s="176"/>
      <c r="CY126" s="176"/>
      <c r="CZ126" s="176"/>
      <c r="DA126" s="176"/>
      <c r="DB126" s="176"/>
      <c r="DC126" s="176"/>
      <c r="DD126" s="176"/>
      <c r="DE126" s="176"/>
      <c r="DF126" s="176"/>
      <c r="DG126" s="176"/>
      <c r="DH126" s="176"/>
      <c r="DI126" s="176"/>
      <c r="DJ126" s="176"/>
      <c r="DK126" s="176"/>
      <c r="DL126" s="176"/>
      <c r="DM126" s="176"/>
      <c r="DN126" s="176"/>
      <c r="DO126" s="176"/>
      <c r="DP126" s="176"/>
      <c r="DQ126" s="176"/>
      <c r="DR126" s="176"/>
      <c r="DS126" s="176"/>
      <c r="DT126" s="176"/>
      <c r="DU126" s="176"/>
      <c r="DV126" s="176"/>
      <c r="DW126" s="176"/>
      <c r="DX126" s="176"/>
      <c r="DY126" s="176"/>
      <c r="DZ126" s="176"/>
      <c r="EA126" s="176"/>
      <c r="EB126" s="176"/>
      <c r="EC126" s="176"/>
      <c r="ED126" s="176"/>
      <c r="EE126" s="176"/>
      <c r="EF126" s="176"/>
      <c r="EG126" s="176"/>
      <c r="EH126" s="176"/>
      <c r="EI126" s="176"/>
      <c r="EJ126" s="176"/>
      <c r="EK126" s="176"/>
    </row>
    <row r="127" spans="1:141" s="177" customFormat="1" ht="39.9" customHeight="1" thickBot="1" x14ac:dyDescent="0.75">
      <c r="A127" s="943" t="s">
        <v>110</v>
      </c>
      <c r="B127" s="944"/>
      <c r="C127" s="944"/>
      <c r="D127" s="944"/>
      <c r="E127" s="944"/>
      <c r="F127" s="944"/>
      <c r="G127" s="944"/>
      <c r="H127" s="944"/>
      <c r="I127" s="944"/>
      <c r="J127" s="944"/>
      <c r="K127" s="944"/>
      <c r="L127" s="944"/>
      <c r="M127" s="944"/>
      <c r="N127" s="944"/>
      <c r="O127" s="944"/>
      <c r="P127" s="944"/>
      <c r="Q127" s="944"/>
      <c r="R127" s="944"/>
      <c r="S127" s="944"/>
      <c r="T127" s="944"/>
      <c r="U127" s="944"/>
      <c r="V127" s="944"/>
      <c r="W127" s="944"/>
      <c r="X127" s="944"/>
      <c r="Y127" s="944"/>
      <c r="Z127" s="944"/>
      <c r="AA127" s="944"/>
      <c r="AB127" s="944"/>
      <c r="AC127" s="944"/>
      <c r="AD127" s="944"/>
      <c r="AE127" s="944"/>
      <c r="AF127" s="944"/>
      <c r="AG127" s="944"/>
      <c r="AH127" s="944"/>
      <c r="AI127" s="944"/>
      <c r="AJ127" s="944"/>
      <c r="AK127" s="944"/>
      <c r="AL127" s="944"/>
      <c r="AM127" s="944"/>
      <c r="AN127" s="944"/>
      <c r="AO127" s="944"/>
      <c r="AP127" s="944"/>
      <c r="AQ127" s="944"/>
      <c r="AR127" s="945"/>
      <c r="AS127" s="176"/>
      <c r="AT127" s="176"/>
      <c r="AU127" s="176"/>
      <c r="AV127" s="176"/>
      <c r="AW127" s="176"/>
      <c r="AX127" s="176"/>
      <c r="AY127" s="176"/>
      <c r="AZ127" s="176"/>
      <c r="BA127" s="176"/>
      <c r="BB127" s="176"/>
      <c r="BC127" s="176"/>
      <c r="BD127" s="176"/>
      <c r="BE127" s="176"/>
      <c r="BF127" s="176"/>
      <c r="BG127" s="176"/>
      <c r="BH127" s="176"/>
      <c r="BI127" s="176"/>
      <c r="BJ127" s="176"/>
      <c r="BK127" s="176"/>
      <c r="BL127" s="176"/>
      <c r="BM127" s="176"/>
      <c r="BN127" s="176"/>
      <c r="BO127" s="176"/>
      <c r="BP127" s="176"/>
      <c r="BQ127" s="176"/>
      <c r="BR127" s="176"/>
      <c r="BS127" s="176"/>
      <c r="BT127" s="176"/>
      <c r="BU127" s="176"/>
      <c r="BV127" s="176"/>
      <c r="BW127" s="176"/>
      <c r="BX127" s="176"/>
      <c r="BY127" s="176"/>
      <c r="BZ127" s="176"/>
      <c r="CA127" s="176"/>
      <c r="CB127" s="176"/>
      <c r="CC127" s="176"/>
      <c r="CD127" s="176"/>
      <c r="CE127" s="176"/>
      <c r="CF127" s="176"/>
      <c r="CG127" s="176"/>
      <c r="CH127" s="176"/>
      <c r="CI127" s="176"/>
      <c r="CJ127" s="176"/>
      <c r="CK127" s="176"/>
      <c r="CL127" s="176"/>
      <c r="CM127" s="176"/>
      <c r="CN127" s="176"/>
      <c r="CO127" s="176"/>
      <c r="CP127" s="176"/>
      <c r="CQ127" s="176"/>
      <c r="CR127" s="176"/>
      <c r="CS127" s="176"/>
      <c r="CT127" s="176"/>
      <c r="CU127" s="176"/>
      <c r="CV127" s="176"/>
      <c r="CW127" s="176"/>
      <c r="CX127" s="176"/>
      <c r="CY127" s="176"/>
      <c r="CZ127" s="176"/>
      <c r="DA127" s="176"/>
      <c r="DB127" s="176"/>
      <c r="DC127" s="176"/>
      <c r="DD127" s="176"/>
      <c r="DE127" s="176"/>
      <c r="DF127" s="176"/>
      <c r="DG127" s="176"/>
      <c r="DH127" s="176"/>
      <c r="DI127" s="176"/>
      <c r="DJ127" s="176"/>
      <c r="DK127" s="176"/>
      <c r="DL127" s="176"/>
      <c r="DM127" s="176"/>
      <c r="DN127" s="176"/>
      <c r="DO127" s="176"/>
      <c r="DP127" s="176"/>
      <c r="DQ127" s="176"/>
      <c r="DR127" s="176"/>
      <c r="DS127" s="176"/>
      <c r="DT127" s="176"/>
      <c r="DU127" s="176"/>
      <c r="DV127" s="176"/>
      <c r="DW127" s="176"/>
      <c r="DX127" s="176"/>
      <c r="DY127" s="176"/>
      <c r="DZ127" s="176"/>
      <c r="EA127" s="176"/>
      <c r="EB127" s="176"/>
      <c r="EC127" s="176"/>
      <c r="ED127" s="176"/>
      <c r="EE127" s="176"/>
      <c r="EF127" s="176"/>
      <c r="EG127" s="176"/>
      <c r="EH127" s="176"/>
      <c r="EI127" s="176"/>
      <c r="EJ127" s="176"/>
      <c r="EK127" s="176"/>
    </row>
    <row r="128" spans="1:141" ht="24" customHeight="1" x14ac:dyDescent="0.7">
      <c r="A128" s="65" t="s">
        <v>111</v>
      </c>
      <c r="B128" s="5">
        <v>117</v>
      </c>
      <c r="C128" s="6">
        <v>2934</v>
      </c>
      <c r="D128" s="46">
        <v>0</v>
      </c>
      <c r="E128" s="10">
        <v>1</v>
      </c>
      <c r="F128" s="10">
        <v>1</v>
      </c>
      <c r="G128" s="9"/>
      <c r="H128" s="10">
        <v>15</v>
      </c>
      <c r="I128" s="11">
        <v>8</v>
      </c>
      <c r="J128" s="9">
        <v>1.1000000000000001</v>
      </c>
      <c r="K128" s="10">
        <v>2</v>
      </c>
      <c r="L128" s="12">
        <v>1.7</v>
      </c>
      <c r="M128" s="13">
        <f>0</f>
        <v>0</v>
      </c>
      <c r="N128" s="17">
        <f>0</f>
        <v>0</v>
      </c>
      <c r="O128" s="100">
        <f>ROUND(C128*H128/1000,0)</f>
        <v>44</v>
      </c>
      <c r="P128" s="14"/>
      <c r="Q128" s="14"/>
      <c r="R128" s="14">
        <f>ROUND(C128*I128/1000,0)</f>
        <v>23</v>
      </c>
      <c r="S128" s="14"/>
      <c r="T128" s="18"/>
      <c r="U128" s="13"/>
      <c r="V128" s="17"/>
      <c r="W128" s="929" t="s">
        <v>116</v>
      </c>
      <c r="X128" s="953"/>
      <c r="Y128" s="954"/>
      <c r="Z128" s="13">
        <f>ROUND(C128*L128,0)</f>
        <v>4988</v>
      </c>
      <c r="AA128" s="15"/>
      <c r="AB128" s="23"/>
      <c r="AC128" s="17"/>
      <c r="AD128" s="17"/>
      <c r="AE128" s="13">
        <f>ROUND(O128*95,0)</f>
        <v>4180</v>
      </c>
      <c r="AF128" s="13">
        <f t="shared" ref="AF128:AF132" si="72">ROUND(P128*960,0)</f>
        <v>0</v>
      </c>
      <c r="AG128" s="14"/>
      <c r="AH128" s="13">
        <f>ROUND(R128*95,0)</f>
        <v>2185</v>
      </c>
      <c r="AI128" s="14"/>
      <c r="AJ128" s="16"/>
      <c r="AK128" s="100"/>
      <c r="AL128" s="14"/>
      <c r="AM128" s="190" t="e">
        <f>W128+AE128</f>
        <v>#VALUE!</v>
      </c>
      <c r="AN128" s="14">
        <f>X128+AF128</f>
        <v>0</v>
      </c>
      <c r="AO128" s="14"/>
      <c r="AP128" s="14">
        <f>Z128+AH128</f>
        <v>7173</v>
      </c>
      <c r="AQ128" s="14"/>
      <c r="AR128" s="1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  <c r="CS128" s="56"/>
      <c r="CT128" s="56"/>
      <c r="CU128" s="56"/>
      <c r="CV128" s="56"/>
      <c r="CW128" s="56"/>
      <c r="CX128" s="56"/>
      <c r="CY128" s="56"/>
      <c r="CZ128" s="56"/>
      <c r="DA128" s="56"/>
      <c r="DB128" s="56"/>
      <c r="DC128" s="56"/>
      <c r="DD128" s="56"/>
      <c r="DE128" s="56"/>
      <c r="DF128" s="56"/>
      <c r="DG128" s="56"/>
      <c r="DH128" s="56"/>
      <c r="DI128" s="56"/>
      <c r="DJ128" s="56"/>
      <c r="DK128" s="56"/>
      <c r="DL128" s="56"/>
      <c r="DM128" s="56"/>
      <c r="DN128" s="56"/>
      <c r="DO128" s="56"/>
      <c r="DP128" s="56"/>
      <c r="DQ128" s="56"/>
      <c r="DR128" s="56"/>
      <c r="DS128" s="56"/>
      <c r="DT128" s="56"/>
      <c r="DU128" s="56"/>
      <c r="DV128" s="56"/>
      <c r="DW128" s="56"/>
      <c r="DX128" s="56"/>
      <c r="DY128" s="56"/>
      <c r="DZ128" s="56"/>
      <c r="EA128" s="56"/>
      <c r="EB128" s="56"/>
      <c r="EC128" s="56"/>
      <c r="ED128" s="56"/>
      <c r="EE128" s="56"/>
      <c r="EF128" s="56"/>
      <c r="EG128" s="56"/>
      <c r="EH128" s="56"/>
      <c r="EI128" s="56"/>
      <c r="EJ128" s="56"/>
      <c r="EK128" s="56"/>
    </row>
    <row r="129" spans="1:141" ht="24" customHeight="1" x14ac:dyDescent="0.7">
      <c r="A129" s="65" t="s">
        <v>112</v>
      </c>
      <c r="B129" s="20">
        <v>116</v>
      </c>
      <c r="C129" s="72">
        <v>2903</v>
      </c>
      <c r="D129" s="17">
        <v>0</v>
      </c>
      <c r="E129" s="10">
        <v>1</v>
      </c>
      <c r="F129" s="14">
        <v>1</v>
      </c>
      <c r="G129" s="13"/>
      <c r="H129" s="14">
        <v>15</v>
      </c>
      <c r="I129" s="23">
        <v>8</v>
      </c>
      <c r="J129" s="13">
        <v>1.1000000000000001</v>
      </c>
      <c r="K129" s="14">
        <v>2</v>
      </c>
      <c r="L129" s="15">
        <v>1.7</v>
      </c>
      <c r="M129" s="13">
        <f>0</f>
        <v>0</v>
      </c>
      <c r="N129" s="17">
        <f>0</f>
        <v>0</v>
      </c>
      <c r="O129" s="100">
        <f>ROUND(C129*H129/1000,0)</f>
        <v>44</v>
      </c>
      <c r="P129" s="14"/>
      <c r="Q129" s="14"/>
      <c r="R129" s="14">
        <f>ROUND(C129*I129/1000,0)</f>
        <v>23</v>
      </c>
      <c r="S129" s="14"/>
      <c r="T129" s="18"/>
      <c r="U129" s="13"/>
      <c r="V129" s="17"/>
      <c r="W129" s="955"/>
      <c r="X129" s="956"/>
      <c r="Y129" s="957"/>
      <c r="Z129" s="13">
        <f t="shared" ref="Z129:Z132" si="73">ROUND(C129*L129,0)</f>
        <v>4935</v>
      </c>
      <c r="AA129" s="15"/>
      <c r="AB129" s="23"/>
      <c r="AC129" s="17"/>
      <c r="AD129" s="17"/>
      <c r="AE129" s="13">
        <f t="shared" ref="AE129:AE132" si="74">ROUND(O129*95,0)</f>
        <v>4180</v>
      </c>
      <c r="AF129" s="13">
        <f t="shared" si="72"/>
        <v>0</v>
      </c>
      <c r="AG129" s="14"/>
      <c r="AH129" s="13">
        <f t="shared" ref="AH129:AH132" si="75">ROUND(R129*95,0)</f>
        <v>2185</v>
      </c>
      <c r="AI129" s="14"/>
      <c r="AJ129" s="16"/>
      <c r="AK129" s="100"/>
      <c r="AL129" s="14"/>
      <c r="AM129" s="190" t="e">
        <f>W128+AE129</f>
        <v>#VALUE!</v>
      </c>
      <c r="AN129" s="14">
        <f t="shared" ref="AN129:AN132" si="76">X129+AF129</f>
        <v>0</v>
      </c>
      <c r="AO129" s="14"/>
      <c r="AP129" s="14">
        <f>Z129+AH129</f>
        <v>7120</v>
      </c>
      <c r="AQ129" s="14"/>
      <c r="AR129" s="1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56"/>
      <c r="CP129" s="56"/>
      <c r="CQ129" s="56"/>
      <c r="CR129" s="56"/>
      <c r="CS129" s="56"/>
      <c r="CT129" s="56"/>
      <c r="CU129" s="56"/>
      <c r="CV129" s="56"/>
      <c r="CW129" s="56"/>
      <c r="CX129" s="56"/>
      <c r="CY129" s="56"/>
      <c r="CZ129" s="56"/>
      <c r="DA129" s="56"/>
      <c r="DB129" s="56"/>
      <c r="DC129" s="56"/>
      <c r="DD129" s="56"/>
      <c r="DE129" s="56"/>
      <c r="DF129" s="56"/>
      <c r="DG129" s="56"/>
      <c r="DH129" s="56"/>
      <c r="DI129" s="56"/>
      <c r="DJ129" s="56"/>
      <c r="DK129" s="56"/>
      <c r="DL129" s="56"/>
      <c r="DM129" s="56"/>
      <c r="DN129" s="56"/>
      <c r="DO129" s="56"/>
      <c r="DP129" s="56"/>
      <c r="DQ129" s="56"/>
      <c r="DR129" s="56"/>
      <c r="DS129" s="56"/>
      <c r="DT129" s="56"/>
      <c r="DU129" s="56"/>
      <c r="DV129" s="56"/>
      <c r="DW129" s="56"/>
      <c r="DX129" s="56"/>
      <c r="DY129" s="56"/>
      <c r="DZ129" s="56"/>
      <c r="EA129" s="56"/>
      <c r="EB129" s="56"/>
      <c r="EC129" s="56"/>
      <c r="ED129" s="56"/>
      <c r="EE129" s="56"/>
      <c r="EF129" s="56"/>
      <c r="EG129" s="56"/>
      <c r="EH129" s="56"/>
      <c r="EI129" s="56"/>
      <c r="EJ129" s="56"/>
      <c r="EK129" s="56"/>
    </row>
    <row r="130" spans="1:141" ht="24" customHeight="1" x14ac:dyDescent="0.7">
      <c r="A130" s="65" t="s">
        <v>113</v>
      </c>
      <c r="B130" s="20">
        <v>115</v>
      </c>
      <c r="C130" s="72">
        <v>2864</v>
      </c>
      <c r="D130" s="17">
        <v>0</v>
      </c>
      <c r="E130" s="10">
        <v>1</v>
      </c>
      <c r="F130" s="14">
        <v>1</v>
      </c>
      <c r="G130" s="13"/>
      <c r="H130" s="14">
        <v>15</v>
      </c>
      <c r="I130" s="23">
        <v>8</v>
      </c>
      <c r="J130" s="13">
        <v>1.1000000000000001</v>
      </c>
      <c r="K130" s="14">
        <v>2</v>
      </c>
      <c r="L130" s="15">
        <v>1.7</v>
      </c>
      <c r="M130" s="13">
        <f>0</f>
        <v>0</v>
      </c>
      <c r="N130" s="17">
        <f>0</f>
        <v>0</v>
      </c>
      <c r="O130" s="100">
        <f>ROUND(C130*H130/1000,0)</f>
        <v>43</v>
      </c>
      <c r="P130" s="14"/>
      <c r="Q130" s="14"/>
      <c r="R130" s="14">
        <f>ROUND(C130*I130/1000,0)</f>
        <v>23</v>
      </c>
      <c r="S130" s="14"/>
      <c r="T130" s="18"/>
      <c r="U130" s="13"/>
      <c r="V130" s="17"/>
      <c r="W130" s="955"/>
      <c r="X130" s="956"/>
      <c r="Y130" s="957"/>
      <c r="Z130" s="13">
        <f t="shared" si="73"/>
        <v>4869</v>
      </c>
      <c r="AA130" s="15"/>
      <c r="AB130" s="23"/>
      <c r="AC130" s="17"/>
      <c r="AD130" s="17"/>
      <c r="AE130" s="13">
        <f t="shared" si="74"/>
        <v>4085</v>
      </c>
      <c r="AF130" s="13">
        <f t="shared" si="72"/>
        <v>0</v>
      </c>
      <c r="AG130" s="14"/>
      <c r="AH130" s="13">
        <f t="shared" si="75"/>
        <v>2185</v>
      </c>
      <c r="AI130" s="14"/>
      <c r="AJ130" s="16"/>
      <c r="AK130" s="100"/>
      <c r="AL130" s="14"/>
      <c r="AM130" s="190" t="e">
        <f>W128+AE130</f>
        <v>#VALUE!</v>
      </c>
      <c r="AN130" s="14">
        <f t="shared" si="76"/>
        <v>0</v>
      </c>
      <c r="AO130" s="14"/>
      <c r="AP130" s="14">
        <f>Z130+AH130</f>
        <v>7054</v>
      </c>
      <c r="AQ130" s="14"/>
      <c r="AR130" s="1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  <c r="CS130" s="56"/>
      <c r="CT130" s="56"/>
      <c r="CU130" s="56"/>
      <c r="CV130" s="56"/>
      <c r="CW130" s="56"/>
      <c r="CX130" s="56"/>
      <c r="CY130" s="56"/>
      <c r="CZ130" s="56"/>
      <c r="DA130" s="56"/>
      <c r="DB130" s="56"/>
      <c r="DC130" s="56"/>
      <c r="DD130" s="56"/>
      <c r="DE130" s="56"/>
      <c r="DF130" s="56"/>
      <c r="DG130" s="56"/>
      <c r="DH130" s="56"/>
      <c r="DI130" s="56"/>
      <c r="DJ130" s="56"/>
      <c r="DK130" s="56"/>
      <c r="DL130" s="56"/>
      <c r="DM130" s="56"/>
      <c r="DN130" s="56"/>
      <c r="DO130" s="56"/>
      <c r="DP130" s="56"/>
      <c r="DQ130" s="56"/>
      <c r="DR130" s="56"/>
      <c r="DS130" s="56"/>
      <c r="DT130" s="56"/>
      <c r="DU130" s="56"/>
      <c r="DV130" s="56"/>
      <c r="DW130" s="56"/>
      <c r="DX130" s="56"/>
      <c r="DY130" s="56"/>
      <c r="DZ130" s="56"/>
      <c r="EA130" s="56"/>
      <c r="EB130" s="56"/>
      <c r="EC130" s="56"/>
      <c r="ED130" s="56"/>
      <c r="EE130" s="56"/>
      <c r="EF130" s="56"/>
      <c r="EG130" s="56"/>
      <c r="EH130" s="56"/>
      <c r="EI130" s="56"/>
      <c r="EJ130" s="56"/>
      <c r="EK130" s="56"/>
    </row>
    <row r="131" spans="1:141" ht="24" customHeight="1" x14ac:dyDescent="0.7">
      <c r="A131" s="65" t="s">
        <v>114</v>
      </c>
      <c r="B131" s="20">
        <v>128</v>
      </c>
      <c r="C131" s="72">
        <v>2825</v>
      </c>
      <c r="D131" s="17">
        <v>0</v>
      </c>
      <c r="E131" s="10">
        <v>1</v>
      </c>
      <c r="F131" s="14">
        <v>1</v>
      </c>
      <c r="G131" s="13"/>
      <c r="H131" s="14">
        <v>15</v>
      </c>
      <c r="I131" s="23">
        <v>8</v>
      </c>
      <c r="J131" s="13">
        <v>1.1000000000000001</v>
      </c>
      <c r="K131" s="14">
        <v>2</v>
      </c>
      <c r="L131" s="15">
        <v>1.7</v>
      </c>
      <c r="M131" s="13">
        <f>0</f>
        <v>0</v>
      </c>
      <c r="N131" s="17">
        <f>0</f>
        <v>0</v>
      </c>
      <c r="O131" s="100">
        <f>ROUND(C131*H131/1000,0)</f>
        <v>42</v>
      </c>
      <c r="P131" s="14"/>
      <c r="Q131" s="14"/>
      <c r="R131" s="14">
        <f>ROUND(C131*I131/1000,0)</f>
        <v>23</v>
      </c>
      <c r="S131" s="14"/>
      <c r="T131" s="18"/>
      <c r="U131" s="13"/>
      <c r="V131" s="17"/>
      <c r="W131" s="955"/>
      <c r="X131" s="956"/>
      <c r="Y131" s="957"/>
      <c r="Z131" s="13">
        <f t="shared" si="73"/>
        <v>4803</v>
      </c>
      <c r="AA131" s="15"/>
      <c r="AB131" s="23"/>
      <c r="AC131" s="17"/>
      <c r="AD131" s="17"/>
      <c r="AE131" s="13">
        <f t="shared" si="74"/>
        <v>3990</v>
      </c>
      <c r="AF131" s="13">
        <f t="shared" si="72"/>
        <v>0</v>
      </c>
      <c r="AG131" s="14"/>
      <c r="AH131" s="13">
        <f t="shared" si="75"/>
        <v>2185</v>
      </c>
      <c r="AI131" s="14"/>
      <c r="AJ131" s="16"/>
      <c r="AK131" s="100"/>
      <c r="AL131" s="14"/>
      <c r="AM131" s="190" t="e">
        <f>W128+AE131</f>
        <v>#VALUE!</v>
      </c>
      <c r="AN131" s="14">
        <f t="shared" si="76"/>
        <v>0</v>
      </c>
      <c r="AO131" s="14"/>
      <c r="AP131" s="14">
        <f t="shared" ref="AP131:AP132" si="77">Z131+AH131</f>
        <v>6988</v>
      </c>
      <c r="AQ131" s="14"/>
      <c r="AR131" s="1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  <c r="BV131" s="56"/>
      <c r="BW131" s="56"/>
      <c r="BX131" s="56"/>
      <c r="BY131" s="56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  <c r="CJ131" s="56"/>
      <c r="CK131" s="56"/>
      <c r="CL131" s="56"/>
      <c r="CM131" s="56"/>
      <c r="CN131" s="56"/>
      <c r="CO131" s="56"/>
      <c r="CP131" s="56"/>
      <c r="CQ131" s="56"/>
      <c r="CR131" s="56"/>
      <c r="CS131" s="56"/>
      <c r="CT131" s="56"/>
      <c r="CU131" s="56"/>
      <c r="CV131" s="56"/>
      <c r="CW131" s="56"/>
      <c r="CX131" s="56"/>
      <c r="CY131" s="56"/>
      <c r="CZ131" s="56"/>
      <c r="DA131" s="56"/>
      <c r="DB131" s="56"/>
      <c r="DC131" s="56"/>
      <c r="DD131" s="56"/>
      <c r="DE131" s="56"/>
      <c r="DF131" s="56"/>
      <c r="DG131" s="56"/>
      <c r="DH131" s="56"/>
      <c r="DI131" s="56"/>
      <c r="DJ131" s="56"/>
      <c r="DK131" s="56"/>
      <c r="DL131" s="56"/>
      <c r="DM131" s="56"/>
      <c r="DN131" s="56"/>
      <c r="DO131" s="56"/>
      <c r="DP131" s="56"/>
      <c r="DQ131" s="56"/>
      <c r="DR131" s="56"/>
      <c r="DS131" s="56"/>
      <c r="DT131" s="56"/>
      <c r="DU131" s="56"/>
      <c r="DV131" s="56"/>
      <c r="DW131" s="56"/>
      <c r="DX131" s="56"/>
      <c r="DY131" s="56"/>
      <c r="DZ131" s="56"/>
      <c r="EA131" s="56"/>
      <c r="EB131" s="56"/>
      <c r="EC131" s="56"/>
      <c r="ED131" s="56"/>
      <c r="EE131" s="56"/>
      <c r="EF131" s="56"/>
      <c r="EG131" s="56"/>
      <c r="EH131" s="56"/>
      <c r="EI131" s="56"/>
      <c r="EJ131" s="56"/>
      <c r="EK131" s="56"/>
    </row>
    <row r="132" spans="1:141" ht="24.75" customHeight="1" thickBot="1" x14ac:dyDescent="0.75">
      <c r="A132" s="65" t="s">
        <v>115</v>
      </c>
      <c r="B132" s="73">
        <v>129</v>
      </c>
      <c r="C132" s="74">
        <v>2843</v>
      </c>
      <c r="D132" s="31">
        <v>0</v>
      </c>
      <c r="E132" s="10">
        <v>1</v>
      </c>
      <c r="F132" s="28">
        <v>1</v>
      </c>
      <c r="G132" s="27"/>
      <c r="H132" s="28">
        <v>15</v>
      </c>
      <c r="I132" s="29">
        <v>8</v>
      </c>
      <c r="J132" s="27">
        <v>1.1000000000000001</v>
      </c>
      <c r="K132" s="28">
        <v>2</v>
      </c>
      <c r="L132" s="30">
        <v>1.7</v>
      </c>
      <c r="M132" s="13">
        <f>0</f>
        <v>0</v>
      </c>
      <c r="N132" s="17">
        <f>0</f>
        <v>0</v>
      </c>
      <c r="O132" s="100">
        <f>ROUND(C132*H132/1000,0)</f>
        <v>43</v>
      </c>
      <c r="P132" s="14"/>
      <c r="Q132" s="14"/>
      <c r="R132" s="14">
        <f>ROUND(C132*I132/1000,0)</f>
        <v>23</v>
      </c>
      <c r="S132" s="14"/>
      <c r="T132" s="18"/>
      <c r="U132" s="13"/>
      <c r="V132" s="17"/>
      <c r="W132" s="958"/>
      <c r="X132" s="959"/>
      <c r="Y132" s="960"/>
      <c r="Z132" s="13">
        <f t="shared" si="73"/>
        <v>4833</v>
      </c>
      <c r="AA132" s="15"/>
      <c r="AB132" s="23"/>
      <c r="AC132" s="17"/>
      <c r="AD132" s="17"/>
      <c r="AE132" s="13">
        <f t="shared" si="74"/>
        <v>4085</v>
      </c>
      <c r="AF132" s="13">
        <f t="shared" si="72"/>
        <v>0</v>
      </c>
      <c r="AG132" s="14"/>
      <c r="AH132" s="13">
        <f t="shared" si="75"/>
        <v>2185</v>
      </c>
      <c r="AI132" s="14"/>
      <c r="AJ132" s="16"/>
      <c r="AK132" s="100"/>
      <c r="AL132" s="14"/>
      <c r="AM132" s="190" t="e">
        <f>W128+AE132</f>
        <v>#VALUE!</v>
      </c>
      <c r="AN132" s="14">
        <f t="shared" si="76"/>
        <v>0</v>
      </c>
      <c r="AO132" s="14"/>
      <c r="AP132" s="14">
        <f t="shared" si="77"/>
        <v>7018</v>
      </c>
      <c r="AQ132" s="14"/>
      <c r="AR132" s="1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  <c r="BV132" s="56"/>
      <c r="BW132" s="56"/>
      <c r="BX132" s="56"/>
      <c r="BY132" s="56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6"/>
      <c r="CO132" s="56"/>
      <c r="CP132" s="56"/>
      <c r="CQ132" s="56"/>
      <c r="CR132" s="56"/>
      <c r="CS132" s="56"/>
      <c r="CT132" s="56"/>
      <c r="CU132" s="56"/>
      <c r="CV132" s="56"/>
      <c r="CW132" s="56"/>
      <c r="CX132" s="56"/>
      <c r="CY132" s="56"/>
      <c r="CZ132" s="56"/>
      <c r="DA132" s="56"/>
      <c r="DB132" s="56"/>
      <c r="DC132" s="56"/>
      <c r="DD132" s="56"/>
      <c r="DE132" s="56"/>
      <c r="DF132" s="56"/>
      <c r="DG132" s="56"/>
      <c r="DH132" s="56"/>
      <c r="DI132" s="56"/>
      <c r="DJ132" s="56"/>
      <c r="DK132" s="56"/>
      <c r="DL132" s="56"/>
      <c r="DM132" s="56"/>
      <c r="DN132" s="56"/>
      <c r="DO132" s="56"/>
      <c r="DP132" s="56"/>
      <c r="DQ132" s="56"/>
      <c r="DR132" s="56"/>
      <c r="DS132" s="56"/>
      <c r="DT132" s="56"/>
      <c r="DU132" s="56"/>
      <c r="DV132" s="56"/>
      <c r="DW132" s="56"/>
      <c r="DX132" s="56"/>
      <c r="DY132" s="56"/>
      <c r="DZ132" s="56"/>
      <c r="EA132" s="56"/>
      <c r="EB132" s="56"/>
      <c r="EC132" s="56"/>
      <c r="ED132" s="56"/>
      <c r="EE132" s="56"/>
      <c r="EF132" s="56"/>
      <c r="EG132" s="56"/>
      <c r="EH132" s="56"/>
      <c r="EI132" s="56"/>
      <c r="EJ132" s="56"/>
      <c r="EK132" s="56"/>
    </row>
    <row r="133" spans="1:141" ht="25.2" thickBot="1" x14ac:dyDescent="0.75">
      <c r="A133" s="884" t="s">
        <v>132</v>
      </c>
      <c r="B133" s="886">
        <f>SUM(B128:B132)</f>
        <v>605</v>
      </c>
      <c r="C133" s="925">
        <f>SUM(C128:C132)</f>
        <v>14369</v>
      </c>
      <c r="D133" s="888"/>
      <c r="E133" s="889"/>
      <c r="F133" s="889"/>
      <c r="G133" s="889"/>
      <c r="H133" s="889"/>
      <c r="I133" s="889"/>
      <c r="J133" s="889"/>
      <c r="K133" s="889"/>
      <c r="L133" s="890"/>
      <c r="M133" s="158">
        <f>M131+M132</f>
        <v>0</v>
      </c>
      <c r="N133" s="158">
        <f>N131</f>
        <v>0</v>
      </c>
      <c r="O133" s="160">
        <f>SUM(O128:O132)</f>
        <v>216</v>
      </c>
      <c r="P133" s="160">
        <f>SUM(P128:P132)</f>
        <v>0</v>
      </c>
      <c r="Q133" s="160">
        <f>Q130+Q131</f>
        <v>0</v>
      </c>
      <c r="R133" s="161">
        <f>SUM(R128:R132)</f>
        <v>115</v>
      </c>
      <c r="S133" s="161">
        <f>SUM(S128:S132)</f>
        <v>0</v>
      </c>
      <c r="T133" s="163">
        <f>SUM(T128:T132)</f>
        <v>0</v>
      </c>
      <c r="U133" s="158">
        <f>U131+U132</f>
        <v>0</v>
      </c>
      <c r="V133" s="188">
        <f>V131+V130+V129</f>
        <v>0</v>
      </c>
      <c r="W133" s="157">
        <f>SUM(W128:W132)</f>
        <v>0</v>
      </c>
      <c r="X133" s="157">
        <f>SUM(X128:X132)</f>
        <v>0</v>
      </c>
      <c r="Y133" s="164"/>
      <c r="Z133" s="175">
        <f>SUM(Z128:Z132)</f>
        <v>24428</v>
      </c>
      <c r="AA133" s="164"/>
      <c r="AB133" s="164"/>
      <c r="AC133" s="157">
        <f>SUM(AC131:AC132)</f>
        <v>0</v>
      </c>
      <c r="AD133" s="157">
        <f>0</f>
        <v>0</v>
      </c>
      <c r="AE133" s="166">
        <f t="shared" ref="AE133:AJ133" si="78">SUM(AE128:AE132)</f>
        <v>20520</v>
      </c>
      <c r="AF133" s="166">
        <f t="shared" si="78"/>
        <v>0</v>
      </c>
      <c r="AG133" s="166">
        <f t="shared" si="78"/>
        <v>0</v>
      </c>
      <c r="AH133" s="175">
        <f t="shared" si="78"/>
        <v>10925</v>
      </c>
      <c r="AI133" s="175">
        <f t="shared" si="78"/>
        <v>0</v>
      </c>
      <c r="AJ133" s="175">
        <f t="shared" si="78"/>
        <v>0</v>
      </c>
      <c r="AK133" s="165">
        <f>SUM(AK131:AK132)</f>
        <v>0</v>
      </c>
      <c r="AL133" s="165">
        <f>0</f>
        <v>0</v>
      </c>
      <c r="AM133" s="166" t="e">
        <f>SUM(AM128:AM132)</f>
        <v>#VALUE!</v>
      </c>
      <c r="AN133" s="166">
        <f>AN130+AN131</f>
        <v>0</v>
      </c>
      <c r="AO133" s="164"/>
      <c r="AP133" s="175">
        <f>SUM(AP128:AP132)</f>
        <v>35353</v>
      </c>
      <c r="AQ133" s="164"/>
      <c r="AR133" s="167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141" ht="27" thickBot="1" x14ac:dyDescent="0.9">
      <c r="A134" s="885"/>
      <c r="B134" s="887"/>
      <c r="C134" s="926"/>
      <c r="D134" s="891"/>
      <c r="E134" s="892"/>
      <c r="F134" s="892"/>
      <c r="G134" s="892"/>
      <c r="H134" s="892"/>
      <c r="I134" s="892"/>
      <c r="J134" s="892"/>
      <c r="K134" s="892"/>
      <c r="L134" s="893"/>
      <c r="M134" s="894">
        <f>M133+N133</f>
        <v>0</v>
      </c>
      <c r="N134" s="895">
        <f>M133+N133</f>
        <v>0</v>
      </c>
      <c r="O134" s="896">
        <f>+O133+P133+Q133</f>
        <v>216</v>
      </c>
      <c r="P134" s="897"/>
      <c r="Q134" s="898"/>
      <c r="R134" s="899">
        <f>+R133+S133+T133</f>
        <v>115</v>
      </c>
      <c r="S134" s="900"/>
      <c r="T134" s="901"/>
      <c r="U134" s="902">
        <f>U133+V133</f>
        <v>0</v>
      </c>
      <c r="V134" s="903"/>
      <c r="W134" s="897">
        <f>W133+X133+Y133</f>
        <v>0</v>
      </c>
      <c r="X134" s="897"/>
      <c r="Y134" s="898"/>
      <c r="Z134" s="1069">
        <f>Z133+AA133+AB133</f>
        <v>24428</v>
      </c>
      <c r="AA134" s="1070"/>
      <c r="AB134" s="1071"/>
      <c r="AC134" s="910">
        <f>AC133+AD133</f>
        <v>0</v>
      </c>
      <c r="AD134" s="911">
        <f t="shared" ref="AD134" si="79">ROUND(N134*960,0)</f>
        <v>0</v>
      </c>
      <c r="AE134" s="912">
        <f>AE133+AF133+AG133</f>
        <v>20520</v>
      </c>
      <c r="AF134" s="913"/>
      <c r="AG134" s="914"/>
      <c r="AH134" s="1072">
        <f>AH133+AI133+AJ133</f>
        <v>10925</v>
      </c>
      <c r="AI134" s="1073"/>
      <c r="AJ134" s="1074"/>
      <c r="AK134" s="918">
        <f>AK133+AL133</f>
        <v>0</v>
      </c>
      <c r="AL134" s="919">
        <f t="shared" ref="AL134" si="80">V134+AD134</f>
        <v>0</v>
      </c>
      <c r="AM134" s="912" t="e">
        <f>AM133+AN133+AO133</f>
        <v>#VALUE!</v>
      </c>
      <c r="AN134" s="913"/>
      <c r="AO134" s="914"/>
      <c r="AP134" s="1055">
        <f>AP133+AQ133+AR133</f>
        <v>35353</v>
      </c>
      <c r="AQ134" s="1056"/>
      <c r="AR134" s="1065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141" s="180" customFormat="1" ht="39.9" customHeight="1" thickBot="1" x14ac:dyDescent="0.75">
      <c r="A135" s="881" t="s">
        <v>117</v>
      </c>
      <c r="B135" s="882"/>
      <c r="C135" s="882"/>
      <c r="D135" s="882"/>
      <c r="E135" s="882"/>
      <c r="F135" s="882"/>
      <c r="G135" s="882"/>
      <c r="H135" s="882"/>
      <c r="I135" s="882"/>
      <c r="J135" s="882"/>
      <c r="K135" s="882"/>
      <c r="L135" s="882"/>
      <c r="M135" s="882"/>
      <c r="N135" s="882"/>
      <c r="O135" s="882"/>
      <c r="P135" s="882"/>
      <c r="Q135" s="882"/>
      <c r="R135" s="882"/>
      <c r="S135" s="882"/>
      <c r="T135" s="882"/>
      <c r="U135" s="882"/>
      <c r="V135" s="882"/>
      <c r="W135" s="882"/>
      <c r="X135" s="882"/>
      <c r="Y135" s="882"/>
      <c r="Z135" s="882"/>
      <c r="AA135" s="882"/>
      <c r="AB135" s="882"/>
      <c r="AC135" s="882"/>
      <c r="AD135" s="882"/>
      <c r="AE135" s="882"/>
      <c r="AF135" s="882"/>
      <c r="AG135" s="882"/>
      <c r="AH135" s="882"/>
      <c r="AI135" s="882"/>
      <c r="AJ135" s="882"/>
      <c r="AK135" s="882"/>
      <c r="AL135" s="882"/>
      <c r="AM135" s="882"/>
      <c r="AN135" s="882"/>
      <c r="AO135" s="882"/>
      <c r="AP135" s="882"/>
      <c r="AQ135" s="882"/>
      <c r="AR135" s="883"/>
      <c r="AS135" s="176"/>
      <c r="AT135" s="176"/>
      <c r="AU135" s="176"/>
      <c r="AV135" s="176"/>
      <c r="AW135" s="176"/>
      <c r="AX135" s="176"/>
      <c r="AY135" s="176"/>
      <c r="AZ135" s="176"/>
      <c r="BA135" s="176"/>
      <c r="BB135" s="176"/>
      <c r="BC135" s="176"/>
      <c r="BD135" s="176"/>
      <c r="BE135" s="176"/>
      <c r="BF135" s="176"/>
      <c r="BG135" s="176"/>
      <c r="BH135" s="176"/>
      <c r="BI135" s="176"/>
      <c r="BJ135" s="176"/>
      <c r="BK135" s="176"/>
      <c r="BL135" s="176"/>
      <c r="BM135" s="176"/>
      <c r="BN135" s="176"/>
      <c r="BO135" s="176"/>
      <c r="BP135" s="176"/>
      <c r="BQ135" s="176"/>
      <c r="BR135" s="176"/>
      <c r="BS135" s="176"/>
      <c r="BT135" s="176"/>
      <c r="BU135" s="176"/>
      <c r="BV135" s="176"/>
      <c r="BW135" s="176"/>
      <c r="BX135" s="176"/>
      <c r="BY135" s="176"/>
      <c r="BZ135" s="176"/>
      <c r="CA135" s="176"/>
      <c r="CB135" s="176"/>
      <c r="CC135" s="176"/>
      <c r="CD135" s="176"/>
      <c r="CE135" s="176"/>
      <c r="CF135" s="176"/>
      <c r="CG135" s="176"/>
      <c r="CH135" s="176"/>
      <c r="CI135" s="176"/>
      <c r="CJ135" s="176"/>
      <c r="CK135" s="176"/>
      <c r="CL135" s="176"/>
      <c r="CM135" s="176"/>
      <c r="CN135" s="176"/>
      <c r="CO135" s="176"/>
      <c r="CP135" s="176"/>
      <c r="CQ135" s="176"/>
      <c r="CR135" s="176"/>
      <c r="CS135" s="176"/>
      <c r="CT135" s="176"/>
      <c r="CU135" s="176"/>
      <c r="CV135" s="176"/>
      <c r="CW135" s="176"/>
      <c r="CX135" s="176"/>
      <c r="CY135" s="176"/>
      <c r="CZ135" s="176"/>
      <c r="DA135" s="176"/>
      <c r="DB135" s="176"/>
      <c r="DC135" s="176"/>
      <c r="DD135" s="176"/>
      <c r="DE135" s="176"/>
      <c r="DF135" s="176"/>
      <c r="DG135" s="176"/>
      <c r="DH135" s="176"/>
      <c r="DI135" s="176"/>
      <c r="DJ135" s="176"/>
      <c r="DK135" s="176"/>
      <c r="DL135" s="176"/>
      <c r="DM135" s="176"/>
      <c r="DN135" s="176"/>
      <c r="DO135" s="176"/>
      <c r="DP135" s="176"/>
      <c r="DQ135" s="176"/>
      <c r="DR135" s="176"/>
      <c r="DS135" s="176"/>
      <c r="DT135" s="176"/>
      <c r="DU135" s="176"/>
      <c r="DV135" s="176"/>
      <c r="DW135" s="176"/>
      <c r="DX135" s="176"/>
      <c r="DY135" s="176"/>
      <c r="DZ135" s="176"/>
      <c r="EA135" s="176"/>
      <c r="EB135" s="176"/>
      <c r="EC135" s="176"/>
      <c r="ED135" s="176"/>
      <c r="EE135" s="176"/>
      <c r="EF135" s="176"/>
      <c r="EG135" s="176"/>
      <c r="EH135" s="176"/>
      <c r="EI135" s="176"/>
      <c r="EJ135" s="176"/>
      <c r="EK135" s="176"/>
    </row>
    <row r="136" spans="1:141" s="68" customFormat="1" ht="39.9" customHeight="1" thickBot="1" x14ac:dyDescent="0.75">
      <c r="A136" s="938" t="s">
        <v>118</v>
      </c>
      <c r="B136" s="939"/>
      <c r="C136" s="939"/>
      <c r="D136" s="939"/>
      <c r="E136" s="939"/>
      <c r="F136" s="939"/>
      <c r="G136" s="939"/>
      <c r="H136" s="939"/>
      <c r="I136" s="939"/>
      <c r="J136" s="939"/>
      <c r="K136" s="939"/>
      <c r="L136" s="939"/>
      <c r="M136" s="939"/>
      <c r="N136" s="939"/>
      <c r="O136" s="939"/>
      <c r="P136" s="939"/>
      <c r="Q136" s="939"/>
      <c r="R136" s="939"/>
      <c r="S136" s="939"/>
      <c r="T136" s="939"/>
      <c r="U136" s="939"/>
      <c r="V136" s="939"/>
      <c r="W136" s="939"/>
      <c r="X136" s="939"/>
      <c r="Y136" s="939"/>
      <c r="Z136" s="939"/>
      <c r="AA136" s="939"/>
      <c r="AB136" s="939"/>
      <c r="AC136" s="939"/>
      <c r="AD136" s="939"/>
      <c r="AE136" s="939"/>
      <c r="AF136" s="939"/>
      <c r="AG136" s="939"/>
      <c r="AH136" s="939"/>
      <c r="AI136" s="939"/>
      <c r="AJ136" s="939"/>
      <c r="AK136" s="939"/>
      <c r="AL136" s="939"/>
      <c r="AM136" s="939"/>
      <c r="AN136" s="939"/>
      <c r="AO136" s="939"/>
      <c r="AP136" s="939"/>
      <c r="AQ136" s="939"/>
      <c r="AR136" s="940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69"/>
      <c r="BQ136" s="69"/>
      <c r="BR136" s="69"/>
      <c r="BS136" s="69"/>
      <c r="BT136" s="69"/>
      <c r="BU136" s="69"/>
      <c r="BV136" s="69"/>
      <c r="BW136" s="69"/>
      <c r="BX136" s="69"/>
      <c r="BY136" s="69"/>
      <c r="BZ136" s="69"/>
      <c r="CA136" s="69"/>
      <c r="CB136" s="69"/>
      <c r="CC136" s="69"/>
      <c r="CD136" s="69"/>
      <c r="CE136" s="69"/>
      <c r="CF136" s="69"/>
      <c r="CG136" s="69"/>
      <c r="CH136" s="69"/>
      <c r="CI136" s="69"/>
      <c r="CJ136" s="69"/>
      <c r="CK136" s="69"/>
      <c r="CL136" s="69"/>
      <c r="CM136" s="69"/>
      <c r="CN136" s="69"/>
      <c r="CO136" s="69"/>
      <c r="CP136" s="69"/>
      <c r="CQ136" s="69"/>
      <c r="CR136" s="69"/>
      <c r="CS136" s="69"/>
      <c r="CT136" s="69"/>
      <c r="CU136" s="69"/>
      <c r="CV136" s="69"/>
      <c r="CW136" s="69"/>
      <c r="CX136" s="69"/>
      <c r="CY136" s="69"/>
      <c r="CZ136" s="69"/>
      <c r="DA136" s="69"/>
      <c r="DB136" s="69"/>
      <c r="DC136" s="69"/>
      <c r="DD136" s="69"/>
      <c r="DE136" s="69"/>
      <c r="DF136" s="69"/>
      <c r="DG136" s="69"/>
      <c r="DH136" s="69"/>
      <c r="DI136" s="69"/>
      <c r="DJ136" s="69"/>
      <c r="DK136" s="69"/>
      <c r="DL136" s="69"/>
      <c r="DM136" s="69"/>
      <c r="DN136" s="69"/>
      <c r="DO136" s="69"/>
      <c r="DP136" s="69"/>
      <c r="DQ136" s="69"/>
      <c r="DR136" s="69"/>
      <c r="DS136" s="69"/>
      <c r="DT136" s="69"/>
      <c r="DU136" s="69"/>
      <c r="DV136" s="69"/>
      <c r="DW136" s="69"/>
      <c r="DX136" s="69"/>
      <c r="DY136" s="69"/>
      <c r="DZ136" s="69"/>
      <c r="EA136" s="69"/>
      <c r="EB136" s="69"/>
      <c r="EC136" s="69"/>
      <c r="ED136" s="69"/>
      <c r="EE136" s="69"/>
      <c r="EF136" s="69"/>
      <c r="EG136" s="69"/>
      <c r="EH136" s="69"/>
      <c r="EI136" s="69"/>
      <c r="EJ136" s="69"/>
      <c r="EK136" s="69"/>
    </row>
    <row r="137" spans="1:141" s="206" customFormat="1" x14ac:dyDescent="0.7">
      <c r="A137" s="191" t="s">
        <v>119</v>
      </c>
      <c r="B137" s="92">
        <v>133</v>
      </c>
      <c r="C137" s="93">
        <v>3333</v>
      </c>
      <c r="D137" s="192">
        <v>1</v>
      </c>
      <c r="E137" s="193">
        <v>1</v>
      </c>
      <c r="F137" s="193">
        <f>0</f>
        <v>0</v>
      </c>
      <c r="G137" s="194">
        <v>5</v>
      </c>
      <c r="H137" s="193">
        <v>15</v>
      </c>
      <c r="I137" s="195">
        <f>0</f>
        <v>0</v>
      </c>
      <c r="J137" s="194">
        <v>1.1000000000000001</v>
      </c>
      <c r="K137" s="193">
        <v>2</v>
      </c>
      <c r="L137" s="196">
        <v>1.7</v>
      </c>
      <c r="M137" s="197">
        <f>ROUND(C137*G137/1000,0)</f>
        <v>17</v>
      </c>
      <c r="N137" s="198">
        <f>0</f>
        <v>0</v>
      </c>
      <c r="O137" s="199">
        <f>ROUND(C137*H137/1000,0)</f>
        <v>50</v>
      </c>
      <c r="P137" s="200">
        <f>0</f>
        <v>0</v>
      </c>
      <c r="Q137" s="200"/>
      <c r="R137" s="200">
        <f>ROUND(C137*I137/1000,0)</f>
        <v>0</v>
      </c>
      <c r="S137" s="200"/>
      <c r="T137" s="201"/>
      <c r="U137" s="197">
        <f>ROUND(C137*J137,0)</f>
        <v>3666</v>
      </c>
      <c r="V137" s="198"/>
      <c r="W137" s="929" t="s">
        <v>116</v>
      </c>
      <c r="X137" s="953"/>
      <c r="Y137" s="954"/>
      <c r="Z137" s="197">
        <f>0</f>
        <v>0</v>
      </c>
      <c r="AA137" s="202"/>
      <c r="AB137" s="203"/>
      <c r="AC137" s="198">
        <f>ROUND(M137*95,0)</f>
        <v>1615</v>
      </c>
      <c r="AD137" s="198"/>
      <c r="AE137" s="197">
        <f>ROUND(O137*95,0)</f>
        <v>4750</v>
      </c>
      <c r="AF137" s="197">
        <f t="shared" ref="AF137:AF141" si="81">ROUND(P137*960,0)</f>
        <v>0</v>
      </c>
      <c r="AG137" s="200"/>
      <c r="AH137" s="197">
        <f>ROUND(R137*960,0)</f>
        <v>0</v>
      </c>
      <c r="AI137" s="200"/>
      <c r="AJ137" s="204"/>
      <c r="AK137" s="199"/>
      <c r="AL137" s="200"/>
      <c r="AM137" s="207" t="e">
        <f>W137+AE137</f>
        <v>#VALUE!</v>
      </c>
      <c r="AN137" s="200">
        <f t="shared" ref="AN137:AN141" si="82">X137+AF137</f>
        <v>0</v>
      </c>
      <c r="AO137" s="200"/>
      <c r="AP137" s="200">
        <f t="shared" ref="AP137:AP141" si="83">Z137+AH137</f>
        <v>0</v>
      </c>
      <c r="AQ137" s="200"/>
      <c r="AR137" s="204"/>
      <c r="AS137" s="205"/>
      <c r="AT137" s="205"/>
      <c r="AU137" s="205"/>
      <c r="AV137" s="205"/>
      <c r="AW137" s="205"/>
      <c r="AX137" s="205"/>
      <c r="AY137" s="205"/>
      <c r="AZ137" s="205"/>
      <c r="BA137" s="205"/>
      <c r="BB137" s="205"/>
      <c r="BC137" s="205"/>
      <c r="BD137" s="205"/>
      <c r="BE137" s="205"/>
      <c r="BF137" s="205"/>
      <c r="BG137" s="205"/>
      <c r="BH137" s="205"/>
      <c r="BI137" s="205"/>
      <c r="BJ137" s="205"/>
      <c r="BK137" s="205"/>
      <c r="BL137" s="205"/>
      <c r="BM137" s="205"/>
      <c r="BN137" s="205"/>
      <c r="BO137" s="205"/>
      <c r="BP137" s="205"/>
      <c r="BQ137" s="205"/>
      <c r="BR137" s="205"/>
      <c r="BS137" s="205"/>
      <c r="BT137" s="205"/>
      <c r="BU137" s="205"/>
      <c r="BV137" s="205"/>
      <c r="BW137" s="205"/>
      <c r="BX137" s="205"/>
      <c r="BY137" s="205"/>
      <c r="BZ137" s="205"/>
      <c r="CA137" s="205"/>
      <c r="CB137" s="205"/>
      <c r="CC137" s="205"/>
      <c r="CD137" s="205"/>
      <c r="CE137" s="205"/>
      <c r="CF137" s="205"/>
      <c r="CG137" s="205"/>
      <c r="CH137" s="205"/>
      <c r="CI137" s="205"/>
      <c r="CJ137" s="205"/>
      <c r="CK137" s="205"/>
      <c r="CL137" s="205"/>
      <c r="CM137" s="205"/>
      <c r="CN137" s="205"/>
      <c r="CO137" s="205"/>
      <c r="CP137" s="205"/>
      <c r="CQ137" s="205"/>
      <c r="CR137" s="205"/>
      <c r="CS137" s="205"/>
      <c r="CT137" s="205"/>
      <c r="CU137" s="205"/>
      <c r="CV137" s="205"/>
      <c r="CW137" s="205"/>
      <c r="CX137" s="205"/>
      <c r="CY137" s="205"/>
      <c r="CZ137" s="205"/>
      <c r="DA137" s="205"/>
      <c r="DB137" s="205"/>
      <c r="DC137" s="205"/>
      <c r="DD137" s="205"/>
      <c r="DE137" s="205"/>
      <c r="DF137" s="205"/>
      <c r="DG137" s="205"/>
      <c r="DH137" s="205"/>
      <c r="DI137" s="205"/>
      <c r="DJ137" s="205"/>
      <c r="DK137" s="205"/>
      <c r="DL137" s="205"/>
      <c r="DM137" s="205"/>
      <c r="DN137" s="205"/>
      <c r="DO137" s="205"/>
      <c r="DP137" s="205"/>
      <c r="DQ137" s="205"/>
      <c r="DR137" s="205"/>
      <c r="DS137" s="205"/>
      <c r="DT137" s="205"/>
      <c r="DU137" s="205"/>
      <c r="DV137" s="205"/>
      <c r="DW137" s="205"/>
      <c r="DX137" s="205"/>
      <c r="DY137" s="205"/>
      <c r="DZ137" s="205"/>
      <c r="EA137" s="205"/>
      <c r="EB137" s="205"/>
      <c r="EC137" s="205"/>
      <c r="ED137" s="205"/>
      <c r="EE137" s="205"/>
      <c r="EF137" s="205"/>
      <c r="EG137" s="205"/>
      <c r="EH137" s="205"/>
      <c r="EI137" s="205"/>
      <c r="EJ137" s="205"/>
      <c r="EK137" s="205"/>
    </row>
    <row r="138" spans="1:141" s="206" customFormat="1" x14ac:dyDescent="0.7">
      <c r="A138" s="191" t="s">
        <v>120</v>
      </c>
      <c r="B138" s="94">
        <v>101</v>
      </c>
      <c r="C138" s="95">
        <v>2525</v>
      </c>
      <c r="D138" s="198">
        <v>1</v>
      </c>
      <c r="E138" s="200">
        <v>1</v>
      </c>
      <c r="F138" s="200">
        <f>0</f>
        <v>0</v>
      </c>
      <c r="G138" s="197">
        <v>5</v>
      </c>
      <c r="H138" s="200">
        <v>15</v>
      </c>
      <c r="I138" s="203">
        <f>0</f>
        <v>0</v>
      </c>
      <c r="J138" s="197">
        <v>1.1000000000000001</v>
      </c>
      <c r="K138" s="200">
        <v>2</v>
      </c>
      <c r="L138" s="202">
        <v>1.7</v>
      </c>
      <c r="M138" s="197">
        <f t="shared" ref="M138:M141" si="84">ROUND(C138*G138/1000,0)</f>
        <v>13</v>
      </c>
      <c r="N138" s="198">
        <f>0</f>
        <v>0</v>
      </c>
      <c r="O138" s="199">
        <f>ROUND(C138*H138/1000,0)</f>
        <v>38</v>
      </c>
      <c r="P138" s="200">
        <f>0</f>
        <v>0</v>
      </c>
      <c r="Q138" s="200"/>
      <c r="R138" s="200">
        <f>ROUND(C138*I138/1000,0)</f>
        <v>0</v>
      </c>
      <c r="S138" s="200"/>
      <c r="T138" s="201"/>
      <c r="U138" s="197">
        <f t="shared" ref="U138:U141" si="85">ROUND(C138*J138,0)</f>
        <v>2778</v>
      </c>
      <c r="V138" s="198"/>
      <c r="W138" s="955"/>
      <c r="X138" s="956"/>
      <c r="Y138" s="957"/>
      <c r="Z138" s="197">
        <f>0</f>
        <v>0</v>
      </c>
      <c r="AA138" s="202"/>
      <c r="AB138" s="203"/>
      <c r="AC138" s="198">
        <f t="shared" ref="AC138:AC140" si="86">ROUND(M138*95,0)</f>
        <v>1235</v>
      </c>
      <c r="AD138" s="198"/>
      <c r="AE138" s="197">
        <f t="shared" ref="AE138:AE141" si="87">ROUND(O138*95,0)</f>
        <v>3610</v>
      </c>
      <c r="AF138" s="197">
        <f t="shared" si="81"/>
        <v>0</v>
      </c>
      <c r="AG138" s="200"/>
      <c r="AH138" s="197">
        <f t="shared" ref="AH138:AH141" si="88">ROUND(R138*960,0)</f>
        <v>0</v>
      </c>
      <c r="AI138" s="200"/>
      <c r="AJ138" s="204"/>
      <c r="AK138" s="199"/>
      <c r="AL138" s="200"/>
      <c r="AM138" s="207" t="e">
        <f>W137+AE138</f>
        <v>#VALUE!</v>
      </c>
      <c r="AN138" s="200">
        <f t="shared" si="82"/>
        <v>0</v>
      </c>
      <c r="AO138" s="200"/>
      <c r="AP138" s="200">
        <f t="shared" si="83"/>
        <v>0</v>
      </c>
      <c r="AQ138" s="200"/>
      <c r="AR138" s="204"/>
      <c r="AS138" s="205"/>
      <c r="AT138" s="205"/>
      <c r="AU138" s="205"/>
      <c r="AV138" s="205"/>
      <c r="AW138" s="205"/>
      <c r="AX138" s="205"/>
      <c r="AY138" s="205"/>
      <c r="AZ138" s="205"/>
      <c r="BA138" s="205"/>
      <c r="BB138" s="205"/>
      <c r="BC138" s="205"/>
      <c r="BD138" s="205"/>
      <c r="BE138" s="205"/>
      <c r="BF138" s="205"/>
      <c r="BG138" s="205"/>
      <c r="BH138" s="205"/>
      <c r="BI138" s="205"/>
      <c r="BJ138" s="205"/>
      <c r="BK138" s="205"/>
      <c r="BL138" s="205"/>
      <c r="BM138" s="205"/>
      <c r="BN138" s="205"/>
      <c r="BO138" s="205"/>
      <c r="BP138" s="205"/>
      <c r="BQ138" s="205"/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  <c r="CC138" s="205"/>
      <c r="CD138" s="205"/>
      <c r="CE138" s="205"/>
      <c r="CF138" s="205"/>
      <c r="CG138" s="205"/>
      <c r="CH138" s="205"/>
      <c r="CI138" s="205"/>
      <c r="CJ138" s="205"/>
      <c r="CK138" s="205"/>
      <c r="CL138" s="205"/>
      <c r="CM138" s="205"/>
      <c r="CN138" s="205"/>
      <c r="CO138" s="205"/>
      <c r="CP138" s="205"/>
      <c r="CQ138" s="205"/>
      <c r="CR138" s="205"/>
      <c r="CS138" s="205"/>
      <c r="CT138" s="205"/>
      <c r="CU138" s="205"/>
      <c r="CV138" s="205"/>
      <c r="CW138" s="205"/>
      <c r="CX138" s="205"/>
      <c r="CY138" s="205"/>
      <c r="CZ138" s="205"/>
      <c r="DA138" s="205"/>
      <c r="DB138" s="205"/>
      <c r="DC138" s="205"/>
      <c r="DD138" s="205"/>
      <c r="DE138" s="205"/>
      <c r="DF138" s="205"/>
      <c r="DG138" s="205"/>
      <c r="DH138" s="205"/>
      <c r="DI138" s="205"/>
      <c r="DJ138" s="205"/>
      <c r="DK138" s="205"/>
      <c r="DL138" s="205"/>
      <c r="DM138" s="205"/>
      <c r="DN138" s="205"/>
      <c r="DO138" s="205"/>
      <c r="DP138" s="205"/>
      <c r="DQ138" s="205"/>
      <c r="DR138" s="205"/>
      <c r="DS138" s="205"/>
      <c r="DT138" s="205"/>
      <c r="DU138" s="205"/>
      <c r="DV138" s="205"/>
      <c r="DW138" s="205"/>
      <c r="DX138" s="205"/>
      <c r="DY138" s="205"/>
      <c r="DZ138" s="205"/>
      <c r="EA138" s="205"/>
      <c r="EB138" s="205"/>
      <c r="EC138" s="205"/>
      <c r="ED138" s="205"/>
      <c r="EE138" s="205"/>
      <c r="EF138" s="205"/>
      <c r="EG138" s="205"/>
      <c r="EH138" s="205"/>
      <c r="EI138" s="205"/>
      <c r="EJ138" s="205"/>
      <c r="EK138" s="205"/>
    </row>
    <row r="139" spans="1:141" s="206" customFormat="1" x14ac:dyDescent="0.7">
      <c r="A139" s="191" t="s">
        <v>121</v>
      </c>
      <c r="B139" s="94">
        <v>116</v>
      </c>
      <c r="C139" s="95">
        <v>2888</v>
      </c>
      <c r="D139" s="198">
        <v>1</v>
      </c>
      <c r="E139" s="200">
        <v>1</v>
      </c>
      <c r="F139" s="200">
        <f>0</f>
        <v>0</v>
      </c>
      <c r="G139" s="197">
        <v>5</v>
      </c>
      <c r="H139" s="200">
        <v>15</v>
      </c>
      <c r="I139" s="203">
        <f>0</f>
        <v>0</v>
      </c>
      <c r="J139" s="197">
        <v>1.1000000000000001</v>
      </c>
      <c r="K139" s="200">
        <v>2</v>
      </c>
      <c r="L139" s="202">
        <v>1.7</v>
      </c>
      <c r="M139" s="197">
        <f t="shared" si="84"/>
        <v>14</v>
      </c>
      <c r="N139" s="198">
        <f>0</f>
        <v>0</v>
      </c>
      <c r="O139" s="199">
        <f>ROUND(C139*H139/1000,0)</f>
        <v>43</v>
      </c>
      <c r="P139" s="200">
        <f>0</f>
        <v>0</v>
      </c>
      <c r="Q139" s="200"/>
      <c r="R139" s="200">
        <f>ROUND(C139*I139/1000,0)</f>
        <v>0</v>
      </c>
      <c r="S139" s="200"/>
      <c r="T139" s="201"/>
      <c r="U139" s="197">
        <f t="shared" si="85"/>
        <v>3177</v>
      </c>
      <c r="V139" s="198"/>
      <c r="W139" s="955"/>
      <c r="X139" s="956"/>
      <c r="Y139" s="957"/>
      <c r="Z139" s="197">
        <f>0</f>
        <v>0</v>
      </c>
      <c r="AA139" s="202"/>
      <c r="AB139" s="203"/>
      <c r="AC139" s="198">
        <f t="shared" si="86"/>
        <v>1330</v>
      </c>
      <c r="AD139" s="198"/>
      <c r="AE139" s="197">
        <f t="shared" si="87"/>
        <v>4085</v>
      </c>
      <c r="AF139" s="197">
        <f t="shared" si="81"/>
        <v>0</v>
      </c>
      <c r="AG139" s="200"/>
      <c r="AH139" s="197">
        <f t="shared" si="88"/>
        <v>0</v>
      </c>
      <c r="AI139" s="200"/>
      <c r="AJ139" s="204"/>
      <c r="AK139" s="199"/>
      <c r="AL139" s="200"/>
      <c r="AM139" s="207" t="e">
        <f>W137+AE139</f>
        <v>#VALUE!</v>
      </c>
      <c r="AN139" s="200">
        <f t="shared" si="82"/>
        <v>0</v>
      </c>
      <c r="AO139" s="200"/>
      <c r="AP139" s="200">
        <f t="shared" si="83"/>
        <v>0</v>
      </c>
      <c r="AQ139" s="200"/>
      <c r="AR139" s="204"/>
      <c r="AS139" s="205"/>
      <c r="AT139" s="205"/>
      <c r="AU139" s="205"/>
      <c r="AV139" s="205"/>
      <c r="AW139" s="205"/>
      <c r="AX139" s="205"/>
      <c r="AY139" s="205"/>
      <c r="AZ139" s="205"/>
      <c r="BA139" s="205"/>
      <c r="BB139" s="205"/>
      <c r="BC139" s="205"/>
      <c r="BD139" s="205"/>
      <c r="BE139" s="205"/>
      <c r="BF139" s="205"/>
      <c r="BG139" s="205"/>
      <c r="BH139" s="205"/>
      <c r="BI139" s="205"/>
      <c r="BJ139" s="205"/>
      <c r="BK139" s="205"/>
      <c r="BL139" s="205"/>
      <c r="BM139" s="205"/>
      <c r="BN139" s="205"/>
      <c r="BO139" s="205"/>
      <c r="BP139" s="205"/>
      <c r="BQ139" s="205"/>
      <c r="BR139" s="205"/>
      <c r="BS139" s="205"/>
      <c r="BT139" s="205"/>
      <c r="BU139" s="205"/>
      <c r="BV139" s="205"/>
      <c r="BW139" s="205"/>
      <c r="BX139" s="205"/>
      <c r="BY139" s="205"/>
      <c r="BZ139" s="205"/>
      <c r="CA139" s="205"/>
      <c r="CB139" s="205"/>
      <c r="CC139" s="205"/>
      <c r="CD139" s="205"/>
      <c r="CE139" s="205"/>
      <c r="CF139" s="205"/>
      <c r="CG139" s="205"/>
      <c r="CH139" s="205"/>
      <c r="CI139" s="205"/>
      <c r="CJ139" s="205"/>
      <c r="CK139" s="205"/>
      <c r="CL139" s="205"/>
      <c r="CM139" s="205"/>
      <c r="CN139" s="205"/>
      <c r="CO139" s="205"/>
      <c r="CP139" s="205"/>
      <c r="CQ139" s="205"/>
      <c r="CR139" s="205"/>
      <c r="CS139" s="205"/>
      <c r="CT139" s="205"/>
      <c r="CU139" s="205"/>
      <c r="CV139" s="205"/>
      <c r="CW139" s="205"/>
      <c r="CX139" s="205"/>
      <c r="CY139" s="205"/>
      <c r="CZ139" s="205"/>
      <c r="DA139" s="205"/>
      <c r="DB139" s="205"/>
      <c r="DC139" s="205"/>
      <c r="DD139" s="205"/>
      <c r="DE139" s="205"/>
      <c r="DF139" s="205"/>
      <c r="DG139" s="205"/>
      <c r="DH139" s="205"/>
      <c r="DI139" s="205"/>
      <c r="DJ139" s="205"/>
      <c r="DK139" s="205"/>
      <c r="DL139" s="205"/>
      <c r="DM139" s="205"/>
      <c r="DN139" s="205"/>
      <c r="DO139" s="205"/>
      <c r="DP139" s="205"/>
      <c r="DQ139" s="205"/>
      <c r="DR139" s="205"/>
      <c r="DS139" s="205"/>
      <c r="DT139" s="205"/>
      <c r="DU139" s="205"/>
      <c r="DV139" s="205"/>
      <c r="DW139" s="205"/>
      <c r="DX139" s="205"/>
      <c r="DY139" s="205"/>
      <c r="DZ139" s="205"/>
      <c r="EA139" s="205"/>
      <c r="EB139" s="205"/>
      <c r="EC139" s="205"/>
      <c r="ED139" s="205"/>
      <c r="EE139" s="205"/>
      <c r="EF139" s="205"/>
      <c r="EG139" s="205"/>
      <c r="EH139" s="205"/>
      <c r="EI139" s="205"/>
      <c r="EJ139" s="205"/>
      <c r="EK139" s="205"/>
    </row>
    <row r="140" spans="1:141" s="206" customFormat="1" x14ac:dyDescent="0.7">
      <c r="A140" s="191" t="s">
        <v>122</v>
      </c>
      <c r="B140" s="94">
        <v>76</v>
      </c>
      <c r="C140" s="95">
        <v>1905</v>
      </c>
      <c r="D140" s="198">
        <v>1</v>
      </c>
      <c r="E140" s="200">
        <v>1</v>
      </c>
      <c r="F140" s="200">
        <f>0</f>
        <v>0</v>
      </c>
      <c r="G140" s="197">
        <v>5</v>
      </c>
      <c r="H140" s="200">
        <v>15</v>
      </c>
      <c r="I140" s="203">
        <f>0</f>
        <v>0</v>
      </c>
      <c r="J140" s="197">
        <v>1.1000000000000001</v>
      </c>
      <c r="K140" s="200">
        <v>2</v>
      </c>
      <c r="L140" s="202">
        <v>1.7</v>
      </c>
      <c r="M140" s="197">
        <f t="shared" si="84"/>
        <v>10</v>
      </c>
      <c r="N140" s="198">
        <f>0</f>
        <v>0</v>
      </c>
      <c r="O140" s="199">
        <f>ROUND(C140*H140/1000,0)</f>
        <v>29</v>
      </c>
      <c r="P140" s="200">
        <f>0</f>
        <v>0</v>
      </c>
      <c r="Q140" s="200"/>
      <c r="R140" s="200">
        <f>ROUND(C140*I140/1000,0)</f>
        <v>0</v>
      </c>
      <c r="S140" s="200"/>
      <c r="T140" s="201"/>
      <c r="U140" s="197">
        <f t="shared" si="85"/>
        <v>2096</v>
      </c>
      <c r="V140" s="198"/>
      <c r="W140" s="955"/>
      <c r="X140" s="956"/>
      <c r="Y140" s="957"/>
      <c r="Z140" s="197">
        <f>0</f>
        <v>0</v>
      </c>
      <c r="AA140" s="202"/>
      <c r="AB140" s="203"/>
      <c r="AC140" s="198">
        <f t="shared" si="86"/>
        <v>950</v>
      </c>
      <c r="AD140" s="198"/>
      <c r="AE140" s="197">
        <f t="shared" si="87"/>
        <v>2755</v>
      </c>
      <c r="AF140" s="197">
        <f t="shared" si="81"/>
        <v>0</v>
      </c>
      <c r="AG140" s="200"/>
      <c r="AH140" s="197">
        <f t="shared" si="88"/>
        <v>0</v>
      </c>
      <c r="AI140" s="200"/>
      <c r="AJ140" s="204"/>
      <c r="AK140" s="199"/>
      <c r="AL140" s="200"/>
      <c r="AM140" s="207" t="e">
        <f>W137+AE140</f>
        <v>#VALUE!</v>
      </c>
      <c r="AN140" s="200">
        <f t="shared" si="82"/>
        <v>0</v>
      </c>
      <c r="AO140" s="200"/>
      <c r="AP140" s="200">
        <f t="shared" si="83"/>
        <v>0</v>
      </c>
      <c r="AQ140" s="200"/>
      <c r="AR140" s="204"/>
      <c r="AS140" s="205"/>
      <c r="AT140" s="205"/>
      <c r="AU140" s="205"/>
      <c r="AV140" s="205"/>
      <c r="AW140" s="205"/>
      <c r="AX140" s="205"/>
      <c r="AY140" s="205"/>
      <c r="AZ140" s="205"/>
      <c r="BA140" s="205"/>
      <c r="BB140" s="205"/>
      <c r="BC140" s="205"/>
      <c r="BD140" s="205"/>
      <c r="BE140" s="205"/>
      <c r="BF140" s="205"/>
      <c r="BG140" s="205"/>
      <c r="BH140" s="205"/>
      <c r="BI140" s="205"/>
      <c r="BJ140" s="205"/>
      <c r="BK140" s="205"/>
      <c r="BL140" s="205"/>
      <c r="BM140" s="205"/>
      <c r="BN140" s="205"/>
      <c r="BO140" s="205"/>
      <c r="BP140" s="205"/>
      <c r="BQ140" s="205"/>
      <c r="BR140" s="205"/>
      <c r="BS140" s="205"/>
      <c r="BT140" s="205"/>
      <c r="BU140" s="205"/>
      <c r="BV140" s="205"/>
      <c r="BW140" s="205"/>
      <c r="BX140" s="205"/>
      <c r="BY140" s="205"/>
      <c r="BZ140" s="205"/>
      <c r="CA140" s="205"/>
      <c r="CB140" s="205"/>
      <c r="CC140" s="205"/>
      <c r="CD140" s="205"/>
      <c r="CE140" s="205"/>
      <c r="CF140" s="205"/>
      <c r="CG140" s="205"/>
      <c r="CH140" s="205"/>
      <c r="CI140" s="205"/>
      <c r="CJ140" s="205"/>
      <c r="CK140" s="205"/>
      <c r="CL140" s="205"/>
      <c r="CM140" s="205"/>
      <c r="CN140" s="205"/>
      <c r="CO140" s="205"/>
      <c r="CP140" s="205"/>
      <c r="CQ140" s="205"/>
      <c r="CR140" s="205"/>
      <c r="CS140" s="205"/>
      <c r="CT140" s="205"/>
      <c r="CU140" s="205"/>
      <c r="CV140" s="205"/>
      <c r="CW140" s="205"/>
      <c r="CX140" s="205"/>
      <c r="CY140" s="205"/>
      <c r="CZ140" s="205"/>
      <c r="DA140" s="205"/>
      <c r="DB140" s="205"/>
      <c r="DC140" s="205"/>
      <c r="DD140" s="205"/>
      <c r="DE140" s="205"/>
      <c r="DF140" s="205"/>
      <c r="DG140" s="205"/>
      <c r="DH140" s="205"/>
      <c r="DI140" s="205"/>
      <c r="DJ140" s="205"/>
      <c r="DK140" s="205"/>
      <c r="DL140" s="205"/>
      <c r="DM140" s="205"/>
      <c r="DN140" s="205"/>
      <c r="DO140" s="205"/>
      <c r="DP140" s="205"/>
      <c r="DQ140" s="205"/>
      <c r="DR140" s="205"/>
      <c r="DS140" s="205"/>
      <c r="DT140" s="205"/>
      <c r="DU140" s="205"/>
      <c r="DV140" s="205"/>
      <c r="DW140" s="205"/>
      <c r="DX140" s="205"/>
      <c r="DY140" s="205"/>
      <c r="DZ140" s="205"/>
      <c r="EA140" s="205"/>
      <c r="EB140" s="205"/>
      <c r="EC140" s="205"/>
      <c r="ED140" s="205"/>
      <c r="EE140" s="205"/>
      <c r="EF140" s="205"/>
      <c r="EG140" s="205"/>
      <c r="EH140" s="205"/>
      <c r="EI140" s="205"/>
      <c r="EJ140" s="205"/>
      <c r="EK140" s="205"/>
    </row>
    <row r="141" spans="1:141" s="206" customFormat="1" ht="25.2" thickBot="1" x14ac:dyDescent="0.75">
      <c r="A141" s="191" t="s">
        <v>123</v>
      </c>
      <c r="B141" s="94">
        <v>92</v>
      </c>
      <c r="C141" s="95">
        <v>2291</v>
      </c>
      <c r="D141" s="198">
        <v>1</v>
      </c>
      <c r="E141" s="200">
        <v>1</v>
      </c>
      <c r="F141" s="200">
        <f>0</f>
        <v>0</v>
      </c>
      <c r="G141" s="197">
        <v>5</v>
      </c>
      <c r="H141" s="200">
        <v>15</v>
      </c>
      <c r="I141" s="203">
        <f>0</f>
        <v>0</v>
      </c>
      <c r="J141" s="197">
        <v>1.1000000000000001</v>
      </c>
      <c r="K141" s="200">
        <v>2</v>
      </c>
      <c r="L141" s="202">
        <v>1.7</v>
      </c>
      <c r="M141" s="197">
        <f t="shared" si="84"/>
        <v>11</v>
      </c>
      <c r="N141" s="198">
        <f>0</f>
        <v>0</v>
      </c>
      <c r="O141" s="199">
        <f>ROUND(C141*H141/1000,0)</f>
        <v>34</v>
      </c>
      <c r="P141" s="200">
        <f>0</f>
        <v>0</v>
      </c>
      <c r="Q141" s="200"/>
      <c r="R141" s="200">
        <f>ROUND(C141*I141/1000,0)</f>
        <v>0</v>
      </c>
      <c r="S141" s="200"/>
      <c r="T141" s="201"/>
      <c r="U141" s="197">
        <f t="shared" si="85"/>
        <v>2520</v>
      </c>
      <c r="V141" s="198"/>
      <c r="W141" s="958"/>
      <c r="X141" s="959"/>
      <c r="Y141" s="960"/>
      <c r="Z141" s="197">
        <f>0</f>
        <v>0</v>
      </c>
      <c r="AA141" s="202"/>
      <c r="AB141" s="203"/>
      <c r="AC141" s="198">
        <f>ROUND(M141*95,0)</f>
        <v>1045</v>
      </c>
      <c r="AD141" s="198"/>
      <c r="AE141" s="197">
        <f t="shared" si="87"/>
        <v>3230</v>
      </c>
      <c r="AF141" s="197">
        <f t="shared" si="81"/>
        <v>0</v>
      </c>
      <c r="AG141" s="200"/>
      <c r="AH141" s="197">
        <f t="shared" si="88"/>
        <v>0</v>
      </c>
      <c r="AI141" s="200"/>
      <c r="AJ141" s="204"/>
      <c r="AK141" s="199"/>
      <c r="AL141" s="200"/>
      <c r="AM141" s="207" t="e">
        <f>W137+AE141</f>
        <v>#VALUE!</v>
      </c>
      <c r="AN141" s="200">
        <f t="shared" si="82"/>
        <v>0</v>
      </c>
      <c r="AO141" s="200"/>
      <c r="AP141" s="200">
        <f t="shared" si="83"/>
        <v>0</v>
      </c>
      <c r="AQ141" s="200"/>
      <c r="AR141" s="204"/>
      <c r="AS141" s="205"/>
      <c r="AT141" s="205"/>
      <c r="AU141" s="205"/>
      <c r="AV141" s="205"/>
      <c r="AW141" s="205"/>
      <c r="AX141" s="205"/>
      <c r="AY141" s="205"/>
      <c r="AZ141" s="205"/>
      <c r="BA141" s="205"/>
      <c r="BB141" s="205"/>
      <c r="BC141" s="205"/>
      <c r="BD141" s="205"/>
      <c r="BE141" s="205"/>
      <c r="BF141" s="205"/>
      <c r="BG141" s="205"/>
      <c r="BH141" s="205"/>
      <c r="BI141" s="205"/>
      <c r="BJ141" s="205"/>
      <c r="BK141" s="205"/>
      <c r="BL141" s="205"/>
      <c r="BM141" s="205"/>
      <c r="BN141" s="205"/>
      <c r="BO141" s="205"/>
      <c r="BP141" s="205"/>
      <c r="BQ141" s="205"/>
      <c r="BR141" s="205"/>
      <c r="BS141" s="205"/>
      <c r="BT141" s="205"/>
      <c r="BU141" s="205"/>
      <c r="BV141" s="205"/>
      <c r="BW141" s="205"/>
      <c r="BX141" s="205"/>
      <c r="BY141" s="205"/>
      <c r="BZ141" s="205"/>
      <c r="CA141" s="205"/>
      <c r="CB141" s="205"/>
      <c r="CC141" s="205"/>
      <c r="CD141" s="205"/>
      <c r="CE141" s="205"/>
      <c r="CF141" s="205"/>
      <c r="CG141" s="205"/>
      <c r="CH141" s="205"/>
      <c r="CI141" s="205"/>
      <c r="CJ141" s="205"/>
      <c r="CK141" s="205"/>
      <c r="CL141" s="205"/>
      <c r="CM141" s="205"/>
      <c r="CN141" s="205"/>
      <c r="CO141" s="205"/>
      <c r="CP141" s="205"/>
      <c r="CQ141" s="205"/>
      <c r="CR141" s="205"/>
      <c r="CS141" s="205"/>
      <c r="CT141" s="205"/>
      <c r="CU141" s="205"/>
      <c r="CV141" s="205"/>
      <c r="CW141" s="205"/>
      <c r="CX141" s="205"/>
      <c r="CY141" s="205"/>
      <c r="CZ141" s="205"/>
      <c r="DA141" s="205"/>
      <c r="DB141" s="205"/>
      <c r="DC141" s="205"/>
      <c r="DD141" s="205"/>
      <c r="DE141" s="205"/>
      <c r="DF141" s="205"/>
      <c r="DG141" s="205"/>
      <c r="DH141" s="205"/>
      <c r="DI141" s="205"/>
      <c r="DJ141" s="205"/>
      <c r="DK141" s="205"/>
      <c r="DL141" s="205"/>
      <c r="DM141" s="205"/>
      <c r="DN141" s="205"/>
      <c r="DO141" s="205"/>
      <c r="DP141" s="205"/>
      <c r="DQ141" s="205"/>
      <c r="DR141" s="205"/>
      <c r="DS141" s="205"/>
      <c r="DT141" s="205"/>
      <c r="DU141" s="205"/>
      <c r="DV141" s="205"/>
      <c r="DW141" s="205"/>
      <c r="DX141" s="205"/>
      <c r="DY141" s="205"/>
      <c r="DZ141" s="205"/>
      <c r="EA141" s="205"/>
      <c r="EB141" s="205"/>
      <c r="EC141" s="205"/>
      <c r="ED141" s="205"/>
      <c r="EE141" s="205"/>
      <c r="EF141" s="205"/>
      <c r="EG141" s="205"/>
      <c r="EH141" s="205"/>
      <c r="EI141" s="205"/>
      <c r="EJ141" s="205"/>
      <c r="EK141" s="205"/>
    </row>
    <row r="142" spans="1:141" ht="25.2" thickBot="1" x14ac:dyDescent="0.75">
      <c r="A142" s="884" t="s">
        <v>131</v>
      </c>
      <c r="B142" s="951">
        <f>SUM(B137:B141)</f>
        <v>518</v>
      </c>
      <c r="C142" s="925">
        <f>SUM(C137:C141)</f>
        <v>12942</v>
      </c>
      <c r="D142" s="888"/>
      <c r="E142" s="889"/>
      <c r="F142" s="889"/>
      <c r="G142" s="889"/>
      <c r="H142" s="889"/>
      <c r="I142" s="889"/>
      <c r="J142" s="889"/>
      <c r="K142" s="889"/>
      <c r="L142" s="890"/>
      <c r="M142" s="158">
        <f>M140+M141+M139+M138+M137</f>
        <v>65</v>
      </c>
      <c r="N142" s="158">
        <f>N140+N141+N139+N138+N137</f>
        <v>0</v>
      </c>
      <c r="O142" s="160">
        <f>SUM(O137:O141)</f>
        <v>194</v>
      </c>
      <c r="P142" s="160">
        <f>SUM(P137:P141)</f>
        <v>0</v>
      </c>
      <c r="Q142" s="160">
        <f>Q139+Q140</f>
        <v>0</v>
      </c>
      <c r="R142" s="161">
        <f>SUM(R137:R141)</f>
        <v>0</v>
      </c>
      <c r="S142" s="161">
        <f>SUM(S137:S141)</f>
        <v>0</v>
      </c>
      <c r="T142" s="163">
        <f>SUM(T137:T141)</f>
        <v>0</v>
      </c>
      <c r="U142" s="158">
        <f>SUM(U137:U141)</f>
        <v>14237</v>
      </c>
      <c r="V142" s="188">
        <f>V140+V139+V138</f>
        <v>0</v>
      </c>
      <c r="W142" s="157">
        <f>SUM(W137:W141)</f>
        <v>0</v>
      </c>
      <c r="X142" s="157">
        <f>SUM(X137:X141)</f>
        <v>0</v>
      </c>
      <c r="Y142" s="164"/>
      <c r="Z142" s="175">
        <f>SUM(Z137:Z141)</f>
        <v>0</v>
      </c>
      <c r="AA142" s="164"/>
      <c r="AB142" s="164"/>
      <c r="AC142" s="157">
        <f>SUM(AC137:AC141)</f>
        <v>6175</v>
      </c>
      <c r="AD142" s="157">
        <f>0</f>
        <v>0</v>
      </c>
      <c r="AE142" s="166">
        <f>SUM(AE137:AE141)</f>
        <v>18430</v>
      </c>
      <c r="AF142" s="166">
        <f t="shared" ref="AF142" si="89">SUM(AF137:AF141)</f>
        <v>0</v>
      </c>
      <c r="AG142" s="166">
        <f t="shared" ref="AG142" si="90">SUM(AG137:AG141)</f>
        <v>0</v>
      </c>
      <c r="AH142" s="175">
        <f t="shared" ref="AH142" si="91">SUM(AH137:AH141)</f>
        <v>0</v>
      </c>
      <c r="AI142" s="175">
        <f t="shared" ref="AI142" si="92">SUM(AI137:AI141)</f>
        <v>0</v>
      </c>
      <c r="AJ142" s="175">
        <f t="shared" ref="AJ142" si="93">SUM(AJ137:AJ141)</f>
        <v>0</v>
      </c>
      <c r="AK142" s="165">
        <f>SUM(AK140:AK141)</f>
        <v>0</v>
      </c>
      <c r="AL142" s="165">
        <f>0</f>
        <v>0</v>
      </c>
      <c r="AM142" s="166" t="e">
        <f>SUM(AM137:AM141)</f>
        <v>#VALUE!</v>
      </c>
      <c r="AN142" s="166">
        <f>AN139+AN140</f>
        <v>0</v>
      </c>
      <c r="AO142" s="164"/>
      <c r="AP142" s="175">
        <f>SUM(AP137:AP141)</f>
        <v>0</v>
      </c>
      <c r="AQ142" s="164"/>
      <c r="AR142" s="167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141" ht="25.2" thickBot="1" x14ac:dyDescent="0.75">
      <c r="A143" s="885"/>
      <c r="B143" s="952"/>
      <c r="C143" s="926"/>
      <c r="D143" s="891"/>
      <c r="E143" s="892"/>
      <c r="F143" s="892"/>
      <c r="G143" s="892"/>
      <c r="H143" s="892"/>
      <c r="I143" s="892"/>
      <c r="J143" s="892"/>
      <c r="K143" s="892"/>
      <c r="L143" s="893"/>
      <c r="M143" s="896">
        <f>M142+N142</f>
        <v>65</v>
      </c>
      <c r="N143" s="898">
        <f>M142+N142</f>
        <v>65</v>
      </c>
      <c r="O143" s="896">
        <f>+O142+P142+Q142</f>
        <v>194</v>
      </c>
      <c r="P143" s="897"/>
      <c r="Q143" s="898"/>
      <c r="R143" s="899">
        <f>+R142+S142+T142</f>
        <v>0</v>
      </c>
      <c r="S143" s="900"/>
      <c r="T143" s="901"/>
      <c r="U143" s="949">
        <f>U142+V142</f>
        <v>14237</v>
      </c>
      <c r="V143" s="950"/>
      <c r="W143" s="897">
        <f>W142+X142+Y142</f>
        <v>0</v>
      </c>
      <c r="X143" s="897"/>
      <c r="Y143" s="898"/>
      <c r="Z143" s="907">
        <f>Z142+AA142+AB142</f>
        <v>0</v>
      </c>
      <c r="AA143" s="908"/>
      <c r="AB143" s="909"/>
      <c r="AC143" s="912">
        <f>AC142+AD142</f>
        <v>6175</v>
      </c>
      <c r="AD143" s="914">
        <f t="shared" ref="AD143" si="94">ROUND(N143*960,0)</f>
        <v>62400</v>
      </c>
      <c r="AE143" s="912">
        <f>AE142+AF142+AG142</f>
        <v>18430</v>
      </c>
      <c r="AF143" s="913"/>
      <c r="AG143" s="914"/>
      <c r="AH143" s="915">
        <f>AH142+AI142+AJ142</f>
        <v>0</v>
      </c>
      <c r="AI143" s="916"/>
      <c r="AJ143" s="917"/>
      <c r="AK143" s="918">
        <f>AK142+AL142</f>
        <v>0</v>
      </c>
      <c r="AL143" s="919">
        <f t="shared" ref="AL143" si="95">V143+AD143</f>
        <v>62400</v>
      </c>
      <c r="AM143" s="912" t="e">
        <f>AM142+AN142+AO142</f>
        <v>#VALUE!</v>
      </c>
      <c r="AN143" s="913"/>
      <c r="AO143" s="914"/>
      <c r="AP143" s="920">
        <f>AP142+AQ142+AR142</f>
        <v>0</v>
      </c>
      <c r="AQ143" s="921"/>
      <c r="AR143" s="922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141" s="180" customFormat="1" ht="39.9" customHeight="1" thickBot="1" x14ac:dyDescent="0.75">
      <c r="A144" s="881" t="s">
        <v>125</v>
      </c>
      <c r="B144" s="882"/>
      <c r="C144" s="882"/>
      <c r="D144" s="882"/>
      <c r="E144" s="882"/>
      <c r="F144" s="882"/>
      <c r="G144" s="882"/>
      <c r="H144" s="882"/>
      <c r="I144" s="882"/>
      <c r="J144" s="882"/>
      <c r="K144" s="882"/>
      <c r="L144" s="882"/>
      <c r="M144" s="882"/>
      <c r="N144" s="882"/>
      <c r="O144" s="882"/>
      <c r="P144" s="882"/>
      <c r="Q144" s="882"/>
      <c r="R144" s="882"/>
      <c r="S144" s="882"/>
      <c r="T144" s="882"/>
      <c r="U144" s="882"/>
      <c r="V144" s="882"/>
      <c r="W144" s="882"/>
      <c r="X144" s="882"/>
      <c r="Y144" s="882"/>
      <c r="Z144" s="882"/>
      <c r="AA144" s="882"/>
      <c r="AB144" s="882"/>
      <c r="AC144" s="882"/>
      <c r="AD144" s="882"/>
      <c r="AE144" s="882"/>
      <c r="AF144" s="882"/>
      <c r="AG144" s="882"/>
      <c r="AH144" s="882"/>
      <c r="AI144" s="882"/>
      <c r="AJ144" s="882"/>
      <c r="AK144" s="882"/>
      <c r="AL144" s="882"/>
      <c r="AM144" s="882"/>
      <c r="AN144" s="882"/>
      <c r="AO144" s="882"/>
      <c r="AP144" s="882"/>
      <c r="AQ144" s="882"/>
      <c r="AR144" s="883"/>
      <c r="AS144" s="176"/>
      <c r="AT144" s="176"/>
      <c r="AU144" s="176"/>
      <c r="AV144" s="176"/>
      <c r="AW144" s="176"/>
      <c r="AX144" s="176"/>
      <c r="AY144" s="176"/>
      <c r="AZ144" s="176"/>
      <c r="BA144" s="176"/>
      <c r="BB144" s="176"/>
      <c r="BC144" s="176"/>
      <c r="BD144" s="176"/>
      <c r="BE144" s="176"/>
      <c r="BF144" s="176"/>
      <c r="BG144" s="176"/>
      <c r="BH144" s="176"/>
      <c r="BI144" s="176"/>
      <c r="BJ144" s="176"/>
      <c r="BK144" s="176"/>
      <c r="BL144" s="176"/>
      <c r="BM144" s="176"/>
      <c r="BN144" s="176"/>
      <c r="BO144" s="176"/>
      <c r="BP144" s="176"/>
      <c r="BQ144" s="176"/>
      <c r="BR144" s="176"/>
      <c r="BS144" s="176"/>
      <c r="BT144" s="176"/>
      <c r="BU144" s="176"/>
      <c r="BV144" s="176"/>
      <c r="BW144" s="176"/>
      <c r="BX144" s="176"/>
      <c r="BY144" s="176"/>
      <c r="BZ144" s="176"/>
      <c r="CA144" s="176"/>
      <c r="CB144" s="176"/>
      <c r="CC144" s="176"/>
      <c r="CD144" s="176"/>
      <c r="CE144" s="176"/>
      <c r="CF144" s="176"/>
      <c r="CG144" s="176"/>
      <c r="CH144" s="176"/>
      <c r="CI144" s="176"/>
      <c r="CJ144" s="176"/>
      <c r="CK144" s="176"/>
      <c r="CL144" s="176"/>
      <c r="CM144" s="176"/>
      <c r="CN144" s="176"/>
      <c r="CO144" s="176"/>
      <c r="CP144" s="176"/>
      <c r="CQ144" s="176"/>
      <c r="CR144" s="176"/>
      <c r="CS144" s="176"/>
      <c r="CT144" s="176"/>
      <c r="CU144" s="176"/>
      <c r="CV144" s="176"/>
      <c r="CW144" s="176"/>
      <c r="CX144" s="176"/>
      <c r="CY144" s="176"/>
      <c r="CZ144" s="176"/>
      <c r="DA144" s="176"/>
      <c r="DB144" s="176"/>
      <c r="DC144" s="176"/>
      <c r="DD144" s="176"/>
      <c r="DE144" s="176"/>
      <c r="DF144" s="176"/>
      <c r="DG144" s="176"/>
      <c r="DH144" s="176"/>
      <c r="DI144" s="176"/>
      <c r="DJ144" s="176"/>
      <c r="DK144" s="176"/>
      <c r="DL144" s="176"/>
      <c r="DM144" s="176"/>
      <c r="DN144" s="176"/>
      <c r="DO144" s="176"/>
      <c r="DP144" s="176"/>
      <c r="DQ144" s="176"/>
      <c r="DR144" s="176"/>
      <c r="DS144" s="176"/>
      <c r="DT144" s="176"/>
      <c r="DU144" s="176"/>
      <c r="DV144" s="176"/>
      <c r="DW144" s="176"/>
      <c r="DX144" s="176"/>
      <c r="DY144" s="176"/>
      <c r="DZ144" s="176"/>
      <c r="EA144" s="176"/>
      <c r="EB144" s="176"/>
      <c r="EC144" s="176"/>
      <c r="ED144" s="176"/>
      <c r="EE144" s="176"/>
      <c r="EF144" s="176"/>
      <c r="EG144" s="176"/>
      <c r="EH144" s="176"/>
      <c r="EI144" s="176"/>
      <c r="EJ144" s="176"/>
      <c r="EK144" s="176"/>
    </row>
    <row r="145" spans="1:141" s="68" customFormat="1" ht="39.9" customHeight="1" thickBot="1" x14ac:dyDescent="0.75">
      <c r="A145" s="938" t="s">
        <v>124</v>
      </c>
      <c r="B145" s="939"/>
      <c r="C145" s="939"/>
      <c r="D145" s="939"/>
      <c r="E145" s="939"/>
      <c r="F145" s="939"/>
      <c r="G145" s="939"/>
      <c r="H145" s="939"/>
      <c r="I145" s="939"/>
      <c r="J145" s="939"/>
      <c r="K145" s="939"/>
      <c r="L145" s="939"/>
      <c r="M145" s="939"/>
      <c r="N145" s="939"/>
      <c r="O145" s="939"/>
      <c r="P145" s="939"/>
      <c r="Q145" s="939"/>
      <c r="R145" s="939"/>
      <c r="S145" s="939"/>
      <c r="T145" s="939"/>
      <c r="U145" s="939"/>
      <c r="V145" s="939"/>
      <c r="W145" s="939"/>
      <c r="X145" s="939"/>
      <c r="Y145" s="939"/>
      <c r="Z145" s="939"/>
      <c r="AA145" s="939"/>
      <c r="AB145" s="939"/>
      <c r="AC145" s="939"/>
      <c r="AD145" s="939"/>
      <c r="AE145" s="939"/>
      <c r="AF145" s="939"/>
      <c r="AG145" s="939"/>
      <c r="AH145" s="939"/>
      <c r="AI145" s="939"/>
      <c r="AJ145" s="939"/>
      <c r="AK145" s="939"/>
      <c r="AL145" s="939"/>
      <c r="AM145" s="939"/>
      <c r="AN145" s="939"/>
      <c r="AO145" s="939"/>
      <c r="AP145" s="939"/>
      <c r="AQ145" s="939"/>
      <c r="AR145" s="940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69"/>
      <c r="BQ145" s="69"/>
      <c r="BR145" s="69"/>
      <c r="BS145" s="69"/>
      <c r="BT145" s="69"/>
      <c r="BU145" s="69"/>
      <c r="BV145" s="69"/>
      <c r="BW145" s="69"/>
      <c r="BX145" s="69"/>
      <c r="BY145" s="69"/>
      <c r="BZ145" s="69"/>
      <c r="CA145" s="69"/>
      <c r="CB145" s="69"/>
      <c r="CC145" s="69"/>
      <c r="CD145" s="69"/>
      <c r="CE145" s="69"/>
      <c r="CF145" s="69"/>
      <c r="CG145" s="69"/>
      <c r="CH145" s="69"/>
      <c r="CI145" s="69"/>
      <c r="CJ145" s="69"/>
      <c r="CK145" s="69"/>
      <c r="CL145" s="69"/>
      <c r="CM145" s="69"/>
      <c r="CN145" s="69"/>
      <c r="CO145" s="69"/>
      <c r="CP145" s="69"/>
      <c r="CQ145" s="69"/>
      <c r="CR145" s="69"/>
      <c r="CS145" s="69"/>
      <c r="CT145" s="69"/>
      <c r="CU145" s="69"/>
      <c r="CV145" s="69"/>
      <c r="CW145" s="69"/>
      <c r="CX145" s="69"/>
      <c r="CY145" s="69"/>
      <c r="CZ145" s="69"/>
      <c r="DA145" s="69"/>
      <c r="DB145" s="69"/>
      <c r="DC145" s="69"/>
      <c r="DD145" s="69"/>
      <c r="DE145" s="69"/>
      <c r="DF145" s="69"/>
      <c r="DG145" s="69"/>
      <c r="DH145" s="69"/>
      <c r="DI145" s="69"/>
      <c r="DJ145" s="69"/>
      <c r="DK145" s="69"/>
      <c r="DL145" s="69"/>
      <c r="DM145" s="69"/>
      <c r="DN145" s="69"/>
      <c r="DO145" s="69"/>
      <c r="DP145" s="69"/>
      <c r="DQ145" s="69"/>
      <c r="DR145" s="69"/>
      <c r="DS145" s="69"/>
      <c r="DT145" s="69"/>
      <c r="DU145" s="69"/>
      <c r="DV145" s="69"/>
      <c r="DW145" s="69"/>
      <c r="DX145" s="69"/>
      <c r="DY145" s="69"/>
      <c r="DZ145" s="69"/>
      <c r="EA145" s="69"/>
      <c r="EB145" s="69"/>
      <c r="EC145" s="69"/>
      <c r="ED145" s="69"/>
      <c r="EE145" s="69"/>
      <c r="EF145" s="69"/>
      <c r="EG145" s="69"/>
      <c r="EH145" s="69"/>
      <c r="EI145" s="69"/>
      <c r="EJ145" s="69"/>
      <c r="EK145" s="69"/>
    </row>
    <row r="146" spans="1:141" ht="24" customHeight="1" x14ac:dyDescent="0.7">
      <c r="A146" s="107" t="s">
        <v>126</v>
      </c>
      <c r="B146" s="108">
        <v>108</v>
      </c>
      <c r="C146" s="109">
        <v>2710</v>
      </c>
      <c r="D146" s="17">
        <v>1</v>
      </c>
      <c r="E146" s="14">
        <v>1</v>
      </c>
      <c r="F146" s="14">
        <v>0</v>
      </c>
      <c r="G146" s="13">
        <v>5</v>
      </c>
      <c r="H146" s="14">
        <v>15</v>
      </c>
      <c r="I146" s="23">
        <f>0</f>
        <v>0</v>
      </c>
      <c r="J146" s="106">
        <v>1.1000000000000001</v>
      </c>
      <c r="K146" s="42">
        <v>2</v>
      </c>
      <c r="L146" s="30">
        <v>1.7</v>
      </c>
      <c r="M146" s="13">
        <f>ROUND(C146*G146/1000,0)</f>
        <v>14</v>
      </c>
      <c r="N146" s="17"/>
      <c r="O146" s="15">
        <f>ROUND(C146*H146/1000,0)</f>
        <v>41</v>
      </c>
      <c r="P146" s="14">
        <f>0</f>
        <v>0</v>
      </c>
      <c r="Q146" s="14">
        <v>0</v>
      </c>
      <c r="R146" s="14">
        <f>ROUND(C146*I146/1000,0)</f>
        <v>0</v>
      </c>
      <c r="S146" s="14"/>
      <c r="T146" s="18"/>
      <c r="U146" s="13">
        <f>ROUND(C146*J146,0)</f>
        <v>2981</v>
      </c>
      <c r="V146" s="17"/>
      <c r="W146" s="929" t="s">
        <v>116</v>
      </c>
      <c r="X146" s="930"/>
      <c r="Y146" s="931"/>
      <c r="Z146" s="82">
        <f>0</f>
        <v>0</v>
      </c>
      <c r="AA146" s="15"/>
      <c r="AB146" s="23"/>
      <c r="AC146" s="17">
        <f>ROUND(M146*95,0)</f>
        <v>1330</v>
      </c>
      <c r="AD146" s="17"/>
      <c r="AE146" s="13">
        <f>ROUND(O146*95,0)</f>
        <v>3895</v>
      </c>
      <c r="AF146" s="13">
        <f t="shared" ref="AF146:AF148" si="96">ROUND(P146*960,0)</f>
        <v>0</v>
      </c>
      <c r="AG146" s="14">
        <v>0</v>
      </c>
      <c r="AH146" s="13">
        <f t="shared" ref="AH146:AH148" si="97">ROUND(R146*960,0)</f>
        <v>0</v>
      </c>
      <c r="AI146" s="14"/>
      <c r="AJ146" s="16"/>
      <c r="AK146" s="100"/>
      <c r="AL146" s="14"/>
      <c r="AM146" s="208" t="e">
        <f>W146+AE146</f>
        <v>#VALUE!</v>
      </c>
      <c r="AN146" s="14">
        <f t="shared" ref="AN146:AP148" si="98">X146+AF146</f>
        <v>0</v>
      </c>
      <c r="AO146" s="14">
        <f t="shared" si="98"/>
        <v>0</v>
      </c>
      <c r="AP146" s="14">
        <f t="shared" si="98"/>
        <v>0</v>
      </c>
      <c r="AQ146" s="14"/>
      <c r="AR146" s="1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6"/>
      <c r="BR146" s="56"/>
      <c r="BS146" s="56"/>
      <c r="BT146" s="56"/>
      <c r="BU146" s="56"/>
      <c r="BV146" s="56"/>
      <c r="BW146" s="56"/>
      <c r="BX146" s="56"/>
      <c r="BY146" s="56"/>
      <c r="BZ146" s="56"/>
      <c r="CA146" s="56"/>
      <c r="CB146" s="56"/>
      <c r="CC146" s="56"/>
      <c r="CD146" s="56"/>
      <c r="CE146" s="56"/>
      <c r="CF146" s="56"/>
      <c r="CG146" s="56"/>
      <c r="CH146" s="56"/>
      <c r="CI146" s="56"/>
      <c r="CJ146" s="56"/>
      <c r="CK146" s="56"/>
      <c r="CL146" s="56"/>
      <c r="CM146" s="56"/>
      <c r="CN146" s="56"/>
      <c r="CO146" s="56"/>
      <c r="CP146" s="56"/>
      <c r="CQ146" s="56"/>
      <c r="CR146" s="56"/>
      <c r="CS146" s="56"/>
      <c r="CT146" s="56"/>
      <c r="CU146" s="56"/>
      <c r="CV146" s="56"/>
      <c r="CW146" s="56"/>
      <c r="CX146" s="56"/>
      <c r="CY146" s="56"/>
      <c r="CZ146" s="56"/>
      <c r="DA146" s="56"/>
      <c r="DB146" s="56"/>
      <c r="DC146" s="56"/>
      <c r="DD146" s="56"/>
      <c r="DE146" s="56"/>
      <c r="DF146" s="56"/>
      <c r="DG146" s="56"/>
      <c r="DH146" s="56"/>
      <c r="DI146" s="56"/>
      <c r="DJ146" s="56"/>
      <c r="DK146" s="56"/>
      <c r="DL146" s="56"/>
      <c r="DM146" s="56"/>
      <c r="DN146" s="56"/>
      <c r="DO146" s="56"/>
      <c r="DP146" s="56"/>
      <c r="DQ146" s="56"/>
      <c r="DR146" s="56"/>
      <c r="DS146" s="56"/>
      <c r="DT146" s="56"/>
      <c r="DU146" s="56"/>
      <c r="DV146" s="56"/>
      <c r="DW146" s="56"/>
      <c r="DX146" s="56"/>
      <c r="DY146" s="56"/>
      <c r="DZ146" s="56"/>
      <c r="EA146" s="56"/>
      <c r="EB146" s="56"/>
      <c r="EC146" s="56"/>
      <c r="ED146" s="56"/>
      <c r="EE146" s="56"/>
      <c r="EF146" s="56"/>
      <c r="EG146" s="56"/>
      <c r="EH146" s="56"/>
      <c r="EI146" s="56"/>
      <c r="EJ146" s="56"/>
      <c r="EK146" s="56"/>
    </row>
    <row r="147" spans="1:141" x14ac:dyDescent="0.7">
      <c r="A147" s="107" t="s">
        <v>127</v>
      </c>
      <c r="B147" s="108">
        <v>86</v>
      </c>
      <c r="C147" s="109">
        <v>2141</v>
      </c>
      <c r="D147" s="17">
        <v>1</v>
      </c>
      <c r="E147" s="14">
        <v>1</v>
      </c>
      <c r="F147" s="14">
        <v>0</v>
      </c>
      <c r="G147" s="13">
        <v>5</v>
      </c>
      <c r="H147" s="14">
        <v>15</v>
      </c>
      <c r="I147" s="23">
        <f>0</f>
        <v>0</v>
      </c>
      <c r="J147" s="32">
        <v>1.1000000000000001</v>
      </c>
      <c r="K147" s="32">
        <v>2</v>
      </c>
      <c r="L147" s="23">
        <v>1.7</v>
      </c>
      <c r="M147" s="13">
        <f t="shared" ref="M147:M148" si="99">ROUND(C147*G147/1000,0)</f>
        <v>11</v>
      </c>
      <c r="N147" s="17"/>
      <c r="O147" s="15">
        <f t="shared" ref="O147:O148" si="100">ROUND(C147*H147/1000,0)</f>
        <v>32</v>
      </c>
      <c r="P147" s="14">
        <f>0</f>
        <v>0</v>
      </c>
      <c r="Q147" s="14">
        <v>0</v>
      </c>
      <c r="R147" s="14">
        <f t="shared" ref="R147:R148" si="101">ROUND(C147*I147/1000,0)</f>
        <v>0</v>
      </c>
      <c r="S147" s="14"/>
      <c r="T147" s="18"/>
      <c r="U147" s="13">
        <f t="shared" ref="U147:U148" si="102">ROUND(C147*J147,0)</f>
        <v>2355</v>
      </c>
      <c r="V147" s="17"/>
      <c r="W147" s="932"/>
      <c r="X147" s="933"/>
      <c r="Y147" s="934"/>
      <c r="Z147" s="82">
        <f>0</f>
        <v>0</v>
      </c>
      <c r="AA147" s="15"/>
      <c r="AB147" s="23"/>
      <c r="AC147" s="17">
        <f t="shared" ref="AC147:AC148" si="103">ROUND(M147*95,0)</f>
        <v>1045</v>
      </c>
      <c r="AD147" s="17"/>
      <c r="AE147" s="13">
        <f t="shared" ref="AE147:AE148" si="104">ROUND(O147*95,0)</f>
        <v>3040</v>
      </c>
      <c r="AF147" s="13">
        <f t="shared" si="96"/>
        <v>0</v>
      </c>
      <c r="AG147" s="14">
        <v>0</v>
      </c>
      <c r="AH147" s="13">
        <f t="shared" si="97"/>
        <v>0</v>
      </c>
      <c r="AI147" s="14"/>
      <c r="AJ147" s="16"/>
      <c r="AK147" s="100"/>
      <c r="AL147" s="14"/>
      <c r="AM147" s="208" t="e">
        <f>W146+AE147</f>
        <v>#VALUE!</v>
      </c>
      <c r="AN147" s="14">
        <f t="shared" si="98"/>
        <v>0</v>
      </c>
      <c r="AO147" s="14">
        <f t="shared" si="98"/>
        <v>0</v>
      </c>
      <c r="AP147" s="14">
        <f t="shared" si="98"/>
        <v>0</v>
      </c>
      <c r="AQ147" s="14"/>
      <c r="AR147" s="1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6"/>
      <c r="BR147" s="56"/>
      <c r="BS147" s="56"/>
      <c r="BT147" s="56"/>
      <c r="BU147" s="56"/>
      <c r="BV147" s="56"/>
      <c r="BW147" s="56"/>
      <c r="BX147" s="56"/>
      <c r="BY147" s="56"/>
      <c r="BZ147" s="56"/>
      <c r="CA147" s="56"/>
      <c r="CB147" s="56"/>
      <c r="CC147" s="56"/>
      <c r="CD147" s="56"/>
      <c r="CE147" s="56"/>
      <c r="CF147" s="56"/>
      <c r="CG147" s="56"/>
      <c r="CH147" s="56"/>
      <c r="CI147" s="56"/>
      <c r="CJ147" s="56"/>
      <c r="CK147" s="56"/>
      <c r="CL147" s="56"/>
      <c r="CM147" s="56"/>
      <c r="CN147" s="56"/>
      <c r="CO147" s="56"/>
      <c r="CP147" s="56"/>
      <c r="CQ147" s="56"/>
      <c r="CR147" s="56"/>
      <c r="CS147" s="56"/>
      <c r="CT147" s="56"/>
      <c r="CU147" s="56"/>
      <c r="CV147" s="56"/>
      <c r="CW147" s="56"/>
      <c r="CX147" s="56"/>
      <c r="CY147" s="56"/>
      <c r="CZ147" s="56"/>
      <c r="DA147" s="56"/>
      <c r="DB147" s="56"/>
      <c r="DC147" s="56"/>
      <c r="DD147" s="56"/>
      <c r="DE147" s="56"/>
      <c r="DF147" s="56"/>
      <c r="DG147" s="56"/>
      <c r="DH147" s="56"/>
      <c r="DI147" s="56"/>
      <c r="DJ147" s="56"/>
      <c r="DK147" s="56"/>
      <c r="DL147" s="56"/>
      <c r="DM147" s="56"/>
      <c r="DN147" s="56"/>
      <c r="DO147" s="56"/>
      <c r="DP147" s="56"/>
      <c r="DQ147" s="56"/>
      <c r="DR147" s="56"/>
      <c r="DS147" s="56"/>
      <c r="DT147" s="56"/>
      <c r="DU147" s="56"/>
      <c r="DV147" s="56"/>
      <c r="DW147" s="56"/>
      <c r="DX147" s="56"/>
      <c r="DY147" s="56"/>
      <c r="DZ147" s="56"/>
      <c r="EA147" s="56"/>
      <c r="EB147" s="56"/>
      <c r="EC147" s="56"/>
      <c r="ED147" s="56"/>
      <c r="EE147" s="56"/>
      <c r="EF147" s="56"/>
      <c r="EG147" s="56"/>
      <c r="EH147" s="56"/>
      <c r="EI147" s="56"/>
      <c r="EJ147" s="56"/>
      <c r="EK147" s="56"/>
    </row>
    <row r="148" spans="1:141" ht="25.2" thickBot="1" x14ac:dyDescent="0.75">
      <c r="A148" s="107" t="s">
        <v>128</v>
      </c>
      <c r="B148" s="110">
        <v>29</v>
      </c>
      <c r="C148" s="111">
        <v>721</v>
      </c>
      <c r="D148" s="31">
        <v>1</v>
      </c>
      <c r="E148" s="28">
        <v>1</v>
      </c>
      <c r="F148" s="28">
        <v>0</v>
      </c>
      <c r="G148" s="27">
        <v>5</v>
      </c>
      <c r="H148" s="28">
        <v>15</v>
      </c>
      <c r="I148" s="29">
        <f>0</f>
        <v>0</v>
      </c>
      <c r="J148" s="172">
        <v>1.1000000000000001</v>
      </c>
      <c r="K148" s="144">
        <v>2</v>
      </c>
      <c r="L148" s="30">
        <v>1.7</v>
      </c>
      <c r="M148" s="13">
        <f t="shared" si="99"/>
        <v>4</v>
      </c>
      <c r="N148" s="31"/>
      <c r="O148" s="15">
        <f t="shared" si="100"/>
        <v>11</v>
      </c>
      <c r="P148" s="28">
        <f>0</f>
        <v>0</v>
      </c>
      <c r="Q148" s="28">
        <v>0</v>
      </c>
      <c r="R148" s="28">
        <f t="shared" si="101"/>
        <v>0</v>
      </c>
      <c r="S148" s="28"/>
      <c r="T148" s="32"/>
      <c r="U148" s="13">
        <f t="shared" si="102"/>
        <v>793</v>
      </c>
      <c r="V148" s="31"/>
      <c r="W148" s="935"/>
      <c r="X148" s="936"/>
      <c r="Y148" s="937"/>
      <c r="Z148" s="82">
        <f>0</f>
        <v>0</v>
      </c>
      <c r="AA148" s="15"/>
      <c r="AB148" s="23"/>
      <c r="AC148" s="17">
        <f t="shared" si="103"/>
        <v>380</v>
      </c>
      <c r="AD148" s="17"/>
      <c r="AE148" s="13">
        <f t="shared" si="104"/>
        <v>1045</v>
      </c>
      <c r="AF148" s="13">
        <f t="shared" si="96"/>
        <v>0</v>
      </c>
      <c r="AG148" s="14">
        <v>0</v>
      </c>
      <c r="AH148" s="13">
        <f t="shared" si="97"/>
        <v>0</v>
      </c>
      <c r="AI148" s="14"/>
      <c r="AJ148" s="16"/>
      <c r="AK148" s="100"/>
      <c r="AL148" s="14"/>
      <c r="AM148" s="208" t="e">
        <f>W146+AE148</f>
        <v>#VALUE!</v>
      </c>
      <c r="AN148" s="14">
        <f t="shared" si="98"/>
        <v>0</v>
      </c>
      <c r="AO148" s="14">
        <f t="shared" si="98"/>
        <v>0</v>
      </c>
      <c r="AP148" s="14">
        <f t="shared" si="98"/>
        <v>0</v>
      </c>
      <c r="AQ148" s="14"/>
      <c r="AR148" s="1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6"/>
      <c r="BR148" s="56"/>
      <c r="BS148" s="56"/>
      <c r="BT148" s="56"/>
      <c r="BU148" s="56"/>
      <c r="BV148" s="56"/>
      <c r="BW148" s="56"/>
      <c r="BX148" s="56"/>
      <c r="BY148" s="56"/>
      <c r="BZ148" s="56"/>
      <c r="CA148" s="56"/>
      <c r="CB148" s="56"/>
      <c r="CC148" s="56"/>
      <c r="CD148" s="56"/>
      <c r="CE148" s="56"/>
      <c r="CF148" s="56"/>
      <c r="CG148" s="56"/>
      <c r="CH148" s="56"/>
      <c r="CI148" s="56"/>
      <c r="CJ148" s="56"/>
      <c r="CK148" s="56"/>
      <c r="CL148" s="56"/>
      <c r="CM148" s="56"/>
      <c r="CN148" s="56"/>
      <c r="CO148" s="56"/>
      <c r="CP148" s="56"/>
      <c r="CQ148" s="56"/>
      <c r="CR148" s="56"/>
      <c r="CS148" s="56"/>
      <c r="CT148" s="56"/>
      <c r="CU148" s="56"/>
      <c r="CV148" s="56"/>
      <c r="CW148" s="56"/>
      <c r="CX148" s="56"/>
      <c r="CY148" s="56"/>
      <c r="CZ148" s="56"/>
      <c r="DA148" s="56"/>
      <c r="DB148" s="56"/>
      <c r="DC148" s="56"/>
      <c r="DD148" s="56"/>
      <c r="DE148" s="56"/>
      <c r="DF148" s="56"/>
      <c r="DG148" s="56"/>
      <c r="DH148" s="56"/>
      <c r="DI148" s="56"/>
      <c r="DJ148" s="56"/>
      <c r="DK148" s="56"/>
      <c r="DL148" s="56"/>
      <c r="DM148" s="56"/>
      <c r="DN148" s="56"/>
      <c r="DO148" s="56"/>
      <c r="DP148" s="56"/>
      <c r="DQ148" s="56"/>
      <c r="DR148" s="56"/>
      <c r="DS148" s="56"/>
      <c r="DT148" s="56"/>
      <c r="DU148" s="56"/>
      <c r="DV148" s="56"/>
      <c r="DW148" s="56"/>
      <c r="DX148" s="56"/>
      <c r="DY148" s="56"/>
      <c r="DZ148" s="56"/>
      <c r="EA148" s="56"/>
      <c r="EB148" s="56"/>
      <c r="EC148" s="56"/>
      <c r="ED148" s="56"/>
      <c r="EE148" s="56"/>
      <c r="EF148" s="56"/>
      <c r="EG148" s="56"/>
      <c r="EH148" s="56"/>
      <c r="EI148" s="56"/>
      <c r="EJ148" s="56"/>
      <c r="EK148" s="56"/>
    </row>
    <row r="149" spans="1:141" ht="25.2" thickBot="1" x14ac:dyDescent="0.75">
      <c r="A149" s="884" t="s">
        <v>130</v>
      </c>
      <c r="B149" s="886">
        <f>SUM(B146:B148)</f>
        <v>223</v>
      </c>
      <c r="C149" s="925">
        <f>SUM(C146:C148)</f>
        <v>5572</v>
      </c>
      <c r="D149" s="888"/>
      <c r="E149" s="889"/>
      <c r="F149" s="889"/>
      <c r="G149" s="889"/>
      <c r="H149" s="889"/>
      <c r="I149" s="889"/>
      <c r="J149" s="889"/>
      <c r="K149" s="889"/>
      <c r="L149" s="890"/>
      <c r="M149" s="158">
        <f t="shared" ref="M149:U149" si="105">SUM(M146:M148)</f>
        <v>29</v>
      </c>
      <c r="N149" s="158">
        <f t="shared" si="105"/>
        <v>0</v>
      </c>
      <c r="O149" s="160">
        <f t="shared" si="105"/>
        <v>84</v>
      </c>
      <c r="P149" s="160">
        <f t="shared" si="105"/>
        <v>0</v>
      </c>
      <c r="Q149" s="160">
        <f t="shared" si="105"/>
        <v>0</v>
      </c>
      <c r="R149" s="161">
        <f t="shared" si="105"/>
        <v>0</v>
      </c>
      <c r="S149" s="161">
        <f t="shared" si="105"/>
        <v>0</v>
      </c>
      <c r="T149" s="163">
        <f t="shared" si="105"/>
        <v>0</v>
      </c>
      <c r="U149" s="158">
        <f t="shared" si="105"/>
        <v>6129</v>
      </c>
      <c r="V149" s="188">
        <f>V147+V146+V145</f>
        <v>0</v>
      </c>
      <c r="W149" s="157">
        <f>SUM(W144:W148)</f>
        <v>0</v>
      </c>
      <c r="X149" s="157">
        <f>SUM(X144:X148)</f>
        <v>0</v>
      </c>
      <c r="Y149" s="164"/>
      <c r="Z149" s="175">
        <f>SUM(Z144:Z148)</f>
        <v>0</v>
      </c>
      <c r="AA149" s="164"/>
      <c r="AB149" s="164"/>
      <c r="AC149" s="157">
        <f>SUM(AC146:AC148)</f>
        <v>2755</v>
      </c>
      <c r="AD149" s="157">
        <f>SUM(AD146:AD148)</f>
        <v>0</v>
      </c>
      <c r="AE149" s="166">
        <f>SUM(AE146:AE148)</f>
        <v>7980</v>
      </c>
      <c r="AF149" s="166">
        <f t="shared" ref="AF149" si="106">SUM(AF144:AF148)</f>
        <v>0</v>
      </c>
      <c r="AG149" s="166">
        <f t="shared" ref="AG149" si="107">SUM(AG144:AG148)</f>
        <v>0</v>
      </c>
      <c r="AH149" s="175">
        <f t="shared" ref="AH149" si="108">SUM(AH144:AH148)</f>
        <v>0</v>
      </c>
      <c r="AI149" s="175">
        <f t="shared" ref="AI149" si="109">SUM(AI144:AI148)</f>
        <v>0</v>
      </c>
      <c r="AJ149" s="175">
        <f t="shared" ref="AJ149" si="110">SUM(AJ144:AJ148)</f>
        <v>0</v>
      </c>
      <c r="AK149" s="165">
        <f>SUM(AK147:AK148)</f>
        <v>0</v>
      </c>
      <c r="AL149" s="165">
        <f>0</f>
        <v>0</v>
      </c>
      <c r="AM149" s="166" t="e">
        <f>SUM(AM144:AM148)</f>
        <v>#VALUE!</v>
      </c>
      <c r="AN149" s="166">
        <f>AN146+AN147</f>
        <v>0</v>
      </c>
      <c r="AO149" s="164"/>
      <c r="AP149" s="175">
        <f>SUM(AP144:AP148)</f>
        <v>0</v>
      </c>
      <c r="AQ149" s="164"/>
      <c r="AR149" s="167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141" ht="25.2" thickBot="1" x14ac:dyDescent="0.75">
      <c r="A150" s="885"/>
      <c r="B150" s="887"/>
      <c r="C150" s="926"/>
      <c r="D150" s="891"/>
      <c r="E150" s="892"/>
      <c r="F150" s="892"/>
      <c r="G150" s="892"/>
      <c r="H150" s="892"/>
      <c r="I150" s="892"/>
      <c r="J150" s="892"/>
      <c r="K150" s="892"/>
      <c r="L150" s="893"/>
      <c r="M150" s="896">
        <f>M149+N149</f>
        <v>29</v>
      </c>
      <c r="N150" s="898">
        <f>M149+N149</f>
        <v>29</v>
      </c>
      <c r="O150" s="896">
        <f>+O149+P149+Q149</f>
        <v>84</v>
      </c>
      <c r="P150" s="897"/>
      <c r="Q150" s="898"/>
      <c r="R150" s="899">
        <f>+R149+S149+T149</f>
        <v>0</v>
      </c>
      <c r="S150" s="900"/>
      <c r="T150" s="901"/>
      <c r="U150" s="949">
        <f>U149+V149</f>
        <v>6129</v>
      </c>
      <c r="V150" s="950"/>
      <c r="W150" s="904">
        <f>W149+X149+Y149</f>
        <v>0</v>
      </c>
      <c r="X150" s="905"/>
      <c r="Y150" s="906"/>
      <c r="Z150" s="907">
        <f>Z149+AA149+AB149</f>
        <v>0</v>
      </c>
      <c r="AA150" s="908"/>
      <c r="AB150" s="909"/>
      <c r="AC150" s="912">
        <f>AC149+AD149</f>
        <v>2755</v>
      </c>
      <c r="AD150" s="914">
        <f t="shared" ref="AD150" si="111">ROUND(N150*960,0)</f>
        <v>27840</v>
      </c>
      <c r="AE150" s="912">
        <f>AE149+AF149+AG149</f>
        <v>7980</v>
      </c>
      <c r="AF150" s="913"/>
      <c r="AG150" s="914"/>
      <c r="AH150" s="915">
        <f>AH149+AI149+AJ149</f>
        <v>0</v>
      </c>
      <c r="AI150" s="916"/>
      <c r="AJ150" s="917"/>
      <c r="AK150" s="918">
        <f>AK149+AL149</f>
        <v>0</v>
      </c>
      <c r="AL150" s="919">
        <f t="shared" ref="AL150" si="112">V150+AD150</f>
        <v>27840</v>
      </c>
      <c r="AM150" s="912" t="e">
        <f>AM149+AN149+AO149</f>
        <v>#VALUE!</v>
      </c>
      <c r="AN150" s="913"/>
      <c r="AO150" s="914"/>
      <c r="AP150" s="920">
        <f>AP149+AQ149+AR149</f>
        <v>0</v>
      </c>
      <c r="AQ150" s="921"/>
      <c r="AR150" s="922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141" ht="24" customHeight="1" thickBot="1" x14ac:dyDescent="0.75">
      <c r="A151" s="107" t="s">
        <v>135</v>
      </c>
      <c r="B151" s="108">
        <v>142</v>
      </c>
      <c r="C151" s="109">
        <v>3259</v>
      </c>
      <c r="D151" s="17">
        <v>1</v>
      </c>
      <c r="E151" s="14">
        <v>2</v>
      </c>
      <c r="F151" s="14">
        <v>0</v>
      </c>
      <c r="G151" s="13">
        <v>5</v>
      </c>
      <c r="H151" s="14">
        <v>15</v>
      </c>
      <c r="I151" s="23">
        <f>0</f>
        <v>0</v>
      </c>
      <c r="J151" s="106">
        <v>1.1000000000000001</v>
      </c>
      <c r="K151" s="42">
        <v>2</v>
      </c>
      <c r="L151" s="30">
        <v>1.7</v>
      </c>
      <c r="M151" s="13">
        <f>ROUND(C151*G151/1000,0)</f>
        <v>16</v>
      </c>
      <c r="N151" s="17"/>
      <c r="O151" s="15">
        <f>ROUND(C151*H151/1000,0)</f>
        <v>49</v>
      </c>
      <c r="P151" s="15">
        <f>ROUND(C151*H151/1000,0)</f>
        <v>49</v>
      </c>
      <c r="Q151" s="14">
        <v>0</v>
      </c>
      <c r="R151" s="14">
        <f>ROUND(C151*I151/1000,0)</f>
        <v>0</v>
      </c>
      <c r="S151" s="14"/>
      <c r="T151" s="18"/>
      <c r="U151" s="13">
        <f>ROUND(C151*J151,0)</f>
        <v>3585</v>
      </c>
      <c r="V151" s="17"/>
      <c r="W151" s="946" t="s">
        <v>116</v>
      </c>
      <c r="X151" s="947"/>
      <c r="Y151" s="948"/>
      <c r="Z151" s="82">
        <f>0</f>
        <v>0</v>
      </c>
      <c r="AA151" s="15"/>
      <c r="AB151" s="23"/>
      <c r="AC151" s="17">
        <f>ROUND(M151*95,0)</f>
        <v>1520</v>
      </c>
      <c r="AD151" s="17"/>
      <c r="AE151" s="13">
        <f>ROUND(O151*95,0)</f>
        <v>4655</v>
      </c>
      <c r="AF151" s="13">
        <f>ROUND(P151*95,0)</f>
        <v>4655</v>
      </c>
      <c r="AG151" s="14">
        <v>0</v>
      </c>
      <c r="AH151" s="13">
        <f t="shared" ref="AH151" si="113">ROUND(R151*960,0)</f>
        <v>0</v>
      </c>
      <c r="AI151" s="14"/>
      <c r="AJ151" s="16"/>
      <c r="AK151" s="100">
        <f>U151+AC151</f>
        <v>5105</v>
      </c>
      <c r="AL151" s="14"/>
      <c r="AM151" s="208" t="e">
        <f>W151+AE151</f>
        <v>#VALUE!</v>
      </c>
      <c r="AN151" s="208" t="e">
        <f>W151+AF151</f>
        <v>#VALUE!</v>
      </c>
      <c r="AO151" s="14">
        <f t="shared" ref="AO151" si="114">Y151+AG151</f>
        <v>0</v>
      </c>
      <c r="AP151" s="14">
        <f t="shared" ref="AP151" si="115">Z151+AH151</f>
        <v>0</v>
      </c>
      <c r="AQ151" s="14"/>
      <c r="AR151" s="1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  <c r="CL151" s="56"/>
      <c r="CM151" s="56"/>
      <c r="CN151" s="56"/>
      <c r="CO151" s="56"/>
      <c r="CP151" s="56"/>
      <c r="CQ151" s="56"/>
      <c r="CR151" s="56"/>
      <c r="CS151" s="56"/>
      <c r="CT151" s="56"/>
      <c r="CU151" s="56"/>
      <c r="CV151" s="56"/>
      <c r="CW151" s="56"/>
      <c r="CX151" s="56"/>
      <c r="CY151" s="56"/>
      <c r="CZ151" s="56"/>
      <c r="DA151" s="56"/>
      <c r="DB151" s="56"/>
      <c r="DC151" s="56"/>
      <c r="DD151" s="56"/>
      <c r="DE151" s="56"/>
      <c r="DF151" s="56"/>
      <c r="DG151" s="56"/>
      <c r="DH151" s="56"/>
      <c r="DI151" s="56"/>
      <c r="DJ151" s="56"/>
      <c r="DK151" s="56"/>
      <c r="DL151" s="56"/>
      <c r="DM151" s="56"/>
      <c r="DN151" s="56"/>
      <c r="DO151" s="56"/>
      <c r="DP151" s="56"/>
      <c r="DQ151" s="56"/>
      <c r="DR151" s="56"/>
      <c r="DS151" s="56"/>
      <c r="DT151" s="56"/>
      <c r="DU151" s="56"/>
      <c r="DV151" s="56"/>
      <c r="DW151" s="56"/>
      <c r="DX151" s="56"/>
      <c r="DY151" s="56"/>
      <c r="DZ151" s="56"/>
      <c r="EA151" s="56"/>
      <c r="EB151" s="56"/>
      <c r="EC151" s="56"/>
      <c r="ED151" s="56"/>
      <c r="EE151" s="56"/>
      <c r="EF151" s="56"/>
      <c r="EG151" s="56"/>
      <c r="EH151" s="56"/>
      <c r="EI151" s="56"/>
      <c r="EJ151" s="56"/>
      <c r="EK151" s="56"/>
    </row>
    <row r="152" spans="1:141" ht="25.2" thickBot="1" x14ac:dyDescent="0.75">
      <c r="A152" s="884" t="s">
        <v>129</v>
      </c>
      <c r="B152" s="886">
        <f>SUM(B151:B151)</f>
        <v>142</v>
      </c>
      <c r="C152" s="925">
        <f>SUM(C151:C151)</f>
        <v>3259</v>
      </c>
      <c r="D152" s="888"/>
      <c r="E152" s="889"/>
      <c r="F152" s="889"/>
      <c r="G152" s="889"/>
      <c r="H152" s="889"/>
      <c r="I152" s="889"/>
      <c r="J152" s="889"/>
      <c r="K152" s="889"/>
      <c r="L152" s="890"/>
      <c r="M152" s="158">
        <f t="shared" ref="M152:U152" si="116">SUM(M151:M151)</f>
        <v>16</v>
      </c>
      <c r="N152" s="158">
        <f t="shared" si="116"/>
        <v>0</v>
      </c>
      <c r="O152" s="160">
        <f t="shared" si="116"/>
        <v>49</v>
      </c>
      <c r="P152" s="160">
        <f t="shared" si="116"/>
        <v>49</v>
      </c>
      <c r="Q152" s="160">
        <f t="shared" si="116"/>
        <v>0</v>
      </c>
      <c r="R152" s="161">
        <f t="shared" si="116"/>
        <v>0</v>
      </c>
      <c r="S152" s="161">
        <f t="shared" si="116"/>
        <v>0</v>
      </c>
      <c r="T152" s="163">
        <f t="shared" si="116"/>
        <v>0</v>
      </c>
      <c r="U152" s="158">
        <f t="shared" si="116"/>
        <v>3585</v>
      </c>
      <c r="V152" s="188">
        <f>0</f>
        <v>0</v>
      </c>
      <c r="W152" s="157">
        <f>SUM(W149:W151)</f>
        <v>0</v>
      </c>
      <c r="X152" s="157">
        <f>SUM(X149:X151)</f>
        <v>0</v>
      </c>
      <c r="Y152" s="164"/>
      <c r="Z152" s="175">
        <f>SUM(Z149:Z151)</f>
        <v>0</v>
      </c>
      <c r="AA152" s="164"/>
      <c r="AB152" s="164"/>
      <c r="AC152" s="157">
        <f>SUM(AC151:AC151)</f>
        <v>1520</v>
      </c>
      <c r="AD152" s="157">
        <f>SUM(AD151:AD151)</f>
        <v>0</v>
      </c>
      <c r="AE152" s="166">
        <f>SUM(AE151:AE151)</f>
        <v>4655</v>
      </c>
      <c r="AF152" s="166">
        <f>SUM(AF149:AF151)</f>
        <v>4655</v>
      </c>
      <c r="AG152" s="166">
        <f>SUM(AG149:AG151)</f>
        <v>0</v>
      </c>
      <c r="AH152" s="175">
        <f>SUM(AH149:AH151)</f>
        <v>0</v>
      </c>
      <c r="AI152" s="175">
        <f>SUM(AI149:AI151)</f>
        <v>0</v>
      </c>
      <c r="AJ152" s="175">
        <f>SUM(AJ149:AJ151)</f>
        <v>0</v>
      </c>
      <c r="AK152" s="165">
        <f>AK151</f>
        <v>5105</v>
      </c>
      <c r="AL152" s="165">
        <f>0</f>
        <v>0</v>
      </c>
      <c r="AM152" s="166" t="e">
        <f>SUM(AM149:AM151)</f>
        <v>#VALUE!</v>
      </c>
      <c r="AN152" s="166" t="e">
        <f>AN151+#REF!</f>
        <v>#VALUE!</v>
      </c>
      <c r="AO152" s="164"/>
      <c r="AP152" s="175">
        <f>SUM(AP149:AP151)</f>
        <v>0</v>
      </c>
      <c r="AQ152" s="164"/>
      <c r="AR152" s="167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141" ht="25.2" thickBot="1" x14ac:dyDescent="0.75">
      <c r="A153" s="885"/>
      <c r="B153" s="887"/>
      <c r="C153" s="926"/>
      <c r="D153" s="891"/>
      <c r="E153" s="892"/>
      <c r="F153" s="892"/>
      <c r="G153" s="892"/>
      <c r="H153" s="892"/>
      <c r="I153" s="892"/>
      <c r="J153" s="892"/>
      <c r="K153" s="892"/>
      <c r="L153" s="893"/>
      <c r="M153" s="896">
        <f>M152+N152</f>
        <v>16</v>
      </c>
      <c r="N153" s="898">
        <f>M152+N152</f>
        <v>16</v>
      </c>
      <c r="O153" s="896">
        <f>+O152+P152+Q152</f>
        <v>98</v>
      </c>
      <c r="P153" s="897"/>
      <c r="Q153" s="898"/>
      <c r="R153" s="899">
        <f>+R152+S152+T152</f>
        <v>0</v>
      </c>
      <c r="S153" s="900"/>
      <c r="T153" s="901"/>
      <c r="U153" s="949">
        <f>U152+V152</f>
        <v>3585</v>
      </c>
      <c r="V153" s="950"/>
      <c r="W153" s="904">
        <f>W152+X152+Y152</f>
        <v>0</v>
      </c>
      <c r="X153" s="905"/>
      <c r="Y153" s="906"/>
      <c r="Z153" s="907">
        <f>Z152+AA152+AB152</f>
        <v>0</v>
      </c>
      <c r="AA153" s="908"/>
      <c r="AB153" s="909"/>
      <c r="AC153" s="912">
        <f>AC152+AD152</f>
        <v>1520</v>
      </c>
      <c r="AD153" s="914">
        <f t="shared" ref="AD153" si="117">ROUND(N153*960,0)</f>
        <v>15360</v>
      </c>
      <c r="AE153" s="912">
        <f>AE152+AF152+AG152</f>
        <v>9310</v>
      </c>
      <c r="AF153" s="913"/>
      <c r="AG153" s="914"/>
      <c r="AH153" s="915">
        <f>AH152+AI152+AJ152</f>
        <v>0</v>
      </c>
      <c r="AI153" s="916"/>
      <c r="AJ153" s="917"/>
      <c r="AK153" s="941">
        <f>AK152+AL152</f>
        <v>5105</v>
      </c>
      <c r="AL153" s="942">
        <f t="shared" ref="AL153" si="118">V153+AD153</f>
        <v>15360</v>
      </c>
      <c r="AM153" s="912" t="e">
        <f>AM152+AN152+AO152</f>
        <v>#VALUE!</v>
      </c>
      <c r="AN153" s="913"/>
      <c r="AO153" s="914"/>
      <c r="AP153" s="920">
        <f>AP152+AQ152+AR152</f>
        <v>0</v>
      </c>
      <c r="AQ153" s="921"/>
      <c r="AR153" s="922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141" s="180" customFormat="1" ht="39.9" customHeight="1" thickBot="1" x14ac:dyDescent="0.75">
      <c r="A154" s="881" t="s">
        <v>136</v>
      </c>
      <c r="B154" s="882"/>
      <c r="C154" s="882"/>
      <c r="D154" s="882"/>
      <c r="E154" s="882"/>
      <c r="F154" s="882"/>
      <c r="G154" s="882"/>
      <c r="H154" s="882"/>
      <c r="I154" s="882"/>
      <c r="J154" s="882"/>
      <c r="K154" s="882"/>
      <c r="L154" s="882"/>
      <c r="M154" s="882"/>
      <c r="N154" s="882"/>
      <c r="O154" s="882"/>
      <c r="P154" s="882"/>
      <c r="Q154" s="882"/>
      <c r="R154" s="882"/>
      <c r="S154" s="882"/>
      <c r="T154" s="882"/>
      <c r="U154" s="882"/>
      <c r="V154" s="882"/>
      <c r="W154" s="882"/>
      <c r="X154" s="882"/>
      <c r="Y154" s="882"/>
      <c r="Z154" s="882"/>
      <c r="AA154" s="882"/>
      <c r="AB154" s="882"/>
      <c r="AC154" s="882"/>
      <c r="AD154" s="882"/>
      <c r="AE154" s="882"/>
      <c r="AF154" s="882"/>
      <c r="AG154" s="882"/>
      <c r="AH154" s="882"/>
      <c r="AI154" s="882"/>
      <c r="AJ154" s="882"/>
      <c r="AK154" s="882"/>
      <c r="AL154" s="882"/>
      <c r="AM154" s="882"/>
      <c r="AN154" s="882"/>
      <c r="AO154" s="882"/>
      <c r="AP154" s="882"/>
      <c r="AQ154" s="882"/>
      <c r="AR154" s="883"/>
      <c r="AS154" s="176"/>
      <c r="AT154" s="176"/>
      <c r="AU154" s="176"/>
      <c r="AV154" s="176"/>
      <c r="AW154" s="176"/>
      <c r="AX154" s="176"/>
      <c r="AY154" s="176"/>
      <c r="AZ154" s="176"/>
      <c r="BA154" s="176"/>
      <c r="BB154" s="176"/>
      <c r="BC154" s="176"/>
      <c r="BD154" s="176"/>
      <c r="BE154" s="176"/>
      <c r="BF154" s="176"/>
      <c r="BG154" s="176"/>
      <c r="BH154" s="176"/>
      <c r="BI154" s="176"/>
      <c r="BJ154" s="176"/>
      <c r="BK154" s="176"/>
      <c r="BL154" s="176"/>
      <c r="BM154" s="176"/>
      <c r="BN154" s="176"/>
      <c r="BO154" s="176"/>
      <c r="BP154" s="176"/>
      <c r="BQ154" s="176"/>
      <c r="BR154" s="176"/>
      <c r="BS154" s="176"/>
      <c r="BT154" s="176"/>
      <c r="BU154" s="176"/>
      <c r="BV154" s="176"/>
      <c r="BW154" s="176"/>
      <c r="BX154" s="176"/>
      <c r="BY154" s="176"/>
      <c r="BZ154" s="176"/>
      <c r="CA154" s="176"/>
      <c r="CB154" s="176"/>
      <c r="CC154" s="176"/>
      <c r="CD154" s="176"/>
      <c r="CE154" s="176"/>
      <c r="CF154" s="176"/>
      <c r="CG154" s="176"/>
      <c r="CH154" s="176"/>
      <c r="CI154" s="176"/>
      <c r="CJ154" s="176"/>
      <c r="CK154" s="176"/>
      <c r="CL154" s="176"/>
      <c r="CM154" s="176"/>
      <c r="CN154" s="176"/>
      <c r="CO154" s="176"/>
      <c r="CP154" s="176"/>
      <c r="CQ154" s="176"/>
      <c r="CR154" s="176"/>
      <c r="CS154" s="176"/>
      <c r="CT154" s="176"/>
      <c r="CU154" s="176"/>
      <c r="CV154" s="176"/>
      <c r="CW154" s="176"/>
      <c r="CX154" s="176"/>
      <c r="CY154" s="176"/>
      <c r="CZ154" s="176"/>
      <c r="DA154" s="176"/>
      <c r="DB154" s="176"/>
      <c r="DC154" s="176"/>
      <c r="DD154" s="176"/>
      <c r="DE154" s="176"/>
      <c r="DF154" s="176"/>
      <c r="DG154" s="176"/>
      <c r="DH154" s="176"/>
      <c r="DI154" s="176"/>
      <c r="DJ154" s="176"/>
      <c r="DK154" s="176"/>
      <c r="DL154" s="176"/>
      <c r="DM154" s="176"/>
      <c r="DN154" s="176"/>
      <c r="DO154" s="176"/>
      <c r="DP154" s="176"/>
      <c r="DQ154" s="176"/>
      <c r="DR154" s="176"/>
      <c r="DS154" s="176"/>
      <c r="DT154" s="176"/>
      <c r="DU154" s="176"/>
      <c r="DV154" s="176"/>
      <c r="DW154" s="176"/>
      <c r="DX154" s="176"/>
      <c r="DY154" s="176"/>
      <c r="DZ154" s="176"/>
      <c r="EA154" s="176"/>
      <c r="EB154" s="176"/>
      <c r="EC154" s="176"/>
      <c r="ED154" s="176"/>
      <c r="EE154" s="176"/>
      <c r="EF154" s="176"/>
      <c r="EG154" s="176"/>
      <c r="EH154" s="176"/>
      <c r="EI154" s="176"/>
      <c r="EJ154" s="176"/>
      <c r="EK154" s="176"/>
    </row>
    <row r="155" spans="1:141" s="177" customFormat="1" ht="39.9" customHeight="1" thickBot="1" x14ac:dyDescent="0.75">
      <c r="A155" s="943" t="s">
        <v>137</v>
      </c>
      <c r="B155" s="944"/>
      <c r="C155" s="944"/>
      <c r="D155" s="944"/>
      <c r="E155" s="944"/>
      <c r="F155" s="944"/>
      <c r="G155" s="944"/>
      <c r="H155" s="944"/>
      <c r="I155" s="944"/>
      <c r="J155" s="944"/>
      <c r="K155" s="944"/>
      <c r="L155" s="944"/>
      <c r="M155" s="944"/>
      <c r="N155" s="944"/>
      <c r="O155" s="944"/>
      <c r="P155" s="944"/>
      <c r="Q155" s="944"/>
      <c r="R155" s="944"/>
      <c r="S155" s="944"/>
      <c r="T155" s="944"/>
      <c r="U155" s="944"/>
      <c r="V155" s="944"/>
      <c r="W155" s="944"/>
      <c r="X155" s="944"/>
      <c r="Y155" s="944"/>
      <c r="Z155" s="944"/>
      <c r="AA155" s="944"/>
      <c r="AB155" s="944"/>
      <c r="AC155" s="944"/>
      <c r="AD155" s="944"/>
      <c r="AE155" s="944"/>
      <c r="AF155" s="944"/>
      <c r="AG155" s="944"/>
      <c r="AH155" s="944"/>
      <c r="AI155" s="944"/>
      <c r="AJ155" s="944"/>
      <c r="AK155" s="944"/>
      <c r="AL155" s="944"/>
      <c r="AM155" s="944"/>
      <c r="AN155" s="944"/>
      <c r="AO155" s="944"/>
      <c r="AP155" s="944"/>
      <c r="AQ155" s="944"/>
      <c r="AR155" s="945"/>
      <c r="AS155" s="176"/>
      <c r="AT155" s="176"/>
      <c r="AU155" s="176"/>
      <c r="AV155" s="176"/>
      <c r="AW155" s="176"/>
      <c r="AX155" s="176"/>
      <c r="AY155" s="176"/>
      <c r="AZ155" s="176"/>
      <c r="BA155" s="176"/>
      <c r="BB155" s="176"/>
      <c r="BC155" s="176"/>
      <c r="BD155" s="176"/>
      <c r="BE155" s="176"/>
      <c r="BF155" s="176"/>
      <c r="BG155" s="176"/>
      <c r="BH155" s="176"/>
      <c r="BI155" s="176"/>
      <c r="BJ155" s="176"/>
      <c r="BK155" s="176"/>
      <c r="BL155" s="176"/>
      <c r="BM155" s="176"/>
      <c r="BN155" s="176"/>
      <c r="BO155" s="176"/>
      <c r="BP155" s="176"/>
      <c r="BQ155" s="176"/>
      <c r="BR155" s="176"/>
      <c r="BS155" s="176"/>
      <c r="BT155" s="176"/>
      <c r="BU155" s="176"/>
      <c r="BV155" s="176"/>
      <c r="BW155" s="176"/>
      <c r="BX155" s="176"/>
      <c r="BY155" s="176"/>
      <c r="BZ155" s="176"/>
      <c r="CA155" s="176"/>
      <c r="CB155" s="176"/>
      <c r="CC155" s="176"/>
      <c r="CD155" s="176"/>
      <c r="CE155" s="176"/>
      <c r="CF155" s="176"/>
      <c r="CG155" s="176"/>
      <c r="CH155" s="176"/>
      <c r="CI155" s="176"/>
      <c r="CJ155" s="176"/>
      <c r="CK155" s="176"/>
      <c r="CL155" s="176"/>
      <c r="CM155" s="176"/>
      <c r="CN155" s="176"/>
      <c r="CO155" s="176"/>
      <c r="CP155" s="176"/>
      <c r="CQ155" s="176"/>
      <c r="CR155" s="176"/>
      <c r="CS155" s="176"/>
      <c r="CT155" s="176"/>
      <c r="CU155" s="176"/>
      <c r="CV155" s="176"/>
      <c r="CW155" s="176"/>
      <c r="CX155" s="176"/>
      <c r="CY155" s="176"/>
      <c r="CZ155" s="176"/>
      <c r="DA155" s="176"/>
      <c r="DB155" s="176"/>
      <c r="DC155" s="176"/>
      <c r="DD155" s="176"/>
      <c r="DE155" s="176"/>
      <c r="DF155" s="176"/>
      <c r="DG155" s="176"/>
      <c r="DH155" s="176"/>
      <c r="DI155" s="176"/>
      <c r="DJ155" s="176"/>
      <c r="DK155" s="176"/>
      <c r="DL155" s="176"/>
      <c r="DM155" s="176"/>
      <c r="DN155" s="176"/>
      <c r="DO155" s="176"/>
      <c r="DP155" s="176"/>
      <c r="DQ155" s="176"/>
      <c r="DR155" s="176"/>
      <c r="DS155" s="176"/>
      <c r="DT155" s="176"/>
      <c r="DU155" s="176"/>
      <c r="DV155" s="176"/>
      <c r="DW155" s="176"/>
      <c r="DX155" s="176"/>
      <c r="DY155" s="176"/>
      <c r="DZ155" s="176"/>
      <c r="EA155" s="176"/>
      <c r="EB155" s="176"/>
      <c r="EC155" s="176"/>
      <c r="ED155" s="176"/>
      <c r="EE155" s="176"/>
      <c r="EF155" s="176"/>
      <c r="EG155" s="176"/>
      <c r="EH155" s="176"/>
      <c r="EI155" s="176"/>
      <c r="EJ155" s="176"/>
      <c r="EK155" s="176"/>
    </row>
    <row r="156" spans="1:141" s="88" customFormat="1" x14ac:dyDescent="0.7">
      <c r="A156" s="112" t="s">
        <v>139</v>
      </c>
      <c r="B156" s="113">
        <v>121</v>
      </c>
      <c r="C156" s="114">
        <v>3037</v>
      </c>
      <c r="D156" s="7">
        <v>0</v>
      </c>
      <c r="E156" s="8">
        <v>3</v>
      </c>
      <c r="F156" s="8">
        <f>0</f>
        <v>0</v>
      </c>
      <c r="G156" s="101">
        <f>0</f>
        <v>0</v>
      </c>
      <c r="H156" s="8">
        <v>15</v>
      </c>
      <c r="I156" s="102">
        <f>0</f>
        <v>0</v>
      </c>
      <c r="J156" s="101">
        <v>1.1000000000000001</v>
      </c>
      <c r="K156" s="8">
        <v>2</v>
      </c>
      <c r="L156" s="103">
        <v>1.7</v>
      </c>
      <c r="M156" s="82">
        <f>+C156*G156*D156/1000</f>
        <v>0</v>
      </c>
      <c r="N156" s="22"/>
      <c r="O156" s="202">
        <f>ROUND(C156*H156/1000,0)</f>
        <v>46</v>
      </c>
      <c r="P156" s="200">
        <f>ROUND(C156*H156/1000,0)</f>
        <v>46</v>
      </c>
      <c r="Q156" s="200">
        <f>ROUND(C156*H156/1000,0)</f>
        <v>46</v>
      </c>
      <c r="R156" s="52">
        <f>ROUND(C156*I156/1000,0)</f>
        <v>0</v>
      </c>
      <c r="S156" s="52"/>
      <c r="T156" s="86"/>
      <c r="U156" s="82"/>
      <c r="V156" s="22"/>
      <c r="W156" s="929" t="s">
        <v>116</v>
      </c>
      <c r="X156" s="930"/>
      <c r="Y156" s="931"/>
      <c r="Z156" s="82">
        <f>0</f>
        <v>0</v>
      </c>
      <c r="AA156" s="84"/>
      <c r="AB156" s="87"/>
      <c r="AC156" s="22" t="e">
        <f>+S156*W156*T156/1000</f>
        <v>#VALUE!</v>
      </c>
      <c r="AD156" s="22"/>
      <c r="AE156" s="210">
        <f t="shared" ref="AE156:AF158" si="119">ROUND(O156*490,0)</f>
        <v>22540</v>
      </c>
      <c r="AF156" s="210">
        <f t="shared" si="119"/>
        <v>22540</v>
      </c>
      <c r="AG156" s="52"/>
      <c r="AH156" s="13">
        <f t="shared" ref="AH156:AH158" si="120">ROUND(R156*960,0)</f>
        <v>0</v>
      </c>
      <c r="AI156" s="52"/>
      <c r="AJ156" s="85"/>
      <c r="AK156" s="170"/>
      <c r="AL156" s="52"/>
      <c r="AM156" s="104" t="e">
        <f t="shared" ref="AM156:AN158" si="121">W156+AE156</f>
        <v>#VALUE!</v>
      </c>
      <c r="AN156" s="104">
        <f>X156+AF156</f>
        <v>22540</v>
      </c>
      <c r="AO156" s="52"/>
      <c r="AP156" s="14">
        <f t="shared" ref="AP156:AP158" si="122">Z156+AH156</f>
        <v>0</v>
      </c>
      <c r="AQ156" s="52"/>
      <c r="AR156" s="85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  <c r="CC156" s="56"/>
      <c r="CD156" s="56"/>
      <c r="CE156" s="56"/>
      <c r="CF156" s="56"/>
      <c r="CG156" s="56"/>
      <c r="CH156" s="56"/>
      <c r="CI156" s="56"/>
      <c r="CJ156" s="56"/>
      <c r="CK156" s="56"/>
      <c r="CL156" s="56"/>
      <c r="CM156" s="56"/>
      <c r="CN156" s="56"/>
      <c r="CO156" s="56"/>
      <c r="CP156" s="56"/>
      <c r="CQ156" s="56"/>
      <c r="CR156" s="56"/>
      <c r="CS156" s="56"/>
      <c r="CT156" s="56"/>
      <c r="CU156" s="56"/>
      <c r="CV156" s="56"/>
      <c r="CW156" s="56"/>
      <c r="CX156" s="56"/>
      <c r="CY156" s="56"/>
      <c r="CZ156" s="56"/>
      <c r="DA156" s="56"/>
      <c r="DB156" s="56"/>
      <c r="DC156" s="56"/>
      <c r="DD156" s="56"/>
      <c r="DE156" s="56"/>
      <c r="DF156" s="56"/>
      <c r="DG156" s="56"/>
      <c r="DH156" s="56"/>
      <c r="DI156" s="56"/>
      <c r="DJ156" s="56"/>
      <c r="DK156" s="56"/>
      <c r="DL156" s="56"/>
      <c r="DM156" s="56"/>
      <c r="DN156" s="56"/>
      <c r="DO156" s="56"/>
      <c r="DP156" s="56"/>
      <c r="DQ156" s="56"/>
      <c r="DR156" s="56"/>
      <c r="DS156" s="56"/>
      <c r="DT156" s="56"/>
      <c r="DU156" s="56"/>
      <c r="DV156" s="56"/>
      <c r="DW156" s="56"/>
      <c r="DX156" s="56"/>
      <c r="DY156" s="56"/>
      <c r="DZ156" s="56"/>
      <c r="EA156" s="56"/>
      <c r="EB156" s="56"/>
      <c r="EC156" s="56"/>
      <c r="ED156" s="56"/>
      <c r="EE156" s="56"/>
      <c r="EF156" s="56"/>
      <c r="EG156" s="56"/>
      <c r="EH156" s="56"/>
      <c r="EI156" s="56"/>
      <c r="EJ156" s="56"/>
      <c r="EK156" s="56"/>
    </row>
    <row r="157" spans="1:141" s="88" customFormat="1" x14ac:dyDescent="0.7">
      <c r="A157" s="112" t="s">
        <v>140</v>
      </c>
      <c r="B157" s="115">
        <v>38</v>
      </c>
      <c r="C157" s="116">
        <v>842</v>
      </c>
      <c r="D157" s="22">
        <v>0</v>
      </c>
      <c r="E157" s="52">
        <v>3</v>
      </c>
      <c r="F157" s="52">
        <f>0</f>
        <v>0</v>
      </c>
      <c r="G157" s="82">
        <f>0</f>
        <v>0</v>
      </c>
      <c r="H157" s="52">
        <v>15</v>
      </c>
      <c r="I157" s="87">
        <f>0</f>
        <v>0</v>
      </c>
      <c r="J157" s="82">
        <v>1.1000000000000001</v>
      </c>
      <c r="K157" s="52">
        <v>2</v>
      </c>
      <c r="L157" s="84">
        <v>1.7</v>
      </c>
      <c r="M157" s="82">
        <f>+C157*G157*D157/1000</f>
        <v>0</v>
      </c>
      <c r="N157" s="22"/>
      <c r="O157" s="202">
        <f>ROUND(C157*H157/1000,0)</f>
        <v>13</v>
      </c>
      <c r="P157" s="200">
        <f>ROUND(C157*H157/1000,0)</f>
        <v>13</v>
      </c>
      <c r="Q157" s="200">
        <f t="shared" ref="Q157:Q158" si="123">ROUND(C157*H157/1000,0)</f>
        <v>13</v>
      </c>
      <c r="R157" s="52">
        <f>ROUND(C157*I157/1000,0)</f>
        <v>0</v>
      </c>
      <c r="S157" s="52"/>
      <c r="T157" s="86"/>
      <c r="U157" s="82"/>
      <c r="V157" s="22"/>
      <c r="W157" s="932"/>
      <c r="X157" s="933"/>
      <c r="Y157" s="934"/>
      <c r="Z157" s="82">
        <f>0</f>
        <v>0</v>
      </c>
      <c r="AA157" s="84"/>
      <c r="AB157" s="87"/>
      <c r="AC157" s="22">
        <f>+S157*W157*T157/1000</f>
        <v>0</v>
      </c>
      <c r="AD157" s="22"/>
      <c r="AE157" s="210">
        <f t="shared" si="119"/>
        <v>6370</v>
      </c>
      <c r="AF157" s="210">
        <f t="shared" si="119"/>
        <v>6370</v>
      </c>
      <c r="AG157" s="52"/>
      <c r="AH157" s="13">
        <f t="shared" si="120"/>
        <v>0</v>
      </c>
      <c r="AI157" s="52"/>
      <c r="AJ157" s="85"/>
      <c r="AK157" s="170"/>
      <c r="AL157" s="52"/>
      <c r="AM157" s="104">
        <f t="shared" si="121"/>
        <v>6370</v>
      </c>
      <c r="AN157" s="104">
        <f t="shared" si="121"/>
        <v>6370</v>
      </c>
      <c r="AO157" s="52"/>
      <c r="AP157" s="14">
        <f t="shared" si="122"/>
        <v>0</v>
      </c>
      <c r="AQ157" s="52"/>
      <c r="AR157" s="85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56"/>
      <c r="BX157" s="56"/>
      <c r="BY157" s="56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  <c r="CJ157" s="56"/>
      <c r="CK157" s="56"/>
      <c r="CL157" s="56"/>
      <c r="CM157" s="56"/>
      <c r="CN157" s="56"/>
      <c r="CO157" s="56"/>
      <c r="CP157" s="56"/>
      <c r="CQ157" s="56"/>
      <c r="CR157" s="56"/>
      <c r="CS157" s="56"/>
      <c r="CT157" s="56"/>
      <c r="CU157" s="56"/>
      <c r="CV157" s="56"/>
      <c r="CW157" s="56"/>
      <c r="CX157" s="56"/>
      <c r="CY157" s="56"/>
      <c r="CZ157" s="56"/>
      <c r="DA157" s="56"/>
      <c r="DB157" s="56"/>
      <c r="DC157" s="56"/>
      <c r="DD157" s="56"/>
      <c r="DE157" s="56"/>
      <c r="DF157" s="56"/>
      <c r="DG157" s="56"/>
      <c r="DH157" s="56"/>
      <c r="DI157" s="56"/>
      <c r="DJ157" s="56"/>
      <c r="DK157" s="56"/>
      <c r="DL157" s="56"/>
      <c r="DM157" s="56"/>
      <c r="DN157" s="56"/>
      <c r="DO157" s="56"/>
      <c r="DP157" s="56"/>
      <c r="DQ157" s="56"/>
      <c r="DR157" s="56"/>
      <c r="DS157" s="56"/>
      <c r="DT157" s="56"/>
      <c r="DU157" s="56"/>
      <c r="DV157" s="56"/>
      <c r="DW157" s="56"/>
      <c r="DX157" s="56"/>
      <c r="DY157" s="56"/>
      <c r="DZ157" s="56"/>
      <c r="EA157" s="56"/>
      <c r="EB157" s="56"/>
      <c r="EC157" s="56"/>
      <c r="ED157" s="56"/>
      <c r="EE157" s="56"/>
      <c r="EF157" s="56"/>
      <c r="EG157" s="56"/>
      <c r="EH157" s="56"/>
      <c r="EI157" s="56"/>
      <c r="EJ157" s="56"/>
      <c r="EK157" s="56"/>
    </row>
    <row r="158" spans="1:141" s="88" customFormat="1" ht="25.2" thickBot="1" x14ac:dyDescent="0.75">
      <c r="A158" s="112" t="s">
        <v>141</v>
      </c>
      <c r="B158" s="117">
        <v>38</v>
      </c>
      <c r="C158" s="118">
        <v>844</v>
      </c>
      <c r="D158" s="26">
        <v>0</v>
      </c>
      <c r="E158" s="90">
        <v>3</v>
      </c>
      <c r="F158" s="90">
        <f>0</f>
        <v>0</v>
      </c>
      <c r="G158" s="89">
        <f>0</f>
        <v>0</v>
      </c>
      <c r="H158" s="90">
        <v>15</v>
      </c>
      <c r="I158" s="91">
        <f>0</f>
        <v>0</v>
      </c>
      <c r="J158" s="89">
        <v>1.1000000000000001</v>
      </c>
      <c r="K158" s="90">
        <v>2</v>
      </c>
      <c r="L158" s="105">
        <v>1.7</v>
      </c>
      <c r="M158" s="82">
        <f>+C158*G158*D158/1000</f>
        <v>0</v>
      </c>
      <c r="N158" s="22"/>
      <c r="O158" s="202">
        <f>ROUND(C158*H158/1000,0)</f>
        <v>13</v>
      </c>
      <c r="P158" s="200">
        <f>ROUND(C158*H158/1000,0)</f>
        <v>13</v>
      </c>
      <c r="Q158" s="200">
        <f t="shared" si="123"/>
        <v>13</v>
      </c>
      <c r="R158" s="52">
        <f>ROUND(C158*I158/1000,0)</f>
        <v>0</v>
      </c>
      <c r="S158" s="52"/>
      <c r="T158" s="86"/>
      <c r="U158" s="82"/>
      <c r="V158" s="22"/>
      <c r="W158" s="935"/>
      <c r="X158" s="936"/>
      <c r="Y158" s="937"/>
      <c r="Z158" s="82">
        <f>0</f>
        <v>0</v>
      </c>
      <c r="AA158" s="84"/>
      <c r="AB158" s="87"/>
      <c r="AC158" s="22">
        <f>+S158*W158*T158/1000</f>
        <v>0</v>
      </c>
      <c r="AD158" s="22"/>
      <c r="AE158" s="210">
        <f t="shared" si="119"/>
        <v>6370</v>
      </c>
      <c r="AF158" s="210">
        <f t="shared" si="119"/>
        <v>6370</v>
      </c>
      <c r="AG158" s="52"/>
      <c r="AH158" s="13">
        <f t="shared" si="120"/>
        <v>0</v>
      </c>
      <c r="AI158" s="52"/>
      <c r="AJ158" s="85"/>
      <c r="AK158" s="170"/>
      <c r="AL158" s="52"/>
      <c r="AM158" s="104">
        <f t="shared" si="121"/>
        <v>6370</v>
      </c>
      <c r="AN158" s="104">
        <f t="shared" si="121"/>
        <v>6370</v>
      </c>
      <c r="AO158" s="52"/>
      <c r="AP158" s="14">
        <f t="shared" si="122"/>
        <v>0</v>
      </c>
      <c r="AQ158" s="52"/>
      <c r="AR158" s="85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  <c r="CC158" s="56"/>
      <c r="CD158" s="56"/>
      <c r="CE158" s="56"/>
      <c r="CF158" s="56"/>
      <c r="CG158" s="56"/>
      <c r="CH158" s="56"/>
      <c r="CI158" s="56"/>
      <c r="CJ158" s="56"/>
      <c r="CK158" s="56"/>
      <c r="CL158" s="56"/>
      <c r="CM158" s="56"/>
      <c r="CN158" s="56"/>
      <c r="CO158" s="56"/>
      <c r="CP158" s="56"/>
      <c r="CQ158" s="56"/>
      <c r="CR158" s="56"/>
      <c r="CS158" s="56"/>
      <c r="CT158" s="56"/>
      <c r="CU158" s="56"/>
      <c r="CV158" s="56"/>
      <c r="CW158" s="56"/>
      <c r="CX158" s="56"/>
      <c r="CY158" s="56"/>
      <c r="CZ158" s="56"/>
      <c r="DA158" s="56"/>
      <c r="DB158" s="56"/>
      <c r="DC158" s="56"/>
      <c r="DD158" s="56"/>
      <c r="DE158" s="56"/>
      <c r="DF158" s="56"/>
      <c r="DG158" s="56"/>
      <c r="DH158" s="56"/>
      <c r="DI158" s="56"/>
      <c r="DJ158" s="56"/>
      <c r="DK158" s="56"/>
      <c r="DL158" s="56"/>
      <c r="DM158" s="56"/>
      <c r="DN158" s="56"/>
      <c r="DO158" s="56"/>
      <c r="DP158" s="56"/>
      <c r="DQ158" s="56"/>
      <c r="DR158" s="56"/>
      <c r="DS158" s="56"/>
      <c r="DT158" s="56"/>
      <c r="DU158" s="56"/>
      <c r="DV158" s="56"/>
      <c r="DW158" s="56"/>
      <c r="DX158" s="56"/>
      <c r="DY158" s="56"/>
      <c r="DZ158" s="56"/>
      <c r="EA158" s="56"/>
      <c r="EB158" s="56"/>
      <c r="EC158" s="56"/>
      <c r="ED158" s="56"/>
      <c r="EE158" s="56"/>
      <c r="EF158" s="56"/>
      <c r="EG158" s="56"/>
      <c r="EH158" s="56"/>
      <c r="EI158" s="56"/>
      <c r="EJ158" s="56"/>
      <c r="EK158" s="56"/>
    </row>
    <row r="159" spans="1:141" ht="25.2" thickBot="1" x14ac:dyDescent="0.75">
      <c r="A159" s="884" t="s">
        <v>138</v>
      </c>
      <c r="B159" s="886">
        <f>SUM(B156:B158)</f>
        <v>197</v>
      </c>
      <c r="C159" s="925">
        <f>SUM(C156:C158)</f>
        <v>4723</v>
      </c>
      <c r="D159" s="888"/>
      <c r="E159" s="889"/>
      <c r="F159" s="889"/>
      <c r="G159" s="889"/>
      <c r="H159" s="889"/>
      <c r="I159" s="889"/>
      <c r="J159" s="889"/>
      <c r="K159" s="889"/>
      <c r="L159" s="890"/>
      <c r="M159" s="158">
        <f t="shared" ref="M159:U159" si="124">SUM(M156:M158)</f>
        <v>0</v>
      </c>
      <c r="N159" s="158">
        <f t="shared" si="124"/>
        <v>0</v>
      </c>
      <c r="O159" s="160">
        <f t="shared" si="124"/>
        <v>72</v>
      </c>
      <c r="P159" s="160">
        <f t="shared" si="124"/>
        <v>72</v>
      </c>
      <c r="Q159" s="160">
        <f t="shared" si="124"/>
        <v>72</v>
      </c>
      <c r="R159" s="161">
        <f t="shared" si="124"/>
        <v>0</v>
      </c>
      <c r="S159" s="161">
        <f t="shared" si="124"/>
        <v>0</v>
      </c>
      <c r="T159" s="163">
        <f t="shared" si="124"/>
        <v>0</v>
      </c>
      <c r="U159" s="158">
        <f t="shared" si="124"/>
        <v>0</v>
      </c>
      <c r="V159" s="188">
        <f>V157+V156+V155</f>
        <v>0</v>
      </c>
      <c r="W159" s="157">
        <f>SUM(W156:W158)</f>
        <v>0</v>
      </c>
      <c r="X159" s="157">
        <f>SUM(X156:X158)</f>
        <v>0</v>
      </c>
      <c r="Y159" s="164"/>
      <c r="Z159" s="164"/>
      <c r="AA159" s="164"/>
      <c r="AB159" s="164"/>
      <c r="AC159" s="157" t="e">
        <f>SUM(AC156:AC158)</f>
        <v>#VALUE!</v>
      </c>
      <c r="AD159" s="157">
        <f>SUM(AD156:AD158)</f>
        <v>0</v>
      </c>
      <c r="AE159" s="166">
        <f>SUM(AE156:AE158)</f>
        <v>35280</v>
      </c>
      <c r="AF159" s="166">
        <f>SUM(AF154:AF158)</f>
        <v>35280</v>
      </c>
      <c r="AG159" s="166">
        <f>SUM(AG154:AG158)</f>
        <v>0</v>
      </c>
      <c r="AH159" s="175">
        <f>SUM(AH154:AH158)</f>
        <v>0</v>
      </c>
      <c r="AI159" s="175">
        <f>SUM(AI154:AI158)</f>
        <v>0</v>
      </c>
      <c r="AJ159" s="175">
        <f>SUM(AJ154:AJ158)</f>
        <v>0</v>
      </c>
      <c r="AK159" s="165">
        <f>SUM(AK157:AK158)</f>
        <v>0</v>
      </c>
      <c r="AL159" s="165">
        <f>0</f>
        <v>0</v>
      </c>
      <c r="AM159" s="166" t="e">
        <f>SUM(AM154:AM158)</f>
        <v>#VALUE!</v>
      </c>
      <c r="AN159" s="166">
        <f>AN156+AN157</f>
        <v>28910</v>
      </c>
      <c r="AO159" s="164"/>
      <c r="AP159" s="175">
        <f>SUM(AP154:AP158)</f>
        <v>0</v>
      </c>
      <c r="AQ159" s="164"/>
      <c r="AR159" s="167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141" ht="25.2" thickBot="1" x14ac:dyDescent="0.75">
      <c r="A160" s="885"/>
      <c r="B160" s="887"/>
      <c r="C160" s="926"/>
      <c r="D160" s="891"/>
      <c r="E160" s="892"/>
      <c r="F160" s="892"/>
      <c r="G160" s="892"/>
      <c r="H160" s="892"/>
      <c r="I160" s="892"/>
      <c r="J160" s="892"/>
      <c r="K160" s="892"/>
      <c r="L160" s="893"/>
      <c r="M160" s="894">
        <f>M159+N159</f>
        <v>0</v>
      </c>
      <c r="N160" s="895">
        <f>M159+N159</f>
        <v>0</v>
      </c>
      <c r="O160" s="896">
        <f>+O159+P159+Q159</f>
        <v>216</v>
      </c>
      <c r="P160" s="897"/>
      <c r="Q160" s="898"/>
      <c r="R160" s="899">
        <f>+R159+S159+T159</f>
        <v>0</v>
      </c>
      <c r="S160" s="900"/>
      <c r="T160" s="901"/>
      <c r="U160" s="927">
        <f>U159+V159</f>
        <v>0</v>
      </c>
      <c r="V160" s="928"/>
      <c r="W160" s="904">
        <f>W159+X159+Y159</f>
        <v>0</v>
      </c>
      <c r="X160" s="905"/>
      <c r="Y160" s="906"/>
      <c r="Z160" s="907">
        <f>Z159+AA159+AB159</f>
        <v>0</v>
      </c>
      <c r="AA160" s="908"/>
      <c r="AB160" s="909"/>
      <c r="AC160" s="912" t="e">
        <f>AC159+AD159</f>
        <v>#VALUE!</v>
      </c>
      <c r="AD160" s="914">
        <f t="shared" ref="AD160" si="125">ROUND(N160*960,0)</f>
        <v>0</v>
      </c>
      <c r="AE160" s="912">
        <f>AE159+AF159+AG159</f>
        <v>70560</v>
      </c>
      <c r="AF160" s="913"/>
      <c r="AG160" s="914"/>
      <c r="AH160" s="915">
        <f>AH159+AI159+AJ159</f>
        <v>0</v>
      </c>
      <c r="AI160" s="916"/>
      <c r="AJ160" s="917"/>
      <c r="AK160" s="918">
        <f>AK159+AL159</f>
        <v>0</v>
      </c>
      <c r="AL160" s="919">
        <f t="shared" ref="AL160" si="126">V160+AD160</f>
        <v>0</v>
      </c>
      <c r="AM160" s="912" t="e">
        <f>AM159+AN159+AO159</f>
        <v>#VALUE!</v>
      </c>
      <c r="AN160" s="913"/>
      <c r="AO160" s="914"/>
      <c r="AP160" s="920">
        <f>AP159+AQ159+AR159</f>
        <v>0</v>
      </c>
      <c r="AQ160" s="921"/>
      <c r="AR160" s="922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141" s="68" customFormat="1" ht="39.9" customHeight="1" thickBot="1" x14ac:dyDescent="0.75">
      <c r="A161" s="938" t="s">
        <v>142</v>
      </c>
      <c r="B161" s="939"/>
      <c r="C161" s="939"/>
      <c r="D161" s="939"/>
      <c r="E161" s="939"/>
      <c r="F161" s="939"/>
      <c r="G161" s="939"/>
      <c r="H161" s="939"/>
      <c r="I161" s="939"/>
      <c r="J161" s="939"/>
      <c r="K161" s="939"/>
      <c r="L161" s="939"/>
      <c r="M161" s="939"/>
      <c r="N161" s="939"/>
      <c r="O161" s="939"/>
      <c r="P161" s="939"/>
      <c r="Q161" s="939"/>
      <c r="R161" s="939"/>
      <c r="S161" s="939"/>
      <c r="T161" s="939"/>
      <c r="U161" s="939"/>
      <c r="V161" s="939"/>
      <c r="W161" s="939"/>
      <c r="X161" s="939"/>
      <c r="Y161" s="939"/>
      <c r="Z161" s="939"/>
      <c r="AA161" s="939"/>
      <c r="AB161" s="939"/>
      <c r="AC161" s="939"/>
      <c r="AD161" s="939"/>
      <c r="AE161" s="939"/>
      <c r="AF161" s="939"/>
      <c r="AG161" s="939"/>
      <c r="AH161" s="939"/>
      <c r="AI161" s="939"/>
      <c r="AJ161" s="939"/>
      <c r="AK161" s="939"/>
      <c r="AL161" s="939"/>
      <c r="AM161" s="939"/>
      <c r="AN161" s="939"/>
      <c r="AO161" s="939"/>
      <c r="AP161" s="939"/>
      <c r="AQ161" s="939"/>
      <c r="AR161" s="940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  <c r="BP161" s="69"/>
      <c r="BQ161" s="69"/>
      <c r="BR161" s="69"/>
      <c r="BS161" s="69"/>
      <c r="BT161" s="69"/>
      <c r="BU161" s="69"/>
      <c r="BV161" s="69"/>
      <c r="BW161" s="69"/>
      <c r="BX161" s="69"/>
      <c r="BY161" s="69"/>
      <c r="BZ161" s="69"/>
      <c r="CA161" s="69"/>
      <c r="CB161" s="69"/>
      <c r="CC161" s="69"/>
      <c r="CD161" s="69"/>
      <c r="CE161" s="69"/>
      <c r="CF161" s="69"/>
      <c r="CG161" s="69"/>
      <c r="CH161" s="69"/>
      <c r="CI161" s="69"/>
      <c r="CJ161" s="69"/>
      <c r="CK161" s="69"/>
      <c r="CL161" s="69"/>
      <c r="CM161" s="69"/>
      <c r="CN161" s="69"/>
      <c r="CO161" s="69"/>
      <c r="CP161" s="69"/>
      <c r="CQ161" s="69"/>
      <c r="CR161" s="69"/>
      <c r="CS161" s="69"/>
      <c r="CT161" s="69"/>
      <c r="CU161" s="69"/>
      <c r="CV161" s="69"/>
      <c r="CW161" s="69"/>
      <c r="CX161" s="69"/>
      <c r="CY161" s="69"/>
      <c r="CZ161" s="69"/>
      <c r="DA161" s="69"/>
      <c r="DB161" s="69"/>
      <c r="DC161" s="69"/>
      <c r="DD161" s="69"/>
      <c r="DE161" s="69"/>
      <c r="DF161" s="69"/>
      <c r="DG161" s="69"/>
      <c r="DH161" s="69"/>
      <c r="DI161" s="69"/>
      <c r="DJ161" s="69"/>
      <c r="DK161" s="69"/>
      <c r="DL161" s="69"/>
      <c r="DM161" s="69"/>
      <c r="DN161" s="69"/>
      <c r="DO161" s="69"/>
      <c r="DP161" s="69"/>
      <c r="DQ161" s="69"/>
      <c r="DR161" s="69"/>
      <c r="DS161" s="69"/>
      <c r="DT161" s="69"/>
      <c r="DU161" s="69"/>
      <c r="DV161" s="69"/>
      <c r="DW161" s="69"/>
      <c r="DX161" s="69"/>
      <c r="DY161" s="69"/>
      <c r="DZ161" s="69"/>
      <c r="EA161" s="69"/>
      <c r="EB161" s="69"/>
      <c r="EC161" s="69"/>
      <c r="ED161" s="69"/>
      <c r="EE161" s="69"/>
      <c r="EF161" s="69"/>
      <c r="EG161" s="69"/>
      <c r="EH161" s="69"/>
      <c r="EI161" s="69"/>
      <c r="EJ161" s="69"/>
      <c r="EK161" s="69"/>
    </row>
    <row r="162" spans="1:141" x14ac:dyDescent="0.7">
      <c r="A162" s="119" t="s">
        <v>144</v>
      </c>
      <c r="B162" s="120">
        <v>24</v>
      </c>
      <c r="C162" s="121">
        <v>534</v>
      </c>
      <c r="D162" s="46">
        <v>0</v>
      </c>
      <c r="E162" s="10">
        <v>3</v>
      </c>
      <c r="F162" s="10">
        <v>0</v>
      </c>
      <c r="G162" s="9">
        <f>0</f>
        <v>0</v>
      </c>
      <c r="H162" s="10">
        <v>15</v>
      </c>
      <c r="I162" s="11"/>
      <c r="J162" s="9">
        <v>1.1000000000000001</v>
      </c>
      <c r="K162" s="10">
        <v>2</v>
      </c>
      <c r="L162" s="12">
        <v>1.7</v>
      </c>
      <c r="M162" s="13"/>
      <c r="N162" s="17"/>
      <c r="O162" s="15">
        <f>ROUND(C162*H162/1000,0)</f>
        <v>8</v>
      </c>
      <c r="P162" s="14">
        <f>ROUND(C162*H162/1000,0)</f>
        <v>8</v>
      </c>
      <c r="Q162" s="14">
        <f>ROUND(C162*H162/1000,0)</f>
        <v>8</v>
      </c>
      <c r="R162" s="14"/>
      <c r="S162" s="14"/>
      <c r="T162" s="18"/>
      <c r="U162" s="13"/>
      <c r="V162" s="17"/>
      <c r="W162" s="13">
        <f>ROUND(C162*K162,0)</f>
        <v>1068</v>
      </c>
      <c r="X162" s="13">
        <f t="shared" ref="X162:X168" si="127">ROUND(C162*K162,0)</f>
        <v>1068</v>
      </c>
      <c r="Y162" s="13">
        <f t="shared" ref="Y162:Y168" si="128">ROUND(C162*K162,0)</f>
        <v>1068</v>
      </c>
      <c r="Z162" s="14"/>
      <c r="AA162" s="15"/>
      <c r="AB162" s="23"/>
      <c r="AC162" s="17"/>
      <c r="AD162" s="17"/>
      <c r="AE162" s="13">
        <f>ROUND(O162*95,0)</f>
        <v>760</v>
      </c>
      <c r="AF162" s="13">
        <f>ROUND(P162*95,0)</f>
        <v>760</v>
      </c>
      <c r="AG162" s="13">
        <f>ROUND(Q162*95,0)</f>
        <v>760</v>
      </c>
      <c r="AH162" s="14"/>
      <c r="AI162" s="14"/>
      <c r="AJ162" s="16"/>
      <c r="AK162" s="100"/>
      <c r="AL162" s="14"/>
      <c r="AM162" s="14">
        <f>W162+AE162</f>
        <v>1828</v>
      </c>
      <c r="AN162" s="14">
        <f>X162+AF162</f>
        <v>1828</v>
      </c>
      <c r="AO162" s="14">
        <f>Y162+AG162</f>
        <v>1828</v>
      </c>
      <c r="AP162" s="14"/>
      <c r="AQ162" s="14"/>
      <c r="AR162" s="1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  <c r="BV162" s="56"/>
      <c r="BW162" s="56"/>
      <c r="BX162" s="56"/>
      <c r="BY162" s="56"/>
      <c r="BZ162" s="56"/>
      <c r="CA162" s="56"/>
      <c r="CB162" s="56"/>
      <c r="CC162" s="56"/>
      <c r="CD162" s="56"/>
      <c r="CE162" s="56"/>
      <c r="CF162" s="56"/>
      <c r="CG162" s="56"/>
      <c r="CH162" s="56"/>
      <c r="CI162" s="56"/>
      <c r="CJ162" s="56"/>
      <c r="CK162" s="56"/>
      <c r="CL162" s="56"/>
      <c r="CM162" s="56"/>
      <c r="CN162" s="56"/>
      <c r="CO162" s="56"/>
      <c r="CP162" s="56"/>
      <c r="CQ162" s="56"/>
      <c r="CR162" s="56"/>
      <c r="CS162" s="56"/>
      <c r="CT162" s="56"/>
      <c r="CU162" s="56"/>
      <c r="CV162" s="56"/>
      <c r="CW162" s="56"/>
      <c r="CX162" s="56"/>
      <c r="CY162" s="56"/>
      <c r="CZ162" s="56"/>
      <c r="DA162" s="56"/>
      <c r="DB162" s="56"/>
      <c r="DC162" s="56"/>
      <c r="DD162" s="56"/>
      <c r="DE162" s="56"/>
      <c r="DF162" s="56"/>
      <c r="DG162" s="56"/>
      <c r="DH162" s="56"/>
      <c r="DI162" s="56"/>
      <c r="DJ162" s="56"/>
      <c r="DK162" s="56"/>
      <c r="DL162" s="56"/>
      <c r="DM162" s="56"/>
      <c r="DN162" s="56"/>
      <c r="DO162" s="56"/>
      <c r="DP162" s="56"/>
      <c r="DQ162" s="56"/>
      <c r="DR162" s="56"/>
      <c r="DS162" s="56"/>
      <c r="DT162" s="56"/>
      <c r="DU162" s="56"/>
      <c r="DV162" s="56"/>
      <c r="DW162" s="56"/>
      <c r="DX162" s="56"/>
      <c r="DY162" s="56"/>
      <c r="DZ162" s="56"/>
      <c r="EA162" s="56"/>
      <c r="EB162" s="56"/>
      <c r="EC162" s="56"/>
      <c r="ED162" s="56"/>
      <c r="EE162" s="56"/>
      <c r="EF162" s="56"/>
      <c r="EG162" s="56"/>
      <c r="EH162" s="56"/>
      <c r="EI162" s="56"/>
      <c r="EJ162" s="56"/>
      <c r="EK162" s="56"/>
    </row>
    <row r="163" spans="1:141" x14ac:dyDescent="0.7">
      <c r="A163" s="119" t="s">
        <v>145</v>
      </c>
      <c r="B163" s="122">
        <v>39</v>
      </c>
      <c r="C163" s="123">
        <v>980</v>
      </c>
      <c r="D163" s="17">
        <v>0</v>
      </c>
      <c r="E163" s="14">
        <v>3</v>
      </c>
      <c r="F163" s="14">
        <v>0</v>
      </c>
      <c r="G163" s="13">
        <f>0</f>
        <v>0</v>
      </c>
      <c r="H163" s="14">
        <v>15</v>
      </c>
      <c r="I163" s="23"/>
      <c r="J163" s="13">
        <v>1.1000000000000001</v>
      </c>
      <c r="K163" s="14">
        <v>2</v>
      </c>
      <c r="L163" s="15">
        <v>1.7</v>
      </c>
      <c r="M163" s="13"/>
      <c r="N163" s="17"/>
      <c r="O163" s="15">
        <f>ROUND(C163*H163/1000,0)</f>
        <v>15</v>
      </c>
      <c r="P163" s="14">
        <f>ROUND(C163*H163/1000,0)</f>
        <v>15</v>
      </c>
      <c r="Q163" s="14">
        <f>ROUND(C163*H163/1000,0)</f>
        <v>15</v>
      </c>
      <c r="R163" s="14"/>
      <c r="S163" s="14"/>
      <c r="T163" s="18"/>
      <c r="U163" s="13"/>
      <c r="V163" s="17"/>
      <c r="W163" s="13">
        <f t="shared" ref="W163:W165" si="129">ROUND(C163*K163,0)</f>
        <v>1960</v>
      </c>
      <c r="X163" s="13">
        <f t="shared" si="127"/>
        <v>1960</v>
      </c>
      <c r="Y163" s="13">
        <f t="shared" si="128"/>
        <v>1960</v>
      </c>
      <c r="Z163" s="14"/>
      <c r="AA163" s="15"/>
      <c r="AB163" s="23"/>
      <c r="AC163" s="17"/>
      <c r="AD163" s="17"/>
      <c r="AE163" s="13">
        <f t="shared" ref="AE163:AE165" si="130">ROUND(O163*95,0)</f>
        <v>1425</v>
      </c>
      <c r="AF163" s="13">
        <f t="shared" ref="AF163:AF165" si="131">ROUND(P163*95,0)</f>
        <v>1425</v>
      </c>
      <c r="AG163" s="13">
        <f t="shared" ref="AG163:AG165" si="132">ROUND(Q163*95,0)</f>
        <v>1425</v>
      </c>
      <c r="AH163" s="14"/>
      <c r="AI163" s="14"/>
      <c r="AJ163" s="16"/>
      <c r="AK163" s="100"/>
      <c r="AL163" s="14"/>
      <c r="AM163" s="14">
        <f t="shared" ref="AM163:AM165" si="133">W163+AE163</f>
        <v>3385</v>
      </c>
      <c r="AN163" s="14">
        <f t="shared" ref="AN163:AN165" si="134">X163+AF163</f>
        <v>3385</v>
      </c>
      <c r="AO163" s="14">
        <f t="shared" ref="AO163:AO165" si="135">Y163+AG163</f>
        <v>3385</v>
      </c>
      <c r="AP163" s="14"/>
      <c r="AQ163" s="14"/>
      <c r="AR163" s="1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/>
      <c r="CF163" s="56"/>
      <c r="CG163" s="56"/>
      <c r="CH163" s="56"/>
      <c r="CI163" s="56"/>
      <c r="CJ163" s="56"/>
      <c r="CK163" s="56"/>
      <c r="CL163" s="56"/>
      <c r="CM163" s="56"/>
      <c r="CN163" s="56"/>
      <c r="CO163" s="56"/>
      <c r="CP163" s="56"/>
      <c r="CQ163" s="56"/>
      <c r="CR163" s="56"/>
      <c r="CS163" s="56"/>
      <c r="CT163" s="56"/>
      <c r="CU163" s="56"/>
      <c r="CV163" s="56"/>
      <c r="CW163" s="56"/>
      <c r="CX163" s="56"/>
      <c r="CY163" s="56"/>
      <c r="CZ163" s="56"/>
      <c r="DA163" s="56"/>
      <c r="DB163" s="56"/>
      <c r="DC163" s="56"/>
      <c r="DD163" s="56"/>
      <c r="DE163" s="56"/>
      <c r="DF163" s="56"/>
      <c r="DG163" s="56"/>
      <c r="DH163" s="56"/>
      <c r="DI163" s="56"/>
      <c r="DJ163" s="56"/>
      <c r="DK163" s="56"/>
      <c r="DL163" s="56"/>
      <c r="DM163" s="56"/>
      <c r="DN163" s="56"/>
      <c r="DO163" s="56"/>
      <c r="DP163" s="56"/>
      <c r="DQ163" s="56"/>
      <c r="DR163" s="56"/>
      <c r="DS163" s="56"/>
      <c r="DT163" s="56"/>
      <c r="DU163" s="56"/>
      <c r="DV163" s="56"/>
      <c r="DW163" s="56"/>
      <c r="DX163" s="56"/>
      <c r="DY163" s="56"/>
      <c r="DZ163" s="56"/>
      <c r="EA163" s="56"/>
      <c r="EB163" s="56"/>
      <c r="EC163" s="56"/>
      <c r="ED163" s="56"/>
      <c r="EE163" s="56"/>
      <c r="EF163" s="56"/>
      <c r="EG163" s="56"/>
      <c r="EH163" s="56"/>
      <c r="EI163" s="56"/>
      <c r="EJ163" s="56"/>
      <c r="EK163" s="56"/>
    </row>
    <row r="164" spans="1:141" x14ac:dyDescent="0.7">
      <c r="A164" s="119" t="s">
        <v>146</v>
      </c>
      <c r="B164" s="124">
        <v>14</v>
      </c>
      <c r="C164" s="125">
        <v>309</v>
      </c>
      <c r="D164" s="31">
        <v>0</v>
      </c>
      <c r="E164" s="28">
        <v>3</v>
      </c>
      <c r="F164" s="28">
        <v>0</v>
      </c>
      <c r="G164" s="27">
        <f>0</f>
        <v>0</v>
      </c>
      <c r="H164" s="28">
        <v>15</v>
      </c>
      <c r="I164" s="29"/>
      <c r="J164" s="27">
        <v>1.1000000000000001</v>
      </c>
      <c r="K164" s="28">
        <v>2</v>
      </c>
      <c r="L164" s="30">
        <v>1.7</v>
      </c>
      <c r="M164" s="27" t="s">
        <v>39</v>
      </c>
      <c r="N164" s="31"/>
      <c r="O164" s="30">
        <f>ROUND(C164*H164/1000,0)</f>
        <v>5</v>
      </c>
      <c r="P164" s="28">
        <f>ROUND(C164*H164/1000,0)</f>
        <v>5</v>
      </c>
      <c r="Q164" s="28">
        <f>ROUND(C164*H164/1000,0)</f>
        <v>5</v>
      </c>
      <c r="R164" s="28"/>
      <c r="S164" s="28"/>
      <c r="T164" s="32"/>
      <c r="U164" s="27"/>
      <c r="V164" s="31"/>
      <c r="W164" s="13">
        <f t="shared" si="129"/>
        <v>618</v>
      </c>
      <c r="X164" s="13">
        <f t="shared" si="127"/>
        <v>618</v>
      </c>
      <c r="Y164" s="13">
        <f t="shared" si="128"/>
        <v>618</v>
      </c>
      <c r="Z164" s="28"/>
      <c r="AA164" s="30"/>
      <c r="AB164" s="29"/>
      <c r="AC164" s="31" t="s">
        <v>39</v>
      </c>
      <c r="AD164" s="31"/>
      <c r="AE164" s="13">
        <f>ROUND(O164*95,0)</f>
        <v>475</v>
      </c>
      <c r="AF164" s="13">
        <f t="shared" si="131"/>
        <v>475</v>
      </c>
      <c r="AG164" s="13">
        <f t="shared" si="132"/>
        <v>475</v>
      </c>
      <c r="AH164" s="28"/>
      <c r="AI164" s="28"/>
      <c r="AJ164" s="181"/>
      <c r="AK164" s="171"/>
      <c r="AL164" s="28"/>
      <c r="AM164" s="14">
        <f t="shared" si="133"/>
        <v>1093</v>
      </c>
      <c r="AN164" s="14">
        <f t="shared" si="134"/>
        <v>1093</v>
      </c>
      <c r="AO164" s="14">
        <f t="shared" si="135"/>
        <v>1093</v>
      </c>
      <c r="AP164" s="28"/>
      <c r="AQ164" s="28"/>
      <c r="AR164" s="181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  <c r="CT164" s="56"/>
      <c r="CU164" s="56"/>
      <c r="CV164" s="56"/>
      <c r="CW164" s="56"/>
      <c r="CX164" s="56"/>
      <c r="CY164" s="56"/>
      <c r="CZ164" s="56"/>
      <c r="DA164" s="56"/>
      <c r="DB164" s="56"/>
      <c r="DC164" s="56"/>
      <c r="DD164" s="56"/>
      <c r="DE164" s="56"/>
      <c r="DF164" s="56"/>
      <c r="DG164" s="56"/>
      <c r="DH164" s="56"/>
      <c r="DI164" s="56"/>
      <c r="DJ164" s="56"/>
      <c r="DK164" s="56"/>
      <c r="DL164" s="56"/>
      <c r="DM164" s="56"/>
      <c r="DN164" s="56"/>
      <c r="DO164" s="56"/>
      <c r="DP164" s="56"/>
      <c r="DQ164" s="56"/>
      <c r="DR164" s="56"/>
      <c r="DS164" s="56"/>
      <c r="DT164" s="56"/>
      <c r="DU164" s="56"/>
      <c r="DV164" s="56"/>
      <c r="DW164" s="56"/>
      <c r="DX164" s="56"/>
      <c r="DY164" s="56"/>
      <c r="DZ164" s="56"/>
      <c r="EA164" s="56"/>
      <c r="EB164" s="56"/>
      <c r="EC164" s="56"/>
      <c r="ED164" s="56"/>
      <c r="EE164" s="56"/>
      <c r="EF164" s="56"/>
      <c r="EG164" s="56"/>
      <c r="EH164" s="56"/>
      <c r="EI164" s="56"/>
      <c r="EJ164" s="56"/>
      <c r="EK164" s="56"/>
    </row>
    <row r="165" spans="1:141" ht="25.2" thickBot="1" x14ac:dyDescent="0.75">
      <c r="A165" s="119" t="s">
        <v>147</v>
      </c>
      <c r="B165" s="124">
        <v>109</v>
      </c>
      <c r="C165" s="125">
        <v>2388</v>
      </c>
      <c r="D165" s="31">
        <f>0</f>
        <v>0</v>
      </c>
      <c r="E165" s="28">
        <v>3</v>
      </c>
      <c r="F165" s="147"/>
      <c r="G165" s="31">
        <f>0</f>
        <v>0</v>
      </c>
      <c r="H165" s="28">
        <v>15</v>
      </c>
      <c r="I165" s="147"/>
      <c r="J165" s="27">
        <v>1.1000000000000001</v>
      </c>
      <c r="K165" s="28">
        <v>2</v>
      </c>
      <c r="L165" s="147">
        <v>1.7</v>
      </c>
      <c r="M165" s="17"/>
      <c r="N165" s="17"/>
      <c r="O165" s="30">
        <f>ROUND(C165*H165/1000,0)</f>
        <v>36</v>
      </c>
      <c r="P165" s="28">
        <f>ROUND(C165*H165/1000,0)</f>
        <v>36</v>
      </c>
      <c r="Q165" s="28">
        <f>ROUND(C165*H165/1000,0)</f>
        <v>36</v>
      </c>
      <c r="R165" s="15"/>
      <c r="S165" s="15"/>
      <c r="T165" s="209"/>
      <c r="U165" s="17"/>
      <c r="V165" s="18"/>
      <c r="W165" s="13">
        <f t="shared" si="129"/>
        <v>4776</v>
      </c>
      <c r="X165" s="13">
        <f t="shared" si="127"/>
        <v>4776</v>
      </c>
      <c r="Y165" s="13">
        <f t="shared" si="128"/>
        <v>4776</v>
      </c>
      <c r="Z165" s="17"/>
      <c r="AA165" s="30"/>
      <c r="AB165" s="147"/>
      <c r="AC165" s="31"/>
      <c r="AD165" s="147"/>
      <c r="AE165" s="13">
        <f t="shared" si="130"/>
        <v>3420</v>
      </c>
      <c r="AF165" s="13">
        <f t="shared" si="131"/>
        <v>3420</v>
      </c>
      <c r="AG165" s="13">
        <f t="shared" si="132"/>
        <v>3420</v>
      </c>
      <c r="AH165" s="28"/>
      <c r="AI165" s="28"/>
      <c r="AJ165" s="32"/>
      <c r="AK165" s="171"/>
      <c r="AL165" s="31"/>
      <c r="AM165" s="14">
        <f t="shared" si="133"/>
        <v>8196</v>
      </c>
      <c r="AN165" s="14">
        <f t="shared" si="134"/>
        <v>8196</v>
      </c>
      <c r="AO165" s="14">
        <f t="shared" si="135"/>
        <v>8196</v>
      </c>
      <c r="AP165" s="28"/>
      <c r="AQ165" s="28"/>
      <c r="AR165" s="181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56"/>
      <c r="CP165" s="56"/>
      <c r="CQ165" s="56"/>
      <c r="CR165" s="56"/>
      <c r="CS165" s="56"/>
      <c r="CT165" s="56"/>
      <c r="CU165" s="56"/>
      <c r="CV165" s="56"/>
      <c r="CW165" s="56"/>
      <c r="CX165" s="56"/>
      <c r="CY165" s="56"/>
      <c r="CZ165" s="56"/>
      <c r="DA165" s="56"/>
      <c r="DB165" s="56"/>
      <c r="DC165" s="56"/>
      <c r="DD165" s="56"/>
      <c r="DE165" s="56"/>
      <c r="DF165" s="56"/>
      <c r="DG165" s="56"/>
      <c r="DH165" s="56"/>
      <c r="DI165" s="56"/>
      <c r="DJ165" s="56"/>
      <c r="DK165" s="56"/>
      <c r="DL165" s="56"/>
      <c r="DM165" s="56"/>
      <c r="DN165" s="56"/>
      <c r="DO165" s="56"/>
      <c r="DP165" s="56"/>
      <c r="DQ165" s="56"/>
      <c r="DR165" s="56"/>
      <c r="DS165" s="56"/>
      <c r="DT165" s="56"/>
      <c r="DU165" s="56"/>
      <c r="DV165" s="56"/>
      <c r="DW165" s="56"/>
      <c r="DX165" s="56"/>
      <c r="DY165" s="56"/>
      <c r="DZ165" s="56"/>
      <c r="EA165" s="56"/>
      <c r="EB165" s="56"/>
      <c r="EC165" s="56"/>
      <c r="ED165" s="56"/>
      <c r="EE165" s="56"/>
      <c r="EF165" s="56"/>
      <c r="EG165" s="56"/>
      <c r="EH165" s="56"/>
      <c r="EI165" s="56"/>
      <c r="EJ165" s="56"/>
      <c r="EK165" s="56"/>
    </row>
    <row r="166" spans="1:141" ht="25.2" thickBot="1" x14ac:dyDescent="0.75">
      <c r="A166" s="884" t="s">
        <v>143</v>
      </c>
      <c r="B166" s="886">
        <f>SUM(B162:B165)</f>
        <v>186</v>
      </c>
      <c r="C166" s="925">
        <f>SUM(C162:C165)</f>
        <v>4211</v>
      </c>
      <c r="D166" s="888"/>
      <c r="E166" s="889"/>
      <c r="F166" s="889"/>
      <c r="G166" s="889"/>
      <c r="H166" s="889"/>
      <c r="I166" s="889"/>
      <c r="J166" s="889"/>
      <c r="K166" s="889"/>
      <c r="L166" s="890"/>
      <c r="M166" s="158">
        <f>SUM(M162:M164)</f>
        <v>0</v>
      </c>
      <c r="N166" s="158">
        <f>SUM(N162:N164)</f>
        <v>0</v>
      </c>
      <c r="O166" s="160">
        <f>SUM(O162:O165)</f>
        <v>64</v>
      </c>
      <c r="P166" s="160">
        <f>SUM(P162:P165)</f>
        <v>64</v>
      </c>
      <c r="Q166" s="160">
        <f>SUM(Q162:Q165)</f>
        <v>64</v>
      </c>
      <c r="R166" s="161">
        <f>SUM(R162:R164)</f>
        <v>0</v>
      </c>
      <c r="S166" s="161">
        <f>SUM(S162:S164)</f>
        <v>0</v>
      </c>
      <c r="T166" s="163">
        <f>SUM(T162:T164)</f>
        <v>0</v>
      </c>
      <c r="U166" s="158">
        <f>SUM(U162:U164)</f>
        <v>0</v>
      </c>
      <c r="V166" s="188">
        <f>V163+V162+V161</f>
        <v>0</v>
      </c>
      <c r="W166" s="157">
        <f>SUM(W162:W165)</f>
        <v>8422</v>
      </c>
      <c r="X166" s="157">
        <f>SUM(X162:X165)</f>
        <v>8422</v>
      </c>
      <c r="Y166" s="157">
        <f>SUM(Y162:Y165)</f>
        <v>8422</v>
      </c>
      <c r="Z166" s="164"/>
      <c r="AA166" s="164"/>
      <c r="AB166" s="164"/>
      <c r="AC166" s="157">
        <f>SUM(AC162:AC164)</f>
        <v>0</v>
      </c>
      <c r="AD166" s="157">
        <f>SUM(AD162:AD164)</f>
        <v>0</v>
      </c>
      <c r="AE166" s="166">
        <f>SUM(AE162:AE165)</f>
        <v>6080</v>
      </c>
      <c r="AF166" s="166">
        <f>SUM(AF162:AF165)</f>
        <v>6080</v>
      </c>
      <c r="AG166" s="166">
        <f>SUM(AG162:AG165)</f>
        <v>6080</v>
      </c>
      <c r="AH166" s="175">
        <f t="shared" ref="AH166" si="136">SUM(AH160:AH164)</f>
        <v>0</v>
      </c>
      <c r="AI166" s="175">
        <f t="shared" ref="AI166" si="137">SUM(AI160:AI164)</f>
        <v>0</v>
      </c>
      <c r="AJ166" s="175">
        <f t="shared" ref="AJ166" si="138">SUM(AJ160:AJ164)</f>
        <v>0</v>
      </c>
      <c r="AK166" s="165">
        <f>SUM(AK163:AK164)</f>
        <v>0</v>
      </c>
      <c r="AL166" s="165">
        <f>0</f>
        <v>0</v>
      </c>
      <c r="AM166" s="166">
        <f>SUM(AM162:AM165)</f>
        <v>14502</v>
      </c>
      <c r="AN166" s="166">
        <f t="shared" ref="AN166:AO166" si="139">SUM(AN162:AN165)</f>
        <v>14502</v>
      </c>
      <c r="AO166" s="166">
        <f t="shared" si="139"/>
        <v>14502</v>
      </c>
      <c r="AP166" s="175">
        <f>SUM(AP160:AP164)</f>
        <v>0</v>
      </c>
      <c r="AQ166" s="164"/>
      <c r="AR166" s="167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141" ht="25.2" thickBot="1" x14ac:dyDescent="0.75">
      <c r="A167" s="885"/>
      <c r="B167" s="887"/>
      <c r="C167" s="926"/>
      <c r="D167" s="891"/>
      <c r="E167" s="892"/>
      <c r="F167" s="892"/>
      <c r="G167" s="892"/>
      <c r="H167" s="892"/>
      <c r="I167" s="892"/>
      <c r="J167" s="892"/>
      <c r="K167" s="892"/>
      <c r="L167" s="893"/>
      <c r="M167" s="894">
        <f>M166+N166</f>
        <v>0</v>
      </c>
      <c r="N167" s="895">
        <f>M166+N166</f>
        <v>0</v>
      </c>
      <c r="O167" s="896">
        <f>+O166+P166+Q166</f>
        <v>192</v>
      </c>
      <c r="P167" s="897"/>
      <c r="Q167" s="898"/>
      <c r="R167" s="899">
        <f>+R166+S166+T166</f>
        <v>0</v>
      </c>
      <c r="S167" s="900"/>
      <c r="T167" s="901"/>
      <c r="U167" s="927">
        <f>U166+V166</f>
        <v>0</v>
      </c>
      <c r="V167" s="928"/>
      <c r="W167" s="904">
        <f>W166+X166+Y166</f>
        <v>25266</v>
      </c>
      <c r="X167" s="905"/>
      <c r="Y167" s="906"/>
      <c r="Z167" s="907">
        <f>Z166+AA166+AB166</f>
        <v>0</v>
      </c>
      <c r="AA167" s="908"/>
      <c r="AB167" s="909"/>
      <c r="AC167" s="910">
        <f>AC166+AD166</f>
        <v>0</v>
      </c>
      <c r="AD167" s="911">
        <f t="shared" ref="AD167" si="140">ROUND(N167*960,0)</f>
        <v>0</v>
      </c>
      <c r="AE167" s="912">
        <f>AE166+AF166+AG166</f>
        <v>18240</v>
      </c>
      <c r="AF167" s="913"/>
      <c r="AG167" s="914"/>
      <c r="AH167" s="915">
        <f>AH166+AI166+AJ166</f>
        <v>0</v>
      </c>
      <c r="AI167" s="916"/>
      <c r="AJ167" s="917"/>
      <c r="AK167" s="918">
        <f>AK166+AL166</f>
        <v>0</v>
      </c>
      <c r="AL167" s="919">
        <f t="shared" ref="AL167" si="141">V167+AD167</f>
        <v>0</v>
      </c>
      <c r="AM167" s="912">
        <f>AM166+AN166+AO166</f>
        <v>43506</v>
      </c>
      <c r="AN167" s="913"/>
      <c r="AO167" s="914"/>
      <c r="AP167" s="920">
        <f>AP166+AQ166+AR166</f>
        <v>0</v>
      </c>
      <c r="AQ167" s="921"/>
      <c r="AR167" s="922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141" ht="25.2" thickBot="1" x14ac:dyDescent="0.75">
      <c r="A168" s="126" t="s">
        <v>149</v>
      </c>
      <c r="B168" s="127">
        <v>108</v>
      </c>
      <c r="C168" s="128">
        <v>2365</v>
      </c>
      <c r="D168" s="31">
        <v>0</v>
      </c>
      <c r="E168" s="28">
        <v>3</v>
      </c>
      <c r="F168" s="28">
        <v>0</v>
      </c>
      <c r="G168" s="27">
        <v>5</v>
      </c>
      <c r="H168" s="28">
        <v>15</v>
      </c>
      <c r="I168" s="29">
        <v>8</v>
      </c>
      <c r="J168" s="27">
        <v>1.1000000000000001</v>
      </c>
      <c r="K168" s="28">
        <v>2</v>
      </c>
      <c r="L168" s="30">
        <v>1.7</v>
      </c>
      <c r="M168" s="13"/>
      <c r="N168" s="17"/>
      <c r="O168" s="15">
        <f>ROUND(C168*H168/1000,0)</f>
        <v>35</v>
      </c>
      <c r="P168" s="14">
        <f>ROUND(C168*H168/1000,0)</f>
        <v>35</v>
      </c>
      <c r="Q168" s="14">
        <f>ROUND(C168*H168/1000,0)</f>
        <v>35</v>
      </c>
      <c r="R168" s="14"/>
      <c r="S168" s="14"/>
      <c r="T168" s="18"/>
      <c r="U168" s="13"/>
      <c r="V168" s="17"/>
      <c r="W168" s="13">
        <f>ROUND(C168*K168,0)</f>
        <v>4730</v>
      </c>
      <c r="X168" s="13">
        <f t="shared" si="127"/>
        <v>4730</v>
      </c>
      <c r="Y168" s="13">
        <f t="shared" si="128"/>
        <v>4730</v>
      </c>
      <c r="Z168" s="14"/>
      <c r="AA168" s="15"/>
      <c r="AB168" s="23"/>
      <c r="AC168" s="17"/>
      <c r="AD168" s="17"/>
      <c r="AE168" s="13">
        <f>ROUND(O168*95,0)</f>
        <v>3325</v>
      </c>
      <c r="AF168" s="13">
        <f>ROUND(P168*95,0)</f>
        <v>3325</v>
      </c>
      <c r="AG168" s="13">
        <f>ROUND(Q168*95,0)</f>
        <v>3325</v>
      </c>
      <c r="AH168" s="14"/>
      <c r="AI168" s="14"/>
      <c r="AJ168" s="16"/>
      <c r="AK168" s="100"/>
      <c r="AL168" s="14"/>
      <c r="AM168" s="14">
        <f>W168+AE168</f>
        <v>8055</v>
      </c>
      <c r="AN168" s="14">
        <f>X168+AF168</f>
        <v>8055</v>
      </c>
      <c r="AO168" s="14">
        <f>Y168+AG168</f>
        <v>8055</v>
      </c>
      <c r="AP168" s="14"/>
      <c r="AQ168" s="14"/>
      <c r="AR168" s="1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  <c r="CL168" s="56"/>
      <c r="CM168" s="56"/>
      <c r="CN168" s="56"/>
      <c r="CO168" s="56"/>
      <c r="CP168" s="56"/>
      <c r="CQ168" s="56"/>
      <c r="CR168" s="56"/>
      <c r="CS168" s="56"/>
      <c r="CT168" s="56"/>
      <c r="CU168" s="56"/>
      <c r="CV168" s="56"/>
      <c r="CW168" s="56"/>
      <c r="CX168" s="56"/>
      <c r="CY168" s="56"/>
      <c r="CZ168" s="56"/>
      <c r="DA168" s="56"/>
      <c r="DB168" s="56"/>
      <c r="DC168" s="56"/>
      <c r="DD168" s="56"/>
      <c r="DE168" s="56"/>
      <c r="DF168" s="56"/>
      <c r="DG168" s="56"/>
      <c r="DH168" s="56"/>
      <c r="DI168" s="56"/>
      <c r="DJ168" s="56"/>
      <c r="DK168" s="56"/>
      <c r="DL168" s="56"/>
      <c r="DM168" s="56"/>
      <c r="DN168" s="56"/>
      <c r="DO168" s="56"/>
      <c r="DP168" s="56"/>
      <c r="DQ168" s="56"/>
      <c r="DR168" s="56"/>
      <c r="DS168" s="56"/>
      <c r="DT168" s="56"/>
      <c r="DU168" s="56"/>
      <c r="DV168" s="56"/>
      <c r="DW168" s="56"/>
      <c r="DX168" s="56"/>
      <c r="DY168" s="56"/>
      <c r="DZ168" s="56"/>
      <c r="EA168" s="56"/>
      <c r="EB168" s="56"/>
      <c r="EC168" s="56"/>
      <c r="ED168" s="56"/>
      <c r="EE168" s="56"/>
      <c r="EF168" s="56"/>
      <c r="EG168" s="56"/>
      <c r="EH168" s="56"/>
      <c r="EI168" s="56"/>
      <c r="EJ168" s="56"/>
      <c r="EK168" s="56"/>
    </row>
    <row r="169" spans="1:141" ht="25.2" thickBot="1" x14ac:dyDescent="0.75">
      <c r="A169" s="884" t="s">
        <v>148</v>
      </c>
      <c r="B169" s="886">
        <f>SUM(B168)</f>
        <v>108</v>
      </c>
      <c r="C169" s="925">
        <f>SUM(C168)</f>
        <v>2365</v>
      </c>
      <c r="D169" s="888"/>
      <c r="E169" s="889"/>
      <c r="F169" s="889"/>
      <c r="G169" s="889"/>
      <c r="H169" s="889"/>
      <c r="I169" s="889"/>
      <c r="J169" s="889"/>
      <c r="K169" s="889"/>
      <c r="L169" s="890"/>
      <c r="M169" s="158">
        <f>SUM(M165:M167)</f>
        <v>0</v>
      </c>
      <c r="N169" s="158">
        <f>SUM(N165:N167)</f>
        <v>0</v>
      </c>
      <c r="O169" s="160">
        <f>SUM(O168)</f>
        <v>35</v>
      </c>
      <c r="P169" s="160">
        <f>SUM(P168)</f>
        <v>35</v>
      </c>
      <c r="Q169" s="160">
        <f>SUM(Q168)</f>
        <v>35</v>
      </c>
      <c r="R169" s="161">
        <f>SUM(R165:R167)</f>
        <v>0</v>
      </c>
      <c r="S169" s="161">
        <f>SUM(S165:S167)</f>
        <v>0</v>
      </c>
      <c r="T169" s="163">
        <f>SUM(T165:T167)</f>
        <v>0</v>
      </c>
      <c r="U169" s="158">
        <f>SUM(U165:U167)</f>
        <v>0</v>
      </c>
      <c r="V169" s="188">
        <f>V166+V165+V164</f>
        <v>0</v>
      </c>
      <c r="W169" s="157">
        <f>SUM(W168)</f>
        <v>4730</v>
      </c>
      <c r="X169" s="157">
        <f t="shared" ref="X169:Y169" si="142">SUM(X168)</f>
        <v>4730</v>
      </c>
      <c r="Y169" s="157">
        <f t="shared" si="142"/>
        <v>4730</v>
      </c>
      <c r="Z169" s="164"/>
      <c r="AA169" s="164"/>
      <c r="AB169" s="164"/>
      <c r="AC169" s="157">
        <f>SUM(AC165:AC167)</f>
        <v>0</v>
      </c>
      <c r="AD169" s="157">
        <f>SUM(AD165:AD167)</f>
        <v>0</v>
      </c>
      <c r="AE169" s="166">
        <f>SUM(AE168)</f>
        <v>3325</v>
      </c>
      <c r="AF169" s="166">
        <f>SUM(AF168)</f>
        <v>3325</v>
      </c>
      <c r="AG169" s="166">
        <f>SUM(AG168)</f>
        <v>3325</v>
      </c>
      <c r="AH169" s="175">
        <f t="shared" ref="AH169" si="143">SUM(AH163:AH167)</f>
        <v>0</v>
      </c>
      <c r="AI169" s="175">
        <f t="shared" ref="AI169" si="144">SUM(AI163:AI167)</f>
        <v>0</v>
      </c>
      <c r="AJ169" s="175">
        <f t="shared" ref="AJ169" si="145">SUM(AJ163:AJ167)</f>
        <v>0</v>
      </c>
      <c r="AK169" s="165">
        <f>SUM(AK166:AK167)</f>
        <v>0</v>
      </c>
      <c r="AL169" s="165">
        <f>0</f>
        <v>0</v>
      </c>
      <c r="AM169" s="166">
        <f>SUM(AM168)</f>
        <v>8055</v>
      </c>
      <c r="AN169" s="166">
        <f t="shared" ref="AN169:AO169" si="146">SUM(AN168)</f>
        <v>8055</v>
      </c>
      <c r="AO169" s="166">
        <f t="shared" si="146"/>
        <v>8055</v>
      </c>
      <c r="AP169" s="175">
        <f>SUM(AP163:AP167)</f>
        <v>0</v>
      </c>
      <c r="AQ169" s="164"/>
      <c r="AR169" s="167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141" ht="25.2" thickBot="1" x14ac:dyDescent="0.75">
      <c r="A170" s="885"/>
      <c r="B170" s="887"/>
      <c r="C170" s="926"/>
      <c r="D170" s="891"/>
      <c r="E170" s="892"/>
      <c r="F170" s="892"/>
      <c r="G170" s="892"/>
      <c r="H170" s="892"/>
      <c r="I170" s="892"/>
      <c r="J170" s="892"/>
      <c r="K170" s="892"/>
      <c r="L170" s="893"/>
      <c r="M170" s="894">
        <f>M169+N169</f>
        <v>0</v>
      </c>
      <c r="N170" s="895">
        <f>M169+N169</f>
        <v>0</v>
      </c>
      <c r="O170" s="896">
        <f>+O169+P169+Q169</f>
        <v>105</v>
      </c>
      <c r="P170" s="897"/>
      <c r="Q170" s="898"/>
      <c r="R170" s="899">
        <f>+R169+S169+T169</f>
        <v>0</v>
      </c>
      <c r="S170" s="900"/>
      <c r="T170" s="901"/>
      <c r="U170" s="927">
        <f>U169+V169</f>
        <v>0</v>
      </c>
      <c r="V170" s="928"/>
      <c r="W170" s="904">
        <f>W169+X169+Y169</f>
        <v>14190</v>
      </c>
      <c r="X170" s="905"/>
      <c r="Y170" s="906"/>
      <c r="Z170" s="907">
        <f>Z169+AA169+AB169</f>
        <v>0</v>
      </c>
      <c r="AA170" s="908"/>
      <c r="AB170" s="909"/>
      <c r="AC170" s="910">
        <f>AC169+AD169</f>
        <v>0</v>
      </c>
      <c r="AD170" s="911">
        <f t="shared" ref="AD170" si="147">ROUND(N170*960,0)</f>
        <v>0</v>
      </c>
      <c r="AE170" s="912">
        <f>AE169+AF169+AG169</f>
        <v>9975</v>
      </c>
      <c r="AF170" s="913"/>
      <c r="AG170" s="914"/>
      <c r="AH170" s="915">
        <f>AH169+AI169+AJ169</f>
        <v>0</v>
      </c>
      <c r="AI170" s="916"/>
      <c r="AJ170" s="917"/>
      <c r="AK170" s="918">
        <f>AK169+AL169</f>
        <v>0</v>
      </c>
      <c r="AL170" s="919">
        <f t="shared" ref="AL170" si="148">V170+AD170</f>
        <v>0</v>
      </c>
      <c r="AM170" s="912">
        <f>AM169+AN169+AO169</f>
        <v>24165</v>
      </c>
      <c r="AN170" s="913"/>
      <c r="AO170" s="914"/>
      <c r="AP170" s="920">
        <f>AP169+AQ169+AR169</f>
        <v>0</v>
      </c>
      <c r="AQ170" s="921"/>
      <c r="AR170" s="922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141" s="180" customFormat="1" ht="39.9" customHeight="1" thickBot="1" x14ac:dyDescent="0.75">
      <c r="A171" s="881" t="s">
        <v>150</v>
      </c>
      <c r="B171" s="882"/>
      <c r="C171" s="882"/>
      <c r="D171" s="882"/>
      <c r="E171" s="882"/>
      <c r="F171" s="882"/>
      <c r="G171" s="882"/>
      <c r="H171" s="882"/>
      <c r="I171" s="882"/>
      <c r="J171" s="882"/>
      <c r="K171" s="882"/>
      <c r="L171" s="882"/>
      <c r="M171" s="882"/>
      <c r="N171" s="882"/>
      <c r="O171" s="882"/>
      <c r="P171" s="882"/>
      <c r="Q171" s="882"/>
      <c r="R171" s="882"/>
      <c r="S171" s="882"/>
      <c r="T171" s="882"/>
      <c r="U171" s="882"/>
      <c r="V171" s="882"/>
      <c r="W171" s="882"/>
      <c r="X171" s="882"/>
      <c r="Y171" s="882"/>
      <c r="Z171" s="882"/>
      <c r="AA171" s="882"/>
      <c r="AB171" s="882"/>
      <c r="AC171" s="882"/>
      <c r="AD171" s="882"/>
      <c r="AE171" s="882"/>
      <c r="AF171" s="882"/>
      <c r="AG171" s="882"/>
      <c r="AH171" s="882"/>
      <c r="AI171" s="882"/>
      <c r="AJ171" s="882"/>
      <c r="AK171" s="882"/>
      <c r="AL171" s="882"/>
      <c r="AM171" s="882"/>
      <c r="AN171" s="882"/>
      <c r="AO171" s="882"/>
      <c r="AP171" s="882"/>
      <c r="AQ171" s="882"/>
      <c r="AR171" s="883"/>
      <c r="AS171" s="176"/>
      <c r="AT171" s="176"/>
      <c r="AU171" s="176"/>
      <c r="AV171" s="176"/>
      <c r="AW171" s="176"/>
      <c r="AX171" s="176"/>
      <c r="AY171" s="176"/>
      <c r="AZ171" s="176"/>
      <c r="BA171" s="176"/>
      <c r="BB171" s="176"/>
      <c r="BC171" s="176"/>
      <c r="BD171" s="176"/>
      <c r="BE171" s="176"/>
      <c r="BF171" s="176"/>
      <c r="BG171" s="176"/>
      <c r="BH171" s="176"/>
      <c r="BI171" s="176"/>
      <c r="BJ171" s="176"/>
      <c r="BK171" s="176"/>
      <c r="BL171" s="176"/>
      <c r="BM171" s="176"/>
      <c r="BN171" s="176"/>
      <c r="BO171" s="176"/>
      <c r="BP171" s="176"/>
      <c r="BQ171" s="176"/>
      <c r="BR171" s="176"/>
      <c r="BS171" s="176"/>
      <c r="BT171" s="176"/>
      <c r="BU171" s="176"/>
      <c r="BV171" s="176"/>
      <c r="BW171" s="176"/>
      <c r="BX171" s="176"/>
      <c r="BY171" s="176"/>
      <c r="BZ171" s="176"/>
      <c r="CA171" s="176"/>
      <c r="CB171" s="176"/>
      <c r="CC171" s="176"/>
      <c r="CD171" s="176"/>
      <c r="CE171" s="176"/>
      <c r="CF171" s="176"/>
      <c r="CG171" s="176"/>
      <c r="CH171" s="176"/>
      <c r="CI171" s="176"/>
      <c r="CJ171" s="176"/>
      <c r="CK171" s="176"/>
      <c r="CL171" s="176"/>
      <c r="CM171" s="176"/>
      <c r="CN171" s="176"/>
      <c r="CO171" s="176"/>
      <c r="CP171" s="176"/>
      <c r="CQ171" s="176"/>
      <c r="CR171" s="176"/>
      <c r="CS171" s="176"/>
      <c r="CT171" s="176"/>
      <c r="CU171" s="176"/>
      <c r="CV171" s="176"/>
      <c r="CW171" s="176"/>
      <c r="CX171" s="176"/>
      <c r="CY171" s="176"/>
      <c r="CZ171" s="176"/>
      <c r="DA171" s="176"/>
      <c r="DB171" s="176"/>
      <c r="DC171" s="176"/>
      <c r="DD171" s="176"/>
      <c r="DE171" s="176"/>
      <c r="DF171" s="176"/>
      <c r="DG171" s="176"/>
      <c r="DH171" s="176"/>
      <c r="DI171" s="176"/>
      <c r="DJ171" s="176"/>
      <c r="DK171" s="176"/>
      <c r="DL171" s="176"/>
      <c r="DM171" s="176"/>
      <c r="DN171" s="176"/>
      <c r="DO171" s="176"/>
      <c r="DP171" s="176"/>
      <c r="DQ171" s="176"/>
      <c r="DR171" s="176"/>
      <c r="DS171" s="176"/>
      <c r="DT171" s="176"/>
      <c r="DU171" s="176"/>
      <c r="DV171" s="176"/>
      <c r="DW171" s="176"/>
      <c r="DX171" s="176"/>
      <c r="DY171" s="176"/>
      <c r="DZ171" s="176"/>
      <c r="EA171" s="176"/>
      <c r="EB171" s="176"/>
      <c r="EC171" s="176"/>
      <c r="ED171" s="176"/>
      <c r="EE171" s="176"/>
      <c r="EF171" s="176"/>
      <c r="EG171" s="176"/>
      <c r="EH171" s="176"/>
      <c r="EI171" s="176"/>
      <c r="EJ171" s="176"/>
      <c r="EK171" s="176"/>
    </row>
    <row r="172" spans="1:141" s="177" customFormat="1" ht="39.9" hidden="1" customHeight="1" thickBot="1" x14ac:dyDescent="0.75">
      <c r="A172" s="943" t="s">
        <v>151</v>
      </c>
      <c r="B172" s="944"/>
      <c r="C172" s="944"/>
      <c r="D172" s="944"/>
      <c r="E172" s="944"/>
      <c r="F172" s="944"/>
      <c r="G172" s="944"/>
      <c r="H172" s="944"/>
      <c r="I172" s="944"/>
      <c r="J172" s="944"/>
      <c r="K172" s="944"/>
      <c r="L172" s="944"/>
      <c r="M172" s="944"/>
      <c r="N172" s="944"/>
      <c r="O172" s="944"/>
      <c r="P172" s="944"/>
      <c r="Q172" s="944"/>
      <c r="R172" s="944"/>
      <c r="S172" s="944"/>
      <c r="T172" s="944"/>
      <c r="U172" s="944"/>
      <c r="V172" s="944"/>
      <c r="W172" s="944"/>
      <c r="X172" s="944"/>
      <c r="Y172" s="944"/>
      <c r="Z172" s="944"/>
      <c r="AA172" s="944"/>
      <c r="AB172" s="944"/>
      <c r="AC172" s="944"/>
      <c r="AD172" s="944"/>
      <c r="AE172" s="944"/>
      <c r="AF172" s="944"/>
      <c r="AG172" s="944"/>
      <c r="AH172" s="944"/>
      <c r="AI172" s="944"/>
      <c r="AJ172" s="944"/>
      <c r="AK172" s="944"/>
      <c r="AL172" s="944"/>
      <c r="AM172" s="944"/>
      <c r="AN172" s="944"/>
      <c r="AO172" s="944"/>
      <c r="AP172" s="944"/>
      <c r="AQ172" s="944"/>
      <c r="AR172" s="945"/>
      <c r="AS172" s="176"/>
      <c r="AT172" s="176"/>
      <c r="AU172" s="176"/>
      <c r="AV172" s="176"/>
      <c r="AW172" s="176"/>
      <c r="AX172" s="176"/>
      <c r="AY172" s="176"/>
      <c r="AZ172" s="176"/>
      <c r="BA172" s="176"/>
      <c r="BB172" s="176"/>
      <c r="BC172" s="176"/>
      <c r="BD172" s="176"/>
      <c r="BE172" s="176"/>
      <c r="BF172" s="176"/>
      <c r="BG172" s="176"/>
      <c r="BH172" s="176"/>
      <c r="BI172" s="176"/>
      <c r="BJ172" s="176"/>
      <c r="BK172" s="176"/>
      <c r="BL172" s="176"/>
      <c r="BM172" s="176"/>
      <c r="BN172" s="176"/>
      <c r="BO172" s="176"/>
      <c r="BP172" s="176"/>
      <c r="BQ172" s="176"/>
      <c r="BR172" s="176"/>
      <c r="BS172" s="176"/>
      <c r="BT172" s="176"/>
      <c r="BU172" s="176"/>
      <c r="BV172" s="176"/>
      <c r="BW172" s="176"/>
      <c r="BX172" s="176"/>
      <c r="BY172" s="176"/>
      <c r="BZ172" s="176"/>
      <c r="CA172" s="176"/>
      <c r="CB172" s="176"/>
      <c r="CC172" s="176"/>
      <c r="CD172" s="176"/>
      <c r="CE172" s="176"/>
      <c r="CF172" s="176"/>
      <c r="CG172" s="176"/>
      <c r="CH172" s="176"/>
      <c r="CI172" s="176"/>
      <c r="CJ172" s="176"/>
      <c r="CK172" s="176"/>
      <c r="CL172" s="176"/>
      <c r="CM172" s="176"/>
      <c r="CN172" s="176"/>
      <c r="CO172" s="176"/>
      <c r="CP172" s="176"/>
      <c r="CQ172" s="176"/>
      <c r="CR172" s="176"/>
      <c r="CS172" s="176"/>
      <c r="CT172" s="176"/>
      <c r="CU172" s="176"/>
      <c r="CV172" s="176"/>
      <c r="CW172" s="176"/>
      <c r="CX172" s="176"/>
      <c r="CY172" s="176"/>
      <c r="CZ172" s="176"/>
      <c r="DA172" s="176"/>
      <c r="DB172" s="176"/>
      <c r="DC172" s="176"/>
      <c r="DD172" s="176"/>
      <c r="DE172" s="176"/>
      <c r="DF172" s="176"/>
      <c r="DG172" s="176"/>
      <c r="DH172" s="176"/>
      <c r="DI172" s="176"/>
      <c r="DJ172" s="176"/>
      <c r="DK172" s="176"/>
      <c r="DL172" s="176"/>
      <c r="DM172" s="176"/>
      <c r="DN172" s="176"/>
      <c r="DO172" s="176"/>
      <c r="DP172" s="176"/>
      <c r="DQ172" s="176"/>
      <c r="DR172" s="176"/>
      <c r="DS172" s="176"/>
      <c r="DT172" s="176"/>
      <c r="DU172" s="176"/>
      <c r="DV172" s="176"/>
      <c r="DW172" s="176"/>
      <c r="DX172" s="176"/>
      <c r="DY172" s="176"/>
      <c r="DZ172" s="176"/>
      <c r="EA172" s="176"/>
      <c r="EB172" s="176"/>
      <c r="EC172" s="176"/>
      <c r="ED172" s="176"/>
      <c r="EE172" s="176"/>
      <c r="EF172" s="176"/>
      <c r="EG172" s="176"/>
      <c r="EH172" s="176"/>
      <c r="EI172" s="176"/>
      <c r="EJ172" s="176"/>
      <c r="EK172" s="176"/>
    </row>
    <row r="173" spans="1:141" hidden="1" x14ac:dyDescent="0.7">
      <c r="A173" s="129" t="s">
        <v>40</v>
      </c>
      <c r="B173" s="130">
        <v>159</v>
      </c>
      <c r="C173" s="121">
        <v>3500</v>
      </c>
      <c r="D173" s="46">
        <v>0</v>
      </c>
      <c r="E173" s="10">
        <v>3</v>
      </c>
      <c r="F173" s="10">
        <v>0</v>
      </c>
      <c r="G173" s="9">
        <v>5</v>
      </c>
      <c r="H173" s="10">
        <v>15</v>
      </c>
      <c r="I173" s="11">
        <v>8</v>
      </c>
      <c r="J173" s="9">
        <v>1.1000000000000001</v>
      </c>
      <c r="K173" s="10">
        <v>2</v>
      </c>
      <c r="L173" s="12">
        <v>1.7</v>
      </c>
      <c r="M173" s="13"/>
      <c r="N173" s="17"/>
      <c r="O173" s="15">
        <f>ROUND(C173*H173/1000,0)</f>
        <v>53</v>
      </c>
      <c r="P173" s="14">
        <f>ROUND(C173*H173/1000,0)</f>
        <v>53</v>
      </c>
      <c r="Q173" s="14">
        <f>ROUND(C173*H173/1000,0)</f>
        <v>53</v>
      </c>
      <c r="R173" s="14"/>
      <c r="S173" s="14"/>
      <c r="T173" s="18"/>
      <c r="U173" s="13"/>
      <c r="V173" s="17"/>
      <c r="W173" s="13">
        <f t="shared" ref="W173:W175" si="149">ROUND(C173*K173,0)</f>
        <v>7000</v>
      </c>
      <c r="X173" s="13">
        <f t="shared" ref="X173:X175" si="150">ROUND(C173*K173,0)</f>
        <v>7000</v>
      </c>
      <c r="Y173" s="13">
        <f t="shared" ref="Y173:Y175" si="151">ROUND(C173*K173,0)</f>
        <v>7000</v>
      </c>
      <c r="Z173" s="14"/>
      <c r="AA173" s="15"/>
      <c r="AB173" s="23"/>
      <c r="AC173" s="17"/>
      <c r="AD173" s="17"/>
      <c r="AE173" s="13">
        <f t="shared" ref="AE173:AG175" si="152">ROUND(O173*960,0)</f>
        <v>50880</v>
      </c>
      <c r="AF173" s="13">
        <f t="shared" si="152"/>
        <v>50880</v>
      </c>
      <c r="AG173" s="13">
        <f t="shared" si="152"/>
        <v>50880</v>
      </c>
      <c r="AH173" s="14"/>
      <c r="AI173" s="14"/>
      <c r="AJ173" s="16"/>
      <c r="AK173" s="100"/>
      <c r="AL173" s="14"/>
      <c r="AM173" s="14">
        <f t="shared" ref="AM173:AO175" si="153">W173+AE173</f>
        <v>57880</v>
      </c>
      <c r="AN173" s="14">
        <f t="shared" si="153"/>
        <v>57880</v>
      </c>
      <c r="AO173" s="14">
        <f t="shared" si="153"/>
        <v>57880</v>
      </c>
      <c r="AP173" s="14"/>
      <c r="AQ173" s="14"/>
      <c r="AR173" s="1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6"/>
      <c r="CF173" s="56"/>
      <c r="CG173" s="56"/>
      <c r="CH173" s="56"/>
      <c r="CI173" s="56"/>
      <c r="CJ173" s="56"/>
      <c r="CK173" s="56"/>
      <c r="CL173" s="56"/>
      <c r="CM173" s="56"/>
      <c r="CN173" s="56"/>
      <c r="CO173" s="56"/>
      <c r="CP173" s="56"/>
      <c r="CQ173" s="56"/>
      <c r="CR173" s="56"/>
      <c r="CS173" s="56"/>
      <c r="CT173" s="56"/>
      <c r="CU173" s="56"/>
      <c r="CV173" s="56"/>
      <c r="CW173" s="56"/>
      <c r="CX173" s="56"/>
      <c r="CY173" s="56"/>
      <c r="CZ173" s="56"/>
      <c r="DA173" s="56"/>
      <c r="DB173" s="56"/>
      <c r="DC173" s="56"/>
      <c r="DD173" s="56"/>
      <c r="DE173" s="56"/>
      <c r="DF173" s="56"/>
      <c r="DG173" s="56"/>
      <c r="DH173" s="56"/>
      <c r="DI173" s="56"/>
      <c r="DJ173" s="56"/>
      <c r="DK173" s="56"/>
      <c r="DL173" s="56"/>
      <c r="DM173" s="56"/>
      <c r="DN173" s="56"/>
      <c r="DO173" s="56"/>
      <c r="DP173" s="56"/>
      <c r="DQ173" s="56"/>
      <c r="DR173" s="56"/>
      <c r="DS173" s="56"/>
      <c r="DT173" s="56"/>
      <c r="DU173" s="56"/>
      <c r="DV173" s="56"/>
      <c r="DW173" s="56"/>
      <c r="DX173" s="56"/>
      <c r="DY173" s="56"/>
      <c r="DZ173" s="56"/>
      <c r="EA173" s="56"/>
      <c r="EB173" s="56"/>
      <c r="EC173" s="56"/>
      <c r="ED173" s="56"/>
      <c r="EE173" s="56"/>
      <c r="EF173" s="56"/>
      <c r="EG173" s="56"/>
      <c r="EH173" s="56"/>
      <c r="EI173" s="56"/>
      <c r="EJ173" s="56"/>
      <c r="EK173" s="56"/>
    </row>
    <row r="174" spans="1:141" hidden="1" x14ac:dyDescent="0.7">
      <c r="A174" s="131" t="s">
        <v>41</v>
      </c>
      <c r="B174" s="122">
        <v>143</v>
      </c>
      <c r="C174" s="132">
        <v>3143</v>
      </c>
      <c r="D174" s="17">
        <v>0</v>
      </c>
      <c r="E174" s="14">
        <v>3</v>
      </c>
      <c r="F174" s="14">
        <v>0</v>
      </c>
      <c r="G174" s="13">
        <v>5</v>
      </c>
      <c r="H174" s="14">
        <v>15</v>
      </c>
      <c r="I174" s="23">
        <v>8</v>
      </c>
      <c r="J174" s="13">
        <v>1.1000000000000001</v>
      </c>
      <c r="K174" s="14">
        <v>2</v>
      </c>
      <c r="L174" s="15">
        <v>1.7</v>
      </c>
      <c r="M174" s="13"/>
      <c r="N174" s="17"/>
      <c r="O174" s="15">
        <f>ROUND(C174*H174/1000,0)</f>
        <v>47</v>
      </c>
      <c r="P174" s="14">
        <f>ROUND(C174*H174/1000,0)</f>
        <v>47</v>
      </c>
      <c r="Q174" s="14">
        <f>ROUND(C174*H174/1000,0)</f>
        <v>47</v>
      </c>
      <c r="R174" s="14"/>
      <c r="S174" s="14"/>
      <c r="T174" s="18"/>
      <c r="U174" s="13"/>
      <c r="V174" s="17"/>
      <c r="W174" s="13">
        <f t="shared" si="149"/>
        <v>6286</v>
      </c>
      <c r="X174" s="13">
        <f t="shared" si="150"/>
        <v>6286</v>
      </c>
      <c r="Y174" s="13">
        <f t="shared" si="151"/>
        <v>6286</v>
      </c>
      <c r="Z174" s="14"/>
      <c r="AA174" s="15"/>
      <c r="AB174" s="23"/>
      <c r="AC174" s="17"/>
      <c r="AD174" s="17"/>
      <c r="AE174" s="13">
        <f t="shared" si="152"/>
        <v>45120</v>
      </c>
      <c r="AF174" s="13">
        <f t="shared" si="152"/>
        <v>45120</v>
      </c>
      <c r="AG174" s="13">
        <f t="shared" si="152"/>
        <v>45120</v>
      </c>
      <c r="AH174" s="14"/>
      <c r="AI174" s="14"/>
      <c r="AJ174" s="16"/>
      <c r="AK174" s="100"/>
      <c r="AL174" s="14"/>
      <c r="AM174" s="14">
        <f t="shared" si="153"/>
        <v>51406</v>
      </c>
      <c r="AN174" s="14">
        <f t="shared" si="153"/>
        <v>51406</v>
      </c>
      <c r="AO174" s="14">
        <f t="shared" si="153"/>
        <v>51406</v>
      </c>
      <c r="AP174" s="14"/>
      <c r="AQ174" s="14"/>
      <c r="AR174" s="1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  <c r="CD174" s="56"/>
      <c r="CE174" s="56"/>
      <c r="CF174" s="56"/>
      <c r="CG174" s="56"/>
      <c r="CH174" s="56"/>
      <c r="CI174" s="56"/>
      <c r="CJ174" s="56"/>
      <c r="CK174" s="56"/>
      <c r="CL174" s="56"/>
      <c r="CM174" s="56"/>
      <c r="CN174" s="56"/>
      <c r="CO174" s="56"/>
      <c r="CP174" s="56"/>
      <c r="CQ174" s="56"/>
      <c r="CR174" s="56"/>
      <c r="CS174" s="56"/>
      <c r="CT174" s="56"/>
      <c r="CU174" s="56"/>
      <c r="CV174" s="56"/>
      <c r="CW174" s="56"/>
      <c r="CX174" s="56"/>
      <c r="CY174" s="56"/>
      <c r="CZ174" s="56"/>
      <c r="DA174" s="56"/>
      <c r="DB174" s="56"/>
      <c r="DC174" s="56"/>
      <c r="DD174" s="56"/>
      <c r="DE174" s="56"/>
      <c r="DF174" s="56"/>
      <c r="DG174" s="56"/>
      <c r="DH174" s="56"/>
      <c r="DI174" s="56"/>
      <c r="DJ174" s="56"/>
      <c r="DK174" s="56"/>
      <c r="DL174" s="56"/>
      <c r="DM174" s="56"/>
      <c r="DN174" s="56"/>
      <c r="DO174" s="56"/>
      <c r="DP174" s="56"/>
      <c r="DQ174" s="56"/>
      <c r="DR174" s="56"/>
      <c r="DS174" s="56"/>
      <c r="DT174" s="56"/>
      <c r="DU174" s="56"/>
      <c r="DV174" s="56"/>
      <c r="DW174" s="56"/>
      <c r="DX174" s="56"/>
      <c r="DY174" s="56"/>
      <c r="DZ174" s="56"/>
      <c r="EA174" s="56"/>
      <c r="EB174" s="56"/>
      <c r="EC174" s="56"/>
      <c r="ED174" s="56"/>
      <c r="EE174" s="56"/>
      <c r="EF174" s="56"/>
      <c r="EG174" s="56"/>
      <c r="EH174" s="56"/>
      <c r="EI174" s="56"/>
      <c r="EJ174" s="56"/>
      <c r="EK174" s="56"/>
    </row>
    <row r="175" spans="1:141" hidden="1" x14ac:dyDescent="0.7">
      <c r="A175" s="133" t="s">
        <v>42</v>
      </c>
      <c r="B175" s="124">
        <v>167</v>
      </c>
      <c r="C175" s="134">
        <v>3684</v>
      </c>
      <c r="D175" s="31">
        <v>0</v>
      </c>
      <c r="E175" s="28">
        <v>3</v>
      </c>
      <c r="F175" s="28">
        <v>0</v>
      </c>
      <c r="G175" s="27">
        <v>5</v>
      </c>
      <c r="H175" s="28">
        <v>15</v>
      </c>
      <c r="I175" s="29">
        <v>8</v>
      </c>
      <c r="J175" s="27">
        <v>1.1000000000000001</v>
      </c>
      <c r="K175" s="28">
        <v>2</v>
      </c>
      <c r="L175" s="30">
        <v>1.7</v>
      </c>
      <c r="M175" s="13"/>
      <c r="N175" s="17"/>
      <c r="O175" s="15">
        <f>ROUND(C175*H175/1000,0)</f>
        <v>55</v>
      </c>
      <c r="P175" s="14">
        <f>ROUND(C175*H175/1000,0)</f>
        <v>55</v>
      </c>
      <c r="Q175" s="14">
        <f>ROUND(C175*H175/1000,0)</f>
        <v>55</v>
      </c>
      <c r="R175" s="14"/>
      <c r="S175" s="14"/>
      <c r="T175" s="18"/>
      <c r="U175" s="13"/>
      <c r="V175" s="17"/>
      <c r="W175" s="13">
        <f t="shared" si="149"/>
        <v>7368</v>
      </c>
      <c r="X175" s="13">
        <f t="shared" si="150"/>
        <v>7368</v>
      </c>
      <c r="Y175" s="13">
        <f t="shared" si="151"/>
        <v>7368</v>
      </c>
      <c r="Z175" s="14"/>
      <c r="AA175" s="15"/>
      <c r="AB175" s="23"/>
      <c r="AC175" s="17"/>
      <c r="AD175" s="17"/>
      <c r="AE175" s="13">
        <f t="shared" si="152"/>
        <v>52800</v>
      </c>
      <c r="AF175" s="13">
        <f t="shared" si="152"/>
        <v>52800</v>
      </c>
      <c r="AG175" s="13">
        <f t="shared" si="152"/>
        <v>52800</v>
      </c>
      <c r="AH175" s="14"/>
      <c r="AI175" s="14"/>
      <c r="AJ175" s="16"/>
      <c r="AK175" s="100"/>
      <c r="AL175" s="14"/>
      <c r="AM175" s="14">
        <f t="shared" si="153"/>
        <v>60168</v>
      </c>
      <c r="AN175" s="14">
        <f t="shared" si="153"/>
        <v>60168</v>
      </c>
      <c r="AO175" s="14">
        <f t="shared" si="153"/>
        <v>60168</v>
      </c>
      <c r="AP175" s="14"/>
      <c r="AQ175" s="14"/>
      <c r="AR175" s="1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  <c r="CL175" s="56"/>
      <c r="CM175" s="56"/>
      <c r="CN175" s="56"/>
      <c r="CO175" s="56"/>
      <c r="CP175" s="56"/>
      <c r="CQ175" s="56"/>
      <c r="CR175" s="56"/>
      <c r="CS175" s="56"/>
      <c r="CT175" s="56"/>
      <c r="CU175" s="56"/>
      <c r="CV175" s="56"/>
      <c r="CW175" s="56"/>
      <c r="CX175" s="56"/>
      <c r="CY175" s="56"/>
      <c r="CZ175" s="56"/>
      <c r="DA175" s="56"/>
      <c r="DB175" s="56"/>
      <c r="DC175" s="56"/>
      <c r="DD175" s="56"/>
      <c r="DE175" s="56"/>
      <c r="DF175" s="56"/>
      <c r="DG175" s="56"/>
      <c r="DH175" s="56"/>
      <c r="DI175" s="56"/>
      <c r="DJ175" s="56"/>
      <c r="DK175" s="56"/>
      <c r="DL175" s="56"/>
      <c r="DM175" s="56"/>
      <c r="DN175" s="56"/>
      <c r="DO175" s="56"/>
      <c r="DP175" s="56"/>
      <c r="DQ175" s="56"/>
      <c r="DR175" s="56"/>
      <c r="DS175" s="56"/>
      <c r="DT175" s="56"/>
      <c r="DU175" s="56"/>
      <c r="DV175" s="56"/>
      <c r="DW175" s="56"/>
      <c r="DX175" s="56"/>
      <c r="DY175" s="56"/>
      <c r="DZ175" s="56"/>
      <c r="EA175" s="56"/>
      <c r="EB175" s="56"/>
      <c r="EC175" s="56"/>
      <c r="ED175" s="56"/>
      <c r="EE175" s="56"/>
      <c r="EF175" s="56"/>
      <c r="EG175" s="56"/>
      <c r="EH175" s="56"/>
      <c r="EI175" s="56"/>
      <c r="EJ175" s="56"/>
      <c r="EK175" s="56"/>
    </row>
    <row r="176" spans="1:141" hidden="1" x14ac:dyDescent="0.7">
      <c r="A176" s="1049" t="s">
        <v>34</v>
      </c>
      <c r="B176" s="1050"/>
      <c r="C176" s="1051"/>
      <c r="D176" s="57"/>
      <c r="E176" s="57"/>
      <c r="F176" s="57"/>
      <c r="G176" s="58"/>
      <c r="H176" s="57"/>
      <c r="I176" s="59"/>
      <c r="J176" s="58"/>
      <c r="K176" s="57"/>
      <c r="L176" s="57"/>
      <c r="M176" s="60"/>
      <c r="N176" s="70"/>
      <c r="O176" s="62">
        <f>SUM(O173:O175)</f>
        <v>155</v>
      </c>
      <c r="P176" s="61">
        <f>SUM(P173:P175)</f>
        <v>155</v>
      </c>
      <c r="Q176" s="61">
        <f>SUM(Q173:Q175)</f>
        <v>155</v>
      </c>
      <c r="R176" s="61"/>
      <c r="S176" s="61"/>
      <c r="T176" s="64"/>
      <c r="U176" s="60"/>
      <c r="V176" s="70"/>
      <c r="W176" s="61">
        <f>SUM(W173:W175)</f>
        <v>20654</v>
      </c>
      <c r="X176" s="61">
        <f>SUM(X173:X175)</f>
        <v>20654</v>
      </c>
      <c r="Y176" s="61">
        <f>SUM(Y173:Y175)</f>
        <v>20654</v>
      </c>
      <c r="Z176" s="61"/>
      <c r="AA176" s="62"/>
      <c r="AB176" s="151"/>
      <c r="AC176" s="70"/>
      <c r="AD176" s="70"/>
      <c r="AE176" s="62">
        <f>SUM(AE173:AE175)</f>
        <v>148800</v>
      </c>
      <c r="AF176" s="61">
        <f>SUM(AF173:AF175)</f>
        <v>148800</v>
      </c>
      <c r="AG176" s="61">
        <f>SUM(AG173:AG175)</f>
        <v>148800</v>
      </c>
      <c r="AH176" s="61"/>
      <c r="AI176" s="61"/>
      <c r="AJ176" s="63"/>
      <c r="AK176" s="169"/>
      <c r="AL176" s="61"/>
      <c r="AM176" s="61">
        <f>SUM(AM173:AM175)</f>
        <v>169454</v>
      </c>
      <c r="AN176" s="61">
        <f>SUM(AN173:AN175)</f>
        <v>169454</v>
      </c>
      <c r="AO176" s="61">
        <f>SUM(AO173:AO175)</f>
        <v>169454</v>
      </c>
      <c r="AP176" s="61"/>
      <c r="AQ176" s="61"/>
      <c r="AR176" s="63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  <c r="BV176" s="56"/>
      <c r="BW176" s="56"/>
      <c r="BX176" s="56"/>
      <c r="BY176" s="56"/>
      <c r="BZ176" s="56"/>
      <c r="CA176" s="56"/>
      <c r="CB176" s="56"/>
      <c r="CC176" s="56"/>
      <c r="CD176" s="56"/>
      <c r="CE176" s="56"/>
      <c r="CF176" s="56"/>
      <c r="CG176" s="56"/>
      <c r="CH176" s="56"/>
      <c r="CI176" s="56"/>
      <c r="CJ176" s="56"/>
      <c r="CK176" s="56"/>
      <c r="CL176" s="56"/>
      <c r="CM176" s="56"/>
      <c r="CN176" s="56"/>
      <c r="CO176" s="56"/>
      <c r="CP176" s="56"/>
      <c r="CQ176" s="56"/>
      <c r="CR176" s="56"/>
      <c r="CS176" s="56"/>
      <c r="CT176" s="56"/>
      <c r="CU176" s="56"/>
      <c r="CV176" s="56"/>
      <c r="CW176" s="56"/>
      <c r="CX176" s="56"/>
      <c r="CY176" s="56"/>
      <c r="CZ176" s="56"/>
      <c r="DA176" s="56"/>
      <c r="DB176" s="56"/>
      <c r="DC176" s="56"/>
      <c r="DD176" s="56"/>
      <c r="DE176" s="56"/>
      <c r="DF176" s="56"/>
      <c r="DG176" s="56"/>
      <c r="DH176" s="56"/>
      <c r="DI176" s="56"/>
      <c r="DJ176" s="56"/>
      <c r="DK176" s="56"/>
      <c r="DL176" s="56"/>
      <c r="DM176" s="56"/>
      <c r="DN176" s="56"/>
      <c r="DO176" s="56"/>
      <c r="DP176" s="56"/>
      <c r="DQ176" s="56"/>
      <c r="DR176" s="56"/>
      <c r="DS176" s="56"/>
      <c r="DT176" s="56"/>
      <c r="DU176" s="56"/>
      <c r="DV176" s="56"/>
      <c r="DW176" s="56"/>
      <c r="DX176" s="56"/>
      <c r="DY176" s="56"/>
      <c r="DZ176" s="56"/>
      <c r="EA176" s="56"/>
      <c r="EB176" s="56"/>
      <c r="EC176" s="56"/>
      <c r="ED176" s="56"/>
      <c r="EE176" s="56"/>
      <c r="EF176" s="56"/>
      <c r="EG176" s="56"/>
      <c r="EH176" s="56"/>
      <c r="EI176" s="56"/>
      <c r="EJ176" s="56"/>
      <c r="EK176" s="56"/>
    </row>
    <row r="177" spans="1:141" ht="27" hidden="1" thickBot="1" x14ac:dyDescent="0.9">
      <c r="A177" s="1052"/>
      <c r="B177" s="1053"/>
      <c r="C177" s="1054"/>
      <c r="D177" s="57"/>
      <c r="E177" s="57"/>
      <c r="F177" s="57"/>
      <c r="G177" s="58"/>
      <c r="H177" s="57"/>
      <c r="I177" s="59"/>
      <c r="J177" s="58"/>
      <c r="K177" s="57"/>
      <c r="L177" s="57"/>
      <c r="M177" s="60"/>
      <c r="N177" s="70"/>
      <c r="O177" s="62"/>
      <c r="P177" s="61"/>
      <c r="Q177" s="83">
        <f>O23+P176+Q176</f>
        <v>310</v>
      </c>
      <c r="R177" s="61"/>
      <c r="S177" s="61"/>
      <c r="T177" s="64"/>
      <c r="U177" s="60"/>
      <c r="V177" s="70"/>
      <c r="W177" s="61"/>
      <c r="X177" s="61"/>
      <c r="Y177" s="83">
        <f>W176+X176+Y176</f>
        <v>61962</v>
      </c>
      <c r="Z177" s="61"/>
      <c r="AA177" s="62"/>
      <c r="AB177" s="151"/>
      <c r="AC177" s="70"/>
      <c r="AD177" s="70"/>
      <c r="AE177" s="62"/>
      <c r="AF177" s="61"/>
      <c r="AG177" s="61"/>
      <c r="AH177" s="61"/>
      <c r="AI177" s="61"/>
      <c r="AJ177" s="63"/>
      <c r="AK177" s="169"/>
      <c r="AL177" s="61"/>
      <c r="AM177" s="61"/>
      <c r="AN177" s="61"/>
      <c r="AO177" s="61"/>
      <c r="AP177" s="61"/>
      <c r="AQ177" s="61"/>
      <c r="AR177" s="63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6"/>
      <c r="BR177" s="56"/>
      <c r="BS177" s="56"/>
      <c r="BT177" s="56"/>
      <c r="BU177" s="56"/>
      <c r="BV177" s="56"/>
      <c r="BW177" s="56"/>
      <c r="BX177" s="56"/>
      <c r="BY177" s="56"/>
      <c r="BZ177" s="56"/>
      <c r="CA177" s="56"/>
      <c r="CB177" s="56"/>
      <c r="CC177" s="56"/>
      <c r="CD177" s="56"/>
      <c r="CE177" s="56"/>
      <c r="CF177" s="56"/>
      <c r="CG177" s="56"/>
      <c r="CH177" s="56"/>
      <c r="CI177" s="56"/>
      <c r="CJ177" s="56"/>
      <c r="CK177" s="56"/>
      <c r="CL177" s="56"/>
      <c r="CM177" s="56"/>
      <c r="CN177" s="56"/>
      <c r="CO177" s="56"/>
      <c r="CP177" s="56"/>
      <c r="CQ177" s="56"/>
      <c r="CR177" s="56"/>
      <c r="CS177" s="56"/>
      <c r="CT177" s="56"/>
      <c r="CU177" s="56"/>
      <c r="CV177" s="56"/>
      <c r="CW177" s="56"/>
      <c r="CX177" s="56"/>
      <c r="CY177" s="56"/>
      <c r="CZ177" s="56"/>
      <c r="DA177" s="56"/>
      <c r="DB177" s="56"/>
      <c r="DC177" s="56"/>
      <c r="DD177" s="56"/>
      <c r="DE177" s="56"/>
      <c r="DF177" s="56"/>
      <c r="DG177" s="56"/>
      <c r="DH177" s="56"/>
      <c r="DI177" s="56"/>
      <c r="DJ177" s="56"/>
      <c r="DK177" s="56"/>
      <c r="DL177" s="56"/>
      <c r="DM177" s="56"/>
      <c r="DN177" s="56"/>
      <c r="DO177" s="56"/>
      <c r="DP177" s="56"/>
      <c r="DQ177" s="56"/>
      <c r="DR177" s="56"/>
      <c r="DS177" s="56"/>
      <c r="DT177" s="56"/>
      <c r="DU177" s="56"/>
      <c r="DV177" s="56"/>
      <c r="DW177" s="56"/>
      <c r="DX177" s="56"/>
      <c r="DY177" s="56"/>
      <c r="DZ177" s="56"/>
      <c r="EA177" s="56"/>
      <c r="EB177" s="56"/>
      <c r="EC177" s="56"/>
      <c r="ED177" s="56"/>
      <c r="EE177" s="56"/>
      <c r="EF177" s="56"/>
      <c r="EG177" s="56"/>
      <c r="EH177" s="56"/>
      <c r="EI177" s="56"/>
      <c r="EJ177" s="56"/>
      <c r="EK177" s="56"/>
    </row>
    <row r="178" spans="1:141" s="68" customFormat="1" ht="39.9" customHeight="1" thickBot="1" x14ac:dyDescent="0.75">
      <c r="A178" s="938" t="s">
        <v>194</v>
      </c>
      <c r="B178" s="939"/>
      <c r="C178" s="939"/>
      <c r="D178" s="939"/>
      <c r="E178" s="939"/>
      <c r="F178" s="939"/>
      <c r="G178" s="939"/>
      <c r="H178" s="939"/>
      <c r="I178" s="939"/>
      <c r="J178" s="939"/>
      <c r="K178" s="939"/>
      <c r="L178" s="939"/>
      <c r="M178" s="939"/>
      <c r="N178" s="939"/>
      <c r="O178" s="939"/>
      <c r="P178" s="939"/>
      <c r="Q178" s="939"/>
      <c r="R178" s="939"/>
      <c r="S178" s="939"/>
      <c r="T178" s="939"/>
      <c r="U178" s="939"/>
      <c r="V178" s="939"/>
      <c r="W178" s="939"/>
      <c r="X178" s="939"/>
      <c r="Y178" s="939"/>
      <c r="Z178" s="939"/>
      <c r="AA178" s="939"/>
      <c r="AB178" s="939"/>
      <c r="AC178" s="939"/>
      <c r="AD178" s="939"/>
      <c r="AE178" s="939"/>
      <c r="AF178" s="939"/>
      <c r="AG178" s="939"/>
      <c r="AH178" s="939"/>
      <c r="AI178" s="939"/>
      <c r="AJ178" s="939"/>
      <c r="AK178" s="939"/>
      <c r="AL178" s="939"/>
      <c r="AM178" s="939"/>
      <c r="AN178" s="939"/>
      <c r="AO178" s="939"/>
      <c r="AP178" s="939"/>
      <c r="AQ178" s="939"/>
      <c r="AR178" s="940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  <c r="BP178" s="69"/>
      <c r="BQ178" s="69"/>
      <c r="BR178" s="69"/>
      <c r="BS178" s="69"/>
      <c r="BT178" s="69"/>
      <c r="BU178" s="69"/>
      <c r="BV178" s="69"/>
      <c r="BW178" s="69"/>
      <c r="BX178" s="69"/>
      <c r="BY178" s="69"/>
      <c r="BZ178" s="69"/>
      <c r="CA178" s="69"/>
      <c r="CB178" s="69"/>
      <c r="CC178" s="69"/>
      <c r="CD178" s="69"/>
      <c r="CE178" s="69"/>
      <c r="CF178" s="69"/>
      <c r="CG178" s="69"/>
      <c r="CH178" s="69"/>
      <c r="CI178" s="69"/>
      <c r="CJ178" s="69"/>
      <c r="CK178" s="69"/>
      <c r="CL178" s="69"/>
      <c r="CM178" s="69"/>
      <c r="CN178" s="69"/>
      <c r="CO178" s="69"/>
      <c r="CP178" s="69"/>
      <c r="CQ178" s="69"/>
      <c r="CR178" s="69"/>
      <c r="CS178" s="69"/>
      <c r="CT178" s="69"/>
      <c r="CU178" s="69"/>
      <c r="CV178" s="69"/>
      <c r="CW178" s="69"/>
      <c r="CX178" s="69"/>
      <c r="CY178" s="69"/>
      <c r="CZ178" s="69"/>
      <c r="DA178" s="69"/>
      <c r="DB178" s="69"/>
      <c r="DC178" s="69"/>
      <c r="DD178" s="69"/>
      <c r="DE178" s="69"/>
      <c r="DF178" s="69"/>
      <c r="DG178" s="69"/>
      <c r="DH178" s="69"/>
      <c r="DI178" s="69"/>
      <c r="DJ178" s="69"/>
      <c r="DK178" s="69"/>
      <c r="DL178" s="69"/>
      <c r="DM178" s="69"/>
      <c r="DN178" s="69"/>
      <c r="DO178" s="69"/>
      <c r="DP178" s="69"/>
      <c r="DQ178" s="69"/>
      <c r="DR178" s="69"/>
      <c r="DS178" s="69"/>
      <c r="DT178" s="69"/>
      <c r="DU178" s="69"/>
      <c r="DV178" s="69"/>
      <c r="DW178" s="69"/>
      <c r="DX178" s="69"/>
      <c r="DY178" s="69"/>
      <c r="DZ178" s="69"/>
      <c r="EA178" s="69"/>
      <c r="EB178" s="69"/>
      <c r="EC178" s="69"/>
      <c r="ED178" s="69"/>
      <c r="EE178" s="69"/>
      <c r="EF178" s="69"/>
      <c r="EG178" s="69"/>
      <c r="EH178" s="69"/>
      <c r="EI178" s="69"/>
      <c r="EJ178" s="69"/>
      <c r="EK178" s="69"/>
    </row>
    <row r="179" spans="1:141" x14ac:dyDescent="0.7">
      <c r="A179" s="135" t="s">
        <v>152</v>
      </c>
      <c r="B179" s="136">
        <v>131</v>
      </c>
      <c r="C179" s="123">
        <v>2886</v>
      </c>
      <c r="D179" s="17">
        <v>0</v>
      </c>
      <c r="E179" s="14">
        <v>3</v>
      </c>
      <c r="F179" s="14">
        <v>0</v>
      </c>
      <c r="G179" s="13">
        <f>0</f>
        <v>0</v>
      </c>
      <c r="H179" s="14">
        <v>15</v>
      </c>
      <c r="I179" s="23">
        <f>0</f>
        <v>0</v>
      </c>
      <c r="J179" s="13">
        <v>1.1000000000000001</v>
      </c>
      <c r="K179" s="14">
        <v>2</v>
      </c>
      <c r="L179" s="15">
        <v>1.7</v>
      </c>
      <c r="M179" s="13"/>
      <c r="N179" s="17"/>
      <c r="O179" s="15">
        <f>ROUND(C179*H179/1000,0)</f>
        <v>43</v>
      </c>
      <c r="P179" s="14">
        <f>ROUND(C179*H179/1000,0)</f>
        <v>43</v>
      </c>
      <c r="Q179" s="14">
        <f>ROUND(C179*H179/1000,0)</f>
        <v>43</v>
      </c>
      <c r="R179" s="14"/>
      <c r="S179" s="14"/>
      <c r="T179" s="18"/>
      <c r="U179" s="13"/>
      <c r="V179" s="17"/>
      <c r="W179" s="13">
        <f>ROUND(C179*K179,0)</f>
        <v>5772</v>
      </c>
      <c r="X179" s="13">
        <f>ROUND(C179*K179,0)</f>
        <v>5772</v>
      </c>
      <c r="Y179" s="13">
        <f>ROUND(C179*K179,0)</f>
        <v>5772</v>
      </c>
      <c r="Z179" s="14"/>
      <c r="AA179" s="15"/>
      <c r="AB179" s="23"/>
      <c r="AC179" s="17"/>
      <c r="AD179" s="17"/>
      <c r="AE179" s="13">
        <f>ROUND(O179*95,0)</f>
        <v>4085</v>
      </c>
      <c r="AF179" s="13">
        <f>ROUND(P179*95,0)</f>
        <v>4085</v>
      </c>
      <c r="AG179" s="13">
        <f>ROUND(Q179*95,0)</f>
        <v>4085</v>
      </c>
      <c r="AH179" s="14"/>
      <c r="AI179" s="14"/>
      <c r="AJ179" s="16"/>
      <c r="AK179" s="100"/>
      <c r="AL179" s="14"/>
      <c r="AM179" s="14">
        <f t="shared" ref="AM179:AO182" si="154">W179+AE179</f>
        <v>9857</v>
      </c>
      <c r="AN179" s="14">
        <f t="shared" si="154"/>
        <v>9857</v>
      </c>
      <c r="AO179" s="14">
        <f t="shared" si="154"/>
        <v>9857</v>
      </c>
      <c r="AP179" s="14"/>
      <c r="AQ179" s="14"/>
      <c r="AR179" s="1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56"/>
      <c r="CP179" s="56"/>
      <c r="CQ179" s="56"/>
      <c r="CR179" s="56"/>
      <c r="CS179" s="56"/>
      <c r="CT179" s="56"/>
      <c r="CU179" s="56"/>
      <c r="CV179" s="56"/>
      <c r="CW179" s="56"/>
      <c r="CX179" s="56"/>
      <c r="CY179" s="56"/>
      <c r="CZ179" s="56"/>
      <c r="DA179" s="56"/>
      <c r="DB179" s="56"/>
      <c r="DC179" s="56"/>
      <c r="DD179" s="56"/>
      <c r="DE179" s="56"/>
      <c r="DF179" s="56"/>
      <c r="DG179" s="56"/>
      <c r="DH179" s="56"/>
      <c r="DI179" s="56"/>
      <c r="DJ179" s="56"/>
      <c r="DK179" s="56"/>
      <c r="DL179" s="56"/>
      <c r="DM179" s="56"/>
      <c r="DN179" s="56"/>
      <c r="DO179" s="56"/>
      <c r="DP179" s="56"/>
      <c r="DQ179" s="56"/>
      <c r="DR179" s="56"/>
      <c r="DS179" s="56"/>
      <c r="DT179" s="56"/>
      <c r="DU179" s="56"/>
      <c r="DV179" s="56"/>
      <c r="DW179" s="56"/>
      <c r="DX179" s="56"/>
      <c r="DY179" s="56"/>
      <c r="DZ179" s="56"/>
      <c r="EA179" s="56"/>
      <c r="EB179" s="56"/>
      <c r="EC179" s="56"/>
      <c r="ED179" s="56"/>
      <c r="EE179" s="56"/>
      <c r="EF179" s="56"/>
      <c r="EG179" s="56"/>
      <c r="EH179" s="56"/>
      <c r="EI179" s="56"/>
      <c r="EJ179" s="56"/>
      <c r="EK179" s="56"/>
    </row>
    <row r="180" spans="1:141" x14ac:dyDescent="0.7">
      <c r="A180" s="135" t="s">
        <v>153</v>
      </c>
      <c r="B180" s="138">
        <v>117</v>
      </c>
      <c r="C180" s="123">
        <v>2579</v>
      </c>
      <c r="D180" s="17">
        <v>0</v>
      </c>
      <c r="E180" s="14">
        <v>3</v>
      </c>
      <c r="F180" s="14">
        <v>0</v>
      </c>
      <c r="G180" s="13">
        <f>0</f>
        <v>0</v>
      </c>
      <c r="H180" s="14">
        <v>15</v>
      </c>
      <c r="I180" s="23">
        <f>0</f>
        <v>0</v>
      </c>
      <c r="J180" s="13">
        <v>1.1000000000000001</v>
      </c>
      <c r="K180" s="14">
        <v>2</v>
      </c>
      <c r="L180" s="15">
        <v>1.7</v>
      </c>
      <c r="M180" s="13"/>
      <c r="N180" s="17"/>
      <c r="O180" s="15">
        <f>ROUND(C180*H180/1000,0)</f>
        <v>39</v>
      </c>
      <c r="P180" s="14">
        <f>ROUND(C180*H180/1000,0)</f>
        <v>39</v>
      </c>
      <c r="Q180" s="14">
        <f>ROUND(C180*H180/1000,0)</f>
        <v>39</v>
      </c>
      <c r="R180" s="14"/>
      <c r="S180" s="14"/>
      <c r="T180" s="18"/>
      <c r="U180" s="13"/>
      <c r="V180" s="17"/>
      <c r="W180" s="13">
        <f t="shared" ref="W180:W182" si="155">ROUND(C180*K180,0)</f>
        <v>5158</v>
      </c>
      <c r="X180" s="13">
        <f t="shared" ref="X180:X182" si="156">ROUND(C180*K180,0)</f>
        <v>5158</v>
      </c>
      <c r="Y180" s="13">
        <f t="shared" ref="Y180:Y182" si="157">ROUND(C180*K180,0)</f>
        <v>5158</v>
      </c>
      <c r="Z180" s="14"/>
      <c r="AA180" s="15"/>
      <c r="AB180" s="23"/>
      <c r="AC180" s="17"/>
      <c r="AD180" s="17"/>
      <c r="AE180" s="13">
        <f t="shared" ref="AE180:AE182" si="158">ROUND(O180*95,0)</f>
        <v>3705</v>
      </c>
      <c r="AF180" s="13">
        <f t="shared" ref="AF180:AF182" si="159">ROUND(P180*95,0)</f>
        <v>3705</v>
      </c>
      <c r="AG180" s="13">
        <f t="shared" ref="AG180:AG182" si="160">ROUND(Q180*95,0)</f>
        <v>3705</v>
      </c>
      <c r="AH180" s="14"/>
      <c r="AI180" s="14"/>
      <c r="AJ180" s="16"/>
      <c r="AK180" s="100"/>
      <c r="AL180" s="14"/>
      <c r="AM180" s="14">
        <f t="shared" si="154"/>
        <v>8863</v>
      </c>
      <c r="AN180" s="14">
        <f t="shared" si="154"/>
        <v>8863</v>
      </c>
      <c r="AO180" s="14">
        <f t="shared" si="154"/>
        <v>8863</v>
      </c>
      <c r="AP180" s="14"/>
      <c r="AQ180" s="14"/>
      <c r="AR180" s="1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  <c r="BV180" s="56"/>
      <c r="BW180" s="56"/>
      <c r="BX180" s="56"/>
      <c r="BY180" s="56"/>
      <c r="BZ180" s="56"/>
      <c r="CA180" s="56"/>
      <c r="CB180" s="56"/>
      <c r="CC180" s="56"/>
      <c r="CD180" s="56"/>
      <c r="CE180" s="56"/>
      <c r="CF180" s="56"/>
      <c r="CG180" s="56"/>
      <c r="CH180" s="56"/>
      <c r="CI180" s="56"/>
      <c r="CJ180" s="56"/>
      <c r="CK180" s="56"/>
      <c r="CL180" s="56"/>
      <c r="CM180" s="56"/>
      <c r="CN180" s="56"/>
      <c r="CO180" s="56"/>
      <c r="CP180" s="56"/>
      <c r="CQ180" s="56"/>
      <c r="CR180" s="56"/>
      <c r="CS180" s="56"/>
      <c r="CT180" s="56"/>
      <c r="CU180" s="56"/>
      <c r="CV180" s="56"/>
      <c r="CW180" s="56"/>
      <c r="CX180" s="56"/>
      <c r="CY180" s="56"/>
      <c r="CZ180" s="56"/>
      <c r="DA180" s="56"/>
      <c r="DB180" s="56"/>
      <c r="DC180" s="56"/>
      <c r="DD180" s="56"/>
      <c r="DE180" s="56"/>
      <c r="DF180" s="56"/>
      <c r="DG180" s="56"/>
      <c r="DH180" s="56"/>
      <c r="DI180" s="56"/>
      <c r="DJ180" s="56"/>
      <c r="DK180" s="56"/>
      <c r="DL180" s="56"/>
      <c r="DM180" s="56"/>
      <c r="DN180" s="56"/>
      <c r="DO180" s="56"/>
      <c r="DP180" s="56"/>
      <c r="DQ180" s="56"/>
      <c r="DR180" s="56"/>
      <c r="DS180" s="56"/>
      <c r="DT180" s="56"/>
      <c r="DU180" s="56"/>
      <c r="DV180" s="56"/>
      <c r="DW180" s="56"/>
      <c r="DX180" s="56"/>
      <c r="DY180" s="56"/>
      <c r="DZ180" s="56"/>
      <c r="EA180" s="56"/>
      <c r="EB180" s="56"/>
      <c r="EC180" s="56"/>
      <c r="ED180" s="56"/>
      <c r="EE180" s="56"/>
      <c r="EF180" s="56"/>
      <c r="EG180" s="56"/>
      <c r="EH180" s="56"/>
      <c r="EI180" s="56"/>
      <c r="EJ180" s="56"/>
      <c r="EK180" s="56"/>
    </row>
    <row r="181" spans="1:141" x14ac:dyDescent="0.7">
      <c r="A181" s="135" t="s">
        <v>154</v>
      </c>
      <c r="B181" s="138">
        <v>155</v>
      </c>
      <c r="C181" s="123">
        <v>3402</v>
      </c>
      <c r="D181" s="17">
        <v>0</v>
      </c>
      <c r="E181" s="14">
        <v>3</v>
      </c>
      <c r="F181" s="14">
        <v>0</v>
      </c>
      <c r="G181" s="13">
        <f>0</f>
        <v>0</v>
      </c>
      <c r="H181" s="14">
        <v>15</v>
      </c>
      <c r="I181" s="23">
        <f>0</f>
        <v>0</v>
      </c>
      <c r="J181" s="13">
        <v>1.1000000000000001</v>
      </c>
      <c r="K181" s="14">
        <v>2</v>
      </c>
      <c r="L181" s="15">
        <v>1.7</v>
      </c>
      <c r="M181" s="13"/>
      <c r="N181" s="17"/>
      <c r="O181" s="15">
        <f>ROUND(C181*H181/1000,0)</f>
        <v>51</v>
      </c>
      <c r="P181" s="14">
        <f>ROUND(C181*H181/1000,0)</f>
        <v>51</v>
      </c>
      <c r="Q181" s="14">
        <f>ROUND(C181*H181/1000,0)</f>
        <v>51</v>
      </c>
      <c r="R181" s="14"/>
      <c r="S181" s="14"/>
      <c r="T181" s="18"/>
      <c r="U181" s="13"/>
      <c r="V181" s="17"/>
      <c r="W181" s="13">
        <f t="shared" si="155"/>
        <v>6804</v>
      </c>
      <c r="X181" s="13">
        <f t="shared" si="156"/>
        <v>6804</v>
      </c>
      <c r="Y181" s="13">
        <f t="shared" si="157"/>
        <v>6804</v>
      </c>
      <c r="Z181" s="14"/>
      <c r="AA181" s="15"/>
      <c r="AB181" s="23"/>
      <c r="AC181" s="17"/>
      <c r="AD181" s="17"/>
      <c r="AE181" s="13">
        <f t="shared" si="158"/>
        <v>4845</v>
      </c>
      <c r="AF181" s="13">
        <f t="shared" si="159"/>
        <v>4845</v>
      </c>
      <c r="AG181" s="13">
        <f t="shared" si="160"/>
        <v>4845</v>
      </c>
      <c r="AH181" s="14"/>
      <c r="AI181" s="14"/>
      <c r="AJ181" s="16"/>
      <c r="AK181" s="100"/>
      <c r="AL181" s="14"/>
      <c r="AM181" s="14">
        <f t="shared" si="154"/>
        <v>11649</v>
      </c>
      <c r="AN181" s="14">
        <f t="shared" si="154"/>
        <v>11649</v>
      </c>
      <c r="AO181" s="14">
        <f t="shared" si="154"/>
        <v>11649</v>
      </c>
      <c r="AP181" s="14"/>
      <c r="AQ181" s="14"/>
      <c r="AR181" s="1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56"/>
      <c r="CP181" s="56"/>
      <c r="CQ181" s="56"/>
      <c r="CR181" s="56"/>
      <c r="CS181" s="56"/>
      <c r="CT181" s="56"/>
      <c r="CU181" s="56"/>
      <c r="CV181" s="56"/>
      <c r="CW181" s="56"/>
      <c r="CX181" s="56"/>
      <c r="CY181" s="56"/>
      <c r="CZ181" s="56"/>
      <c r="DA181" s="56"/>
      <c r="DB181" s="56"/>
      <c r="DC181" s="56"/>
      <c r="DD181" s="56"/>
      <c r="DE181" s="56"/>
      <c r="DF181" s="56"/>
      <c r="DG181" s="56"/>
      <c r="DH181" s="56"/>
      <c r="DI181" s="56"/>
      <c r="DJ181" s="56"/>
      <c r="DK181" s="56"/>
      <c r="DL181" s="56"/>
      <c r="DM181" s="56"/>
      <c r="DN181" s="56"/>
      <c r="DO181" s="56"/>
      <c r="DP181" s="56"/>
      <c r="DQ181" s="56"/>
      <c r="DR181" s="56"/>
      <c r="DS181" s="56"/>
      <c r="DT181" s="56"/>
      <c r="DU181" s="56"/>
      <c r="DV181" s="56"/>
      <c r="DW181" s="56"/>
      <c r="DX181" s="56"/>
      <c r="DY181" s="56"/>
      <c r="DZ181" s="56"/>
      <c r="EA181" s="56"/>
      <c r="EB181" s="56"/>
      <c r="EC181" s="56"/>
      <c r="ED181" s="56"/>
      <c r="EE181" s="56"/>
      <c r="EF181" s="56"/>
      <c r="EG181" s="56"/>
      <c r="EH181" s="56"/>
      <c r="EI181" s="56"/>
      <c r="EJ181" s="56"/>
      <c r="EK181" s="56"/>
    </row>
    <row r="182" spans="1:141" ht="25.2" thickBot="1" x14ac:dyDescent="0.75">
      <c r="A182" s="135" t="s">
        <v>155</v>
      </c>
      <c r="B182" s="139">
        <v>100</v>
      </c>
      <c r="C182" s="125">
        <v>2192</v>
      </c>
      <c r="D182" s="31">
        <v>0</v>
      </c>
      <c r="E182" s="28">
        <v>3</v>
      </c>
      <c r="F182" s="28">
        <v>0</v>
      </c>
      <c r="G182" s="27">
        <f>0</f>
        <v>0</v>
      </c>
      <c r="H182" s="28">
        <v>15</v>
      </c>
      <c r="I182" s="29">
        <f>0</f>
        <v>0</v>
      </c>
      <c r="J182" s="27">
        <v>1.1000000000000001</v>
      </c>
      <c r="K182" s="28">
        <v>2</v>
      </c>
      <c r="L182" s="30">
        <v>1.7</v>
      </c>
      <c r="M182" s="13"/>
      <c r="N182" s="17"/>
      <c r="O182" s="15">
        <f>ROUND(C182*H182/1000,0)</f>
        <v>33</v>
      </c>
      <c r="P182" s="14">
        <f>ROUND(C182*H182/1000,0)</f>
        <v>33</v>
      </c>
      <c r="Q182" s="14">
        <f>ROUND(C182*H182/1000,0)</f>
        <v>33</v>
      </c>
      <c r="R182" s="14"/>
      <c r="S182" s="14"/>
      <c r="T182" s="18"/>
      <c r="U182" s="13"/>
      <c r="V182" s="17"/>
      <c r="W182" s="13">
        <f t="shared" si="155"/>
        <v>4384</v>
      </c>
      <c r="X182" s="13">
        <f t="shared" si="156"/>
        <v>4384</v>
      </c>
      <c r="Y182" s="13">
        <f t="shared" si="157"/>
        <v>4384</v>
      </c>
      <c r="Z182" s="14"/>
      <c r="AA182" s="15"/>
      <c r="AB182" s="23"/>
      <c r="AC182" s="17"/>
      <c r="AD182" s="17"/>
      <c r="AE182" s="13">
        <f t="shared" si="158"/>
        <v>3135</v>
      </c>
      <c r="AF182" s="13">
        <f t="shared" si="159"/>
        <v>3135</v>
      </c>
      <c r="AG182" s="13">
        <f t="shared" si="160"/>
        <v>3135</v>
      </c>
      <c r="AH182" s="14"/>
      <c r="AI182" s="14"/>
      <c r="AJ182" s="16"/>
      <c r="AK182" s="100"/>
      <c r="AL182" s="14"/>
      <c r="AM182" s="14">
        <f t="shared" si="154"/>
        <v>7519</v>
      </c>
      <c r="AN182" s="14">
        <f t="shared" si="154"/>
        <v>7519</v>
      </c>
      <c r="AO182" s="14">
        <f t="shared" si="154"/>
        <v>7519</v>
      </c>
      <c r="AP182" s="14"/>
      <c r="AQ182" s="14"/>
      <c r="AR182" s="1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56"/>
      <c r="CD182" s="56"/>
      <c r="CE182" s="56"/>
      <c r="CF182" s="56"/>
      <c r="CG182" s="56"/>
      <c r="CH182" s="56"/>
      <c r="CI182" s="56"/>
      <c r="CJ182" s="56"/>
      <c r="CK182" s="56"/>
      <c r="CL182" s="56"/>
      <c r="CM182" s="56"/>
      <c r="CN182" s="56"/>
      <c r="CO182" s="56"/>
      <c r="CP182" s="56"/>
      <c r="CQ182" s="56"/>
      <c r="CR182" s="56"/>
      <c r="CS182" s="56"/>
      <c r="CT182" s="56"/>
      <c r="CU182" s="56"/>
      <c r="CV182" s="56"/>
      <c r="CW182" s="56"/>
      <c r="CX182" s="56"/>
      <c r="CY182" s="56"/>
      <c r="CZ182" s="56"/>
      <c r="DA182" s="56"/>
      <c r="DB182" s="56"/>
      <c r="DC182" s="56"/>
      <c r="DD182" s="56"/>
      <c r="DE182" s="56"/>
      <c r="DF182" s="56"/>
      <c r="DG182" s="56"/>
      <c r="DH182" s="56"/>
      <c r="DI182" s="56"/>
      <c r="DJ182" s="56"/>
      <c r="DK182" s="56"/>
      <c r="DL182" s="56"/>
      <c r="DM182" s="56"/>
      <c r="DN182" s="56"/>
      <c r="DO182" s="56"/>
      <c r="DP182" s="56"/>
      <c r="DQ182" s="56"/>
      <c r="DR182" s="56"/>
      <c r="DS182" s="56"/>
      <c r="DT182" s="56"/>
      <c r="DU182" s="56"/>
      <c r="DV182" s="56"/>
      <c r="DW182" s="56"/>
      <c r="DX182" s="56"/>
      <c r="DY182" s="56"/>
      <c r="DZ182" s="56"/>
      <c r="EA182" s="56"/>
      <c r="EB182" s="56"/>
      <c r="EC182" s="56"/>
      <c r="ED182" s="56"/>
      <c r="EE182" s="56"/>
      <c r="EF182" s="56"/>
      <c r="EG182" s="56"/>
      <c r="EH182" s="56"/>
      <c r="EI182" s="56"/>
      <c r="EJ182" s="56"/>
      <c r="EK182" s="56"/>
    </row>
    <row r="183" spans="1:141" ht="25.2" thickBot="1" x14ac:dyDescent="0.75">
      <c r="A183" s="884" t="s">
        <v>157</v>
      </c>
      <c r="B183" s="886">
        <f>SUM(B179:B182)</f>
        <v>503</v>
      </c>
      <c r="C183" s="886">
        <f>SUM(C179:C182)</f>
        <v>11059</v>
      </c>
      <c r="D183" s="888"/>
      <c r="E183" s="889"/>
      <c r="F183" s="889"/>
      <c r="G183" s="889"/>
      <c r="H183" s="889"/>
      <c r="I183" s="889"/>
      <c r="J183" s="889"/>
      <c r="K183" s="889"/>
      <c r="L183" s="890"/>
      <c r="M183" s="158">
        <f>SUM(M180:M182)</f>
        <v>0</v>
      </c>
      <c r="N183" s="158">
        <f>SUM(N180:N182)</f>
        <v>0</v>
      </c>
      <c r="O183" s="160">
        <f>SUM(O179:O182)</f>
        <v>166</v>
      </c>
      <c r="P183" s="160">
        <f t="shared" ref="P183:Q183" si="161">SUM(P179:P182)</f>
        <v>166</v>
      </c>
      <c r="Q183" s="160">
        <f t="shared" si="161"/>
        <v>166</v>
      </c>
      <c r="R183" s="161">
        <f>SUM(R180:R182)</f>
        <v>0</v>
      </c>
      <c r="S183" s="161">
        <f>SUM(S180:S182)</f>
        <v>0</v>
      </c>
      <c r="T183" s="163">
        <f>SUM(T180:T182)</f>
        <v>0</v>
      </c>
      <c r="U183" s="158">
        <f>SUM(U180:U182)</f>
        <v>0</v>
      </c>
      <c r="V183" s="188">
        <f>V181+V180+V179</f>
        <v>0</v>
      </c>
      <c r="W183" s="157">
        <f>SUM(W179:W182)</f>
        <v>22118</v>
      </c>
      <c r="X183" s="157">
        <f t="shared" ref="X183:Y183" si="162">SUM(X179:X182)</f>
        <v>22118</v>
      </c>
      <c r="Y183" s="157">
        <f t="shared" si="162"/>
        <v>22118</v>
      </c>
      <c r="Z183" s="164"/>
      <c r="AA183" s="164"/>
      <c r="AB183" s="164"/>
      <c r="AC183" s="157">
        <f>SUM(AC180:AC182)</f>
        <v>0</v>
      </c>
      <c r="AD183" s="157">
        <f>SUM(AD180:AD182)</f>
        <v>0</v>
      </c>
      <c r="AE183" s="166">
        <f>SUM(AE179:AE182)</f>
        <v>15770</v>
      </c>
      <c r="AF183" s="166">
        <f t="shared" ref="AF183:AG183" si="163">SUM(AF179:AF182)</f>
        <v>15770</v>
      </c>
      <c r="AG183" s="166">
        <f t="shared" si="163"/>
        <v>15770</v>
      </c>
      <c r="AH183" s="175">
        <f>SUM(AH178:AH182)</f>
        <v>0</v>
      </c>
      <c r="AI183" s="175">
        <f>SUM(AI178:AI182)</f>
        <v>0</v>
      </c>
      <c r="AJ183" s="175">
        <f>SUM(AJ178:AJ182)</f>
        <v>0</v>
      </c>
      <c r="AK183" s="165">
        <f>SUM(AK181:AK182)</f>
        <v>0</v>
      </c>
      <c r="AL183" s="165">
        <f>0</f>
        <v>0</v>
      </c>
      <c r="AM183" s="166">
        <f>SUM(AM179:AM182)</f>
        <v>37888</v>
      </c>
      <c r="AN183" s="166">
        <f>SUM(AN179:AN182)</f>
        <v>37888</v>
      </c>
      <c r="AO183" s="166">
        <f>SUM(AO179:AO182)</f>
        <v>37888</v>
      </c>
      <c r="AP183" s="175">
        <f>SUM(AP178:AP182)</f>
        <v>0</v>
      </c>
      <c r="AQ183" s="164"/>
      <c r="AR183" s="167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141" ht="25.2" thickBot="1" x14ac:dyDescent="0.75">
      <c r="A184" s="885"/>
      <c r="B184" s="887"/>
      <c r="C184" s="887"/>
      <c r="D184" s="891"/>
      <c r="E184" s="892"/>
      <c r="F184" s="892"/>
      <c r="G184" s="892"/>
      <c r="H184" s="892"/>
      <c r="I184" s="892"/>
      <c r="J184" s="892"/>
      <c r="K184" s="892"/>
      <c r="L184" s="893"/>
      <c r="M184" s="894">
        <f>M183+N183</f>
        <v>0</v>
      </c>
      <c r="N184" s="895">
        <f>M183+N183</f>
        <v>0</v>
      </c>
      <c r="O184" s="896">
        <f>+O183+P183+Q183</f>
        <v>498</v>
      </c>
      <c r="P184" s="897"/>
      <c r="Q184" s="898"/>
      <c r="R184" s="899">
        <f>+R183+S183+T183</f>
        <v>0</v>
      </c>
      <c r="S184" s="900"/>
      <c r="T184" s="901"/>
      <c r="U184" s="902">
        <f>U183+V183</f>
        <v>0</v>
      </c>
      <c r="V184" s="903"/>
      <c r="W184" s="904">
        <f>W183+X183+Y183</f>
        <v>66354</v>
      </c>
      <c r="X184" s="905"/>
      <c r="Y184" s="906"/>
      <c r="Z184" s="907">
        <f>Z183+AA183+AB183</f>
        <v>0</v>
      </c>
      <c r="AA184" s="908"/>
      <c r="AB184" s="909"/>
      <c r="AC184" s="910">
        <f>AC183+AD183</f>
        <v>0</v>
      </c>
      <c r="AD184" s="911">
        <f t="shared" ref="AD184" si="164">ROUND(N184*960,0)</f>
        <v>0</v>
      </c>
      <c r="AE184" s="912">
        <f>AE183+AF183+AG183</f>
        <v>47310</v>
      </c>
      <c r="AF184" s="913"/>
      <c r="AG184" s="914"/>
      <c r="AH184" s="915">
        <f>AH183+AI183+AJ183</f>
        <v>0</v>
      </c>
      <c r="AI184" s="916"/>
      <c r="AJ184" s="917"/>
      <c r="AK184" s="918">
        <f>AK183+AL183</f>
        <v>0</v>
      </c>
      <c r="AL184" s="919">
        <f t="shared" ref="AL184" si="165">V184+AD184</f>
        <v>0</v>
      </c>
      <c r="AM184" s="912">
        <f>AM183+AN183+AO183</f>
        <v>113664</v>
      </c>
      <c r="AN184" s="913"/>
      <c r="AO184" s="914"/>
      <c r="AP184" s="920">
        <f>AP183+AQ183+AR183</f>
        <v>0</v>
      </c>
      <c r="AQ184" s="921"/>
      <c r="AR184" s="922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141" ht="25.2" thickBot="1" x14ac:dyDescent="0.75">
      <c r="A185" s="126" t="s">
        <v>158</v>
      </c>
      <c r="B185" s="127">
        <v>130</v>
      </c>
      <c r="C185" s="128">
        <v>2853</v>
      </c>
      <c r="D185" s="31">
        <v>0</v>
      </c>
      <c r="E185" s="28">
        <v>3</v>
      </c>
      <c r="F185" s="28">
        <v>0</v>
      </c>
      <c r="G185" s="13">
        <f>0</f>
        <v>0</v>
      </c>
      <c r="H185" s="14">
        <v>15</v>
      </c>
      <c r="I185" s="23">
        <f>0</f>
        <v>0</v>
      </c>
      <c r="J185" s="13">
        <v>1.1000000000000001</v>
      </c>
      <c r="K185" s="14">
        <v>2</v>
      </c>
      <c r="L185" s="15">
        <v>1.7</v>
      </c>
      <c r="M185" s="13"/>
      <c r="N185" s="17"/>
      <c r="O185" s="15">
        <f>ROUND(C185*H185/1000,0)</f>
        <v>43</v>
      </c>
      <c r="P185" s="14">
        <f>ROUND(C185*H185/1000,0)</f>
        <v>43</v>
      </c>
      <c r="Q185" s="14">
        <f>ROUND(C185*H185/1000,0)</f>
        <v>43</v>
      </c>
      <c r="R185" s="14"/>
      <c r="S185" s="14"/>
      <c r="T185" s="18"/>
      <c r="U185" s="13"/>
      <c r="V185" s="17"/>
      <c r="W185" s="13">
        <f>ROUND(C185*K185,0)</f>
        <v>5706</v>
      </c>
      <c r="X185" s="13">
        <f t="shared" ref="X185" si="166">ROUND(C185*K185,0)</f>
        <v>5706</v>
      </c>
      <c r="Y185" s="13">
        <f>ROUND(C185*K185,0)</f>
        <v>5706</v>
      </c>
      <c r="Z185" s="14"/>
      <c r="AA185" s="15"/>
      <c r="AB185" s="23"/>
      <c r="AC185" s="17"/>
      <c r="AD185" s="17"/>
      <c r="AE185" s="13">
        <f>ROUND(O185*95,0)</f>
        <v>4085</v>
      </c>
      <c r="AF185" s="13">
        <f>ROUND(P185*95,0)</f>
        <v>4085</v>
      </c>
      <c r="AG185" s="13">
        <f>ROUND(Q185*95,0)</f>
        <v>4085</v>
      </c>
      <c r="AH185" s="14"/>
      <c r="AI185" s="14"/>
      <c r="AJ185" s="16"/>
      <c r="AK185" s="100"/>
      <c r="AL185" s="14"/>
      <c r="AM185" s="14">
        <f>W185+AE185</f>
        <v>9791</v>
      </c>
      <c r="AN185" s="14">
        <f>X185+AF185</f>
        <v>9791</v>
      </c>
      <c r="AO185" s="14">
        <f>Y185+AG185</f>
        <v>9791</v>
      </c>
      <c r="AP185" s="14"/>
      <c r="AQ185" s="14"/>
      <c r="AR185" s="1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  <c r="BV185" s="56"/>
      <c r="BW185" s="56"/>
      <c r="BX185" s="56"/>
      <c r="BY185" s="56"/>
      <c r="BZ185" s="56"/>
      <c r="CA185" s="56"/>
      <c r="CB185" s="56"/>
      <c r="CC185" s="56"/>
      <c r="CD185" s="56"/>
      <c r="CE185" s="56"/>
      <c r="CF185" s="56"/>
      <c r="CG185" s="56"/>
      <c r="CH185" s="56"/>
      <c r="CI185" s="56"/>
      <c r="CJ185" s="56"/>
      <c r="CK185" s="56"/>
      <c r="CL185" s="56"/>
      <c r="CM185" s="56"/>
      <c r="CN185" s="56"/>
      <c r="CO185" s="56"/>
      <c r="CP185" s="56"/>
      <c r="CQ185" s="56"/>
      <c r="CR185" s="56"/>
      <c r="CS185" s="56"/>
      <c r="CT185" s="56"/>
      <c r="CU185" s="56"/>
      <c r="CV185" s="56"/>
      <c r="CW185" s="56"/>
      <c r="CX185" s="56"/>
      <c r="CY185" s="56"/>
      <c r="CZ185" s="56"/>
      <c r="DA185" s="56"/>
      <c r="DB185" s="56"/>
      <c r="DC185" s="56"/>
      <c r="DD185" s="56"/>
      <c r="DE185" s="56"/>
      <c r="DF185" s="56"/>
      <c r="DG185" s="56"/>
      <c r="DH185" s="56"/>
      <c r="DI185" s="56"/>
      <c r="DJ185" s="56"/>
      <c r="DK185" s="56"/>
      <c r="DL185" s="56"/>
      <c r="DM185" s="56"/>
      <c r="DN185" s="56"/>
      <c r="DO185" s="56"/>
      <c r="DP185" s="56"/>
      <c r="DQ185" s="56"/>
      <c r="DR185" s="56"/>
      <c r="DS185" s="56"/>
      <c r="DT185" s="56"/>
      <c r="DU185" s="56"/>
      <c r="DV185" s="56"/>
      <c r="DW185" s="56"/>
      <c r="DX185" s="56"/>
      <c r="DY185" s="56"/>
      <c r="DZ185" s="56"/>
      <c r="EA185" s="56"/>
      <c r="EB185" s="56"/>
      <c r="EC185" s="56"/>
      <c r="ED185" s="56"/>
      <c r="EE185" s="56"/>
      <c r="EF185" s="56"/>
      <c r="EG185" s="56"/>
      <c r="EH185" s="56"/>
      <c r="EI185" s="56"/>
      <c r="EJ185" s="56"/>
      <c r="EK185" s="56"/>
    </row>
    <row r="186" spans="1:141" ht="25.2" thickBot="1" x14ac:dyDescent="0.75">
      <c r="A186" s="884" t="s">
        <v>156</v>
      </c>
      <c r="B186" s="886">
        <f>SUM(B185)</f>
        <v>130</v>
      </c>
      <c r="C186" s="925">
        <f>SUM(C185)</f>
        <v>2853</v>
      </c>
      <c r="D186" s="888"/>
      <c r="E186" s="889"/>
      <c r="F186" s="889"/>
      <c r="G186" s="889"/>
      <c r="H186" s="889"/>
      <c r="I186" s="889"/>
      <c r="J186" s="889"/>
      <c r="K186" s="889"/>
      <c r="L186" s="890"/>
      <c r="M186" s="158">
        <f>SUM(M182:M184)</f>
        <v>0</v>
      </c>
      <c r="N186" s="158">
        <f>SUM(N182:N184)</f>
        <v>0</v>
      </c>
      <c r="O186" s="160">
        <f>SUM(O185)</f>
        <v>43</v>
      </c>
      <c r="P186" s="160">
        <f>SUM(P185)</f>
        <v>43</v>
      </c>
      <c r="Q186" s="160">
        <f>SUM(Q185)</f>
        <v>43</v>
      </c>
      <c r="R186" s="161">
        <f>SUM(R182:R184)</f>
        <v>0</v>
      </c>
      <c r="S186" s="161">
        <f>SUM(S182:S184)</f>
        <v>0</v>
      </c>
      <c r="T186" s="163">
        <f>SUM(T182:T184)</f>
        <v>0</v>
      </c>
      <c r="U186" s="158">
        <f>SUM(U182:U184)</f>
        <v>0</v>
      </c>
      <c r="V186" s="188">
        <f>V183+V182+V181</f>
        <v>0</v>
      </c>
      <c r="W186" s="157">
        <f>SUM(W185)</f>
        <v>5706</v>
      </c>
      <c r="X186" s="157">
        <f>SUM(X185)</f>
        <v>5706</v>
      </c>
      <c r="Y186" s="157">
        <f>SUM(Y185)</f>
        <v>5706</v>
      </c>
      <c r="Z186" s="164"/>
      <c r="AA186" s="164"/>
      <c r="AB186" s="164"/>
      <c r="AC186" s="157">
        <f>SUM(AC182:AC184)</f>
        <v>0</v>
      </c>
      <c r="AD186" s="157">
        <f>SUM(AD182:AD184)</f>
        <v>0</v>
      </c>
      <c r="AE186" s="166">
        <f>SUM(AE185)</f>
        <v>4085</v>
      </c>
      <c r="AF186" s="166">
        <f>SUM(AF185)</f>
        <v>4085</v>
      </c>
      <c r="AG186" s="166">
        <f>SUM(AG185)</f>
        <v>4085</v>
      </c>
      <c r="AH186" s="175">
        <f t="shared" ref="AH186" si="167">SUM(AH180:AH184)</f>
        <v>0</v>
      </c>
      <c r="AI186" s="175">
        <f t="shared" ref="AI186" si="168">SUM(AI180:AI184)</f>
        <v>0</v>
      </c>
      <c r="AJ186" s="175">
        <f t="shared" ref="AJ186" si="169">SUM(AJ180:AJ184)</f>
        <v>0</v>
      </c>
      <c r="AK186" s="165">
        <f>SUM(AK183:AK184)</f>
        <v>0</v>
      </c>
      <c r="AL186" s="165">
        <f>0</f>
        <v>0</v>
      </c>
      <c r="AM186" s="166">
        <f>SUM(AM185)</f>
        <v>9791</v>
      </c>
      <c r="AN186" s="166">
        <f t="shared" ref="AN186" si="170">SUM(AN185)</f>
        <v>9791</v>
      </c>
      <c r="AO186" s="166">
        <f t="shared" ref="AO186" si="171">SUM(AO185)</f>
        <v>9791</v>
      </c>
      <c r="AP186" s="175">
        <f>SUM(AP180:AP184)</f>
        <v>0</v>
      </c>
      <c r="AQ186" s="164"/>
      <c r="AR186" s="167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141" ht="25.2" thickBot="1" x14ac:dyDescent="0.75">
      <c r="A187" s="885"/>
      <c r="B187" s="887"/>
      <c r="C187" s="926"/>
      <c r="D187" s="891"/>
      <c r="E187" s="892"/>
      <c r="F187" s="892"/>
      <c r="G187" s="892"/>
      <c r="H187" s="892"/>
      <c r="I187" s="892"/>
      <c r="J187" s="892"/>
      <c r="K187" s="892"/>
      <c r="L187" s="893"/>
      <c r="M187" s="894">
        <f>M186+N186</f>
        <v>0</v>
      </c>
      <c r="N187" s="895">
        <f>M186+N186</f>
        <v>0</v>
      </c>
      <c r="O187" s="896">
        <f>+O186+P186+Q186</f>
        <v>129</v>
      </c>
      <c r="P187" s="897"/>
      <c r="Q187" s="898"/>
      <c r="R187" s="899">
        <f>+R186+S186+T186</f>
        <v>0</v>
      </c>
      <c r="S187" s="900"/>
      <c r="T187" s="901"/>
      <c r="U187" s="902">
        <f>U186+V186</f>
        <v>0</v>
      </c>
      <c r="V187" s="903"/>
      <c r="W187" s="904">
        <f>W186+X186+Y186</f>
        <v>17118</v>
      </c>
      <c r="X187" s="905"/>
      <c r="Y187" s="906"/>
      <c r="Z187" s="907">
        <f>Z186+AA186+AB186</f>
        <v>0</v>
      </c>
      <c r="AA187" s="908"/>
      <c r="AB187" s="909"/>
      <c r="AC187" s="910">
        <f>AC186+AD186</f>
        <v>0</v>
      </c>
      <c r="AD187" s="911">
        <f t="shared" ref="AD187" si="172">ROUND(N187*960,0)</f>
        <v>0</v>
      </c>
      <c r="AE187" s="912">
        <f>AE186+AF186+AG186</f>
        <v>12255</v>
      </c>
      <c r="AF187" s="913"/>
      <c r="AG187" s="914"/>
      <c r="AH187" s="915">
        <f>AH186+AI186+AJ186</f>
        <v>0</v>
      </c>
      <c r="AI187" s="916"/>
      <c r="AJ187" s="917"/>
      <c r="AK187" s="918">
        <f>AK186+AL186</f>
        <v>0</v>
      </c>
      <c r="AL187" s="919">
        <f t="shared" ref="AL187" si="173">V187+AD187</f>
        <v>0</v>
      </c>
      <c r="AM187" s="912">
        <f>AM186+AN186+AO186</f>
        <v>29373</v>
      </c>
      <c r="AN187" s="913"/>
      <c r="AO187" s="914"/>
      <c r="AP187" s="920">
        <f>AP186+AQ186+AR186</f>
        <v>0</v>
      </c>
      <c r="AQ187" s="921"/>
      <c r="AR187" s="922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141" s="180" customFormat="1" ht="39.9" customHeight="1" thickBot="1" x14ac:dyDescent="0.75">
      <c r="A188" s="881" t="s">
        <v>165</v>
      </c>
      <c r="B188" s="882"/>
      <c r="C188" s="882"/>
      <c r="D188" s="882"/>
      <c r="E188" s="882"/>
      <c r="F188" s="882"/>
      <c r="G188" s="882"/>
      <c r="H188" s="882"/>
      <c r="I188" s="882"/>
      <c r="J188" s="882"/>
      <c r="K188" s="882"/>
      <c r="L188" s="882"/>
      <c r="M188" s="882"/>
      <c r="N188" s="882"/>
      <c r="O188" s="882"/>
      <c r="P188" s="882"/>
      <c r="Q188" s="882"/>
      <c r="R188" s="882"/>
      <c r="S188" s="882"/>
      <c r="T188" s="882"/>
      <c r="U188" s="882"/>
      <c r="V188" s="882"/>
      <c r="W188" s="882"/>
      <c r="X188" s="882"/>
      <c r="Y188" s="882"/>
      <c r="Z188" s="882"/>
      <c r="AA188" s="882"/>
      <c r="AB188" s="882"/>
      <c r="AC188" s="882"/>
      <c r="AD188" s="882"/>
      <c r="AE188" s="882"/>
      <c r="AF188" s="882"/>
      <c r="AG188" s="882"/>
      <c r="AH188" s="882"/>
      <c r="AI188" s="882"/>
      <c r="AJ188" s="882"/>
      <c r="AK188" s="882"/>
      <c r="AL188" s="882"/>
      <c r="AM188" s="882"/>
      <c r="AN188" s="882"/>
      <c r="AO188" s="882"/>
      <c r="AP188" s="882"/>
      <c r="AQ188" s="882"/>
      <c r="AR188" s="883"/>
      <c r="AS188" s="176"/>
      <c r="AT188" s="176"/>
      <c r="AU188" s="176"/>
      <c r="AV188" s="176"/>
      <c r="AW188" s="176"/>
      <c r="AX188" s="176"/>
      <c r="AY188" s="176"/>
      <c r="AZ188" s="176"/>
      <c r="BA188" s="176"/>
      <c r="BB188" s="176"/>
      <c r="BC188" s="176"/>
      <c r="BD188" s="176"/>
      <c r="BE188" s="176"/>
      <c r="BF188" s="176"/>
      <c r="BG188" s="176"/>
      <c r="BH188" s="176"/>
      <c r="BI188" s="176"/>
      <c r="BJ188" s="176"/>
      <c r="BK188" s="176"/>
      <c r="BL188" s="176"/>
      <c r="BM188" s="176"/>
      <c r="BN188" s="176"/>
      <c r="BO188" s="176"/>
      <c r="BP188" s="176"/>
      <c r="BQ188" s="176"/>
      <c r="BR188" s="176"/>
      <c r="BS188" s="176"/>
      <c r="BT188" s="176"/>
      <c r="BU188" s="176"/>
      <c r="BV188" s="176"/>
      <c r="BW188" s="176"/>
      <c r="BX188" s="176"/>
      <c r="BY188" s="176"/>
      <c r="BZ188" s="176"/>
      <c r="CA188" s="176"/>
      <c r="CB188" s="176"/>
      <c r="CC188" s="176"/>
      <c r="CD188" s="176"/>
      <c r="CE188" s="176"/>
      <c r="CF188" s="176"/>
      <c r="CG188" s="176"/>
      <c r="CH188" s="176"/>
      <c r="CI188" s="176"/>
      <c r="CJ188" s="176"/>
      <c r="CK188" s="176"/>
      <c r="CL188" s="176"/>
      <c r="CM188" s="176"/>
      <c r="CN188" s="176"/>
      <c r="CO188" s="176"/>
      <c r="CP188" s="176"/>
      <c r="CQ188" s="176"/>
      <c r="CR188" s="176"/>
      <c r="CS188" s="176"/>
      <c r="CT188" s="176"/>
      <c r="CU188" s="176"/>
      <c r="CV188" s="176"/>
      <c r="CW188" s="176"/>
      <c r="CX188" s="176"/>
      <c r="CY188" s="176"/>
      <c r="CZ188" s="176"/>
      <c r="DA188" s="176"/>
      <c r="DB188" s="176"/>
      <c r="DC188" s="176"/>
      <c r="DD188" s="176"/>
      <c r="DE188" s="176"/>
      <c r="DF188" s="176"/>
      <c r="DG188" s="176"/>
      <c r="DH188" s="176"/>
      <c r="DI188" s="176"/>
      <c r="DJ188" s="176"/>
      <c r="DK188" s="176"/>
      <c r="DL188" s="176"/>
      <c r="DM188" s="176"/>
      <c r="DN188" s="176"/>
      <c r="DO188" s="176"/>
      <c r="DP188" s="176"/>
      <c r="DQ188" s="176"/>
      <c r="DR188" s="176"/>
      <c r="DS188" s="176"/>
      <c r="DT188" s="176"/>
      <c r="DU188" s="176"/>
      <c r="DV188" s="176"/>
      <c r="DW188" s="176"/>
      <c r="DX188" s="176"/>
      <c r="DY188" s="176"/>
      <c r="DZ188" s="176"/>
      <c r="EA188" s="176"/>
      <c r="EB188" s="176"/>
      <c r="EC188" s="176"/>
      <c r="ED188" s="176"/>
      <c r="EE188" s="176"/>
      <c r="EF188" s="176"/>
      <c r="EG188" s="176"/>
      <c r="EH188" s="176"/>
      <c r="EI188" s="176"/>
      <c r="EJ188" s="176"/>
      <c r="EK188" s="176"/>
    </row>
    <row r="189" spans="1:141" s="213" customFormat="1" ht="39.9" customHeight="1" thickBot="1" x14ac:dyDescent="0.75">
      <c r="A189" s="923" t="s">
        <v>27</v>
      </c>
      <c r="B189" s="924"/>
      <c r="C189" s="924"/>
      <c r="D189" s="924"/>
      <c r="E189" s="924"/>
      <c r="F189" s="924"/>
      <c r="G189" s="924"/>
      <c r="H189" s="924"/>
      <c r="I189" s="924"/>
      <c r="J189" s="924"/>
      <c r="K189" s="924"/>
      <c r="L189" s="924"/>
      <c r="M189" s="924"/>
      <c r="N189" s="924"/>
      <c r="O189" s="924"/>
      <c r="P189" s="924"/>
      <c r="Q189" s="924"/>
      <c r="R189" s="924"/>
      <c r="S189" s="924"/>
      <c r="T189" s="924"/>
      <c r="U189" s="924"/>
      <c r="V189" s="924"/>
      <c r="W189" s="924"/>
      <c r="X189" s="924"/>
      <c r="Y189" s="924"/>
      <c r="Z189" s="924"/>
      <c r="AA189" s="924"/>
      <c r="AB189" s="924"/>
      <c r="AC189" s="924"/>
      <c r="AD189" s="924"/>
      <c r="AE189" s="924"/>
      <c r="AF189" s="924"/>
      <c r="AG189" s="924"/>
      <c r="AH189" s="924"/>
      <c r="AI189" s="924"/>
      <c r="AJ189" s="924"/>
      <c r="AK189" s="924"/>
      <c r="AL189" s="924"/>
      <c r="AM189" s="924"/>
      <c r="AN189" s="924"/>
      <c r="AO189" s="924"/>
      <c r="AP189" s="924"/>
      <c r="AQ189" s="924"/>
      <c r="AR189" s="924"/>
      <c r="AS189" s="212"/>
      <c r="AT189" s="212"/>
      <c r="AU189" s="212"/>
      <c r="AV189" s="212"/>
      <c r="AW189" s="212"/>
      <c r="AX189" s="212"/>
      <c r="AY189" s="212"/>
      <c r="AZ189" s="212"/>
      <c r="BA189" s="212"/>
      <c r="BB189" s="212"/>
      <c r="BC189" s="212"/>
      <c r="BD189" s="212"/>
      <c r="BE189" s="212"/>
      <c r="BF189" s="212"/>
      <c r="BG189" s="212"/>
      <c r="BH189" s="212"/>
      <c r="BI189" s="212"/>
      <c r="BJ189" s="212"/>
      <c r="BK189" s="212"/>
      <c r="BL189" s="212"/>
      <c r="BM189" s="212"/>
      <c r="BN189" s="212"/>
      <c r="BO189" s="212"/>
      <c r="BP189" s="212"/>
      <c r="BQ189" s="212"/>
      <c r="BR189" s="212"/>
      <c r="BS189" s="212"/>
      <c r="BT189" s="212"/>
      <c r="BU189" s="212"/>
      <c r="BV189" s="212"/>
      <c r="BW189" s="212"/>
      <c r="BX189" s="212"/>
      <c r="BY189" s="212"/>
      <c r="BZ189" s="212"/>
      <c r="CA189" s="212"/>
      <c r="CB189" s="212"/>
      <c r="CC189" s="212"/>
      <c r="CD189" s="212"/>
      <c r="CE189" s="212"/>
      <c r="CF189" s="212"/>
      <c r="CG189" s="212"/>
      <c r="CH189" s="212"/>
      <c r="CI189" s="212"/>
      <c r="CJ189" s="212"/>
      <c r="CK189" s="212"/>
      <c r="CL189" s="212"/>
      <c r="CM189" s="212"/>
      <c r="CN189" s="212"/>
      <c r="CO189" s="212"/>
      <c r="CP189" s="212"/>
      <c r="CQ189" s="212"/>
      <c r="CR189" s="212"/>
      <c r="CS189" s="212"/>
      <c r="CT189" s="212"/>
      <c r="CU189" s="212"/>
      <c r="CV189" s="212"/>
      <c r="CW189" s="212"/>
      <c r="CX189" s="212"/>
      <c r="CY189" s="212"/>
      <c r="CZ189" s="212"/>
      <c r="DA189" s="212"/>
      <c r="DB189" s="212"/>
      <c r="DC189" s="212"/>
      <c r="DD189" s="212"/>
      <c r="DE189" s="212"/>
      <c r="DF189" s="212"/>
      <c r="DG189" s="212"/>
      <c r="DH189" s="212"/>
      <c r="DI189" s="212"/>
      <c r="DJ189" s="212"/>
      <c r="DK189" s="212"/>
      <c r="DL189" s="212"/>
      <c r="DM189" s="212"/>
      <c r="DN189" s="212"/>
      <c r="DO189" s="212"/>
      <c r="DP189" s="212"/>
      <c r="DQ189" s="212"/>
      <c r="DR189" s="212"/>
      <c r="DS189" s="212"/>
      <c r="DT189" s="212"/>
      <c r="DU189" s="212"/>
      <c r="DV189" s="212"/>
      <c r="DW189" s="212"/>
      <c r="DX189" s="212"/>
      <c r="DY189" s="212"/>
      <c r="DZ189" s="212"/>
      <c r="EA189" s="212"/>
      <c r="EB189" s="212"/>
      <c r="EC189" s="212"/>
      <c r="ED189" s="212"/>
      <c r="EE189" s="212"/>
      <c r="EF189" s="212"/>
      <c r="EG189" s="212"/>
      <c r="EH189" s="212"/>
      <c r="EI189" s="212"/>
      <c r="EJ189" s="212"/>
      <c r="EK189" s="212"/>
    </row>
    <row r="190" spans="1:141" s="88" customFormat="1" x14ac:dyDescent="0.7">
      <c r="A190" s="112" t="s">
        <v>160</v>
      </c>
      <c r="B190" s="113">
        <v>115</v>
      </c>
      <c r="C190" s="114">
        <v>2531</v>
      </c>
      <c r="D190" s="7">
        <v>0</v>
      </c>
      <c r="E190" s="8">
        <v>3</v>
      </c>
      <c r="F190" s="8">
        <v>0</v>
      </c>
      <c r="G190" s="101">
        <f>0</f>
        <v>0</v>
      </c>
      <c r="H190" s="8">
        <v>15</v>
      </c>
      <c r="I190" s="102">
        <f>0</f>
        <v>0</v>
      </c>
      <c r="J190" s="101">
        <v>1.1000000000000001</v>
      </c>
      <c r="K190" s="8">
        <v>2</v>
      </c>
      <c r="L190" s="103">
        <v>1.7</v>
      </c>
      <c r="M190" s="82"/>
      <c r="N190" s="22"/>
      <c r="O190" s="202">
        <f>ROUND(C190*H190/1000,0)</f>
        <v>38</v>
      </c>
      <c r="P190" s="52">
        <f>ROUND(C190*H190/1000,0)</f>
        <v>38</v>
      </c>
      <c r="Q190" s="52">
        <f>ROUND(C190*H190/1000,0)</f>
        <v>38</v>
      </c>
      <c r="R190" s="52"/>
      <c r="S190" s="52"/>
      <c r="T190" s="86"/>
      <c r="U190" s="82"/>
      <c r="V190" s="22"/>
      <c r="W190" s="197">
        <f>ROUND(C190*K190,0)</f>
        <v>5062</v>
      </c>
      <c r="X190" s="52">
        <f t="shared" ref="X190:X193" si="174">ROUND(C190*K190,0)</f>
        <v>5062</v>
      </c>
      <c r="Y190" s="52">
        <f t="shared" ref="Y190:Y193" si="175">ROUND(C190*K190,0)</f>
        <v>5062</v>
      </c>
      <c r="Z190" s="82"/>
      <c r="AA190" s="82"/>
      <c r="AB190" s="140"/>
      <c r="AC190" s="22"/>
      <c r="AD190" s="22"/>
      <c r="AE190" s="197">
        <f>ROUND(O190*95,0)</f>
        <v>3610</v>
      </c>
      <c r="AF190" s="52">
        <f>ROUND(P190*95,0)</f>
        <v>3610</v>
      </c>
      <c r="AG190" s="52">
        <f t="shared" ref="AG190:AG193" si="176">ROUND(Q190*95,0)</f>
        <v>3610</v>
      </c>
      <c r="AH190" s="13"/>
      <c r="AI190" s="13"/>
      <c r="AJ190" s="71"/>
      <c r="AK190" s="170"/>
      <c r="AL190" s="52"/>
      <c r="AM190" s="200">
        <f>W190+AE190</f>
        <v>8672</v>
      </c>
      <c r="AN190" s="52">
        <f t="shared" ref="AN190:AN193" si="177">X190+AF190</f>
        <v>8672</v>
      </c>
      <c r="AO190" s="52">
        <f t="shared" ref="AO190:AO193" si="178">Y190+AG190</f>
        <v>8672</v>
      </c>
      <c r="AP190" s="14"/>
      <c r="AQ190" s="14"/>
      <c r="AR190" s="40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  <c r="CS190" s="56"/>
      <c r="CT190" s="56"/>
      <c r="CU190" s="56"/>
      <c r="CV190" s="56"/>
      <c r="CW190" s="56"/>
      <c r="CX190" s="56"/>
      <c r="CY190" s="56"/>
      <c r="CZ190" s="56"/>
      <c r="DA190" s="56"/>
      <c r="DB190" s="56"/>
      <c r="DC190" s="56"/>
      <c r="DD190" s="56"/>
      <c r="DE190" s="56"/>
      <c r="DF190" s="56"/>
      <c r="DG190" s="56"/>
      <c r="DH190" s="56"/>
      <c r="DI190" s="56"/>
      <c r="DJ190" s="56"/>
      <c r="DK190" s="56"/>
      <c r="DL190" s="56"/>
      <c r="DM190" s="56"/>
      <c r="DN190" s="56"/>
      <c r="DO190" s="56"/>
      <c r="DP190" s="56"/>
      <c r="DQ190" s="56"/>
      <c r="DR190" s="56"/>
      <c r="DS190" s="56"/>
      <c r="DT190" s="56"/>
      <c r="DU190" s="56"/>
      <c r="DV190" s="56"/>
      <c r="DW190" s="56"/>
      <c r="DX190" s="56"/>
      <c r="DY190" s="56"/>
      <c r="DZ190" s="56"/>
      <c r="EA190" s="56"/>
      <c r="EB190" s="56"/>
      <c r="EC190" s="56"/>
      <c r="ED190" s="56"/>
      <c r="EE190" s="56"/>
      <c r="EF190" s="56"/>
      <c r="EG190" s="56"/>
      <c r="EH190" s="56"/>
      <c r="EI190" s="56"/>
      <c r="EJ190" s="56"/>
      <c r="EK190" s="56"/>
    </row>
    <row r="191" spans="1:141" s="88" customFormat="1" x14ac:dyDescent="0.7">
      <c r="A191" s="112" t="s">
        <v>161</v>
      </c>
      <c r="B191" s="115">
        <v>127</v>
      </c>
      <c r="C191" s="116">
        <v>2803</v>
      </c>
      <c r="D191" s="22">
        <v>0</v>
      </c>
      <c r="E191" s="52">
        <v>3</v>
      </c>
      <c r="F191" s="52">
        <v>0</v>
      </c>
      <c r="G191" s="82">
        <f>0</f>
        <v>0</v>
      </c>
      <c r="H191" s="52">
        <v>15</v>
      </c>
      <c r="I191" s="87">
        <f>0</f>
        <v>0</v>
      </c>
      <c r="J191" s="82">
        <v>1.1000000000000001</v>
      </c>
      <c r="K191" s="52">
        <v>2</v>
      </c>
      <c r="L191" s="84">
        <v>1.7</v>
      </c>
      <c r="M191" s="82"/>
      <c r="N191" s="22"/>
      <c r="O191" s="202">
        <f>ROUND(C191*H191/1000,0)</f>
        <v>42</v>
      </c>
      <c r="P191" s="52">
        <f t="shared" ref="P191:P193" si="179">ROUND(C191*H191/1000,0)</f>
        <v>42</v>
      </c>
      <c r="Q191" s="52">
        <f t="shared" ref="Q191:Q193" si="180">ROUND(C191*H191/1000,0)</f>
        <v>42</v>
      </c>
      <c r="R191" s="52"/>
      <c r="S191" s="52"/>
      <c r="T191" s="86"/>
      <c r="U191" s="82"/>
      <c r="V191" s="22"/>
      <c r="W191" s="197">
        <f>ROUND(C191*K191,0)</f>
        <v>5606</v>
      </c>
      <c r="X191" s="52">
        <f t="shared" si="174"/>
        <v>5606</v>
      </c>
      <c r="Y191" s="52">
        <f t="shared" si="175"/>
        <v>5606</v>
      </c>
      <c r="Z191" s="82"/>
      <c r="AA191" s="82"/>
      <c r="AB191" s="140"/>
      <c r="AC191" s="22"/>
      <c r="AD191" s="22"/>
      <c r="AE191" s="197">
        <f t="shared" ref="AE191:AE193" si="181">ROUND(O191*95,0)</f>
        <v>3990</v>
      </c>
      <c r="AF191" s="52">
        <f t="shared" ref="AF191:AF193" si="182">ROUND(P191*95,0)</f>
        <v>3990</v>
      </c>
      <c r="AG191" s="52">
        <f t="shared" si="176"/>
        <v>3990</v>
      </c>
      <c r="AH191" s="13"/>
      <c r="AI191" s="13"/>
      <c r="AJ191" s="71"/>
      <c r="AK191" s="170"/>
      <c r="AL191" s="52"/>
      <c r="AM191" s="200">
        <f>W191+AE191</f>
        <v>9596</v>
      </c>
      <c r="AN191" s="52">
        <f t="shared" si="177"/>
        <v>9596</v>
      </c>
      <c r="AO191" s="52">
        <f t="shared" si="178"/>
        <v>9596</v>
      </c>
      <c r="AP191" s="14"/>
      <c r="AQ191" s="14"/>
      <c r="AR191" s="40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6"/>
      <c r="CA191" s="56"/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  <c r="CL191" s="56"/>
      <c r="CM191" s="56"/>
      <c r="CN191" s="56"/>
      <c r="CO191" s="56"/>
      <c r="CP191" s="56"/>
      <c r="CQ191" s="56"/>
      <c r="CR191" s="56"/>
      <c r="CS191" s="56"/>
      <c r="CT191" s="56"/>
      <c r="CU191" s="56"/>
      <c r="CV191" s="56"/>
      <c r="CW191" s="56"/>
      <c r="CX191" s="56"/>
      <c r="CY191" s="56"/>
      <c r="CZ191" s="56"/>
      <c r="DA191" s="56"/>
      <c r="DB191" s="56"/>
      <c r="DC191" s="56"/>
      <c r="DD191" s="56"/>
      <c r="DE191" s="56"/>
      <c r="DF191" s="56"/>
      <c r="DG191" s="56"/>
      <c r="DH191" s="56"/>
      <c r="DI191" s="56"/>
      <c r="DJ191" s="56"/>
      <c r="DK191" s="56"/>
      <c r="DL191" s="56"/>
      <c r="DM191" s="56"/>
      <c r="DN191" s="56"/>
      <c r="DO191" s="56"/>
      <c r="DP191" s="56"/>
      <c r="DQ191" s="56"/>
      <c r="DR191" s="56"/>
      <c r="DS191" s="56"/>
      <c r="DT191" s="56"/>
      <c r="DU191" s="56"/>
      <c r="DV191" s="56"/>
      <c r="DW191" s="56"/>
      <c r="DX191" s="56"/>
      <c r="DY191" s="56"/>
      <c r="DZ191" s="56"/>
      <c r="EA191" s="56"/>
      <c r="EB191" s="56"/>
      <c r="EC191" s="56"/>
      <c r="ED191" s="56"/>
      <c r="EE191" s="56"/>
      <c r="EF191" s="56"/>
      <c r="EG191" s="56"/>
      <c r="EH191" s="56"/>
      <c r="EI191" s="56"/>
      <c r="EJ191" s="56"/>
      <c r="EK191" s="56"/>
    </row>
    <row r="192" spans="1:141" s="88" customFormat="1" x14ac:dyDescent="0.7">
      <c r="A192" s="112" t="s">
        <v>162</v>
      </c>
      <c r="B192" s="115">
        <v>128</v>
      </c>
      <c r="C192" s="116">
        <v>2819</v>
      </c>
      <c r="D192" s="22">
        <v>0</v>
      </c>
      <c r="E192" s="52">
        <v>3</v>
      </c>
      <c r="F192" s="52">
        <v>0</v>
      </c>
      <c r="G192" s="82">
        <f>0</f>
        <v>0</v>
      </c>
      <c r="H192" s="52">
        <v>15</v>
      </c>
      <c r="I192" s="87">
        <f>0</f>
        <v>0</v>
      </c>
      <c r="J192" s="82">
        <v>1.1000000000000001</v>
      </c>
      <c r="K192" s="52">
        <v>2</v>
      </c>
      <c r="L192" s="84">
        <v>1.7</v>
      </c>
      <c r="M192" s="82"/>
      <c r="N192" s="22"/>
      <c r="O192" s="202">
        <f>ROUND(C192*H192/1000,0)</f>
        <v>42</v>
      </c>
      <c r="P192" s="52">
        <f t="shared" si="179"/>
        <v>42</v>
      </c>
      <c r="Q192" s="52">
        <f t="shared" si="180"/>
        <v>42</v>
      </c>
      <c r="R192" s="52"/>
      <c r="S192" s="52"/>
      <c r="T192" s="86"/>
      <c r="U192" s="82"/>
      <c r="V192" s="22"/>
      <c r="W192" s="197">
        <f>ROUND(C192*K192,0)</f>
        <v>5638</v>
      </c>
      <c r="X192" s="52">
        <f t="shared" si="174"/>
        <v>5638</v>
      </c>
      <c r="Y192" s="52">
        <f>ROUND(C192*K192,0)</f>
        <v>5638</v>
      </c>
      <c r="Z192" s="82"/>
      <c r="AA192" s="82"/>
      <c r="AB192" s="140"/>
      <c r="AC192" s="22"/>
      <c r="AD192" s="22"/>
      <c r="AE192" s="197">
        <f t="shared" si="181"/>
        <v>3990</v>
      </c>
      <c r="AF192" s="52">
        <f t="shared" si="182"/>
        <v>3990</v>
      </c>
      <c r="AG192" s="52">
        <f>ROUND(Q192*95,0)</f>
        <v>3990</v>
      </c>
      <c r="AH192" s="13"/>
      <c r="AI192" s="13"/>
      <c r="AJ192" s="71"/>
      <c r="AK192" s="170"/>
      <c r="AL192" s="52"/>
      <c r="AM192" s="200">
        <f t="shared" ref="AM192:AM193" si="183">W192+AE192</f>
        <v>9628</v>
      </c>
      <c r="AN192" s="52">
        <f t="shared" si="177"/>
        <v>9628</v>
      </c>
      <c r="AO192" s="52">
        <f t="shared" si="178"/>
        <v>9628</v>
      </c>
      <c r="AP192" s="14"/>
      <c r="AQ192" s="14"/>
      <c r="AR192" s="40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6"/>
      <c r="CA192" s="56"/>
      <c r="CB192" s="56"/>
      <c r="CC192" s="56"/>
      <c r="CD192" s="56"/>
      <c r="CE192" s="56"/>
      <c r="CF192" s="56"/>
      <c r="CG192" s="56"/>
      <c r="CH192" s="56"/>
      <c r="CI192" s="56"/>
      <c r="CJ192" s="56"/>
      <c r="CK192" s="56"/>
      <c r="CL192" s="56"/>
      <c r="CM192" s="56"/>
      <c r="CN192" s="56"/>
      <c r="CO192" s="56"/>
      <c r="CP192" s="56"/>
      <c r="CQ192" s="56"/>
      <c r="CR192" s="56"/>
      <c r="CS192" s="56"/>
      <c r="CT192" s="56"/>
      <c r="CU192" s="56"/>
      <c r="CV192" s="56"/>
      <c r="CW192" s="56"/>
      <c r="CX192" s="56"/>
      <c r="CY192" s="56"/>
      <c r="CZ192" s="56"/>
      <c r="DA192" s="56"/>
      <c r="DB192" s="56"/>
      <c r="DC192" s="56"/>
      <c r="DD192" s="56"/>
      <c r="DE192" s="56"/>
      <c r="DF192" s="56"/>
      <c r="DG192" s="56"/>
      <c r="DH192" s="56"/>
      <c r="DI192" s="56"/>
      <c r="DJ192" s="56"/>
      <c r="DK192" s="56"/>
      <c r="DL192" s="56"/>
      <c r="DM192" s="56"/>
      <c r="DN192" s="56"/>
      <c r="DO192" s="56"/>
      <c r="DP192" s="56"/>
      <c r="DQ192" s="56"/>
      <c r="DR192" s="56"/>
      <c r="DS192" s="56"/>
      <c r="DT192" s="56"/>
      <c r="DU192" s="56"/>
      <c r="DV192" s="56"/>
      <c r="DW192" s="56"/>
      <c r="DX192" s="56"/>
      <c r="DY192" s="56"/>
      <c r="DZ192" s="56"/>
      <c r="EA192" s="56"/>
      <c r="EB192" s="56"/>
      <c r="EC192" s="56"/>
      <c r="ED192" s="56"/>
      <c r="EE192" s="56"/>
      <c r="EF192" s="56"/>
      <c r="EG192" s="56"/>
      <c r="EH192" s="56"/>
      <c r="EI192" s="56"/>
      <c r="EJ192" s="56"/>
      <c r="EK192" s="56"/>
    </row>
    <row r="193" spans="1:1013 1056:2025 2068:3037 3080:4093 4136:5105 5148:6117 6160:7129 7172:8185 8228:9197 9240:10209 10252:12277 12320:13289 13332:14301 14344:15357 15400:16369" s="88" customFormat="1" ht="25.2" thickBot="1" x14ac:dyDescent="0.75">
      <c r="A193" s="112" t="s">
        <v>163</v>
      </c>
      <c r="B193" s="115">
        <v>122</v>
      </c>
      <c r="C193" s="116">
        <v>2687</v>
      </c>
      <c r="D193" s="22">
        <v>0</v>
      </c>
      <c r="E193" s="52">
        <v>3</v>
      </c>
      <c r="F193" s="52">
        <v>0</v>
      </c>
      <c r="G193" s="82">
        <f>0</f>
        <v>0</v>
      </c>
      <c r="H193" s="52">
        <v>15</v>
      </c>
      <c r="I193" s="87">
        <f>0</f>
        <v>0</v>
      </c>
      <c r="J193" s="82">
        <v>1.1000000000000001</v>
      </c>
      <c r="K193" s="52">
        <v>2</v>
      </c>
      <c r="L193" s="84">
        <v>1.7</v>
      </c>
      <c r="M193" s="82"/>
      <c r="N193" s="22"/>
      <c r="O193" s="202">
        <f>ROUND(C193*H193/1000,0)</f>
        <v>40</v>
      </c>
      <c r="P193" s="52">
        <f t="shared" si="179"/>
        <v>40</v>
      </c>
      <c r="Q193" s="52">
        <f t="shared" si="180"/>
        <v>40</v>
      </c>
      <c r="R193" s="52"/>
      <c r="S193" s="52"/>
      <c r="T193" s="86"/>
      <c r="U193" s="82"/>
      <c r="V193" s="22"/>
      <c r="W193" s="197">
        <f>ROUND(C193*K193,0)</f>
        <v>5374</v>
      </c>
      <c r="X193" s="52">
        <f t="shared" si="174"/>
        <v>5374</v>
      </c>
      <c r="Y193" s="52">
        <f t="shared" si="175"/>
        <v>5374</v>
      </c>
      <c r="Z193" s="82"/>
      <c r="AA193" s="82"/>
      <c r="AB193" s="140"/>
      <c r="AC193" s="22"/>
      <c r="AD193" s="22"/>
      <c r="AE193" s="197">
        <f t="shared" si="181"/>
        <v>3800</v>
      </c>
      <c r="AF193" s="52">
        <f t="shared" si="182"/>
        <v>3800</v>
      </c>
      <c r="AG193" s="52">
        <f t="shared" si="176"/>
        <v>3800</v>
      </c>
      <c r="AH193" s="13"/>
      <c r="AI193" s="13"/>
      <c r="AJ193" s="71"/>
      <c r="AK193" s="170"/>
      <c r="AL193" s="52"/>
      <c r="AM193" s="200">
        <f t="shared" si="183"/>
        <v>9174</v>
      </c>
      <c r="AN193" s="52">
        <f t="shared" si="177"/>
        <v>9174</v>
      </c>
      <c r="AO193" s="52">
        <f t="shared" si="178"/>
        <v>9174</v>
      </c>
      <c r="AP193" s="14"/>
      <c r="AQ193" s="14"/>
      <c r="AR193" s="40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  <c r="BV193" s="56"/>
      <c r="BW193" s="56"/>
      <c r="BX193" s="56"/>
      <c r="BY193" s="56"/>
      <c r="BZ193" s="56"/>
      <c r="CA193" s="56"/>
      <c r="CB193" s="56"/>
      <c r="CC193" s="56"/>
      <c r="CD193" s="56"/>
      <c r="CE193" s="56"/>
      <c r="CF193" s="56"/>
      <c r="CG193" s="56"/>
      <c r="CH193" s="56"/>
      <c r="CI193" s="56"/>
      <c r="CJ193" s="56"/>
      <c r="CK193" s="56"/>
      <c r="CL193" s="56"/>
      <c r="CM193" s="56"/>
      <c r="CN193" s="56"/>
      <c r="CO193" s="56"/>
      <c r="CP193" s="56"/>
      <c r="CQ193" s="56"/>
      <c r="CR193" s="56"/>
      <c r="CS193" s="56"/>
      <c r="CT193" s="56"/>
      <c r="CU193" s="56"/>
      <c r="CV193" s="56"/>
      <c r="CW193" s="56"/>
      <c r="CX193" s="56"/>
      <c r="CY193" s="56"/>
      <c r="CZ193" s="56"/>
      <c r="DA193" s="56"/>
      <c r="DB193" s="56"/>
      <c r="DC193" s="56"/>
      <c r="DD193" s="56"/>
      <c r="DE193" s="56"/>
      <c r="DF193" s="56"/>
      <c r="DG193" s="56"/>
      <c r="DH193" s="56"/>
      <c r="DI193" s="56"/>
      <c r="DJ193" s="56"/>
      <c r="DK193" s="56"/>
      <c r="DL193" s="56"/>
      <c r="DM193" s="56"/>
      <c r="DN193" s="56"/>
      <c r="DO193" s="56"/>
      <c r="DP193" s="56"/>
      <c r="DQ193" s="56"/>
      <c r="DR193" s="56"/>
      <c r="DS193" s="56"/>
      <c r="DT193" s="56"/>
      <c r="DU193" s="56"/>
      <c r="DV193" s="56"/>
      <c r="DW193" s="56"/>
      <c r="DX193" s="56"/>
      <c r="DY193" s="56"/>
      <c r="DZ193" s="56"/>
      <c r="EA193" s="56"/>
      <c r="EB193" s="56"/>
      <c r="EC193" s="56"/>
      <c r="ED193" s="56"/>
      <c r="EE193" s="56"/>
      <c r="EF193" s="56"/>
      <c r="EG193" s="56"/>
      <c r="EH193" s="56"/>
      <c r="EI193" s="56"/>
      <c r="EJ193" s="56"/>
      <c r="EK193" s="56"/>
    </row>
    <row r="194" spans="1:1013 1056:2025 2068:3037 3080:4093 4136:5105 5148:6117 6160:7129 7172:8185 8228:9197 9240:10209 10252:12277 12320:13289 13332:14301 14344:15357 15400:16369" ht="25.2" thickBot="1" x14ac:dyDescent="0.75">
      <c r="A194" s="884" t="s">
        <v>159</v>
      </c>
      <c r="B194" s="886">
        <f>SUM(B190:B193)</f>
        <v>492</v>
      </c>
      <c r="C194" s="886">
        <f>SUM(C190:C193)</f>
        <v>10840</v>
      </c>
      <c r="D194" s="888"/>
      <c r="E194" s="889"/>
      <c r="F194" s="889"/>
      <c r="G194" s="889"/>
      <c r="H194" s="889"/>
      <c r="I194" s="889"/>
      <c r="J194" s="889"/>
      <c r="K194" s="889"/>
      <c r="L194" s="890"/>
      <c r="M194" s="158">
        <f>SUM(M190:M192)</f>
        <v>0</v>
      </c>
      <c r="N194" s="158">
        <f>SUM(N190:N192)</f>
        <v>0</v>
      </c>
      <c r="O194" s="160">
        <f>SUM(O190:O193)</f>
        <v>162</v>
      </c>
      <c r="P194" s="160">
        <f t="shared" ref="P194:Q194" si="184">SUM(P190:P193)</f>
        <v>162</v>
      </c>
      <c r="Q194" s="160">
        <f t="shared" si="184"/>
        <v>162</v>
      </c>
      <c r="R194" s="161">
        <f>SUM(R190:R192)</f>
        <v>0</v>
      </c>
      <c r="S194" s="161">
        <f>SUM(S190:S192)</f>
        <v>0</v>
      </c>
      <c r="T194" s="163">
        <f>SUM(T190:T192)</f>
        <v>0</v>
      </c>
      <c r="U194" s="158">
        <f>SUM(U190:U192)</f>
        <v>0</v>
      </c>
      <c r="V194" s="188">
        <f>V191+V190+V189</f>
        <v>0</v>
      </c>
      <c r="W194" s="157">
        <f>SUM(W190:W193)</f>
        <v>21680</v>
      </c>
      <c r="X194" s="157">
        <f>SUM(X190:X193)</f>
        <v>21680</v>
      </c>
      <c r="Y194" s="157">
        <f>SUM(Y190:Y193)</f>
        <v>21680</v>
      </c>
      <c r="Z194" s="164" t="s">
        <v>164</v>
      </c>
      <c r="AA194" s="164"/>
      <c r="AB194" s="164"/>
      <c r="AC194" s="157">
        <f>SUM(AC190:AC192)</f>
        <v>0</v>
      </c>
      <c r="AD194" s="157">
        <f>SUM(AD190:AD192)</f>
        <v>0</v>
      </c>
      <c r="AE194" s="166">
        <f>SUM(AE193)</f>
        <v>3800</v>
      </c>
      <c r="AF194" s="166">
        <f>SUM(AF193)</f>
        <v>3800</v>
      </c>
      <c r="AG194" s="166">
        <f>SUM(AG193)</f>
        <v>3800</v>
      </c>
      <c r="AH194" s="175">
        <f>SUM(AH189:AH192)</f>
        <v>0</v>
      </c>
      <c r="AI194" s="175">
        <f>SUM(AI189:AI192)</f>
        <v>0</v>
      </c>
      <c r="AJ194" s="175">
        <f>SUM(AJ189:AJ192)</f>
        <v>0</v>
      </c>
      <c r="AK194" s="165">
        <f>SUM(AK191:AK192)</f>
        <v>0</v>
      </c>
      <c r="AL194" s="165">
        <f>0</f>
        <v>0</v>
      </c>
      <c r="AM194" s="166">
        <f>SUM(AM190:AM193)</f>
        <v>37070</v>
      </c>
      <c r="AN194" s="166">
        <f>SUM(AN190:AN193)</f>
        <v>37070</v>
      </c>
      <c r="AO194" s="166">
        <f>SUM(AO190:AO193)</f>
        <v>37070</v>
      </c>
      <c r="AP194" s="175">
        <f>SUM(AP189:AP192)</f>
        <v>0</v>
      </c>
      <c r="AQ194" s="164"/>
      <c r="AR194" s="167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1013 1056:2025 2068:3037 3080:4093 4136:5105 5148:6117 6160:7129 7172:8185 8228:9197 9240:10209 10252:12277 12320:13289 13332:14301 14344:15357 15400:16369" ht="25.2" thickBot="1" x14ac:dyDescent="0.75">
      <c r="A195" s="885"/>
      <c r="B195" s="887"/>
      <c r="C195" s="887"/>
      <c r="D195" s="891"/>
      <c r="E195" s="892"/>
      <c r="F195" s="892"/>
      <c r="G195" s="892"/>
      <c r="H195" s="892"/>
      <c r="I195" s="892"/>
      <c r="J195" s="892"/>
      <c r="K195" s="892"/>
      <c r="L195" s="893"/>
      <c r="M195" s="894">
        <f>M194+N194</f>
        <v>0</v>
      </c>
      <c r="N195" s="895">
        <f>M194+N194</f>
        <v>0</v>
      </c>
      <c r="O195" s="896">
        <f>+O194+P194+Q194</f>
        <v>486</v>
      </c>
      <c r="P195" s="897"/>
      <c r="Q195" s="898"/>
      <c r="R195" s="899">
        <f>+R194+S194+T194</f>
        <v>0</v>
      </c>
      <c r="S195" s="900"/>
      <c r="T195" s="901"/>
      <c r="U195" s="902">
        <f>U194+V194</f>
        <v>0</v>
      </c>
      <c r="V195" s="903"/>
      <c r="W195" s="904">
        <f>W194+X194+Y194</f>
        <v>65040</v>
      </c>
      <c r="X195" s="905"/>
      <c r="Y195" s="906"/>
      <c r="Z195" s="907">
        <f>0</f>
        <v>0</v>
      </c>
      <c r="AA195" s="908"/>
      <c r="AB195" s="909"/>
      <c r="AC195" s="910">
        <f>AC194+AD194</f>
        <v>0</v>
      </c>
      <c r="AD195" s="911">
        <f t="shared" ref="AD195" si="185">ROUND(N195*960,0)</f>
        <v>0</v>
      </c>
      <c r="AE195" s="912">
        <f>AE194+AF194+AG194</f>
        <v>11400</v>
      </c>
      <c r="AF195" s="913"/>
      <c r="AG195" s="914"/>
      <c r="AH195" s="915">
        <f>AH194+AI194+AJ194</f>
        <v>0</v>
      </c>
      <c r="AI195" s="916"/>
      <c r="AJ195" s="917"/>
      <c r="AK195" s="918">
        <f>AK194+AL194</f>
        <v>0</v>
      </c>
      <c r="AL195" s="919">
        <f t="shared" ref="AL195" si="186">V195+AD195</f>
        <v>0</v>
      </c>
      <c r="AM195" s="912">
        <f>AM194+AN194+AO194</f>
        <v>111210</v>
      </c>
      <c r="AN195" s="913"/>
      <c r="AO195" s="914"/>
      <c r="AP195" s="920">
        <f>AP194+AQ194+AR194</f>
        <v>0</v>
      </c>
      <c r="AQ195" s="921"/>
      <c r="AR195" s="922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1013 1056:2025 2068:3037 3080:4093 4136:5105 5148:6117 6160:7129 7172:8185 8228:9197 9240:10209 10252:12277 12320:13289 13332:14301 14344:15357 15400:16369" s="180" customFormat="1" ht="39.9" customHeight="1" thickBot="1" x14ac:dyDescent="0.75">
      <c r="A196" s="881" t="s">
        <v>166</v>
      </c>
      <c r="B196" s="882"/>
      <c r="C196" s="882"/>
      <c r="D196" s="882"/>
      <c r="E196" s="882"/>
      <c r="F196" s="882"/>
      <c r="G196" s="882"/>
      <c r="H196" s="882"/>
      <c r="I196" s="882"/>
      <c r="J196" s="882"/>
      <c r="K196" s="882"/>
      <c r="L196" s="882"/>
      <c r="M196" s="882"/>
      <c r="N196" s="882"/>
      <c r="O196" s="882"/>
      <c r="P196" s="882"/>
      <c r="Q196" s="882"/>
      <c r="R196" s="882"/>
      <c r="S196" s="882"/>
      <c r="T196" s="882"/>
      <c r="U196" s="882"/>
      <c r="V196" s="882"/>
      <c r="W196" s="882"/>
      <c r="X196" s="882"/>
      <c r="Y196" s="882"/>
      <c r="Z196" s="882"/>
      <c r="AA196" s="882"/>
      <c r="AB196" s="882"/>
      <c r="AC196" s="882"/>
      <c r="AD196" s="882"/>
      <c r="AE196" s="882"/>
      <c r="AF196" s="882"/>
      <c r="AG196" s="882"/>
      <c r="AH196" s="882"/>
      <c r="AI196" s="882"/>
      <c r="AJ196" s="882"/>
      <c r="AK196" s="882"/>
      <c r="AL196" s="882"/>
      <c r="AM196" s="882"/>
      <c r="AN196" s="882"/>
      <c r="AO196" s="882"/>
      <c r="AP196" s="882"/>
      <c r="AQ196" s="882"/>
      <c r="AR196" s="883"/>
      <c r="AS196" s="176"/>
      <c r="AT196" s="176"/>
      <c r="AU196" s="176"/>
      <c r="AV196" s="176"/>
      <c r="AW196" s="176"/>
      <c r="AX196" s="176"/>
      <c r="AY196" s="176"/>
      <c r="AZ196" s="176"/>
      <c r="BA196" s="176"/>
      <c r="BB196" s="176"/>
      <c r="BC196" s="176"/>
      <c r="BD196" s="176"/>
      <c r="BE196" s="176"/>
      <c r="BF196" s="176"/>
      <c r="BG196" s="176"/>
      <c r="BH196" s="176"/>
      <c r="BI196" s="176"/>
      <c r="BJ196" s="176"/>
      <c r="BK196" s="176"/>
      <c r="BL196" s="176"/>
      <c r="BM196" s="176"/>
      <c r="BN196" s="176"/>
      <c r="BO196" s="176"/>
      <c r="BP196" s="176"/>
      <c r="BQ196" s="176"/>
      <c r="BR196" s="176"/>
      <c r="BS196" s="176"/>
      <c r="BT196" s="176"/>
      <c r="BU196" s="176"/>
      <c r="BV196" s="176"/>
      <c r="BW196" s="176"/>
      <c r="BX196" s="176"/>
      <c r="BY196" s="176"/>
      <c r="BZ196" s="176"/>
      <c r="CA196" s="176"/>
      <c r="CB196" s="176"/>
      <c r="CC196" s="176"/>
      <c r="CD196" s="176"/>
      <c r="CE196" s="176"/>
      <c r="CF196" s="176"/>
      <c r="CG196" s="176"/>
      <c r="CH196" s="176"/>
      <c r="CI196" s="176"/>
      <c r="CJ196" s="176"/>
      <c r="CK196" s="176"/>
      <c r="CL196" s="176"/>
      <c r="CM196" s="176"/>
      <c r="CN196" s="176"/>
      <c r="CO196" s="176"/>
      <c r="CP196" s="176"/>
      <c r="CQ196" s="176"/>
      <c r="CR196" s="176"/>
      <c r="CS196" s="176"/>
      <c r="CT196" s="176"/>
      <c r="CU196" s="176"/>
      <c r="CV196" s="176"/>
      <c r="CW196" s="176"/>
      <c r="CX196" s="176"/>
      <c r="CY196" s="176"/>
      <c r="CZ196" s="176"/>
      <c r="DA196" s="176"/>
      <c r="DB196" s="176"/>
      <c r="DC196" s="176"/>
      <c r="DD196" s="176"/>
      <c r="DE196" s="176"/>
      <c r="DF196" s="176"/>
      <c r="DG196" s="176"/>
      <c r="DH196" s="176"/>
      <c r="DI196" s="176"/>
      <c r="DJ196" s="176"/>
      <c r="DK196" s="176"/>
      <c r="DL196" s="176"/>
      <c r="DM196" s="176"/>
      <c r="DN196" s="176"/>
      <c r="DO196" s="176"/>
      <c r="DP196" s="176"/>
      <c r="DQ196" s="176"/>
      <c r="DR196" s="176"/>
      <c r="DS196" s="176"/>
      <c r="DT196" s="176"/>
      <c r="DU196" s="176"/>
      <c r="DV196" s="176"/>
      <c r="DW196" s="176"/>
      <c r="DX196" s="176"/>
      <c r="DY196" s="176"/>
      <c r="DZ196" s="176"/>
      <c r="EA196" s="176"/>
      <c r="EB196" s="176"/>
      <c r="EC196" s="176"/>
      <c r="ED196" s="176"/>
      <c r="EE196" s="176"/>
      <c r="EF196" s="176"/>
      <c r="EG196" s="176"/>
      <c r="EH196" s="176"/>
      <c r="EI196" s="176"/>
      <c r="EJ196" s="176"/>
      <c r="EK196" s="176"/>
    </row>
    <row r="197" spans="1:1013 1056:2025 2068:3037 3080:4093 4136:5105 5148:6117 6160:7129 7172:8185 8228:9197 9240:10209 10252:12277 12320:13289 13332:14301 14344:15357 15400:16369" s="212" customFormat="1" ht="39.9" customHeight="1" thickBot="1" x14ac:dyDescent="0.75">
      <c r="A197" s="1066" t="s">
        <v>27</v>
      </c>
      <c r="B197" s="1067"/>
      <c r="C197" s="1067"/>
      <c r="D197" s="1067"/>
      <c r="E197" s="1067"/>
      <c r="F197" s="1067"/>
      <c r="G197" s="1067"/>
      <c r="H197" s="1067"/>
      <c r="I197" s="1067"/>
      <c r="J197" s="1067"/>
      <c r="K197" s="1067"/>
      <c r="L197" s="1067"/>
      <c r="M197" s="1067"/>
      <c r="N197" s="1067"/>
      <c r="O197" s="1067"/>
      <c r="P197" s="1067"/>
      <c r="Q197" s="1067"/>
      <c r="R197" s="1067"/>
      <c r="S197" s="1067"/>
      <c r="T197" s="1067"/>
      <c r="U197" s="1067"/>
      <c r="V197" s="1067"/>
      <c r="W197" s="1067"/>
      <c r="X197" s="1067"/>
      <c r="Y197" s="1067"/>
      <c r="Z197" s="1067"/>
      <c r="AA197" s="1067"/>
      <c r="AB197" s="1067"/>
      <c r="AC197" s="1067"/>
      <c r="AD197" s="1067"/>
      <c r="AE197" s="1067"/>
      <c r="AF197" s="1067"/>
      <c r="AG197" s="1067"/>
      <c r="AH197" s="1067"/>
      <c r="AI197" s="1067"/>
      <c r="AJ197" s="1067"/>
      <c r="AK197" s="1067"/>
      <c r="AL197" s="1067"/>
      <c r="AM197" s="1067"/>
      <c r="AN197" s="1067"/>
      <c r="AO197" s="1067"/>
      <c r="AP197" s="1067"/>
      <c r="AQ197" s="1067"/>
      <c r="AR197" s="1068"/>
      <c r="AS197" s="211"/>
      <c r="CJ197" s="214"/>
      <c r="CK197" s="211"/>
      <c r="EB197" s="214"/>
      <c r="EC197" s="211"/>
      <c r="FT197" s="214"/>
      <c r="FU197" s="211"/>
      <c r="HL197" s="214"/>
      <c r="HM197" s="211"/>
      <c r="JD197" s="214"/>
      <c r="JE197" s="211"/>
      <c r="KV197" s="214"/>
      <c r="KW197" s="211"/>
      <c r="MN197" s="214"/>
      <c r="MO197" s="211"/>
      <c r="OF197" s="214"/>
      <c r="OG197" s="211"/>
      <c r="PX197" s="214"/>
      <c r="PY197" s="211"/>
      <c r="RP197" s="214"/>
      <c r="RQ197" s="211"/>
      <c r="TH197" s="214"/>
      <c r="TI197" s="211"/>
      <c r="UZ197" s="214"/>
      <c r="VA197" s="211"/>
      <c r="WR197" s="214"/>
      <c r="WS197" s="211"/>
      <c r="YJ197" s="214"/>
      <c r="YK197" s="211"/>
      <c r="AAB197" s="214"/>
      <c r="AAC197" s="211"/>
      <c r="ABT197" s="214"/>
      <c r="ABU197" s="211"/>
      <c r="ADL197" s="214"/>
      <c r="ADM197" s="211"/>
      <c r="AFD197" s="214"/>
      <c r="AFE197" s="211"/>
      <c r="AGV197" s="214"/>
      <c r="AGW197" s="211"/>
      <c r="AIN197" s="214"/>
      <c r="AIO197" s="211"/>
      <c r="AKF197" s="214"/>
      <c r="AKG197" s="211"/>
      <c r="ALX197" s="214"/>
      <c r="ALY197" s="211"/>
      <c r="ANP197" s="214"/>
      <c r="ANQ197" s="211"/>
      <c r="APH197" s="214"/>
      <c r="API197" s="211"/>
      <c r="AQZ197" s="214"/>
      <c r="ARA197" s="211"/>
      <c r="ASR197" s="214"/>
      <c r="ASS197" s="211"/>
      <c r="AUJ197" s="214"/>
      <c r="AUK197" s="211"/>
      <c r="AWB197" s="214"/>
      <c r="AWC197" s="211"/>
      <c r="AXT197" s="214"/>
      <c r="AXU197" s="211"/>
      <c r="AZL197" s="214"/>
      <c r="AZM197" s="211"/>
      <c r="BBD197" s="214"/>
      <c r="BBE197" s="211"/>
      <c r="BCV197" s="214"/>
      <c r="BCW197" s="211"/>
      <c r="BEN197" s="214"/>
      <c r="BEO197" s="211"/>
      <c r="BGF197" s="214"/>
      <c r="BGG197" s="211"/>
      <c r="BHX197" s="214"/>
      <c r="BHY197" s="211"/>
      <c r="BJP197" s="214"/>
      <c r="BJQ197" s="211"/>
      <c r="BLH197" s="214"/>
      <c r="BLI197" s="211"/>
      <c r="BMZ197" s="214"/>
      <c r="BNA197" s="211"/>
      <c r="BOR197" s="214"/>
      <c r="BOS197" s="211"/>
      <c r="BQJ197" s="214"/>
      <c r="BQK197" s="211"/>
      <c r="BSB197" s="214"/>
      <c r="BSC197" s="211"/>
      <c r="BTT197" s="214"/>
      <c r="BTU197" s="211"/>
      <c r="BVL197" s="214"/>
      <c r="BVM197" s="211"/>
      <c r="BXD197" s="214"/>
      <c r="BXE197" s="211"/>
      <c r="BYV197" s="214"/>
      <c r="BYW197" s="211"/>
      <c r="CAN197" s="214"/>
      <c r="CAO197" s="211"/>
      <c r="CCF197" s="214"/>
      <c r="CCG197" s="211"/>
      <c r="CDX197" s="214"/>
      <c r="CDY197" s="211"/>
      <c r="CFP197" s="214"/>
      <c r="CFQ197" s="211"/>
      <c r="CHH197" s="214"/>
      <c r="CHI197" s="211"/>
      <c r="CIZ197" s="214"/>
      <c r="CJA197" s="211"/>
      <c r="CKR197" s="214"/>
      <c r="CKS197" s="211"/>
      <c r="CMJ197" s="214"/>
      <c r="CMK197" s="211"/>
      <c r="COB197" s="214"/>
      <c r="COC197" s="211"/>
      <c r="CPT197" s="214"/>
      <c r="CPU197" s="211"/>
      <c r="CRL197" s="214"/>
      <c r="CRM197" s="211"/>
      <c r="CTD197" s="214"/>
      <c r="CTE197" s="211"/>
      <c r="CUV197" s="214"/>
      <c r="CUW197" s="211"/>
      <c r="CWN197" s="214"/>
      <c r="CWO197" s="211"/>
      <c r="CYF197" s="214"/>
      <c r="CYG197" s="211"/>
      <c r="CZX197" s="214"/>
      <c r="CZY197" s="211"/>
      <c r="DBP197" s="214"/>
      <c r="DBQ197" s="211"/>
      <c r="DDH197" s="214"/>
      <c r="DDI197" s="211"/>
      <c r="DEZ197" s="214"/>
      <c r="DFA197" s="211"/>
      <c r="DGR197" s="214"/>
      <c r="DGS197" s="211"/>
      <c r="DIJ197" s="214"/>
      <c r="DIK197" s="211"/>
      <c r="DKB197" s="214"/>
      <c r="DKC197" s="211"/>
      <c r="DLT197" s="214"/>
      <c r="DLU197" s="211"/>
      <c r="DNL197" s="214"/>
      <c r="DNM197" s="211"/>
      <c r="DPD197" s="214"/>
      <c r="DPE197" s="211"/>
      <c r="DQV197" s="214"/>
      <c r="DQW197" s="211"/>
      <c r="DSN197" s="214"/>
      <c r="DSO197" s="211"/>
      <c r="DUF197" s="214"/>
      <c r="DUG197" s="211"/>
      <c r="DVX197" s="214"/>
      <c r="DVY197" s="211"/>
      <c r="DXP197" s="214"/>
      <c r="DXQ197" s="211"/>
      <c r="DZH197" s="214"/>
      <c r="DZI197" s="211"/>
      <c r="EAZ197" s="214"/>
      <c r="EBA197" s="211"/>
      <c r="ECR197" s="214"/>
      <c r="ECS197" s="211"/>
      <c r="EEJ197" s="214"/>
      <c r="EEK197" s="211"/>
      <c r="EGB197" s="214"/>
      <c r="EGC197" s="211"/>
      <c r="EHT197" s="214"/>
      <c r="EHU197" s="211"/>
      <c r="EJL197" s="214"/>
      <c r="EJM197" s="211"/>
      <c r="ELD197" s="214"/>
      <c r="ELE197" s="211"/>
      <c r="EMV197" s="214"/>
      <c r="EMW197" s="211"/>
      <c r="EON197" s="214"/>
      <c r="EOO197" s="211"/>
      <c r="EQF197" s="214"/>
      <c r="EQG197" s="211"/>
      <c r="ERX197" s="214"/>
      <c r="ERY197" s="211"/>
      <c r="ETP197" s="214"/>
      <c r="ETQ197" s="211"/>
      <c r="EVH197" s="214"/>
      <c r="EVI197" s="211"/>
      <c r="EWZ197" s="214"/>
      <c r="EXA197" s="211"/>
      <c r="EYR197" s="214"/>
      <c r="EYS197" s="211"/>
      <c r="FAJ197" s="214"/>
      <c r="FAK197" s="211"/>
      <c r="FCB197" s="214"/>
      <c r="FCC197" s="211"/>
      <c r="FDT197" s="214"/>
      <c r="FDU197" s="211"/>
      <c r="FFL197" s="214"/>
      <c r="FFM197" s="211"/>
      <c r="FHD197" s="214"/>
      <c r="FHE197" s="211"/>
      <c r="FIV197" s="214"/>
      <c r="FIW197" s="211"/>
      <c r="FKN197" s="214"/>
      <c r="FKO197" s="211"/>
      <c r="FMF197" s="214"/>
      <c r="FMG197" s="211"/>
      <c r="FNX197" s="214"/>
      <c r="FNY197" s="211"/>
      <c r="FPP197" s="214"/>
      <c r="FPQ197" s="211"/>
      <c r="FRH197" s="214"/>
      <c r="FRI197" s="211"/>
      <c r="FSZ197" s="214"/>
      <c r="FTA197" s="211"/>
      <c r="FUR197" s="214"/>
      <c r="FUS197" s="211"/>
      <c r="FWJ197" s="214"/>
      <c r="FWK197" s="211"/>
      <c r="FYB197" s="214"/>
      <c r="FYC197" s="211"/>
      <c r="FZT197" s="214"/>
      <c r="FZU197" s="211"/>
      <c r="GBL197" s="214"/>
      <c r="GBM197" s="211"/>
      <c r="GDD197" s="214"/>
      <c r="GDE197" s="211"/>
      <c r="GEV197" s="214"/>
      <c r="GEW197" s="211"/>
      <c r="GGN197" s="214"/>
      <c r="GGO197" s="211"/>
      <c r="GIF197" s="214"/>
      <c r="GIG197" s="211"/>
      <c r="GJX197" s="214"/>
      <c r="GJY197" s="211"/>
      <c r="GLP197" s="214"/>
      <c r="GLQ197" s="211"/>
      <c r="GNH197" s="214"/>
      <c r="GNI197" s="211"/>
      <c r="GOZ197" s="214"/>
      <c r="GPA197" s="211"/>
      <c r="GQR197" s="214"/>
      <c r="GQS197" s="211"/>
      <c r="GSJ197" s="214"/>
      <c r="GSK197" s="211"/>
      <c r="GUB197" s="214"/>
      <c r="GUC197" s="211"/>
      <c r="GVT197" s="214"/>
      <c r="GVU197" s="211"/>
      <c r="GXL197" s="214"/>
      <c r="GXM197" s="211"/>
      <c r="GZD197" s="214"/>
      <c r="GZE197" s="211"/>
      <c r="HAV197" s="214"/>
      <c r="HAW197" s="211"/>
      <c r="HCN197" s="214"/>
      <c r="HCO197" s="211"/>
      <c r="HEF197" s="214"/>
      <c r="HEG197" s="211"/>
      <c r="HFX197" s="214"/>
      <c r="HFY197" s="211"/>
      <c r="HHP197" s="214"/>
      <c r="HHQ197" s="211"/>
      <c r="HJH197" s="214"/>
      <c r="HJI197" s="211"/>
      <c r="HKZ197" s="214"/>
      <c r="HLA197" s="211"/>
      <c r="HMR197" s="214"/>
      <c r="HMS197" s="211"/>
      <c r="HOJ197" s="214"/>
      <c r="HOK197" s="211"/>
      <c r="HQB197" s="214"/>
      <c r="HQC197" s="211"/>
      <c r="HRT197" s="214"/>
      <c r="HRU197" s="211"/>
      <c r="HTL197" s="214"/>
      <c r="HTM197" s="211"/>
      <c r="HVD197" s="214"/>
      <c r="HVE197" s="211"/>
      <c r="HWV197" s="214"/>
      <c r="HWW197" s="211"/>
      <c r="HYN197" s="214"/>
      <c r="HYO197" s="211"/>
      <c r="IAF197" s="214"/>
      <c r="IAG197" s="211"/>
      <c r="IBX197" s="214"/>
      <c r="IBY197" s="211"/>
      <c r="IDP197" s="214"/>
      <c r="IDQ197" s="211"/>
      <c r="IFH197" s="214"/>
      <c r="IFI197" s="211"/>
      <c r="IGZ197" s="214"/>
      <c r="IHA197" s="211"/>
      <c r="IIR197" s="214"/>
      <c r="IIS197" s="211"/>
      <c r="IKJ197" s="214"/>
      <c r="IKK197" s="211"/>
      <c r="IMB197" s="214"/>
      <c r="IMC197" s="211"/>
      <c r="INT197" s="214"/>
      <c r="INU197" s="211"/>
      <c r="IPL197" s="214"/>
      <c r="IPM197" s="211"/>
      <c r="IRD197" s="214"/>
      <c r="IRE197" s="211"/>
      <c r="ISV197" s="214"/>
      <c r="ISW197" s="211"/>
      <c r="IUN197" s="214"/>
      <c r="IUO197" s="211"/>
      <c r="IWF197" s="214"/>
      <c r="IWG197" s="211"/>
      <c r="IXX197" s="214"/>
      <c r="IXY197" s="211"/>
      <c r="IZP197" s="214"/>
      <c r="IZQ197" s="211"/>
      <c r="JBH197" s="214"/>
      <c r="JBI197" s="211"/>
      <c r="JCZ197" s="214"/>
      <c r="JDA197" s="211"/>
      <c r="JER197" s="214"/>
      <c r="JES197" s="211"/>
      <c r="JGJ197" s="214"/>
      <c r="JGK197" s="211"/>
      <c r="JIB197" s="214"/>
      <c r="JIC197" s="211"/>
      <c r="JJT197" s="214"/>
      <c r="JJU197" s="211"/>
      <c r="JLL197" s="214"/>
      <c r="JLM197" s="211"/>
      <c r="JND197" s="214"/>
      <c r="JNE197" s="211"/>
      <c r="JOV197" s="214"/>
      <c r="JOW197" s="211"/>
      <c r="JQN197" s="214"/>
      <c r="JQO197" s="211"/>
      <c r="JSF197" s="214"/>
      <c r="JSG197" s="211"/>
      <c r="JTX197" s="214"/>
      <c r="JTY197" s="211"/>
      <c r="JVP197" s="214"/>
      <c r="JVQ197" s="211"/>
      <c r="JXH197" s="214"/>
      <c r="JXI197" s="211"/>
      <c r="JYZ197" s="214"/>
      <c r="JZA197" s="211"/>
      <c r="KAR197" s="214"/>
      <c r="KAS197" s="211"/>
      <c r="KCJ197" s="214"/>
      <c r="KCK197" s="211"/>
      <c r="KEB197" s="214"/>
      <c r="KEC197" s="211"/>
      <c r="KFT197" s="214"/>
      <c r="KFU197" s="211"/>
      <c r="KHL197" s="214"/>
      <c r="KHM197" s="211"/>
      <c r="KJD197" s="214"/>
      <c r="KJE197" s="211"/>
      <c r="KKV197" s="214"/>
      <c r="KKW197" s="211"/>
      <c r="KMN197" s="214"/>
      <c r="KMO197" s="211"/>
      <c r="KOF197" s="214"/>
      <c r="KOG197" s="211"/>
      <c r="KPX197" s="214"/>
      <c r="KPY197" s="211"/>
      <c r="KRP197" s="214"/>
      <c r="KRQ197" s="211"/>
      <c r="KTH197" s="214"/>
      <c r="KTI197" s="211"/>
      <c r="KUZ197" s="214"/>
      <c r="KVA197" s="211"/>
      <c r="KWR197" s="214"/>
      <c r="KWS197" s="211"/>
      <c r="KYJ197" s="214"/>
      <c r="KYK197" s="211"/>
      <c r="LAB197" s="214"/>
      <c r="LAC197" s="211"/>
      <c r="LBT197" s="214"/>
      <c r="LBU197" s="211"/>
      <c r="LDL197" s="214"/>
      <c r="LDM197" s="211"/>
      <c r="LFD197" s="214"/>
      <c r="LFE197" s="211"/>
      <c r="LGV197" s="214"/>
      <c r="LGW197" s="211"/>
      <c r="LIN197" s="214"/>
      <c r="LIO197" s="211"/>
      <c r="LKF197" s="214"/>
      <c r="LKG197" s="211"/>
      <c r="LLX197" s="214"/>
      <c r="LLY197" s="211"/>
      <c r="LNP197" s="214"/>
      <c r="LNQ197" s="211"/>
      <c r="LPH197" s="214"/>
      <c r="LPI197" s="211"/>
      <c r="LQZ197" s="214"/>
      <c r="LRA197" s="211"/>
      <c r="LSR197" s="214"/>
      <c r="LSS197" s="211"/>
      <c r="LUJ197" s="214"/>
      <c r="LUK197" s="211"/>
      <c r="LWB197" s="214"/>
      <c r="LWC197" s="211"/>
      <c r="LXT197" s="214"/>
      <c r="LXU197" s="211"/>
      <c r="LZL197" s="214"/>
      <c r="LZM197" s="211"/>
      <c r="MBD197" s="214"/>
      <c r="MBE197" s="211"/>
      <c r="MCV197" s="214"/>
      <c r="MCW197" s="211"/>
      <c r="MEN197" s="214"/>
      <c r="MEO197" s="211"/>
      <c r="MGF197" s="214"/>
      <c r="MGG197" s="211"/>
      <c r="MHX197" s="214"/>
      <c r="MHY197" s="211"/>
      <c r="MJP197" s="214"/>
      <c r="MJQ197" s="211"/>
      <c r="MLH197" s="214"/>
      <c r="MLI197" s="211"/>
      <c r="MMZ197" s="214"/>
      <c r="MNA197" s="211"/>
      <c r="MOR197" s="214"/>
      <c r="MOS197" s="211"/>
      <c r="MQJ197" s="214"/>
      <c r="MQK197" s="211"/>
      <c r="MSB197" s="214"/>
      <c r="MSC197" s="211"/>
      <c r="MTT197" s="214"/>
      <c r="MTU197" s="211"/>
      <c r="MVL197" s="214"/>
      <c r="MVM197" s="211"/>
      <c r="MXD197" s="214"/>
      <c r="MXE197" s="211"/>
      <c r="MYV197" s="214"/>
      <c r="MYW197" s="211"/>
      <c r="NAN197" s="214"/>
      <c r="NAO197" s="211"/>
      <c r="NCF197" s="214"/>
      <c r="NCG197" s="211"/>
      <c r="NDX197" s="214"/>
      <c r="NDY197" s="211"/>
      <c r="NFP197" s="214"/>
      <c r="NFQ197" s="211"/>
      <c r="NHH197" s="214"/>
      <c r="NHI197" s="211"/>
      <c r="NIZ197" s="214"/>
      <c r="NJA197" s="211"/>
      <c r="NKR197" s="214"/>
      <c r="NKS197" s="211"/>
      <c r="NMJ197" s="214"/>
      <c r="NMK197" s="211"/>
      <c r="NOB197" s="214"/>
      <c r="NOC197" s="211"/>
      <c r="NPT197" s="214"/>
      <c r="NPU197" s="211"/>
      <c r="NRL197" s="214"/>
      <c r="NRM197" s="211"/>
      <c r="NTD197" s="214"/>
      <c r="NTE197" s="211"/>
      <c r="NUV197" s="214"/>
      <c r="NUW197" s="211"/>
      <c r="NWN197" s="214"/>
      <c r="NWO197" s="211"/>
      <c r="NYF197" s="214"/>
      <c r="NYG197" s="211"/>
      <c r="NZX197" s="214"/>
      <c r="NZY197" s="211"/>
      <c r="OBP197" s="214"/>
      <c r="OBQ197" s="211"/>
      <c r="ODH197" s="214"/>
      <c r="ODI197" s="211"/>
      <c r="OEZ197" s="214"/>
      <c r="OFA197" s="211"/>
      <c r="OGR197" s="214"/>
      <c r="OGS197" s="211"/>
      <c r="OIJ197" s="214"/>
      <c r="OIK197" s="211"/>
      <c r="OKB197" s="214"/>
      <c r="OKC197" s="211"/>
      <c r="OLT197" s="214"/>
      <c r="OLU197" s="211"/>
      <c r="ONL197" s="214"/>
      <c r="ONM197" s="211"/>
      <c r="OPD197" s="214"/>
      <c r="OPE197" s="211"/>
      <c r="OQV197" s="214"/>
      <c r="OQW197" s="211"/>
      <c r="OSN197" s="214"/>
      <c r="OSO197" s="211"/>
      <c r="OUF197" s="214"/>
      <c r="OUG197" s="211"/>
      <c r="OVX197" s="214"/>
      <c r="OVY197" s="211"/>
      <c r="OXP197" s="214"/>
      <c r="OXQ197" s="211"/>
      <c r="OZH197" s="214"/>
      <c r="OZI197" s="211"/>
      <c r="PAZ197" s="214"/>
      <c r="PBA197" s="211"/>
      <c r="PCR197" s="214"/>
      <c r="PCS197" s="211"/>
      <c r="PEJ197" s="214"/>
      <c r="PEK197" s="211"/>
      <c r="PGB197" s="214"/>
      <c r="PGC197" s="211"/>
      <c r="PHT197" s="214"/>
      <c r="PHU197" s="211"/>
      <c r="PJL197" s="214"/>
      <c r="PJM197" s="211"/>
      <c r="PLD197" s="214"/>
      <c r="PLE197" s="211"/>
      <c r="PMV197" s="214"/>
      <c r="PMW197" s="211"/>
      <c r="PON197" s="214"/>
      <c r="POO197" s="211"/>
      <c r="PQF197" s="214"/>
      <c r="PQG197" s="211"/>
      <c r="PRX197" s="214"/>
      <c r="PRY197" s="211"/>
      <c r="PTP197" s="214"/>
      <c r="PTQ197" s="211"/>
      <c r="PVH197" s="214"/>
      <c r="PVI197" s="211"/>
      <c r="PWZ197" s="214"/>
      <c r="PXA197" s="211"/>
      <c r="PYR197" s="214"/>
      <c r="PYS197" s="211"/>
      <c r="QAJ197" s="214"/>
      <c r="QAK197" s="211"/>
      <c r="QCB197" s="214"/>
      <c r="QCC197" s="211"/>
      <c r="QDT197" s="214"/>
      <c r="QDU197" s="211"/>
      <c r="QFL197" s="214"/>
      <c r="QFM197" s="211"/>
      <c r="QHD197" s="214"/>
      <c r="QHE197" s="211"/>
      <c r="QIV197" s="214"/>
      <c r="QIW197" s="211"/>
      <c r="QKN197" s="214"/>
      <c r="QKO197" s="211"/>
      <c r="QMF197" s="214"/>
      <c r="QMG197" s="211"/>
      <c r="QNX197" s="214"/>
      <c r="QNY197" s="211"/>
      <c r="QPP197" s="214"/>
      <c r="QPQ197" s="211"/>
      <c r="QRH197" s="214"/>
      <c r="QRI197" s="211"/>
      <c r="QSZ197" s="214"/>
      <c r="QTA197" s="211"/>
      <c r="QUR197" s="214"/>
      <c r="QUS197" s="211"/>
      <c r="QWJ197" s="214"/>
      <c r="QWK197" s="211"/>
      <c r="QYB197" s="214"/>
      <c r="QYC197" s="211"/>
      <c r="QZT197" s="214"/>
      <c r="QZU197" s="211"/>
      <c r="RBL197" s="214"/>
      <c r="RBM197" s="211"/>
      <c r="RDD197" s="214"/>
      <c r="RDE197" s="211"/>
      <c r="REV197" s="214"/>
      <c r="REW197" s="211"/>
      <c r="RGN197" s="214"/>
      <c r="RGO197" s="211"/>
      <c r="RIF197" s="214"/>
      <c r="RIG197" s="211"/>
      <c r="RJX197" s="214"/>
      <c r="RJY197" s="211"/>
      <c r="RLP197" s="214"/>
      <c r="RLQ197" s="211"/>
      <c r="RNH197" s="214"/>
      <c r="RNI197" s="211"/>
      <c r="ROZ197" s="214"/>
      <c r="RPA197" s="211"/>
      <c r="RQR197" s="214"/>
      <c r="RQS197" s="211"/>
      <c r="RSJ197" s="214"/>
      <c r="RSK197" s="211"/>
      <c r="RUB197" s="214"/>
      <c r="RUC197" s="211"/>
      <c r="RVT197" s="214"/>
      <c r="RVU197" s="211"/>
      <c r="RXL197" s="214"/>
      <c r="RXM197" s="211"/>
      <c r="RZD197" s="214"/>
      <c r="RZE197" s="211"/>
      <c r="SAV197" s="214"/>
      <c r="SAW197" s="211"/>
      <c r="SCN197" s="214"/>
      <c r="SCO197" s="211"/>
      <c r="SEF197" s="214"/>
      <c r="SEG197" s="211"/>
      <c r="SFX197" s="214"/>
      <c r="SFY197" s="211"/>
      <c r="SHP197" s="214"/>
      <c r="SHQ197" s="211"/>
      <c r="SJH197" s="214"/>
      <c r="SJI197" s="211"/>
      <c r="SKZ197" s="214"/>
      <c r="SLA197" s="211"/>
      <c r="SMR197" s="214"/>
      <c r="SMS197" s="211"/>
      <c r="SOJ197" s="214"/>
      <c r="SOK197" s="211"/>
      <c r="SQB197" s="214"/>
      <c r="SQC197" s="211"/>
      <c r="SRT197" s="214"/>
      <c r="SRU197" s="211"/>
      <c r="STL197" s="214"/>
      <c r="STM197" s="211"/>
      <c r="SVD197" s="214"/>
      <c r="SVE197" s="211"/>
      <c r="SWV197" s="214"/>
      <c r="SWW197" s="211"/>
      <c r="SYN197" s="214"/>
      <c r="SYO197" s="211"/>
      <c r="TAF197" s="214"/>
      <c r="TAG197" s="211"/>
      <c r="TBX197" s="214"/>
      <c r="TBY197" s="211"/>
      <c r="TDP197" s="214"/>
      <c r="TDQ197" s="211"/>
      <c r="TFH197" s="214"/>
      <c r="TFI197" s="211"/>
      <c r="TGZ197" s="214"/>
      <c r="THA197" s="211"/>
      <c r="TIR197" s="214"/>
      <c r="TIS197" s="211"/>
      <c r="TKJ197" s="214"/>
      <c r="TKK197" s="211"/>
      <c r="TMB197" s="214"/>
      <c r="TMC197" s="211"/>
      <c r="TNT197" s="214"/>
      <c r="TNU197" s="211"/>
      <c r="TPL197" s="214"/>
      <c r="TPM197" s="211"/>
      <c r="TRD197" s="214"/>
      <c r="TRE197" s="211"/>
      <c r="TSV197" s="214"/>
      <c r="TSW197" s="211"/>
      <c r="TUN197" s="214"/>
      <c r="TUO197" s="211"/>
      <c r="TWF197" s="214"/>
      <c r="TWG197" s="211"/>
      <c r="TXX197" s="214"/>
      <c r="TXY197" s="211"/>
      <c r="TZP197" s="214"/>
      <c r="TZQ197" s="211"/>
      <c r="UBH197" s="214"/>
      <c r="UBI197" s="211"/>
      <c r="UCZ197" s="214"/>
      <c r="UDA197" s="211"/>
      <c r="UER197" s="214"/>
      <c r="UES197" s="211"/>
      <c r="UGJ197" s="214"/>
      <c r="UGK197" s="211"/>
      <c r="UIB197" s="214"/>
      <c r="UIC197" s="211"/>
      <c r="UJT197" s="214"/>
      <c r="UJU197" s="211"/>
      <c r="ULL197" s="214"/>
      <c r="ULM197" s="211"/>
      <c r="UND197" s="214"/>
      <c r="UNE197" s="211"/>
      <c r="UOV197" s="214"/>
      <c r="UOW197" s="211"/>
      <c r="UQN197" s="214"/>
      <c r="UQO197" s="211"/>
      <c r="USF197" s="214"/>
      <c r="USG197" s="211"/>
      <c r="UTX197" s="214"/>
      <c r="UTY197" s="211"/>
      <c r="UVP197" s="214"/>
      <c r="UVQ197" s="211"/>
      <c r="UXH197" s="214"/>
      <c r="UXI197" s="211"/>
      <c r="UYZ197" s="214"/>
      <c r="UZA197" s="211"/>
      <c r="VAR197" s="214"/>
      <c r="VAS197" s="211"/>
      <c r="VCJ197" s="214"/>
      <c r="VCK197" s="211"/>
      <c r="VEB197" s="214"/>
      <c r="VEC197" s="211"/>
      <c r="VFT197" s="214"/>
      <c r="VFU197" s="211"/>
      <c r="VHL197" s="214"/>
      <c r="VHM197" s="211"/>
      <c r="VJD197" s="214"/>
      <c r="VJE197" s="211"/>
      <c r="VKV197" s="214"/>
      <c r="VKW197" s="211"/>
      <c r="VMN197" s="214"/>
      <c r="VMO197" s="211"/>
      <c r="VOF197" s="214"/>
      <c r="VOG197" s="211"/>
      <c r="VPX197" s="214"/>
      <c r="VPY197" s="211"/>
      <c r="VRP197" s="214"/>
      <c r="VRQ197" s="211"/>
      <c r="VTH197" s="214"/>
      <c r="VTI197" s="211"/>
      <c r="VUZ197" s="214"/>
      <c r="VVA197" s="211"/>
      <c r="VWR197" s="214"/>
      <c r="VWS197" s="211"/>
      <c r="VYJ197" s="214"/>
      <c r="VYK197" s="211"/>
      <c r="WAB197" s="214"/>
      <c r="WAC197" s="211"/>
      <c r="WBT197" s="214"/>
      <c r="WBU197" s="211"/>
      <c r="WDL197" s="214"/>
      <c r="WDM197" s="211"/>
      <c r="WFD197" s="214"/>
      <c r="WFE197" s="211"/>
      <c r="WGV197" s="214"/>
      <c r="WGW197" s="211"/>
      <c r="WIN197" s="214"/>
      <c r="WIO197" s="211"/>
      <c r="WKF197" s="214"/>
      <c r="WKG197" s="211"/>
      <c r="WLX197" s="214"/>
      <c r="WLY197" s="211"/>
      <c r="WNP197" s="214"/>
      <c r="WNQ197" s="211"/>
      <c r="WPH197" s="214"/>
      <c r="WPI197" s="211"/>
      <c r="WQZ197" s="214"/>
      <c r="WRA197" s="211"/>
      <c r="WSR197" s="214"/>
      <c r="WSS197" s="211"/>
      <c r="WUJ197" s="214"/>
      <c r="WUK197" s="211"/>
      <c r="WWB197" s="214"/>
      <c r="WWC197" s="211"/>
      <c r="WXT197" s="214"/>
      <c r="WXU197" s="211"/>
      <c r="WZL197" s="214"/>
      <c r="WZM197" s="211"/>
      <c r="XBD197" s="214"/>
      <c r="XBE197" s="211"/>
      <c r="XCV197" s="214"/>
      <c r="XCW197" s="211"/>
      <c r="XEN197" s="214"/>
      <c r="XEO197" s="211"/>
    </row>
    <row r="198" spans="1:1013 1056:2025 2068:3037 3080:4093 4136:5105 5148:6117 6160:7129 7172:8185 8228:9197 9240:10209 10252:12277 12320:13289 13332:14301 14344:15357 15400:16369" x14ac:dyDescent="0.7">
      <c r="A198" s="137" t="s">
        <v>168</v>
      </c>
      <c r="B198" s="138">
        <v>116</v>
      </c>
      <c r="C198" s="123">
        <v>2550</v>
      </c>
      <c r="D198" s="17">
        <v>0</v>
      </c>
      <c r="E198" s="14">
        <v>3</v>
      </c>
      <c r="F198" s="14">
        <v>0</v>
      </c>
      <c r="G198" s="13">
        <f>0</f>
        <v>0</v>
      </c>
      <c r="H198" s="14">
        <v>15</v>
      </c>
      <c r="I198" s="23">
        <f>0</f>
        <v>0</v>
      </c>
      <c r="J198" s="13">
        <v>1.1000000000000001</v>
      </c>
      <c r="K198" s="14">
        <v>2</v>
      </c>
      <c r="L198" s="15">
        <v>1.7</v>
      </c>
      <c r="M198" s="13"/>
      <c r="N198" s="17"/>
      <c r="O198" s="15">
        <f>ROUND(C198*H198/1000,0)</f>
        <v>38</v>
      </c>
      <c r="P198" s="14">
        <f>ROUND(C198*H198/1000,0)</f>
        <v>38</v>
      </c>
      <c r="Q198" s="14">
        <f t="shared" ref="Q198:Q200" si="187">ROUND(C198*H198/1000,0)</f>
        <v>38</v>
      </c>
      <c r="R198" s="14"/>
      <c r="S198" s="14"/>
      <c r="T198" s="18"/>
      <c r="U198" s="13"/>
      <c r="V198" s="17"/>
      <c r="W198" s="13">
        <f>ROUND(C198*K198,0)</f>
        <v>5100</v>
      </c>
      <c r="X198" s="14">
        <f>ROUND(C198*K198,0)</f>
        <v>5100</v>
      </c>
      <c r="Y198" s="14">
        <f>ROUND(C198*K198,0)</f>
        <v>5100</v>
      </c>
      <c r="Z198" s="13"/>
      <c r="AA198" s="13"/>
      <c r="AB198" s="71"/>
      <c r="AC198" s="17"/>
      <c r="AD198" s="17"/>
      <c r="AE198" s="13">
        <f>ROUND(O198*95,0)</f>
        <v>3610</v>
      </c>
      <c r="AF198" s="14">
        <f t="shared" ref="AF198:AF200" si="188">ROUND(P198*95,0)</f>
        <v>3610</v>
      </c>
      <c r="AG198" s="14">
        <f t="shared" ref="AG198:AG200" si="189">ROUND(Q198*95,0)</f>
        <v>3610</v>
      </c>
      <c r="AH198" s="13"/>
      <c r="AI198" s="13"/>
      <c r="AJ198" s="71"/>
      <c r="AK198" s="100"/>
      <c r="AL198" s="14"/>
      <c r="AM198" s="14">
        <f>W198+AE198</f>
        <v>8710</v>
      </c>
      <c r="AN198" s="14">
        <f>X198+AF198</f>
        <v>8710</v>
      </c>
      <c r="AO198" s="14">
        <f>Y198+AG198</f>
        <v>8710</v>
      </c>
      <c r="AP198" s="14"/>
      <c r="AQ198" s="14"/>
      <c r="AR198" s="14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  <c r="BV198" s="56"/>
      <c r="BW198" s="56"/>
      <c r="BX198" s="56"/>
      <c r="BY198" s="56"/>
      <c r="BZ198" s="56"/>
      <c r="CA198" s="56"/>
      <c r="CB198" s="56"/>
      <c r="CC198" s="56"/>
      <c r="CD198" s="56"/>
      <c r="CE198" s="56"/>
      <c r="CF198" s="56"/>
      <c r="CG198" s="56"/>
      <c r="CH198" s="56"/>
      <c r="CI198" s="56"/>
      <c r="CJ198" s="56"/>
      <c r="CK198" s="56"/>
      <c r="CL198" s="56"/>
      <c r="CM198" s="56"/>
      <c r="CN198" s="56"/>
      <c r="CO198" s="56"/>
      <c r="CP198" s="56"/>
      <c r="CQ198" s="56"/>
      <c r="CR198" s="56"/>
      <c r="CS198" s="56"/>
      <c r="CT198" s="56"/>
      <c r="CU198" s="56"/>
      <c r="CV198" s="56"/>
      <c r="CW198" s="56"/>
      <c r="CX198" s="56"/>
      <c r="CY198" s="56"/>
      <c r="CZ198" s="56"/>
      <c r="DA198" s="56"/>
      <c r="DB198" s="56"/>
      <c r="DC198" s="56"/>
      <c r="DD198" s="56"/>
      <c r="DE198" s="56"/>
      <c r="DF198" s="56"/>
      <c r="DG198" s="56"/>
      <c r="DH198" s="56"/>
      <c r="DI198" s="56"/>
      <c r="DJ198" s="56"/>
      <c r="DK198" s="56"/>
      <c r="DL198" s="56"/>
      <c r="DM198" s="56"/>
      <c r="DN198" s="56"/>
      <c r="DO198" s="56"/>
      <c r="DP198" s="56"/>
      <c r="DQ198" s="56"/>
      <c r="DR198" s="56"/>
      <c r="DS198" s="56"/>
      <c r="DT198" s="56"/>
      <c r="DU198" s="56"/>
      <c r="DV198" s="56"/>
      <c r="DW198" s="56"/>
      <c r="DX198" s="56"/>
      <c r="DY198" s="56"/>
      <c r="DZ198" s="56"/>
      <c r="EA198" s="56"/>
      <c r="EB198" s="56"/>
      <c r="EC198" s="56"/>
      <c r="ED198" s="56"/>
      <c r="EE198" s="56"/>
      <c r="EF198" s="56"/>
      <c r="EG198" s="56"/>
      <c r="EH198" s="56"/>
      <c r="EI198" s="56"/>
      <c r="EJ198" s="56"/>
      <c r="EK198" s="56"/>
    </row>
    <row r="199" spans="1:1013 1056:2025 2068:3037 3080:4093 4136:5105 5148:6117 6160:7129 7172:8185 8228:9197 9240:10209 10252:12277 12320:13289 13332:14301 14344:15357 15400:16369" x14ac:dyDescent="0.7">
      <c r="A199" s="137" t="s">
        <v>169</v>
      </c>
      <c r="B199" s="138">
        <v>130</v>
      </c>
      <c r="C199" s="123">
        <v>2854</v>
      </c>
      <c r="D199" s="17">
        <v>0</v>
      </c>
      <c r="E199" s="14">
        <v>3</v>
      </c>
      <c r="F199" s="14">
        <v>0</v>
      </c>
      <c r="G199" s="13">
        <f>0</f>
        <v>0</v>
      </c>
      <c r="H199" s="14">
        <v>15</v>
      </c>
      <c r="I199" s="23">
        <f>0</f>
        <v>0</v>
      </c>
      <c r="J199" s="13">
        <v>1.1000000000000001</v>
      </c>
      <c r="K199" s="14">
        <v>2</v>
      </c>
      <c r="L199" s="15">
        <v>1.7</v>
      </c>
      <c r="M199" s="13"/>
      <c r="N199" s="17"/>
      <c r="O199" s="15">
        <f>ROUND(C199*H199/1000,0)</f>
        <v>43</v>
      </c>
      <c r="P199" s="14">
        <f t="shared" ref="P199:P200" si="190">ROUND(C199*H199/1000,0)</f>
        <v>43</v>
      </c>
      <c r="Q199" s="14">
        <f t="shared" si="187"/>
        <v>43</v>
      </c>
      <c r="R199" s="14"/>
      <c r="S199" s="14"/>
      <c r="T199" s="18"/>
      <c r="U199" s="13"/>
      <c r="V199" s="17"/>
      <c r="W199" s="13">
        <f>ROUND(C199*K199,0)</f>
        <v>5708</v>
      </c>
      <c r="X199" s="14">
        <f>ROUND(C199*K199,0)</f>
        <v>5708</v>
      </c>
      <c r="Y199" s="14">
        <f>ROUND(C199*K199,0)</f>
        <v>5708</v>
      </c>
      <c r="Z199" s="13"/>
      <c r="AA199" s="13"/>
      <c r="AB199" s="71"/>
      <c r="AC199" s="17"/>
      <c r="AD199" s="17"/>
      <c r="AE199" s="13">
        <f t="shared" ref="AE199:AE200" si="191">ROUND(O199*95,0)</f>
        <v>4085</v>
      </c>
      <c r="AF199" s="14">
        <f t="shared" si="188"/>
        <v>4085</v>
      </c>
      <c r="AG199" s="14">
        <f t="shared" si="189"/>
        <v>4085</v>
      </c>
      <c r="AH199" s="13"/>
      <c r="AI199" s="13"/>
      <c r="AJ199" s="71"/>
      <c r="AK199" s="100"/>
      <c r="AL199" s="14"/>
      <c r="AM199" s="14">
        <f t="shared" ref="AM199:AM200" si="192">W199+AE199</f>
        <v>9793</v>
      </c>
      <c r="AN199" s="14">
        <f t="shared" ref="AN199:AN200" si="193">X199+AF199</f>
        <v>9793</v>
      </c>
      <c r="AO199" s="14">
        <f t="shared" ref="AO199:AO200" si="194">Y199+AG199</f>
        <v>9793</v>
      </c>
      <c r="AP199" s="14"/>
      <c r="AQ199" s="14"/>
      <c r="AR199" s="14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/>
      <c r="BZ199" s="56"/>
      <c r="CA199" s="56"/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  <c r="CL199" s="56"/>
      <c r="CM199" s="56"/>
      <c r="CN199" s="56"/>
      <c r="CO199" s="56"/>
      <c r="CP199" s="56"/>
      <c r="CQ199" s="56"/>
      <c r="CR199" s="56"/>
      <c r="CS199" s="56"/>
      <c r="CT199" s="56"/>
      <c r="CU199" s="56"/>
      <c r="CV199" s="56"/>
      <c r="CW199" s="56"/>
      <c r="CX199" s="56"/>
      <c r="CY199" s="56"/>
      <c r="CZ199" s="56"/>
      <c r="DA199" s="56"/>
      <c r="DB199" s="56"/>
      <c r="DC199" s="56"/>
      <c r="DD199" s="56"/>
      <c r="DE199" s="56"/>
      <c r="DF199" s="56"/>
      <c r="DG199" s="56"/>
      <c r="DH199" s="56"/>
      <c r="DI199" s="56"/>
      <c r="DJ199" s="56"/>
      <c r="DK199" s="56"/>
      <c r="DL199" s="56"/>
      <c r="DM199" s="56"/>
      <c r="DN199" s="56"/>
      <c r="DO199" s="56"/>
      <c r="DP199" s="56"/>
      <c r="DQ199" s="56"/>
      <c r="DR199" s="56"/>
      <c r="DS199" s="56"/>
      <c r="DT199" s="56"/>
      <c r="DU199" s="56"/>
      <c r="DV199" s="56"/>
      <c r="DW199" s="56"/>
      <c r="DX199" s="56"/>
      <c r="DY199" s="56"/>
      <c r="DZ199" s="56"/>
      <c r="EA199" s="56"/>
      <c r="EB199" s="56"/>
      <c r="EC199" s="56"/>
      <c r="ED199" s="56"/>
      <c r="EE199" s="56"/>
      <c r="EF199" s="56"/>
      <c r="EG199" s="56"/>
      <c r="EH199" s="56"/>
      <c r="EI199" s="56"/>
      <c r="EJ199" s="56"/>
      <c r="EK199" s="56"/>
    </row>
    <row r="200" spans="1:1013 1056:2025 2068:3037 3080:4093 4136:5105 5148:6117 6160:7129 7172:8185 8228:9197 9240:10209 10252:12277 12320:13289 13332:14301 14344:15357 15400:16369" ht="25.2" thickBot="1" x14ac:dyDescent="0.75">
      <c r="A200" s="137" t="s">
        <v>170</v>
      </c>
      <c r="B200" s="138">
        <v>141</v>
      </c>
      <c r="C200" s="123">
        <v>3111</v>
      </c>
      <c r="D200" s="17">
        <v>0</v>
      </c>
      <c r="E200" s="14">
        <v>3</v>
      </c>
      <c r="F200" s="14">
        <v>0</v>
      </c>
      <c r="G200" s="13">
        <f>0</f>
        <v>0</v>
      </c>
      <c r="H200" s="14">
        <v>15</v>
      </c>
      <c r="I200" s="23">
        <f>0</f>
        <v>0</v>
      </c>
      <c r="J200" s="13">
        <v>1.1000000000000001</v>
      </c>
      <c r="K200" s="14">
        <v>2</v>
      </c>
      <c r="L200" s="15">
        <v>1.7</v>
      </c>
      <c r="M200" s="13"/>
      <c r="N200" s="17"/>
      <c r="O200" s="15">
        <f>ROUND(C200*H200/1000,0)</f>
        <v>47</v>
      </c>
      <c r="P200" s="14">
        <f t="shared" si="190"/>
        <v>47</v>
      </c>
      <c r="Q200" s="14">
        <f t="shared" si="187"/>
        <v>47</v>
      </c>
      <c r="R200" s="14"/>
      <c r="S200" s="14"/>
      <c r="T200" s="18"/>
      <c r="U200" s="13"/>
      <c r="V200" s="17"/>
      <c r="W200" s="13">
        <f>ROUND(C200*K200,0)</f>
        <v>6222</v>
      </c>
      <c r="X200" s="14">
        <f>ROUND(C200*K200,0)</f>
        <v>6222</v>
      </c>
      <c r="Y200" s="14">
        <f>ROUND(C200*K200,0)</f>
        <v>6222</v>
      </c>
      <c r="Z200" s="13"/>
      <c r="AA200" s="13"/>
      <c r="AB200" s="71"/>
      <c r="AC200" s="17"/>
      <c r="AD200" s="17"/>
      <c r="AE200" s="13">
        <f t="shared" si="191"/>
        <v>4465</v>
      </c>
      <c r="AF200" s="14">
        <f t="shared" si="188"/>
        <v>4465</v>
      </c>
      <c r="AG200" s="14">
        <f t="shared" si="189"/>
        <v>4465</v>
      </c>
      <c r="AH200" s="13"/>
      <c r="AI200" s="13"/>
      <c r="AJ200" s="71"/>
      <c r="AK200" s="100"/>
      <c r="AL200" s="14"/>
      <c r="AM200" s="14">
        <f t="shared" si="192"/>
        <v>10687</v>
      </c>
      <c r="AN200" s="14">
        <f t="shared" si="193"/>
        <v>10687</v>
      </c>
      <c r="AO200" s="14">
        <f t="shared" si="194"/>
        <v>10687</v>
      </c>
      <c r="AP200" s="14"/>
      <c r="AQ200" s="14"/>
      <c r="AR200" s="14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  <c r="BV200" s="56"/>
      <c r="BW200" s="56"/>
      <c r="BX200" s="56"/>
      <c r="BY200" s="56"/>
      <c r="BZ200" s="56"/>
      <c r="CA200" s="56"/>
      <c r="CB200" s="56"/>
      <c r="CC200" s="56"/>
      <c r="CD200" s="56"/>
      <c r="CE200" s="56"/>
      <c r="CF200" s="56"/>
      <c r="CG200" s="56"/>
      <c r="CH200" s="56"/>
      <c r="CI200" s="56"/>
      <c r="CJ200" s="56"/>
      <c r="CK200" s="56"/>
      <c r="CL200" s="56"/>
      <c r="CM200" s="56"/>
      <c r="CN200" s="56"/>
      <c r="CO200" s="56"/>
      <c r="CP200" s="56"/>
      <c r="CQ200" s="56"/>
      <c r="CR200" s="56"/>
      <c r="CS200" s="56"/>
      <c r="CT200" s="56"/>
      <c r="CU200" s="56"/>
      <c r="CV200" s="56"/>
      <c r="CW200" s="56"/>
      <c r="CX200" s="56"/>
      <c r="CY200" s="56"/>
      <c r="CZ200" s="56"/>
      <c r="DA200" s="56"/>
      <c r="DB200" s="56"/>
      <c r="DC200" s="56"/>
      <c r="DD200" s="56"/>
      <c r="DE200" s="56"/>
      <c r="DF200" s="56"/>
      <c r="DG200" s="56"/>
      <c r="DH200" s="56"/>
      <c r="DI200" s="56"/>
      <c r="DJ200" s="56"/>
      <c r="DK200" s="56"/>
      <c r="DL200" s="56"/>
      <c r="DM200" s="56"/>
      <c r="DN200" s="56"/>
      <c r="DO200" s="56"/>
      <c r="DP200" s="56"/>
      <c r="DQ200" s="56"/>
      <c r="DR200" s="56"/>
      <c r="DS200" s="56"/>
      <c r="DT200" s="56"/>
      <c r="DU200" s="56"/>
      <c r="DV200" s="56"/>
      <c r="DW200" s="56"/>
      <c r="DX200" s="56"/>
      <c r="DY200" s="56"/>
      <c r="DZ200" s="56"/>
      <c r="EA200" s="56"/>
      <c r="EB200" s="56"/>
      <c r="EC200" s="56"/>
      <c r="ED200" s="56"/>
      <c r="EE200" s="56"/>
      <c r="EF200" s="56"/>
      <c r="EG200" s="56"/>
      <c r="EH200" s="56"/>
      <c r="EI200" s="56"/>
      <c r="EJ200" s="56"/>
      <c r="EK200" s="56"/>
    </row>
    <row r="201" spans="1:1013 1056:2025 2068:3037 3080:4093 4136:5105 5148:6117 6160:7129 7172:8185 8228:9197 9240:10209 10252:12277 12320:13289 13332:14301 14344:15357 15400:16369" ht="25.2" thickBot="1" x14ac:dyDescent="0.75">
      <c r="A201" s="884" t="s">
        <v>167</v>
      </c>
      <c r="B201" s="886">
        <f>SUM(B197:B200)</f>
        <v>387</v>
      </c>
      <c r="C201" s="886">
        <f>SUM(C197:C200)</f>
        <v>8515</v>
      </c>
      <c r="D201" s="888"/>
      <c r="E201" s="889"/>
      <c r="F201" s="889"/>
      <c r="G201" s="889"/>
      <c r="H201" s="889"/>
      <c r="I201" s="889"/>
      <c r="J201" s="889"/>
      <c r="K201" s="889"/>
      <c r="L201" s="890"/>
      <c r="M201" s="158">
        <f>SUM(M197:M199)</f>
        <v>0</v>
      </c>
      <c r="N201" s="158">
        <f>SUM(N197:N199)</f>
        <v>0</v>
      </c>
      <c r="O201" s="160">
        <f>SUM(O198:O200)</f>
        <v>128</v>
      </c>
      <c r="P201" s="160">
        <f t="shared" ref="P201:Q201" si="195">SUM(P198:P200)</f>
        <v>128</v>
      </c>
      <c r="Q201" s="160">
        <f t="shared" si="195"/>
        <v>128</v>
      </c>
      <c r="R201" s="161">
        <f>SUM(R197:R199)</f>
        <v>0</v>
      </c>
      <c r="S201" s="161">
        <f>SUM(S197:S199)</f>
        <v>0</v>
      </c>
      <c r="T201" s="163">
        <f>SUM(T197:T199)</f>
        <v>0</v>
      </c>
      <c r="U201" s="158">
        <f>SUM(U197:U199)</f>
        <v>0</v>
      </c>
      <c r="V201" s="188">
        <f>0</f>
        <v>0</v>
      </c>
      <c r="W201" s="157">
        <f>SUM(W198:W200)</f>
        <v>17030</v>
      </c>
      <c r="X201" s="157">
        <f t="shared" ref="X201:Y201" si="196">SUM(X198:X200)</f>
        <v>17030</v>
      </c>
      <c r="Y201" s="157">
        <f t="shared" si="196"/>
        <v>17030</v>
      </c>
      <c r="Z201" s="164" t="s">
        <v>164</v>
      </c>
      <c r="AA201" s="164"/>
      <c r="AB201" s="164"/>
      <c r="AC201" s="157">
        <f>SUM(AC197:AC199)</f>
        <v>0</v>
      </c>
      <c r="AD201" s="157">
        <f>SUM(AD197:AD199)</f>
        <v>0</v>
      </c>
      <c r="AE201" s="166">
        <f>SUM(AE198:AE200)</f>
        <v>12160</v>
      </c>
      <c r="AF201" s="166">
        <f t="shared" ref="AF201:AG201" si="197">SUM(AF198:AF200)</f>
        <v>12160</v>
      </c>
      <c r="AG201" s="166">
        <f t="shared" si="197"/>
        <v>12160</v>
      </c>
      <c r="AH201" s="175">
        <f>0</f>
        <v>0</v>
      </c>
      <c r="AI201" s="175">
        <f>0</f>
        <v>0</v>
      </c>
      <c r="AJ201" s="175">
        <f>0</f>
        <v>0</v>
      </c>
      <c r="AK201" s="165">
        <f>SUM(AK198:AK199)</f>
        <v>0</v>
      </c>
      <c r="AL201" s="165">
        <f>0</f>
        <v>0</v>
      </c>
      <c r="AM201" s="166">
        <f>SUM(AM198:AM200)</f>
        <v>29190</v>
      </c>
      <c r="AN201" s="166">
        <f>SUM(AN198:AN200)</f>
        <v>29190</v>
      </c>
      <c r="AO201" s="166">
        <f>SUM(AO198:AO200)</f>
        <v>29190</v>
      </c>
      <c r="AP201" s="175"/>
      <c r="AQ201" s="164"/>
      <c r="AR201" s="167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1013 1056:2025 2068:3037 3080:4093 4136:5105 5148:6117 6160:7129 7172:8185 8228:9197 9240:10209 10252:12277 12320:13289 13332:14301 14344:15357 15400:16369" ht="25.2" thickBot="1" x14ac:dyDescent="0.75">
      <c r="A202" s="885"/>
      <c r="B202" s="887"/>
      <c r="C202" s="887"/>
      <c r="D202" s="891"/>
      <c r="E202" s="892"/>
      <c r="F202" s="892"/>
      <c r="G202" s="892"/>
      <c r="H202" s="892"/>
      <c r="I202" s="892"/>
      <c r="J202" s="892"/>
      <c r="K202" s="892"/>
      <c r="L202" s="893"/>
      <c r="M202" s="894">
        <f>M201+N201</f>
        <v>0</v>
      </c>
      <c r="N202" s="895">
        <f>M201+N201</f>
        <v>0</v>
      </c>
      <c r="O202" s="896">
        <f>+O201+P201+Q201</f>
        <v>384</v>
      </c>
      <c r="P202" s="897"/>
      <c r="Q202" s="898"/>
      <c r="R202" s="899">
        <f>+R201+S201+T201</f>
        <v>0</v>
      </c>
      <c r="S202" s="900"/>
      <c r="T202" s="901"/>
      <c r="U202" s="902">
        <f>U201+V201</f>
        <v>0</v>
      </c>
      <c r="V202" s="903"/>
      <c r="W202" s="904">
        <f>W201+X201+Y201</f>
        <v>51090</v>
      </c>
      <c r="X202" s="905"/>
      <c r="Y202" s="906"/>
      <c r="Z202" s="907">
        <f>0</f>
        <v>0</v>
      </c>
      <c r="AA202" s="908"/>
      <c r="AB202" s="909"/>
      <c r="AC202" s="910">
        <f>AC201+AD201</f>
        <v>0</v>
      </c>
      <c r="AD202" s="911">
        <f t="shared" ref="AD202" si="198">ROUND(N202*960,0)</f>
        <v>0</v>
      </c>
      <c r="AE202" s="912">
        <f>AE201+AF201+AG201</f>
        <v>36480</v>
      </c>
      <c r="AF202" s="913"/>
      <c r="AG202" s="914"/>
      <c r="AH202" s="915">
        <f>AH201+AI201+AJ201</f>
        <v>0</v>
      </c>
      <c r="AI202" s="916"/>
      <c r="AJ202" s="917"/>
      <c r="AK202" s="918">
        <f>AK201+AL201</f>
        <v>0</v>
      </c>
      <c r="AL202" s="919">
        <f t="shared" ref="AL202" si="199">V202+AD202</f>
        <v>0</v>
      </c>
      <c r="AM202" s="912">
        <f>AM201+AN201+AO201</f>
        <v>87570</v>
      </c>
      <c r="AN202" s="913"/>
      <c r="AO202" s="914"/>
      <c r="AP202" s="920">
        <f>AP201+AQ201+AR201</f>
        <v>0</v>
      </c>
      <c r="AQ202" s="921"/>
      <c r="AR202" s="922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1013 1056:2025 2068:3037 3080:4093 4136:5105 5148:6117 6160:7129 7172:8185 8228:9197 9240:10209 10252:12277 12320:13289 13332:14301 14344:15357 15400:16369" ht="25.2" thickBot="1" x14ac:dyDescent="0.75">
      <c r="A203" s="119" t="s">
        <v>172</v>
      </c>
      <c r="B203" s="120">
        <v>136</v>
      </c>
      <c r="C203" s="121">
        <v>2999</v>
      </c>
      <c r="D203" s="46">
        <v>0</v>
      </c>
      <c r="E203" s="10">
        <v>3</v>
      </c>
      <c r="F203" s="10">
        <v>0</v>
      </c>
      <c r="G203" s="9">
        <f>0</f>
        <v>0</v>
      </c>
      <c r="H203" s="10">
        <v>15</v>
      </c>
      <c r="I203" s="11">
        <f>0</f>
        <v>0</v>
      </c>
      <c r="J203" s="9">
        <v>1.1000000000000001</v>
      </c>
      <c r="K203" s="10">
        <v>2</v>
      </c>
      <c r="L203" s="12">
        <v>1.7</v>
      </c>
      <c r="M203" s="13"/>
      <c r="N203" s="17"/>
      <c r="O203" s="15">
        <f>ROUND(C203*H203/1000,0)</f>
        <v>45</v>
      </c>
      <c r="P203" s="14">
        <f>ROUND(C203*H203/1000,0)</f>
        <v>45</v>
      </c>
      <c r="Q203" s="14">
        <f>ROUND(C203*H203/1000,0)</f>
        <v>45</v>
      </c>
      <c r="R203" s="14"/>
      <c r="S203" s="14"/>
      <c r="T203" s="18"/>
      <c r="U203" s="13"/>
      <c r="V203" s="17"/>
      <c r="W203" s="13">
        <f>ROUND(C203*K203,0)</f>
        <v>5998</v>
      </c>
      <c r="X203" s="14">
        <f>ROUND(C203*K203,0)</f>
        <v>5998</v>
      </c>
      <c r="Y203" s="14">
        <f>ROUND(C203*K203,0)</f>
        <v>5998</v>
      </c>
      <c r="Z203" s="13"/>
      <c r="AA203" s="13"/>
      <c r="AB203" s="71"/>
      <c r="AC203" s="17"/>
      <c r="AD203" s="17"/>
      <c r="AE203" s="13">
        <f>ROUND(O203*95,0)</f>
        <v>4275</v>
      </c>
      <c r="AF203" s="14">
        <f t="shared" ref="AF203" si="200">ROUND(P203*95,0)</f>
        <v>4275</v>
      </c>
      <c r="AG203" s="14">
        <f t="shared" ref="AG203" si="201">ROUND(Q203*95,0)</f>
        <v>4275</v>
      </c>
      <c r="AH203" s="13"/>
      <c r="AI203" s="13"/>
      <c r="AJ203" s="71"/>
      <c r="AK203" s="100"/>
      <c r="AL203" s="14"/>
      <c r="AM203" s="14">
        <f>W203+AE203</f>
        <v>10273</v>
      </c>
      <c r="AN203" s="14">
        <f t="shared" ref="AN203:AO203" si="202">X203+AF203</f>
        <v>10273</v>
      </c>
      <c r="AO203" s="14">
        <f t="shared" si="202"/>
        <v>10273</v>
      </c>
      <c r="AP203" s="14"/>
      <c r="AQ203" s="14"/>
      <c r="AR203" s="40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  <c r="BV203" s="56"/>
      <c r="BW203" s="56"/>
      <c r="BX203" s="56"/>
      <c r="BY203" s="56"/>
      <c r="BZ203" s="56"/>
      <c r="CA203" s="56"/>
      <c r="CB203" s="56"/>
      <c r="CC203" s="56"/>
      <c r="CD203" s="56"/>
      <c r="CE203" s="56"/>
      <c r="CF203" s="56"/>
      <c r="CG203" s="56"/>
      <c r="CH203" s="56"/>
      <c r="CI203" s="56"/>
      <c r="CJ203" s="56"/>
      <c r="CK203" s="56"/>
      <c r="CL203" s="56"/>
      <c r="CM203" s="56"/>
      <c r="CN203" s="56"/>
      <c r="CO203" s="56"/>
      <c r="CP203" s="56"/>
      <c r="CQ203" s="56"/>
      <c r="CR203" s="56"/>
      <c r="CS203" s="56"/>
      <c r="CT203" s="56"/>
      <c r="CU203" s="56"/>
      <c r="CV203" s="56"/>
      <c r="CW203" s="56"/>
      <c r="CX203" s="56"/>
      <c r="CY203" s="56"/>
      <c r="CZ203" s="56"/>
      <c r="DA203" s="56"/>
      <c r="DB203" s="56"/>
      <c r="DC203" s="56"/>
      <c r="DD203" s="56"/>
      <c r="DE203" s="56"/>
      <c r="DF203" s="56"/>
      <c r="DG203" s="56"/>
      <c r="DH203" s="56"/>
      <c r="DI203" s="56"/>
      <c r="DJ203" s="56"/>
      <c r="DK203" s="56"/>
      <c r="DL203" s="56"/>
      <c r="DM203" s="56"/>
      <c r="DN203" s="56"/>
      <c r="DO203" s="56"/>
      <c r="DP203" s="56"/>
      <c r="DQ203" s="56"/>
      <c r="DR203" s="56"/>
      <c r="DS203" s="56"/>
      <c r="DT203" s="56"/>
      <c r="DU203" s="56"/>
      <c r="DV203" s="56"/>
      <c r="DW203" s="56"/>
      <c r="DX203" s="56"/>
      <c r="DY203" s="56"/>
      <c r="DZ203" s="56"/>
      <c r="EA203" s="56"/>
      <c r="EB203" s="56"/>
      <c r="EC203" s="56"/>
      <c r="ED203" s="56"/>
      <c r="EE203" s="56"/>
      <c r="EF203" s="56"/>
      <c r="EG203" s="56"/>
      <c r="EH203" s="56"/>
      <c r="EI203" s="56"/>
      <c r="EJ203" s="56"/>
      <c r="EK203" s="56"/>
    </row>
    <row r="204" spans="1:1013 1056:2025 2068:3037 3080:4093 4136:5105 5148:6117 6160:7129 7172:8185 8228:9197 9240:10209 10252:12277 12320:13289 13332:14301 14344:15357 15400:16369" ht="25.2" thickBot="1" x14ac:dyDescent="0.75">
      <c r="A204" s="884" t="s">
        <v>171</v>
      </c>
      <c r="B204" s="886">
        <f>B203</f>
        <v>136</v>
      </c>
      <c r="C204" s="886">
        <f>C203</f>
        <v>2999</v>
      </c>
      <c r="D204" s="888"/>
      <c r="E204" s="889"/>
      <c r="F204" s="889"/>
      <c r="G204" s="889"/>
      <c r="H204" s="889"/>
      <c r="I204" s="889"/>
      <c r="J204" s="889"/>
      <c r="K204" s="889"/>
      <c r="L204" s="890"/>
      <c r="M204" s="158">
        <f>SUM(M200:M202)</f>
        <v>0</v>
      </c>
      <c r="N204" s="158">
        <f>SUM(N200:N202)</f>
        <v>0</v>
      </c>
      <c r="O204" s="160">
        <f>SUM(O203)</f>
        <v>45</v>
      </c>
      <c r="P204" s="160">
        <f>SUM(P203)</f>
        <v>45</v>
      </c>
      <c r="Q204" s="160">
        <f t="shared" ref="Q204" si="203">SUM(Q203)</f>
        <v>45</v>
      </c>
      <c r="R204" s="161">
        <f>SUM(R200:R202)</f>
        <v>0</v>
      </c>
      <c r="S204" s="161">
        <f>SUM(S200:S202)</f>
        <v>0</v>
      </c>
      <c r="T204" s="163">
        <f>SUM(T200:T202)</f>
        <v>0</v>
      </c>
      <c r="U204" s="158">
        <f>SUM(U200:U202)</f>
        <v>0</v>
      </c>
      <c r="V204" s="188">
        <f>V201+V200+V199</f>
        <v>0</v>
      </c>
      <c r="W204" s="157">
        <f>SUM(W203)</f>
        <v>5998</v>
      </c>
      <c r="X204" s="157">
        <f t="shared" ref="X204" si="204">SUM(X201:X203)</f>
        <v>23028</v>
      </c>
      <c r="Y204" s="157">
        <f t="shared" ref="Y204" si="205">SUM(Y201:Y203)</f>
        <v>23028</v>
      </c>
      <c r="Z204" s="164" t="s">
        <v>164</v>
      </c>
      <c r="AA204" s="164"/>
      <c r="AB204" s="164"/>
      <c r="AC204" s="157">
        <f>SUM(AC200:AC202)</f>
        <v>0</v>
      </c>
      <c r="AD204" s="157">
        <f>SUM(AD200:AD202)</f>
        <v>0</v>
      </c>
      <c r="AE204" s="166">
        <f>SUM(AE203)</f>
        <v>4275</v>
      </c>
      <c r="AF204" s="166">
        <f t="shared" ref="AF204:AG204" si="206">SUM(AF203)</f>
        <v>4275</v>
      </c>
      <c r="AG204" s="166">
        <f t="shared" si="206"/>
        <v>4275</v>
      </c>
      <c r="AH204" s="175">
        <f>0</f>
        <v>0</v>
      </c>
      <c r="AI204" s="175">
        <f>0</f>
        <v>0</v>
      </c>
      <c r="AJ204" s="175">
        <f>0</f>
        <v>0</v>
      </c>
      <c r="AK204" s="165">
        <f>SUM(AK201:AK202)</f>
        <v>0</v>
      </c>
      <c r="AL204" s="165">
        <f>0</f>
        <v>0</v>
      </c>
      <c r="AM204" s="166">
        <f>AM203</f>
        <v>10273</v>
      </c>
      <c r="AN204" s="166">
        <f t="shared" ref="AN204:AO204" si="207">AN203</f>
        <v>10273</v>
      </c>
      <c r="AO204" s="166">
        <f t="shared" si="207"/>
        <v>10273</v>
      </c>
      <c r="AP204" s="175"/>
      <c r="AQ204" s="164"/>
      <c r="AR204" s="167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1013 1056:2025 2068:3037 3080:4093 4136:5105 5148:6117 6160:7129 7172:8185 8228:9197 9240:10209 10252:12277 12320:13289 13332:14301 14344:15357 15400:16369" ht="25.2" thickBot="1" x14ac:dyDescent="0.75">
      <c r="A205" s="885"/>
      <c r="B205" s="887"/>
      <c r="C205" s="887"/>
      <c r="D205" s="891"/>
      <c r="E205" s="892"/>
      <c r="F205" s="892"/>
      <c r="G205" s="892"/>
      <c r="H205" s="892"/>
      <c r="I205" s="892"/>
      <c r="J205" s="892"/>
      <c r="K205" s="892"/>
      <c r="L205" s="893"/>
      <c r="M205" s="894">
        <f>M204+N204</f>
        <v>0</v>
      </c>
      <c r="N205" s="895">
        <f>M204+N204</f>
        <v>0</v>
      </c>
      <c r="O205" s="896">
        <f>+O204+P204+Q204</f>
        <v>135</v>
      </c>
      <c r="P205" s="897"/>
      <c r="Q205" s="898"/>
      <c r="R205" s="899">
        <f>+R204+S204+T204</f>
        <v>0</v>
      </c>
      <c r="S205" s="900"/>
      <c r="T205" s="901"/>
      <c r="U205" s="902">
        <f>U204+V204</f>
        <v>0</v>
      </c>
      <c r="V205" s="903"/>
      <c r="W205" s="904">
        <f>W204+X204+Y204</f>
        <v>52054</v>
      </c>
      <c r="X205" s="905"/>
      <c r="Y205" s="906"/>
      <c r="Z205" s="907">
        <f>0</f>
        <v>0</v>
      </c>
      <c r="AA205" s="908"/>
      <c r="AB205" s="909"/>
      <c r="AC205" s="910">
        <f>AC204+AD204</f>
        <v>0</v>
      </c>
      <c r="AD205" s="911">
        <f t="shared" ref="AD205" si="208">ROUND(N205*960,0)</f>
        <v>0</v>
      </c>
      <c r="AE205" s="912">
        <f>AE204+AF204+AG204</f>
        <v>12825</v>
      </c>
      <c r="AF205" s="913"/>
      <c r="AG205" s="914"/>
      <c r="AH205" s="915">
        <f>AH204+AI204+AJ204</f>
        <v>0</v>
      </c>
      <c r="AI205" s="916"/>
      <c r="AJ205" s="917"/>
      <c r="AK205" s="918">
        <f>AK204+AL204</f>
        <v>0</v>
      </c>
      <c r="AL205" s="919">
        <f t="shared" ref="AL205" si="209">V205+AD205</f>
        <v>0</v>
      </c>
      <c r="AM205" s="912">
        <f>AM204+AN204+AO204</f>
        <v>30819</v>
      </c>
      <c r="AN205" s="913"/>
      <c r="AO205" s="914"/>
      <c r="AP205" s="920">
        <f>AP204+AQ204+AR204</f>
        <v>0</v>
      </c>
      <c r="AQ205" s="921"/>
      <c r="AR205" s="922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1013 1056:2025 2068:3037 3080:4093 4136:5105 5148:6117 6160:7129 7172:8185 8228:9197 9240:10209 10252:12277 12320:13289 13332:14301 14344:15357 15400:16369" ht="25.2" thickBot="1" x14ac:dyDescent="0.75">
      <c r="A206" s="141" t="s">
        <v>45</v>
      </c>
      <c r="B206" s="142">
        <v>90</v>
      </c>
      <c r="C206" s="143">
        <v>1970</v>
      </c>
      <c r="D206" s="144">
        <v>0</v>
      </c>
      <c r="E206" s="145">
        <v>3</v>
      </c>
      <c r="F206" s="145">
        <v>0</v>
      </c>
      <c r="G206" s="146">
        <f>0</f>
        <v>0</v>
      </c>
      <c r="H206" s="145">
        <v>15</v>
      </c>
      <c r="I206" s="147">
        <f>0</f>
        <v>0</v>
      </c>
      <c r="J206" s="146">
        <v>1.1000000000000001</v>
      </c>
      <c r="K206" s="145">
        <v>2</v>
      </c>
      <c r="L206" s="148">
        <v>1.7</v>
      </c>
      <c r="M206" s="146"/>
      <c r="N206" s="144"/>
      <c r="O206" s="15">
        <f>ROUND(C206*H206/1000,0)</f>
        <v>30</v>
      </c>
      <c r="P206" s="14">
        <f>ROUND(C206*H206/1000,0)</f>
        <v>30</v>
      </c>
      <c r="Q206" s="14">
        <f>ROUND(C206*H206/1000,0)</f>
        <v>30</v>
      </c>
      <c r="R206" s="14"/>
      <c r="S206" s="14"/>
      <c r="T206" s="149"/>
      <c r="U206" s="146"/>
      <c r="V206" s="144"/>
      <c r="W206" s="13">
        <f>ROUND(C206*K206,0)</f>
        <v>3940</v>
      </c>
      <c r="X206" s="145">
        <f>ROUND(C206*K206,0)</f>
        <v>3940</v>
      </c>
      <c r="Y206" s="145">
        <f>ROUND(C206*K206,0)</f>
        <v>3940</v>
      </c>
      <c r="Z206" s="13"/>
      <c r="AA206" s="13"/>
      <c r="AB206" s="71"/>
      <c r="AC206" s="144"/>
      <c r="AD206" s="144"/>
      <c r="AE206" s="13">
        <f>ROUND(O206*95,0)</f>
        <v>2850</v>
      </c>
      <c r="AF206" s="14">
        <f>ROUND(P206*95,0)</f>
        <v>2850</v>
      </c>
      <c r="AG206" s="14">
        <f t="shared" ref="AG206" si="210">ROUND(Q206*95,0)</f>
        <v>2850</v>
      </c>
      <c r="AH206" s="13"/>
      <c r="AI206" s="13"/>
      <c r="AJ206" s="71"/>
      <c r="AK206" s="172"/>
      <c r="AL206" s="14"/>
      <c r="AM206" s="14">
        <f>W206+AE206</f>
        <v>6790</v>
      </c>
      <c r="AN206" s="14">
        <f t="shared" ref="AN206" si="211">X206+AF206</f>
        <v>6790</v>
      </c>
      <c r="AO206" s="14">
        <f t="shared" ref="AO206" si="212">Y206+AG206</f>
        <v>6790</v>
      </c>
      <c r="AP206" s="14"/>
      <c r="AQ206" s="14"/>
      <c r="AR206" s="40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  <c r="BV206" s="56"/>
      <c r="BW206" s="56"/>
      <c r="BX206" s="56"/>
      <c r="BY206" s="56"/>
      <c r="BZ206" s="56"/>
      <c r="CA206" s="56"/>
      <c r="CB206" s="56"/>
      <c r="CC206" s="56"/>
      <c r="CD206" s="56"/>
      <c r="CE206" s="56"/>
      <c r="CF206" s="56"/>
      <c r="CG206" s="56"/>
      <c r="CH206" s="56"/>
      <c r="CI206" s="56"/>
      <c r="CJ206" s="56"/>
      <c r="CK206" s="56"/>
      <c r="CL206" s="56"/>
      <c r="CM206" s="56"/>
      <c r="CN206" s="56"/>
      <c r="CO206" s="56"/>
      <c r="CP206" s="56"/>
      <c r="CQ206" s="56"/>
      <c r="CR206" s="56"/>
      <c r="CS206" s="56"/>
      <c r="CT206" s="56"/>
      <c r="CU206" s="56"/>
      <c r="CV206" s="56"/>
      <c r="CW206" s="56"/>
      <c r="CX206" s="56"/>
      <c r="CY206" s="56"/>
      <c r="CZ206" s="56"/>
      <c r="DA206" s="56"/>
      <c r="DB206" s="56"/>
      <c r="DC206" s="56"/>
      <c r="DD206" s="56"/>
      <c r="DE206" s="56"/>
      <c r="DF206" s="56"/>
      <c r="DG206" s="56"/>
      <c r="DH206" s="56"/>
      <c r="DI206" s="56"/>
      <c r="DJ206" s="56"/>
      <c r="DK206" s="56"/>
      <c r="DL206" s="56"/>
      <c r="DM206" s="56"/>
      <c r="DN206" s="56"/>
      <c r="DO206" s="56"/>
      <c r="DP206" s="56"/>
      <c r="DQ206" s="56"/>
      <c r="DR206" s="56"/>
      <c r="DS206" s="56"/>
      <c r="DT206" s="56"/>
      <c r="DU206" s="56"/>
      <c r="DV206" s="56"/>
      <c r="DW206" s="56"/>
      <c r="DX206" s="56"/>
      <c r="DY206" s="56"/>
      <c r="DZ206" s="56"/>
      <c r="EA206" s="56"/>
      <c r="EB206" s="56"/>
      <c r="EC206" s="56"/>
      <c r="ED206" s="56"/>
      <c r="EE206" s="56"/>
      <c r="EF206" s="56"/>
      <c r="EG206" s="56"/>
      <c r="EH206" s="56"/>
      <c r="EI206" s="56"/>
      <c r="EJ206" s="56"/>
      <c r="EK206" s="56"/>
    </row>
    <row r="207" spans="1:1013 1056:2025 2068:3037 3080:4093 4136:5105 5148:6117 6160:7129 7172:8185 8228:9197 9240:10209 10252:12277 12320:13289 13332:14301 14344:15357 15400:16369" ht="25.2" thickBot="1" x14ac:dyDescent="0.75">
      <c r="A207" s="884" t="s">
        <v>173</v>
      </c>
      <c r="B207" s="886">
        <f>B206</f>
        <v>90</v>
      </c>
      <c r="C207" s="886">
        <f>C206</f>
        <v>1970</v>
      </c>
      <c r="D207" s="888"/>
      <c r="E207" s="889"/>
      <c r="F207" s="889"/>
      <c r="G207" s="889"/>
      <c r="H207" s="889"/>
      <c r="I207" s="889"/>
      <c r="J207" s="889"/>
      <c r="K207" s="889"/>
      <c r="L207" s="890"/>
      <c r="M207" s="158">
        <f>SUM(M203:M205)</f>
        <v>0</v>
      </c>
      <c r="N207" s="158">
        <f>SUM(N203:N205)</f>
        <v>0</v>
      </c>
      <c r="O207" s="160">
        <f>SUM(O206)</f>
        <v>30</v>
      </c>
      <c r="P207" s="160">
        <f>SUM(P206)</f>
        <v>30</v>
      </c>
      <c r="Q207" s="160">
        <f t="shared" ref="Q207" si="213">SUM(Q206)</f>
        <v>30</v>
      </c>
      <c r="R207" s="161">
        <f>SUM(R203:R205)</f>
        <v>0</v>
      </c>
      <c r="S207" s="161">
        <f>SUM(S203:S205)</f>
        <v>0</v>
      </c>
      <c r="T207" s="163">
        <f>SUM(T203:T205)</f>
        <v>0</v>
      </c>
      <c r="U207" s="158">
        <f>SUM(U203:U205)</f>
        <v>0</v>
      </c>
      <c r="V207" s="188">
        <f>V204+V203+V202</f>
        <v>0</v>
      </c>
      <c r="W207" s="157">
        <f>SUM(W206)</f>
        <v>3940</v>
      </c>
      <c r="X207" s="157">
        <f t="shared" ref="X207" si="214">SUM(X204:X206)</f>
        <v>26968</v>
      </c>
      <c r="Y207" s="157">
        <f t="shared" ref="Y207" si="215">SUM(Y204:Y206)</f>
        <v>26968</v>
      </c>
      <c r="Z207" s="164" t="s">
        <v>164</v>
      </c>
      <c r="AA207" s="164"/>
      <c r="AB207" s="164"/>
      <c r="AC207" s="157">
        <f>SUM(AC203:AC205)</f>
        <v>0</v>
      </c>
      <c r="AD207" s="157">
        <f>SUM(AD203:AD205)</f>
        <v>0</v>
      </c>
      <c r="AE207" s="166">
        <f>SUM(AE206)</f>
        <v>2850</v>
      </c>
      <c r="AF207" s="166">
        <f t="shared" ref="AF207" si="216">SUM(AF206)</f>
        <v>2850</v>
      </c>
      <c r="AG207" s="166">
        <f t="shared" ref="AG207" si="217">SUM(AG206)</f>
        <v>2850</v>
      </c>
      <c r="AH207" s="175">
        <f>0</f>
        <v>0</v>
      </c>
      <c r="AI207" s="175">
        <f>0</f>
        <v>0</v>
      </c>
      <c r="AJ207" s="175">
        <f>0</f>
        <v>0</v>
      </c>
      <c r="AK207" s="165">
        <f>SUM(AK204:AK205)</f>
        <v>0</v>
      </c>
      <c r="AL207" s="165">
        <f>0</f>
        <v>0</v>
      </c>
      <c r="AM207" s="166">
        <f>AM206</f>
        <v>6790</v>
      </c>
      <c r="AN207" s="166">
        <f t="shared" ref="AN207" si="218">AN206</f>
        <v>6790</v>
      </c>
      <c r="AO207" s="166">
        <f t="shared" ref="AO207" si="219">AO206</f>
        <v>6790</v>
      </c>
      <c r="AP207" s="175"/>
      <c r="AQ207" s="164"/>
      <c r="AR207" s="167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1013 1056:2025 2068:3037 3080:4093 4136:5105 5148:6117 6160:7129 7172:8185 8228:9197 9240:10209 10252:12277 12320:13289 13332:14301 14344:15357 15400:16369" ht="25.2" thickBot="1" x14ac:dyDescent="0.75">
      <c r="A208" s="885"/>
      <c r="B208" s="887"/>
      <c r="C208" s="887"/>
      <c r="D208" s="891"/>
      <c r="E208" s="892"/>
      <c r="F208" s="892"/>
      <c r="G208" s="892"/>
      <c r="H208" s="892"/>
      <c r="I208" s="892"/>
      <c r="J208" s="892"/>
      <c r="K208" s="892"/>
      <c r="L208" s="893"/>
      <c r="M208" s="894">
        <f>M207+N207</f>
        <v>0</v>
      </c>
      <c r="N208" s="895">
        <f>M207+N207</f>
        <v>0</v>
      </c>
      <c r="O208" s="896">
        <f>+O207+P207+Q207</f>
        <v>90</v>
      </c>
      <c r="P208" s="897"/>
      <c r="Q208" s="898"/>
      <c r="R208" s="899">
        <f>+R207+S207+T207</f>
        <v>0</v>
      </c>
      <c r="S208" s="900"/>
      <c r="T208" s="901"/>
      <c r="U208" s="902">
        <f>U207+V207</f>
        <v>0</v>
      </c>
      <c r="V208" s="903"/>
      <c r="W208" s="904">
        <f>W207+X207+Y207</f>
        <v>57876</v>
      </c>
      <c r="X208" s="905"/>
      <c r="Y208" s="906"/>
      <c r="Z208" s="907">
        <f>0</f>
        <v>0</v>
      </c>
      <c r="AA208" s="908"/>
      <c r="AB208" s="909"/>
      <c r="AC208" s="910">
        <f>AC207+AD207</f>
        <v>0</v>
      </c>
      <c r="AD208" s="911">
        <f t="shared" ref="AD208" si="220">ROUND(N208*960,0)</f>
        <v>0</v>
      </c>
      <c r="AE208" s="912">
        <f>AE207+AF207+AG207</f>
        <v>8550</v>
      </c>
      <c r="AF208" s="913"/>
      <c r="AG208" s="914"/>
      <c r="AH208" s="915">
        <f>AH207+AI207+AJ207</f>
        <v>0</v>
      </c>
      <c r="AI208" s="916"/>
      <c r="AJ208" s="917"/>
      <c r="AK208" s="918">
        <f>AK207+AL207</f>
        <v>0</v>
      </c>
      <c r="AL208" s="919">
        <f t="shared" ref="AL208" si="221">V208+AD208</f>
        <v>0</v>
      </c>
      <c r="AM208" s="912">
        <f>AM207+AN207+AO207</f>
        <v>20370</v>
      </c>
      <c r="AN208" s="913"/>
      <c r="AO208" s="914"/>
      <c r="AP208" s="920">
        <f>AP207+AQ207+AR207</f>
        <v>0</v>
      </c>
      <c r="AQ208" s="921"/>
      <c r="AR208" s="922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1013 1056:2025 2068:3037 3080:4093 4136:5105 5148:6117 6160:7129 7172:8185 8228:9197 9240:10209 10252:12277 12320:13289 13332:14301 14344:15357 15400:16369" s="180" customFormat="1" ht="39.9" customHeight="1" thickBot="1" x14ac:dyDescent="0.75">
      <c r="A209" s="881" t="s">
        <v>185</v>
      </c>
      <c r="B209" s="882"/>
      <c r="C209" s="882"/>
      <c r="D209" s="882"/>
      <c r="E209" s="882"/>
      <c r="F209" s="882"/>
      <c r="G209" s="882"/>
      <c r="H209" s="882"/>
      <c r="I209" s="882"/>
      <c r="J209" s="882"/>
      <c r="K209" s="882"/>
      <c r="L209" s="882"/>
      <c r="M209" s="882"/>
      <c r="N209" s="882"/>
      <c r="O209" s="882"/>
      <c r="P209" s="882"/>
      <c r="Q209" s="882"/>
      <c r="R209" s="882"/>
      <c r="S209" s="882"/>
      <c r="T209" s="882"/>
      <c r="U209" s="882"/>
      <c r="V209" s="882"/>
      <c r="W209" s="882"/>
      <c r="X209" s="882"/>
      <c r="Y209" s="882"/>
      <c r="Z209" s="882"/>
      <c r="AA209" s="882"/>
      <c r="AB209" s="882"/>
      <c r="AC209" s="882"/>
      <c r="AD209" s="882"/>
      <c r="AE209" s="882"/>
      <c r="AF209" s="882"/>
      <c r="AG209" s="882"/>
      <c r="AH209" s="882"/>
      <c r="AI209" s="882"/>
      <c r="AJ209" s="882"/>
      <c r="AK209" s="882"/>
      <c r="AL209" s="882"/>
      <c r="AM209" s="882"/>
      <c r="AN209" s="882"/>
      <c r="AO209" s="882"/>
      <c r="AP209" s="882"/>
      <c r="AQ209" s="882"/>
      <c r="AR209" s="883"/>
      <c r="AS209" s="176"/>
      <c r="AT209" s="176"/>
      <c r="AU209" s="176"/>
      <c r="AV209" s="176"/>
      <c r="AW209" s="176"/>
      <c r="AX209" s="176"/>
      <c r="AY209" s="176"/>
      <c r="AZ209" s="176"/>
      <c r="BA209" s="176"/>
      <c r="BB209" s="176"/>
      <c r="BC209" s="176"/>
      <c r="BD209" s="176"/>
      <c r="BE209" s="176"/>
      <c r="BF209" s="176"/>
      <c r="BG209" s="176"/>
      <c r="BH209" s="176"/>
      <c r="BI209" s="176"/>
      <c r="BJ209" s="176"/>
      <c r="BK209" s="176"/>
      <c r="BL209" s="176"/>
      <c r="BM209" s="176"/>
      <c r="BN209" s="176"/>
      <c r="BO209" s="176"/>
      <c r="BP209" s="176"/>
      <c r="BQ209" s="176"/>
      <c r="BR209" s="176"/>
      <c r="BS209" s="176"/>
      <c r="BT209" s="176"/>
      <c r="BU209" s="176"/>
      <c r="BV209" s="176"/>
      <c r="BW209" s="176"/>
      <c r="BX209" s="176"/>
      <c r="BY209" s="176"/>
      <c r="BZ209" s="176"/>
      <c r="CA209" s="176"/>
      <c r="CB209" s="176"/>
      <c r="CC209" s="176"/>
      <c r="CD209" s="176"/>
      <c r="CE209" s="176"/>
      <c r="CF209" s="176"/>
      <c r="CG209" s="176"/>
      <c r="CH209" s="176"/>
      <c r="CI209" s="176"/>
      <c r="CJ209" s="176"/>
      <c r="CK209" s="176"/>
      <c r="CL209" s="176"/>
      <c r="CM209" s="176"/>
      <c r="CN209" s="176"/>
      <c r="CO209" s="176"/>
      <c r="CP209" s="176"/>
      <c r="CQ209" s="176"/>
      <c r="CR209" s="176"/>
      <c r="CS209" s="176"/>
      <c r="CT209" s="176"/>
      <c r="CU209" s="176"/>
      <c r="CV209" s="176"/>
      <c r="CW209" s="176"/>
      <c r="CX209" s="176"/>
      <c r="CY209" s="176"/>
      <c r="CZ209" s="176"/>
      <c r="DA209" s="176"/>
      <c r="DB209" s="176"/>
      <c r="DC209" s="176"/>
      <c r="DD209" s="176"/>
      <c r="DE209" s="176"/>
      <c r="DF209" s="176"/>
      <c r="DG209" s="176"/>
      <c r="DH209" s="176"/>
      <c r="DI209" s="176"/>
      <c r="DJ209" s="176"/>
      <c r="DK209" s="176"/>
      <c r="DL209" s="176"/>
      <c r="DM209" s="176"/>
      <c r="DN209" s="176"/>
      <c r="DO209" s="176"/>
      <c r="DP209" s="176"/>
      <c r="DQ209" s="176"/>
      <c r="DR209" s="176"/>
      <c r="DS209" s="176"/>
      <c r="DT209" s="176"/>
      <c r="DU209" s="176"/>
      <c r="DV209" s="176"/>
      <c r="DW209" s="176"/>
      <c r="DX209" s="176"/>
      <c r="DY209" s="176"/>
      <c r="DZ209" s="176"/>
      <c r="EA209" s="176"/>
      <c r="EB209" s="176"/>
      <c r="EC209" s="176"/>
      <c r="ED209" s="176"/>
      <c r="EE209" s="176"/>
      <c r="EF209" s="176"/>
      <c r="EG209" s="176"/>
      <c r="EH209" s="176"/>
      <c r="EI209" s="176"/>
      <c r="EJ209" s="176"/>
      <c r="EK209" s="176"/>
    </row>
    <row r="210" spans="1:1013 1056:2025 2068:3037 3080:4093 4136:5105 5148:6117 6160:7129 7172:8185 8228:9197 9240:10209 10252:12277 12320:13289 13332:14301 14344:15357 15400:16369" s="212" customFormat="1" ht="39.9" customHeight="1" thickBot="1" x14ac:dyDescent="0.75">
      <c r="A210" s="1066" t="s">
        <v>186</v>
      </c>
      <c r="B210" s="1067"/>
      <c r="C210" s="1067"/>
      <c r="D210" s="1067"/>
      <c r="E210" s="1067"/>
      <c r="F210" s="1067"/>
      <c r="G210" s="1067"/>
      <c r="H210" s="1067"/>
      <c r="I210" s="1067"/>
      <c r="J210" s="1067"/>
      <c r="K210" s="1067"/>
      <c r="L210" s="1067"/>
      <c r="M210" s="1067"/>
      <c r="N210" s="1067"/>
      <c r="O210" s="1067"/>
      <c r="P210" s="1067"/>
      <c r="Q210" s="1067"/>
      <c r="R210" s="1067"/>
      <c r="S210" s="1067"/>
      <c r="T210" s="1067"/>
      <c r="U210" s="1067"/>
      <c r="V210" s="1067"/>
      <c r="W210" s="1067"/>
      <c r="X210" s="1067"/>
      <c r="Y210" s="1067"/>
      <c r="Z210" s="1067"/>
      <c r="AA210" s="1067"/>
      <c r="AB210" s="1067"/>
      <c r="AC210" s="1067"/>
      <c r="AD210" s="1067"/>
      <c r="AE210" s="1067"/>
      <c r="AF210" s="1067"/>
      <c r="AG210" s="1067"/>
      <c r="AH210" s="1067"/>
      <c r="AI210" s="1067"/>
      <c r="AJ210" s="1067"/>
      <c r="AK210" s="1067"/>
      <c r="AL210" s="1067"/>
      <c r="AM210" s="1067"/>
      <c r="AN210" s="1067"/>
      <c r="AO210" s="1067"/>
      <c r="AP210" s="1067"/>
      <c r="AQ210" s="1067"/>
      <c r="AR210" s="1068"/>
      <c r="AS210" s="211"/>
      <c r="CJ210" s="214"/>
      <c r="CK210" s="211"/>
      <c r="EB210" s="214"/>
      <c r="EC210" s="211"/>
      <c r="FT210" s="214"/>
      <c r="FU210" s="211"/>
      <c r="HL210" s="214"/>
      <c r="HM210" s="211"/>
      <c r="JD210" s="214"/>
      <c r="JE210" s="211"/>
      <c r="KV210" s="214"/>
      <c r="KW210" s="211"/>
      <c r="MN210" s="214"/>
      <c r="MO210" s="211"/>
      <c r="OF210" s="214"/>
      <c r="OG210" s="211"/>
      <c r="PX210" s="214"/>
      <c r="PY210" s="211"/>
      <c r="RP210" s="214"/>
      <c r="RQ210" s="211"/>
      <c r="TH210" s="214"/>
      <c r="TI210" s="211"/>
      <c r="UZ210" s="214"/>
      <c r="VA210" s="211"/>
      <c r="WR210" s="214"/>
      <c r="WS210" s="211"/>
      <c r="YJ210" s="214"/>
      <c r="YK210" s="211"/>
      <c r="AAB210" s="214"/>
      <c r="AAC210" s="211"/>
      <c r="ABT210" s="214"/>
      <c r="ABU210" s="211"/>
      <c r="ADL210" s="214"/>
      <c r="ADM210" s="211"/>
      <c r="AFD210" s="214"/>
      <c r="AFE210" s="211"/>
      <c r="AGV210" s="214"/>
      <c r="AGW210" s="211"/>
      <c r="AIN210" s="214"/>
      <c r="AIO210" s="211"/>
      <c r="AKF210" s="214"/>
      <c r="AKG210" s="211"/>
      <c r="ALX210" s="214"/>
      <c r="ALY210" s="211"/>
      <c r="ANP210" s="214"/>
      <c r="ANQ210" s="211"/>
      <c r="APH210" s="214"/>
      <c r="API210" s="211"/>
      <c r="AQZ210" s="214"/>
      <c r="ARA210" s="211"/>
      <c r="ASR210" s="214"/>
      <c r="ASS210" s="211"/>
      <c r="AUJ210" s="214"/>
      <c r="AUK210" s="211"/>
      <c r="AWB210" s="214"/>
      <c r="AWC210" s="211"/>
      <c r="AXT210" s="214"/>
      <c r="AXU210" s="211"/>
      <c r="AZL210" s="214"/>
      <c r="AZM210" s="211"/>
      <c r="BBD210" s="214"/>
      <c r="BBE210" s="211"/>
      <c r="BCV210" s="214"/>
      <c r="BCW210" s="211"/>
      <c r="BEN210" s="214"/>
      <c r="BEO210" s="211"/>
      <c r="BGF210" s="214"/>
      <c r="BGG210" s="211"/>
      <c r="BHX210" s="214"/>
      <c r="BHY210" s="211"/>
      <c r="BJP210" s="214"/>
      <c r="BJQ210" s="211"/>
      <c r="BLH210" s="214"/>
      <c r="BLI210" s="211"/>
      <c r="BMZ210" s="214"/>
      <c r="BNA210" s="211"/>
      <c r="BOR210" s="214"/>
      <c r="BOS210" s="211"/>
      <c r="BQJ210" s="214"/>
      <c r="BQK210" s="211"/>
      <c r="BSB210" s="214"/>
      <c r="BSC210" s="211"/>
      <c r="BTT210" s="214"/>
      <c r="BTU210" s="211"/>
      <c r="BVL210" s="214"/>
      <c r="BVM210" s="211"/>
      <c r="BXD210" s="214"/>
      <c r="BXE210" s="211"/>
      <c r="BYV210" s="214"/>
      <c r="BYW210" s="211"/>
      <c r="CAN210" s="214"/>
      <c r="CAO210" s="211"/>
      <c r="CCF210" s="214"/>
      <c r="CCG210" s="211"/>
      <c r="CDX210" s="214"/>
      <c r="CDY210" s="211"/>
      <c r="CFP210" s="214"/>
      <c r="CFQ210" s="211"/>
      <c r="CHH210" s="214"/>
      <c r="CHI210" s="211"/>
      <c r="CIZ210" s="214"/>
      <c r="CJA210" s="211"/>
      <c r="CKR210" s="214"/>
      <c r="CKS210" s="211"/>
      <c r="CMJ210" s="214"/>
      <c r="CMK210" s="211"/>
      <c r="COB210" s="214"/>
      <c r="COC210" s="211"/>
      <c r="CPT210" s="214"/>
      <c r="CPU210" s="211"/>
      <c r="CRL210" s="214"/>
      <c r="CRM210" s="211"/>
      <c r="CTD210" s="214"/>
      <c r="CTE210" s="211"/>
      <c r="CUV210" s="214"/>
      <c r="CUW210" s="211"/>
      <c r="CWN210" s="214"/>
      <c r="CWO210" s="211"/>
      <c r="CYF210" s="214"/>
      <c r="CYG210" s="211"/>
      <c r="CZX210" s="214"/>
      <c r="CZY210" s="211"/>
      <c r="DBP210" s="214"/>
      <c r="DBQ210" s="211"/>
      <c r="DDH210" s="214"/>
      <c r="DDI210" s="211"/>
      <c r="DEZ210" s="214"/>
      <c r="DFA210" s="211"/>
      <c r="DGR210" s="214"/>
      <c r="DGS210" s="211"/>
      <c r="DIJ210" s="214"/>
      <c r="DIK210" s="211"/>
      <c r="DKB210" s="214"/>
      <c r="DKC210" s="211"/>
      <c r="DLT210" s="214"/>
      <c r="DLU210" s="211"/>
      <c r="DNL210" s="214"/>
      <c r="DNM210" s="211"/>
      <c r="DPD210" s="214"/>
      <c r="DPE210" s="211"/>
      <c r="DQV210" s="214"/>
      <c r="DQW210" s="211"/>
      <c r="DSN210" s="214"/>
      <c r="DSO210" s="211"/>
      <c r="DUF210" s="214"/>
      <c r="DUG210" s="211"/>
      <c r="DVX210" s="214"/>
      <c r="DVY210" s="211"/>
      <c r="DXP210" s="214"/>
      <c r="DXQ210" s="211"/>
      <c r="DZH210" s="214"/>
      <c r="DZI210" s="211"/>
      <c r="EAZ210" s="214"/>
      <c r="EBA210" s="211"/>
      <c r="ECR210" s="214"/>
      <c r="ECS210" s="211"/>
      <c r="EEJ210" s="214"/>
      <c r="EEK210" s="211"/>
      <c r="EGB210" s="214"/>
      <c r="EGC210" s="211"/>
      <c r="EHT210" s="214"/>
      <c r="EHU210" s="211"/>
      <c r="EJL210" s="214"/>
      <c r="EJM210" s="211"/>
      <c r="ELD210" s="214"/>
      <c r="ELE210" s="211"/>
      <c r="EMV210" s="214"/>
      <c r="EMW210" s="211"/>
      <c r="EON210" s="214"/>
      <c r="EOO210" s="211"/>
      <c r="EQF210" s="214"/>
      <c r="EQG210" s="211"/>
      <c r="ERX210" s="214"/>
      <c r="ERY210" s="211"/>
      <c r="ETP210" s="214"/>
      <c r="ETQ210" s="211"/>
      <c r="EVH210" s="214"/>
      <c r="EVI210" s="211"/>
      <c r="EWZ210" s="214"/>
      <c r="EXA210" s="211"/>
      <c r="EYR210" s="214"/>
      <c r="EYS210" s="211"/>
      <c r="FAJ210" s="214"/>
      <c r="FAK210" s="211"/>
      <c r="FCB210" s="214"/>
      <c r="FCC210" s="211"/>
      <c r="FDT210" s="214"/>
      <c r="FDU210" s="211"/>
      <c r="FFL210" s="214"/>
      <c r="FFM210" s="211"/>
      <c r="FHD210" s="214"/>
      <c r="FHE210" s="211"/>
      <c r="FIV210" s="214"/>
      <c r="FIW210" s="211"/>
      <c r="FKN210" s="214"/>
      <c r="FKO210" s="211"/>
      <c r="FMF210" s="214"/>
      <c r="FMG210" s="211"/>
      <c r="FNX210" s="214"/>
      <c r="FNY210" s="211"/>
      <c r="FPP210" s="214"/>
      <c r="FPQ210" s="211"/>
      <c r="FRH210" s="214"/>
      <c r="FRI210" s="211"/>
      <c r="FSZ210" s="214"/>
      <c r="FTA210" s="211"/>
      <c r="FUR210" s="214"/>
      <c r="FUS210" s="211"/>
      <c r="FWJ210" s="214"/>
      <c r="FWK210" s="211"/>
      <c r="FYB210" s="214"/>
      <c r="FYC210" s="211"/>
      <c r="FZT210" s="214"/>
      <c r="FZU210" s="211"/>
      <c r="GBL210" s="214"/>
      <c r="GBM210" s="211"/>
      <c r="GDD210" s="214"/>
      <c r="GDE210" s="211"/>
      <c r="GEV210" s="214"/>
      <c r="GEW210" s="211"/>
      <c r="GGN210" s="214"/>
      <c r="GGO210" s="211"/>
      <c r="GIF210" s="214"/>
      <c r="GIG210" s="211"/>
      <c r="GJX210" s="214"/>
      <c r="GJY210" s="211"/>
      <c r="GLP210" s="214"/>
      <c r="GLQ210" s="211"/>
      <c r="GNH210" s="214"/>
      <c r="GNI210" s="211"/>
      <c r="GOZ210" s="214"/>
      <c r="GPA210" s="211"/>
      <c r="GQR210" s="214"/>
      <c r="GQS210" s="211"/>
      <c r="GSJ210" s="214"/>
      <c r="GSK210" s="211"/>
      <c r="GUB210" s="214"/>
      <c r="GUC210" s="211"/>
      <c r="GVT210" s="214"/>
      <c r="GVU210" s="211"/>
      <c r="GXL210" s="214"/>
      <c r="GXM210" s="211"/>
      <c r="GZD210" s="214"/>
      <c r="GZE210" s="211"/>
      <c r="HAV210" s="214"/>
      <c r="HAW210" s="211"/>
      <c r="HCN210" s="214"/>
      <c r="HCO210" s="211"/>
      <c r="HEF210" s="214"/>
      <c r="HEG210" s="211"/>
      <c r="HFX210" s="214"/>
      <c r="HFY210" s="211"/>
      <c r="HHP210" s="214"/>
      <c r="HHQ210" s="211"/>
      <c r="HJH210" s="214"/>
      <c r="HJI210" s="211"/>
      <c r="HKZ210" s="214"/>
      <c r="HLA210" s="211"/>
      <c r="HMR210" s="214"/>
      <c r="HMS210" s="211"/>
      <c r="HOJ210" s="214"/>
      <c r="HOK210" s="211"/>
      <c r="HQB210" s="214"/>
      <c r="HQC210" s="211"/>
      <c r="HRT210" s="214"/>
      <c r="HRU210" s="211"/>
      <c r="HTL210" s="214"/>
      <c r="HTM210" s="211"/>
      <c r="HVD210" s="214"/>
      <c r="HVE210" s="211"/>
      <c r="HWV210" s="214"/>
      <c r="HWW210" s="211"/>
      <c r="HYN210" s="214"/>
      <c r="HYO210" s="211"/>
      <c r="IAF210" s="214"/>
      <c r="IAG210" s="211"/>
      <c r="IBX210" s="214"/>
      <c r="IBY210" s="211"/>
      <c r="IDP210" s="214"/>
      <c r="IDQ210" s="211"/>
      <c r="IFH210" s="214"/>
      <c r="IFI210" s="211"/>
      <c r="IGZ210" s="214"/>
      <c r="IHA210" s="211"/>
      <c r="IIR210" s="214"/>
      <c r="IIS210" s="211"/>
      <c r="IKJ210" s="214"/>
      <c r="IKK210" s="211"/>
      <c r="IMB210" s="214"/>
      <c r="IMC210" s="211"/>
      <c r="INT210" s="214"/>
      <c r="INU210" s="211"/>
      <c r="IPL210" s="214"/>
      <c r="IPM210" s="211"/>
      <c r="IRD210" s="214"/>
      <c r="IRE210" s="211"/>
      <c r="ISV210" s="214"/>
      <c r="ISW210" s="211"/>
      <c r="IUN210" s="214"/>
      <c r="IUO210" s="211"/>
      <c r="IWF210" s="214"/>
      <c r="IWG210" s="211"/>
      <c r="IXX210" s="214"/>
      <c r="IXY210" s="211"/>
      <c r="IZP210" s="214"/>
      <c r="IZQ210" s="211"/>
      <c r="JBH210" s="214"/>
      <c r="JBI210" s="211"/>
      <c r="JCZ210" s="214"/>
      <c r="JDA210" s="211"/>
      <c r="JER210" s="214"/>
      <c r="JES210" s="211"/>
      <c r="JGJ210" s="214"/>
      <c r="JGK210" s="211"/>
      <c r="JIB210" s="214"/>
      <c r="JIC210" s="211"/>
      <c r="JJT210" s="214"/>
      <c r="JJU210" s="211"/>
      <c r="JLL210" s="214"/>
      <c r="JLM210" s="211"/>
      <c r="JND210" s="214"/>
      <c r="JNE210" s="211"/>
      <c r="JOV210" s="214"/>
      <c r="JOW210" s="211"/>
      <c r="JQN210" s="214"/>
      <c r="JQO210" s="211"/>
      <c r="JSF210" s="214"/>
      <c r="JSG210" s="211"/>
      <c r="JTX210" s="214"/>
      <c r="JTY210" s="211"/>
      <c r="JVP210" s="214"/>
      <c r="JVQ210" s="211"/>
      <c r="JXH210" s="214"/>
      <c r="JXI210" s="211"/>
      <c r="JYZ210" s="214"/>
      <c r="JZA210" s="211"/>
      <c r="KAR210" s="214"/>
      <c r="KAS210" s="211"/>
      <c r="KCJ210" s="214"/>
      <c r="KCK210" s="211"/>
      <c r="KEB210" s="214"/>
      <c r="KEC210" s="211"/>
      <c r="KFT210" s="214"/>
      <c r="KFU210" s="211"/>
      <c r="KHL210" s="214"/>
      <c r="KHM210" s="211"/>
      <c r="KJD210" s="214"/>
      <c r="KJE210" s="211"/>
      <c r="KKV210" s="214"/>
      <c r="KKW210" s="211"/>
      <c r="KMN210" s="214"/>
      <c r="KMO210" s="211"/>
      <c r="KOF210" s="214"/>
      <c r="KOG210" s="211"/>
      <c r="KPX210" s="214"/>
      <c r="KPY210" s="211"/>
      <c r="KRP210" s="214"/>
      <c r="KRQ210" s="211"/>
      <c r="KTH210" s="214"/>
      <c r="KTI210" s="211"/>
      <c r="KUZ210" s="214"/>
      <c r="KVA210" s="211"/>
      <c r="KWR210" s="214"/>
      <c r="KWS210" s="211"/>
      <c r="KYJ210" s="214"/>
      <c r="KYK210" s="211"/>
      <c r="LAB210" s="214"/>
      <c r="LAC210" s="211"/>
      <c r="LBT210" s="214"/>
      <c r="LBU210" s="211"/>
      <c r="LDL210" s="214"/>
      <c r="LDM210" s="211"/>
      <c r="LFD210" s="214"/>
      <c r="LFE210" s="211"/>
      <c r="LGV210" s="214"/>
      <c r="LGW210" s="211"/>
      <c r="LIN210" s="214"/>
      <c r="LIO210" s="211"/>
      <c r="LKF210" s="214"/>
      <c r="LKG210" s="211"/>
      <c r="LLX210" s="214"/>
      <c r="LLY210" s="211"/>
      <c r="LNP210" s="214"/>
      <c r="LNQ210" s="211"/>
      <c r="LPH210" s="214"/>
      <c r="LPI210" s="211"/>
      <c r="LQZ210" s="214"/>
      <c r="LRA210" s="211"/>
      <c r="LSR210" s="214"/>
      <c r="LSS210" s="211"/>
      <c r="LUJ210" s="214"/>
      <c r="LUK210" s="211"/>
      <c r="LWB210" s="214"/>
      <c r="LWC210" s="211"/>
      <c r="LXT210" s="214"/>
      <c r="LXU210" s="211"/>
      <c r="LZL210" s="214"/>
      <c r="LZM210" s="211"/>
      <c r="MBD210" s="214"/>
      <c r="MBE210" s="211"/>
      <c r="MCV210" s="214"/>
      <c r="MCW210" s="211"/>
      <c r="MEN210" s="214"/>
      <c r="MEO210" s="211"/>
      <c r="MGF210" s="214"/>
      <c r="MGG210" s="211"/>
      <c r="MHX210" s="214"/>
      <c r="MHY210" s="211"/>
      <c r="MJP210" s="214"/>
      <c r="MJQ210" s="211"/>
      <c r="MLH210" s="214"/>
      <c r="MLI210" s="211"/>
      <c r="MMZ210" s="214"/>
      <c r="MNA210" s="211"/>
      <c r="MOR210" s="214"/>
      <c r="MOS210" s="211"/>
      <c r="MQJ210" s="214"/>
      <c r="MQK210" s="211"/>
      <c r="MSB210" s="214"/>
      <c r="MSC210" s="211"/>
      <c r="MTT210" s="214"/>
      <c r="MTU210" s="211"/>
      <c r="MVL210" s="214"/>
      <c r="MVM210" s="211"/>
      <c r="MXD210" s="214"/>
      <c r="MXE210" s="211"/>
      <c r="MYV210" s="214"/>
      <c r="MYW210" s="211"/>
      <c r="NAN210" s="214"/>
      <c r="NAO210" s="211"/>
      <c r="NCF210" s="214"/>
      <c r="NCG210" s="211"/>
      <c r="NDX210" s="214"/>
      <c r="NDY210" s="211"/>
      <c r="NFP210" s="214"/>
      <c r="NFQ210" s="211"/>
      <c r="NHH210" s="214"/>
      <c r="NHI210" s="211"/>
      <c r="NIZ210" s="214"/>
      <c r="NJA210" s="211"/>
      <c r="NKR210" s="214"/>
      <c r="NKS210" s="211"/>
      <c r="NMJ210" s="214"/>
      <c r="NMK210" s="211"/>
      <c r="NOB210" s="214"/>
      <c r="NOC210" s="211"/>
      <c r="NPT210" s="214"/>
      <c r="NPU210" s="211"/>
      <c r="NRL210" s="214"/>
      <c r="NRM210" s="211"/>
      <c r="NTD210" s="214"/>
      <c r="NTE210" s="211"/>
      <c r="NUV210" s="214"/>
      <c r="NUW210" s="211"/>
      <c r="NWN210" s="214"/>
      <c r="NWO210" s="211"/>
      <c r="NYF210" s="214"/>
      <c r="NYG210" s="211"/>
      <c r="NZX210" s="214"/>
      <c r="NZY210" s="211"/>
      <c r="OBP210" s="214"/>
      <c r="OBQ210" s="211"/>
      <c r="ODH210" s="214"/>
      <c r="ODI210" s="211"/>
      <c r="OEZ210" s="214"/>
      <c r="OFA210" s="211"/>
      <c r="OGR210" s="214"/>
      <c r="OGS210" s="211"/>
      <c r="OIJ210" s="214"/>
      <c r="OIK210" s="211"/>
      <c r="OKB210" s="214"/>
      <c r="OKC210" s="211"/>
      <c r="OLT210" s="214"/>
      <c r="OLU210" s="211"/>
      <c r="ONL210" s="214"/>
      <c r="ONM210" s="211"/>
      <c r="OPD210" s="214"/>
      <c r="OPE210" s="211"/>
      <c r="OQV210" s="214"/>
      <c r="OQW210" s="211"/>
      <c r="OSN210" s="214"/>
      <c r="OSO210" s="211"/>
      <c r="OUF210" s="214"/>
      <c r="OUG210" s="211"/>
      <c r="OVX210" s="214"/>
      <c r="OVY210" s="211"/>
      <c r="OXP210" s="214"/>
      <c r="OXQ210" s="211"/>
      <c r="OZH210" s="214"/>
      <c r="OZI210" s="211"/>
      <c r="PAZ210" s="214"/>
      <c r="PBA210" s="211"/>
      <c r="PCR210" s="214"/>
      <c r="PCS210" s="211"/>
      <c r="PEJ210" s="214"/>
      <c r="PEK210" s="211"/>
      <c r="PGB210" s="214"/>
      <c r="PGC210" s="211"/>
      <c r="PHT210" s="214"/>
      <c r="PHU210" s="211"/>
      <c r="PJL210" s="214"/>
      <c r="PJM210" s="211"/>
      <c r="PLD210" s="214"/>
      <c r="PLE210" s="211"/>
      <c r="PMV210" s="214"/>
      <c r="PMW210" s="211"/>
      <c r="PON210" s="214"/>
      <c r="POO210" s="211"/>
      <c r="PQF210" s="214"/>
      <c r="PQG210" s="211"/>
      <c r="PRX210" s="214"/>
      <c r="PRY210" s="211"/>
      <c r="PTP210" s="214"/>
      <c r="PTQ210" s="211"/>
      <c r="PVH210" s="214"/>
      <c r="PVI210" s="211"/>
      <c r="PWZ210" s="214"/>
      <c r="PXA210" s="211"/>
      <c r="PYR210" s="214"/>
      <c r="PYS210" s="211"/>
      <c r="QAJ210" s="214"/>
      <c r="QAK210" s="211"/>
      <c r="QCB210" s="214"/>
      <c r="QCC210" s="211"/>
      <c r="QDT210" s="214"/>
      <c r="QDU210" s="211"/>
      <c r="QFL210" s="214"/>
      <c r="QFM210" s="211"/>
      <c r="QHD210" s="214"/>
      <c r="QHE210" s="211"/>
      <c r="QIV210" s="214"/>
      <c r="QIW210" s="211"/>
      <c r="QKN210" s="214"/>
      <c r="QKO210" s="211"/>
      <c r="QMF210" s="214"/>
      <c r="QMG210" s="211"/>
      <c r="QNX210" s="214"/>
      <c r="QNY210" s="211"/>
      <c r="QPP210" s="214"/>
      <c r="QPQ210" s="211"/>
      <c r="QRH210" s="214"/>
      <c r="QRI210" s="211"/>
      <c r="QSZ210" s="214"/>
      <c r="QTA210" s="211"/>
      <c r="QUR210" s="214"/>
      <c r="QUS210" s="211"/>
      <c r="QWJ210" s="214"/>
      <c r="QWK210" s="211"/>
      <c r="QYB210" s="214"/>
      <c r="QYC210" s="211"/>
      <c r="QZT210" s="214"/>
      <c r="QZU210" s="211"/>
      <c r="RBL210" s="214"/>
      <c r="RBM210" s="211"/>
      <c r="RDD210" s="214"/>
      <c r="RDE210" s="211"/>
      <c r="REV210" s="214"/>
      <c r="REW210" s="211"/>
      <c r="RGN210" s="214"/>
      <c r="RGO210" s="211"/>
      <c r="RIF210" s="214"/>
      <c r="RIG210" s="211"/>
      <c r="RJX210" s="214"/>
      <c r="RJY210" s="211"/>
      <c r="RLP210" s="214"/>
      <c r="RLQ210" s="211"/>
      <c r="RNH210" s="214"/>
      <c r="RNI210" s="211"/>
      <c r="ROZ210" s="214"/>
      <c r="RPA210" s="211"/>
      <c r="RQR210" s="214"/>
      <c r="RQS210" s="211"/>
      <c r="RSJ210" s="214"/>
      <c r="RSK210" s="211"/>
      <c r="RUB210" s="214"/>
      <c r="RUC210" s="211"/>
      <c r="RVT210" s="214"/>
      <c r="RVU210" s="211"/>
      <c r="RXL210" s="214"/>
      <c r="RXM210" s="211"/>
      <c r="RZD210" s="214"/>
      <c r="RZE210" s="211"/>
      <c r="SAV210" s="214"/>
      <c r="SAW210" s="211"/>
      <c r="SCN210" s="214"/>
      <c r="SCO210" s="211"/>
      <c r="SEF210" s="214"/>
      <c r="SEG210" s="211"/>
      <c r="SFX210" s="214"/>
      <c r="SFY210" s="211"/>
      <c r="SHP210" s="214"/>
      <c r="SHQ210" s="211"/>
      <c r="SJH210" s="214"/>
      <c r="SJI210" s="211"/>
      <c r="SKZ210" s="214"/>
      <c r="SLA210" s="211"/>
      <c r="SMR210" s="214"/>
      <c r="SMS210" s="211"/>
      <c r="SOJ210" s="214"/>
      <c r="SOK210" s="211"/>
      <c r="SQB210" s="214"/>
      <c r="SQC210" s="211"/>
      <c r="SRT210" s="214"/>
      <c r="SRU210" s="211"/>
      <c r="STL210" s="214"/>
      <c r="STM210" s="211"/>
      <c r="SVD210" s="214"/>
      <c r="SVE210" s="211"/>
      <c r="SWV210" s="214"/>
      <c r="SWW210" s="211"/>
      <c r="SYN210" s="214"/>
      <c r="SYO210" s="211"/>
      <c r="TAF210" s="214"/>
      <c r="TAG210" s="211"/>
      <c r="TBX210" s="214"/>
      <c r="TBY210" s="211"/>
      <c r="TDP210" s="214"/>
      <c r="TDQ210" s="211"/>
      <c r="TFH210" s="214"/>
      <c r="TFI210" s="211"/>
      <c r="TGZ210" s="214"/>
      <c r="THA210" s="211"/>
      <c r="TIR210" s="214"/>
      <c r="TIS210" s="211"/>
      <c r="TKJ210" s="214"/>
      <c r="TKK210" s="211"/>
      <c r="TMB210" s="214"/>
      <c r="TMC210" s="211"/>
      <c r="TNT210" s="214"/>
      <c r="TNU210" s="211"/>
      <c r="TPL210" s="214"/>
      <c r="TPM210" s="211"/>
      <c r="TRD210" s="214"/>
      <c r="TRE210" s="211"/>
      <c r="TSV210" s="214"/>
      <c r="TSW210" s="211"/>
      <c r="TUN210" s="214"/>
      <c r="TUO210" s="211"/>
      <c r="TWF210" s="214"/>
      <c r="TWG210" s="211"/>
      <c r="TXX210" s="214"/>
      <c r="TXY210" s="211"/>
      <c r="TZP210" s="214"/>
      <c r="TZQ210" s="211"/>
      <c r="UBH210" s="214"/>
      <c r="UBI210" s="211"/>
      <c r="UCZ210" s="214"/>
      <c r="UDA210" s="211"/>
      <c r="UER210" s="214"/>
      <c r="UES210" s="211"/>
      <c r="UGJ210" s="214"/>
      <c r="UGK210" s="211"/>
      <c r="UIB210" s="214"/>
      <c r="UIC210" s="211"/>
      <c r="UJT210" s="214"/>
      <c r="UJU210" s="211"/>
      <c r="ULL210" s="214"/>
      <c r="ULM210" s="211"/>
      <c r="UND210" s="214"/>
      <c r="UNE210" s="211"/>
      <c r="UOV210" s="214"/>
      <c r="UOW210" s="211"/>
      <c r="UQN210" s="214"/>
      <c r="UQO210" s="211"/>
      <c r="USF210" s="214"/>
      <c r="USG210" s="211"/>
      <c r="UTX210" s="214"/>
      <c r="UTY210" s="211"/>
      <c r="UVP210" s="214"/>
      <c r="UVQ210" s="211"/>
      <c r="UXH210" s="214"/>
      <c r="UXI210" s="211"/>
      <c r="UYZ210" s="214"/>
      <c r="UZA210" s="211"/>
      <c r="VAR210" s="214"/>
      <c r="VAS210" s="211"/>
      <c r="VCJ210" s="214"/>
      <c r="VCK210" s="211"/>
      <c r="VEB210" s="214"/>
      <c r="VEC210" s="211"/>
      <c r="VFT210" s="214"/>
      <c r="VFU210" s="211"/>
      <c r="VHL210" s="214"/>
      <c r="VHM210" s="211"/>
      <c r="VJD210" s="214"/>
      <c r="VJE210" s="211"/>
      <c r="VKV210" s="214"/>
      <c r="VKW210" s="211"/>
      <c r="VMN210" s="214"/>
      <c r="VMO210" s="211"/>
      <c r="VOF210" s="214"/>
      <c r="VOG210" s="211"/>
      <c r="VPX210" s="214"/>
      <c r="VPY210" s="211"/>
      <c r="VRP210" s="214"/>
      <c r="VRQ210" s="211"/>
      <c r="VTH210" s="214"/>
      <c r="VTI210" s="211"/>
      <c r="VUZ210" s="214"/>
      <c r="VVA210" s="211"/>
      <c r="VWR210" s="214"/>
      <c r="VWS210" s="211"/>
      <c r="VYJ210" s="214"/>
      <c r="VYK210" s="211"/>
      <c r="WAB210" s="214"/>
      <c r="WAC210" s="211"/>
      <c r="WBT210" s="214"/>
      <c r="WBU210" s="211"/>
      <c r="WDL210" s="214"/>
      <c r="WDM210" s="211"/>
      <c r="WFD210" s="214"/>
      <c r="WFE210" s="211"/>
      <c r="WGV210" s="214"/>
      <c r="WGW210" s="211"/>
      <c r="WIN210" s="214"/>
      <c r="WIO210" s="211"/>
      <c r="WKF210" s="214"/>
      <c r="WKG210" s="211"/>
      <c r="WLX210" s="214"/>
      <c r="WLY210" s="211"/>
      <c r="WNP210" s="214"/>
      <c r="WNQ210" s="211"/>
      <c r="WPH210" s="214"/>
      <c r="WPI210" s="211"/>
      <c r="WQZ210" s="214"/>
      <c r="WRA210" s="211"/>
      <c r="WSR210" s="214"/>
      <c r="WSS210" s="211"/>
      <c r="WUJ210" s="214"/>
      <c r="WUK210" s="211"/>
      <c r="WWB210" s="214"/>
      <c r="WWC210" s="211"/>
      <c r="WXT210" s="214"/>
      <c r="WXU210" s="211"/>
      <c r="WZL210" s="214"/>
      <c r="WZM210" s="211"/>
      <c r="XBD210" s="214"/>
      <c r="XBE210" s="211"/>
      <c r="XCV210" s="214"/>
      <c r="XCW210" s="211"/>
      <c r="XEN210" s="214"/>
      <c r="XEO210" s="211"/>
    </row>
    <row r="211" spans="1:1013 1056:2025 2068:3037 3080:4093 4136:5105 5148:6117 6160:7129 7172:8185 8228:9197 9240:10209 10252:12277 12320:13289 13332:14301 14344:15357 15400:16369" x14ac:dyDescent="0.7">
      <c r="A211" s="137" t="s">
        <v>187</v>
      </c>
      <c r="B211" s="138">
        <v>99</v>
      </c>
      <c r="C211" s="123">
        <v>2167</v>
      </c>
      <c r="D211" s="17">
        <v>0</v>
      </c>
      <c r="E211" s="14">
        <v>3</v>
      </c>
      <c r="F211" s="14">
        <v>0</v>
      </c>
      <c r="G211" s="13">
        <f>0</f>
        <v>0</v>
      </c>
      <c r="H211" s="14">
        <v>15</v>
      </c>
      <c r="I211" s="23">
        <f>0</f>
        <v>0</v>
      </c>
      <c r="J211" s="13">
        <v>1.1000000000000001</v>
      </c>
      <c r="K211" s="14">
        <v>2</v>
      </c>
      <c r="L211" s="15">
        <v>1.7</v>
      </c>
      <c r="M211" s="13"/>
      <c r="N211" s="17"/>
      <c r="O211" s="15">
        <f>ROUND(C211*H211/1000,0)</f>
        <v>33</v>
      </c>
      <c r="P211" s="14">
        <f>ROUND(C211*H211/1000,0)</f>
        <v>33</v>
      </c>
      <c r="Q211" s="14">
        <f t="shared" ref="Q211" si="222">ROUND(C211*H211/1000,0)</f>
        <v>33</v>
      </c>
      <c r="R211" s="14"/>
      <c r="S211" s="14"/>
      <c r="T211" s="18"/>
      <c r="U211" s="13"/>
      <c r="V211" s="17"/>
      <c r="W211" s="13">
        <f>ROUND(C211*K211,0)</f>
        <v>4334</v>
      </c>
      <c r="X211" s="14">
        <f>ROUND(C211*K211,0)</f>
        <v>4334</v>
      </c>
      <c r="Y211" s="14">
        <f>ROUND(C211*K211,0)</f>
        <v>4334</v>
      </c>
      <c r="Z211" s="13"/>
      <c r="AA211" s="13"/>
      <c r="AB211" s="71"/>
      <c r="AC211" s="17"/>
      <c r="AD211" s="17"/>
      <c r="AE211" s="13">
        <f>ROUND(O211*95,0)</f>
        <v>3135</v>
      </c>
      <c r="AF211" s="14">
        <f t="shared" ref="AF211:AF212" si="223">ROUND(P211*95,0)</f>
        <v>3135</v>
      </c>
      <c r="AG211" s="14">
        <f t="shared" ref="AG211:AG212" si="224">ROUND(Q211*95,0)</f>
        <v>3135</v>
      </c>
      <c r="AH211" s="13"/>
      <c r="AI211" s="13"/>
      <c r="AJ211" s="71"/>
      <c r="AK211" s="100"/>
      <c r="AL211" s="14"/>
      <c r="AM211" s="14">
        <f>W211+AE211</f>
        <v>7469</v>
      </c>
      <c r="AN211" s="14">
        <f>X211+AF211</f>
        <v>7469</v>
      </c>
      <c r="AO211" s="14">
        <f>Y211+AG211</f>
        <v>7469</v>
      </c>
      <c r="AP211" s="14"/>
      <c r="AQ211" s="14"/>
      <c r="AR211" s="14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  <c r="BV211" s="56"/>
      <c r="BW211" s="56"/>
      <c r="BX211" s="56"/>
      <c r="BY211" s="56"/>
      <c r="BZ211" s="56"/>
      <c r="CA211" s="56"/>
      <c r="CB211" s="56"/>
      <c r="CC211" s="56"/>
      <c r="CD211" s="56"/>
      <c r="CE211" s="56"/>
      <c r="CF211" s="56"/>
      <c r="CG211" s="56"/>
      <c r="CH211" s="56"/>
      <c r="CI211" s="56"/>
      <c r="CJ211" s="56"/>
      <c r="CK211" s="56"/>
      <c r="CL211" s="56"/>
      <c r="CM211" s="56"/>
      <c r="CN211" s="56"/>
      <c r="CO211" s="56"/>
      <c r="CP211" s="56"/>
      <c r="CQ211" s="56"/>
      <c r="CR211" s="56"/>
      <c r="CS211" s="56"/>
      <c r="CT211" s="56"/>
      <c r="CU211" s="56"/>
      <c r="CV211" s="56"/>
      <c r="CW211" s="56"/>
      <c r="CX211" s="56"/>
      <c r="CY211" s="56"/>
      <c r="CZ211" s="56"/>
      <c r="DA211" s="56"/>
      <c r="DB211" s="56"/>
      <c r="DC211" s="56"/>
      <c r="DD211" s="56"/>
      <c r="DE211" s="56"/>
      <c r="DF211" s="56"/>
      <c r="DG211" s="56"/>
      <c r="DH211" s="56"/>
      <c r="DI211" s="56"/>
      <c r="DJ211" s="56"/>
      <c r="DK211" s="56"/>
      <c r="DL211" s="56"/>
      <c r="DM211" s="56"/>
      <c r="DN211" s="56"/>
      <c r="DO211" s="56"/>
      <c r="DP211" s="56"/>
      <c r="DQ211" s="56"/>
      <c r="DR211" s="56"/>
      <c r="DS211" s="56"/>
      <c r="DT211" s="56"/>
      <c r="DU211" s="56"/>
      <c r="DV211" s="56"/>
      <c r="DW211" s="56"/>
      <c r="DX211" s="56"/>
      <c r="DY211" s="56"/>
      <c r="DZ211" s="56"/>
      <c r="EA211" s="56"/>
      <c r="EB211" s="56"/>
      <c r="EC211" s="56"/>
      <c r="ED211" s="56"/>
      <c r="EE211" s="56"/>
      <c r="EF211" s="56"/>
      <c r="EG211" s="56"/>
      <c r="EH211" s="56"/>
      <c r="EI211" s="56"/>
      <c r="EJ211" s="56"/>
      <c r="EK211" s="56"/>
    </row>
    <row r="212" spans="1:1013 1056:2025 2068:3037 3080:4093 4136:5105 5148:6117 6160:7129 7172:8185 8228:9197 9240:10209 10252:12277 12320:13289 13332:14301 14344:15357 15400:16369" ht="25.2" thickBot="1" x14ac:dyDescent="0.75">
      <c r="A212" s="137" t="s">
        <v>189</v>
      </c>
      <c r="B212" s="138">
        <v>105</v>
      </c>
      <c r="C212" s="123">
        <v>2320</v>
      </c>
      <c r="D212" s="17">
        <v>0</v>
      </c>
      <c r="E212" s="14">
        <v>3</v>
      </c>
      <c r="F212" s="14">
        <v>0</v>
      </c>
      <c r="G212" s="13">
        <f>0</f>
        <v>0</v>
      </c>
      <c r="H212" s="14">
        <v>15</v>
      </c>
      <c r="I212" s="23">
        <f>0</f>
        <v>0</v>
      </c>
      <c r="J212" s="13">
        <v>1.1000000000000001</v>
      </c>
      <c r="K212" s="14">
        <v>2</v>
      </c>
      <c r="L212" s="15">
        <v>1.7</v>
      </c>
      <c r="M212" s="13"/>
      <c r="N212" s="17"/>
      <c r="O212" s="15">
        <f>ROUND(C212*H212/1000,0)</f>
        <v>35</v>
      </c>
      <c r="P212" s="14">
        <f t="shared" ref="P212" si="225">ROUND(C212*H212/1000,0)</f>
        <v>35</v>
      </c>
      <c r="Q212" s="14">
        <f>ROUND(C212*H212/1000,0)</f>
        <v>35</v>
      </c>
      <c r="R212" s="14"/>
      <c r="S212" s="14"/>
      <c r="T212" s="18"/>
      <c r="U212" s="13"/>
      <c r="V212" s="17"/>
      <c r="W212" s="13">
        <f>ROUND(C212*K212,0)</f>
        <v>4640</v>
      </c>
      <c r="X212" s="14">
        <f>ROUND(C212*K212,0)</f>
        <v>4640</v>
      </c>
      <c r="Y212" s="14">
        <f>ROUND(C212*K212,0)</f>
        <v>4640</v>
      </c>
      <c r="Z212" s="13"/>
      <c r="AA212" s="13"/>
      <c r="AB212" s="71"/>
      <c r="AC212" s="17"/>
      <c r="AD212" s="17"/>
      <c r="AE212" s="13">
        <f>ROUND(O212*95,0)</f>
        <v>3325</v>
      </c>
      <c r="AF212" s="14">
        <f t="shared" si="223"/>
        <v>3325</v>
      </c>
      <c r="AG212" s="14">
        <f t="shared" si="224"/>
        <v>3325</v>
      </c>
      <c r="AH212" s="13"/>
      <c r="AI212" s="13"/>
      <c r="AJ212" s="71"/>
      <c r="AK212" s="100"/>
      <c r="AL212" s="14"/>
      <c r="AM212" s="14">
        <f t="shared" ref="AM212" si="226">W212+AE212</f>
        <v>7965</v>
      </c>
      <c r="AN212" s="14">
        <f t="shared" ref="AN212" si="227">X212+AF212</f>
        <v>7965</v>
      </c>
      <c r="AO212" s="14">
        <f t="shared" ref="AO212" si="228">Y212+AG212</f>
        <v>7965</v>
      </c>
      <c r="AP212" s="14"/>
      <c r="AQ212" s="14"/>
      <c r="AR212" s="14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  <c r="BV212" s="56"/>
      <c r="BW212" s="56"/>
      <c r="BX212" s="56"/>
      <c r="BY212" s="56"/>
      <c r="BZ212" s="56"/>
      <c r="CA212" s="56"/>
      <c r="CB212" s="56"/>
      <c r="CC212" s="56"/>
      <c r="CD212" s="56"/>
      <c r="CE212" s="56"/>
      <c r="CF212" s="56"/>
      <c r="CG212" s="56"/>
      <c r="CH212" s="56"/>
      <c r="CI212" s="56"/>
      <c r="CJ212" s="56"/>
      <c r="CK212" s="56"/>
      <c r="CL212" s="56"/>
      <c r="CM212" s="56"/>
      <c r="CN212" s="56"/>
      <c r="CO212" s="56"/>
      <c r="CP212" s="56"/>
      <c r="CQ212" s="56"/>
      <c r="CR212" s="56"/>
      <c r="CS212" s="56"/>
      <c r="CT212" s="56"/>
      <c r="CU212" s="56"/>
      <c r="CV212" s="56"/>
      <c r="CW212" s="56"/>
      <c r="CX212" s="56"/>
      <c r="CY212" s="56"/>
      <c r="CZ212" s="56"/>
      <c r="DA212" s="56"/>
      <c r="DB212" s="56"/>
      <c r="DC212" s="56"/>
      <c r="DD212" s="56"/>
      <c r="DE212" s="56"/>
      <c r="DF212" s="56"/>
      <c r="DG212" s="56"/>
      <c r="DH212" s="56"/>
      <c r="DI212" s="56"/>
      <c r="DJ212" s="56"/>
      <c r="DK212" s="56"/>
      <c r="DL212" s="56"/>
      <c r="DM212" s="56"/>
      <c r="DN212" s="56"/>
      <c r="DO212" s="56"/>
      <c r="DP212" s="56"/>
      <c r="DQ212" s="56"/>
      <c r="DR212" s="56"/>
      <c r="DS212" s="56"/>
      <c r="DT212" s="56"/>
      <c r="DU212" s="56"/>
      <c r="DV212" s="56"/>
      <c r="DW212" s="56"/>
      <c r="DX212" s="56"/>
      <c r="DY212" s="56"/>
      <c r="DZ212" s="56"/>
      <c r="EA212" s="56"/>
      <c r="EB212" s="56"/>
      <c r="EC212" s="56"/>
      <c r="ED212" s="56"/>
      <c r="EE212" s="56"/>
      <c r="EF212" s="56"/>
      <c r="EG212" s="56"/>
      <c r="EH212" s="56"/>
      <c r="EI212" s="56"/>
      <c r="EJ212" s="56"/>
      <c r="EK212" s="56"/>
    </row>
    <row r="213" spans="1:1013 1056:2025 2068:3037 3080:4093 4136:5105 5148:6117 6160:7129 7172:8185 8228:9197 9240:10209 10252:12277 12320:13289 13332:14301 14344:15357 15400:16369" ht="25.2" thickBot="1" x14ac:dyDescent="0.75">
      <c r="A213" s="884" t="s">
        <v>188</v>
      </c>
      <c r="B213" s="886">
        <f>SUM(B211:B212)</f>
        <v>204</v>
      </c>
      <c r="C213" s="886">
        <f>SUM(C211:C212)</f>
        <v>4487</v>
      </c>
      <c r="D213" s="888"/>
      <c r="E213" s="889"/>
      <c r="F213" s="889"/>
      <c r="G213" s="889"/>
      <c r="H213" s="889"/>
      <c r="I213" s="889"/>
      <c r="J213" s="889"/>
      <c r="K213" s="889"/>
      <c r="L213" s="890"/>
      <c r="M213" s="158">
        <f>SUM(M210:M211)</f>
        <v>0</v>
      </c>
      <c r="N213" s="158">
        <f>SUM(N210:N211)</f>
        <v>0</v>
      </c>
      <c r="O213" s="160">
        <f>SUM(O211:O212)</f>
        <v>68</v>
      </c>
      <c r="P213" s="160">
        <f>SUM(P211:P212)</f>
        <v>68</v>
      </c>
      <c r="Q213" s="160">
        <f>SUM(Q211:Q212)</f>
        <v>68</v>
      </c>
      <c r="R213" s="161">
        <f>SUM(R210:R211)</f>
        <v>0</v>
      </c>
      <c r="S213" s="161">
        <f>SUM(S210:S211)</f>
        <v>0</v>
      </c>
      <c r="T213" s="163">
        <f>SUM(T210:T211)</f>
        <v>0</v>
      </c>
      <c r="U213" s="158">
        <f>SUM(U210:U211)</f>
        <v>0</v>
      </c>
      <c r="V213" s="188">
        <f>0</f>
        <v>0</v>
      </c>
      <c r="W213" s="157">
        <f>SUM(W211:W212)</f>
        <v>8974</v>
      </c>
      <c r="X213" s="157">
        <f>SUM(X211:X212)</f>
        <v>8974</v>
      </c>
      <c r="Y213" s="157">
        <f>SUM(Y211:Y212)</f>
        <v>8974</v>
      </c>
      <c r="Z213" s="164" t="s">
        <v>164</v>
      </c>
      <c r="AA213" s="164"/>
      <c r="AB213" s="164"/>
      <c r="AC213" s="157">
        <f>SUM(AC210:AC211)</f>
        <v>0</v>
      </c>
      <c r="AD213" s="157">
        <f>SUM(AD210:AD211)</f>
        <v>0</v>
      </c>
      <c r="AE213" s="166">
        <f>SUM(AE211:AE212)</f>
        <v>6460</v>
      </c>
      <c r="AF213" s="166">
        <f>SUM(AF211:AF212)</f>
        <v>6460</v>
      </c>
      <c r="AG213" s="166">
        <f>SUM(AG211:AG212)</f>
        <v>6460</v>
      </c>
      <c r="AH213" s="175">
        <f>0</f>
        <v>0</v>
      </c>
      <c r="AI213" s="175">
        <f>0</f>
        <v>0</v>
      </c>
      <c r="AJ213" s="175">
        <f>0</f>
        <v>0</v>
      </c>
      <c r="AK213" s="165">
        <f>SUM(AK211:AK211)</f>
        <v>0</v>
      </c>
      <c r="AL213" s="165">
        <f>0</f>
        <v>0</v>
      </c>
      <c r="AM213" s="166">
        <f>SUM(AM211:AM212)</f>
        <v>15434</v>
      </c>
      <c r="AN213" s="166">
        <f>SUM(AN211:AN212)</f>
        <v>15434</v>
      </c>
      <c r="AO213" s="166">
        <f>SUM(AO211:AO212)</f>
        <v>15434</v>
      </c>
      <c r="AP213" s="175"/>
      <c r="AQ213" s="164"/>
      <c r="AR213" s="167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1013 1056:2025 2068:3037 3080:4093 4136:5105 5148:6117 6160:7129 7172:8185 8228:9197 9240:10209 10252:12277 12320:13289 13332:14301 14344:15357 15400:16369" ht="25.2" thickBot="1" x14ac:dyDescent="0.75">
      <c r="A214" s="885"/>
      <c r="B214" s="887"/>
      <c r="C214" s="887"/>
      <c r="D214" s="891"/>
      <c r="E214" s="892"/>
      <c r="F214" s="892"/>
      <c r="G214" s="892"/>
      <c r="H214" s="892"/>
      <c r="I214" s="892"/>
      <c r="J214" s="892"/>
      <c r="K214" s="892"/>
      <c r="L214" s="893"/>
      <c r="M214" s="894">
        <f>M213+N213</f>
        <v>0</v>
      </c>
      <c r="N214" s="895">
        <f>M213+N213</f>
        <v>0</v>
      </c>
      <c r="O214" s="896">
        <f>+O213+P213+Q213</f>
        <v>204</v>
      </c>
      <c r="P214" s="897"/>
      <c r="Q214" s="898"/>
      <c r="R214" s="899">
        <f>+R213+S213+T213</f>
        <v>0</v>
      </c>
      <c r="S214" s="900"/>
      <c r="T214" s="901"/>
      <c r="U214" s="902">
        <f>0</f>
        <v>0</v>
      </c>
      <c r="V214" s="903"/>
      <c r="W214" s="904">
        <f>W213+X213+Y213</f>
        <v>26922</v>
      </c>
      <c r="X214" s="905"/>
      <c r="Y214" s="906"/>
      <c r="Z214" s="907">
        <f>0</f>
        <v>0</v>
      </c>
      <c r="AA214" s="908"/>
      <c r="AB214" s="909"/>
      <c r="AC214" s="910">
        <f>AC213+AD213</f>
        <v>0</v>
      </c>
      <c r="AD214" s="911">
        <f t="shared" ref="AD214" si="229">ROUND(N214*960,0)</f>
        <v>0</v>
      </c>
      <c r="AE214" s="912">
        <f>AE213+AF213+AG213</f>
        <v>19380</v>
      </c>
      <c r="AF214" s="913"/>
      <c r="AG214" s="914"/>
      <c r="AH214" s="915">
        <f>AH213+AI213+AJ213</f>
        <v>0</v>
      </c>
      <c r="AI214" s="916"/>
      <c r="AJ214" s="917"/>
      <c r="AK214" s="918">
        <f>AK213+AL213</f>
        <v>0</v>
      </c>
      <c r="AL214" s="919">
        <f t="shared" ref="AL214" si="230">V214+AD214</f>
        <v>0</v>
      </c>
      <c r="AM214" s="912">
        <f>AM213+AN213+AO213</f>
        <v>46302</v>
      </c>
      <c r="AN214" s="913"/>
      <c r="AO214" s="914"/>
      <c r="AP214" s="920">
        <f>AP213+AQ213+AR213</f>
        <v>0</v>
      </c>
      <c r="AQ214" s="921"/>
      <c r="AR214" s="922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1013 1056:2025 2068:3037 3080:4093 4136:5105 5148:6117 6160:7129 7172:8185 8228:9197 9240:10209 10252:12277 12320:13289 13332:14301 14344:15357 15400:16369" ht="25.2" thickBot="1" x14ac:dyDescent="0.75">
      <c r="A215" s="137" t="s">
        <v>190</v>
      </c>
      <c r="B215" s="138">
        <v>130</v>
      </c>
      <c r="C215" s="123">
        <v>2865</v>
      </c>
      <c r="D215" s="17">
        <v>0</v>
      </c>
      <c r="E215" s="14">
        <v>3</v>
      </c>
      <c r="F215" s="14">
        <v>0</v>
      </c>
      <c r="G215" s="13">
        <f>0</f>
        <v>0</v>
      </c>
      <c r="H215" s="14">
        <v>15</v>
      </c>
      <c r="I215" s="23">
        <f>0</f>
        <v>0</v>
      </c>
      <c r="J215" s="13">
        <v>1.1000000000000001</v>
      </c>
      <c r="K215" s="14">
        <v>2</v>
      </c>
      <c r="L215" s="15">
        <v>1.7</v>
      </c>
      <c r="M215" s="13"/>
      <c r="N215" s="17"/>
      <c r="O215" s="15">
        <f>ROUND(C215*H215/1000,0)</f>
        <v>43</v>
      </c>
      <c r="P215" s="14">
        <f>ROUND(C215*H215/1000,0)</f>
        <v>43</v>
      </c>
      <c r="Q215" s="14">
        <f>ROUND(C215*H215/1000,0)</f>
        <v>43</v>
      </c>
      <c r="R215" s="14"/>
      <c r="S215" s="14"/>
      <c r="T215" s="18"/>
      <c r="U215" s="13"/>
      <c r="V215" s="17"/>
      <c r="W215" s="13">
        <f>ROUND(C215*K215,0)</f>
        <v>5730</v>
      </c>
      <c r="X215" s="14">
        <f>ROUND(C215*K215,0)</f>
        <v>5730</v>
      </c>
      <c r="Y215" s="14">
        <f>ROUND(C215*K215,0)</f>
        <v>5730</v>
      </c>
      <c r="Z215" s="13"/>
      <c r="AA215" s="13"/>
      <c r="AB215" s="71"/>
      <c r="AC215" s="17"/>
      <c r="AD215" s="17"/>
      <c r="AE215" s="13">
        <f>ROUND(O215*95,0)</f>
        <v>4085</v>
      </c>
      <c r="AF215" s="14">
        <f t="shared" ref="AF215" si="231">ROUND(P215*95,0)</f>
        <v>4085</v>
      </c>
      <c r="AG215" s="14">
        <f t="shared" ref="AG215" si="232">ROUND(Q215*95,0)</f>
        <v>4085</v>
      </c>
      <c r="AH215" s="13"/>
      <c r="AI215" s="13"/>
      <c r="AJ215" s="71"/>
      <c r="AK215" s="100"/>
      <c r="AL215" s="14"/>
      <c r="AM215" s="14">
        <f>W215+AE215</f>
        <v>9815</v>
      </c>
      <c r="AN215" s="14">
        <f t="shared" ref="AN215" si="233">X215+AF215</f>
        <v>9815</v>
      </c>
      <c r="AO215" s="14">
        <f t="shared" ref="AO215" si="234">Y215+AG215</f>
        <v>9815</v>
      </c>
      <c r="AP215" s="14"/>
      <c r="AQ215" s="14"/>
      <c r="AR215" s="14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  <c r="BV215" s="56"/>
      <c r="BW215" s="56"/>
      <c r="BX215" s="56"/>
      <c r="BY215" s="56"/>
      <c r="BZ215" s="56"/>
      <c r="CA215" s="56"/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  <c r="CL215" s="56"/>
      <c r="CM215" s="56"/>
      <c r="CN215" s="56"/>
      <c r="CO215" s="56"/>
      <c r="CP215" s="56"/>
      <c r="CQ215" s="56"/>
      <c r="CR215" s="56"/>
      <c r="CS215" s="56"/>
      <c r="CT215" s="56"/>
      <c r="CU215" s="56"/>
      <c r="CV215" s="56"/>
      <c r="CW215" s="56"/>
      <c r="CX215" s="56"/>
      <c r="CY215" s="56"/>
      <c r="CZ215" s="56"/>
      <c r="DA215" s="56"/>
      <c r="DB215" s="56"/>
      <c r="DC215" s="56"/>
      <c r="DD215" s="56"/>
      <c r="DE215" s="56"/>
      <c r="DF215" s="56"/>
      <c r="DG215" s="56"/>
      <c r="DH215" s="56"/>
      <c r="DI215" s="56"/>
      <c r="DJ215" s="56"/>
      <c r="DK215" s="56"/>
      <c r="DL215" s="56"/>
      <c r="DM215" s="56"/>
      <c r="DN215" s="56"/>
      <c r="DO215" s="56"/>
      <c r="DP215" s="56"/>
      <c r="DQ215" s="56"/>
      <c r="DR215" s="56"/>
      <c r="DS215" s="56"/>
      <c r="DT215" s="56"/>
      <c r="DU215" s="56"/>
      <c r="DV215" s="56"/>
      <c r="DW215" s="56"/>
      <c r="DX215" s="56"/>
      <c r="DY215" s="56"/>
      <c r="DZ215" s="56"/>
      <c r="EA215" s="56"/>
      <c r="EB215" s="56"/>
      <c r="EC215" s="56"/>
      <c r="ED215" s="56"/>
      <c r="EE215" s="56"/>
      <c r="EF215" s="56"/>
      <c r="EG215" s="56"/>
      <c r="EH215" s="56"/>
      <c r="EI215" s="56"/>
      <c r="EJ215" s="56"/>
      <c r="EK215" s="56"/>
    </row>
    <row r="216" spans="1:1013 1056:2025 2068:3037 3080:4093 4136:5105 5148:6117 6160:7129 7172:8185 8228:9197 9240:10209 10252:12277 12320:13289 13332:14301 14344:15357 15400:16369" ht="25.2" thickBot="1" x14ac:dyDescent="0.75">
      <c r="A216" s="884" t="s">
        <v>191</v>
      </c>
      <c r="B216" s="886">
        <f>SUM(B215:B215)</f>
        <v>130</v>
      </c>
      <c r="C216" s="886">
        <f>SUM(C215:C215)</f>
        <v>2865</v>
      </c>
      <c r="D216" s="888"/>
      <c r="E216" s="889"/>
      <c r="F216" s="889"/>
      <c r="G216" s="889"/>
      <c r="H216" s="889"/>
      <c r="I216" s="889"/>
      <c r="J216" s="889"/>
      <c r="K216" s="889"/>
      <c r="L216" s="890"/>
      <c r="M216" s="158">
        <f>SUM(M214:M214)</f>
        <v>0</v>
      </c>
      <c r="N216" s="158">
        <f>SUM(N214:N214)</f>
        <v>0</v>
      </c>
      <c r="O216" s="160">
        <f>SUM(O215:O215)</f>
        <v>43</v>
      </c>
      <c r="P216" s="160">
        <f>SUM(P215:P215)</f>
        <v>43</v>
      </c>
      <c r="Q216" s="160">
        <f>SUM(Q215:Q215)</f>
        <v>43</v>
      </c>
      <c r="R216" s="161">
        <f>SUM(R214:R214)</f>
        <v>0</v>
      </c>
      <c r="S216" s="161">
        <f>SUM(S214:S214)</f>
        <v>0</v>
      </c>
      <c r="T216" s="163">
        <f>SUM(T214:T214)</f>
        <v>0</v>
      </c>
      <c r="U216" s="158">
        <f>SUM(U214:U214)</f>
        <v>0</v>
      </c>
      <c r="V216" s="188">
        <f>0</f>
        <v>0</v>
      </c>
      <c r="W216" s="157">
        <f>SUM(W215:W215)</f>
        <v>5730</v>
      </c>
      <c r="X216" s="157">
        <f>SUM(X215:X215)</f>
        <v>5730</v>
      </c>
      <c r="Y216" s="157">
        <f>SUM(Y215:Y215)</f>
        <v>5730</v>
      </c>
      <c r="Z216" s="164" t="s">
        <v>164</v>
      </c>
      <c r="AA216" s="164"/>
      <c r="AB216" s="164"/>
      <c r="AC216" s="157">
        <f>SUM(AC214:AC214)</f>
        <v>0</v>
      </c>
      <c r="AD216" s="157">
        <f>SUM(AD214:AD214)</f>
        <v>0</v>
      </c>
      <c r="AE216" s="166">
        <f>SUM(AE215:AE215)</f>
        <v>4085</v>
      </c>
      <c r="AF216" s="166">
        <f>SUM(AF215:AF215)</f>
        <v>4085</v>
      </c>
      <c r="AG216" s="166">
        <f>SUM(AG215:AG215)</f>
        <v>4085</v>
      </c>
      <c r="AH216" s="175">
        <f>0</f>
        <v>0</v>
      </c>
      <c r="AI216" s="175">
        <f>0</f>
        <v>0</v>
      </c>
      <c r="AJ216" s="175">
        <f>0</f>
        <v>0</v>
      </c>
      <c r="AK216" s="165">
        <f>0</f>
        <v>0</v>
      </c>
      <c r="AL216" s="165">
        <f>0</f>
        <v>0</v>
      </c>
      <c r="AM216" s="166">
        <f>SUM(AM215:AM215)</f>
        <v>9815</v>
      </c>
      <c r="AN216" s="166">
        <f>SUM(AN215:AN215)</f>
        <v>9815</v>
      </c>
      <c r="AO216" s="166">
        <f>SUM(AO215:AO215)</f>
        <v>9815</v>
      </c>
      <c r="AP216" s="175"/>
      <c r="AQ216" s="164"/>
      <c r="AR216" s="167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1013 1056:2025 2068:3037 3080:4093 4136:5105 5148:6117 6160:7129 7172:8185 8228:9197 9240:10209 10252:12277 12320:13289 13332:14301 14344:15357 15400:16369" ht="25.2" thickBot="1" x14ac:dyDescent="0.75">
      <c r="A217" s="885"/>
      <c r="B217" s="887"/>
      <c r="C217" s="887"/>
      <c r="D217" s="891"/>
      <c r="E217" s="892"/>
      <c r="F217" s="892"/>
      <c r="G217" s="892"/>
      <c r="H217" s="892"/>
      <c r="I217" s="892"/>
      <c r="J217" s="892"/>
      <c r="K217" s="892"/>
      <c r="L217" s="893"/>
      <c r="M217" s="894">
        <f>M216+N216</f>
        <v>0</v>
      </c>
      <c r="N217" s="895">
        <f>M216+N216</f>
        <v>0</v>
      </c>
      <c r="O217" s="896">
        <f>+O216+P216+Q216</f>
        <v>129</v>
      </c>
      <c r="P217" s="897"/>
      <c r="Q217" s="898"/>
      <c r="R217" s="899">
        <f>+R216+S216+T216</f>
        <v>0</v>
      </c>
      <c r="S217" s="900"/>
      <c r="T217" s="901"/>
      <c r="U217" s="902">
        <f>0</f>
        <v>0</v>
      </c>
      <c r="V217" s="903"/>
      <c r="W217" s="904">
        <f>W216+X216+Y216</f>
        <v>17190</v>
      </c>
      <c r="X217" s="905"/>
      <c r="Y217" s="906"/>
      <c r="Z217" s="907">
        <f>0</f>
        <v>0</v>
      </c>
      <c r="AA217" s="908"/>
      <c r="AB217" s="909"/>
      <c r="AC217" s="910">
        <f>AC216+AD216</f>
        <v>0</v>
      </c>
      <c r="AD217" s="911">
        <f t="shared" ref="AD217" si="235">ROUND(N217*960,0)</f>
        <v>0</v>
      </c>
      <c r="AE217" s="912">
        <f>AE216+AF216+AG216</f>
        <v>12255</v>
      </c>
      <c r="AF217" s="913"/>
      <c r="AG217" s="914"/>
      <c r="AH217" s="915">
        <f>AH216+AI216+AJ216</f>
        <v>0</v>
      </c>
      <c r="AI217" s="916"/>
      <c r="AJ217" s="917"/>
      <c r="AK217" s="918">
        <f>AK216+AL216</f>
        <v>0</v>
      </c>
      <c r="AL217" s="919">
        <f t="shared" ref="AL217" si="236">V217+AD217</f>
        <v>0</v>
      </c>
      <c r="AM217" s="912">
        <f>AM216+AN216+AO216</f>
        <v>29445</v>
      </c>
      <c r="AN217" s="913"/>
      <c r="AO217" s="914"/>
      <c r="AP217" s="920">
        <f>AP216+AQ216+AR216</f>
        <v>0</v>
      </c>
      <c r="AQ217" s="921"/>
      <c r="AR217" s="922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1013 1056:2025 2068:3037 3080:4093 4136:5105 5148:6117 6160:7129 7172:8185 8228:9197 9240:10209 10252:12277 12320:13289 13332:14301 14344:15357 15400:16369" s="180" customFormat="1" ht="39.9" customHeight="1" thickBot="1" x14ac:dyDescent="0.75">
      <c r="A218" s="881" t="s">
        <v>192</v>
      </c>
      <c r="B218" s="882"/>
      <c r="C218" s="882"/>
      <c r="D218" s="882"/>
      <c r="E218" s="882"/>
      <c r="F218" s="882"/>
      <c r="G218" s="882"/>
      <c r="H218" s="882"/>
      <c r="I218" s="882"/>
      <c r="J218" s="882"/>
      <c r="K218" s="882"/>
      <c r="L218" s="882"/>
      <c r="M218" s="882"/>
      <c r="N218" s="882"/>
      <c r="O218" s="882"/>
      <c r="P218" s="882"/>
      <c r="Q218" s="882"/>
      <c r="R218" s="882"/>
      <c r="S218" s="882"/>
      <c r="T218" s="882"/>
      <c r="U218" s="882"/>
      <c r="V218" s="882"/>
      <c r="W218" s="882"/>
      <c r="X218" s="882"/>
      <c r="Y218" s="882"/>
      <c r="Z218" s="882"/>
      <c r="AA218" s="882"/>
      <c r="AB218" s="882"/>
      <c r="AC218" s="882"/>
      <c r="AD218" s="882"/>
      <c r="AE218" s="882"/>
      <c r="AF218" s="882"/>
      <c r="AG218" s="882"/>
      <c r="AH218" s="882"/>
      <c r="AI218" s="882"/>
      <c r="AJ218" s="882"/>
      <c r="AK218" s="882"/>
      <c r="AL218" s="882"/>
      <c r="AM218" s="882"/>
      <c r="AN218" s="882"/>
      <c r="AO218" s="882"/>
      <c r="AP218" s="882"/>
      <c r="AQ218" s="882"/>
      <c r="AR218" s="883"/>
      <c r="AS218" s="176"/>
      <c r="AT218" s="176"/>
      <c r="AU218" s="176"/>
      <c r="AV218" s="176"/>
      <c r="AW218" s="176"/>
      <c r="AX218" s="176"/>
      <c r="AY218" s="176"/>
      <c r="AZ218" s="176"/>
      <c r="BA218" s="176"/>
      <c r="BB218" s="176"/>
      <c r="BC218" s="176"/>
      <c r="BD218" s="176"/>
      <c r="BE218" s="176"/>
      <c r="BF218" s="176"/>
      <c r="BG218" s="176"/>
      <c r="BH218" s="176"/>
      <c r="BI218" s="176"/>
      <c r="BJ218" s="176"/>
      <c r="BK218" s="176"/>
      <c r="BL218" s="176"/>
      <c r="BM218" s="176"/>
      <c r="BN218" s="176"/>
      <c r="BO218" s="176"/>
      <c r="BP218" s="176"/>
      <c r="BQ218" s="176"/>
      <c r="BR218" s="176"/>
      <c r="BS218" s="176"/>
      <c r="BT218" s="176"/>
      <c r="BU218" s="176"/>
      <c r="BV218" s="176"/>
      <c r="BW218" s="176"/>
      <c r="BX218" s="176"/>
      <c r="BY218" s="176"/>
      <c r="BZ218" s="176"/>
      <c r="CA218" s="176"/>
      <c r="CB218" s="176"/>
      <c r="CC218" s="176"/>
      <c r="CD218" s="176"/>
      <c r="CE218" s="176"/>
      <c r="CF218" s="176"/>
      <c r="CG218" s="176"/>
      <c r="CH218" s="176"/>
      <c r="CI218" s="176"/>
      <c r="CJ218" s="176"/>
      <c r="CK218" s="176"/>
      <c r="CL218" s="176"/>
      <c r="CM218" s="176"/>
      <c r="CN218" s="176"/>
      <c r="CO218" s="176"/>
      <c r="CP218" s="176"/>
      <c r="CQ218" s="176"/>
      <c r="CR218" s="176"/>
      <c r="CS218" s="176"/>
      <c r="CT218" s="176"/>
      <c r="CU218" s="176"/>
      <c r="CV218" s="176"/>
      <c r="CW218" s="176"/>
      <c r="CX218" s="176"/>
      <c r="CY218" s="176"/>
      <c r="CZ218" s="176"/>
      <c r="DA218" s="176"/>
      <c r="DB218" s="176"/>
      <c r="DC218" s="176"/>
      <c r="DD218" s="176"/>
      <c r="DE218" s="176"/>
      <c r="DF218" s="176"/>
      <c r="DG218" s="176"/>
      <c r="DH218" s="176"/>
      <c r="DI218" s="176"/>
      <c r="DJ218" s="176"/>
      <c r="DK218" s="176"/>
      <c r="DL218" s="176"/>
      <c r="DM218" s="176"/>
      <c r="DN218" s="176"/>
      <c r="DO218" s="176"/>
      <c r="DP218" s="176"/>
      <c r="DQ218" s="176"/>
      <c r="DR218" s="176"/>
      <c r="DS218" s="176"/>
      <c r="DT218" s="176"/>
      <c r="DU218" s="176"/>
      <c r="DV218" s="176"/>
      <c r="DW218" s="176"/>
      <c r="DX218" s="176"/>
      <c r="DY218" s="176"/>
      <c r="DZ218" s="176"/>
      <c r="EA218" s="176"/>
      <c r="EB218" s="176"/>
      <c r="EC218" s="176"/>
      <c r="ED218" s="176"/>
      <c r="EE218" s="176"/>
      <c r="EF218" s="176"/>
      <c r="EG218" s="176"/>
      <c r="EH218" s="176"/>
      <c r="EI218" s="176"/>
      <c r="EJ218" s="176"/>
      <c r="EK218" s="176"/>
    </row>
    <row r="219" spans="1:1013 1056:2025 2068:3037 3080:4093 4136:5105 5148:6117 6160:7129 7172:8185 8228:9197 9240:10209 10252:12277 12320:13289 13332:14301 14344:15357 15400:16369" s="212" customFormat="1" ht="39.9" customHeight="1" thickBot="1" x14ac:dyDescent="0.75">
      <c r="A219" s="1066" t="s">
        <v>193</v>
      </c>
      <c r="B219" s="1067"/>
      <c r="C219" s="1067"/>
      <c r="D219" s="1067"/>
      <c r="E219" s="1067"/>
      <c r="F219" s="1067"/>
      <c r="G219" s="1067"/>
      <c r="H219" s="1067"/>
      <c r="I219" s="1067"/>
      <c r="J219" s="1067"/>
      <c r="K219" s="1067"/>
      <c r="L219" s="1067"/>
      <c r="M219" s="1067"/>
      <c r="N219" s="1067"/>
      <c r="O219" s="1067"/>
      <c r="P219" s="1067"/>
      <c r="Q219" s="1067"/>
      <c r="R219" s="1067"/>
      <c r="S219" s="1067"/>
      <c r="T219" s="1067"/>
      <c r="U219" s="1067"/>
      <c r="V219" s="1067"/>
      <c r="W219" s="1067"/>
      <c r="X219" s="1067"/>
      <c r="Y219" s="1067"/>
      <c r="Z219" s="1067"/>
      <c r="AA219" s="1067"/>
      <c r="AB219" s="1067"/>
      <c r="AC219" s="1067"/>
      <c r="AD219" s="1067"/>
      <c r="AE219" s="1067"/>
      <c r="AF219" s="1067"/>
      <c r="AG219" s="1067"/>
      <c r="AH219" s="1067"/>
      <c r="AI219" s="1067"/>
      <c r="AJ219" s="1067"/>
      <c r="AK219" s="1067"/>
      <c r="AL219" s="1067"/>
      <c r="AM219" s="1067"/>
      <c r="AN219" s="1067"/>
      <c r="AO219" s="1067"/>
      <c r="AP219" s="1067"/>
      <c r="AQ219" s="1067"/>
      <c r="AR219" s="1068"/>
      <c r="AS219" s="211"/>
      <c r="CJ219" s="214"/>
      <c r="CK219" s="211"/>
      <c r="EB219" s="214"/>
      <c r="EC219" s="211"/>
      <c r="FT219" s="214"/>
      <c r="FU219" s="211"/>
      <c r="HL219" s="214"/>
      <c r="HM219" s="211"/>
      <c r="JD219" s="214"/>
      <c r="JE219" s="211"/>
      <c r="KV219" s="214"/>
      <c r="KW219" s="211"/>
      <c r="MN219" s="214"/>
      <c r="MO219" s="211"/>
      <c r="OF219" s="214"/>
      <c r="OG219" s="211"/>
      <c r="PX219" s="214"/>
      <c r="PY219" s="211"/>
      <c r="RP219" s="214"/>
      <c r="RQ219" s="211"/>
      <c r="TH219" s="214"/>
      <c r="TI219" s="211"/>
      <c r="UZ219" s="214"/>
      <c r="VA219" s="211"/>
      <c r="WR219" s="214"/>
      <c r="WS219" s="211"/>
      <c r="YJ219" s="214"/>
      <c r="YK219" s="211"/>
      <c r="AAB219" s="214"/>
      <c r="AAC219" s="211"/>
      <c r="ABT219" s="214"/>
      <c r="ABU219" s="211"/>
      <c r="ADL219" s="214"/>
      <c r="ADM219" s="211"/>
      <c r="AFD219" s="214"/>
      <c r="AFE219" s="211"/>
      <c r="AGV219" s="214"/>
      <c r="AGW219" s="211"/>
      <c r="AIN219" s="214"/>
      <c r="AIO219" s="211"/>
      <c r="AKF219" s="214"/>
      <c r="AKG219" s="211"/>
      <c r="ALX219" s="214"/>
      <c r="ALY219" s="211"/>
      <c r="ANP219" s="214"/>
      <c r="ANQ219" s="211"/>
      <c r="APH219" s="214"/>
      <c r="API219" s="211"/>
      <c r="AQZ219" s="214"/>
      <c r="ARA219" s="211"/>
      <c r="ASR219" s="214"/>
      <c r="ASS219" s="211"/>
      <c r="AUJ219" s="214"/>
      <c r="AUK219" s="211"/>
      <c r="AWB219" s="214"/>
      <c r="AWC219" s="211"/>
      <c r="AXT219" s="214"/>
      <c r="AXU219" s="211"/>
      <c r="AZL219" s="214"/>
      <c r="AZM219" s="211"/>
      <c r="BBD219" s="214"/>
      <c r="BBE219" s="211"/>
      <c r="BCV219" s="214"/>
      <c r="BCW219" s="211"/>
      <c r="BEN219" s="214"/>
      <c r="BEO219" s="211"/>
      <c r="BGF219" s="214"/>
      <c r="BGG219" s="211"/>
      <c r="BHX219" s="214"/>
      <c r="BHY219" s="211"/>
      <c r="BJP219" s="214"/>
      <c r="BJQ219" s="211"/>
      <c r="BLH219" s="214"/>
      <c r="BLI219" s="211"/>
      <c r="BMZ219" s="214"/>
      <c r="BNA219" s="211"/>
      <c r="BOR219" s="214"/>
      <c r="BOS219" s="211"/>
      <c r="BQJ219" s="214"/>
      <c r="BQK219" s="211"/>
      <c r="BSB219" s="214"/>
      <c r="BSC219" s="211"/>
      <c r="BTT219" s="214"/>
      <c r="BTU219" s="211"/>
      <c r="BVL219" s="214"/>
      <c r="BVM219" s="211"/>
      <c r="BXD219" s="214"/>
      <c r="BXE219" s="211"/>
      <c r="BYV219" s="214"/>
      <c r="BYW219" s="211"/>
      <c r="CAN219" s="214"/>
      <c r="CAO219" s="211"/>
      <c r="CCF219" s="214"/>
      <c r="CCG219" s="211"/>
      <c r="CDX219" s="214"/>
      <c r="CDY219" s="211"/>
      <c r="CFP219" s="214"/>
      <c r="CFQ219" s="211"/>
      <c r="CHH219" s="214"/>
      <c r="CHI219" s="211"/>
      <c r="CIZ219" s="214"/>
      <c r="CJA219" s="211"/>
      <c r="CKR219" s="214"/>
      <c r="CKS219" s="211"/>
      <c r="CMJ219" s="214"/>
      <c r="CMK219" s="211"/>
      <c r="COB219" s="214"/>
      <c r="COC219" s="211"/>
      <c r="CPT219" s="214"/>
      <c r="CPU219" s="211"/>
      <c r="CRL219" s="214"/>
      <c r="CRM219" s="211"/>
      <c r="CTD219" s="214"/>
      <c r="CTE219" s="211"/>
      <c r="CUV219" s="214"/>
      <c r="CUW219" s="211"/>
      <c r="CWN219" s="214"/>
      <c r="CWO219" s="211"/>
      <c r="CYF219" s="214"/>
      <c r="CYG219" s="211"/>
      <c r="CZX219" s="214"/>
      <c r="CZY219" s="211"/>
      <c r="DBP219" s="214"/>
      <c r="DBQ219" s="211"/>
      <c r="DDH219" s="214"/>
      <c r="DDI219" s="211"/>
      <c r="DEZ219" s="214"/>
      <c r="DFA219" s="211"/>
      <c r="DGR219" s="214"/>
      <c r="DGS219" s="211"/>
      <c r="DIJ219" s="214"/>
      <c r="DIK219" s="211"/>
      <c r="DKB219" s="214"/>
      <c r="DKC219" s="211"/>
      <c r="DLT219" s="214"/>
      <c r="DLU219" s="211"/>
      <c r="DNL219" s="214"/>
      <c r="DNM219" s="211"/>
      <c r="DPD219" s="214"/>
      <c r="DPE219" s="211"/>
      <c r="DQV219" s="214"/>
      <c r="DQW219" s="211"/>
      <c r="DSN219" s="214"/>
      <c r="DSO219" s="211"/>
      <c r="DUF219" s="214"/>
      <c r="DUG219" s="211"/>
      <c r="DVX219" s="214"/>
      <c r="DVY219" s="211"/>
      <c r="DXP219" s="214"/>
      <c r="DXQ219" s="211"/>
      <c r="DZH219" s="214"/>
      <c r="DZI219" s="211"/>
      <c r="EAZ219" s="214"/>
      <c r="EBA219" s="211"/>
      <c r="ECR219" s="214"/>
      <c r="ECS219" s="211"/>
      <c r="EEJ219" s="214"/>
      <c r="EEK219" s="211"/>
      <c r="EGB219" s="214"/>
      <c r="EGC219" s="211"/>
      <c r="EHT219" s="214"/>
      <c r="EHU219" s="211"/>
      <c r="EJL219" s="214"/>
      <c r="EJM219" s="211"/>
      <c r="ELD219" s="214"/>
      <c r="ELE219" s="211"/>
      <c r="EMV219" s="214"/>
      <c r="EMW219" s="211"/>
      <c r="EON219" s="214"/>
      <c r="EOO219" s="211"/>
      <c r="EQF219" s="214"/>
      <c r="EQG219" s="211"/>
      <c r="ERX219" s="214"/>
      <c r="ERY219" s="211"/>
      <c r="ETP219" s="214"/>
      <c r="ETQ219" s="211"/>
      <c r="EVH219" s="214"/>
      <c r="EVI219" s="211"/>
      <c r="EWZ219" s="214"/>
      <c r="EXA219" s="211"/>
      <c r="EYR219" s="214"/>
      <c r="EYS219" s="211"/>
      <c r="FAJ219" s="214"/>
      <c r="FAK219" s="211"/>
      <c r="FCB219" s="214"/>
      <c r="FCC219" s="211"/>
      <c r="FDT219" s="214"/>
      <c r="FDU219" s="211"/>
      <c r="FFL219" s="214"/>
      <c r="FFM219" s="211"/>
      <c r="FHD219" s="214"/>
      <c r="FHE219" s="211"/>
      <c r="FIV219" s="214"/>
      <c r="FIW219" s="211"/>
      <c r="FKN219" s="214"/>
      <c r="FKO219" s="211"/>
      <c r="FMF219" s="214"/>
      <c r="FMG219" s="211"/>
      <c r="FNX219" s="214"/>
      <c r="FNY219" s="211"/>
      <c r="FPP219" s="214"/>
      <c r="FPQ219" s="211"/>
      <c r="FRH219" s="214"/>
      <c r="FRI219" s="211"/>
      <c r="FSZ219" s="214"/>
      <c r="FTA219" s="211"/>
      <c r="FUR219" s="214"/>
      <c r="FUS219" s="211"/>
      <c r="FWJ219" s="214"/>
      <c r="FWK219" s="211"/>
      <c r="FYB219" s="214"/>
      <c r="FYC219" s="211"/>
      <c r="FZT219" s="214"/>
      <c r="FZU219" s="211"/>
      <c r="GBL219" s="214"/>
      <c r="GBM219" s="211"/>
      <c r="GDD219" s="214"/>
      <c r="GDE219" s="211"/>
      <c r="GEV219" s="214"/>
      <c r="GEW219" s="211"/>
      <c r="GGN219" s="214"/>
      <c r="GGO219" s="211"/>
      <c r="GIF219" s="214"/>
      <c r="GIG219" s="211"/>
      <c r="GJX219" s="214"/>
      <c r="GJY219" s="211"/>
      <c r="GLP219" s="214"/>
      <c r="GLQ219" s="211"/>
      <c r="GNH219" s="214"/>
      <c r="GNI219" s="211"/>
      <c r="GOZ219" s="214"/>
      <c r="GPA219" s="211"/>
      <c r="GQR219" s="214"/>
      <c r="GQS219" s="211"/>
      <c r="GSJ219" s="214"/>
      <c r="GSK219" s="211"/>
      <c r="GUB219" s="214"/>
      <c r="GUC219" s="211"/>
      <c r="GVT219" s="214"/>
      <c r="GVU219" s="211"/>
      <c r="GXL219" s="214"/>
      <c r="GXM219" s="211"/>
      <c r="GZD219" s="214"/>
      <c r="GZE219" s="211"/>
      <c r="HAV219" s="214"/>
      <c r="HAW219" s="211"/>
      <c r="HCN219" s="214"/>
      <c r="HCO219" s="211"/>
      <c r="HEF219" s="214"/>
      <c r="HEG219" s="211"/>
      <c r="HFX219" s="214"/>
      <c r="HFY219" s="211"/>
      <c r="HHP219" s="214"/>
      <c r="HHQ219" s="211"/>
      <c r="HJH219" s="214"/>
      <c r="HJI219" s="211"/>
      <c r="HKZ219" s="214"/>
      <c r="HLA219" s="211"/>
      <c r="HMR219" s="214"/>
      <c r="HMS219" s="211"/>
      <c r="HOJ219" s="214"/>
      <c r="HOK219" s="211"/>
      <c r="HQB219" s="214"/>
      <c r="HQC219" s="211"/>
      <c r="HRT219" s="214"/>
      <c r="HRU219" s="211"/>
      <c r="HTL219" s="214"/>
      <c r="HTM219" s="211"/>
      <c r="HVD219" s="214"/>
      <c r="HVE219" s="211"/>
      <c r="HWV219" s="214"/>
      <c r="HWW219" s="211"/>
      <c r="HYN219" s="214"/>
      <c r="HYO219" s="211"/>
      <c r="IAF219" s="214"/>
      <c r="IAG219" s="211"/>
      <c r="IBX219" s="214"/>
      <c r="IBY219" s="211"/>
      <c r="IDP219" s="214"/>
      <c r="IDQ219" s="211"/>
      <c r="IFH219" s="214"/>
      <c r="IFI219" s="211"/>
      <c r="IGZ219" s="214"/>
      <c r="IHA219" s="211"/>
      <c r="IIR219" s="214"/>
      <c r="IIS219" s="211"/>
      <c r="IKJ219" s="214"/>
      <c r="IKK219" s="211"/>
      <c r="IMB219" s="214"/>
      <c r="IMC219" s="211"/>
      <c r="INT219" s="214"/>
      <c r="INU219" s="211"/>
      <c r="IPL219" s="214"/>
      <c r="IPM219" s="211"/>
      <c r="IRD219" s="214"/>
      <c r="IRE219" s="211"/>
      <c r="ISV219" s="214"/>
      <c r="ISW219" s="211"/>
      <c r="IUN219" s="214"/>
      <c r="IUO219" s="211"/>
      <c r="IWF219" s="214"/>
      <c r="IWG219" s="211"/>
      <c r="IXX219" s="214"/>
      <c r="IXY219" s="211"/>
      <c r="IZP219" s="214"/>
      <c r="IZQ219" s="211"/>
      <c r="JBH219" s="214"/>
      <c r="JBI219" s="211"/>
      <c r="JCZ219" s="214"/>
      <c r="JDA219" s="211"/>
      <c r="JER219" s="214"/>
      <c r="JES219" s="211"/>
      <c r="JGJ219" s="214"/>
      <c r="JGK219" s="211"/>
      <c r="JIB219" s="214"/>
      <c r="JIC219" s="211"/>
      <c r="JJT219" s="214"/>
      <c r="JJU219" s="211"/>
      <c r="JLL219" s="214"/>
      <c r="JLM219" s="211"/>
      <c r="JND219" s="214"/>
      <c r="JNE219" s="211"/>
      <c r="JOV219" s="214"/>
      <c r="JOW219" s="211"/>
      <c r="JQN219" s="214"/>
      <c r="JQO219" s="211"/>
      <c r="JSF219" s="214"/>
      <c r="JSG219" s="211"/>
      <c r="JTX219" s="214"/>
      <c r="JTY219" s="211"/>
      <c r="JVP219" s="214"/>
      <c r="JVQ219" s="211"/>
      <c r="JXH219" s="214"/>
      <c r="JXI219" s="211"/>
      <c r="JYZ219" s="214"/>
      <c r="JZA219" s="211"/>
      <c r="KAR219" s="214"/>
      <c r="KAS219" s="211"/>
      <c r="KCJ219" s="214"/>
      <c r="KCK219" s="211"/>
      <c r="KEB219" s="214"/>
      <c r="KEC219" s="211"/>
      <c r="KFT219" s="214"/>
      <c r="KFU219" s="211"/>
      <c r="KHL219" s="214"/>
      <c r="KHM219" s="211"/>
      <c r="KJD219" s="214"/>
      <c r="KJE219" s="211"/>
      <c r="KKV219" s="214"/>
      <c r="KKW219" s="211"/>
      <c r="KMN219" s="214"/>
      <c r="KMO219" s="211"/>
      <c r="KOF219" s="214"/>
      <c r="KOG219" s="211"/>
      <c r="KPX219" s="214"/>
      <c r="KPY219" s="211"/>
      <c r="KRP219" s="214"/>
      <c r="KRQ219" s="211"/>
      <c r="KTH219" s="214"/>
      <c r="KTI219" s="211"/>
      <c r="KUZ219" s="214"/>
      <c r="KVA219" s="211"/>
      <c r="KWR219" s="214"/>
      <c r="KWS219" s="211"/>
      <c r="KYJ219" s="214"/>
      <c r="KYK219" s="211"/>
      <c r="LAB219" s="214"/>
      <c r="LAC219" s="211"/>
      <c r="LBT219" s="214"/>
      <c r="LBU219" s="211"/>
      <c r="LDL219" s="214"/>
      <c r="LDM219" s="211"/>
      <c r="LFD219" s="214"/>
      <c r="LFE219" s="211"/>
      <c r="LGV219" s="214"/>
      <c r="LGW219" s="211"/>
      <c r="LIN219" s="214"/>
      <c r="LIO219" s="211"/>
      <c r="LKF219" s="214"/>
      <c r="LKG219" s="211"/>
      <c r="LLX219" s="214"/>
      <c r="LLY219" s="211"/>
      <c r="LNP219" s="214"/>
      <c r="LNQ219" s="211"/>
      <c r="LPH219" s="214"/>
      <c r="LPI219" s="211"/>
      <c r="LQZ219" s="214"/>
      <c r="LRA219" s="211"/>
      <c r="LSR219" s="214"/>
      <c r="LSS219" s="211"/>
      <c r="LUJ219" s="214"/>
      <c r="LUK219" s="211"/>
      <c r="LWB219" s="214"/>
      <c r="LWC219" s="211"/>
      <c r="LXT219" s="214"/>
      <c r="LXU219" s="211"/>
      <c r="LZL219" s="214"/>
      <c r="LZM219" s="211"/>
      <c r="MBD219" s="214"/>
      <c r="MBE219" s="211"/>
      <c r="MCV219" s="214"/>
      <c r="MCW219" s="211"/>
      <c r="MEN219" s="214"/>
      <c r="MEO219" s="211"/>
      <c r="MGF219" s="214"/>
      <c r="MGG219" s="211"/>
      <c r="MHX219" s="214"/>
      <c r="MHY219" s="211"/>
      <c r="MJP219" s="214"/>
      <c r="MJQ219" s="211"/>
      <c r="MLH219" s="214"/>
      <c r="MLI219" s="211"/>
      <c r="MMZ219" s="214"/>
      <c r="MNA219" s="211"/>
      <c r="MOR219" s="214"/>
      <c r="MOS219" s="211"/>
      <c r="MQJ219" s="214"/>
      <c r="MQK219" s="211"/>
      <c r="MSB219" s="214"/>
      <c r="MSC219" s="211"/>
      <c r="MTT219" s="214"/>
      <c r="MTU219" s="211"/>
      <c r="MVL219" s="214"/>
      <c r="MVM219" s="211"/>
      <c r="MXD219" s="214"/>
      <c r="MXE219" s="211"/>
      <c r="MYV219" s="214"/>
      <c r="MYW219" s="211"/>
      <c r="NAN219" s="214"/>
      <c r="NAO219" s="211"/>
      <c r="NCF219" s="214"/>
      <c r="NCG219" s="211"/>
      <c r="NDX219" s="214"/>
      <c r="NDY219" s="211"/>
      <c r="NFP219" s="214"/>
      <c r="NFQ219" s="211"/>
      <c r="NHH219" s="214"/>
      <c r="NHI219" s="211"/>
      <c r="NIZ219" s="214"/>
      <c r="NJA219" s="211"/>
      <c r="NKR219" s="214"/>
      <c r="NKS219" s="211"/>
      <c r="NMJ219" s="214"/>
      <c r="NMK219" s="211"/>
      <c r="NOB219" s="214"/>
      <c r="NOC219" s="211"/>
      <c r="NPT219" s="214"/>
      <c r="NPU219" s="211"/>
      <c r="NRL219" s="214"/>
      <c r="NRM219" s="211"/>
      <c r="NTD219" s="214"/>
      <c r="NTE219" s="211"/>
      <c r="NUV219" s="214"/>
      <c r="NUW219" s="211"/>
      <c r="NWN219" s="214"/>
      <c r="NWO219" s="211"/>
      <c r="NYF219" s="214"/>
      <c r="NYG219" s="211"/>
      <c r="NZX219" s="214"/>
      <c r="NZY219" s="211"/>
      <c r="OBP219" s="214"/>
      <c r="OBQ219" s="211"/>
      <c r="ODH219" s="214"/>
      <c r="ODI219" s="211"/>
      <c r="OEZ219" s="214"/>
      <c r="OFA219" s="211"/>
      <c r="OGR219" s="214"/>
      <c r="OGS219" s="211"/>
      <c r="OIJ219" s="214"/>
      <c r="OIK219" s="211"/>
      <c r="OKB219" s="214"/>
      <c r="OKC219" s="211"/>
      <c r="OLT219" s="214"/>
      <c r="OLU219" s="211"/>
      <c r="ONL219" s="214"/>
      <c r="ONM219" s="211"/>
      <c r="OPD219" s="214"/>
      <c r="OPE219" s="211"/>
      <c r="OQV219" s="214"/>
      <c r="OQW219" s="211"/>
      <c r="OSN219" s="214"/>
      <c r="OSO219" s="211"/>
      <c r="OUF219" s="214"/>
      <c r="OUG219" s="211"/>
      <c r="OVX219" s="214"/>
      <c r="OVY219" s="211"/>
      <c r="OXP219" s="214"/>
      <c r="OXQ219" s="211"/>
      <c r="OZH219" s="214"/>
      <c r="OZI219" s="211"/>
      <c r="PAZ219" s="214"/>
      <c r="PBA219" s="211"/>
      <c r="PCR219" s="214"/>
      <c r="PCS219" s="211"/>
      <c r="PEJ219" s="214"/>
      <c r="PEK219" s="211"/>
      <c r="PGB219" s="214"/>
      <c r="PGC219" s="211"/>
      <c r="PHT219" s="214"/>
      <c r="PHU219" s="211"/>
      <c r="PJL219" s="214"/>
      <c r="PJM219" s="211"/>
      <c r="PLD219" s="214"/>
      <c r="PLE219" s="211"/>
      <c r="PMV219" s="214"/>
      <c r="PMW219" s="211"/>
      <c r="PON219" s="214"/>
      <c r="POO219" s="211"/>
      <c r="PQF219" s="214"/>
      <c r="PQG219" s="211"/>
      <c r="PRX219" s="214"/>
      <c r="PRY219" s="211"/>
      <c r="PTP219" s="214"/>
      <c r="PTQ219" s="211"/>
      <c r="PVH219" s="214"/>
      <c r="PVI219" s="211"/>
      <c r="PWZ219" s="214"/>
      <c r="PXA219" s="211"/>
      <c r="PYR219" s="214"/>
      <c r="PYS219" s="211"/>
      <c r="QAJ219" s="214"/>
      <c r="QAK219" s="211"/>
      <c r="QCB219" s="214"/>
      <c r="QCC219" s="211"/>
      <c r="QDT219" s="214"/>
      <c r="QDU219" s="211"/>
      <c r="QFL219" s="214"/>
      <c r="QFM219" s="211"/>
      <c r="QHD219" s="214"/>
      <c r="QHE219" s="211"/>
      <c r="QIV219" s="214"/>
      <c r="QIW219" s="211"/>
      <c r="QKN219" s="214"/>
      <c r="QKO219" s="211"/>
      <c r="QMF219" s="214"/>
      <c r="QMG219" s="211"/>
      <c r="QNX219" s="214"/>
      <c r="QNY219" s="211"/>
      <c r="QPP219" s="214"/>
      <c r="QPQ219" s="211"/>
      <c r="QRH219" s="214"/>
      <c r="QRI219" s="211"/>
      <c r="QSZ219" s="214"/>
      <c r="QTA219" s="211"/>
      <c r="QUR219" s="214"/>
      <c r="QUS219" s="211"/>
      <c r="QWJ219" s="214"/>
      <c r="QWK219" s="211"/>
      <c r="QYB219" s="214"/>
      <c r="QYC219" s="211"/>
      <c r="QZT219" s="214"/>
      <c r="QZU219" s="211"/>
      <c r="RBL219" s="214"/>
      <c r="RBM219" s="211"/>
      <c r="RDD219" s="214"/>
      <c r="RDE219" s="211"/>
      <c r="REV219" s="214"/>
      <c r="REW219" s="211"/>
      <c r="RGN219" s="214"/>
      <c r="RGO219" s="211"/>
      <c r="RIF219" s="214"/>
      <c r="RIG219" s="211"/>
      <c r="RJX219" s="214"/>
      <c r="RJY219" s="211"/>
      <c r="RLP219" s="214"/>
      <c r="RLQ219" s="211"/>
      <c r="RNH219" s="214"/>
      <c r="RNI219" s="211"/>
      <c r="ROZ219" s="214"/>
      <c r="RPA219" s="211"/>
      <c r="RQR219" s="214"/>
      <c r="RQS219" s="211"/>
      <c r="RSJ219" s="214"/>
      <c r="RSK219" s="211"/>
      <c r="RUB219" s="214"/>
      <c r="RUC219" s="211"/>
      <c r="RVT219" s="214"/>
      <c r="RVU219" s="211"/>
      <c r="RXL219" s="214"/>
      <c r="RXM219" s="211"/>
      <c r="RZD219" s="214"/>
      <c r="RZE219" s="211"/>
      <c r="SAV219" s="214"/>
      <c r="SAW219" s="211"/>
      <c r="SCN219" s="214"/>
      <c r="SCO219" s="211"/>
      <c r="SEF219" s="214"/>
      <c r="SEG219" s="211"/>
      <c r="SFX219" s="214"/>
      <c r="SFY219" s="211"/>
      <c r="SHP219" s="214"/>
      <c r="SHQ219" s="211"/>
      <c r="SJH219" s="214"/>
      <c r="SJI219" s="211"/>
      <c r="SKZ219" s="214"/>
      <c r="SLA219" s="211"/>
      <c r="SMR219" s="214"/>
      <c r="SMS219" s="211"/>
      <c r="SOJ219" s="214"/>
      <c r="SOK219" s="211"/>
      <c r="SQB219" s="214"/>
      <c r="SQC219" s="211"/>
      <c r="SRT219" s="214"/>
      <c r="SRU219" s="211"/>
      <c r="STL219" s="214"/>
      <c r="STM219" s="211"/>
      <c r="SVD219" s="214"/>
      <c r="SVE219" s="211"/>
      <c r="SWV219" s="214"/>
      <c r="SWW219" s="211"/>
      <c r="SYN219" s="214"/>
      <c r="SYO219" s="211"/>
      <c r="TAF219" s="214"/>
      <c r="TAG219" s="211"/>
      <c r="TBX219" s="214"/>
      <c r="TBY219" s="211"/>
      <c r="TDP219" s="214"/>
      <c r="TDQ219" s="211"/>
      <c r="TFH219" s="214"/>
      <c r="TFI219" s="211"/>
      <c r="TGZ219" s="214"/>
      <c r="THA219" s="211"/>
      <c r="TIR219" s="214"/>
      <c r="TIS219" s="211"/>
      <c r="TKJ219" s="214"/>
      <c r="TKK219" s="211"/>
      <c r="TMB219" s="214"/>
      <c r="TMC219" s="211"/>
      <c r="TNT219" s="214"/>
      <c r="TNU219" s="211"/>
      <c r="TPL219" s="214"/>
      <c r="TPM219" s="211"/>
      <c r="TRD219" s="214"/>
      <c r="TRE219" s="211"/>
      <c r="TSV219" s="214"/>
      <c r="TSW219" s="211"/>
      <c r="TUN219" s="214"/>
      <c r="TUO219" s="211"/>
      <c r="TWF219" s="214"/>
      <c r="TWG219" s="211"/>
      <c r="TXX219" s="214"/>
      <c r="TXY219" s="211"/>
      <c r="TZP219" s="214"/>
      <c r="TZQ219" s="211"/>
      <c r="UBH219" s="214"/>
      <c r="UBI219" s="211"/>
      <c r="UCZ219" s="214"/>
      <c r="UDA219" s="211"/>
      <c r="UER219" s="214"/>
      <c r="UES219" s="211"/>
      <c r="UGJ219" s="214"/>
      <c r="UGK219" s="211"/>
      <c r="UIB219" s="214"/>
      <c r="UIC219" s="211"/>
      <c r="UJT219" s="214"/>
      <c r="UJU219" s="211"/>
      <c r="ULL219" s="214"/>
      <c r="ULM219" s="211"/>
      <c r="UND219" s="214"/>
      <c r="UNE219" s="211"/>
      <c r="UOV219" s="214"/>
      <c r="UOW219" s="211"/>
      <c r="UQN219" s="214"/>
      <c r="UQO219" s="211"/>
      <c r="USF219" s="214"/>
      <c r="USG219" s="211"/>
      <c r="UTX219" s="214"/>
      <c r="UTY219" s="211"/>
      <c r="UVP219" s="214"/>
      <c r="UVQ219" s="211"/>
      <c r="UXH219" s="214"/>
      <c r="UXI219" s="211"/>
      <c r="UYZ219" s="214"/>
      <c r="UZA219" s="211"/>
      <c r="VAR219" s="214"/>
      <c r="VAS219" s="211"/>
      <c r="VCJ219" s="214"/>
      <c r="VCK219" s="211"/>
      <c r="VEB219" s="214"/>
      <c r="VEC219" s="211"/>
      <c r="VFT219" s="214"/>
      <c r="VFU219" s="211"/>
      <c r="VHL219" s="214"/>
      <c r="VHM219" s="211"/>
      <c r="VJD219" s="214"/>
      <c r="VJE219" s="211"/>
      <c r="VKV219" s="214"/>
      <c r="VKW219" s="211"/>
      <c r="VMN219" s="214"/>
      <c r="VMO219" s="211"/>
      <c r="VOF219" s="214"/>
      <c r="VOG219" s="211"/>
      <c r="VPX219" s="214"/>
      <c r="VPY219" s="211"/>
      <c r="VRP219" s="214"/>
      <c r="VRQ219" s="211"/>
      <c r="VTH219" s="214"/>
      <c r="VTI219" s="211"/>
      <c r="VUZ219" s="214"/>
      <c r="VVA219" s="211"/>
      <c r="VWR219" s="214"/>
      <c r="VWS219" s="211"/>
      <c r="VYJ219" s="214"/>
      <c r="VYK219" s="211"/>
      <c r="WAB219" s="214"/>
      <c r="WAC219" s="211"/>
      <c r="WBT219" s="214"/>
      <c r="WBU219" s="211"/>
      <c r="WDL219" s="214"/>
      <c r="WDM219" s="211"/>
      <c r="WFD219" s="214"/>
      <c r="WFE219" s="211"/>
      <c r="WGV219" s="214"/>
      <c r="WGW219" s="211"/>
      <c r="WIN219" s="214"/>
      <c r="WIO219" s="211"/>
      <c r="WKF219" s="214"/>
      <c r="WKG219" s="211"/>
      <c r="WLX219" s="214"/>
      <c r="WLY219" s="211"/>
      <c r="WNP219" s="214"/>
      <c r="WNQ219" s="211"/>
      <c r="WPH219" s="214"/>
      <c r="WPI219" s="211"/>
      <c r="WQZ219" s="214"/>
      <c r="WRA219" s="211"/>
      <c r="WSR219" s="214"/>
      <c r="WSS219" s="211"/>
      <c r="WUJ219" s="214"/>
      <c r="WUK219" s="211"/>
      <c r="WWB219" s="214"/>
      <c r="WWC219" s="211"/>
      <c r="WXT219" s="214"/>
      <c r="WXU219" s="211"/>
      <c r="WZL219" s="214"/>
      <c r="WZM219" s="211"/>
      <c r="XBD219" s="214"/>
      <c r="XBE219" s="211"/>
      <c r="XCV219" s="214"/>
      <c r="XCW219" s="211"/>
      <c r="XEN219" s="214"/>
      <c r="XEO219" s="211"/>
    </row>
    <row r="220" spans="1:1013 1056:2025 2068:3037 3080:4093 4136:5105 5148:6117 6160:7129 7172:8185 8228:9197 9240:10209 10252:12277 12320:13289 13332:14301 14344:15357 15400:16369" x14ac:dyDescent="0.7">
      <c r="A220" s="137" t="s">
        <v>196</v>
      </c>
      <c r="B220" s="138">
        <v>86</v>
      </c>
      <c r="C220" s="123">
        <v>1892</v>
      </c>
      <c r="D220" s="17">
        <v>0</v>
      </c>
      <c r="E220" s="14">
        <v>3</v>
      </c>
      <c r="F220" s="14">
        <v>0</v>
      </c>
      <c r="G220" s="13">
        <f>0</f>
        <v>0</v>
      </c>
      <c r="H220" s="14">
        <v>15</v>
      </c>
      <c r="I220" s="23">
        <f>0</f>
        <v>0</v>
      </c>
      <c r="J220" s="13">
        <v>1.1000000000000001</v>
      </c>
      <c r="K220" s="14">
        <v>2</v>
      </c>
      <c r="L220" s="15">
        <v>1.7</v>
      </c>
      <c r="M220" s="13"/>
      <c r="N220" s="17"/>
      <c r="O220" s="15">
        <f t="shared" ref="O220:O226" si="237">ROUND(C220*H220/1000,0)</f>
        <v>28</v>
      </c>
      <c r="P220" s="14">
        <f>ROUND(C220*H220/1000,0)</f>
        <v>28</v>
      </c>
      <c r="Q220" s="14">
        <f>ROUND(C220*H220/1000,0)</f>
        <v>28</v>
      </c>
      <c r="R220" s="14"/>
      <c r="S220" s="14"/>
      <c r="T220" s="18"/>
      <c r="U220" s="13"/>
      <c r="V220" s="17"/>
      <c r="W220" s="13">
        <f>ROUND(C220*K220,0)</f>
        <v>3784</v>
      </c>
      <c r="X220" s="14">
        <f>ROUND(C220*K220,0)</f>
        <v>3784</v>
      </c>
      <c r="Y220" s="14">
        <f>ROUND(C220*K220,0)</f>
        <v>3784</v>
      </c>
      <c r="Z220" s="13"/>
      <c r="AA220" s="13"/>
      <c r="AB220" s="71"/>
      <c r="AC220" s="17"/>
      <c r="AD220" s="17"/>
      <c r="AE220" s="13">
        <f>ROUND(O220*95,0)</f>
        <v>2660</v>
      </c>
      <c r="AF220" s="14">
        <f t="shared" ref="AF220:AF226" si="238">ROUND(P220*95,0)</f>
        <v>2660</v>
      </c>
      <c r="AG220" s="14">
        <f t="shared" ref="AG220:AG226" si="239">ROUND(Q220*95,0)</f>
        <v>2660</v>
      </c>
      <c r="AH220" s="13"/>
      <c r="AI220" s="13"/>
      <c r="AJ220" s="71"/>
      <c r="AK220" s="100"/>
      <c r="AL220" s="14"/>
      <c r="AM220" s="14">
        <f>W220+AE220</f>
        <v>6444</v>
      </c>
      <c r="AN220" s="14">
        <f>X220+AF220</f>
        <v>6444</v>
      </c>
      <c r="AO220" s="14">
        <f>Y220+AG220</f>
        <v>6444</v>
      </c>
      <c r="AP220" s="14"/>
      <c r="AQ220" s="14"/>
      <c r="AR220" s="14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  <c r="BV220" s="56"/>
      <c r="BW220" s="56"/>
      <c r="BX220" s="56"/>
      <c r="BY220" s="56"/>
      <c r="BZ220" s="56"/>
      <c r="CA220" s="56"/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  <c r="CL220" s="56"/>
      <c r="CM220" s="56"/>
      <c r="CN220" s="56"/>
      <c r="CO220" s="56"/>
      <c r="CP220" s="56"/>
      <c r="CQ220" s="56"/>
      <c r="CR220" s="56"/>
      <c r="CS220" s="56"/>
      <c r="CT220" s="56"/>
      <c r="CU220" s="56"/>
      <c r="CV220" s="56"/>
      <c r="CW220" s="56"/>
      <c r="CX220" s="56"/>
      <c r="CY220" s="56"/>
      <c r="CZ220" s="56"/>
      <c r="DA220" s="56"/>
      <c r="DB220" s="56"/>
      <c r="DC220" s="56"/>
      <c r="DD220" s="56"/>
      <c r="DE220" s="56"/>
      <c r="DF220" s="56"/>
      <c r="DG220" s="56"/>
      <c r="DH220" s="56"/>
      <c r="DI220" s="56"/>
      <c r="DJ220" s="56"/>
      <c r="DK220" s="56"/>
      <c r="DL220" s="56"/>
      <c r="DM220" s="56"/>
      <c r="DN220" s="56"/>
      <c r="DO220" s="56"/>
      <c r="DP220" s="56"/>
      <c r="DQ220" s="56"/>
      <c r="DR220" s="56"/>
      <c r="DS220" s="56"/>
      <c r="DT220" s="56"/>
      <c r="DU220" s="56"/>
      <c r="DV220" s="56"/>
      <c r="DW220" s="56"/>
      <c r="DX220" s="56"/>
      <c r="DY220" s="56"/>
      <c r="DZ220" s="56"/>
      <c r="EA220" s="56"/>
      <c r="EB220" s="56"/>
      <c r="EC220" s="56"/>
      <c r="ED220" s="56"/>
      <c r="EE220" s="56"/>
      <c r="EF220" s="56"/>
      <c r="EG220" s="56"/>
      <c r="EH220" s="56"/>
      <c r="EI220" s="56"/>
      <c r="EJ220" s="56"/>
      <c r="EK220" s="56"/>
    </row>
    <row r="221" spans="1:1013 1056:2025 2068:3037 3080:4093 4136:5105 5148:6117 6160:7129 7172:8185 8228:9197 9240:10209 10252:12277 12320:13289 13332:14301 14344:15357 15400:16369" x14ac:dyDescent="0.7">
      <c r="A221" s="137" t="s">
        <v>197</v>
      </c>
      <c r="B221" s="138">
        <v>77</v>
      </c>
      <c r="C221" s="123">
        <v>1686</v>
      </c>
      <c r="D221" s="17">
        <v>0</v>
      </c>
      <c r="E221" s="14">
        <v>3</v>
      </c>
      <c r="F221" s="14">
        <v>0</v>
      </c>
      <c r="G221" s="13">
        <f>0</f>
        <v>0</v>
      </c>
      <c r="H221" s="14">
        <v>15</v>
      </c>
      <c r="I221" s="23">
        <f>0</f>
        <v>0</v>
      </c>
      <c r="J221" s="13">
        <v>1.1000000000000001</v>
      </c>
      <c r="K221" s="14">
        <v>2</v>
      </c>
      <c r="L221" s="15">
        <v>1.7</v>
      </c>
      <c r="M221" s="13"/>
      <c r="N221" s="17"/>
      <c r="O221" s="15">
        <f t="shared" si="237"/>
        <v>25</v>
      </c>
      <c r="P221" s="14">
        <f>ROUND(C221*H221/1000,0)</f>
        <v>25</v>
      </c>
      <c r="Q221" s="14">
        <f t="shared" ref="Q221:Q226" si="240">ROUND(C221*H221/1000,0)</f>
        <v>25</v>
      </c>
      <c r="R221" s="14"/>
      <c r="S221" s="14"/>
      <c r="T221" s="18"/>
      <c r="U221" s="13"/>
      <c r="V221" s="17"/>
      <c r="W221" s="13">
        <f>ROUND(C221*K221,0)</f>
        <v>3372</v>
      </c>
      <c r="X221" s="14">
        <f>ROUND(C221*K221,0)</f>
        <v>3372</v>
      </c>
      <c r="Y221" s="14">
        <f>ROUND(C221*K221,0)</f>
        <v>3372</v>
      </c>
      <c r="Z221" s="13"/>
      <c r="AA221" s="13"/>
      <c r="AB221" s="71"/>
      <c r="AC221" s="17"/>
      <c r="AD221" s="17"/>
      <c r="AE221" s="13">
        <f>ROUND(O221*95,0)</f>
        <v>2375</v>
      </c>
      <c r="AF221" s="14">
        <f t="shared" si="238"/>
        <v>2375</v>
      </c>
      <c r="AG221" s="14">
        <f t="shared" si="239"/>
        <v>2375</v>
      </c>
      <c r="AH221" s="13"/>
      <c r="AI221" s="13"/>
      <c r="AJ221" s="71"/>
      <c r="AK221" s="100"/>
      <c r="AL221" s="14"/>
      <c r="AM221" s="14">
        <f>W221+AE221</f>
        <v>5747</v>
      </c>
      <c r="AN221" s="14">
        <f t="shared" ref="AN221:AN226" si="241">X221+AF221</f>
        <v>5747</v>
      </c>
      <c r="AO221" s="14">
        <f t="shared" ref="AO221:AO226" si="242">Y221+AG221</f>
        <v>5747</v>
      </c>
      <c r="AP221" s="14"/>
      <c r="AQ221" s="14"/>
      <c r="AR221" s="14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  <c r="BV221" s="56"/>
      <c r="BW221" s="56"/>
      <c r="BX221" s="56"/>
      <c r="BY221" s="56"/>
      <c r="BZ221" s="56"/>
      <c r="CA221" s="56"/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  <c r="CL221" s="56"/>
      <c r="CM221" s="56"/>
      <c r="CN221" s="56"/>
      <c r="CO221" s="56"/>
      <c r="CP221" s="56"/>
      <c r="CQ221" s="56"/>
      <c r="CR221" s="56"/>
      <c r="CS221" s="56"/>
      <c r="CT221" s="56"/>
      <c r="CU221" s="56"/>
      <c r="CV221" s="56"/>
      <c r="CW221" s="56"/>
      <c r="CX221" s="56"/>
      <c r="CY221" s="56"/>
      <c r="CZ221" s="56"/>
      <c r="DA221" s="56"/>
      <c r="DB221" s="56"/>
      <c r="DC221" s="56"/>
      <c r="DD221" s="56"/>
      <c r="DE221" s="56"/>
      <c r="DF221" s="56"/>
      <c r="DG221" s="56"/>
      <c r="DH221" s="56"/>
      <c r="DI221" s="56"/>
      <c r="DJ221" s="56"/>
      <c r="DK221" s="56"/>
      <c r="DL221" s="56"/>
      <c r="DM221" s="56"/>
      <c r="DN221" s="56"/>
      <c r="DO221" s="56"/>
      <c r="DP221" s="56"/>
      <c r="DQ221" s="56"/>
      <c r="DR221" s="56"/>
      <c r="DS221" s="56"/>
      <c r="DT221" s="56"/>
      <c r="DU221" s="56"/>
      <c r="DV221" s="56"/>
      <c r="DW221" s="56"/>
      <c r="DX221" s="56"/>
      <c r="DY221" s="56"/>
      <c r="DZ221" s="56"/>
      <c r="EA221" s="56"/>
      <c r="EB221" s="56"/>
      <c r="EC221" s="56"/>
      <c r="ED221" s="56"/>
      <c r="EE221" s="56"/>
      <c r="EF221" s="56"/>
      <c r="EG221" s="56"/>
      <c r="EH221" s="56"/>
      <c r="EI221" s="56"/>
      <c r="EJ221" s="56"/>
      <c r="EK221" s="56"/>
    </row>
    <row r="222" spans="1:1013 1056:2025 2068:3037 3080:4093 4136:5105 5148:6117 6160:7129 7172:8185 8228:9197 9240:10209 10252:12277 12320:13289 13332:14301 14344:15357 15400:16369" x14ac:dyDescent="0.7">
      <c r="A222" s="137" t="s">
        <v>198</v>
      </c>
      <c r="B222" s="138">
        <v>63</v>
      </c>
      <c r="C222" s="123">
        <v>1380</v>
      </c>
      <c r="D222" s="17"/>
      <c r="E222" s="14">
        <v>3</v>
      </c>
      <c r="F222" s="14"/>
      <c r="G222" s="13"/>
      <c r="H222" s="14">
        <v>15</v>
      </c>
      <c r="I222" s="23">
        <f>0</f>
        <v>0</v>
      </c>
      <c r="J222" s="13">
        <v>1.1000000000000001</v>
      </c>
      <c r="K222" s="14">
        <v>2</v>
      </c>
      <c r="L222" s="15">
        <v>1.7</v>
      </c>
      <c r="M222" s="13"/>
      <c r="N222" s="17"/>
      <c r="O222" s="15">
        <f t="shared" si="237"/>
        <v>21</v>
      </c>
      <c r="P222" s="14">
        <f>ROUND(C222*H222/1000,0)</f>
        <v>21</v>
      </c>
      <c r="Q222" s="14">
        <f t="shared" ref="Q222:Q225" si="243">ROUND(C222*H222/1000,0)</f>
        <v>21</v>
      </c>
      <c r="R222" s="14"/>
      <c r="S222" s="14"/>
      <c r="T222" s="18"/>
      <c r="U222" s="13"/>
      <c r="V222" s="17"/>
      <c r="W222" s="13">
        <f t="shared" ref="W222" si="244">ROUND(C222*K222,0)</f>
        <v>2760</v>
      </c>
      <c r="X222" s="14">
        <f t="shared" ref="X222:X225" si="245">ROUND(C222*K222,0)</f>
        <v>2760</v>
      </c>
      <c r="Y222" s="14">
        <f t="shared" ref="Y222:Y225" si="246">ROUND(C222*K222,0)</f>
        <v>2760</v>
      </c>
      <c r="Z222" s="13"/>
      <c r="AA222" s="13"/>
      <c r="AB222" s="71"/>
      <c r="AC222" s="17"/>
      <c r="AD222" s="17"/>
      <c r="AE222" s="13">
        <f>ROUND(O222*95,0)</f>
        <v>1995</v>
      </c>
      <c r="AF222" s="14">
        <f t="shared" ref="AF222:AF225" si="247">ROUND(P222*95,0)</f>
        <v>1995</v>
      </c>
      <c r="AG222" s="14">
        <f t="shared" ref="AG222:AG225" si="248">ROUND(Q222*95,0)</f>
        <v>1995</v>
      </c>
      <c r="AH222" s="13"/>
      <c r="AI222" s="13"/>
      <c r="AJ222" s="71"/>
      <c r="AK222" s="100"/>
      <c r="AL222" s="14"/>
      <c r="AM222" s="14">
        <f t="shared" ref="AM222:AM225" si="249">W222+AE222</f>
        <v>4755</v>
      </c>
      <c r="AN222" s="14">
        <f t="shared" ref="AN222:AN225" si="250">X222+AF222</f>
        <v>4755</v>
      </c>
      <c r="AO222" s="14">
        <f t="shared" ref="AO222:AO225" si="251">Y222+AG222</f>
        <v>4755</v>
      </c>
      <c r="AP222" s="14"/>
      <c r="AQ222" s="14"/>
      <c r="AR222" s="14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56"/>
      <c r="BU222" s="56"/>
      <c r="BV222" s="56"/>
      <c r="BW222" s="56"/>
      <c r="BX222" s="56"/>
      <c r="BY222" s="56"/>
      <c r="BZ222" s="56"/>
      <c r="CA222" s="56"/>
      <c r="CB222" s="56"/>
      <c r="CC222" s="56"/>
      <c r="CD222" s="56"/>
      <c r="CE222" s="56"/>
      <c r="CF222" s="56"/>
      <c r="CG222" s="56"/>
      <c r="CH222" s="56"/>
      <c r="CI222" s="56"/>
      <c r="CJ222" s="56"/>
      <c r="CK222" s="56"/>
      <c r="CL222" s="56"/>
      <c r="CM222" s="56"/>
      <c r="CN222" s="56"/>
      <c r="CO222" s="56"/>
      <c r="CP222" s="56"/>
      <c r="CQ222" s="56"/>
      <c r="CR222" s="56"/>
      <c r="CS222" s="56"/>
      <c r="CT222" s="56"/>
      <c r="CU222" s="56"/>
      <c r="CV222" s="56"/>
      <c r="CW222" s="56"/>
      <c r="CX222" s="56"/>
      <c r="CY222" s="56"/>
      <c r="CZ222" s="56"/>
      <c r="DA222" s="56"/>
      <c r="DB222" s="56"/>
      <c r="DC222" s="56"/>
      <c r="DD222" s="56"/>
      <c r="DE222" s="56"/>
      <c r="DF222" s="56"/>
      <c r="DG222" s="56"/>
      <c r="DH222" s="56"/>
      <c r="DI222" s="56"/>
      <c r="DJ222" s="56"/>
      <c r="DK222" s="56"/>
      <c r="DL222" s="56"/>
      <c r="DM222" s="56"/>
      <c r="DN222" s="56"/>
      <c r="DO222" s="56"/>
      <c r="DP222" s="56"/>
      <c r="DQ222" s="56"/>
      <c r="DR222" s="56"/>
      <c r="DS222" s="56"/>
      <c r="DT222" s="56"/>
      <c r="DU222" s="56"/>
      <c r="DV222" s="56"/>
      <c r="DW222" s="56"/>
      <c r="DX222" s="56"/>
      <c r="DY222" s="56"/>
      <c r="DZ222" s="56"/>
      <c r="EA222" s="56"/>
      <c r="EB222" s="56"/>
      <c r="EC222" s="56"/>
      <c r="ED222" s="56"/>
      <c r="EE222" s="56"/>
      <c r="EF222" s="56"/>
      <c r="EG222" s="56"/>
      <c r="EH222" s="56"/>
      <c r="EI222" s="56"/>
      <c r="EJ222" s="56"/>
      <c r="EK222" s="56"/>
    </row>
    <row r="223" spans="1:1013 1056:2025 2068:3037 3080:4093 4136:5105 5148:6117 6160:7129 7172:8185 8228:9197 9240:10209 10252:12277 12320:13289 13332:14301 14344:15357 15400:16369" x14ac:dyDescent="0.7">
      <c r="A223" s="137" t="s">
        <v>201</v>
      </c>
      <c r="B223" s="138">
        <v>53</v>
      </c>
      <c r="C223" s="123">
        <v>1168</v>
      </c>
      <c r="D223" s="17"/>
      <c r="E223" s="14">
        <v>3</v>
      </c>
      <c r="F223" s="14"/>
      <c r="G223" s="13"/>
      <c r="H223" s="14">
        <v>15</v>
      </c>
      <c r="I223" s="23">
        <f>0</f>
        <v>0</v>
      </c>
      <c r="J223" s="13">
        <v>1.1000000000000001</v>
      </c>
      <c r="K223" s="14">
        <v>2</v>
      </c>
      <c r="L223" s="15">
        <v>1.7</v>
      </c>
      <c r="M223" s="13"/>
      <c r="N223" s="17"/>
      <c r="O223" s="15">
        <f t="shared" si="237"/>
        <v>18</v>
      </c>
      <c r="P223" s="14">
        <f t="shared" ref="P223:P225" si="252">ROUND(C223*H223/1000,0)</f>
        <v>18</v>
      </c>
      <c r="Q223" s="14">
        <f t="shared" si="243"/>
        <v>18</v>
      </c>
      <c r="R223" s="14"/>
      <c r="S223" s="14"/>
      <c r="T223" s="18"/>
      <c r="U223" s="13"/>
      <c r="V223" s="17"/>
      <c r="W223" s="13">
        <f>ROUND(C223*K223,0)</f>
        <v>2336</v>
      </c>
      <c r="X223" s="14">
        <f t="shared" si="245"/>
        <v>2336</v>
      </c>
      <c r="Y223" s="14">
        <f t="shared" si="246"/>
        <v>2336</v>
      </c>
      <c r="Z223" s="13"/>
      <c r="AA223" s="13"/>
      <c r="AB223" s="71"/>
      <c r="AC223" s="17"/>
      <c r="AD223" s="17"/>
      <c r="AE223" s="13">
        <f t="shared" ref="AE223:AE225" si="253">ROUND(O223*95,0)</f>
        <v>1710</v>
      </c>
      <c r="AF223" s="14">
        <f t="shared" si="247"/>
        <v>1710</v>
      </c>
      <c r="AG223" s="14">
        <f t="shared" si="248"/>
        <v>1710</v>
      </c>
      <c r="AH223" s="13"/>
      <c r="AI223" s="13"/>
      <c r="AJ223" s="71"/>
      <c r="AK223" s="100"/>
      <c r="AL223" s="14"/>
      <c r="AM223" s="14">
        <f t="shared" si="249"/>
        <v>4046</v>
      </c>
      <c r="AN223" s="14">
        <f t="shared" si="250"/>
        <v>4046</v>
      </c>
      <c r="AO223" s="14">
        <f t="shared" si="251"/>
        <v>4046</v>
      </c>
      <c r="AP223" s="14"/>
      <c r="AQ223" s="14"/>
      <c r="AR223" s="14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6"/>
      <c r="BR223" s="56"/>
      <c r="BS223" s="56"/>
      <c r="BT223" s="56"/>
      <c r="BU223" s="56"/>
      <c r="BV223" s="56"/>
      <c r="BW223" s="56"/>
      <c r="BX223" s="56"/>
      <c r="BY223" s="56"/>
      <c r="BZ223" s="56"/>
      <c r="CA223" s="56"/>
      <c r="CB223" s="56"/>
      <c r="CC223" s="56"/>
      <c r="CD223" s="56"/>
      <c r="CE223" s="56"/>
      <c r="CF223" s="56"/>
      <c r="CG223" s="56"/>
      <c r="CH223" s="56"/>
      <c r="CI223" s="56"/>
      <c r="CJ223" s="56"/>
      <c r="CK223" s="56"/>
      <c r="CL223" s="56"/>
      <c r="CM223" s="56"/>
      <c r="CN223" s="56"/>
      <c r="CO223" s="56"/>
      <c r="CP223" s="56"/>
      <c r="CQ223" s="56"/>
      <c r="CR223" s="56"/>
      <c r="CS223" s="56"/>
      <c r="CT223" s="56"/>
      <c r="CU223" s="56"/>
      <c r="CV223" s="56"/>
      <c r="CW223" s="56"/>
      <c r="CX223" s="56"/>
      <c r="CY223" s="56"/>
      <c r="CZ223" s="56"/>
      <c r="DA223" s="56"/>
      <c r="DB223" s="56"/>
      <c r="DC223" s="56"/>
      <c r="DD223" s="56"/>
      <c r="DE223" s="56"/>
      <c r="DF223" s="56"/>
      <c r="DG223" s="56"/>
      <c r="DH223" s="56"/>
      <c r="DI223" s="56"/>
      <c r="DJ223" s="56"/>
      <c r="DK223" s="56"/>
      <c r="DL223" s="56"/>
      <c r="DM223" s="56"/>
      <c r="DN223" s="56"/>
      <c r="DO223" s="56"/>
      <c r="DP223" s="56"/>
      <c r="DQ223" s="56"/>
      <c r="DR223" s="56"/>
      <c r="DS223" s="56"/>
      <c r="DT223" s="56"/>
      <c r="DU223" s="56"/>
      <c r="DV223" s="56"/>
      <c r="DW223" s="56"/>
      <c r="DX223" s="56"/>
      <c r="DY223" s="56"/>
      <c r="DZ223" s="56"/>
      <c r="EA223" s="56"/>
      <c r="EB223" s="56"/>
      <c r="EC223" s="56"/>
      <c r="ED223" s="56"/>
      <c r="EE223" s="56"/>
      <c r="EF223" s="56"/>
      <c r="EG223" s="56"/>
      <c r="EH223" s="56"/>
      <c r="EI223" s="56"/>
      <c r="EJ223" s="56"/>
      <c r="EK223" s="56"/>
    </row>
    <row r="224" spans="1:1013 1056:2025 2068:3037 3080:4093 4136:5105 5148:6117 6160:7129 7172:8185 8228:9197 9240:10209 10252:12277 12320:13289 13332:14301 14344:15357 15400:16369" x14ac:dyDescent="0.7">
      <c r="A224" s="137" t="s">
        <v>199</v>
      </c>
      <c r="B224" s="138">
        <v>34</v>
      </c>
      <c r="C224" s="123">
        <v>751</v>
      </c>
      <c r="D224" s="17"/>
      <c r="E224" s="14">
        <v>3</v>
      </c>
      <c r="F224" s="14"/>
      <c r="G224" s="13"/>
      <c r="H224" s="14">
        <v>15</v>
      </c>
      <c r="I224" s="23">
        <f>0</f>
        <v>0</v>
      </c>
      <c r="J224" s="13">
        <v>1.1000000000000001</v>
      </c>
      <c r="K224" s="14">
        <v>2</v>
      </c>
      <c r="L224" s="15">
        <v>1.7</v>
      </c>
      <c r="M224" s="13"/>
      <c r="N224" s="17"/>
      <c r="O224" s="15">
        <f t="shared" si="237"/>
        <v>11</v>
      </c>
      <c r="P224" s="14">
        <f t="shared" si="252"/>
        <v>11</v>
      </c>
      <c r="Q224" s="14">
        <f t="shared" si="243"/>
        <v>11</v>
      </c>
      <c r="R224" s="14"/>
      <c r="S224" s="14"/>
      <c r="T224" s="18"/>
      <c r="U224" s="13"/>
      <c r="V224" s="17"/>
      <c r="W224" s="13">
        <f>ROUND(C224*K224,0)</f>
        <v>1502</v>
      </c>
      <c r="X224" s="14">
        <f t="shared" si="245"/>
        <v>1502</v>
      </c>
      <c r="Y224" s="14">
        <f t="shared" si="246"/>
        <v>1502</v>
      </c>
      <c r="Z224" s="13"/>
      <c r="AA224" s="13"/>
      <c r="AB224" s="71"/>
      <c r="AC224" s="17"/>
      <c r="AD224" s="17"/>
      <c r="AE224" s="13">
        <f t="shared" si="253"/>
        <v>1045</v>
      </c>
      <c r="AF224" s="14">
        <f t="shared" si="247"/>
        <v>1045</v>
      </c>
      <c r="AG224" s="14">
        <f t="shared" si="248"/>
        <v>1045</v>
      </c>
      <c r="AH224" s="13"/>
      <c r="AI224" s="13"/>
      <c r="AJ224" s="71"/>
      <c r="AK224" s="100"/>
      <c r="AL224" s="14"/>
      <c r="AM224" s="14">
        <f t="shared" si="249"/>
        <v>2547</v>
      </c>
      <c r="AN224" s="14">
        <f t="shared" si="250"/>
        <v>2547</v>
      </c>
      <c r="AO224" s="14">
        <f t="shared" si="251"/>
        <v>2547</v>
      </c>
      <c r="AP224" s="14"/>
      <c r="AQ224" s="14"/>
      <c r="AR224" s="14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  <c r="CZ224" s="56"/>
      <c r="DA224" s="56"/>
      <c r="DB224" s="56"/>
      <c r="DC224" s="56"/>
      <c r="DD224" s="56"/>
      <c r="DE224" s="56"/>
      <c r="DF224" s="56"/>
      <c r="DG224" s="56"/>
      <c r="DH224" s="56"/>
      <c r="DI224" s="56"/>
      <c r="DJ224" s="56"/>
      <c r="DK224" s="56"/>
      <c r="DL224" s="56"/>
      <c r="DM224" s="56"/>
      <c r="DN224" s="56"/>
      <c r="DO224" s="56"/>
      <c r="DP224" s="56"/>
      <c r="DQ224" s="56"/>
      <c r="DR224" s="56"/>
      <c r="DS224" s="56"/>
      <c r="DT224" s="56"/>
      <c r="DU224" s="56"/>
      <c r="DV224" s="56"/>
      <c r="DW224" s="56"/>
      <c r="DX224" s="56"/>
      <c r="DY224" s="56"/>
      <c r="DZ224" s="56"/>
      <c r="EA224" s="56"/>
      <c r="EB224" s="56"/>
      <c r="EC224" s="56"/>
      <c r="ED224" s="56"/>
      <c r="EE224" s="56"/>
      <c r="EF224" s="56"/>
      <c r="EG224" s="56"/>
      <c r="EH224" s="56"/>
      <c r="EI224" s="56"/>
      <c r="EJ224" s="56"/>
      <c r="EK224" s="56"/>
    </row>
    <row r="225" spans="1:141" x14ac:dyDescent="0.7">
      <c r="A225" s="137" t="s">
        <v>202</v>
      </c>
      <c r="B225" s="138">
        <v>70</v>
      </c>
      <c r="C225" s="123">
        <v>1547</v>
      </c>
      <c r="D225" s="17"/>
      <c r="E225" s="14">
        <v>3</v>
      </c>
      <c r="F225" s="14"/>
      <c r="G225" s="13"/>
      <c r="H225" s="14">
        <v>15</v>
      </c>
      <c r="I225" s="23">
        <f>0</f>
        <v>0</v>
      </c>
      <c r="J225" s="13">
        <v>1.1000000000000001</v>
      </c>
      <c r="K225" s="14">
        <v>2</v>
      </c>
      <c r="L225" s="15">
        <v>1.7</v>
      </c>
      <c r="M225" s="13"/>
      <c r="N225" s="17"/>
      <c r="O225" s="15">
        <f t="shared" si="237"/>
        <v>23</v>
      </c>
      <c r="P225" s="14">
        <f t="shared" si="252"/>
        <v>23</v>
      </c>
      <c r="Q225" s="14">
        <f t="shared" si="243"/>
        <v>23</v>
      </c>
      <c r="R225" s="14"/>
      <c r="S225" s="14"/>
      <c r="T225" s="18"/>
      <c r="U225" s="13"/>
      <c r="V225" s="17"/>
      <c r="W225" s="13">
        <f>ROUND(C225*K225,0)</f>
        <v>3094</v>
      </c>
      <c r="X225" s="14">
        <f t="shared" si="245"/>
        <v>3094</v>
      </c>
      <c r="Y225" s="14">
        <f t="shared" si="246"/>
        <v>3094</v>
      </c>
      <c r="Z225" s="13"/>
      <c r="AA225" s="13"/>
      <c r="AB225" s="71"/>
      <c r="AC225" s="17"/>
      <c r="AD225" s="17"/>
      <c r="AE225" s="13">
        <f t="shared" si="253"/>
        <v>2185</v>
      </c>
      <c r="AF225" s="14">
        <f t="shared" si="247"/>
        <v>2185</v>
      </c>
      <c r="AG225" s="14">
        <f t="shared" si="248"/>
        <v>2185</v>
      </c>
      <c r="AH225" s="13"/>
      <c r="AI225" s="13"/>
      <c r="AJ225" s="71"/>
      <c r="AK225" s="100"/>
      <c r="AL225" s="14"/>
      <c r="AM225" s="14">
        <f t="shared" si="249"/>
        <v>5279</v>
      </c>
      <c r="AN225" s="14">
        <f t="shared" si="250"/>
        <v>5279</v>
      </c>
      <c r="AO225" s="14">
        <f t="shared" si="251"/>
        <v>5279</v>
      </c>
      <c r="AP225" s="14"/>
      <c r="AQ225" s="14"/>
      <c r="AR225" s="14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  <c r="BV225" s="56"/>
      <c r="BW225" s="56"/>
      <c r="BX225" s="56"/>
      <c r="BY225" s="56"/>
      <c r="BZ225" s="56"/>
      <c r="CA225" s="56"/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  <c r="CL225" s="56"/>
      <c r="CM225" s="56"/>
      <c r="CN225" s="56"/>
      <c r="CO225" s="56"/>
      <c r="CP225" s="56"/>
      <c r="CQ225" s="56"/>
      <c r="CR225" s="56"/>
      <c r="CS225" s="56"/>
      <c r="CT225" s="56"/>
      <c r="CU225" s="56"/>
      <c r="CV225" s="56"/>
      <c r="CW225" s="56"/>
      <c r="CX225" s="56"/>
      <c r="CY225" s="56"/>
      <c r="CZ225" s="56"/>
      <c r="DA225" s="56"/>
      <c r="DB225" s="56"/>
      <c r="DC225" s="56"/>
      <c r="DD225" s="56"/>
      <c r="DE225" s="56"/>
      <c r="DF225" s="56"/>
      <c r="DG225" s="56"/>
      <c r="DH225" s="56"/>
      <c r="DI225" s="56"/>
      <c r="DJ225" s="56"/>
      <c r="DK225" s="56"/>
      <c r="DL225" s="56"/>
      <c r="DM225" s="56"/>
      <c r="DN225" s="56"/>
      <c r="DO225" s="56"/>
      <c r="DP225" s="56"/>
      <c r="DQ225" s="56"/>
      <c r="DR225" s="56"/>
      <c r="DS225" s="56"/>
      <c r="DT225" s="56"/>
      <c r="DU225" s="56"/>
      <c r="DV225" s="56"/>
      <c r="DW225" s="56"/>
      <c r="DX225" s="56"/>
      <c r="DY225" s="56"/>
      <c r="DZ225" s="56"/>
      <c r="EA225" s="56"/>
      <c r="EB225" s="56"/>
      <c r="EC225" s="56"/>
      <c r="ED225" s="56"/>
      <c r="EE225" s="56"/>
      <c r="EF225" s="56"/>
      <c r="EG225" s="56"/>
      <c r="EH225" s="56"/>
      <c r="EI225" s="56"/>
      <c r="EJ225" s="56"/>
      <c r="EK225" s="56"/>
    </row>
    <row r="226" spans="1:141" ht="25.2" thickBot="1" x14ac:dyDescent="0.75">
      <c r="A226" s="137" t="s">
        <v>200</v>
      </c>
      <c r="B226" s="138">
        <v>7</v>
      </c>
      <c r="C226" s="123">
        <v>145</v>
      </c>
      <c r="D226" s="17">
        <v>0</v>
      </c>
      <c r="E226" s="14">
        <v>3</v>
      </c>
      <c r="F226" s="14">
        <v>0</v>
      </c>
      <c r="G226" s="13">
        <f>0</f>
        <v>0</v>
      </c>
      <c r="H226" s="14">
        <v>15</v>
      </c>
      <c r="I226" s="23">
        <f>0</f>
        <v>0</v>
      </c>
      <c r="J226" s="13">
        <v>1.1000000000000001</v>
      </c>
      <c r="K226" s="14">
        <v>2</v>
      </c>
      <c r="L226" s="15">
        <v>1.7</v>
      </c>
      <c r="M226" s="13"/>
      <c r="N226" s="17"/>
      <c r="O226" s="15">
        <f t="shared" si="237"/>
        <v>2</v>
      </c>
      <c r="P226" s="14">
        <f t="shared" ref="P226" si="254">ROUND(C226*H226/1000,0)</f>
        <v>2</v>
      </c>
      <c r="Q226" s="14">
        <f t="shared" si="240"/>
        <v>2</v>
      </c>
      <c r="R226" s="14"/>
      <c r="S226" s="14"/>
      <c r="T226" s="18"/>
      <c r="U226" s="13"/>
      <c r="V226" s="17"/>
      <c r="W226" s="13">
        <f>ROUND(C226*K226,0)</f>
        <v>290</v>
      </c>
      <c r="X226" s="14">
        <f>ROUND(C226*K226,0)</f>
        <v>290</v>
      </c>
      <c r="Y226" s="14">
        <f>ROUND(C226*K226,0)</f>
        <v>290</v>
      </c>
      <c r="Z226" s="13"/>
      <c r="AA226" s="13"/>
      <c r="AB226" s="71"/>
      <c r="AC226" s="17"/>
      <c r="AD226" s="17"/>
      <c r="AE226" s="13">
        <f t="shared" ref="AE226" si="255">ROUND(O226*95,0)</f>
        <v>190</v>
      </c>
      <c r="AF226" s="14">
        <f t="shared" si="238"/>
        <v>190</v>
      </c>
      <c r="AG226" s="14">
        <f t="shared" si="239"/>
        <v>190</v>
      </c>
      <c r="AH226" s="13"/>
      <c r="AI226" s="13"/>
      <c r="AJ226" s="71"/>
      <c r="AK226" s="100"/>
      <c r="AL226" s="14"/>
      <c r="AM226" s="14">
        <f t="shared" ref="AM226" si="256">W226+AE226</f>
        <v>480</v>
      </c>
      <c r="AN226" s="14">
        <f t="shared" si="241"/>
        <v>480</v>
      </c>
      <c r="AO226" s="14">
        <f t="shared" si="242"/>
        <v>480</v>
      </c>
      <c r="AP226" s="14"/>
      <c r="AQ226" s="14"/>
      <c r="AR226" s="14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  <c r="BV226" s="56"/>
      <c r="BW226" s="56"/>
      <c r="BX226" s="56"/>
      <c r="BY226" s="56"/>
      <c r="BZ226" s="56"/>
      <c r="CA226" s="56"/>
      <c r="CB226" s="56"/>
      <c r="CC226" s="56"/>
      <c r="CD226" s="56"/>
      <c r="CE226" s="56"/>
      <c r="CF226" s="56"/>
      <c r="CG226" s="56"/>
      <c r="CH226" s="56"/>
      <c r="CI226" s="56"/>
      <c r="CJ226" s="56"/>
      <c r="CK226" s="56"/>
      <c r="CL226" s="56"/>
      <c r="CM226" s="56"/>
      <c r="CN226" s="56"/>
      <c r="CO226" s="56"/>
      <c r="CP226" s="56"/>
      <c r="CQ226" s="56"/>
      <c r="CR226" s="56"/>
      <c r="CS226" s="56"/>
      <c r="CT226" s="56"/>
      <c r="CU226" s="56"/>
      <c r="CV226" s="56"/>
      <c r="CW226" s="56"/>
      <c r="CX226" s="56"/>
      <c r="CY226" s="56"/>
      <c r="CZ226" s="56"/>
      <c r="DA226" s="56"/>
      <c r="DB226" s="56"/>
      <c r="DC226" s="56"/>
      <c r="DD226" s="56"/>
      <c r="DE226" s="56"/>
      <c r="DF226" s="56"/>
      <c r="DG226" s="56"/>
      <c r="DH226" s="56"/>
      <c r="DI226" s="56"/>
      <c r="DJ226" s="56"/>
      <c r="DK226" s="56"/>
      <c r="DL226" s="56"/>
      <c r="DM226" s="56"/>
      <c r="DN226" s="56"/>
      <c r="DO226" s="56"/>
      <c r="DP226" s="56"/>
      <c r="DQ226" s="56"/>
      <c r="DR226" s="56"/>
      <c r="DS226" s="56"/>
      <c r="DT226" s="56"/>
      <c r="DU226" s="56"/>
      <c r="DV226" s="56"/>
      <c r="DW226" s="56"/>
      <c r="DX226" s="56"/>
      <c r="DY226" s="56"/>
      <c r="DZ226" s="56"/>
      <c r="EA226" s="56"/>
      <c r="EB226" s="56"/>
      <c r="EC226" s="56"/>
      <c r="ED226" s="56"/>
      <c r="EE226" s="56"/>
      <c r="EF226" s="56"/>
      <c r="EG226" s="56"/>
      <c r="EH226" s="56"/>
      <c r="EI226" s="56"/>
      <c r="EJ226" s="56"/>
      <c r="EK226" s="56"/>
    </row>
    <row r="227" spans="1:141" ht="25.2" thickBot="1" x14ac:dyDescent="0.75">
      <c r="A227" s="884" t="s">
        <v>195</v>
      </c>
      <c r="B227" s="886">
        <f>SUM(B220:B226)</f>
        <v>390</v>
      </c>
      <c r="C227" s="886">
        <f>SUM(C220:C226)</f>
        <v>8569</v>
      </c>
      <c r="D227" s="888"/>
      <c r="E227" s="889"/>
      <c r="F227" s="889"/>
      <c r="G227" s="889"/>
      <c r="H227" s="889"/>
      <c r="I227" s="889"/>
      <c r="J227" s="889"/>
      <c r="K227" s="889"/>
      <c r="L227" s="890"/>
      <c r="M227" s="158">
        <f>SUM(M219:M221)</f>
        <v>0</v>
      </c>
      <c r="N227" s="158">
        <f>SUM(N219:N221)</f>
        <v>0</v>
      </c>
      <c r="O227" s="160">
        <f>SUM(O220:O226)</f>
        <v>128</v>
      </c>
      <c r="P227" s="160">
        <f>SUM(P220:P226)</f>
        <v>128</v>
      </c>
      <c r="Q227" s="160">
        <f>SUM(Q220:Q226)</f>
        <v>128</v>
      </c>
      <c r="R227" s="161">
        <f>SUM(R219:R221)</f>
        <v>0</v>
      </c>
      <c r="S227" s="161">
        <f>SUM(S219:S221)</f>
        <v>0</v>
      </c>
      <c r="T227" s="163">
        <f>SUM(T219:T221)</f>
        <v>0</v>
      </c>
      <c r="U227" s="158">
        <f>SUM(U219:U221)</f>
        <v>0</v>
      </c>
      <c r="V227" s="188">
        <f>0</f>
        <v>0</v>
      </c>
      <c r="W227" s="157">
        <f>SUM(W220:W226)</f>
        <v>17138</v>
      </c>
      <c r="X227" s="157">
        <f>SUM(X220:X226)</f>
        <v>17138</v>
      </c>
      <c r="Y227" s="157">
        <f>SUM(Y220:Y226)</f>
        <v>17138</v>
      </c>
      <c r="Z227" s="164" t="s">
        <v>164</v>
      </c>
      <c r="AA227" s="164"/>
      <c r="AB227" s="164"/>
      <c r="AC227" s="157">
        <f>SUM(AC219:AC221)</f>
        <v>0</v>
      </c>
      <c r="AD227" s="157">
        <f>SUM(AD219:AD221)</f>
        <v>0</v>
      </c>
      <c r="AE227" s="166">
        <f>SUM(AE220:AE226)</f>
        <v>12160</v>
      </c>
      <c r="AF227" s="166">
        <f>SUM(AF220:AF226)</f>
        <v>12160</v>
      </c>
      <c r="AG227" s="166">
        <f>SUM(AG220:AG226)</f>
        <v>12160</v>
      </c>
      <c r="AH227" s="175">
        <f>0</f>
        <v>0</v>
      </c>
      <c r="AI227" s="175">
        <f>0</f>
        <v>0</v>
      </c>
      <c r="AJ227" s="175">
        <f>0</f>
        <v>0</v>
      </c>
      <c r="AK227" s="165">
        <f>SUM(AK220:AK221)</f>
        <v>0</v>
      </c>
      <c r="AL227" s="165">
        <f>0</f>
        <v>0</v>
      </c>
      <c r="AM227" s="166">
        <f>SUM(AM220:AM226)</f>
        <v>29298</v>
      </c>
      <c r="AN227" s="166">
        <f>SUM(AN220:AN226)</f>
        <v>29298</v>
      </c>
      <c r="AO227" s="166">
        <f>SUM(AO220:AO226)</f>
        <v>29298</v>
      </c>
      <c r="AP227" s="175"/>
      <c r="AQ227" s="164"/>
      <c r="AR227" s="167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141" ht="25.2" thickBot="1" x14ac:dyDescent="0.75">
      <c r="A228" s="885"/>
      <c r="B228" s="887"/>
      <c r="C228" s="887"/>
      <c r="D228" s="891"/>
      <c r="E228" s="892"/>
      <c r="F228" s="892"/>
      <c r="G228" s="892"/>
      <c r="H228" s="892"/>
      <c r="I228" s="892"/>
      <c r="J228" s="892"/>
      <c r="K228" s="892"/>
      <c r="L228" s="893"/>
      <c r="M228" s="894">
        <f>M227+N227</f>
        <v>0</v>
      </c>
      <c r="N228" s="895">
        <f>M227+N227</f>
        <v>0</v>
      </c>
      <c r="O228" s="896">
        <f>+O227+P227+Q227</f>
        <v>384</v>
      </c>
      <c r="P228" s="897"/>
      <c r="Q228" s="898"/>
      <c r="R228" s="899">
        <f>+R227+S227+T227</f>
        <v>0</v>
      </c>
      <c r="S228" s="900"/>
      <c r="T228" s="901"/>
      <c r="U228" s="902">
        <f>U227+V227</f>
        <v>0</v>
      </c>
      <c r="V228" s="903"/>
      <c r="W228" s="904">
        <f>W227+X227+Y227</f>
        <v>51414</v>
      </c>
      <c r="X228" s="905"/>
      <c r="Y228" s="906"/>
      <c r="Z228" s="907">
        <f>0</f>
        <v>0</v>
      </c>
      <c r="AA228" s="908"/>
      <c r="AB228" s="909"/>
      <c r="AC228" s="910">
        <f>AC227+AD227</f>
        <v>0</v>
      </c>
      <c r="AD228" s="911">
        <f t="shared" ref="AD228" si="257">ROUND(N228*960,0)</f>
        <v>0</v>
      </c>
      <c r="AE228" s="912">
        <f>AE227+AF227+AG227</f>
        <v>36480</v>
      </c>
      <c r="AF228" s="913"/>
      <c r="AG228" s="914"/>
      <c r="AH228" s="915">
        <f>AH227+AI227+AJ227</f>
        <v>0</v>
      </c>
      <c r="AI228" s="916"/>
      <c r="AJ228" s="917"/>
      <c r="AK228" s="918">
        <f>AK227+AL227</f>
        <v>0</v>
      </c>
      <c r="AL228" s="919">
        <f t="shared" ref="AL228" si="258">V228+AD228</f>
        <v>0</v>
      </c>
      <c r="AM228" s="912">
        <f>AM227+AN227+AO227</f>
        <v>87894</v>
      </c>
      <c r="AN228" s="913"/>
      <c r="AO228" s="914"/>
      <c r="AP228" s="920">
        <f>AP227+AQ227+AR227</f>
        <v>0</v>
      </c>
      <c r="AQ228" s="921"/>
      <c r="AR228" s="922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141" x14ac:dyDescent="0.7"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6"/>
      <c r="CA229" s="56"/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  <c r="CL229" s="56"/>
      <c r="CM229" s="56"/>
      <c r="CN229" s="56"/>
      <c r="CO229" s="56"/>
      <c r="CP229" s="56"/>
      <c r="CQ229" s="56"/>
      <c r="CR229" s="56"/>
      <c r="CS229" s="56"/>
      <c r="CT229" s="56"/>
      <c r="CU229" s="56"/>
      <c r="CV229" s="56"/>
      <c r="CW229" s="56"/>
      <c r="CX229" s="56"/>
      <c r="CY229" s="56"/>
      <c r="CZ229" s="56"/>
      <c r="DA229" s="56"/>
      <c r="DB229" s="56"/>
      <c r="DC229" s="56"/>
      <c r="DD229" s="56"/>
      <c r="DE229" s="56"/>
      <c r="DF229" s="56"/>
      <c r="DG229" s="56"/>
      <c r="DH229" s="56"/>
      <c r="DI229" s="56"/>
      <c r="DJ229" s="56"/>
      <c r="DK229" s="56"/>
      <c r="DL229" s="56"/>
      <c r="DM229" s="56"/>
      <c r="DN229" s="56"/>
      <c r="DO229" s="56"/>
      <c r="DP229" s="56"/>
      <c r="DQ229" s="56"/>
      <c r="DR229" s="56"/>
      <c r="DS229" s="56"/>
      <c r="DT229" s="56"/>
      <c r="DU229" s="56"/>
      <c r="DV229" s="56"/>
      <c r="DW229" s="56"/>
      <c r="DX229" s="56"/>
      <c r="DY229" s="56"/>
      <c r="DZ229" s="56"/>
      <c r="EA229" s="56"/>
      <c r="EB229" s="56"/>
      <c r="EC229" s="56"/>
      <c r="ED229" s="56"/>
      <c r="EE229" s="56"/>
      <c r="EF229" s="56"/>
      <c r="EG229" s="56"/>
      <c r="EH229" s="56"/>
      <c r="EI229" s="56"/>
      <c r="EJ229" s="56"/>
      <c r="EK229" s="56"/>
    </row>
    <row r="230" spans="1:141" x14ac:dyDescent="0.7"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  <c r="BV230" s="56"/>
      <c r="BW230" s="56"/>
      <c r="BX230" s="56"/>
      <c r="BY230" s="56"/>
      <c r="BZ230" s="56"/>
      <c r="CA230" s="56"/>
      <c r="CB230" s="56"/>
      <c r="CC230" s="56"/>
      <c r="CD230" s="56"/>
      <c r="CE230" s="56"/>
      <c r="CF230" s="56"/>
      <c r="CG230" s="56"/>
      <c r="CH230" s="56"/>
      <c r="CI230" s="56"/>
      <c r="CJ230" s="56"/>
      <c r="CK230" s="56"/>
      <c r="CL230" s="56"/>
      <c r="CM230" s="56"/>
      <c r="CN230" s="56"/>
      <c r="CO230" s="56"/>
      <c r="CP230" s="56"/>
      <c r="CQ230" s="56"/>
      <c r="CR230" s="56"/>
      <c r="CS230" s="56"/>
      <c r="CT230" s="56"/>
      <c r="CU230" s="56"/>
      <c r="CV230" s="56"/>
      <c r="CW230" s="56"/>
      <c r="CX230" s="56"/>
      <c r="CY230" s="56"/>
      <c r="CZ230" s="56"/>
      <c r="DA230" s="56"/>
      <c r="DB230" s="56"/>
      <c r="DC230" s="56"/>
      <c r="DD230" s="56"/>
      <c r="DE230" s="56"/>
      <c r="DF230" s="56"/>
      <c r="DG230" s="56"/>
      <c r="DH230" s="56"/>
      <c r="DI230" s="56"/>
      <c r="DJ230" s="56"/>
      <c r="DK230" s="56"/>
      <c r="DL230" s="56"/>
      <c r="DM230" s="56"/>
      <c r="DN230" s="56"/>
      <c r="DO230" s="56"/>
      <c r="DP230" s="56"/>
      <c r="DQ230" s="56"/>
      <c r="DR230" s="56"/>
      <c r="DS230" s="56"/>
      <c r="DT230" s="56"/>
      <c r="DU230" s="56"/>
      <c r="DV230" s="56"/>
      <c r="DW230" s="56"/>
      <c r="DX230" s="56"/>
      <c r="DY230" s="56"/>
      <c r="DZ230" s="56"/>
      <c r="EA230" s="56"/>
      <c r="EB230" s="56"/>
      <c r="EC230" s="56"/>
      <c r="ED230" s="56"/>
      <c r="EE230" s="56"/>
      <c r="EF230" s="56"/>
      <c r="EG230" s="56"/>
      <c r="EH230" s="56"/>
      <c r="EI230" s="56"/>
      <c r="EJ230" s="56"/>
      <c r="EK230" s="56"/>
    </row>
    <row r="231" spans="1:141" x14ac:dyDescent="0.7"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6"/>
      <c r="CA231" s="56"/>
      <c r="CB231" s="56"/>
      <c r="CC231" s="56"/>
      <c r="CD231" s="56"/>
      <c r="CE231" s="56"/>
      <c r="CF231" s="56"/>
      <c r="CG231" s="56"/>
      <c r="CH231" s="56"/>
      <c r="CI231" s="56"/>
      <c r="CJ231" s="56"/>
      <c r="CK231" s="56"/>
      <c r="CL231" s="56"/>
      <c r="CM231" s="56"/>
      <c r="CN231" s="56"/>
      <c r="CO231" s="56"/>
      <c r="CP231" s="56"/>
      <c r="CQ231" s="56"/>
      <c r="CR231" s="56"/>
      <c r="CS231" s="56"/>
      <c r="CT231" s="56"/>
      <c r="CU231" s="56"/>
      <c r="CV231" s="56"/>
      <c r="CW231" s="56"/>
      <c r="CX231" s="56"/>
      <c r="CY231" s="56"/>
      <c r="CZ231" s="56"/>
      <c r="DA231" s="56"/>
      <c r="DB231" s="56"/>
      <c r="DC231" s="56"/>
      <c r="DD231" s="56"/>
      <c r="DE231" s="56"/>
      <c r="DF231" s="56"/>
      <c r="DG231" s="56"/>
      <c r="DH231" s="56"/>
      <c r="DI231" s="56"/>
      <c r="DJ231" s="56"/>
      <c r="DK231" s="56"/>
      <c r="DL231" s="56"/>
      <c r="DM231" s="56"/>
      <c r="DN231" s="56"/>
      <c r="DO231" s="56"/>
      <c r="DP231" s="56"/>
      <c r="DQ231" s="56"/>
      <c r="DR231" s="56"/>
      <c r="DS231" s="56"/>
      <c r="DT231" s="56"/>
      <c r="DU231" s="56"/>
      <c r="DV231" s="56"/>
      <c r="DW231" s="56"/>
      <c r="DX231" s="56"/>
      <c r="DY231" s="56"/>
      <c r="DZ231" s="56"/>
      <c r="EA231" s="56"/>
      <c r="EB231" s="56"/>
      <c r="EC231" s="56"/>
      <c r="ED231" s="56"/>
      <c r="EE231" s="56"/>
      <c r="EF231" s="56"/>
      <c r="EG231" s="56"/>
      <c r="EH231" s="56"/>
      <c r="EI231" s="56"/>
      <c r="EJ231" s="56"/>
      <c r="EK231" s="56"/>
    </row>
    <row r="232" spans="1:141" x14ac:dyDescent="0.7"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6"/>
      <c r="CA232" s="56"/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  <c r="CL232" s="56"/>
      <c r="CM232" s="56"/>
      <c r="CN232" s="56"/>
      <c r="CO232" s="56"/>
      <c r="CP232" s="56"/>
      <c r="CQ232" s="56"/>
      <c r="CR232" s="56"/>
      <c r="CS232" s="56"/>
      <c r="CT232" s="56"/>
      <c r="CU232" s="56"/>
      <c r="CV232" s="56"/>
      <c r="CW232" s="56"/>
      <c r="CX232" s="56"/>
      <c r="CY232" s="56"/>
      <c r="CZ232" s="56"/>
      <c r="DA232" s="56"/>
      <c r="DB232" s="56"/>
      <c r="DC232" s="56"/>
      <c r="DD232" s="56"/>
      <c r="DE232" s="56"/>
      <c r="DF232" s="56"/>
      <c r="DG232" s="56"/>
      <c r="DH232" s="56"/>
      <c r="DI232" s="56"/>
      <c r="DJ232" s="56"/>
      <c r="DK232" s="56"/>
      <c r="DL232" s="56"/>
      <c r="DM232" s="56"/>
      <c r="DN232" s="56"/>
      <c r="DO232" s="56"/>
      <c r="DP232" s="56"/>
      <c r="DQ232" s="56"/>
      <c r="DR232" s="56"/>
      <c r="DS232" s="56"/>
      <c r="DT232" s="56"/>
      <c r="DU232" s="56"/>
      <c r="DV232" s="56"/>
      <c r="DW232" s="56"/>
      <c r="DX232" s="56"/>
      <c r="DY232" s="56"/>
      <c r="DZ232" s="56"/>
      <c r="EA232" s="56"/>
      <c r="EB232" s="56"/>
      <c r="EC232" s="56"/>
      <c r="ED232" s="56"/>
      <c r="EE232" s="56"/>
      <c r="EF232" s="56"/>
      <c r="EG232" s="56"/>
      <c r="EH232" s="56"/>
      <c r="EI232" s="56"/>
      <c r="EJ232" s="56"/>
      <c r="EK232" s="56"/>
    </row>
    <row r="233" spans="1:141" x14ac:dyDescent="0.7"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  <c r="BV233" s="56"/>
      <c r="BW233" s="56"/>
      <c r="BX233" s="56"/>
      <c r="BY233" s="56"/>
      <c r="BZ233" s="56"/>
      <c r="CA233" s="56"/>
      <c r="CB233" s="56"/>
      <c r="CC233" s="56"/>
      <c r="CD233" s="56"/>
      <c r="CE233" s="56"/>
      <c r="CF233" s="56"/>
      <c r="CG233" s="56"/>
      <c r="CH233" s="56"/>
      <c r="CI233" s="56"/>
      <c r="CJ233" s="56"/>
      <c r="CK233" s="56"/>
      <c r="CL233" s="56"/>
      <c r="CM233" s="56"/>
      <c r="CN233" s="56"/>
      <c r="CO233" s="56"/>
      <c r="CP233" s="56"/>
      <c r="CQ233" s="56"/>
      <c r="CR233" s="56"/>
      <c r="CS233" s="56"/>
      <c r="CT233" s="56"/>
      <c r="CU233" s="56"/>
      <c r="CV233" s="56"/>
      <c r="CW233" s="56"/>
      <c r="CX233" s="56"/>
      <c r="CY233" s="56"/>
      <c r="CZ233" s="56"/>
      <c r="DA233" s="56"/>
      <c r="DB233" s="56"/>
      <c r="DC233" s="56"/>
      <c r="DD233" s="56"/>
      <c r="DE233" s="56"/>
      <c r="DF233" s="56"/>
      <c r="DG233" s="56"/>
      <c r="DH233" s="56"/>
      <c r="DI233" s="56"/>
      <c r="DJ233" s="56"/>
      <c r="DK233" s="56"/>
      <c r="DL233" s="56"/>
      <c r="DM233" s="56"/>
      <c r="DN233" s="56"/>
      <c r="DO233" s="56"/>
      <c r="DP233" s="56"/>
      <c r="DQ233" s="56"/>
      <c r="DR233" s="56"/>
      <c r="DS233" s="56"/>
      <c r="DT233" s="56"/>
      <c r="DU233" s="56"/>
      <c r="DV233" s="56"/>
      <c r="DW233" s="56"/>
      <c r="DX233" s="56"/>
      <c r="DY233" s="56"/>
      <c r="DZ233" s="56"/>
      <c r="EA233" s="56"/>
      <c r="EB233" s="56"/>
      <c r="EC233" s="56"/>
      <c r="ED233" s="56"/>
      <c r="EE233" s="56"/>
      <c r="EF233" s="56"/>
      <c r="EG233" s="56"/>
      <c r="EH233" s="56"/>
      <c r="EI233" s="56"/>
      <c r="EJ233" s="56"/>
      <c r="EK233" s="56"/>
    </row>
    <row r="234" spans="1:141" x14ac:dyDescent="0.7"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  <c r="BV234" s="56"/>
      <c r="BW234" s="56"/>
      <c r="BX234" s="56"/>
      <c r="BY234" s="56"/>
      <c r="BZ234" s="56"/>
      <c r="CA234" s="56"/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  <c r="CL234" s="56"/>
      <c r="CM234" s="56"/>
      <c r="CN234" s="56"/>
      <c r="CO234" s="56"/>
      <c r="CP234" s="56"/>
      <c r="CQ234" s="56"/>
      <c r="CR234" s="56"/>
      <c r="CS234" s="56"/>
      <c r="CT234" s="56"/>
      <c r="CU234" s="56"/>
      <c r="CV234" s="56"/>
      <c r="CW234" s="56"/>
      <c r="CX234" s="56"/>
      <c r="CY234" s="56"/>
      <c r="CZ234" s="56"/>
      <c r="DA234" s="56"/>
      <c r="DB234" s="56"/>
      <c r="DC234" s="56"/>
      <c r="DD234" s="56"/>
      <c r="DE234" s="56"/>
      <c r="DF234" s="56"/>
      <c r="DG234" s="56"/>
      <c r="DH234" s="56"/>
      <c r="DI234" s="56"/>
      <c r="DJ234" s="56"/>
      <c r="DK234" s="56"/>
      <c r="DL234" s="56"/>
      <c r="DM234" s="56"/>
      <c r="DN234" s="56"/>
      <c r="DO234" s="56"/>
      <c r="DP234" s="56"/>
      <c r="DQ234" s="56"/>
      <c r="DR234" s="56"/>
      <c r="DS234" s="56"/>
      <c r="DT234" s="56"/>
      <c r="DU234" s="56"/>
      <c r="DV234" s="56"/>
      <c r="DW234" s="56"/>
      <c r="DX234" s="56"/>
      <c r="DY234" s="56"/>
      <c r="DZ234" s="56"/>
      <c r="EA234" s="56"/>
      <c r="EB234" s="56"/>
      <c r="EC234" s="56"/>
      <c r="ED234" s="56"/>
      <c r="EE234" s="56"/>
      <c r="EF234" s="56"/>
      <c r="EG234" s="56"/>
      <c r="EH234" s="56"/>
      <c r="EI234" s="56"/>
      <c r="EJ234" s="56"/>
      <c r="EK234" s="56"/>
    </row>
    <row r="235" spans="1:141" x14ac:dyDescent="0.7"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  <c r="BV235" s="56"/>
      <c r="BW235" s="56"/>
      <c r="BX235" s="56"/>
      <c r="BY235" s="56"/>
      <c r="BZ235" s="56"/>
      <c r="CA235" s="56"/>
      <c r="CB235" s="56"/>
      <c r="CC235" s="56"/>
      <c r="CD235" s="56"/>
      <c r="CE235" s="56"/>
      <c r="CF235" s="56"/>
      <c r="CG235" s="56"/>
      <c r="CH235" s="56"/>
      <c r="CI235" s="56"/>
      <c r="CJ235" s="56"/>
      <c r="CK235" s="56"/>
      <c r="CL235" s="56"/>
      <c r="CM235" s="56"/>
      <c r="CN235" s="56"/>
      <c r="CO235" s="56"/>
      <c r="CP235" s="56"/>
      <c r="CQ235" s="56"/>
      <c r="CR235" s="56"/>
      <c r="CS235" s="56"/>
      <c r="CT235" s="56"/>
      <c r="CU235" s="56"/>
      <c r="CV235" s="56"/>
      <c r="CW235" s="56"/>
      <c r="CX235" s="56"/>
      <c r="CY235" s="56"/>
      <c r="CZ235" s="56"/>
      <c r="DA235" s="56"/>
      <c r="DB235" s="56"/>
      <c r="DC235" s="56"/>
      <c r="DD235" s="56"/>
      <c r="DE235" s="56"/>
      <c r="DF235" s="56"/>
      <c r="DG235" s="56"/>
      <c r="DH235" s="56"/>
      <c r="DI235" s="56"/>
      <c r="DJ235" s="56"/>
      <c r="DK235" s="56"/>
      <c r="DL235" s="56"/>
      <c r="DM235" s="56"/>
      <c r="DN235" s="56"/>
      <c r="DO235" s="56"/>
      <c r="DP235" s="56"/>
      <c r="DQ235" s="56"/>
      <c r="DR235" s="56"/>
      <c r="DS235" s="56"/>
      <c r="DT235" s="56"/>
      <c r="DU235" s="56"/>
      <c r="DV235" s="56"/>
      <c r="DW235" s="56"/>
      <c r="DX235" s="56"/>
      <c r="DY235" s="56"/>
      <c r="DZ235" s="56"/>
      <c r="EA235" s="56"/>
      <c r="EB235" s="56"/>
      <c r="EC235" s="56"/>
      <c r="ED235" s="56"/>
      <c r="EE235" s="56"/>
      <c r="EF235" s="56"/>
      <c r="EG235" s="56"/>
      <c r="EH235" s="56"/>
      <c r="EI235" s="56"/>
      <c r="EJ235" s="56"/>
      <c r="EK235" s="56"/>
    </row>
    <row r="236" spans="1:141" x14ac:dyDescent="0.7"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56"/>
      <c r="BU236" s="56"/>
      <c r="BV236" s="56"/>
      <c r="BW236" s="56"/>
      <c r="BX236" s="56"/>
      <c r="BY236" s="56"/>
      <c r="BZ236" s="56"/>
      <c r="CA236" s="56"/>
      <c r="CB236" s="56"/>
      <c r="CC236" s="56"/>
      <c r="CD236" s="56"/>
      <c r="CE236" s="56"/>
      <c r="CF236" s="56"/>
      <c r="CG236" s="56"/>
      <c r="CH236" s="56"/>
      <c r="CI236" s="56"/>
      <c r="CJ236" s="56"/>
      <c r="CK236" s="56"/>
      <c r="CL236" s="56"/>
      <c r="CM236" s="56"/>
      <c r="CN236" s="56"/>
      <c r="CO236" s="56"/>
      <c r="CP236" s="56"/>
      <c r="CQ236" s="56"/>
      <c r="CR236" s="56"/>
      <c r="CS236" s="56"/>
      <c r="CT236" s="56"/>
      <c r="CU236" s="56"/>
      <c r="CV236" s="56"/>
      <c r="CW236" s="56"/>
      <c r="CX236" s="56"/>
      <c r="CY236" s="56"/>
      <c r="CZ236" s="56"/>
      <c r="DA236" s="56"/>
      <c r="DB236" s="56"/>
      <c r="DC236" s="56"/>
      <c r="DD236" s="56"/>
      <c r="DE236" s="56"/>
      <c r="DF236" s="56"/>
      <c r="DG236" s="56"/>
      <c r="DH236" s="56"/>
      <c r="DI236" s="56"/>
      <c r="DJ236" s="56"/>
      <c r="DK236" s="56"/>
      <c r="DL236" s="56"/>
      <c r="DM236" s="56"/>
      <c r="DN236" s="56"/>
      <c r="DO236" s="56"/>
      <c r="DP236" s="56"/>
      <c r="DQ236" s="56"/>
      <c r="DR236" s="56"/>
      <c r="DS236" s="56"/>
      <c r="DT236" s="56"/>
      <c r="DU236" s="56"/>
      <c r="DV236" s="56"/>
      <c r="DW236" s="56"/>
      <c r="DX236" s="56"/>
      <c r="DY236" s="56"/>
      <c r="DZ236" s="56"/>
      <c r="EA236" s="56"/>
      <c r="EB236" s="56"/>
      <c r="EC236" s="56"/>
      <c r="ED236" s="56"/>
      <c r="EE236" s="56"/>
      <c r="EF236" s="56"/>
      <c r="EG236" s="56"/>
      <c r="EH236" s="56"/>
      <c r="EI236" s="56"/>
      <c r="EJ236" s="56"/>
      <c r="EK236" s="56"/>
    </row>
    <row r="237" spans="1:141" x14ac:dyDescent="0.7"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  <c r="BV237" s="56"/>
      <c r="BW237" s="56"/>
      <c r="BX237" s="56"/>
      <c r="BY237" s="56"/>
      <c r="BZ237" s="56"/>
      <c r="CA237" s="56"/>
      <c r="CB237" s="56"/>
      <c r="CC237" s="56"/>
      <c r="CD237" s="56"/>
      <c r="CE237" s="56"/>
      <c r="CF237" s="56"/>
      <c r="CG237" s="56"/>
      <c r="CH237" s="56"/>
      <c r="CI237" s="56"/>
      <c r="CJ237" s="56"/>
      <c r="CK237" s="56"/>
      <c r="CL237" s="56"/>
      <c r="CM237" s="56"/>
      <c r="CN237" s="56"/>
      <c r="CO237" s="56"/>
      <c r="CP237" s="56"/>
      <c r="CQ237" s="56"/>
      <c r="CR237" s="56"/>
      <c r="CS237" s="56"/>
      <c r="CT237" s="56"/>
      <c r="CU237" s="56"/>
      <c r="CV237" s="56"/>
      <c r="CW237" s="56"/>
      <c r="CX237" s="56"/>
      <c r="CY237" s="56"/>
      <c r="CZ237" s="56"/>
      <c r="DA237" s="56"/>
      <c r="DB237" s="56"/>
      <c r="DC237" s="56"/>
      <c r="DD237" s="56"/>
      <c r="DE237" s="56"/>
      <c r="DF237" s="56"/>
      <c r="DG237" s="56"/>
      <c r="DH237" s="56"/>
      <c r="DI237" s="56"/>
      <c r="DJ237" s="56"/>
      <c r="DK237" s="56"/>
      <c r="DL237" s="56"/>
      <c r="DM237" s="56"/>
      <c r="DN237" s="56"/>
      <c r="DO237" s="56"/>
      <c r="DP237" s="56"/>
      <c r="DQ237" s="56"/>
      <c r="DR237" s="56"/>
      <c r="DS237" s="56"/>
      <c r="DT237" s="56"/>
      <c r="DU237" s="56"/>
      <c r="DV237" s="56"/>
      <c r="DW237" s="56"/>
      <c r="DX237" s="56"/>
      <c r="DY237" s="56"/>
      <c r="DZ237" s="56"/>
      <c r="EA237" s="56"/>
      <c r="EB237" s="56"/>
      <c r="EC237" s="56"/>
      <c r="ED237" s="56"/>
      <c r="EE237" s="56"/>
      <c r="EF237" s="56"/>
      <c r="EG237" s="56"/>
      <c r="EH237" s="56"/>
      <c r="EI237" s="56"/>
      <c r="EJ237" s="56"/>
      <c r="EK237" s="56"/>
    </row>
    <row r="238" spans="1:141" x14ac:dyDescent="0.7"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  <c r="BV238" s="56"/>
      <c r="BW238" s="56"/>
      <c r="BX238" s="56"/>
      <c r="BY238" s="56"/>
      <c r="BZ238" s="56"/>
      <c r="CA238" s="56"/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  <c r="CL238" s="56"/>
      <c r="CM238" s="56"/>
      <c r="CN238" s="56"/>
      <c r="CO238" s="56"/>
      <c r="CP238" s="56"/>
      <c r="CQ238" s="56"/>
      <c r="CR238" s="56"/>
      <c r="CS238" s="56"/>
      <c r="CT238" s="56"/>
      <c r="CU238" s="56"/>
      <c r="CV238" s="56"/>
      <c r="CW238" s="56"/>
      <c r="CX238" s="56"/>
      <c r="CY238" s="56"/>
      <c r="CZ238" s="56"/>
      <c r="DA238" s="56"/>
      <c r="DB238" s="56"/>
      <c r="DC238" s="56"/>
      <c r="DD238" s="56"/>
      <c r="DE238" s="56"/>
      <c r="DF238" s="56"/>
      <c r="DG238" s="56"/>
      <c r="DH238" s="56"/>
      <c r="DI238" s="56"/>
      <c r="DJ238" s="56"/>
      <c r="DK238" s="56"/>
      <c r="DL238" s="56"/>
      <c r="DM238" s="56"/>
      <c r="DN238" s="56"/>
      <c r="DO238" s="56"/>
      <c r="DP238" s="56"/>
      <c r="DQ238" s="56"/>
      <c r="DR238" s="56"/>
      <c r="DS238" s="56"/>
      <c r="DT238" s="56"/>
      <c r="DU238" s="56"/>
      <c r="DV238" s="56"/>
      <c r="DW238" s="56"/>
      <c r="DX238" s="56"/>
      <c r="DY238" s="56"/>
      <c r="DZ238" s="56"/>
      <c r="EA238" s="56"/>
      <c r="EB238" s="56"/>
      <c r="EC238" s="56"/>
      <c r="ED238" s="56"/>
      <c r="EE238" s="56"/>
      <c r="EF238" s="56"/>
      <c r="EG238" s="56"/>
      <c r="EH238" s="56"/>
      <c r="EI238" s="56"/>
      <c r="EJ238" s="56"/>
      <c r="EK238" s="56"/>
    </row>
    <row r="239" spans="1:141" x14ac:dyDescent="0.7"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56"/>
      <c r="CP239" s="56"/>
      <c r="CQ239" s="56"/>
      <c r="CR239" s="56"/>
      <c r="CS239" s="56"/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  <c r="DF239" s="56"/>
      <c r="DG239" s="56"/>
      <c r="DH239" s="56"/>
      <c r="DI239" s="56"/>
      <c r="DJ239" s="56"/>
      <c r="DK239" s="56"/>
      <c r="DL239" s="56"/>
      <c r="DM239" s="56"/>
      <c r="DN239" s="56"/>
      <c r="DO239" s="56"/>
      <c r="DP239" s="56"/>
      <c r="DQ239" s="56"/>
      <c r="DR239" s="56"/>
      <c r="DS239" s="56"/>
      <c r="DT239" s="56"/>
      <c r="DU239" s="56"/>
      <c r="DV239" s="56"/>
      <c r="DW239" s="56"/>
      <c r="DX239" s="56"/>
      <c r="DY239" s="56"/>
      <c r="DZ239" s="56"/>
      <c r="EA239" s="56"/>
      <c r="EB239" s="56"/>
      <c r="EC239" s="56"/>
      <c r="ED239" s="56"/>
      <c r="EE239" s="56"/>
      <c r="EF239" s="56"/>
      <c r="EG239" s="56"/>
      <c r="EH239" s="56"/>
      <c r="EI239" s="56"/>
      <c r="EJ239" s="56"/>
      <c r="EK239" s="56"/>
    </row>
    <row r="240" spans="1:141" x14ac:dyDescent="0.7"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  <c r="BV240" s="56"/>
      <c r="BW240" s="56"/>
      <c r="BX240" s="56"/>
      <c r="BY240" s="56"/>
      <c r="BZ240" s="56"/>
      <c r="CA240" s="56"/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  <c r="CL240" s="56"/>
      <c r="CM240" s="56"/>
      <c r="CN240" s="56"/>
      <c r="CO240" s="56"/>
      <c r="CP240" s="56"/>
      <c r="CQ240" s="56"/>
      <c r="CR240" s="56"/>
      <c r="CS240" s="56"/>
      <c r="CT240" s="56"/>
      <c r="CU240" s="56"/>
      <c r="CV240" s="56"/>
      <c r="CW240" s="56"/>
      <c r="CX240" s="56"/>
      <c r="CY240" s="56"/>
      <c r="CZ240" s="56"/>
      <c r="DA240" s="56"/>
      <c r="DB240" s="56"/>
      <c r="DC240" s="56"/>
      <c r="DD240" s="56"/>
      <c r="DE240" s="56"/>
      <c r="DF240" s="56"/>
      <c r="DG240" s="56"/>
      <c r="DH240" s="56"/>
      <c r="DI240" s="56"/>
      <c r="DJ240" s="56"/>
      <c r="DK240" s="56"/>
      <c r="DL240" s="56"/>
      <c r="DM240" s="56"/>
      <c r="DN240" s="56"/>
      <c r="DO240" s="56"/>
      <c r="DP240" s="56"/>
      <c r="DQ240" s="56"/>
      <c r="DR240" s="56"/>
      <c r="DS240" s="56"/>
      <c r="DT240" s="56"/>
      <c r="DU240" s="56"/>
      <c r="DV240" s="56"/>
      <c r="DW240" s="56"/>
      <c r="DX240" s="56"/>
      <c r="DY240" s="56"/>
      <c r="DZ240" s="56"/>
      <c r="EA240" s="56"/>
      <c r="EB240" s="56"/>
      <c r="EC240" s="56"/>
      <c r="ED240" s="56"/>
      <c r="EE240" s="56"/>
      <c r="EF240" s="56"/>
      <c r="EG240" s="56"/>
      <c r="EH240" s="56"/>
      <c r="EI240" s="56"/>
      <c r="EJ240" s="56"/>
      <c r="EK240" s="56"/>
    </row>
    <row r="241" spans="45:141" x14ac:dyDescent="0.7"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6"/>
      <c r="BR241" s="56"/>
      <c r="BS241" s="56"/>
      <c r="BT241" s="56"/>
      <c r="BU241" s="56"/>
      <c r="BV241" s="56"/>
      <c r="BW241" s="56"/>
      <c r="BX241" s="56"/>
      <c r="BY241" s="56"/>
      <c r="BZ241" s="56"/>
      <c r="CA241" s="56"/>
      <c r="CB241" s="56"/>
      <c r="CC241" s="56"/>
      <c r="CD241" s="56"/>
      <c r="CE241" s="56"/>
      <c r="CF241" s="56"/>
      <c r="CG241" s="56"/>
      <c r="CH241" s="56"/>
      <c r="CI241" s="56"/>
      <c r="CJ241" s="56"/>
      <c r="CK241" s="56"/>
      <c r="CL241" s="56"/>
      <c r="CM241" s="56"/>
      <c r="CN241" s="56"/>
      <c r="CO241" s="56"/>
      <c r="CP241" s="56"/>
      <c r="CQ241" s="56"/>
      <c r="CR241" s="56"/>
      <c r="CS241" s="56"/>
      <c r="CT241" s="56"/>
      <c r="CU241" s="56"/>
      <c r="CV241" s="56"/>
      <c r="CW241" s="56"/>
      <c r="CX241" s="56"/>
      <c r="CY241" s="56"/>
      <c r="CZ241" s="56"/>
      <c r="DA241" s="56"/>
      <c r="DB241" s="56"/>
      <c r="DC241" s="56"/>
      <c r="DD241" s="56"/>
      <c r="DE241" s="56"/>
      <c r="DF241" s="56"/>
      <c r="DG241" s="56"/>
      <c r="DH241" s="56"/>
      <c r="DI241" s="56"/>
      <c r="DJ241" s="56"/>
      <c r="DK241" s="56"/>
      <c r="DL241" s="56"/>
      <c r="DM241" s="56"/>
      <c r="DN241" s="56"/>
      <c r="DO241" s="56"/>
      <c r="DP241" s="56"/>
      <c r="DQ241" s="56"/>
      <c r="DR241" s="56"/>
      <c r="DS241" s="56"/>
      <c r="DT241" s="56"/>
      <c r="DU241" s="56"/>
      <c r="DV241" s="56"/>
      <c r="DW241" s="56"/>
      <c r="DX241" s="56"/>
      <c r="DY241" s="56"/>
      <c r="DZ241" s="56"/>
      <c r="EA241" s="56"/>
      <c r="EB241" s="56"/>
      <c r="EC241" s="56"/>
      <c r="ED241" s="56"/>
      <c r="EE241" s="56"/>
      <c r="EF241" s="56"/>
      <c r="EG241" s="56"/>
      <c r="EH241" s="56"/>
      <c r="EI241" s="56"/>
      <c r="EJ241" s="56"/>
      <c r="EK241" s="56"/>
    </row>
    <row r="242" spans="45:141" x14ac:dyDescent="0.7"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6"/>
      <c r="BR242" s="56"/>
      <c r="BS242" s="56"/>
      <c r="BT242" s="56"/>
      <c r="BU242" s="56"/>
      <c r="BV242" s="56"/>
      <c r="BW242" s="56"/>
      <c r="BX242" s="56"/>
      <c r="BY242" s="56"/>
      <c r="BZ242" s="56"/>
      <c r="CA242" s="56"/>
      <c r="CB242" s="56"/>
      <c r="CC242" s="56"/>
      <c r="CD242" s="56"/>
      <c r="CE242" s="56"/>
      <c r="CF242" s="56"/>
      <c r="CG242" s="56"/>
      <c r="CH242" s="56"/>
      <c r="CI242" s="56"/>
      <c r="CJ242" s="56"/>
      <c r="CK242" s="56"/>
      <c r="CL242" s="56"/>
      <c r="CM242" s="56"/>
      <c r="CN242" s="56"/>
      <c r="CO242" s="56"/>
      <c r="CP242" s="56"/>
      <c r="CQ242" s="56"/>
      <c r="CR242" s="56"/>
      <c r="CS242" s="56"/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  <c r="DF242" s="56"/>
      <c r="DG242" s="56"/>
      <c r="DH242" s="56"/>
      <c r="DI242" s="56"/>
      <c r="DJ242" s="56"/>
      <c r="DK242" s="56"/>
      <c r="DL242" s="56"/>
      <c r="DM242" s="56"/>
      <c r="DN242" s="56"/>
      <c r="DO242" s="56"/>
      <c r="DP242" s="56"/>
      <c r="DQ242" s="56"/>
      <c r="DR242" s="56"/>
      <c r="DS242" s="56"/>
      <c r="DT242" s="56"/>
      <c r="DU242" s="56"/>
      <c r="DV242" s="56"/>
      <c r="DW242" s="56"/>
      <c r="DX242" s="56"/>
      <c r="DY242" s="56"/>
      <c r="DZ242" s="56"/>
      <c r="EA242" s="56"/>
      <c r="EB242" s="56"/>
      <c r="EC242" s="56"/>
      <c r="ED242" s="56"/>
      <c r="EE242" s="56"/>
      <c r="EF242" s="56"/>
      <c r="EG242" s="56"/>
      <c r="EH242" s="56"/>
      <c r="EI242" s="56"/>
      <c r="EJ242" s="56"/>
      <c r="EK242" s="56"/>
    </row>
    <row r="243" spans="45:141" x14ac:dyDescent="0.7"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6"/>
      <c r="BR243" s="56"/>
      <c r="BS243" s="56"/>
      <c r="BT243" s="56"/>
      <c r="BU243" s="56"/>
      <c r="BV243" s="56"/>
      <c r="BW243" s="56"/>
      <c r="BX243" s="56"/>
      <c r="BY243" s="56"/>
      <c r="BZ243" s="56"/>
      <c r="CA243" s="56"/>
      <c r="CB243" s="56"/>
      <c r="CC243" s="56"/>
      <c r="CD243" s="56"/>
      <c r="CE243" s="56"/>
      <c r="CF243" s="56"/>
      <c r="CG243" s="56"/>
      <c r="CH243" s="56"/>
      <c r="CI243" s="56"/>
      <c r="CJ243" s="56"/>
      <c r="CK243" s="56"/>
      <c r="CL243" s="56"/>
      <c r="CM243" s="56"/>
      <c r="CN243" s="56"/>
      <c r="CO243" s="56"/>
      <c r="CP243" s="56"/>
      <c r="CQ243" s="56"/>
      <c r="CR243" s="56"/>
      <c r="CS243" s="56"/>
      <c r="CT243" s="56"/>
      <c r="CU243" s="56"/>
      <c r="CV243" s="56"/>
      <c r="CW243" s="56"/>
      <c r="CX243" s="56"/>
      <c r="CY243" s="56"/>
      <c r="CZ243" s="56"/>
      <c r="DA243" s="56"/>
      <c r="DB243" s="56"/>
      <c r="DC243" s="56"/>
      <c r="DD243" s="56"/>
      <c r="DE243" s="56"/>
      <c r="DF243" s="56"/>
      <c r="DG243" s="56"/>
      <c r="DH243" s="56"/>
      <c r="DI243" s="56"/>
      <c r="DJ243" s="56"/>
      <c r="DK243" s="56"/>
      <c r="DL243" s="56"/>
      <c r="DM243" s="56"/>
      <c r="DN243" s="56"/>
      <c r="DO243" s="56"/>
      <c r="DP243" s="56"/>
      <c r="DQ243" s="56"/>
      <c r="DR243" s="56"/>
      <c r="DS243" s="56"/>
      <c r="DT243" s="56"/>
      <c r="DU243" s="56"/>
      <c r="DV243" s="56"/>
      <c r="DW243" s="56"/>
      <c r="DX243" s="56"/>
      <c r="DY243" s="56"/>
      <c r="DZ243" s="56"/>
      <c r="EA243" s="56"/>
      <c r="EB243" s="56"/>
      <c r="EC243" s="56"/>
      <c r="ED243" s="56"/>
      <c r="EE243" s="56"/>
      <c r="EF243" s="56"/>
      <c r="EG243" s="56"/>
      <c r="EH243" s="56"/>
      <c r="EI243" s="56"/>
      <c r="EJ243" s="56"/>
      <c r="EK243" s="56"/>
    </row>
    <row r="244" spans="45:141" x14ac:dyDescent="0.7"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  <c r="BV244" s="56"/>
      <c r="BW244" s="56"/>
      <c r="BX244" s="56"/>
      <c r="BY244" s="56"/>
      <c r="BZ244" s="56"/>
      <c r="CA244" s="56"/>
      <c r="CB244" s="56"/>
      <c r="CC244" s="56"/>
      <c r="CD244" s="56"/>
      <c r="CE244" s="56"/>
      <c r="CF244" s="56"/>
      <c r="CG244" s="56"/>
      <c r="CH244" s="56"/>
      <c r="CI244" s="56"/>
      <c r="CJ244" s="56"/>
      <c r="CK244" s="56"/>
      <c r="CL244" s="56"/>
      <c r="CM244" s="56"/>
      <c r="CN244" s="56"/>
      <c r="CO244" s="56"/>
      <c r="CP244" s="56"/>
      <c r="CQ244" s="56"/>
      <c r="CR244" s="56"/>
      <c r="CS244" s="56"/>
      <c r="CT244" s="56"/>
      <c r="CU244" s="56"/>
      <c r="CV244" s="56"/>
      <c r="CW244" s="56"/>
      <c r="CX244" s="56"/>
      <c r="CY244" s="56"/>
      <c r="CZ244" s="56"/>
      <c r="DA244" s="56"/>
      <c r="DB244" s="56"/>
      <c r="DC244" s="56"/>
      <c r="DD244" s="56"/>
      <c r="DE244" s="56"/>
      <c r="DF244" s="56"/>
      <c r="DG244" s="56"/>
      <c r="DH244" s="56"/>
      <c r="DI244" s="56"/>
      <c r="DJ244" s="56"/>
      <c r="DK244" s="56"/>
      <c r="DL244" s="56"/>
      <c r="DM244" s="56"/>
      <c r="DN244" s="56"/>
      <c r="DO244" s="56"/>
      <c r="DP244" s="56"/>
      <c r="DQ244" s="56"/>
      <c r="DR244" s="56"/>
      <c r="DS244" s="56"/>
      <c r="DT244" s="56"/>
      <c r="DU244" s="56"/>
      <c r="DV244" s="56"/>
      <c r="DW244" s="56"/>
      <c r="DX244" s="56"/>
      <c r="DY244" s="56"/>
      <c r="DZ244" s="56"/>
      <c r="EA244" s="56"/>
      <c r="EB244" s="56"/>
      <c r="EC244" s="56"/>
      <c r="ED244" s="56"/>
      <c r="EE244" s="56"/>
      <c r="EF244" s="56"/>
      <c r="EG244" s="56"/>
      <c r="EH244" s="56"/>
      <c r="EI244" s="56"/>
      <c r="EJ244" s="56"/>
      <c r="EK244" s="56"/>
    </row>
    <row r="245" spans="45:141" x14ac:dyDescent="0.7"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  <c r="BV245" s="56"/>
      <c r="BW245" s="56"/>
      <c r="BX245" s="56"/>
      <c r="BY245" s="56"/>
      <c r="BZ245" s="56"/>
      <c r="CA245" s="56"/>
      <c r="CB245" s="56"/>
      <c r="CC245" s="56"/>
      <c r="CD245" s="56"/>
      <c r="CE245" s="56"/>
      <c r="CF245" s="56"/>
      <c r="CG245" s="56"/>
      <c r="CH245" s="56"/>
      <c r="CI245" s="56"/>
      <c r="CJ245" s="56"/>
      <c r="CK245" s="56"/>
      <c r="CL245" s="56"/>
      <c r="CM245" s="56"/>
      <c r="CN245" s="56"/>
      <c r="CO245" s="56"/>
      <c r="CP245" s="56"/>
      <c r="CQ245" s="56"/>
      <c r="CR245" s="56"/>
      <c r="CS245" s="56"/>
      <c r="CT245" s="56"/>
      <c r="CU245" s="56"/>
      <c r="CV245" s="56"/>
      <c r="CW245" s="56"/>
      <c r="CX245" s="56"/>
      <c r="CY245" s="56"/>
      <c r="CZ245" s="56"/>
      <c r="DA245" s="56"/>
      <c r="DB245" s="56"/>
      <c r="DC245" s="56"/>
      <c r="DD245" s="56"/>
      <c r="DE245" s="56"/>
      <c r="DF245" s="56"/>
      <c r="DG245" s="56"/>
      <c r="DH245" s="56"/>
      <c r="DI245" s="56"/>
      <c r="DJ245" s="56"/>
      <c r="DK245" s="56"/>
      <c r="DL245" s="56"/>
      <c r="DM245" s="56"/>
      <c r="DN245" s="56"/>
      <c r="DO245" s="56"/>
      <c r="DP245" s="56"/>
      <c r="DQ245" s="56"/>
      <c r="DR245" s="56"/>
      <c r="DS245" s="56"/>
      <c r="DT245" s="56"/>
      <c r="DU245" s="56"/>
      <c r="DV245" s="56"/>
      <c r="DW245" s="56"/>
      <c r="DX245" s="56"/>
      <c r="DY245" s="56"/>
      <c r="DZ245" s="56"/>
      <c r="EA245" s="56"/>
      <c r="EB245" s="56"/>
      <c r="EC245" s="56"/>
      <c r="ED245" s="56"/>
      <c r="EE245" s="56"/>
      <c r="EF245" s="56"/>
      <c r="EG245" s="56"/>
      <c r="EH245" s="56"/>
      <c r="EI245" s="56"/>
      <c r="EJ245" s="56"/>
      <c r="EK245" s="56"/>
    </row>
    <row r="246" spans="45:141" x14ac:dyDescent="0.7"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  <c r="BV246" s="56"/>
      <c r="BW246" s="56"/>
      <c r="BX246" s="56"/>
      <c r="BY246" s="56"/>
      <c r="BZ246" s="56"/>
      <c r="CA246" s="56"/>
      <c r="CB246" s="56"/>
      <c r="CC246" s="56"/>
      <c r="CD246" s="56"/>
      <c r="CE246" s="56"/>
      <c r="CF246" s="56"/>
      <c r="CG246" s="56"/>
      <c r="CH246" s="56"/>
      <c r="CI246" s="56"/>
      <c r="CJ246" s="56"/>
      <c r="CK246" s="56"/>
      <c r="CL246" s="56"/>
      <c r="CM246" s="56"/>
      <c r="CN246" s="56"/>
      <c r="CO246" s="56"/>
      <c r="CP246" s="56"/>
      <c r="CQ246" s="56"/>
      <c r="CR246" s="56"/>
      <c r="CS246" s="56"/>
      <c r="CT246" s="56"/>
      <c r="CU246" s="56"/>
      <c r="CV246" s="56"/>
      <c r="CW246" s="56"/>
      <c r="CX246" s="56"/>
      <c r="CY246" s="56"/>
      <c r="CZ246" s="56"/>
      <c r="DA246" s="56"/>
      <c r="DB246" s="56"/>
      <c r="DC246" s="56"/>
      <c r="DD246" s="56"/>
      <c r="DE246" s="56"/>
      <c r="DF246" s="56"/>
      <c r="DG246" s="56"/>
      <c r="DH246" s="56"/>
      <c r="DI246" s="56"/>
      <c r="DJ246" s="56"/>
      <c r="DK246" s="56"/>
      <c r="DL246" s="56"/>
      <c r="DM246" s="56"/>
      <c r="DN246" s="56"/>
      <c r="DO246" s="56"/>
      <c r="DP246" s="56"/>
      <c r="DQ246" s="56"/>
      <c r="DR246" s="56"/>
      <c r="DS246" s="56"/>
      <c r="DT246" s="56"/>
      <c r="DU246" s="56"/>
      <c r="DV246" s="56"/>
      <c r="DW246" s="56"/>
      <c r="DX246" s="56"/>
      <c r="DY246" s="56"/>
      <c r="DZ246" s="56"/>
      <c r="EA246" s="56"/>
      <c r="EB246" s="56"/>
      <c r="EC246" s="56"/>
      <c r="ED246" s="56"/>
      <c r="EE246" s="56"/>
      <c r="EF246" s="56"/>
      <c r="EG246" s="56"/>
      <c r="EH246" s="56"/>
      <c r="EI246" s="56"/>
      <c r="EJ246" s="56"/>
      <c r="EK246" s="56"/>
    </row>
    <row r="247" spans="45:141" x14ac:dyDescent="0.7"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6"/>
      <c r="BR247" s="56"/>
      <c r="BS247" s="56"/>
      <c r="BT247" s="56"/>
      <c r="BU247" s="56"/>
      <c r="BV247" s="56"/>
      <c r="BW247" s="56"/>
      <c r="BX247" s="56"/>
      <c r="BY247" s="56"/>
      <c r="BZ247" s="56"/>
      <c r="CA247" s="56"/>
      <c r="CB247" s="56"/>
      <c r="CC247" s="56"/>
      <c r="CD247" s="56"/>
      <c r="CE247" s="56"/>
      <c r="CF247" s="56"/>
      <c r="CG247" s="56"/>
      <c r="CH247" s="56"/>
      <c r="CI247" s="56"/>
      <c r="CJ247" s="56"/>
      <c r="CK247" s="56"/>
      <c r="CL247" s="56"/>
      <c r="CM247" s="56"/>
      <c r="CN247" s="56"/>
      <c r="CO247" s="56"/>
      <c r="CP247" s="56"/>
      <c r="CQ247" s="56"/>
      <c r="CR247" s="56"/>
      <c r="CS247" s="56"/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  <c r="DF247" s="56"/>
      <c r="DG247" s="56"/>
      <c r="DH247" s="56"/>
      <c r="DI247" s="56"/>
      <c r="DJ247" s="56"/>
      <c r="DK247" s="56"/>
      <c r="DL247" s="56"/>
      <c r="DM247" s="56"/>
      <c r="DN247" s="56"/>
      <c r="DO247" s="56"/>
      <c r="DP247" s="56"/>
      <c r="DQ247" s="56"/>
      <c r="DR247" s="56"/>
      <c r="DS247" s="56"/>
      <c r="DT247" s="56"/>
      <c r="DU247" s="56"/>
      <c r="DV247" s="56"/>
      <c r="DW247" s="56"/>
      <c r="DX247" s="56"/>
      <c r="DY247" s="56"/>
      <c r="DZ247" s="56"/>
      <c r="EA247" s="56"/>
      <c r="EB247" s="56"/>
      <c r="EC247" s="56"/>
      <c r="ED247" s="56"/>
      <c r="EE247" s="56"/>
      <c r="EF247" s="56"/>
      <c r="EG247" s="56"/>
      <c r="EH247" s="56"/>
      <c r="EI247" s="56"/>
      <c r="EJ247" s="56"/>
      <c r="EK247" s="56"/>
    </row>
    <row r="248" spans="45:141" x14ac:dyDescent="0.7"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  <c r="BV248" s="56"/>
      <c r="BW248" s="56"/>
      <c r="BX248" s="56"/>
      <c r="BY248" s="56"/>
      <c r="BZ248" s="56"/>
      <c r="CA248" s="56"/>
      <c r="CB248" s="56"/>
      <c r="CC248" s="56"/>
      <c r="CD248" s="56"/>
      <c r="CE248" s="56"/>
      <c r="CF248" s="56"/>
      <c r="CG248" s="56"/>
      <c r="CH248" s="56"/>
      <c r="CI248" s="56"/>
      <c r="CJ248" s="56"/>
      <c r="CK248" s="56"/>
      <c r="CL248" s="56"/>
      <c r="CM248" s="56"/>
      <c r="CN248" s="56"/>
      <c r="CO248" s="56"/>
      <c r="CP248" s="56"/>
      <c r="CQ248" s="56"/>
      <c r="CR248" s="56"/>
      <c r="CS248" s="56"/>
      <c r="CT248" s="56"/>
      <c r="CU248" s="56"/>
      <c r="CV248" s="56"/>
      <c r="CW248" s="56"/>
      <c r="CX248" s="56"/>
      <c r="CY248" s="56"/>
      <c r="CZ248" s="56"/>
      <c r="DA248" s="56"/>
      <c r="DB248" s="56"/>
      <c r="DC248" s="56"/>
      <c r="DD248" s="56"/>
      <c r="DE248" s="56"/>
      <c r="DF248" s="56"/>
      <c r="DG248" s="56"/>
      <c r="DH248" s="56"/>
      <c r="DI248" s="56"/>
      <c r="DJ248" s="56"/>
      <c r="DK248" s="56"/>
      <c r="DL248" s="56"/>
      <c r="DM248" s="56"/>
      <c r="DN248" s="56"/>
      <c r="DO248" s="56"/>
      <c r="DP248" s="56"/>
      <c r="DQ248" s="56"/>
      <c r="DR248" s="56"/>
      <c r="DS248" s="56"/>
      <c r="DT248" s="56"/>
      <c r="DU248" s="56"/>
      <c r="DV248" s="56"/>
      <c r="DW248" s="56"/>
      <c r="DX248" s="56"/>
      <c r="DY248" s="56"/>
      <c r="DZ248" s="56"/>
      <c r="EA248" s="56"/>
      <c r="EB248" s="56"/>
      <c r="EC248" s="56"/>
      <c r="ED248" s="56"/>
      <c r="EE248" s="56"/>
      <c r="EF248" s="56"/>
      <c r="EG248" s="56"/>
      <c r="EH248" s="56"/>
      <c r="EI248" s="56"/>
      <c r="EJ248" s="56"/>
      <c r="EK248" s="56"/>
    </row>
  </sheetData>
  <mergeCells count="683">
    <mergeCell ref="A178:AR178"/>
    <mergeCell ref="A227:A228"/>
    <mergeCell ref="B227:B228"/>
    <mergeCell ref="C227:C228"/>
    <mergeCell ref="D227:L228"/>
    <mergeCell ref="M228:N228"/>
    <mergeCell ref="O228:Q228"/>
    <mergeCell ref="R228:T228"/>
    <mergeCell ref="U228:V228"/>
    <mergeCell ref="W228:Y228"/>
    <mergeCell ref="Z228:AB228"/>
    <mergeCell ref="AC228:AD228"/>
    <mergeCell ref="AE228:AG228"/>
    <mergeCell ref="AH228:AJ228"/>
    <mergeCell ref="AK228:AL228"/>
    <mergeCell ref="AM228:AO228"/>
    <mergeCell ref="AP228:AR228"/>
    <mergeCell ref="A218:AR218"/>
    <mergeCell ref="A219:AR219"/>
    <mergeCell ref="AE214:AG214"/>
    <mergeCell ref="AH214:AJ214"/>
    <mergeCell ref="AK214:AL214"/>
    <mergeCell ref="AM214:AO214"/>
    <mergeCell ref="Z217:AB217"/>
    <mergeCell ref="AC217:AD217"/>
    <mergeCell ref="AE217:AG217"/>
    <mergeCell ref="AH217:AJ217"/>
    <mergeCell ref="AK217:AL217"/>
    <mergeCell ref="AM217:AO217"/>
    <mergeCell ref="AP217:AR217"/>
    <mergeCell ref="C213:C214"/>
    <mergeCell ref="D213:L214"/>
    <mergeCell ref="M214:N214"/>
    <mergeCell ref="O214:Q214"/>
    <mergeCell ref="R214:T214"/>
    <mergeCell ref="U214:V214"/>
    <mergeCell ref="W214:Y214"/>
    <mergeCell ref="Z214:AB214"/>
    <mergeCell ref="AC214:AD214"/>
    <mergeCell ref="AP214:AR214"/>
    <mergeCell ref="A216:A217"/>
    <mergeCell ref="B216:B217"/>
    <mergeCell ref="C216:C217"/>
    <mergeCell ref="D216:L217"/>
    <mergeCell ref="M217:N217"/>
    <mergeCell ref="O217:Q217"/>
    <mergeCell ref="R217:T217"/>
    <mergeCell ref="U217:V217"/>
    <mergeCell ref="W217:Y217"/>
    <mergeCell ref="AP208:AR208"/>
    <mergeCell ref="A209:AR209"/>
    <mergeCell ref="A210:AR210"/>
    <mergeCell ref="A207:A208"/>
    <mergeCell ref="B207:B208"/>
    <mergeCell ref="C207:C208"/>
    <mergeCell ref="D207:L208"/>
    <mergeCell ref="M208:N208"/>
    <mergeCell ref="O208:Q208"/>
    <mergeCell ref="R208:T208"/>
    <mergeCell ref="U208:V208"/>
    <mergeCell ref="W208:Y208"/>
    <mergeCell ref="Z205:AB205"/>
    <mergeCell ref="AC205:AD205"/>
    <mergeCell ref="AE205:AG205"/>
    <mergeCell ref="AH205:AJ205"/>
    <mergeCell ref="AK205:AL205"/>
    <mergeCell ref="AM205:AO205"/>
    <mergeCell ref="AP205:AR205"/>
    <mergeCell ref="A213:A214"/>
    <mergeCell ref="B213:B214"/>
    <mergeCell ref="A204:A205"/>
    <mergeCell ref="B204:B205"/>
    <mergeCell ref="C204:C205"/>
    <mergeCell ref="D204:L205"/>
    <mergeCell ref="M205:N205"/>
    <mergeCell ref="O205:Q205"/>
    <mergeCell ref="R205:T205"/>
    <mergeCell ref="U205:V205"/>
    <mergeCell ref="W205:Y205"/>
    <mergeCell ref="Z208:AB208"/>
    <mergeCell ref="AC208:AD208"/>
    <mergeCell ref="AE208:AG208"/>
    <mergeCell ref="AH208:AJ208"/>
    <mergeCell ref="AK208:AL208"/>
    <mergeCell ref="AM208:AO208"/>
    <mergeCell ref="A201:A202"/>
    <mergeCell ref="B201:B202"/>
    <mergeCell ref="C201:C202"/>
    <mergeCell ref="D201:L202"/>
    <mergeCell ref="M202:N202"/>
    <mergeCell ref="O202:Q202"/>
    <mergeCell ref="R202:T202"/>
    <mergeCell ref="U202:V202"/>
    <mergeCell ref="W202:Y202"/>
    <mergeCell ref="Z202:AB202"/>
    <mergeCell ref="AC202:AD202"/>
    <mergeCell ref="AE202:AG202"/>
    <mergeCell ref="AH202:AJ202"/>
    <mergeCell ref="AK202:AL202"/>
    <mergeCell ref="AM202:AO202"/>
    <mergeCell ref="AP202:AR202"/>
    <mergeCell ref="A197:AR197"/>
    <mergeCell ref="A126:AR126"/>
    <mergeCell ref="A127:AR127"/>
    <mergeCell ref="A133:A134"/>
    <mergeCell ref="B133:B134"/>
    <mergeCell ref="C133:C134"/>
    <mergeCell ref="D133:L134"/>
    <mergeCell ref="M134:N134"/>
    <mergeCell ref="O134:Q134"/>
    <mergeCell ref="R134:T134"/>
    <mergeCell ref="U134:V134"/>
    <mergeCell ref="W134:Y134"/>
    <mergeCell ref="Z134:AB134"/>
    <mergeCell ref="AC134:AD134"/>
    <mergeCell ref="AE134:AG134"/>
    <mergeCell ref="AH134:AJ134"/>
    <mergeCell ref="AK134:AL134"/>
    <mergeCell ref="AM134:AO134"/>
    <mergeCell ref="AP134:AR134"/>
    <mergeCell ref="W128:Y132"/>
    <mergeCell ref="Z125:AB125"/>
    <mergeCell ref="AC125:AD125"/>
    <mergeCell ref="AE125:AG125"/>
    <mergeCell ref="AH125:AJ125"/>
    <mergeCell ref="AK125:AL125"/>
    <mergeCell ref="AM125:AO125"/>
    <mergeCell ref="AP125:AR125"/>
    <mergeCell ref="A124:A125"/>
    <mergeCell ref="B124:B125"/>
    <mergeCell ref="C124:C125"/>
    <mergeCell ref="D124:L125"/>
    <mergeCell ref="M125:N125"/>
    <mergeCell ref="O125:Q125"/>
    <mergeCell ref="R125:T125"/>
    <mergeCell ref="U125:V125"/>
    <mergeCell ref="W125:Y125"/>
    <mergeCell ref="AE121:AG121"/>
    <mergeCell ref="AH121:AJ121"/>
    <mergeCell ref="AK121:AL121"/>
    <mergeCell ref="A116:AR116"/>
    <mergeCell ref="A117:AR117"/>
    <mergeCell ref="A120:A121"/>
    <mergeCell ref="B120:B121"/>
    <mergeCell ref="C120:C121"/>
    <mergeCell ref="D120:L121"/>
    <mergeCell ref="M121:N121"/>
    <mergeCell ref="AM121:AO121"/>
    <mergeCell ref="AP121:AR121"/>
    <mergeCell ref="O121:Q121"/>
    <mergeCell ref="R121:T121"/>
    <mergeCell ref="U121:V121"/>
    <mergeCell ref="W121:Y121"/>
    <mergeCell ref="Z121:AB121"/>
    <mergeCell ref="AC121:AD121"/>
    <mergeCell ref="Z110:AB110"/>
    <mergeCell ref="AC110:AD110"/>
    <mergeCell ref="AE110:AG110"/>
    <mergeCell ref="AH110:AJ110"/>
    <mergeCell ref="AK110:AL110"/>
    <mergeCell ref="AM110:AO110"/>
    <mergeCell ref="AP110:AR110"/>
    <mergeCell ref="A114:A115"/>
    <mergeCell ref="B114:B115"/>
    <mergeCell ref="C114:C115"/>
    <mergeCell ref="D114:L115"/>
    <mergeCell ref="M115:N115"/>
    <mergeCell ref="O115:Q115"/>
    <mergeCell ref="R115:T115"/>
    <mergeCell ref="U115:V115"/>
    <mergeCell ref="W115:Y115"/>
    <mergeCell ref="Z115:AB115"/>
    <mergeCell ref="AC115:AD115"/>
    <mergeCell ref="AE115:AG115"/>
    <mergeCell ref="AH115:AJ115"/>
    <mergeCell ref="AK115:AL115"/>
    <mergeCell ref="AM115:AO115"/>
    <mergeCell ref="AP115:AR115"/>
    <mergeCell ref="A109:A110"/>
    <mergeCell ref="B109:B110"/>
    <mergeCell ref="C109:C110"/>
    <mergeCell ref="D109:L110"/>
    <mergeCell ref="M110:N110"/>
    <mergeCell ref="O110:Q110"/>
    <mergeCell ref="R110:T110"/>
    <mergeCell ref="U110:V110"/>
    <mergeCell ref="W110:Y110"/>
    <mergeCell ref="A104:AR104"/>
    <mergeCell ref="A106:A107"/>
    <mergeCell ref="B106:B107"/>
    <mergeCell ref="C106:C107"/>
    <mergeCell ref="D106:L107"/>
    <mergeCell ref="M107:N107"/>
    <mergeCell ref="O107:Q107"/>
    <mergeCell ref="R107:T107"/>
    <mergeCell ref="U107:V107"/>
    <mergeCell ref="W107:Y107"/>
    <mergeCell ref="Z107:AB107"/>
    <mergeCell ref="AC107:AD107"/>
    <mergeCell ref="AE107:AG107"/>
    <mergeCell ref="AH107:AJ107"/>
    <mergeCell ref="AK107:AL107"/>
    <mergeCell ref="AM107:AO107"/>
    <mergeCell ref="AP107:AR107"/>
    <mergeCell ref="A96:AR96"/>
    <mergeCell ref="A97:AR97"/>
    <mergeCell ref="A102:A103"/>
    <mergeCell ref="B102:B103"/>
    <mergeCell ref="C102:C103"/>
    <mergeCell ref="D102:L103"/>
    <mergeCell ref="M103:N103"/>
    <mergeCell ref="O103:Q103"/>
    <mergeCell ref="R103:T103"/>
    <mergeCell ref="U103:V103"/>
    <mergeCell ref="W103:Y103"/>
    <mergeCell ref="Z103:AB103"/>
    <mergeCell ref="AC103:AD103"/>
    <mergeCell ref="AE103:AG103"/>
    <mergeCell ref="AH103:AJ103"/>
    <mergeCell ref="AK103:AL103"/>
    <mergeCell ref="AM103:AO103"/>
    <mergeCell ref="AP103:AR103"/>
    <mergeCell ref="A91:AR91"/>
    <mergeCell ref="A92:AR92"/>
    <mergeCell ref="A94:A95"/>
    <mergeCell ref="B94:B95"/>
    <mergeCell ref="C94:C95"/>
    <mergeCell ref="D94:L95"/>
    <mergeCell ref="M95:N95"/>
    <mergeCell ref="O95:Q95"/>
    <mergeCell ref="R95:T95"/>
    <mergeCell ref="U95:V95"/>
    <mergeCell ref="W95:Y95"/>
    <mergeCell ref="Z95:AB95"/>
    <mergeCell ref="AC95:AD95"/>
    <mergeCell ref="AE95:AG95"/>
    <mergeCell ref="AH95:AJ95"/>
    <mergeCell ref="AK95:AL95"/>
    <mergeCell ref="AM95:AO95"/>
    <mergeCell ref="AP95:AR95"/>
    <mergeCell ref="A85:AR85"/>
    <mergeCell ref="A86:AR86"/>
    <mergeCell ref="A89:A90"/>
    <mergeCell ref="B89:B90"/>
    <mergeCell ref="C89:C90"/>
    <mergeCell ref="D89:L90"/>
    <mergeCell ref="M90:N90"/>
    <mergeCell ref="O90:Q90"/>
    <mergeCell ref="R90:T90"/>
    <mergeCell ref="U90:V90"/>
    <mergeCell ref="W90:Y90"/>
    <mergeCell ref="Z90:AB90"/>
    <mergeCell ref="AC90:AD90"/>
    <mergeCell ref="AE90:AG90"/>
    <mergeCell ref="AH90:AJ90"/>
    <mergeCell ref="AK90:AL90"/>
    <mergeCell ref="AM90:AO90"/>
    <mergeCell ref="AP90:AR90"/>
    <mergeCell ref="AP80:AR80"/>
    <mergeCell ref="A83:A84"/>
    <mergeCell ref="B83:B84"/>
    <mergeCell ref="C83:C84"/>
    <mergeCell ref="D83:L84"/>
    <mergeCell ref="M84:N84"/>
    <mergeCell ref="O84:Q84"/>
    <mergeCell ref="R84:T84"/>
    <mergeCell ref="U84:V84"/>
    <mergeCell ref="W84:Y84"/>
    <mergeCell ref="Z84:AB84"/>
    <mergeCell ref="AC84:AD84"/>
    <mergeCell ref="AE84:AG84"/>
    <mergeCell ref="AH84:AJ84"/>
    <mergeCell ref="AK84:AL84"/>
    <mergeCell ref="AM84:AO84"/>
    <mergeCell ref="AP84:AR84"/>
    <mergeCell ref="Z75:AB75"/>
    <mergeCell ref="AC75:AD75"/>
    <mergeCell ref="AE75:AG75"/>
    <mergeCell ref="AH75:AJ75"/>
    <mergeCell ref="AK75:AL75"/>
    <mergeCell ref="AM75:AO75"/>
    <mergeCell ref="AP75:AR75"/>
    <mergeCell ref="A76:AR76"/>
    <mergeCell ref="A79:A80"/>
    <mergeCell ref="B79:B80"/>
    <mergeCell ref="C79:C80"/>
    <mergeCell ref="D79:L80"/>
    <mergeCell ref="M80:N80"/>
    <mergeCell ref="O80:Q80"/>
    <mergeCell ref="R80:T80"/>
    <mergeCell ref="U80:V80"/>
    <mergeCell ref="W80:Y80"/>
    <mergeCell ref="Z80:AB80"/>
    <mergeCell ref="AC80:AD80"/>
    <mergeCell ref="AE80:AG80"/>
    <mergeCell ref="AH80:AJ80"/>
    <mergeCell ref="AK80:AL80"/>
    <mergeCell ref="AM80:AO80"/>
    <mergeCell ref="A74:A75"/>
    <mergeCell ref="B74:B75"/>
    <mergeCell ref="C74:C75"/>
    <mergeCell ref="D74:L75"/>
    <mergeCell ref="M75:N75"/>
    <mergeCell ref="O75:Q75"/>
    <mergeCell ref="R75:T75"/>
    <mergeCell ref="U75:V75"/>
    <mergeCell ref="W75:Y75"/>
    <mergeCell ref="A67:AR67"/>
    <mergeCell ref="B70:B71"/>
    <mergeCell ref="C70:C71"/>
    <mergeCell ref="D70:L71"/>
    <mergeCell ref="M71:N71"/>
    <mergeCell ref="O71:Q71"/>
    <mergeCell ref="R71:T71"/>
    <mergeCell ref="U71:V71"/>
    <mergeCell ref="W71:Y71"/>
    <mergeCell ref="Z71:AB71"/>
    <mergeCell ref="AC71:AD71"/>
    <mergeCell ref="AE71:AG71"/>
    <mergeCell ref="AH71:AJ71"/>
    <mergeCell ref="AK71:AL71"/>
    <mergeCell ref="AM71:AO71"/>
    <mergeCell ref="AP71:AR71"/>
    <mergeCell ref="AM65:AO65"/>
    <mergeCell ref="AP65:AR65"/>
    <mergeCell ref="A57:A58"/>
    <mergeCell ref="B57:B58"/>
    <mergeCell ref="C57:C58"/>
    <mergeCell ref="D57:L58"/>
    <mergeCell ref="M58:N58"/>
    <mergeCell ref="O58:Q58"/>
    <mergeCell ref="R58:T58"/>
    <mergeCell ref="U58:V58"/>
    <mergeCell ref="W58:Y58"/>
    <mergeCell ref="Z58:AB58"/>
    <mergeCell ref="AC58:AD58"/>
    <mergeCell ref="AE58:AG58"/>
    <mergeCell ref="AH58:AJ58"/>
    <mergeCell ref="AK58:AL58"/>
    <mergeCell ref="AM58:AO58"/>
    <mergeCell ref="AP58:AR58"/>
    <mergeCell ref="M65:N65"/>
    <mergeCell ref="O65:Q65"/>
    <mergeCell ref="R65:T65"/>
    <mergeCell ref="U65:V65"/>
    <mergeCell ref="W65:Y65"/>
    <mergeCell ref="Z65:AB65"/>
    <mergeCell ref="AC65:AD65"/>
    <mergeCell ref="AE65:AG65"/>
    <mergeCell ref="AH65:AJ65"/>
    <mergeCell ref="Z55:AB55"/>
    <mergeCell ref="AC55:AD55"/>
    <mergeCell ref="AE55:AG55"/>
    <mergeCell ref="AH55:AJ55"/>
    <mergeCell ref="AK55:AL55"/>
    <mergeCell ref="AK65:AL65"/>
    <mergeCell ref="AP55:AR55"/>
    <mergeCell ref="A59:AR59"/>
    <mergeCell ref="A54:A55"/>
    <mergeCell ref="B54:B55"/>
    <mergeCell ref="C54:C55"/>
    <mergeCell ref="D54:L55"/>
    <mergeCell ref="M55:N55"/>
    <mergeCell ref="O55:Q55"/>
    <mergeCell ref="R55:T55"/>
    <mergeCell ref="U55:V55"/>
    <mergeCell ref="W55:Y55"/>
    <mergeCell ref="AM55:AO55"/>
    <mergeCell ref="A176:C177"/>
    <mergeCell ref="A166:A167"/>
    <mergeCell ref="B166:B167"/>
    <mergeCell ref="C166:C167"/>
    <mergeCell ref="D166:L167"/>
    <mergeCell ref="A171:AR171"/>
    <mergeCell ref="A172:AR172"/>
    <mergeCell ref="A183:A184"/>
    <mergeCell ref="B183:B184"/>
    <mergeCell ref="C183:C184"/>
    <mergeCell ref="D183:L184"/>
    <mergeCell ref="M184:N184"/>
    <mergeCell ref="O184:Q184"/>
    <mergeCell ref="R184:T184"/>
    <mergeCell ref="U184:V184"/>
    <mergeCell ref="W184:Y184"/>
    <mergeCell ref="Z167:AB167"/>
    <mergeCell ref="AC167:AD167"/>
    <mergeCell ref="AE167:AG167"/>
    <mergeCell ref="AH167:AJ167"/>
    <mergeCell ref="AK167:AL167"/>
    <mergeCell ref="AM167:AO167"/>
    <mergeCell ref="AP167:AR167"/>
    <mergeCell ref="A169:A170"/>
    <mergeCell ref="A196:AR196"/>
    <mergeCell ref="A70:A71"/>
    <mergeCell ref="A64:A65"/>
    <mergeCell ref="B64:B65"/>
    <mergeCell ref="C64:C65"/>
    <mergeCell ref="D64:L65"/>
    <mergeCell ref="A66:AR66"/>
    <mergeCell ref="AC2:AJ2"/>
    <mergeCell ref="AK2:AR2"/>
    <mergeCell ref="O3:Q3"/>
    <mergeCell ref="AI4:AI5"/>
    <mergeCell ref="AJ4:AJ5"/>
    <mergeCell ref="AK4:AK5"/>
    <mergeCell ref="AL4:AL5"/>
    <mergeCell ref="AM4:AM5"/>
    <mergeCell ref="AN4:AN5"/>
    <mergeCell ref="AC4:AC5"/>
    <mergeCell ref="AD4:AD5"/>
    <mergeCell ref="AE4:AE5"/>
    <mergeCell ref="AF4:AF5"/>
    <mergeCell ref="AG4:AG5"/>
    <mergeCell ref="AH4:AH5"/>
    <mergeCell ref="W4:W5"/>
    <mergeCell ref="X4:X5"/>
    <mergeCell ref="Y4:Y5"/>
    <mergeCell ref="Z4:Z5"/>
    <mergeCell ref="AA4:AA5"/>
    <mergeCell ref="AB4:AB5"/>
    <mergeCell ref="Z3:AB3"/>
    <mergeCell ref="AC3:AD3"/>
    <mergeCell ref="AE3:AG3"/>
    <mergeCell ref="AH3:AJ3"/>
    <mergeCell ref="AK3:AL3"/>
    <mergeCell ref="AO4:AO5"/>
    <mergeCell ref="AP4:AP5"/>
    <mergeCell ref="AQ4:AQ5"/>
    <mergeCell ref="AR4:AR5"/>
    <mergeCell ref="J2:L2"/>
    <mergeCell ref="M2:T2"/>
    <mergeCell ref="A22:A23"/>
    <mergeCell ref="B22:B23"/>
    <mergeCell ref="C22:C23"/>
    <mergeCell ref="D22:L23"/>
    <mergeCell ref="A7:AR7"/>
    <mergeCell ref="A6:AR6"/>
    <mergeCell ref="U2:AB2"/>
    <mergeCell ref="AM3:AO3"/>
    <mergeCell ref="AP3:AR3"/>
    <mergeCell ref="O4:O5"/>
    <mergeCell ref="P4:P5"/>
    <mergeCell ref="U23:V23"/>
    <mergeCell ref="W23:Y23"/>
    <mergeCell ref="Z23:AB23"/>
    <mergeCell ref="AC23:AD23"/>
    <mergeCell ref="AE23:AG23"/>
    <mergeCell ref="AH23:AJ23"/>
    <mergeCell ref="AK23:AL23"/>
    <mergeCell ref="A2:A5"/>
    <mergeCell ref="B2:B5"/>
    <mergeCell ref="C2:C5"/>
    <mergeCell ref="D2:F2"/>
    <mergeCell ref="G2:I2"/>
    <mergeCell ref="K3:K5"/>
    <mergeCell ref="L3:L5"/>
    <mergeCell ref="M3:N3"/>
    <mergeCell ref="M4:M5"/>
    <mergeCell ref="N4:N5"/>
    <mergeCell ref="A1:AR1"/>
    <mergeCell ref="A36:A37"/>
    <mergeCell ref="B36:B37"/>
    <mergeCell ref="C36:C37"/>
    <mergeCell ref="D36:L37"/>
    <mergeCell ref="M37:N37"/>
    <mergeCell ref="U37:V37"/>
    <mergeCell ref="W37:Y37"/>
    <mergeCell ref="R3:T3"/>
    <mergeCell ref="U3:V3"/>
    <mergeCell ref="U4:U5"/>
    <mergeCell ref="V4:V5"/>
    <mergeCell ref="Q4:Q5"/>
    <mergeCell ref="R4:R5"/>
    <mergeCell ref="S4:S5"/>
    <mergeCell ref="T4:T5"/>
    <mergeCell ref="W3:Y3"/>
    <mergeCell ref="D3:F4"/>
    <mergeCell ref="G3:G5"/>
    <mergeCell ref="H3:H5"/>
    <mergeCell ref="I3:I5"/>
    <mergeCell ref="J3:J5"/>
    <mergeCell ref="M23:N23"/>
    <mergeCell ref="O23:Q23"/>
    <mergeCell ref="R23:T23"/>
    <mergeCell ref="AM23:AO23"/>
    <mergeCell ref="AP23:AR23"/>
    <mergeCell ref="AK37:AL37"/>
    <mergeCell ref="AM37:AO37"/>
    <mergeCell ref="AP37:AR37"/>
    <mergeCell ref="O37:Q37"/>
    <mergeCell ref="R37:T37"/>
    <mergeCell ref="Z37:AB37"/>
    <mergeCell ref="AC37:AD37"/>
    <mergeCell ref="AE37:AG37"/>
    <mergeCell ref="AH37:AJ37"/>
    <mergeCell ref="A38:AR38"/>
    <mergeCell ref="A42:A43"/>
    <mergeCell ref="B42:B43"/>
    <mergeCell ref="C42:C43"/>
    <mergeCell ref="D42:L43"/>
    <mergeCell ref="M43:N43"/>
    <mergeCell ref="O43:Q43"/>
    <mergeCell ref="R43:T43"/>
    <mergeCell ref="U43:V43"/>
    <mergeCell ref="W43:Y43"/>
    <mergeCell ref="Z43:AB43"/>
    <mergeCell ref="AC43:AD43"/>
    <mergeCell ref="AE43:AG43"/>
    <mergeCell ref="AH43:AJ43"/>
    <mergeCell ref="AK43:AL43"/>
    <mergeCell ref="AM43:AO43"/>
    <mergeCell ref="AP43:AR43"/>
    <mergeCell ref="AP49:AR49"/>
    <mergeCell ref="A45:A46"/>
    <mergeCell ref="B45:B46"/>
    <mergeCell ref="C45:C46"/>
    <mergeCell ref="D45:L46"/>
    <mergeCell ref="M46:N46"/>
    <mergeCell ref="O46:Q46"/>
    <mergeCell ref="R46:T46"/>
    <mergeCell ref="U46:V46"/>
    <mergeCell ref="W46:Y46"/>
    <mergeCell ref="A50:AR50"/>
    <mergeCell ref="A51:AR51"/>
    <mergeCell ref="Z46:AB46"/>
    <mergeCell ref="AC46:AD46"/>
    <mergeCell ref="AE46:AG46"/>
    <mergeCell ref="AH46:AJ46"/>
    <mergeCell ref="AK46:AL46"/>
    <mergeCell ref="AM46:AO46"/>
    <mergeCell ref="AP46:AR46"/>
    <mergeCell ref="A48:A49"/>
    <mergeCell ref="B48:B49"/>
    <mergeCell ref="C48:C49"/>
    <mergeCell ref="D48:L49"/>
    <mergeCell ref="M49:N49"/>
    <mergeCell ref="O49:Q49"/>
    <mergeCell ref="R49:T49"/>
    <mergeCell ref="U49:V49"/>
    <mergeCell ref="W49:Y49"/>
    <mergeCell ref="Z49:AB49"/>
    <mergeCell ref="AC49:AD49"/>
    <mergeCell ref="AE49:AG49"/>
    <mergeCell ref="AH49:AJ49"/>
    <mergeCell ref="AK49:AL49"/>
    <mergeCell ref="AM49:AO49"/>
    <mergeCell ref="A135:AR135"/>
    <mergeCell ref="A136:AR136"/>
    <mergeCell ref="A142:A143"/>
    <mergeCell ref="B142:B143"/>
    <mergeCell ref="C142:C143"/>
    <mergeCell ref="D142:L143"/>
    <mergeCell ref="M143:N143"/>
    <mergeCell ref="O143:Q143"/>
    <mergeCell ref="R143:T143"/>
    <mergeCell ref="U143:V143"/>
    <mergeCell ref="W143:Y143"/>
    <mergeCell ref="Z143:AB143"/>
    <mergeCell ref="AC143:AD143"/>
    <mergeCell ref="AE143:AG143"/>
    <mergeCell ref="AH143:AJ143"/>
    <mergeCell ref="AK143:AL143"/>
    <mergeCell ref="AM143:AO143"/>
    <mergeCell ref="AP143:AR143"/>
    <mergeCell ref="W137:Y141"/>
    <mergeCell ref="A144:AR144"/>
    <mergeCell ref="A145:AR145"/>
    <mergeCell ref="A149:A150"/>
    <mergeCell ref="B149:B150"/>
    <mergeCell ref="C149:C150"/>
    <mergeCell ref="D149:L150"/>
    <mergeCell ref="M150:N150"/>
    <mergeCell ref="O150:Q150"/>
    <mergeCell ref="R150:T150"/>
    <mergeCell ref="U150:V150"/>
    <mergeCell ref="W150:Y150"/>
    <mergeCell ref="Z150:AB150"/>
    <mergeCell ref="AC150:AD150"/>
    <mergeCell ref="AE150:AG150"/>
    <mergeCell ref="AH150:AJ150"/>
    <mergeCell ref="AK150:AL150"/>
    <mergeCell ref="AM150:AO150"/>
    <mergeCell ref="AP150:AR150"/>
    <mergeCell ref="W146:Y148"/>
    <mergeCell ref="W151:Y151"/>
    <mergeCell ref="A152:A153"/>
    <mergeCell ref="B152:B153"/>
    <mergeCell ref="C152:C153"/>
    <mergeCell ref="D152:L153"/>
    <mergeCell ref="M153:N153"/>
    <mergeCell ref="O153:Q153"/>
    <mergeCell ref="R153:T153"/>
    <mergeCell ref="U153:V153"/>
    <mergeCell ref="W153:Y153"/>
    <mergeCell ref="Z153:AB153"/>
    <mergeCell ref="AC153:AD153"/>
    <mergeCell ref="AE153:AG153"/>
    <mergeCell ref="AH153:AJ153"/>
    <mergeCell ref="AK153:AL153"/>
    <mergeCell ref="AM153:AO153"/>
    <mergeCell ref="AP153:AR153"/>
    <mergeCell ref="A154:AR154"/>
    <mergeCell ref="A155:AR155"/>
    <mergeCell ref="AM160:AO160"/>
    <mergeCell ref="AP160:AR160"/>
    <mergeCell ref="W156:Y158"/>
    <mergeCell ref="A161:AR161"/>
    <mergeCell ref="A159:A160"/>
    <mergeCell ref="B159:B160"/>
    <mergeCell ref="C159:C160"/>
    <mergeCell ref="D159:L160"/>
    <mergeCell ref="M160:N160"/>
    <mergeCell ref="O160:Q160"/>
    <mergeCell ref="R160:T160"/>
    <mergeCell ref="U160:V160"/>
    <mergeCell ref="W160:Y160"/>
    <mergeCell ref="Z160:AB160"/>
    <mergeCell ref="AC160:AD160"/>
    <mergeCell ref="AE160:AG160"/>
    <mergeCell ref="AH160:AJ160"/>
    <mergeCell ref="AK160:AL160"/>
    <mergeCell ref="B169:B170"/>
    <mergeCell ref="C169:C170"/>
    <mergeCell ref="D169:L170"/>
    <mergeCell ref="M170:N170"/>
    <mergeCell ref="O170:Q170"/>
    <mergeCell ref="R170:T170"/>
    <mergeCell ref="U170:V170"/>
    <mergeCell ref="W170:Y170"/>
    <mergeCell ref="Z170:AB170"/>
    <mergeCell ref="AC170:AD170"/>
    <mergeCell ref="AE170:AG170"/>
    <mergeCell ref="AH170:AJ170"/>
    <mergeCell ref="AK170:AL170"/>
    <mergeCell ref="AM170:AO170"/>
    <mergeCell ref="AP170:AR170"/>
    <mergeCell ref="M167:N167"/>
    <mergeCell ref="O167:Q167"/>
    <mergeCell ref="R167:T167"/>
    <mergeCell ref="U167:V167"/>
    <mergeCell ref="W167:Y167"/>
    <mergeCell ref="AH187:AJ187"/>
    <mergeCell ref="AK187:AL187"/>
    <mergeCell ref="AM187:AO187"/>
    <mergeCell ref="AP187:AR187"/>
    <mergeCell ref="Z184:AB184"/>
    <mergeCell ref="AC184:AD184"/>
    <mergeCell ref="AE184:AG184"/>
    <mergeCell ref="AH184:AJ184"/>
    <mergeCell ref="AK184:AL184"/>
    <mergeCell ref="D186:L187"/>
    <mergeCell ref="M187:N187"/>
    <mergeCell ref="O187:Q187"/>
    <mergeCell ref="R187:T187"/>
    <mergeCell ref="U187:V187"/>
    <mergeCell ref="W187:Y187"/>
    <mergeCell ref="Z187:AB187"/>
    <mergeCell ref="AC187:AD187"/>
    <mergeCell ref="AE187:AG187"/>
    <mergeCell ref="AT3:BB3"/>
    <mergeCell ref="A188:AR188"/>
    <mergeCell ref="A194:A195"/>
    <mergeCell ref="B194:B195"/>
    <mergeCell ref="C194:C195"/>
    <mergeCell ref="D194:L195"/>
    <mergeCell ref="M195:N195"/>
    <mergeCell ref="O195:Q195"/>
    <mergeCell ref="R195:T195"/>
    <mergeCell ref="U195:V195"/>
    <mergeCell ref="W195:Y195"/>
    <mergeCell ref="Z195:AB195"/>
    <mergeCell ref="AC195:AD195"/>
    <mergeCell ref="AE195:AG195"/>
    <mergeCell ref="AH195:AJ195"/>
    <mergeCell ref="AK195:AL195"/>
    <mergeCell ref="AM195:AO195"/>
    <mergeCell ref="AP195:AR195"/>
    <mergeCell ref="A189:AR189"/>
    <mergeCell ref="AM184:AO184"/>
    <mergeCell ref="AP184:AR184"/>
    <mergeCell ref="A186:A187"/>
    <mergeCell ref="B186:B187"/>
    <mergeCell ref="C186:C187"/>
  </mergeCells>
  <printOptions horizontalCentered="1"/>
  <pageMargins left="0.19685039370078741" right="0.19685039370078741" top="0.19685039370078741" bottom="0.19685039370078741" header="0" footer="0"/>
  <pageSetup paperSize="5" scale="94" fitToHeight="0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N90"/>
  <sheetViews>
    <sheetView zoomScale="90" zoomScaleNormal="90" workbookViewId="0">
      <selection activeCell="I7" sqref="I7"/>
    </sheetView>
  </sheetViews>
  <sheetFormatPr defaultColWidth="9" defaultRowHeight="18" x14ac:dyDescent="0.35"/>
  <cols>
    <col min="1" max="1" width="15.59765625" style="217" customWidth="1"/>
    <col min="2" max="2" width="15.59765625" style="218" customWidth="1"/>
    <col min="3" max="5" width="15.59765625" style="217" customWidth="1"/>
    <col min="6" max="6" width="15.59765625" style="216" customWidth="1"/>
    <col min="7" max="8" width="15.59765625" style="217" customWidth="1"/>
    <col min="9" max="16384" width="9" style="217"/>
  </cols>
  <sheetData>
    <row r="1" spans="1:40" ht="24.75" customHeight="1" thickBot="1" x14ac:dyDescent="0.4">
      <c r="A1" s="1081" t="s">
        <v>203</v>
      </c>
      <c r="B1" s="1082"/>
      <c r="C1" s="1082"/>
      <c r="D1" s="1082"/>
      <c r="E1" s="1082"/>
      <c r="F1" s="1082"/>
      <c r="G1" s="1082"/>
      <c r="H1" s="1082"/>
    </row>
    <row r="2" spans="1:40" ht="21.75" customHeight="1" x14ac:dyDescent="0.35">
      <c r="A2" s="1088" t="s">
        <v>204</v>
      </c>
      <c r="B2" s="1089"/>
      <c r="C2" s="1092" t="s">
        <v>1</v>
      </c>
      <c r="D2" s="1092" t="s">
        <v>2</v>
      </c>
      <c r="E2" s="1094" t="s">
        <v>205</v>
      </c>
      <c r="F2" s="1096" t="s">
        <v>206</v>
      </c>
      <c r="G2" s="219" t="s">
        <v>207</v>
      </c>
      <c r="H2" s="1113" t="s">
        <v>208</v>
      </c>
      <c r="J2" s="880" t="s">
        <v>418</v>
      </c>
      <c r="K2" s="880"/>
      <c r="L2" s="880"/>
      <c r="M2" s="880"/>
      <c r="N2" s="880"/>
      <c r="O2" s="880"/>
      <c r="P2" s="880"/>
      <c r="Q2" s="880"/>
      <c r="R2" s="880"/>
    </row>
    <row r="3" spans="1:40" ht="24.75" customHeight="1" thickBot="1" x14ac:dyDescent="0.4">
      <c r="A3" s="1090"/>
      <c r="B3" s="1091"/>
      <c r="C3" s="1093"/>
      <c r="D3" s="1093"/>
      <c r="E3" s="1095"/>
      <c r="F3" s="1097"/>
      <c r="G3" s="220">
        <v>5</v>
      </c>
      <c r="H3" s="1114"/>
    </row>
    <row r="4" spans="1:40" ht="36" customHeight="1" thickBot="1" x14ac:dyDescent="0.4">
      <c r="A4" s="1101" t="s">
        <v>209</v>
      </c>
      <c r="B4" s="1102"/>
      <c r="C4" s="1102"/>
      <c r="D4" s="1102"/>
      <c r="E4" s="1102"/>
      <c r="F4" s="1102"/>
      <c r="G4" s="1102"/>
      <c r="H4" s="1103"/>
      <c r="I4" s="221"/>
      <c r="J4" s="221"/>
    </row>
    <row r="5" spans="1:40" s="235" customFormat="1" ht="36" customHeight="1" thickBot="1" x14ac:dyDescent="0.75">
      <c r="A5" s="1098" t="s">
        <v>22</v>
      </c>
      <c r="B5" s="1099"/>
      <c r="C5" s="1099"/>
      <c r="D5" s="1099"/>
      <c r="E5" s="1099"/>
      <c r="F5" s="1099"/>
      <c r="G5" s="1099"/>
      <c r="H5" s="1100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  <c r="AL5" s="236"/>
      <c r="AM5" s="236"/>
      <c r="AN5" s="237"/>
    </row>
    <row r="6" spans="1:40" ht="24.75" customHeight="1" x14ac:dyDescent="0.45">
      <c r="A6" s="496" t="s">
        <v>73</v>
      </c>
      <c r="B6" s="497">
        <v>1</v>
      </c>
      <c r="C6" s="498">
        <f>'จน.ปาล์ม 69 '!E22</f>
        <v>115</v>
      </c>
      <c r="D6" s="499">
        <f>'จน.ปาล์ม 69 '!F22</f>
        <v>2872</v>
      </c>
      <c r="E6" s="500">
        <f>ROUND(C6*B6,0)</f>
        <v>115</v>
      </c>
      <c r="F6" s="501">
        <f>ROUND(D6*B6,0)</f>
        <v>2872</v>
      </c>
      <c r="G6" s="384">
        <f>$G$3</f>
        <v>5</v>
      </c>
      <c r="H6" s="502">
        <f>ROUND(G6*F6,0)</f>
        <v>14360</v>
      </c>
    </row>
    <row r="7" spans="1:40" ht="24" thickBot="1" x14ac:dyDescent="0.5">
      <c r="A7" s="503" t="s">
        <v>74</v>
      </c>
      <c r="B7" s="504">
        <v>1</v>
      </c>
      <c r="C7" s="505">
        <f>'จน.ปาล์ม 69 '!E23</f>
        <v>121</v>
      </c>
      <c r="D7" s="506">
        <f>'จน.ปาล์ม 69 '!F23</f>
        <v>3030</v>
      </c>
      <c r="E7" s="507">
        <f>ROUND(C7*B7,0)</f>
        <v>121</v>
      </c>
      <c r="F7" s="508">
        <f>ROUND(D7*B7,0)</f>
        <v>3030</v>
      </c>
      <c r="G7" s="402">
        <f t="shared" ref="G7" si="0">$G$3</f>
        <v>5</v>
      </c>
      <c r="H7" s="509">
        <f>ROUND(G7*F7,0)</f>
        <v>15150</v>
      </c>
      <c r="I7" s="224"/>
    </row>
    <row r="8" spans="1:40" ht="24" thickBot="1" x14ac:dyDescent="0.5">
      <c r="A8" s="1083" t="s">
        <v>238</v>
      </c>
      <c r="B8" s="1084"/>
      <c r="C8" s="1084"/>
      <c r="D8" s="1084"/>
      <c r="E8" s="1084"/>
      <c r="F8" s="1084"/>
      <c r="G8" s="1085"/>
      <c r="H8" s="510">
        <f>SUM(H6:H7)</f>
        <v>29510</v>
      </c>
      <c r="I8" s="224"/>
    </row>
    <row r="9" spans="1:40" ht="24.75" customHeight="1" x14ac:dyDescent="0.45">
      <c r="A9" s="496" t="str">
        <f>'จน.ปาล์ม 69 '!D26</f>
        <v>49-B13</v>
      </c>
      <c r="B9" s="497">
        <v>1</v>
      </c>
      <c r="C9" s="498">
        <f>'จน.ปาล์ม 69 '!E26</f>
        <v>168</v>
      </c>
      <c r="D9" s="499">
        <f>'จน.ปาล์ม 69 '!F26</f>
        <v>4192</v>
      </c>
      <c r="E9" s="500">
        <f>ROUND(C9*B9,0)</f>
        <v>168</v>
      </c>
      <c r="F9" s="501">
        <f>ROUND(D9*B9,0)</f>
        <v>4192</v>
      </c>
      <c r="G9" s="384">
        <f>$G$3</f>
        <v>5</v>
      </c>
      <c r="H9" s="502">
        <f>ROUND(G9*F9,0)</f>
        <v>20960</v>
      </c>
    </row>
    <row r="10" spans="1:40" ht="23.4" x14ac:dyDescent="0.45">
      <c r="A10" s="511" t="str">
        <f>'จน.ปาล์ม 69 '!D27</f>
        <v>50-B07</v>
      </c>
      <c r="B10" s="504">
        <v>1</v>
      </c>
      <c r="C10" s="505">
        <f>'จน.ปาล์ม 69 '!E27</f>
        <v>157</v>
      </c>
      <c r="D10" s="506">
        <f>'จน.ปาล์ม 69 '!F27</f>
        <v>4022</v>
      </c>
      <c r="E10" s="500">
        <f t="shared" ref="E10" si="1">ROUND(C10*B10,0)</f>
        <v>157</v>
      </c>
      <c r="F10" s="501">
        <f t="shared" ref="F10:F11" si="2">ROUND(D10*B10,0)</f>
        <v>4022</v>
      </c>
      <c r="G10" s="402">
        <f t="shared" ref="G10:G11" si="3">$G$3</f>
        <v>5</v>
      </c>
      <c r="H10" s="502">
        <f t="shared" ref="H10:H11" si="4">ROUND(G10*F10,0)</f>
        <v>20110</v>
      </c>
      <c r="I10" s="224"/>
      <c r="K10" s="362"/>
    </row>
    <row r="11" spans="1:40" ht="24" thickBot="1" x14ac:dyDescent="0.5">
      <c r="A11" s="512" t="str">
        <f>'จน.ปาล์ม 69 '!D28</f>
        <v>50-B10</v>
      </c>
      <c r="B11" s="513">
        <v>1</v>
      </c>
      <c r="C11" s="506">
        <f>'จน.ปาล์ม 69 '!E28</f>
        <v>170</v>
      </c>
      <c r="D11" s="506">
        <f>'จน.ปาล์ม 69 '!F28</f>
        <v>4245</v>
      </c>
      <c r="E11" s="514">
        <f>ROUND(C11*B11,0)</f>
        <v>170</v>
      </c>
      <c r="F11" s="515">
        <f t="shared" si="2"/>
        <v>4245</v>
      </c>
      <c r="G11" s="402">
        <f t="shared" si="3"/>
        <v>5</v>
      </c>
      <c r="H11" s="502">
        <f t="shared" si="4"/>
        <v>21225</v>
      </c>
      <c r="I11" s="224"/>
    </row>
    <row r="12" spans="1:40" ht="26.25" customHeight="1" thickBot="1" x14ac:dyDescent="0.5">
      <c r="A12" s="1083" t="s">
        <v>315</v>
      </c>
      <c r="B12" s="1084"/>
      <c r="C12" s="1084"/>
      <c r="D12" s="1084"/>
      <c r="E12" s="1084"/>
      <c r="F12" s="1084"/>
      <c r="G12" s="1085"/>
      <c r="H12" s="510">
        <f>SUM(H9:H11)</f>
        <v>62295</v>
      </c>
      <c r="I12" s="224"/>
    </row>
    <row r="13" spans="1:40" s="227" customFormat="1" ht="25.8" thickBot="1" x14ac:dyDescent="0.65">
      <c r="A13" s="1075" t="s">
        <v>316</v>
      </c>
      <c r="B13" s="1076"/>
      <c r="C13" s="1076"/>
      <c r="D13" s="1076"/>
      <c r="E13" s="1076"/>
      <c r="F13" s="1076"/>
      <c r="G13" s="1076"/>
      <c r="H13" s="516">
        <f>H8+H12</f>
        <v>91805</v>
      </c>
    </row>
    <row r="14" spans="1:40" ht="24.75" customHeight="1" x14ac:dyDescent="0.45">
      <c r="A14" s="1104" t="s">
        <v>27</v>
      </c>
      <c r="B14" s="1105"/>
      <c r="C14" s="1105"/>
      <c r="D14" s="1105"/>
      <c r="E14" s="1105"/>
      <c r="F14" s="1105"/>
      <c r="G14" s="1105"/>
      <c r="H14" s="1106"/>
    </row>
    <row r="15" spans="1:40" ht="24.75" customHeight="1" thickBot="1" x14ac:dyDescent="0.5">
      <c r="A15" s="517" t="str">
        <f>'จน.ปาล์ม 69 '!D42</f>
        <v>50-C05-R</v>
      </c>
      <c r="B15" s="518">
        <v>1</v>
      </c>
      <c r="C15" s="505">
        <f>'จน.ปาล์ม 69 '!E42</f>
        <v>103</v>
      </c>
      <c r="D15" s="506">
        <f>'จน.ปาล์ม 69 '!F42</f>
        <v>2792</v>
      </c>
      <c r="E15" s="507">
        <f>ROUND(C15*B15,0)</f>
        <v>103</v>
      </c>
      <c r="F15" s="508">
        <f>ROUND(D15*B15,0)</f>
        <v>2792</v>
      </c>
      <c r="G15" s="402">
        <f>$G$3</f>
        <v>5</v>
      </c>
      <c r="H15" s="519">
        <f>ROUND(G15*F15,0)</f>
        <v>13960</v>
      </c>
    </row>
    <row r="16" spans="1:40" ht="24" thickBot="1" x14ac:dyDescent="0.5">
      <c r="A16" s="1083" t="s">
        <v>210</v>
      </c>
      <c r="B16" s="1084"/>
      <c r="C16" s="1084"/>
      <c r="D16" s="1084"/>
      <c r="E16" s="1084"/>
      <c r="F16" s="1084"/>
      <c r="G16" s="1085"/>
      <c r="H16" s="510">
        <f>SUM(H15:H15)</f>
        <v>13960</v>
      </c>
      <c r="I16" s="224"/>
    </row>
    <row r="17" spans="1:40" s="227" customFormat="1" ht="23.4" x14ac:dyDescent="0.45">
      <c r="A17" s="520" t="s">
        <v>66</v>
      </c>
      <c r="B17" s="521">
        <v>1</v>
      </c>
      <c r="C17" s="499">
        <v>111</v>
      </c>
      <c r="D17" s="499">
        <v>2785</v>
      </c>
      <c r="E17" s="500">
        <f>ROUND(C17*B17,0)</f>
        <v>111</v>
      </c>
      <c r="F17" s="501">
        <f>ROUND(D17*B17,0)</f>
        <v>2785</v>
      </c>
      <c r="G17" s="384">
        <f t="shared" ref="G17:G18" si="5">$G$3</f>
        <v>5</v>
      </c>
      <c r="H17" s="522">
        <f>ROUND(G17*F17,0)</f>
        <v>13925</v>
      </c>
      <c r="I17" s="217"/>
    </row>
    <row r="18" spans="1:40" s="227" customFormat="1" ht="23.4" x14ac:dyDescent="0.45">
      <c r="A18" s="523" t="s">
        <v>78</v>
      </c>
      <c r="B18" s="524">
        <v>1</v>
      </c>
      <c r="C18" s="499">
        <v>195</v>
      </c>
      <c r="D18" s="499">
        <v>4864</v>
      </c>
      <c r="E18" s="500">
        <f t="shared" ref="E18" si="6">ROUND(C18*B18,0)</f>
        <v>195</v>
      </c>
      <c r="F18" s="501">
        <f t="shared" ref="F18" si="7">ROUND(D18*B18,0)</f>
        <v>4864</v>
      </c>
      <c r="G18" s="378">
        <f t="shared" si="5"/>
        <v>5</v>
      </c>
      <c r="H18" s="522">
        <f>ROUND(G18*F18,0)</f>
        <v>24320</v>
      </c>
    </row>
    <row r="19" spans="1:40" s="227" customFormat="1" ht="23.4" x14ac:dyDescent="0.45">
      <c r="A19" s="1086" t="s">
        <v>211</v>
      </c>
      <c r="B19" s="1087"/>
      <c r="C19" s="1087"/>
      <c r="D19" s="1087"/>
      <c r="E19" s="1087"/>
      <c r="F19" s="1087"/>
      <c r="G19" s="1087"/>
      <c r="H19" s="525">
        <f>SUM(H17:H18)</f>
        <v>38245</v>
      </c>
    </row>
    <row r="20" spans="1:40" s="227" customFormat="1" ht="25.2" x14ac:dyDescent="0.6">
      <c r="A20" s="1075" t="s">
        <v>212</v>
      </c>
      <c r="B20" s="1076"/>
      <c r="C20" s="1076"/>
      <c r="D20" s="1076"/>
      <c r="E20" s="1076"/>
      <c r="F20" s="1076"/>
      <c r="G20" s="1076"/>
      <c r="H20" s="516">
        <f>H19+H16</f>
        <v>52205</v>
      </c>
    </row>
    <row r="21" spans="1:40" s="229" customFormat="1" ht="24.75" customHeight="1" thickBot="1" x14ac:dyDescent="0.65">
      <c r="A21" s="1117" t="s">
        <v>213</v>
      </c>
      <c r="B21" s="1118"/>
      <c r="C21" s="1118"/>
      <c r="D21" s="1118"/>
      <c r="E21" s="1118"/>
      <c r="F21" s="1118"/>
      <c r="G21" s="1118"/>
      <c r="H21" s="526">
        <f>H20+H13</f>
        <v>144010</v>
      </c>
    </row>
    <row r="22" spans="1:40" ht="24.75" customHeight="1" thickBot="1" x14ac:dyDescent="0.4">
      <c r="A22" s="1123" t="s">
        <v>214</v>
      </c>
      <c r="B22" s="1124"/>
      <c r="C22" s="1124"/>
      <c r="D22" s="1124"/>
      <c r="E22" s="1124"/>
      <c r="F22" s="1124"/>
      <c r="G22" s="1124"/>
      <c r="H22" s="1125"/>
    </row>
    <row r="23" spans="1:40" s="235" customFormat="1" ht="36" customHeight="1" thickBot="1" x14ac:dyDescent="0.75">
      <c r="A23" s="1098" t="s">
        <v>22</v>
      </c>
      <c r="B23" s="1099"/>
      <c r="C23" s="1099"/>
      <c r="D23" s="1099"/>
      <c r="E23" s="1099"/>
      <c r="F23" s="1099"/>
      <c r="G23" s="1099"/>
      <c r="H23" s="1100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7"/>
    </row>
    <row r="24" spans="1:40" ht="23.4" x14ac:dyDescent="0.45">
      <c r="A24" s="527" t="s">
        <v>93</v>
      </c>
      <c r="B24" s="528">
        <v>1</v>
      </c>
      <c r="C24" s="529">
        <v>113</v>
      </c>
      <c r="D24" s="522">
        <v>2816</v>
      </c>
      <c r="E24" s="522">
        <f>ROUND(C24*B24,0)</f>
        <v>113</v>
      </c>
      <c r="F24" s="522">
        <f>ROUND(D24*B24,0)</f>
        <v>2816</v>
      </c>
      <c r="G24" s="522">
        <f t="shared" ref="G24:G28" si="8">$G$3</f>
        <v>5</v>
      </c>
      <c r="H24" s="522">
        <f>ROUND(G24*F24,0)</f>
        <v>14080</v>
      </c>
    </row>
    <row r="25" spans="1:40" ht="23.4" x14ac:dyDescent="0.45">
      <c r="A25" s="530" t="s">
        <v>50</v>
      </c>
      <c r="B25" s="528">
        <v>1</v>
      </c>
      <c r="C25" s="529">
        <v>9</v>
      </c>
      <c r="D25" s="522">
        <v>213</v>
      </c>
      <c r="E25" s="522">
        <f t="shared" ref="E25:E28" si="9">ROUND(C25*B25,0)</f>
        <v>9</v>
      </c>
      <c r="F25" s="522">
        <f t="shared" ref="F25:F28" si="10">ROUND(D25*B25,0)</f>
        <v>213</v>
      </c>
      <c r="G25" s="522">
        <f t="shared" si="8"/>
        <v>5</v>
      </c>
      <c r="H25" s="522">
        <f t="shared" ref="H25:H28" si="11">ROUND(G25*F25,0)</f>
        <v>1065</v>
      </c>
    </row>
    <row r="26" spans="1:40" ht="23.4" x14ac:dyDescent="0.45">
      <c r="A26" s="530" t="s">
        <v>94</v>
      </c>
      <c r="B26" s="528">
        <v>1</v>
      </c>
      <c r="C26" s="529">
        <v>128</v>
      </c>
      <c r="D26" s="522">
        <v>3199</v>
      </c>
      <c r="E26" s="522">
        <f t="shared" si="9"/>
        <v>128</v>
      </c>
      <c r="F26" s="522">
        <f t="shared" si="10"/>
        <v>3199</v>
      </c>
      <c r="G26" s="522">
        <f t="shared" si="8"/>
        <v>5</v>
      </c>
      <c r="H26" s="522">
        <f t="shared" si="11"/>
        <v>15995</v>
      </c>
    </row>
    <row r="27" spans="1:40" ht="23.4" x14ac:dyDescent="0.45">
      <c r="A27" s="530" t="s">
        <v>95</v>
      </c>
      <c r="B27" s="528">
        <v>1</v>
      </c>
      <c r="C27" s="529">
        <v>121</v>
      </c>
      <c r="D27" s="522">
        <v>3015</v>
      </c>
      <c r="E27" s="522">
        <f t="shared" si="9"/>
        <v>121</v>
      </c>
      <c r="F27" s="522">
        <f t="shared" si="10"/>
        <v>3015</v>
      </c>
      <c r="G27" s="522">
        <f t="shared" si="8"/>
        <v>5</v>
      </c>
      <c r="H27" s="522">
        <f t="shared" si="11"/>
        <v>15075</v>
      </c>
    </row>
    <row r="28" spans="1:40" ht="23.4" x14ac:dyDescent="0.45">
      <c r="A28" s="530" t="s">
        <v>96</v>
      </c>
      <c r="B28" s="528">
        <v>1</v>
      </c>
      <c r="C28" s="529">
        <v>56</v>
      </c>
      <c r="D28" s="522">
        <v>1403</v>
      </c>
      <c r="E28" s="522">
        <f t="shared" si="9"/>
        <v>56</v>
      </c>
      <c r="F28" s="522">
        <f t="shared" si="10"/>
        <v>1403</v>
      </c>
      <c r="G28" s="522">
        <f t="shared" si="8"/>
        <v>5</v>
      </c>
      <c r="H28" s="522">
        <f t="shared" si="11"/>
        <v>7015</v>
      </c>
    </row>
    <row r="29" spans="1:40" ht="24" customHeight="1" x14ac:dyDescent="0.45">
      <c r="A29" s="1086" t="s">
        <v>238</v>
      </c>
      <c r="B29" s="1087"/>
      <c r="C29" s="1087"/>
      <c r="D29" s="1087"/>
      <c r="E29" s="1087"/>
      <c r="F29" s="1087"/>
      <c r="G29" s="1087"/>
      <c r="H29" s="531">
        <f>SUM(H24:H28)</f>
        <v>53230</v>
      </c>
    </row>
    <row r="30" spans="1:40" ht="24" customHeight="1" x14ac:dyDescent="0.6">
      <c r="A30" s="1075" t="s">
        <v>316</v>
      </c>
      <c r="B30" s="1076"/>
      <c r="C30" s="1076"/>
      <c r="D30" s="1076"/>
      <c r="E30" s="1076"/>
      <c r="F30" s="1076"/>
      <c r="G30" s="1077"/>
      <c r="H30" s="516">
        <f>H29</f>
        <v>53230</v>
      </c>
    </row>
    <row r="31" spans="1:40" ht="24.75" customHeight="1" x14ac:dyDescent="0.35">
      <c r="A31" s="1126" t="s">
        <v>215</v>
      </c>
      <c r="B31" s="1127"/>
      <c r="C31" s="1127"/>
      <c r="D31" s="1127"/>
      <c r="E31" s="1127"/>
      <c r="F31" s="1127"/>
      <c r="G31" s="1127"/>
      <c r="H31" s="1128"/>
    </row>
    <row r="32" spans="1:40" ht="23.4" x14ac:dyDescent="0.45">
      <c r="A32" s="532" t="s">
        <v>97</v>
      </c>
      <c r="B32" s="533">
        <v>1</v>
      </c>
      <c r="C32" s="529">
        <f>'จน.ปาล์ม 69 '!E67</f>
        <v>124</v>
      </c>
      <c r="D32" s="529">
        <f>'จน.ปาล์ม 69 '!F67</f>
        <v>3106</v>
      </c>
      <c r="E32" s="500">
        <f>ROUND(C32*B32,0)</f>
        <v>124</v>
      </c>
      <c r="F32" s="501">
        <f t="shared" ref="F32" si="12">ROUND(D32*B32,0)</f>
        <v>3106</v>
      </c>
      <c r="G32" s="384">
        <f t="shared" ref="G32:G34" si="13">$G$3</f>
        <v>5</v>
      </c>
      <c r="H32" s="502">
        <f t="shared" ref="H32" si="14">ROUND(G32*F32,0)</f>
        <v>15530</v>
      </c>
    </row>
    <row r="33" spans="1:8" ht="23.4" x14ac:dyDescent="0.45">
      <c r="A33" s="1119" t="s">
        <v>210</v>
      </c>
      <c r="B33" s="1120"/>
      <c r="C33" s="1120"/>
      <c r="D33" s="1120"/>
      <c r="E33" s="1120"/>
      <c r="F33" s="1120"/>
      <c r="G33" s="1120"/>
      <c r="H33" s="531">
        <f>SUM(H32)</f>
        <v>15530</v>
      </c>
    </row>
    <row r="34" spans="1:8" ht="23.4" x14ac:dyDescent="0.45">
      <c r="A34" s="534" t="s">
        <v>100</v>
      </c>
      <c r="B34" s="528">
        <v>1</v>
      </c>
      <c r="C34" s="529">
        <f>'จน.ปาล์ม 69 '!E71</f>
        <v>78</v>
      </c>
      <c r="D34" s="529">
        <f>'จน.ปาล์ม 69 '!F71</f>
        <v>1950</v>
      </c>
      <c r="E34" s="514">
        <f>ROUND(C34*B34,0)</f>
        <v>78</v>
      </c>
      <c r="F34" s="515">
        <f>ROUND(D34*B34,0)</f>
        <v>1950</v>
      </c>
      <c r="G34" s="384">
        <f t="shared" si="13"/>
        <v>5</v>
      </c>
      <c r="H34" s="522">
        <f>ROUND(G34*F34,0)</f>
        <v>9750</v>
      </c>
    </row>
    <row r="35" spans="1:8" ht="24" customHeight="1" x14ac:dyDescent="0.45">
      <c r="A35" s="1086" t="s">
        <v>211</v>
      </c>
      <c r="B35" s="1087"/>
      <c r="C35" s="1087"/>
      <c r="D35" s="1087"/>
      <c r="E35" s="1087"/>
      <c r="F35" s="1087"/>
      <c r="G35" s="1087"/>
      <c r="H35" s="531">
        <f>SUM(H34:H34)</f>
        <v>9750</v>
      </c>
    </row>
    <row r="36" spans="1:8" ht="24" customHeight="1" x14ac:dyDescent="0.45">
      <c r="A36" s="1075" t="s">
        <v>317</v>
      </c>
      <c r="B36" s="1076"/>
      <c r="C36" s="1076"/>
      <c r="D36" s="1076"/>
      <c r="E36" s="1076"/>
      <c r="F36" s="1076"/>
      <c r="G36" s="1076"/>
      <c r="H36" s="535">
        <f>H35+H33</f>
        <v>25280</v>
      </c>
    </row>
    <row r="37" spans="1:8" ht="24.75" customHeight="1" thickBot="1" x14ac:dyDescent="0.65">
      <c r="A37" s="1121" t="s">
        <v>216</v>
      </c>
      <c r="B37" s="1122"/>
      <c r="C37" s="1122"/>
      <c r="D37" s="1122"/>
      <c r="E37" s="1122"/>
      <c r="F37" s="1122"/>
      <c r="G37" s="1122"/>
      <c r="H37" s="536">
        <f>H30+H36</f>
        <v>78510</v>
      </c>
    </row>
    <row r="38" spans="1:8" ht="24.75" customHeight="1" thickBot="1" x14ac:dyDescent="0.4">
      <c r="A38" s="1078" t="s">
        <v>217</v>
      </c>
      <c r="B38" s="1079"/>
      <c r="C38" s="1079"/>
      <c r="D38" s="1079"/>
      <c r="E38" s="1079"/>
      <c r="F38" s="1079"/>
      <c r="G38" s="1079"/>
      <c r="H38" s="1080"/>
    </row>
    <row r="39" spans="1:8" ht="24" customHeight="1" thickBot="1" x14ac:dyDescent="0.5">
      <c r="A39" s="1130" t="s">
        <v>218</v>
      </c>
      <c r="B39" s="1131"/>
      <c r="C39" s="1131"/>
      <c r="D39" s="1131"/>
      <c r="E39" s="1131"/>
      <c r="F39" s="1131"/>
      <c r="G39" s="1131"/>
      <c r="H39" s="1132"/>
    </row>
    <row r="40" spans="1:8" ht="23.4" x14ac:dyDescent="0.45">
      <c r="A40" s="537" t="s">
        <v>51</v>
      </c>
      <c r="B40" s="538">
        <v>1</v>
      </c>
      <c r="C40" s="539">
        <f>'จน.ปาล์ม 69 '!E59</f>
        <v>169</v>
      </c>
      <c r="D40" s="539">
        <f>'จน.ปาล์ม 69 '!F59</f>
        <v>4231</v>
      </c>
      <c r="E40" s="500">
        <f>ROUND(C40*B40,0)</f>
        <v>169</v>
      </c>
      <c r="F40" s="501">
        <f>ROUND(D40*B40,0)</f>
        <v>4231</v>
      </c>
      <c r="G40" s="384">
        <f t="shared" ref="G40:G42" si="15">$G$3</f>
        <v>5</v>
      </c>
      <c r="H40" s="502">
        <f>ROUND(G40*F40,0)</f>
        <v>21155</v>
      </c>
    </row>
    <row r="41" spans="1:8" ht="23.4" x14ac:dyDescent="0.45">
      <c r="A41" s="540" t="s">
        <v>38</v>
      </c>
      <c r="B41" s="541">
        <v>1</v>
      </c>
      <c r="C41" s="539">
        <f>'จน.ปาล์ม 69 '!E60</f>
        <v>171</v>
      </c>
      <c r="D41" s="539">
        <f>'จน.ปาล์ม 69 '!F60</f>
        <v>4265</v>
      </c>
      <c r="E41" s="542">
        <f>ROUND(C41*B41,0)</f>
        <v>171</v>
      </c>
      <c r="F41" s="543">
        <f>ROUND(D41*B41,0)</f>
        <v>4265</v>
      </c>
      <c r="G41" s="384">
        <f t="shared" si="15"/>
        <v>5</v>
      </c>
      <c r="H41" s="522">
        <f>ROUND(G41*F41,0)</f>
        <v>21325</v>
      </c>
    </row>
    <row r="42" spans="1:8" ht="24" thickBot="1" x14ac:dyDescent="0.5">
      <c r="A42" s="544" t="s">
        <v>37</v>
      </c>
      <c r="B42" s="545">
        <v>1</v>
      </c>
      <c r="C42" s="546">
        <f>'จน.ปาล์ม 69 '!E61</f>
        <v>67</v>
      </c>
      <c r="D42" s="546">
        <f>'จน.ปาล์ม 69 '!F61</f>
        <v>1663</v>
      </c>
      <c r="E42" s="507">
        <f>ROUND(C42*B42,0)</f>
        <v>67</v>
      </c>
      <c r="F42" s="508">
        <f>ROUND(D42*B42,0)</f>
        <v>1663</v>
      </c>
      <c r="G42" s="547">
        <f t="shared" si="15"/>
        <v>5</v>
      </c>
      <c r="H42" s="519">
        <f>ROUND(G42*F42,0)</f>
        <v>8315</v>
      </c>
    </row>
    <row r="43" spans="1:8" ht="24.75" customHeight="1" thickBot="1" x14ac:dyDescent="0.5">
      <c r="A43" s="1139" t="s">
        <v>219</v>
      </c>
      <c r="B43" s="1140"/>
      <c r="C43" s="1140"/>
      <c r="D43" s="1140"/>
      <c r="E43" s="1140"/>
      <c r="F43" s="1140"/>
      <c r="G43" s="1140"/>
      <c r="H43" s="548">
        <f>SUM(H40:H42)</f>
        <v>50795</v>
      </c>
    </row>
    <row r="44" spans="1:8" ht="23.4" x14ac:dyDescent="0.35">
      <c r="A44" s="1133" t="s">
        <v>27</v>
      </c>
      <c r="B44" s="1134"/>
      <c r="C44" s="1134"/>
      <c r="D44" s="1134"/>
      <c r="E44" s="1134"/>
      <c r="F44" s="1134"/>
      <c r="G44" s="1134"/>
      <c r="H44" s="1135"/>
    </row>
    <row r="45" spans="1:8" ht="23.4" x14ac:dyDescent="0.45">
      <c r="A45" s="549" t="str">
        <f>'จน.ปาล์ม 69 '!D74</f>
        <v>57-A08-R</v>
      </c>
      <c r="B45" s="541">
        <v>1</v>
      </c>
      <c r="C45" s="550">
        <f>'จน.ปาล์ม 69 '!E74</f>
        <v>172</v>
      </c>
      <c r="D45" s="551">
        <f>'จน.ปาล์ม 69 '!F74</f>
        <v>4308</v>
      </c>
      <c r="E45" s="542">
        <f>ROUND(C45*B45,0)</f>
        <v>172</v>
      </c>
      <c r="F45" s="543">
        <f>ROUND(D45*B45,0)</f>
        <v>4308</v>
      </c>
      <c r="G45" s="378">
        <f t="shared" ref="G45:G46" si="16">$G$3</f>
        <v>5</v>
      </c>
      <c r="H45" s="522">
        <f>ROUND(G45*F45,0)</f>
        <v>21540</v>
      </c>
    </row>
    <row r="46" spans="1:8" ht="24" thickBot="1" x14ac:dyDescent="0.5">
      <c r="A46" s="552" t="str">
        <f>'จน.ปาล์ม 69 '!D75</f>
        <v>57-A09-R</v>
      </c>
      <c r="B46" s="553">
        <v>1</v>
      </c>
      <c r="C46" s="554">
        <f>'จน.ปาล์ม 69 '!E75</f>
        <v>154</v>
      </c>
      <c r="D46" s="555">
        <f>'จน.ปาล์ม 69 '!F75</f>
        <v>3861</v>
      </c>
      <c r="E46" s="507">
        <f>ROUND(C46*B46,0)</f>
        <v>154</v>
      </c>
      <c r="F46" s="508">
        <f>ROUND(D46*B46,0)</f>
        <v>3861</v>
      </c>
      <c r="G46" s="402">
        <f t="shared" si="16"/>
        <v>5</v>
      </c>
      <c r="H46" s="519">
        <f>ROUND(G46*F46,0)</f>
        <v>19305</v>
      </c>
    </row>
    <row r="47" spans="1:8" ht="24.75" customHeight="1" thickBot="1" x14ac:dyDescent="0.5">
      <c r="A47" s="1136" t="s">
        <v>36</v>
      </c>
      <c r="B47" s="1137"/>
      <c r="C47" s="1137"/>
      <c r="D47" s="1137"/>
      <c r="E47" s="1137"/>
      <c r="F47" s="1137"/>
      <c r="G47" s="1138"/>
      <c r="H47" s="556">
        <f>SUM(H45:H46)</f>
        <v>40845</v>
      </c>
    </row>
    <row r="48" spans="1:8" ht="24.75" customHeight="1" thickBot="1" x14ac:dyDescent="0.65">
      <c r="A48" s="1141" t="s">
        <v>220</v>
      </c>
      <c r="B48" s="1142"/>
      <c r="C48" s="1142"/>
      <c r="D48" s="1142"/>
      <c r="E48" s="1142"/>
      <c r="F48" s="1142"/>
      <c r="G48" s="1142"/>
      <c r="H48" s="557">
        <f>H47+H43</f>
        <v>91640</v>
      </c>
    </row>
    <row r="49" spans="1:8" ht="23.4" x14ac:dyDescent="0.35">
      <c r="A49" s="1152" t="s">
        <v>221</v>
      </c>
      <c r="B49" s="1153"/>
      <c r="C49" s="1153"/>
      <c r="D49" s="1153"/>
      <c r="E49" s="1153"/>
      <c r="F49" s="1153"/>
      <c r="G49" s="1153"/>
      <c r="H49" s="1154"/>
    </row>
    <row r="50" spans="1:8" ht="23.4" x14ac:dyDescent="0.45">
      <c r="A50" s="558" t="s">
        <v>111</v>
      </c>
      <c r="B50" s="538">
        <v>1</v>
      </c>
      <c r="C50" s="539">
        <f>'จน.ปาล์ม 69 '!E53</f>
        <v>117</v>
      </c>
      <c r="D50" s="539">
        <f>'จน.ปาล์ม 69 '!F53</f>
        <v>2934</v>
      </c>
      <c r="E50" s="542">
        <f>ROUND(C50*B50,0)</f>
        <v>117</v>
      </c>
      <c r="F50" s="543">
        <f>ROUND(D50*B50,0)</f>
        <v>2934</v>
      </c>
      <c r="G50" s="384">
        <f t="shared" ref="G50:G52" si="17">$G$3</f>
        <v>5</v>
      </c>
      <c r="H50" s="522">
        <f>ROUND(G50*F50,0)</f>
        <v>14670</v>
      </c>
    </row>
    <row r="51" spans="1:8" ht="23.4" x14ac:dyDescent="0.45">
      <c r="A51" s="559" t="s">
        <v>113</v>
      </c>
      <c r="B51" s="538">
        <v>1</v>
      </c>
      <c r="C51" s="381">
        <f>'จน.ปาล์ม 69 '!E55</f>
        <v>115</v>
      </c>
      <c r="D51" s="381">
        <f>'จน.ปาล์ม 69 '!F55</f>
        <v>2864</v>
      </c>
      <c r="E51" s="542">
        <f>ROUND(C51*B51,0)</f>
        <v>115</v>
      </c>
      <c r="F51" s="543">
        <f>ROUND(D51*B51,0)</f>
        <v>2864</v>
      </c>
      <c r="G51" s="384">
        <f t="shared" si="17"/>
        <v>5</v>
      </c>
      <c r="H51" s="522">
        <f>ROUND(G51*F51,0)</f>
        <v>14320</v>
      </c>
    </row>
    <row r="52" spans="1:8" ht="23.4" x14ac:dyDescent="0.45">
      <c r="A52" s="559" t="s">
        <v>114</v>
      </c>
      <c r="B52" s="538">
        <v>1</v>
      </c>
      <c r="C52" s="381">
        <f>'จน.ปาล์ม 69 '!E56</f>
        <v>128</v>
      </c>
      <c r="D52" s="381">
        <f>'จน.ปาล์ม 69 '!F56</f>
        <v>2825</v>
      </c>
      <c r="E52" s="542">
        <f>ROUND(C52*B52,0)</f>
        <v>128</v>
      </c>
      <c r="F52" s="543">
        <f>ROUND(D52*B52,0)</f>
        <v>2825</v>
      </c>
      <c r="G52" s="384">
        <f t="shared" si="17"/>
        <v>5</v>
      </c>
      <c r="H52" s="522">
        <f>ROUND(G52*F52,0)</f>
        <v>14125</v>
      </c>
    </row>
    <row r="53" spans="1:8" ht="24.75" customHeight="1" thickBot="1" x14ac:dyDescent="0.65">
      <c r="A53" s="1115" t="s">
        <v>222</v>
      </c>
      <c r="B53" s="1116"/>
      <c r="C53" s="1116"/>
      <c r="D53" s="1116"/>
      <c r="E53" s="1116"/>
      <c r="F53" s="1116"/>
      <c r="G53" s="1116"/>
      <c r="H53" s="536">
        <f>SUM(H50:H52)</f>
        <v>43115</v>
      </c>
    </row>
    <row r="54" spans="1:8" ht="24" customHeight="1" thickBot="1" x14ac:dyDescent="0.4">
      <c r="A54" s="1078" t="s">
        <v>223</v>
      </c>
      <c r="B54" s="1079"/>
      <c r="C54" s="1079"/>
      <c r="D54" s="1079"/>
      <c r="E54" s="1079"/>
      <c r="F54" s="1079"/>
      <c r="G54" s="1079"/>
      <c r="H54" s="1080"/>
    </row>
    <row r="55" spans="1:8" ht="23.4" x14ac:dyDescent="0.45">
      <c r="A55" s="534" t="str">
        <f>'จน.ปาล์ม 69 '!D90</f>
        <v>59-C08-R</v>
      </c>
      <c r="B55" s="524">
        <v>1</v>
      </c>
      <c r="C55" s="529">
        <f>'จน.ปาล์ม 69 '!E90</f>
        <v>116</v>
      </c>
      <c r="D55" s="529">
        <f>'จน.ปาล์ม 69 '!F90</f>
        <v>2888</v>
      </c>
      <c r="E55" s="542">
        <f t="shared" ref="E55:E56" si="18">ROUND(C55*B55,0)</f>
        <v>116</v>
      </c>
      <c r="F55" s="543">
        <f t="shared" ref="F55:F56" si="19">ROUND(D55*B55,0)</f>
        <v>2888</v>
      </c>
      <c r="G55" s="384">
        <f t="shared" ref="G55:G56" si="20">$G$3</f>
        <v>5</v>
      </c>
      <c r="H55" s="522">
        <f>ROUND(G55*F55,0)</f>
        <v>14440</v>
      </c>
    </row>
    <row r="56" spans="1:8" ht="23.4" x14ac:dyDescent="0.45">
      <c r="A56" s="560" t="str">
        <f>'จน.ปาล์ม 69 '!D92</f>
        <v>59-C11-R</v>
      </c>
      <c r="B56" s="561">
        <v>1</v>
      </c>
      <c r="C56" s="562">
        <f>'จน.ปาล์ม 69 '!E92</f>
        <v>92</v>
      </c>
      <c r="D56" s="562">
        <f>'จน.ปาล์ม 69 '!F92</f>
        <v>2291</v>
      </c>
      <c r="E56" s="507">
        <f t="shared" si="18"/>
        <v>92</v>
      </c>
      <c r="F56" s="508">
        <f t="shared" si="19"/>
        <v>2291</v>
      </c>
      <c r="G56" s="547">
        <f t="shared" si="20"/>
        <v>5</v>
      </c>
      <c r="H56" s="522">
        <f>ROUND(G56*F56,0)</f>
        <v>11455</v>
      </c>
    </row>
    <row r="57" spans="1:8" ht="26.25" customHeight="1" x14ac:dyDescent="0.6">
      <c r="A57" s="1158" t="s">
        <v>224</v>
      </c>
      <c r="B57" s="1159"/>
      <c r="C57" s="1159"/>
      <c r="D57" s="1159"/>
      <c r="E57" s="1159"/>
      <c r="F57" s="1159"/>
      <c r="G57" s="1159"/>
      <c r="H57" s="563">
        <f>SUM(H55:H56)</f>
        <v>25895</v>
      </c>
    </row>
    <row r="58" spans="1:8" ht="23.4" x14ac:dyDescent="0.45">
      <c r="A58" s="1149" t="s">
        <v>225</v>
      </c>
      <c r="B58" s="1150"/>
      <c r="C58" s="1150"/>
      <c r="D58" s="1150"/>
      <c r="E58" s="1150"/>
      <c r="F58" s="1150"/>
      <c r="G58" s="1150"/>
      <c r="H58" s="1151"/>
    </row>
    <row r="59" spans="1:8" ht="24.75" customHeight="1" x14ac:dyDescent="0.45">
      <c r="A59" s="1146" t="s">
        <v>227</v>
      </c>
      <c r="B59" s="1147"/>
      <c r="C59" s="1147"/>
      <c r="D59" s="1147"/>
      <c r="E59" s="1147"/>
      <c r="F59" s="1147"/>
      <c r="G59" s="1147"/>
      <c r="H59" s="1148"/>
    </row>
    <row r="60" spans="1:8" ht="23.4" x14ac:dyDescent="0.45">
      <c r="A60" s="540" t="s">
        <v>52</v>
      </c>
      <c r="B60" s="564">
        <v>1</v>
      </c>
      <c r="C60" s="381">
        <v>154</v>
      </c>
      <c r="D60" s="381">
        <v>3851</v>
      </c>
      <c r="E60" s="542">
        <f>ROUND(C60*B60,0)</f>
        <v>154</v>
      </c>
      <c r="F60" s="543">
        <f>ROUND(D60*B60,0)</f>
        <v>3851</v>
      </c>
      <c r="G60" s="378">
        <f t="shared" ref="G60:G62" si="21">$G$3</f>
        <v>5</v>
      </c>
      <c r="H60" s="522">
        <f>ROUND(G60*F60,0)</f>
        <v>19255</v>
      </c>
    </row>
    <row r="61" spans="1:8" ht="23.4" x14ac:dyDescent="0.45">
      <c r="A61" s="540" t="s">
        <v>53</v>
      </c>
      <c r="B61" s="564">
        <v>1</v>
      </c>
      <c r="C61" s="381">
        <v>139</v>
      </c>
      <c r="D61" s="381">
        <v>3476</v>
      </c>
      <c r="E61" s="542">
        <f t="shared" ref="E61:E62" si="22">ROUND(C61*B61,0)</f>
        <v>139</v>
      </c>
      <c r="F61" s="543">
        <f>ROUND(D61*B61,0)</f>
        <v>3476</v>
      </c>
      <c r="G61" s="378">
        <f>$G$3</f>
        <v>5</v>
      </c>
      <c r="H61" s="522">
        <f>ROUND(G61*F61,0)</f>
        <v>17380</v>
      </c>
    </row>
    <row r="62" spans="1:8" ht="24" thickBot="1" x14ac:dyDescent="0.5">
      <c r="A62" s="565" t="s">
        <v>54</v>
      </c>
      <c r="B62" s="566">
        <v>1</v>
      </c>
      <c r="C62" s="405">
        <v>165</v>
      </c>
      <c r="D62" s="405">
        <v>4127</v>
      </c>
      <c r="E62" s="542">
        <f t="shared" si="22"/>
        <v>165</v>
      </c>
      <c r="F62" s="543">
        <f>ROUND(D62*B62,0)</f>
        <v>4127</v>
      </c>
      <c r="G62" s="378">
        <f t="shared" si="21"/>
        <v>5</v>
      </c>
      <c r="H62" s="519">
        <f>ROUND(G62*F62,0)</f>
        <v>20635</v>
      </c>
    </row>
    <row r="63" spans="1:8" ht="24.75" customHeight="1" thickBot="1" x14ac:dyDescent="0.65">
      <c r="A63" s="1139" t="s">
        <v>228</v>
      </c>
      <c r="B63" s="1140"/>
      <c r="C63" s="1140"/>
      <c r="D63" s="1140"/>
      <c r="E63" s="1140"/>
      <c r="F63" s="1140"/>
      <c r="G63" s="1140"/>
      <c r="H63" s="567">
        <f>SUM(H60:H62)</f>
        <v>57270</v>
      </c>
    </row>
    <row r="64" spans="1:8" ht="24" customHeight="1" x14ac:dyDescent="0.45">
      <c r="A64" s="1143" t="s">
        <v>27</v>
      </c>
      <c r="B64" s="1144"/>
      <c r="C64" s="1144"/>
      <c r="D64" s="1144"/>
      <c r="E64" s="1144"/>
      <c r="F64" s="1144"/>
      <c r="G64" s="1144"/>
      <c r="H64" s="1145"/>
    </row>
    <row r="65" spans="1:8" ht="24" customHeight="1" x14ac:dyDescent="0.45">
      <c r="A65" s="530" t="s">
        <v>126</v>
      </c>
      <c r="B65" s="521">
        <v>1</v>
      </c>
      <c r="C65" s="551">
        <v>108</v>
      </c>
      <c r="D65" s="551">
        <v>2707</v>
      </c>
      <c r="E65" s="507">
        <f>ROUND(C65*B65,0)</f>
        <v>108</v>
      </c>
      <c r="F65" s="508">
        <f t="shared" ref="F65:F66" si="23">ROUND(D65*B65,0)</f>
        <v>2707</v>
      </c>
      <c r="G65" s="384">
        <f>$G$3</f>
        <v>5</v>
      </c>
      <c r="H65" s="522">
        <f t="shared" ref="H65:H66" si="24">ROUND(G65*F65,0)</f>
        <v>13535</v>
      </c>
    </row>
    <row r="66" spans="1:8" ht="23.4" x14ac:dyDescent="0.45">
      <c r="A66" s="568" t="s">
        <v>128</v>
      </c>
      <c r="B66" s="561">
        <v>1</v>
      </c>
      <c r="C66" s="551">
        <v>29</v>
      </c>
      <c r="D66" s="551">
        <v>720</v>
      </c>
      <c r="E66" s="507">
        <f>ROUND(C66*B66,0)</f>
        <v>29</v>
      </c>
      <c r="F66" s="508">
        <f t="shared" si="23"/>
        <v>720</v>
      </c>
      <c r="G66" s="402">
        <f t="shared" ref="G66" si="25">$G$3</f>
        <v>5</v>
      </c>
      <c r="H66" s="522">
        <f t="shared" si="24"/>
        <v>3600</v>
      </c>
    </row>
    <row r="67" spans="1:8" ht="25.8" thickBot="1" x14ac:dyDescent="0.65">
      <c r="A67" s="1160" t="s">
        <v>226</v>
      </c>
      <c r="B67" s="1160"/>
      <c r="C67" s="1160"/>
      <c r="D67" s="1160"/>
      <c r="E67" s="1160"/>
      <c r="F67" s="1160"/>
      <c r="G67" s="1160"/>
      <c r="H67" s="569">
        <f>SUM(H65:H66)</f>
        <v>17135</v>
      </c>
    </row>
    <row r="68" spans="1:8" ht="24.75" customHeight="1" thickBot="1" x14ac:dyDescent="0.4">
      <c r="A68" s="1161" t="s">
        <v>229</v>
      </c>
      <c r="B68" s="1162"/>
      <c r="C68" s="1162"/>
      <c r="D68" s="1162"/>
      <c r="E68" s="1162"/>
      <c r="F68" s="1162"/>
      <c r="G68" s="1162"/>
      <c r="H68" s="570">
        <f>H67+H63</f>
        <v>74405</v>
      </c>
    </row>
    <row r="69" spans="1:8" ht="24.75" customHeight="1" thickBot="1" x14ac:dyDescent="0.5">
      <c r="A69" s="1165" t="s">
        <v>230</v>
      </c>
      <c r="B69" s="1166"/>
      <c r="C69" s="1166"/>
      <c r="D69" s="1166"/>
      <c r="E69" s="1166"/>
      <c r="F69" s="1166"/>
      <c r="G69" s="1166"/>
      <c r="H69" s="1167"/>
    </row>
    <row r="70" spans="1:8" ht="24" customHeight="1" thickBot="1" x14ac:dyDescent="0.5">
      <c r="A70" s="1168" t="s">
        <v>27</v>
      </c>
      <c r="B70" s="1169"/>
      <c r="C70" s="1169"/>
      <c r="D70" s="1169"/>
      <c r="E70" s="1169"/>
      <c r="F70" s="1169"/>
      <c r="G70" s="1169"/>
      <c r="H70" s="1170"/>
    </row>
    <row r="71" spans="1:8" ht="23.4" x14ac:dyDescent="0.45">
      <c r="A71" s="571" t="s">
        <v>144</v>
      </c>
      <c r="B71" s="572">
        <v>1</v>
      </c>
      <c r="C71" s="573">
        <v>24</v>
      </c>
      <c r="D71" s="573">
        <v>534</v>
      </c>
      <c r="E71" s="574">
        <f t="shared" ref="E71:E72" si="26">ROUND(C71*B71,0)</f>
        <v>24</v>
      </c>
      <c r="F71" s="515">
        <f t="shared" ref="F71:F72" si="27">ROUND(D71*B71,0)</f>
        <v>534</v>
      </c>
      <c r="G71" s="384">
        <f t="shared" ref="G71:G72" si="28">$G$3</f>
        <v>5</v>
      </c>
      <c r="H71" s="502">
        <f t="shared" ref="H71:H72" si="29">ROUND(G71*F71,0)</f>
        <v>2670</v>
      </c>
    </row>
    <row r="72" spans="1:8" ht="23.4" x14ac:dyDescent="0.45">
      <c r="A72" s="575" t="s">
        <v>145</v>
      </c>
      <c r="B72" s="521">
        <v>1</v>
      </c>
      <c r="C72" s="562">
        <v>39</v>
      </c>
      <c r="D72" s="562">
        <v>980</v>
      </c>
      <c r="E72" s="514">
        <f t="shared" si="26"/>
        <v>39</v>
      </c>
      <c r="F72" s="508">
        <f t="shared" si="27"/>
        <v>980</v>
      </c>
      <c r="G72" s="384">
        <f t="shared" si="28"/>
        <v>5</v>
      </c>
      <c r="H72" s="522">
        <f t="shared" si="29"/>
        <v>4900</v>
      </c>
    </row>
    <row r="73" spans="1:8" ht="24.75" customHeight="1" x14ac:dyDescent="0.45">
      <c r="A73" s="1163" t="s">
        <v>231</v>
      </c>
      <c r="B73" s="1164"/>
      <c r="C73" s="1164"/>
      <c r="D73" s="1164"/>
      <c r="E73" s="1164"/>
      <c r="F73" s="1164"/>
      <c r="G73" s="1164"/>
      <c r="H73" s="531">
        <f>SUM(H71:H72)</f>
        <v>7570</v>
      </c>
    </row>
    <row r="74" spans="1:8" ht="25.8" thickBot="1" x14ac:dyDescent="0.65">
      <c r="A74" s="1129" t="s">
        <v>232</v>
      </c>
      <c r="B74" s="1129"/>
      <c r="C74" s="1129"/>
      <c r="D74" s="1129"/>
      <c r="E74" s="1129"/>
      <c r="F74" s="1129"/>
      <c r="G74" s="1129"/>
      <c r="H74" s="536">
        <f>H73</f>
        <v>7570</v>
      </c>
    </row>
    <row r="75" spans="1:8" ht="24.75" customHeight="1" thickBot="1" x14ac:dyDescent="0.5">
      <c r="A75" s="1165" t="s">
        <v>233</v>
      </c>
      <c r="B75" s="1166"/>
      <c r="C75" s="1166"/>
      <c r="D75" s="1166"/>
      <c r="E75" s="1166"/>
      <c r="F75" s="1166"/>
      <c r="G75" s="1166"/>
      <c r="H75" s="1167"/>
    </row>
    <row r="76" spans="1:8" ht="24" customHeight="1" thickBot="1" x14ac:dyDescent="0.5">
      <c r="A76" s="1168" t="s">
        <v>27</v>
      </c>
      <c r="B76" s="1169"/>
      <c r="C76" s="1169"/>
      <c r="D76" s="1169"/>
      <c r="E76" s="1169"/>
      <c r="F76" s="1169"/>
      <c r="G76" s="1169"/>
      <c r="H76" s="1171"/>
    </row>
    <row r="77" spans="1:8" ht="23.4" x14ac:dyDescent="0.45">
      <c r="A77" s="576" t="s">
        <v>45</v>
      </c>
      <c r="B77" s="521">
        <v>1</v>
      </c>
      <c r="C77" s="577">
        <f>'จน.ปาล์ม 69 '!E156</f>
        <v>90</v>
      </c>
      <c r="D77" s="562">
        <f>'จน.ปาล์ม 69 '!F156</f>
        <v>1970</v>
      </c>
      <c r="E77" s="514">
        <f>ROUND(C77*B77,0)</f>
        <v>90</v>
      </c>
      <c r="F77" s="515">
        <f>ROUND(D77*B77,0)</f>
        <v>1970</v>
      </c>
      <c r="G77" s="384">
        <f t="shared" ref="G77" si="30">$G$3</f>
        <v>5</v>
      </c>
      <c r="H77" s="502">
        <f t="shared" ref="H77" si="31">ROUND(G77*F77,0)</f>
        <v>9850</v>
      </c>
    </row>
    <row r="78" spans="1:8" ht="25.8" thickBot="1" x14ac:dyDescent="0.65">
      <c r="A78" s="1107" t="s">
        <v>234</v>
      </c>
      <c r="B78" s="1108"/>
      <c r="C78" s="1109"/>
      <c r="D78" s="1109"/>
      <c r="E78" s="1109"/>
      <c r="F78" s="1109"/>
      <c r="G78" s="1109"/>
      <c r="H78" s="536">
        <f>SUM(H77:H77)</f>
        <v>9850</v>
      </c>
    </row>
    <row r="79" spans="1:8" ht="24.75" customHeight="1" thickBot="1" x14ac:dyDescent="0.5">
      <c r="A79" s="1165" t="s">
        <v>235</v>
      </c>
      <c r="B79" s="1166"/>
      <c r="C79" s="1166"/>
      <c r="D79" s="1166"/>
      <c r="E79" s="1166"/>
      <c r="F79" s="1166"/>
      <c r="G79" s="1166"/>
      <c r="H79" s="1167"/>
    </row>
    <row r="80" spans="1:8" ht="24" customHeight="1" thickBot="1" x14ac:dyDescent="0.5">
      <c r="A80" s="1168" t="s">
        <v>236</v>
      </c>
      <c r="B80" s="1169"/>
      <c r="C80" s="1169"/>
      <c r="D80" s="1169"/>
      <c r="E80" s="1169"/>
      <c r="F80" s="1169"/>
      <c r="G80" s="1169"/>
      <c r="H80" s="1171"/>
    </row>
    <row r="81" spans="1:8" ht="23.4" x14ac:dyDescent="0.45">
      <c r="A81" s="576" t="s">
        <v>178</v>
      </c>
      <c r="B81" s="521">
        <v>1</v>
      </c>
      <c r="C81" s="577">
        <v>3</v>
      </c>
      <c r="D81" s="577">
        <v>61</v>
      </c>
      <c r="E81" s="514">
        <f>ROUND(C81*B81,0)</f>
        <v>3</v>
      </c>
      <c r="F81" s="515">
        <f>ROUND(D81*B81,0)</f>
        <v>61</v>
      </c>
      <c r="G81" s="384">
        <f t="shared" ref="G81:G83" si="32">$G$3</f>
        <v>5</v>
      </c>
      <c r="H81" s="502">
        <f>ROUND(G81*F81,0)</f>
        <v>305</v>
      </c>
    </row>
    <row r="82" spans="1:8" ht="23.4" x14ac:dyDescent="0.45">
      <c r="A82" s="578" t="s">
        <v>179</v>
      </c>
      <c r="B82" s="524">
        <v>1</v>
      </c>
      <c r="C82" s="507">
        <v>8</v>
      </c>
      <c r="D82" s="507">
        <v>171</v>
      </c>
      <c r="E82" s="542">
        <f t="shared" ref="E82:E83" si="33">ROUND(C82*B82,0)</f>
        <v>8</v>
      </c>
      <c r="F82" s="508">
        <f>ROUND(D82*B82,0)</f>
        <v>171</v>
      </c>
      <c r="G82" s="384">
        <f t="shared" si="32"/>
        <v>5</v>
      </c>
      <c r="H82" s="522">
        <f t="shared" ref="H82" si="34">ROUND(G82*F82,0)</f>
        <v>855</v>
      </c>
    </row>
    <row r="83" spans="1:8" ht="23.4" x14ac:dyDescent="0.45">
      <c r="A83" s="578" t="s">
        <v>180</v>
      </c>
      <c r="B83" s="524">
        <v>1</v>
      </c>
      <c r="C83" s="507">
        <v>11</v>
      </c>
      <c r="D83" s="507">
        <v>241</v>
      </c>
      <c r="E83" s="514">
        <f t="shared" si="33"/>
        <v>11</v>
      </c>
      <c r="F83" s="508">
        <f>ROUND(D83*B83,0)</f>
        <v>241</v>
      </c>
      <c r="G83" s="384">
        <f t="shared" si="32"/>
        <v>5</v>
      </c>
      <c r="H83" s="522">
        <f>ROUND(G83*F83,0)</f>
        <v>1205</v>
      </c>
    </row>
    <row r="84" spans="1:8" ht="25.8" thickBot="1" x14ac:dyDescent="0.65">
      <c r="A84" s="1110" t="s">
        <v>237</v>
      </c>
      <c r="B84" s="1111"/>
      <c r="C84" s="1112"/>
      <c r="D84" s="1112"/>
      <c r="E84" s="1112"/>
      <c r="F84" s="1112"/>
      <c r="G84" s="1112"/>
      <c r="H84" s="579">
        <f>SUM(H81:H83)</f>
        <v>2365</v>
      </c>
    </row>
    <row r="85" spans="1:8" ht="24.75" customHeight="1" thickBot="1" x14ac:dyDescent="0.5">
      <c r="A85" s="1165" t="s">
        <v>320</v>
      </c>
      <c r="B85" s="1166"/>
      <c r="C85" s="1166"/>
      <c r="D85" s="1166"/>
      <c r="E85" s="1166"/>
      <c r="F85" s="1166"/>
      <c r="G85" s="1166"/>
      <c r="H85" s="1167"/>
    </row>
    <row r="86" spans="1:8" ht="23.4" x14ac:dyDescent="0.45">
      <c r="A86" s="1172" t="s">
        <v>27</v>
      </c>
      <c r="B86" s="1105"/>
      <c r="C86" s="1105"/>
      <c r="D86" s="1105"/>
      <c r="E86" s="1105"/>
      <c r="F86" s="1105"/>
      <c r="G86" s="1105"/>
      <c r="H86" s="1173"/>
    </row>
    <row r="87" spans="1:8" ht="23.4" x14ac:dyDescent="0.45">
      <c r="A87" s="580" t="s">
        <v>305</v>
      </c>
      <c r="B87" s="524">
        <v>1</v>
      </c>
      <c r="C87" s="581">
        <v>86</v>
      </c>
      <c r="D87" s="581">
        <v>1892</v>
      </c>
      <c r="E87" s="507">
        <f>ROUND(C87*B87,0)</f>
        <v>86</v>
      </c>
      <c r="F87" s="508">
        <f>ROUND(D87*B87,0)</f>
        <v>1892</v>
      </c>
      <c r="G87" s="384">
        <f t="shared" ref="G87:G88" si="35">$G$3</f>
        <v>5</v>
      </c>
      <c r="H87" s="522">
        <f>ROUND(G87*F87,0)</f>
        <v>9460</v>
      </c>
    </row>
    <row r="88" spans="1:8" ht="23.4" x14ac:dyDescent="0.45">
      <c r="A88" s="580" t="s">
        <v>306</v>
      </c>
      <c r="B88" s="524">
        <v>1</v>
      </c>
      <c r="C88" s="581">
        <v>77</v>
      </c>
      <c r="D88" s="581">
        <v>1686</v>
      </c>
      <c r="E88" s="507">
        <f t="shared" ref="E88" si="36">ROUND(C88*B88,0)</f>
        <v>77</v>
      </c>
      <c r="F88" s="508">
        <f>ROUND(D88*B88,0)</f>
        <v>1686</v>
      </c>
      <c r="G88" s="384">
        <f t="shared" si="35"/>
        <v>5</v>
      </c>
      <c r="H88" s="522">
        <f>ROUND(G88*F88,0)</f>
        <v>8430</v>
      </c>
    </row>
    <row r="89" spans="1:8" ht="25.2" x14ac:dyDescent="0.6">
      <c r="A89" s="1110" t="s">
        <v>321</v>
      </c>
      <c r="B89" s="1111"/>
      <c r="C89" s="1112"/>
      <c r="D89" s="1112"/>
      <c r="E89" s="1112"/>
      <c r="F89" s="1112"/>
      <c r="G89" s="1112"/>
      <c r="H89" s="579">
        <f>SUM(H87:H88)</f>
        <v>17890</v>
      </c>
    </row>
    <row r="90" spans="1:8" ht="25.2" x14ac:dyDescent="0.6">
      <c r="A90" s="1155" t="s">
        <v>321</v>
      </c>
      <c r="B90" s="1156"/>
      <c r="C90" s="1157"/>
      <c r="D90" s="1157"/>
      <c r="E90" s="1157"/>
      <c r="F90" s="1157"/>
      <c r="G90" s="1157"/>
      <c r="H90" s="563">
        <f>H89</f>
        <v>17890</v>
      </c>
    </row>
  </sheetData>
  <mergeCells count="57">
    <mergeCell ref="A89:G89"/>
    <mergeCell ref="A49:H49"/>
    <mergeCell ref="A90:G90"/>
    <mergeCell ref="A57:G57"/>
    <mergeCell ref="A67:G67"/>
    <mergeCell ref="A63:G63"/>
    <mergeCell ref="A68:G68"/>
    <mergeCell ref="A73:G73"/>
    <mergeCell ref="A69:H69"/>
    <mergeCell ref="A70:H70"/>
    <mergeCell ref="A75:H75"/>
    <mergeCell ref="A76:H76"/>
    <mergeCell ref="A79:H79"/>
    <mergeCell ref="A80:H80"/>
    <mergeCell ref="A85:H85"/>
    <mergeCell ref="A86:H86"/>
    <mergeCell ref="A74:G74"/>
    <mergeCell ref="A39:H39"/>
    <mergeCell ref="A44:H44"/>
    <mergeCell ref="A47:G47"/>
    <mergeCell ref="A43:G43"/>
    <mergeCell ref="A48:G48"/>
    <mergeCell ref="A64:H64"/>
    <mergeCell ref="A59:H59"/>
    <mergeCell ref="A58:H58"/>
    <mergeCell ref="A78:G78"/>
    <mergeCell ref="A84:G84"/>
    <mergeCell ref="A13:G13"/>
    <mergeCell ref="H2:H3"/>
    <mergeCell ref="A16:G16"/>
    <mergeCell ref="A53:G53"/>
    <mergeCell ref="A20:G20"/>
    <mergeCell ref="A21:G21"/>
    <mergeCell ref="A33:G33"/>
    <mergeCell ref="A35:G35"/>
    <mergeCell ref="A37:G37"/>
    <mergeCell ref="A22:H22"/>
    <mergeCell ref="A31:H31"/>
    <mergeCell ref="A23:H23"/>
    <mergeCell ref="A29:G29"/>
    <mergeCell ref="A36:G36"/>
    <mergeCell ref="J2:R2"/>
    <mergeCell ref="A30:G30"/>
    <mergeCell ref="A38:H38"/>
    <mergeCell ref="A1:H1"/>
    <mergeCell ref="A54:H54"/>
    <mergeCell ref="A8:G8"/>
    <mergeCell ref="A12:G12"/>
    <mergeCell ref="A19:G19"/>
    <mergeCell ref="A2:B3"/>
    <mergeCell ref="C2:C3"/>
    <mergeCell ref="D2:D3"/>
    <mergeCell ref="E2:E3"/>
    <mergeCell ref="F2:F3"/>
    <mergeCell ref="A5:H5"/>
    <mergeCell ref="A4:H4"/>
    <mergeCell ref="A14:H14"/>
  </mergeCells>
  <pageMargins left="0.23622047244094491" right="0.17" top="0.35" bottom="0.39370078740157483" header="0.31496062992125984" footer="0.31496062992125984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34"/>
  <sheetViews>
    <sheetView zoomScale="80" zoomScaleNormal="80" workbookViewId="0">
      <pane ySplit="4" topLeftCell="A5" activePane="bottomLeft" state="frozen"/>
      <selection pane="bottomLeft" sqref="A1:F1"/>
    </sheetView>
  </sheetViews>
  <sheetFormatPr defaultColWidth="9" defaultRowHeight="18.600000000000001" x14ac:dyDescent="0.55000000000000004"/>
  <cols>
    <col min="1" max="3" width="20.59765625" style="367" customWidth="1"/>
    <col min="4" max="6" width="20.59765625" style="368" customWidth="1"/>
    <col min="7" max="16384" width="9" style="367"/>
  </cols>
  <sheetData>
    <row r="1" spans="1:16" ht="27.6" thickBot="1" x14ac:dyDescent="0.8">
      <c r="A1" s="1188" t="s">
        <v>343</v>
      </c>
      <c r="B1" s="1189"/>
      <c r="C1" s="1189"/>
      <c r="D1" s="1189"/>
      <c r="E1" s="1189"/>
      <c r="F1" s="1190"/>
    </row>
    <row r="2" spans="1:16" ht="24" customHeight="1" x14ac:dyDescent="0.55000000000000004">
      <c r="A2" s="1200" t="s">
        <v>204</v>
      </c>
      <c r="B2" s="1202" t="s">
        <v>1</v>
      </c>
      <c r="C2" s="1202" t="s">
        <v>2</v>
      </c>
      <c r="D2" s="1205" t="s">
        <v>322</v>
      </c>
      <c r="E2" s="1194" t="s">
        <v>3</v>
      </c>
      <c r="F2" s="1195"/>
      <c r="H2" s="880" t="s">
        <v>419</v>
      </c>
      <c r="I2" s="880"/>
      <c r="J2" s="880"/>
      <c r="K2" s="880"/>
      <c r="L2" s="880"/>
      <c r="M2" s="880"/>
      <c r="N2" s="880"/>
      <c r="O2" s="880"/>
      <c r="P2" s="880"/>
    </row>
    <row r="3" spans="1:16" ht="18.75" customHeight="1" x14ac:dyDescent="0.55000000000000004">
      <c r="A3" s="1201"/>
      <c r="B3" s="1203"/>
      <c r="C3" s="1203"/>
      <c r="D3" s="1206"/>
      <c r="E3" s="1208" t="s">
        <v>22</v>
      </c>
      <c r="F3" s="1209"/>
    </row>
    <row r="4" spans="1:16" ht="27.6" thickBot="1" x14ac:dyDescent="0.8">
      <c r="A4" s="1201"/>
      <c r="B4" s="1204"/>
      <c r="C4" s="1204"/>
      <c r="D4" s="1207"/>
      <c r="E4" s="369" t="s">
        <v>325</v>
      </c>
      <c r="F4" s="370" t="s">
        <v>326</v>
      </c>
    </row>
    <row r="5" spans="1:16" ht="27.9" customHeight="1" thickBot="1" x14ac:dyDescent="0.6">
      <c r="A5" s="371" t="s">
        <v>235</v>
      </c>
      <c r="B5" s="372"/>
      <c r="C5" s="372"/>
      <c r="D5" s="372"/>
      <c r="E5" s="372"/>
      <c r="F5" s="373"/>
    </row>
    <row r="6" spans="1:16" ht="27.9" customHeight="1" thickBot="1" x14ac:dyDescent="0.6">
      <c r="A6" s="374" t="s">
        <v>22</v>
      </c>
      <c r="B6" s="375"/>
      <c r="C6" s="375"/>
      <c r="D6" s="375"/>
      <c r="E6" s="375"/>
      <c r="F6" s="376"/>
    </row>
    <row r="7" spans="1:16" ht="27.9" customHeight="1" x14ac:dyDescent="0.75">
      <c r="A7" s="377" t="s">
        <v>178</v>
      </c>
      <c r="B7" s="378">
        <v>3</v>
      </c>
      <c r="C7" s="379">
        <v>61</v>
      </c>
      <c r="D7" s="380">
        <v>3.5</v>
      </c>
      <c r="E7" s="381">
        <v>1</v>
      </c>
      <c r="F7" s="382">
        <f>ROUND(+D7*C7*E7,0)</f>
        <v>214</v>
      </c>
    </row>
    <row r="8" spans="1:16" ht="27.9" customHeight="1" x14ac:dyDescent="0.75">
      <c r="A8" s="377" t="s">
        <v>179</v>
      </c>
      <c r="B8" s="378">
        <v>8</v>
      </c>
      <c r="C8" s="379">
        <v>171</v>
      </c>
      <c r="D8" s="380">
        <v>3.5</v>
      </c>
      <c r="E8" s="381">
        <v>1</v>
      </c>
      <c r="F8" s="382">
        <f t="shared" ref="F8:F10" si="0">ROUND(+D8*C8*E8,0)</f>
        <v>599</v>
      </c>
    </row>
    <row r="9" spans="1:16" ht="27.9" customHeight="1" x14ac:dyDescent="0.75">
      <c r="A9" s="377" t="s">
        <v>180</v>
      </c>
      <c r="B9" s="378">
        <v>11</v>
      </c>
      <c r="C9" s="379">
        <v>241</v>
      </c>
      <c r="D9" s="380">
        <v>3.5</v>
      </c>
      <c r="E9" s="381">
        <v>1</v>
      </c>
      <c r="F9" s="382">
        <f t="shared" si="0"/>
        <v>844</v>
      </c>
    </row>
    <row r="10" spans="1:16" ht="27.9" customHeight="1" x14ac:dyDescent="0.75">
      <c r="A10" s="377" t="s">
        <v>181</v>
      </c>
      <c r="B10" s="378">
        <v>140</v>
      </c>
      <c r="C10" s="379">
        <v>3070</v>
      </c>
      <c r="D10" s="380">
        <v>3.5</v>
      </c>
      <c r="E10" s="381">
        <v>1</v>
      </c>
      <c r="F10" s="382">
        <f t="shared" si="0"/>
        <v>10745</v>
      </c>
    </row>
    <row r="11" spans="1:16" ht="27.9" customHeight="1" thickBot="1" x14ac:dyDescent="0.8">
      <c r="A11" s="401" t="s">
        <v>182</v>
      </c>
      <c r="B11" s="402">
        <v>149</v>
      </c>
      <c r="C11" s="403">
        <v>3270</v>
      </c>
      <c r="D11" s="404">
        <v>3.5</v>
      </c>
      <c r="E11" s="405">
        <v>1</v>
      </c>
      <c r="F11" s="406">
        <f>ROUND(+D11*C11*E11,0)</f>
        <v>11445</v>
      </c>
    </row>
    <row r="12" spans="1:16" ht="27.9" customHeight="1" thickBot="1" x14ac:dyDescent="0.6">
      <c r="A12" s="1178" t="s">
        <v>331</v>
      </c>
      <c r="B12" s="1179"/>
      <c r="C12" s="1179"/>
      <c r="D12" s="1179"/>
      <c r="E12" s="1180"/>
      <c r="F12" s="408">
        <f>F7+F8+F9+F10+F11</f>
        <v>23847</v>
      </c>
    </row>
    <row r="13" spans="1:16" ht="27.9" customHeight="1" thickBot="1" x14ac:dyDescent="0.8">
      <c r="A13" s="1191" t="s">
        <v>27</v>
      </c>
      <c r="B13" s="1192"/>
      <c r="C13" s="1192"/>
      <c r="D13" s="1192"/>
      <c r="E13" s="1192"/>
      <c r="F13" s="1193"/>
    </row>
    <row r="14" spans="1:16" ht="27.9" customHeight="1" x14ac:dyDescent="0.75">
      <c r="A14" s="383" t="s">
        <v>187</v>
      </c>
      <c r="B14" s="384">
        <v>99</v>
      </c>
      <c r="C14" s="385">
        <v>2167</v>
      </c>
      <c r="D14" s="380">
        <v>3.5</v>
      </c>
      <c r="E14" s="386">
        <v>1</v>
      </c>
      <c r="F14" s="387">
        <f>ROUND(+D14*C14*E14,0)</f>
        <v>7585</v>
      </c>
    </row>
    <row r="15" spans="1:16" ht="27.9" customHeight="1" x14ac:dyDescent="0.75">
      <c r="A15" s="388" t="s">
        <v>189</v>
      </c>
      <c r="B15" s="389">
        <v>105</v>
      </c>
      <c r="C15" s="390">
        <v>2320</v>
      </c>
      <c r="D15" s="380">
        <v>3.5</v>
      </c>
      <c r="E15" s="391">
        <v>1</v>
      </c>
      <c r="F15" s="392">
        <f>ROUND(+D15*C15*E15,0)</f>
        <v>8120</v>
      </c>
    </row>
    <row r="16" spans="1:16" ht="27.9" customHeight="1" x14ac:dyDescent="0.75">
      <c r="A16" s="388" t="s">
        <v>190</v>
      </c>
      <c r="B16" s="389">
        <v>130</v>
      </c>
      <c r="C16" s="390">
        <v>2865</v>
      </c>
      <c r="D16" s="380">
        <v>3.5</v>
      </c>
      <c r="E16" s="391">
        <v>1</v>
      </c>
      <c r="F16" s="392">
        <f>ROUND(+D16*C16*E16,0)</f>
        <v>10028</v>
      </c>
    </row>
    <row r="17" spans="1:6" ht="27.9" customHeight="1" thickBot="1" x14ac:dyDescent="0.6">
      <c r="A17" s="1181" t="s">
        <v>330</v>
      </c>
      <c r="B17" s="1182"/>
      <c r="C17" s="1182"/>
      <c r="D17" s="1182"/>
      <c r="E17" s="1182"/>
      <c r="F17" s="410">
        <f>F14+F15+F16</f>
        <v>25733</v>
      </c>
    </row>
    <row r="18" spans="1:6" ht="27.9" customHeight="1" thickBot="1" x14ac:dyDescent="0.6">
      <c r="A18" s="1174" t="s">
        <v>327</v>
      </c>
      <c r="B18" s="1175"/>
      <c r="C18" s="1175"/>
      <c r="D18" s="1175"/>
      <c r="E18" s="1175"/>
      <c r="F18" s="409">
        <f>F17+F12</f>
        <v>49580</v>
      </c>
    </row>
    <row r="19" spans="1:6" ht="27.9" customHeight="1" x14ac:dyDescent="0.75">
      <c r="A19" s="393" t="s">
        <v>320</v>
      </c>
      <c r="B19" s="394"/>
      <c r="C19" s="394"/>
      <c r="D19" s="395"/>
      <c r="E19" s="395"/>
      <c r="F19" s="396"/>
    </row>
    <row r="20" spans="1:6" ht="27.9" customHeight="1" x14ac:dyDescent="0.55000000000000004">
      <c r="A20" s="1197" t="s">
        <v>22</v>
      </c>
      <c r="B20" s="1198"/>
      <c r="C20" s="1198"/>
      <c r="D20" s="1198"/>
      <c r="E20" s="1198"/>
      <c r="F20" s="1199"/>
    </row>
    <row r="21" spans="1:6" ht="27.9" customHeight="1" x14ac:dyDescent="0.75">
      <c r="A21" s="397" t="s">
        <v>183</v>
      </c>
      <c r="B21" s="398">
        <v>144</v>
      </c>
      <c r="C21" s="399">
        <v>3171</v>
      </c>
      <c r="D21" s="398">
        <v>3.5</v>
      </c>
      <c r="E21" s="398">
        <v>1</v>
      </c>
      <c r="F21" s="382">
        <f>ROUND(+D21*C21*E21,0)</f>
        <v>11099</v>
      </c>
    </row>
    <row r="22" spans="1:6" ht="27.9" customHeight="1" x14ac:dyDescent="0.75">
      <c r="A22" s="397" t="s">
        <v>184</v>
      </c>
      <c r="B22" s="398">
        <v>134</v>
      </c>
      <c r="C22" s="399">
        <v>2950</v>
      </c>
      <c r="D22" s="398">
        <v>3.5</v>
      </c>
      <c r="E22" s="398">
        <v>1</v>
      </c>
      <c r="F22" s="382">
        <f>ROUND(+D22*C22*E22,0)</f>
        <v>10325</v>
      </c>
    </row>
    <row r="23" spans="1:6" ht="27.9" customHeight="1" x14ac:dyDescent="0.55000000000000004">
      <c r="A23" s="1186" t="s">
        <v>323</v>
      </c>
      <c r="B23" s="1187"/>
      <c r="C23" s="1187"/>
      <c r="D23" s="1187"/>
      <c r="E23" s="1196"/>
      <c r="F23" s="411">
        <f>F21+F22</f>
        <v>21424</v>
      </c>
    </row>
    <row r="24" spans="1:6" ht="27.9" customHeight="1" x14ac:dyDescent="0.55000000000000004">
      <c r="A24" s="1183" t="s">
        <v>27</v>
      </c>
      <c r="B24" s="1184"/>
      <c r="C24" s="1184"/>
      <c r="D24" s="1184"/>
      <c r="E24" s="1184"/>
      <c r="F24" s="1185"/>
    </row>
    <row r="25" spans="1:6" ht="27.9" customHeight="1" x14ac:dyDescent="0.75">
      <c r="A25" s="397" t="s">
        <v>305</v>
      </c>
      <c r="B25" s="398">
        <v>86</v>
      </c>
      <c r="C25" s="400">
        <v>1892</v>
      </c>
      <c r="D25" s="398">
        <v>3.5</v>
      </c>
      <c r="E25" s="398">
        <v>1</v>
      </c>
      <c r="F25" s="382">
        <f>ROUND(+D25*C25*E25,0)</f>
        <v>6622</v>
      </c>
    </row>
    <row r="26" spans="1:6" ht="27.9" customHeight="1" x14ac:dyDescent="0.75">
      <c r="A26" s="397" t="s">
        <v>306</v>
      </c>
      <c r="B26" s="398">
        <v>77</v>
      </c>
      <c r="C26" s="400">
        <v>1686</v>
      </c>
      <c r="D26" s="398">
        <v>3.5</v>
      </c>
      <c r="E26" s="398">
        <v>1</v>
      </c>
      <c r="F26" s="382">
        <f t="shared" ref="F26:F31" si="1">ROUND(+D26*C26*E26,0)</f>
        <v>5901</v>
      </c>
    </row>
    <row r="27" spans="1:6" ht="27.9" customHeight="1" x14ac:dyDescent="0.75">
      <c r="A27" s="397" t="s">
        <v>307</v>
      </c>
      <c r="B27" s="398">
        <v>63</v>
      </c>
      <c r="C27" s="400">
        <v>1380</v>
      </c>
      <c r="D27" s="398">
        <v>3.5</v>
      </c>
      <c r="E27" s="398">
        <v>1</v>
      </c>
      <c r="F27" s="382">
        <f t="shared" si="1"/>
        <v>4830</v>
      </c>
    </row>
    <row r="28" spans="1:6" ht="27.9" customHeight="1" x14ac:dyDescent="0.75">
      <c r="A28" s="397" t="s">
        <v>308</v>
      </c>
      <c r="B28" s="398">
        <v>53</v>
      </c>
      <c r="C28" s="400">
        <v>1168</v>
      </c>
      <c r="D28" s="398">
        <v>3.5</v>
      </c>
      <c r="E28" s="398">
        <v>1</v>
      </c>
      <c r="F28" s="382">
        <f t="shared" si="1"/>
        <v>4088</v>
      </c>
    </row>
    <row r="29" spans="1:6" ht="27.9" customHeight="1" x14ac:dyDescent="0.75">
      <c r="A29" s="397" t="s">
        <v>309</v>
      </c>
      <c r="B29" s="398">
        <v>34</v>
      </c>
      <c r="C29" s="400">
        <v>751</v>
      </c>
      <c r="D29" s="398">
        <v>3.5</v>
      </c>
      <c r="E29" s="398">
        <v>1</v>
      </c>
      <c r="F29" s="382">
        <f t="shared" si="1"/>
        <v>2629</v>
      </c>
    </row>
    <row r="30" spans="1:6" ht="27.9" customHeight="1" x14ac:dyDescent="0.75">
      <c r="A30" s="397" t="s">
        <v>310</v>
      </c>
      <c r="B30" s="398">
        <v>70</v>
      </c>
      <c r="C30" s="400">
        <v>1547</v>
      </c>
      <c r="D30" s="398">
        <v>3.5</v>
      </c>
      <c r="E30" s="398">
        <v>1</v>
      </c>
      <c r="F30" s="382">
        <f t="shared" si="1"/>
        <v>5415</v>
      </c>
    </row>
    <row r="31" spans="1:6" ht="27.9" customHeight="1" x14ac:dyDescent="0.75">
      <c r="A31" s="397" t="s">
        <v>311</v>
      </c>
      <c r="B31" s="398">
        <v>7</v>
      </c>
      <c r="C31" s="400">
        <v>145</v>
      </c>
      <c r="D31" s="398">
        <v>3.5</v>
      </c>
      <c r="E31" s="398">
        <v>1</v>
      </c>
      <c r="F31" s="382">
        <f t="shared" si="1"/>
        <v>508</v>
      </c>
    </row>
    <row r="32" spans="1:6" ht="27.9" customHeight="1" thickBot="1" x14ac:dyDescent="0.6">
      <c r="A32" s="1186" t="s">
        <v>324</v>
      </c>
      <c r="B32" s="1187"/>
      <c r="C32" s="1187"/>
      <c r="D32" s="1187"/>
      <c r="E32" s="1187"/>
      <c r="F32" s="411">
        <f>F31+F30+F29+F28+F27+F26+F25</f>
        <v>29993</v>
      </c>
    </row>
    <row r="33" spans="1:6" ht="27.9" customHeight="1" thickBot="1" x14ac:dyDescent="0.6">
      <c r="A33" s="1174" t="s">
        <v>332</v>
      </c>
      <c r="B33" s="1175"/>
      <c r="C33" s="1175"/>
      <c r="D33" s="1175"/>
      <c r="E33" s="1175"/>
      <c r="F33" s="409">
        <f>F23+F32</f>
        <v>51417</v>
      </c>
    </row>
    <row r="34" spans="1:6" ht="27.9" customHeight="1" thickBot="1" x14ac:dyDescent="0.6">
      <c r="A34" s="1176" t="s">
        <v>328</v>
      </c>
      <c r="B34" s="1177"/>
      <c r="C34" s="1177"/>
      <c r="D34" s="1177"/>
      <c r="E34" s="1177"/>
      <c r="F34" s="407">
        <f>F33+F18</f>
        <v>100997</v>
      </c>
    </row>
  </sheetData>
  <mergeCells count="18">
    <mergeCell ref="A1:F1"/>
    <mergeCell ref="A13:F13"/>
    <mergeCell ref="E2:F2"/>
    <mergeCell ref="A23:E23"/>
    <mergeCell ref="A20:F20"/>
    <mergeCell ref="A2:A4"/>
    <mergeCell ref="B2:B4"/>
    <mergeCell ref="C2:C4"/>
    <mergeCell ref="D2:D4"/>
    <mergeCell ref="E3:F3"/>
    <mergeCell ref="H2:P2"/>
    <mergeCell ref="A33:E33"/>
    <mergeCell ref="A34:E34"/>
    <mergeCell ref="A12:E12"/>
    <mergeCell ref="A17:E17"/>
    <mergeCell ref="A18:E18"/>
    <mergeCell ref="A24:F24"/>
    <mergeCell ref="A32:E32"/>
  </mergeCells>
  <pageMargins left="0.17" right="0.17" top="0.56999999999999995" bottom="0.24" header="0.65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A128"/>
  <sheetViews>
    <sheetView topLeftCell="B1" zoomScale="80" zoomScaleNormal="80" workbookViewId="0">
      <pane ySplit="4" topLeftCell="A119" activePane="bottomLeft" state="frozen"/>
      <selection pane="bottomLeft" activeCell="V128" sqref="V128"/>
    </sheetView>
  </sheetViews>
  <sheetFormatPr defaultRowHeight="24.6" x14ac:dyDescent="0.7"/>
  <cols>
    <col min="1" max="1" width="0" hidden="1" customWidth="1"/>
    <col min="2" max="2" width="10.59765625" customWidth="1"/>
    <col min="3" max="3" width="11.59765625" customWidth="1"/>
    <col min="4" max="4" width="10.5" bestFit="1" customWidth="1"/>
    <col min="5" max="5" width="8.59765625" customWidth="1"/>
    <col min="6" max="6" width="10.19921875" customWidth="1"/>
    <col min="7" max="7" width="19.8984375" style="150" bestFit="1" customWidth="1"/>
    <col min="8" max="8" width="8.69921875" customWidth="1"/>
    <col min="9" max="9" width="10.5" customWidth="1"/>
    <col min="10" max="10" width="9.09765625" customWidth="1"/>
    <col min="11" max="11" width="10.5" customWidth="1"/>
    <col min="12" max="12" width="10.59765625" style="476" customWidth="1"/>
    <col min="13" max="17" width="10.19921875" customWidth="1"/>
  </cols>
  <sheetData>
    <row r="1" spans="1:27" ht="30" x14ac:dyDescent="0.85">
      <c r="B1" s="1213" t="s">
        <v>333</v>
      </c>
      <c r="C1" s="1214"/>
      <c r="D1" s="1214"/>
      <c r="E1" s="1214"/>
      <c r="F1" s="1214"/>
      <c r="G1" s="1214"/>
      <c r="H1" s="1214"/>
      <c r="I1" s="1214"/>
      <c r="J1" s="1214"/>
      <c r="K1" s="1214"/>
      <c r="L1" s="1214"/>
      <c r="M1" s="1214"/>
      <c r="N1" s="1214"/>
      <c r="O1" s="1214"/>
      <c r="P1" s="1214"/>
      <c r="Q1" s="1215"/>
    </row>
    <row r="2" spans="1:27" ht="24" customHeight="1" x14ac:dyDescent="0.7">
      <c r="B2" s="1220" t="s">
        <v>204</v>
      </c>
      <c r="C2" s="1092" t="s">
        <v>1</v>
      </c>
      <c r="D2" s="1092" t="s">
        <v>2</v>
      </c>
      <c r="E2" s="1094" t="s">
        <v>205</v>
      </c>
      <c r="F2" s="1222" t="s">
        <v>206</v>
      </c>
      <c r="G2" s="1096" t="s">
        <v>334</v>
      </c>
      <c r="H2" s="1223" t="s">
        <v>3</v>
      </c>
      <c r="I2" s="1224"/>
      <c r="J2" s="1224"/>
      <c r="K2" s="1224"/>
      <c r="L2" s="1224"/>
      <c r="M2" s="1224"/>
      <c r="N2" s="1224"/>
      <c r="O2" s="1224"/>
      <c r="P2" s="1224"/>
      <c r="Q2" s="1225"/>
    </row>
    <row r="3" spans="1:27" ht="25.8" x14ac:dyDescent="0.7">
      <c r="B3" s="1221"/>
      <c r="C3" s="1092"/>
      <c r="D3" s="1092"/>
      <c r="E3" s="1094"/>
      <c r="F3" s="1222"/>
      <c r="G3" s="1096"/>
      <c r="H3" s="1219" t="s">
        <v>22</v>
      </c>
      <c r="I3" s="1219"/>
      <c r="J3" s="1219"/>
      <c r="K3" s="1219"/>
      <c r="L3" s="1226" t="s">
        <v>27</v>
      </c>
      <c r="M3" s="1227"/>
      <c r="N3" s="1227"/>
      <c r="O3" s="1227"/>
      <c r="P3" s="1227"/>
      <c r="Q3" s="1228"/>
      <c r="S3" s="880" t="s">
        <v>420</v>
      </c>
      <c r="T3" s="880"/>
      <c r="U3" s="880"/>
      <c r="V3" s="880"/>
      <c r="W3" s="880"/>
      <c r="X3" s="880"/>
      <c r="Y3" s="880"/>
      <c r="Z3" s="880"/>
      <c r="AA3" s="880"/>
    </row>
    <row r="4" spans="1:27" x14ac:dyDescent="0.7">
      <c r="B4" s="1221"/>
      <c r="C4" s="1093"/>
      <c r="D4" s="1093"/>
      <c r="E4" s="1095"/>
      <c r="F4" s="1113"/>
      <c r="G4" s="1097"/>
      <c r="H4" s="234" t="s">
        <v>13</v>
      </c>
      <c r="I4" s="412" t="s">
        <v>335</v>
      </c>
      <c r="J4" s="412" t="s">
        <v>14</v>
      </c>
      <c r="K4" s="412" t="s">
        <v>335</v>
      </c>
      <c r="L4" s="413" t="s">
        <v>13</v>
      </c>
      <c r="M4" s="412" t="s">
        <v>335</v>
      </c>
      <c r="N4" s="412" t="s">
        <v>14</v>
      </c>
      <c r="O4" s="412" t="s">
        <v>335</v>
      </c>
      <c r="P4" s="412" t="s">
        <v>15</v>
      </c>
      <c r="Q4" s="615" t="s">
        <v>335</v>
      </c>
    </row>
    <row r="5" spans="1:27" x14ac:dyDescent="0.7">
      <c r="B5" s="1229" t="s">
        <v>21</v>
      </c>
      <c r="C5" s="1230"/>
      <c r="D5" s="1230"/>
      <c r="E5" s="1230"/>
      <c r="F5" s="1230"/>
      <c r="G5" s="1230"/>
      <c r="H5" s="1230"/>
      <c r="I5" s="1230"/>
      <c r="J5" s="1230"/>
      <c r="K5" s="1230"/>
      <c r="L5" s="1230"/>
      <c r="M5" s="1230"/>
      <c r="N5" s="1230"/>
      <c r="O5" s="1230"/>
      <c r="P5" s="1230"/>
      <c r="Q5" s="1231"/>
    </row>
    <row r="6" spans="1:27" x14ac:dyDescent="0.7">
      <c r="A6" s="426"/>
      <c r="B6" s="1232" t="s">
        <v>27</v>
      </c>
      <c r="C6" s="1233"/>
      <c r="D6" s="1233"/>
      <c r="E6" s="1233"/>
      <c r="F6" s="1233"/>
      <c r="G6" s="1233"/>
      <c r="H6" s="1233"/>
      <c r="I6" s="1233"/>
      <c r="J6" s="1233"/>
      <c r="K6" s="1233"/>
      <c r="L6" s="1233"/>
      <c r="M6" s="1233"/>
      <c r="N6" s="1233"/>
      <c r="O6" s="1233"/>
      <c r="P6" s="1233"/>
      <c r="Q6" s="1234"/>
    </row>
    <row r="7" spans="1:27" ht="25.2" thickBot="1" x14ac:dyDescent="0.75">
      <c r="A7" s="426"/>
      <c r="B7" s="427" t="s">
        <v>251</v>
      </c>
      <c r="C7" s="271">
        <v>8</v>
      </c>
      <c r="D7" s="233">
        <v>184</v>
      </c>
      <c r="E7" s="428">
        <f>+C7*100%</f>
        <v>8</v>
      </c>
      <c r="F7" s="282">
        <f>D7*100%</f>
        <v>184</v>
      </c>
      <c r="G7" s="282">
        <v>5</v>
      </c>
      <c r="H7" s="416">
        <v>0</v>
      </c>
      <c r="I7" s="416">
        <v>0</v>
      </c>
      <c r="J7" s="416">
        <f>0</f>
        <v>0</v>
      </c>
      <c r="K7" s="416">
        <f>0</f>
        <v>0</v>
      </c>
      <c r="L7" s="429">
        <v>1</v>
      </c>
      <c r="M7" s="416">
        <f>C7*G7</f>
        <v>40</v>
      </c>
      <c r="N7" s="416">
        <v>0</v>
      </c>
      <c r="O7" s="416">
        <v>0</v>
      </c>
      <c r="P7" s="416">
        <v>0</v>
      </c>
      <c r="Q7" s="616">
        <v>0</v>
      </c>
    </row>
    <row r="8" spans="1:27" ht="25.2" thickBot="1" x14ac:dyDescent="0.75">
      <c r="A8" s="426"/>
      <c r="B8" s="430" t="s">
        <v>324</v>
      </c>
      <c r="C8" s="431">
        <f>C7</f>
        <v>8</v>
      </c>
      <c r="D8" s="431">
        <f>D7</f>
        <v>184</v>
      </c>
      <c r="E8" s="432">
        <f>SUM(E7:E7)</f>
        <v>8</v>
      </c>
      <c r="F8" s="418">
        <f>SUM(F7:F7)</f>
        <v>184</v>
      </c>
      <c r="G8" s="418"/>
      <c r="H8" s="419">
        <f>SUM(H7:H7)</f>
        <v>0</v>
      </c>
      <c r="I8" s="419">
        <f>SUM(I7:I7)</f>
        <v>0</v>
      </c>
      <c r="J8" s="419">
        <f>J7</f>
        <v>0</v>
      </c>
      <c r="K8" s="419">
        <f>K7</f>
        <v>0</v>
      </c>
      <c r="L8" s="434"/>
      <c r="M8" s="433">
        <f>M7</f>
        <v>40</v>
      </c>
      <c r="N8" s="584">
        <f>SUM(N7:N7)</f>
        <v>0</v>
      </c>
      <c r="O8" s="435">
        <f>SUM(O7:O7)</f>
        <v>0</v>
      </c>
      <c r="P8" s="584">
        <f>SUM(P7:P7)</f>
        <v>0</v>
      </c>
      <c r="Q8" s="435">
        <f>SUM(Q7:Q7)</f>
        <v>0</v>
      </c>
    </row>
    <row r="9" spans="1:27" x14ac:dyDescent="0.7">
      <c r="B9" s="1216" t="s">
        <v>344</v>
      </c>
      <c r="C9" s="1217"/>
      <c r="D9" s="1217"/>
      <c r="E9" s="1217"/>
      <c r="F9" s="1217"/>
      <c r="G9" s="1217"/>
      <c r="H9" s="1217"/>
      <c r="I9" s="1217"/>
      <c r="J9" s="1217"/>
      <c r="K9" s="1217"/>
      <c r="L9" s="1217"/>
      <c r="M9" s="1217"/>
      <c r="N9" s="1217"/>
      <c r="O9" s="1217"/>
      <c r="P9" s="1217"/>
      <c r="Q9" s="1218"/>
    </row>
    <row r="10" spans="1:27" x14ac:dyDescent="0.7">
      <c r="B10" s="1210" t="s">
        <v>22</v>
      </c>
      <c r="C10" s="1211"/>
      <c r="D10" s="1211"/>
      <c r="E10" s="1211"/>
      <c r="F10" s="1211"/>
      <c r="G10" s="1211"/>
      <c r="H10" s="1211"/>
      <c r="I10" s="1211"/>
      <c r="J10" s="1211"/>
      <c r="K10" s="1211"/>
      <c r="L10" s="1211"/>
      <c r="M10" s="1211"/>
      <c r="N10" s="1211"/>
      <c r="O10" s="1211"/>
      <c r="P10" s="1211"/>
      <c r="Q10" s="1212"/>
    </row>
    <row r="11" spans="1:27" x14ac:dyDescent="0.7">
      <c r="B11" s="439" t="s">
        <v>73</v>
      </c>
      <c r="C11" s="232">
        <v>115</v>
      </c>
      <c r="D11" s="247">
        <v>2872</v>
      </c>
      <c r="E11" s="440">
        <f>+C11*100%</f>
        <v>115</v>
      </c>
      <c r="F11" s="414">
        <f>D11*80%</f>
        <v>2297.6</v>
      </c>
      <c r="G11" s="247">
        <v>5</v>
      </c>
      <c r="H11" s="441">
        <v>1</v>
      </c>
      <c r="I11" s="442">
        <f>C11*G11</f>
        <v>575</v>
      </c>
      <c r="J11" s="442">
        <f>0</f>
        <v>0</v>
      </c>
      <c r="K11" s="442">
        <f>0</f>
        <v>0</v>
      </c>
      <c r="L11" s="443">
        <v>0</v>
      </c>
      <c r="M11" s="444">
        <v>0</v>
      </c>
      <c r="N11" s="414">
        <f>0</f>
        <v>0</v>
      </c>
      <c r="O11" s="582">
        <f>0</f>
        <v>0</v>
      </c>
      <c r="P11" s="414">
        <f>0</f>
        <v>0</v>
      </c>
      <c r="Q11" s="582">
        <f>0</f>
        <v>0</v>
      </c>
    </row>
    <row r="12" spans="1:27" ht="25.2" thickBot="1" x14ac:dyDescent="0.75">
      <c r="B12" s="422" t="s">
        <v>323</v>
      </c>
      <c r="C12" s="423">
        <f>SUM(C11:C11)</f>
        <v>115</v>
      </c>
      <c r="D12" s="424">
        <f>SUM(D11:D11)</f>
        <v>2872</v>
      </c>
      <c r="E12" s="425">
        <f>SUM(E11:E11)</f>
        <v>115</v>
      </c>
      <c r="F12" s="425">
        <f>SUM(F11:F11)</f>
        <v>2297.6</v>
      </c>
      <c r="G12" s="424"/>
      <c r="H12" s="448"/>
      <c r="I12" s="449">
        <f>SUM(I11:I11)</f>
        <v>575</v>
      </c>
      <c r="J12" s="449">
        <f>J11</f>
        <v>0</v>
      </c>
      <c r="K12" s="449">
        <f>K11</f>
        <v>0</v>
      </c>
      <c r="L12" s="450"/>
      <c r="M12" s="583"/>
      <c r="N12" s="583"/>
      <c r="O12" s="451"/>
      <c r="P12" s="583"/>
      <c r="Q12" s="451"/>
    </row>
    <row r="13" spans="1:27" x14ac:dyDescent="0.7">
      <c r="B13" s="436" t="s">
        <v>345</v>
      </c>
      <c r="C13" s="437"/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7"/>
      <c r="O13" s="438"/>
      <c r="P13" s="437"/>
      <c r="Q13" s="438"/>
    </row>
    <row r="14" spans="1:27" x14ac:dyDescent="0.7">
      <c r="B14" s="452" t="s">
        <v>27</v>
      </c>
      <c r="C14" s="453"/>
      <c r="D14" s="453"/>
      <c r="E14" s="453"/>
      <c r="F14" s="453"/>
      <c r="G14" s="453"/>
      <c r="H14" s="453"/>
      <c r="I14" s="453"/>
      <c r="J14" s="453"/>
      <c r="K14" s="453"/>
      <c r="L14" s="453"/>
      <c r="M14" s="453"/>
      <c r="N14" s="453"/>
      <c r="O14" s="454"/>
      <c r="P14" s="453"/>
      <c r="Q14" s="454"/>
    </row>
    <row r="15" spans="1:27" x14ac:dyDescent="0.7">
      <c r="B15" s="119" t="s">
        <v>62</v>
      </c>
      <c r="C15" s="120">
        <v>4</v>
      </c>
      <c r="D15" s="296">
        <v>93</v>
      </c>
      <c r="E15" s="417">
        <f>+C15*100%</f>
        <v>4</v>
      </c>
      <c r="F15" s="417">
        <f>D15*100%</f>
        <v>93</v>
      </c>
      <c r="G15" s="247">
        <v>5</v>
      </c>
      <c r="H15" s="417">
        <v>0</v>
      </c>
      <c r="I15" s="417">
        <v>0</v>
      </c>
      <c r="J15" s="417">
        <f>0</f>
        <v>0</v>
      </c>
      <c r="K15" s="417"/>
      <c r="L15" s="443">
        <v>1</v>
      </c>
      <c r="M15" s="442">
        <f>C15*G15</f>
        <v>20</v>
      </c>
      <c r="N15" s="443">
        <f>0</f>
        <v>0</v>
      </c>
      <c r="O15" s="455">
        <f>0</f>
        <v>0</v>
      </c>
      <c r="P15" s="443">
        <f>0</f>
        <v>0</v>
      </c>
      <c r="Q15" s="455">
        <f>0</f>
        <v>0</v>
      </c>
    </row>
    <row r="16" spans="1:27" ht="25.2" thickBot="1" x14ac:dyDescent="0.75">
      <c r="B16" s="422" t="s">
        <v>324</v>
      </c>
      <c r="C16" s="423">
        <f>C15</f>
        <v>4</v>
      </c>
      <c r="D16" s="424">
        <f>D15</f>
        <v>93</v>
      </c>
      <c r="E16" s="425">
        <f>E15</f>
        <v>4</v>
      </c>
      <c r="F16" s="425">
        <f>F15</f>
        <v>93</v>
      </c>
      <c r="G16" s="424"/>
      <c r="H16" s="585">
        <f>H15</f>
        <v>0</v>
      </c>
      <c r="I16" s="449">
        <f>I15</f>
        <v>0</v>
      </c>
      <c r="J16" s="449">
        <f>J15</f>
        <v>0</v>
      </c>
      <c r="K16" s="449">
        <f>K15</f>
        <v>0</v>
      </c>
      <c r="L16" s="450"/>
      <c r="M16" s="583">
        <f>M15</f>
        <v>20</v>
      </c>
      <c r="N16" s="583">
        <f>N15</f>
        <v>0</v>
      </c>
      <c r="O16" s="451">
        <f>0</f>
        <v>0</v>
      </c>
      <c r="P16" s="583">
        <f>P15</f>
        <v>0</v>
      </c>
      <c r="Q16" s="451">
        <f>0</f>
        <v>0</v>
      </c>
    </row>
    <row r="17" spans="2:17" x14ac:dyDescent="0.7">
      <c r="B17" s="1216" t="s">
        <v>214</v>
      </c>
      <c r="C17" s="1217"/>
      <c r="D17" s="1217"/>
      <c r="E17" s="1217"/>
      <c r="F17" s="1217"/>
      <c r="G17" s="1217"/>
      <c r="H17" s="1217"/>
      <c r="I17" s="1217"/>
      <c r="J17" s="1217"/>
      <c r="K17" s="1217"/>
      <c r="L17" s="1217"/>
      <c r="M17" s="1217"/>
      <c r="N17" s="1217"/>
      <c r="O17" s="1217"/>
      <c r="P17" s="1217"/>
      <c r="Q17" s="1218"/>
    </row>
    <row r="18" spans="2:17" x14ac:dyDescent="0.7">
      <c r="B18" s="1210" t="s">
        <v>22</v>
      </c>
      <c r="C18" s="1211"/>
      <c r="D18" s="1211"/>
      <c r="E18" s="1211"/>
      <c r="F18" s="1211"/>
      <c r="G18" s="1211"/>
      <c r="H18" s="1211"/>
      <c r="I18" s="1211"/>
      <c r="J18" s="1211"/>
      <c r="K18" s="1211"/>
      <c r="L18" s="1211"/>
      <c r="M18" s="1211"/>
      <c r="N18" s="1211"/>
      <c r="O18" s="1211"/>
      <c r="P18" s="1211"/>
      <c r="Q18" s="1212"/>
    </row>
    <row r="19" spans="2:17" x14ac:dyDescent="0.7">
      <c r="B19" s="617" t="s">
        <v>93</v>
      </c>
      <c r="C19" s="115">
        <v>113</v>
      </c>
      <c r="D19" s="458">
        <v>2816</v>
      </c>
      <c r="E19" s="415">
        <f t="shared" ref="E19:E23" si="0">+C19*100%</f>
        <v>113</v>
      </c>
      <c r="F19" s="415">
        <f t="shared" ref="F19:F23" si="1">D19*100%</f>
        <v>2816</v>
      </c>
      <c r="G19" s="279">
        <v>5</v>
      </c>
      <c r="H19" s="459">
        <v>1</v>
      </c>
      <c r="I19" s="415">
        <f>+G19*C19*H19</f>
        <v>565</v>
      </c>
      <c r="J19" s="415">
        <v>0</v>
      </c>
      <c r="K19" s="415">
        <f>0</f>
        <v>0</v>
      </c>
      <c r="L19" s="445">
        <v>0</v>
      </c>
      <c r="M19" s="445">
        <v>0</v>
      </c>
      <c r="N19" s="445">
        <v>0</v>
      </c>
      <c r="O19" s="445">
        <v>0</v>
      </c>
      <c r="P19" s="445">
        <v>0</v>
      </c>
      <c r="Q19" s="618">
        <v>0</v>
      </c>
    </row>
    <row r="20" spans="2:17" x14ac:dyDescent="0.7">
      <c r="B20" s="112" t="s">
        <v>50</v>
      </c>
      <c r="C20" s="113">
        <v>9</v>
      </c>
      <c r="D20" s="457">
        <v>213</v>
      </c>
      <c r="E20" s="414">
        <f t="shared" si="0"/>
        <v>9</v>
      </c>
      <c r="F20" s="414">
        <f t="shared" si="1"/>
        <v>213</v>
      </c>
      <c r="G20" s="247">
        <v>5</v>
      </c>
      <c r="H20" s="267">
        <v>1</v>
      </c>
      <c r="I20" s="414">
        <f t="shared" ref="I20:I23" si="2">+G20*C20*H20</f>
        <v>45</v>
      </c>
      <c r="J20" s="414">
        <f>0</f>
        <v>0</v>
      </c>
      <c r="K20" s="414">
        <f>0</f>
        <v>0</v>
      </c>
      <c r="L20" s="443">
        <v>0</v>
      </c>
      <c r="M20" s="443">
        <v>0</v>
      </c>
      <c r="N20" s="445">
        <v>0</v>
      </c>
      <c r="O20" s="445">
        <v>0</v>
      </c>
      <c r="P20" s="445">
        <v>0</v>
      </c>
      <c r="Q20" s="618">
        <v>0</v>
      </c>
    </row>
    <row r="21" spans="2:17" x14ac:dyDescent="0.7">
      <c r="B21" s="112" t="s">
        <v>94</v>
      </c>
      <c r="C21" s="113">
        <v>128</v>
      </c>
      <c r="D21" s="457">
        <v>3199</v>
      </c>
      <c r="E21" s="414">
        <f t="shared" si="0"/>
        <v>128</v>
      </c>
      <c r="F21" s="414">
        <f t="shared" si="1"/>
        <v>3199</v>
      </c>
      <c r="G21" s="247">
        <v>5</v>
      </c>
      <c r="H21" s="267">
        <v>1</v>
      </c>
      <c r="I21" s="414">
        <f t="shared" si="2"/>
        <v>640</v>
      </c>
      <c r="J21" s="414">
        <f>0</f>
        <v>0</v>
      </c>
      <c r="K21" s="414">
        <f>0</f>
        <v>0</v>
      </c>
      <c r="L21" s="443">
        <v>0</v>
      </c>
      <c r="M21" s="443">
        <v>0</v>
      </c>
      <c r="N21" s="445">
        <v>0</v>
      </c>
      <c r="O21" s="445">
        <v>0</v>
      </c>
      <c r="P21" s="445">
        <v>0</v>
      </c>
      <c r="Q21" s="618">
        <v>0</v>
      </c>
    </row>
    <row r="22" spans="2:17" x14ac:dyDescent="0.7">
      <c r="B22" s="112" t="s">
        <v>95</v>
      </c>
      <c r="C22" s="113">
        <v>121</v>
      </c>
      <c r="D22" s="457">
        <v>3015</v>
      </c>
      <c r="E22" s="414">
        <f t="shared" si="0"/>
        <v>121</v>
      </c>
      <c r="F22" s="414">
        <f t="shared" si="1"/>
        <v>3015</v>
      </c>
      <c r="G22" s="247">
        <v>5</v>
      </c>
      <c r="H22" s="267">
        <v>1</v>
      </c>
      <c r="I22" s="414">
        <f t="shared" si="2"/>
        <v>605</v>
      </c>
      <c r="J22" s="414">
        <f>0</f>
        <v>0</v>
      </c>
      <c r="K22" s="414">
        <f>0</f>
        <v>0</v>
      </c>
      <c r="L22" s="443">
        <v>0</v>
      </c>
      <c r="M22" s="443">
        <v>0</v>
      </c>
      <c r="N22" s="445">
        <v>0</v>
      </c>
      <c r="O22" s="445">
        <v>0</v>
      </c>
      <c r="P22" s="445">
        <v>0</v>
      </c>
      <c r="Q22" s="618">
        <v>0</v>
      </c>
    </row>
    <row r="23" spans="2:17" x14ac:dyDescent="0.7">
      <c r="B23" s="112" t="s">
        <v>96</v>
      </c>
      <c r="C23" s="113">
        <v>56</v>
      </c>
      <c r="D23" s="457">
        <v>1403</v>
      </c>
      <c r="E23" s="414">
        <f t="shared" si="0"/>
        <v>56</v>
      </c>
      <c r="F23" s="414">
        <f t="shared" si="1"/>
        <v>1403</v>
      </c>
      <c r="G23" s="247">
        <v>5</v>
      </c>
      <c r="H23" s="267">
        <v>1</v>
      </c>
      <c r="I23" s="414">
        <f t="shared" si="2"/>
        <v>280</v>
      </c>
      <c r="J23" s="414">
        <f>0</f>
        <v>0</v>
      </c>
      <c r="K23" s="414">
        <f>0</f>
        <v>0</v>
      </c>
      <c r="L23" s="443">
        <v>0</v>
      </c>
      <c r="M23" s="443">
        <v>0</v>
      </c>
      <c r="N23" s="445">
        <v>0</v>
      </c>
      <c r="O23" s="445">
        <v>0</v>
      </c>
      <c r="P23" s="445">
        <v>0</v>
      </c>
      <c r="Q23" s="618">
        <v>0</v>
      </c>
    </row>
    <row r="24" spans="2:17" x14ac:dyDescent="0.7">
      <c r="B24" s="619" t="s">
        <v>323</v>
      </c>
      <c r="C24" s="593">
        <f>SUM(C19:C23)</f>
        <v>427</v>
      </c>
      <c r="D24" s="592">
        <f>SUM(D19:D23)</f>
        <v>10646</v>
      </c>
      <c r="E24" s="592">
        <f>SUM(E19:E23)</f>
        <v>427</v>
      </c>
      <c r="F24" s="592">
        <f>SUM(F19:F23)</f>
        <v>10646</v>
      </c>
      <c r="G24" s="591"/>
      <c r="H24" s="590"/>
      <c r="I24" s="588">
        <f>SUM(I19:I23)</f>
        <v>2135</v>
      </c>
      <c r="J24" s="587">
        <f>0</f>
        <v>0</v>
      </c>
      <c r="K24" s="588">
        <f>SUM(K19:K23)</f>
        <v>0</v>
      </c>
      <c r="L24" s="589"/>
      <c r="M24" s="589"/>
      <c r="N24" s="589"/>
      <c r="O24" s="586"/>
      <c r="P24" s="589"/>
      <c r="Q24" s="620"/>
    </row>
    <row r="25" spans="2:17" x14ac:dyDescent="0.7">
      <c r="B25" s="466" t="s">
        <v>217</v>
      </c>
      <c r="C25" s="467"/>
      <c r="D25" s="467"/>
      <c r="E25" s="467"/>
      <c r="F25" s="467"/>
      <c r="G25" s="467"/>
      <c r="H25" s="467"/>
      <c r="I25" s="467"/>
      <c r="J25" s="467"/>
      <c r="K25" s="467"/>
      <c r="L25" s="467"/>
      <c r="M25" s="467"/>
      <c r="N25" s="467"/>
      <c r="O25" s="467"/>
      <c r="P25" s="467"/>
      <c r="Q25" s="621"/>
    </row>
    <row r="26" spans="2:17" x14ac:dyDescent="0.7">
      <c r="B26" s="597" t="s">
        <v>22</v>
      </c>
      <c r="C26" s="598"/>
      <c r="D26" s="598"/>
      <c r="E26" s="598"/>
      <c r="F26" s="598"/>
      <c r="G26" s="598"/>
      <c r="H26" s="598"/>
      <c r="I26" s="598"/>
      <c r="J26" s="598"/>
      <c r="K26" s="598"/>
      <c r="L26" s="598"/>
      <c r="M26" s="598"/>
      <c r="N26" s="598"/>
      <c r="O26" s="598"/>
      <c r="P26" s="598"/>
      <c r="Q26" s="622"/>
    </row>
    <row r="27" spans="2:17" x14ac:dyDescent="0.7">
      <c r="B27" s="623" t="s">
        <v>51</v>
      </c>
      <c r="C27" s="468">
        <v>169</v>
      </c>
      <c r="D27" s="457">
        <v>4231</v>
      </c>
      <c r="E27" s="417">
        <f>+C27*100%</f>
        <v>169</v>
      </c>
      <c r="F27" s="417">
        <f>D27*100%</f>
        <v>4231</v>
      </c>
      <c r="G27" s="247">
        <v>5</v>
      </c>
      <c r="H27" s="441">
        <v>1</v>
      </c>
      <c r="I27" s="442">
        <f>+G27*C27*H27</f>
        <v>845</v>
      </c>
      <c r="J27" s="442">
        <f>0</f>
        <v>0</v>
      </c>
      <c r="K27" s="442">
        <f>+G27*C27*J27</f>
        <v>0</v>
      </c>
      <c r="L27" s="443">
        <v>0</v>
      </c>
      <c r="M27" s="443">
        <v>0</v>
      </c>
      <c r="N27" s="443">
        <v>0</v>
      </c>
      <c r="O27" s="443">
        <v>0</v>
      </c>
      <c r="P27" s="443">
        <v>0</v>
      </c>
      <c r="Q27" s="624">
        <v>0</v>
      </c>
    </row>
    <row r="28" spans="2:17" x14ac:dyDescent="0.7">
      <c r="B28" s="625" t="s">
        <v>38</v>
      </c>
      <c r="C28" s="594">
        <v>171</v>
      </c>
      <c r="D28" s="595">
        <v>4265</v>
      </c>
      <c r="E28" s="415">
        <f t="shared" ref="E28:E29" si="3">+C28*100%</f>
        <v>171</v>
      </c>
      <c r="F28" s="415">
        <f t="shared" ref="F28:F29" si="4">D28*100%</f>
        <v>4265</v>
      </c>
      <c r="G28" s="247">
        <v>5</v>
      </c>
      <c r="H28" s="596">
        <v>1</v>
      </c>
      <c r="I28" s="442">
        <f t="shared" ref="I28:I29" si="5">+G28*C28*H28</f>
        <v>855</v>
      </c>
      <c r="J28" s="442">
        <f>0</f>
        <v>0</v>
      </c>
      <c r="K28" s="442">
        <f>+G28*C28*J28</f>
        <v>0</v>
      </c>
      <c r="L28" s="456">
        <f>0</f>
        <v>0</v>
      </c>
      <c r="M28" s="456">
        <f>0</f>
        <v>0</v>
      </c>
      <c r="N28" s="447">
        <f>0</f>
        <v>0</v>
      </c>
      <c r="O28" s="447">
        <f>0</f>
        <v>0</v>
      </c>
      <c r="P28" s="447">
        <f>0</f>
        <v>0</v>
      </c>
      <c r="Q28" s="626">
        <f>0</f>
        <v>0</v>
      </c>
    </row>
    <row r="29" spans="2:17" ht="25.2" thickBot="1" x14ac:dyDescent="0.75">
      <c r="B29" s="627" t="s">
        <v>37</v>
      </c>
      <c r="C29" s="469">
        <v>67</v>
      </c>
      <c r="D29" s="460">
        <v>1663</v>
      </c>
      <c r="E29" s="417">
        <f t="shared" si="3"/>
        <v>67</v>
      </c>
      <c r="F29" s="417">
        <f t="shared" si="4"/>
        <v>1663</v>
      </c>
      <c r="G29" s="282">
        <v>5</v>
      </c>
      <c r="H29" s="446">
        <v>1</v>
      </c>
      <c r="I29" s="442">
        <f t="shared" si="5"/>
        <v>335</v>
      </c>
      <c r="J29" s="442">
        <f>0</f>
        <v>0</v>
      </c>
      <c r="K29" s="442">
        <f>+G29*C29*J29</f>
        <v>0</v>
      </c>
      <c r="L29" s="447">
        <v>0</v>
      </c>
      <c r="M29" s="447">
        <v>0</v>
      </c>
      <c r="N29" s="447">
        <f>0</f>
        <v>0</v>
      </c>
      <c r="O29" s="447">
        <v>0</v>
      </c>
      <c r="P29" s="447">
        <f>0</f>
        <v>0</v>
      </c>
      <c r="Q29" s="626">
        <v>0</v>
      </c>
    </row>
    <row r="30" spans="2:17" ht="25.2" thickBot="1" x14ac:dyDescent="0.75">
      <c r="B30" s="463" t="s">
        <v>323</v>
      </c>
      <c r="C30" s="470">
        <f>SUM(C27:C29)</f>
        <v>407</v>
      </c>
      <c r="D30" s="464">
        <f>SUM(D27:D29)</f>
        <v>10159</v>
      </c>
      <c r="E30" s="464">
        <f t="shared" ref="E30:F30" si="6">SUM(E27:E29)</f>
        <v>407</v>
      </c>
      <c r="F30" s="464">
        <f t="shared" si="6"/>
        <v>10159</v>
      </c>
      <c r="G30" s="599"/>
      <c r="H30" s="465"/>
      <c r="I30" s="461">
        <f>SUM(I27:I29)</f>
        <v>2035</v>
      </c>
      <c r="J30" s="471"/>
      <c r="K30" s="461">
        <f>SUM(K27:K29)</f>
        <v>0</v>
      </c>
      <c r="L30" s="420"/>
      <c r="M30" s="420"/>
      <c r="N30" s="420"/>
      <c r="O30" s="421"/>
      <c r="P30" s="420"/>
      <c r="Q30" s="421"/>
    </row>
    <row r="31" spans="2:17" x14ac:dyDescent="0.7">
      <c r="B31" s="466" t="s">
        <v>346</v>
      </c>
      <c r="C31" s="467"/>
      <c r="D31" s="467"/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621"/>
    </row>
    <row r="32" spans="2:17" x14ac:dyDescent="0.7">
      <c r="B32" s="597" t="s">
        <v>22</v>
      </c>
      <c r="C32" s="598"/>
      <c r="D32" s="598"/>
      <c r="E32" s="598"/>
      <c r="F32" s="598"/>
      <c r="G32" s="598"/>
      <c r="H32" s="598"/>
      <c r="I32" s="598"/>
      <c r="J32" s="598"/>
      <c r="K32" s="598"/>
      <c r="L32" s="598"/>
      <c r="M32" s="598"/>
      <c r="N32" s="598"/>
      <c r="O32" s="598"/>
      <c r="P32" s="598"/>
      <c r="Q32" s="622"/>
    </row>
    <row r="33" spans="2:17" x14ac:dyDescent="0.7">
      <c r="B33" s="623" t="s">
        <v>111</v>
      </c>
      <c r="C33" s="472">
        <v>117</v>
      </c>
      <c r="D33" s="473">
        <v>2934</v>
      </c>
      <c r="E33" s="414">
        <f>+C33*100%</f>
        <v>117</v>
      </c>
      <c r="F33" s="414">
        <f t="shared" ref="F33:F37" si="7">D33*100%</f>
        <v>2934</v>
      </c>
      <c r="G33" s="414">
        <v>5</v>
      </c>
      <c r="H33" s="267">
        <v>1</v>
      </c>
      <c r="I33" s="414">
        <f>+G33*C33*H33</f>
        <v>585</v>
      </c>
      <c r="J33" s="414">
        <f>0</f>
        <v>0</v>
      </c>
      <c r="K33" s="414">
        <f>0</f>
        <v>0</v>
      </c>
      <c r="L33" s="443">
        <v>0</v>
      </c>
      <c r="M33" s="414">
        <v>0</v>
      </c>
      <c r="N33" s="414">
        <v>0</v>
      </c>
      <c r="O33" s="414">
        <v>0</v>
      </c>
      <c r="P33" s="414">
        <v>0</v>
      </c>
      <c r="Q33" s="582">
        <v>0</v>
      </c>
    </row>
    <row r="34" spans="2:17" x14ac:dyDescent="0.7">
      <c r="B34" s="623" t="s">
        <v>112</v>
      </c>
      <c r="C34" s="472">
        <v>116</v>
      </c>
      <c r="D34" s="473">
        <v>2903</v>
      </c>
      <c r="E34" s="414">
        <f t="shared" ref="E34:E37" si="8">+C34*100%</f>
        <v>116</v>
      </c>
      <c r="F34" s="414">
        <f t="shared" si="7"/>
        <v>2903</v>
      </c>
      <c r="G34" s="414">
        <v>5</v>
      </c>
      <c r="H34" s="267">
        <v>1</v>
      </c>
      <c r="I34" s="414">
        <f>+G34*C34*H34</f>
        <v>580</v>
      </c>
      <c r="J34" s="414">
        <f>0</f>
        <v>0</v>
      </c>
      <c r="K34" s="414">
        <f>0</f>
        <v>0</v>
      </c>
      <c r="L34" s="443">
        <v>0</v>
      </c>
      <c r="M34" s="414">
        <v>0</v>
      </c>
      <c r="N34" s="414">
        <v>0</v>
      </c>
      <c r="O34" s="414">
        <v>0</v>
      </c>
      <c r="P34" s="414">
        <v>0</v>
      </c>
      <c r="Q34" s="582">
        <v>0</v>
      </c>
    </row>
    <row r="35" spans="2:17" x14ac:dyDescent="0.7">
      <c r="B35" s="623" t="s">
        <v>113</v>
      </c>
      <c r="C35" s="472">
        <v>115</v>
      </c>
      <c r="D35" s="473">
        <v>2864</v>
      </c>
      <c r="E35" s="414">
        <f t="shared" si="8"/>
        <v>115</v>
      </c>
      <c r="F35" s="414">
        <f t="shared" si="7"/>
        <v>2864</v>
      </c>
      <c r="G35" s="414">
        <v>5</v>
      </c>
      <c r="H35" s="267">
        <v>1</v>
      </c>
      <c r="I35" s="414">
        <f>+G35*C35*H35</f>
        <v>575</v>
      </c>
      <c r="J35" s="414">
        <f>0</f>
        <v>0</v>
      </c>
      <c r="K35" s="414">
        <f>0</f>
        <v>0</v>
      </c>
      <c r="L35" s="443">
        <v>0</v>
      </c>
      <c r="M35" s="414">
        <v>0</v>
      </c>
      <c r="N35" s="414">
        <v>0</v>
      </c>
      <c r="O35" s="414">
        <v>0</v>
      </c>
      <c r="P35" s="414">
        <v>0</v>
      </c>
      <c r="Q35" s="582">
        <v>0</v>
      </c>
    </row>
    <row r="36" spans="2:17" x14ac:dyDescent="0.7">
      <c r="B36" s="623" t="s">
        <v>114</v>
      </c>
      <c r="C36" s="472">
        <v>128</v>
      </c>
      <c r="D36" s="473">
        <v>2825</v>
      </c>
      <c r="E36" s="414">
        <f t="shared" si="8"/>
        <v>128</v>
      </c>
      <c r="F36" s="414">
        <f t="shared" si="7"/>
        <v>2825</v>
      </c>
      <c r="G36" s="414">
        <v>5</v>
      </c>
      <c r="H36" s="267">
        <v>1</v>
      </c>
      <c r="I36" s="414">
        <f>+G36*C36*H36</f>
        <v>640</v>
      </c>
      <c r="J36" s="414">
        <f>0</f>
        <v>0</v>
      </c>
      <c r="K36" s="414">
        <f>0</f>
        <v>0</v>
      </c>
      <c r="L36" s="443">
        <v>0</v>
      </c>
      <c r="M36" s="414">
        <v>0</v>
      </c>
      <c r="N36" s="414">
        <v>0</v>
      </c>
      <c r="O36" s="414">
        <v>0</v>
      </c>
      <c r="P36" s="414">
        <v>0</v>
      </c>
      <c r="Q36" s="582">
        <v>0</v>
      </c>
    </row>
    <row r="37" spans="2:17" ht="25.2" thickBot="1" x14ac:dyDescent="0.75">
      <c r="B37" s="628" t="s">
        <v>115</v>
      </c>
      <c r="C37" s="474">
        <v>129</v>
      </c>
      <c r="D37" s="475">
        <v>2843</v>
      </c>
      <c r="E37" s="414">
        <f t="shared" si="8"/>
        <v>129</v>
      </c>
      <c r="F37" s="414">
        <f t="shared" si="7"/>
        <v>2843</v>
      </c>
      <c r="G37" s="414">
        <v>5</v>
      </c>
      <c r="H37" s="267">
        <v>1</v>
      </c>
      <c r="I37" s="414">
        <f>+G37*C37*H37</f>
        <v>645</v>
      </c>
      <c r="J37" s="414">
        <f>0</f>
        <v>0</v>
      </c>
      <c r="K37" s="414">
        <f>0</f>
        <v>0</v>
      </c>
      <c r="L37" s="443">
        <v>0</v>
      </c>
      <c r="M37" s="414">
        <v>0</v>
      </c>
      <c r="N37" s="414">
        <v>0</v>
      </c>
      <c r="O37" s="414">
        <v>0</v>
      </c>
      <c r="P37" s="414">
        <v>0</v>
      </c>
      <c r="Q37" s="582">
        <v>0</v>
      </c>
    </row>
    <row r="38" spans="2:17" ht="25.2" thickBot="1" x14ac:dyDescent="0.75">
      <c r="B38" s="463" t="s">
        <v>323</v>
      </c>
      <c r="C38" s="470">
        <f>SUM(C33:C37)</f>
        <v>605</v>
      </c>
      <c r="D38" s="464">
        <f>SUM(D33:D37)</f>
        <v>14369</v>
      </c>
      <c r="E38" s="464">
        <f>SUM(E33:E37)</f>
        <v>605</v>
      </c>
      <c r="F38" s="464">
        <f>SUM(F33:F37)</f>
        <v>14369</v>
      </c>
      <c r="G38" s="599"/>
      <c r="H38" s="465"/>
      <c r="I38" s="461">
        <f>SUM(I33:I37)</f>
        <v>3025</v>
      </c>
      <c r="J38" s="461">
        <f t="shared" ref="J38:O38" si="9">SUM(J33:J37)</f>
        <v>0</v>
      </c>
      <c r="K38" s="461">
        <f t="shared" si="9"/>
        <v>0</v>
      </c>
      <c r="L38" s="461">
        <f t="shared" si="9"/>
        <v>0</v>
      </c>
      <c r="M38" s="461">
        <f t="shared" si="9"/>
        <v>0</v>
      </c>
      <c r="N38" s="461">
        <f t="shared" si="9"/>
        <v>0</v>
      </c>
      <c r="O38" s="461">
        <f t="shared" si="9"/>
        <v>0</v>
      </c>
      <c r="P38" s="461">
        <f t="shared" ref="P38" si="10">SUM(P33:P37)</f>
        <v>0</v>
      </c>
      <c r="Q38" s="462">
        <f t="shared" ref="Q38" si="11">SUM(Q33:Q37)</f>
        <v>0</v>
      </c>
    </row>
    <row r="39" spans="2:17" x14ac:dyDescent="0.7">
      <c r="B39" s="466" t="s">
        <v>225</v>
      </c>
      <c r="C39" s="467"/>
      <c r="D39" s="467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621"/>
    </row>
    <row r="40" spans="2:17" x14ac:dyDescent="0.7">
      <c r="B40" s="597" t="s">
        <v>22</v>
      </c>
      <c r="C40" s="598"/>
      <c r="D40" s="598"/>
      <c r="E40" s="598"/>
      <c r="F40" s="598"/>
      <c r="G40" s="598"/>
      <c r="H40" s="598"/>
      <c r="I40" s="598"/>
      <c r="J40" s="598"/>
      <c r="K40" s="598"/>
      <c r="L40" s="598"/>
      <c r="M40" s="598"/>
      <c r="N40" s="598"/>
      <c r="O40" s="598"/>
      <c r="P40" s="598"/>
      <c r="Q40" s="622"/>
    </row>
    <row r="41" spans="2:17" x14ac:dyDescent="0.7">
      <c r="B41" s="439" t="s">
        <v>52</v>
      </c>
      <c r="C41" s="232">
        <v>154</v>
      </c>
      <c r="D41" s="247">
        <v>3851</v>
      </c>
      <c r="E41" s="414">
        <f>+C41*100%</f>
        <v>154</v>
      </c>
      <c r="F41" s="414">
        <f t="shared" ref="F41:F43" si="12">D41*100%</f>
        <v>3851</v>
      </c>
      <c r="G41" s="414">
        <v>5</v>
      </c>
      <c r="H41" s="267">
        <v>1</v>
      </c>
      <c r="I41" s="414">
        <f>+G41*C41*H41</f>
        <v>770</v>
      </c>
      <c r="J41" s="414">
        <f>0</f>
        <v>0</v>
      </c>
      <c r="K41" s="414">
        <f>0</f>
        <v>0</v>
      </c>
      <c r="L41" s="443">
        <v>0</v>
      </c>
      <c r="M41" s="414">
        <v>0</v>
      </c>
      <c r="N41" s="414">
        <v>0</v>
      </c>
      <c r="O41" s="414">
        <v>0</v>
      </c>
      <c r="P41" s="414">
        <v>0</v>
      </c>
      <c r="Q41" s="582">
        <v>0</v>
      </c>
    </row>
    <row r="42" spans="2:17" x14ac:dyDescent="0.7">
      <c r="B42" s="629" t="s">
        <v>53</v>
      </c>
      <c r="C42" s="228">
        <v>139</v>
      </c>
      <c r="D42" s="279">
        <v>3476</v>
      </c>
      <c r="E42" s="414">
        <f t="shared" ref="E42:E43" si="13">+C42*100%</f>
        <v>139</v>
      </c>
      <c r="F42" s="414">
        <f t="shared" si="12"/>
        <v>3476</v>
      </c>
      <c r="G42" s="414">
        <v>5</v>
      </c>
      <c r="H42" s="267">
        <v>1</v>
      </c>
      <c r="I42" s="414">
        <f>+G42*C42*H42</f>
        <v>695</v>
      </c>
      <c r="J42" s="414">
        <f>0</f>
        <v>0</v>
      </c>
      <c r="K42" s="414">
        <f>0</f>
        <v>0</v>
      </c>
      <c r="L42" s="443">
        <v>0</v>
      </c>
      <c r="M42" s="414">
        <v>0</v>
      </c>
      <c r="N42" s="414">
        <v>0</v>
      </c>
      <c r="O42" s="414">
        <v>0</v>
      </c>
      <c r="P42" s="414">
        <v>0</v>
      </c>
      <c r="Q42" s="582">
        <v>0</v>
      </c>
    </row>
    <row r="43" spans="2:17" ht="25.2" thickBot="1" x14ac:dyDescent="0.75">
      <c r="B43" s="630" t="s">
        <v>54</v>
      </c>
      <c r="C43" s="281">
        <v>165</v>
      </c>
      <c r="D43" s="282">
        <v>4127</v>
      </c>
      <c r="E43" s="414">
        <f t="shared" si="13"/>
        <v>165</v>
      </c>
      <c r="F43" s="414">
        <f t="shared" si="12"/>
        <v>4127</v>
      </c>
      <c r="G43" s="414">
        <v>5</v>
      </c>
      <c r="H43" s="267">
        <v>1</v>
      </c>
      <c r="I43" s="414">
        <f>+G43*C43*H43</f>
        <v>825</v>
      </c>
      <c r="J43" s="414">
        <f>0</f>
        <v>0</v>
      </c>
      <c r="K43" s="414">
        <f>0</f>
        <v>0</v>
      </c>
      <c r="L43" s="443">
        <v>0</v>
      </c>
      <c r="M43" s="414">
        <v>0</v>
      </c>
      <c r="N43" s="414">
        <v>0</v>
      </c>
      <c r="O43" s="414">
        <v>0</v>
      </c>
      <c r="P43" s="414">
        <v>0</v>
      </c>
      <c r="Q43" s="582">
        <v>0</v>
      </c>
    </row>
    <row r="44" spans="2:17" ht="25.2" thickBot="1" x14ac:dyDescent="0.75">
      <c r="B44" s="463" t="s">
        <v>323</v>
      </c>
      <c r="C44" s="600">
        <f>SUM(C41:C43)</f>
        <v>458</v>
      </c>
      <c r="D44" s="464">
        <f>SUM(D41:D43)</f>
        <v>11454</v>
      </c>
      <c r="E44" s="464">
        <f>SUM(E41:E43)</f>
        <v>458</v>
      </c>
      <c r="F44" s="464">
        <f>SUM(F41:F43)</f>
        <v>11454</v>
      </c>
      <c r="G44" s="599"/>
      <c r="H44" s="465"/>
      <c r="I44" s="461">
        <f t="shared" ref="I44:Q44" si="14">SUM(I41:I43)</f>
        <v>2290</v>
      </c>
      <c r="J44" s="461">
        <f t="shared" si="14"/>
        <v>0</v>
      </c>
      <c r="K44" s="461">
        <f t="shared" si="14"/>
        <v>0</v>
      </c>
      <c r="L44" s="461">
        <f t="shared" si="14"/>
        <v>0</v>
      </c>
      <c r="M44" s="461">
        <f t="shared" si="14"/>
        <v>0</v>
      </c>
      <c r="N44" s="461">
        <f t="shared" si="14"/>
        <v>0</v>
      </c>
      <c r="O44" s="461">
        <f t="shared" si="14"/>
        <v>0</v>
      </c>
      <c r="P44" s="461">
        <f t="shared" si="14"/>
        <v>0</v>
      </c>
      <c r="Q44" s="462">
        <f t="shared" si="14"/>
        <v>0</v>
      </c>
    </row>
    <row r="45" spans="2:17" x14ac:dyDescent="0.7">
      <c r="B45" s="1241" t="s">
        <v>215</v>
      </c>
      <c r="C45" s="1242"/>
      <c r="D45" s="1242"/>
      <c r="E45" s="1242"/>
      <c r="F45" s="1242"/>
      <c r="G45" s="1242"/>
      <c r="H45" s="1242"/>
      <c r="I45" s="1242"/>
      <c r="J45" s="1242"/>
      <c r="K45" s="1242"/>
      <c r="L45" s="1242"/>
      <c r="M45" s="1242"/>
      <c r="N45" s="1242"/>
      <c r="O45" s="1242"/>
      <c r="P45" s="1242"/>
      <c r="Q45" s="1243"/>
    </row>
    <row r="46" spans="2:17" x14ac:dyDescent="0.7">
      <c r="B46" s="107" t="s">
        <v>126</v>
      </c>
      <c r="C46" s="601">
        <v>108</v>
      </c>
      <c r="D46" s="602">
        <v>2707</v>
      </c>
      <c r="E46" s="414">
        <f>+C46*100%</f>
        <v>108</v>
      </c>
      <c r="F46" s="414">
        <f t="shared" ref="F46:F48" si="15">D46*100%</f>
        <v>2707</v>
      </c>
      <c r="G46" s="414">
        <v>5</v>
      </c>
      <c r="H46" s="414"/>
      <c r="I46" s="414"/>
      <c r="J46" s="414">
        <f>0</f>
        <v>0</v>
      </c>
      <c r="K46" s="414">
        <f>0</f>
        <v>0</v>
      </c>
      <c r="L46" s="267">
        <v>1</v>
      </c>
      <c r="M46" s="414">
        <f>+G46*C46*L46</f>
        <v>540</v>
      </c>
      <c r="N46" s="414">
        <v>0</v>
      </c>
      <c r="O46" s="414">
        <v>0</v>
      </c>
      <c r="P46" s="414">
        <v>0</v>
      </c>
      <c r="Q46" s="582">
        <v>0</v>
      </c>
    </row>
    <row r="47" spans="2:17" x14ac:dyDescent="0.7">
      <c r="B47" s="107" t="s">
        <v>127</v>
      </c>
      <c r="C47" s="601">
        <v>85</v>
      </c>
      <c r="D47" s="602">
        <v>2132</v>
      </c>
      <c r="E47" s="414">
        <f t="shared" ref="E47:E48" si="16">+C47*100%</f>
        <v>85</v>
      </c>
      <c r="F47" s="414">
        <f t="shared" si="15"/>
        <v>2132</v>
      </c>
      <c r="G47" s="414">
        <v>5</v>
      </c>
      <c r="H47" s="414"/>
      <c r="I47" s="414"/>
      <c r="J47" s="414">
        <f>0</f>
        <v>0</v>
      </c>
      <c r="K47" s="414">
        <f>0</f>
        <v>0</v>
      </c>
      <c r="L47" s="267">
        <v>1</v>
      </c>
      <c r="M47" s="414">
        <f>+G47*C47*L47</f>
        <v>425</v>
      </c>
      <c r="N47" s="414">
        <v>0</v>
      </c>
      <c r="O47" s="414">
        <v>0</v>
      </c>
      <c r="P47" s="414">
        <v>0</v>
      </c>
      <c r="Q47" s="582">
        <v>0</v>
      </c>
    </row>
    <row r="48" spans="2:17" x14ac:dyDescent="0.7">
      <c r="B48" s="427" t="s">
        <v>128</v>
      </c>
      <c r="C48" s="603">
        <v>29</v>
      </c>
      <c r="D48" s="604">
        <v>720</v>
      </c>
      <c r="E48" s="417">
        <f t="shared" si="16"/>
        <v>29</v>
      </c>
      <c r="F48" s="414">
        <f t="shared" si="15"/>
        <v>720</v>
      </c>
      <c r="G48" s="414">
        <v>5</v>
      </c>
      <c r="H48" s="414"/>
      <c r="I48" s="414"/>
      <c r="J48" s="414">
        <f>0</f>
        <v>0</v>
      </c>
      <c r="K48" s="414">
        <f>0</f>
        <v>0</v>
      </c>
      <c r="L48" s="267">
        <v>1</v>
      </c>
      <c r="M48" s="414">
        <f>+G48*C48*L48</f>
        <v>145</v>
      </c>
      <c r="N48" s="414">
        <v>0</v>
      </c>
      <c r="O48" s="414">
        <v>0</v>
      </c>
      <c r="P48" s="414">
        <v>0</v>
      </c>
      <c r="Q48" s="582">
        <v>0</v>
      </c>
    </row>
    <row r="49" spans="2:18" ht="25.2" thickBot="1" x14ac:dyDescent="0.75">
      <c r="B49" s="631" t="s">
        <v>135</v>
      </c>
      <c r="C49" s="607">
        <v>142</v>
      </c>
      <c r="D49" s="608">
        <v>3259</v>
      </c>
      <c r="E49" s="609">
        <f>+C49*100%</f>
        <v>142</v>
      </c>
      <c r="F49" s="414">
        <f>D49*100%</f>
        <v>3259</v>
      </c>
      <c r="G49" s="414">
        <v>5</v>
      </c>
      <c r="H49" s="414"/>
      <c r="I49" s="414"/>
      <c r="J49" s="414">
        <f>0</f>
        <v>0</v>
      </c>
      <c r="K49" s="414">
        <f>0</f>
        <v>0</v>
      </c>
      <c r="L49" s="267">
        <v>1</v>
      </c>
      <c r="M49" s="414">
        <f>+G49*C49*L49</f>
        <v>710</v>
      </c>
      <c r="N49" s="414">
        <v>0</v>
      </c>
      <c r="O49" s="414">
        <v>0</v>
      </c>
      <c r="P49" s="414">
        <v>0</v>
      </c>
      <c r="Q49" s="582">
        <v>0</v>
      </c>
    </row>
    <row r="50" spans="2:18" ht="25.2" thickBot="1" x14ac:dyDescent="0.75">
      <c r="B50" s="463" t="s">
        <v>324</v>
      </c>
      <c r="C50" s="600">
        <f>SUM(C46:C49)</f>
        <v>364</v>
      </c>
      <c r="D50" s="464">
        <f>SUM(D46:D49)</f>
        <v>8818</v>
      </c>
      <c r="E50" s="464">
        <f>SUM(E46:E49)</f>
        <v>364</v>
      </c>
      <c r="F50" s="464">
        <f>SUM(F46:F49)</f>
        <v>8818</v>
      </c>
      <c r="G50" s="599"/>
      <c r="H50" s="465"/>
      <c r="I50" s="461"/>
      <c r="J50" s="461">
        <f>SUM(J46:J48)</f>
        <v>0</v>
      </c>
      <c r="K50" s="461">
        <f>SUM(K46:K48)</f>
        <v>0</v>
      </c>
      <c r="L50" s="461">
        <f>0</f>
        <v>0</v>
      </c>
      <c r="M50" s="461">
        <f>SUM(M46:M49)</f>
        <v>1820</v>
      </c>
      <c r="N50" s="461">
        <f>SUM(N46:N48)</f>
        <v>0</v>
      </c>
      <c r="O50" s="461">
        <f>SUM(O46:O48)</f>
        <v>0</v>
      </c>
      <c r="P50" s="461">
        <f>SUM(P46:P48)</f>
        <v>0</v>
      </c>
      <c r="Q50" s="462">
        <f>SUM(Q46:Q48)</f>
        <v>0</v>
      </c>
    </row>
    <row r="51" spans="2:18" x14ac:dyDescent="0.7">
      <c r="B51" s="1235" t="s">
        <v>230</v>
      </c>
      <c r="C51" s="1236"/>
      <c r="D51" s="1236"/>
      <c r="E51" s="1236"/>
      <c r="F51" s="1236"/>
      <c r="G51" s="1236"/>
      <c r="H51" s="1236"/>
      <c r="I51" s="1236"/>
      <c r="J51" s="1236"/>
      <c r="K51" s="1236"/>
      <c r="L51" s="1236"/>
      <c r="M51" s="1236"/>
      <c r="N51" s="1236"/>
      <c r="O51" s="1236"/>
      <c r="P51" s="1236"/>
      <c r="Q51" s="1237"/>
    </row>
    <row r="52" spans="2:18" x14ac:dyDescent="0.7">
      <c r="B52" s="1238" t="s">
        <v>22</v>
      </c>
      <c r="C52" s="1239"/>
      <c r="D52" s="1239"/>
      <c r="E52" s="1239"/>
      <c r="F52" s="1239"/>
      <c r="G52" s="1239"/>
      <c r="H52" s="1239"/>
      <c r="I52" s="1239"/>
      <c r="J52" s="1239"/>
      <c r="K52" s="1239"/>
      <c r="L52" s="1239"/>
      <c r="M52" s="1239"/>
      <c r="N52" s="1239"/>
      <c r="O52" s="1239"/>
      <c r="P52" s="1239"/>
      <c r="Q52" s="1240"/>
    </row>
    <row r="53" spans="2:18" x14ac:dyDescent="0.7">
      <c r="B53" s="439" t="s">
        <v>139</v>
      </c>
      <c r="C53" s="232">
        <v>121</v>
      </c>
      <c r="D53" s="247">
        <v>3037</v>
      </c>
      <c r="E53" s="414">
        <f>+C53*100%</f>
        <v>121</v>
      </c>
      <c r="F53" s="414">
        <f t="shared" ref="F53:F55" si="17">D53*100%</f>
        <v>3037</v>
      </c>
      <c r="G53" s="414">
        <v>5</v>
      </c>
      <c r="H53" s="267">
        <v>1</v>
      </c>
      <c r="I53" s="414">
        <f>+G53*E53*H53</f>
        <v>605</v>
      </c>
      <c r="J53" s="414">
        <v>1</v>
      </c>
      <c r="K53" s="414">
        <f>+G53*E53*J53</f>
        <v>605</v>
      </c>
      <c r="L53" s="443">
        <v>0</v>
      </c>
      <c r="M53" s="414">
        <v>0</v>
      </c>
      <c r="N53" s="414">
        <v>0</v>
      </c>
      <c r="O53" s="414">
        <v>0</v>
      </c>
      <c r="P53" s="414">
        <v>0</v>
      </c>
      <c r="Q53" s="582">
        <v>0</v>
      </c>
    </row>
    <row r="54" spans="2:18" x14ac:dyDescent="0.7">
      <c r="B54" s="629" t="s">
        <v>140</v>
      </c>
      <c r="C54" s="228">
        <v>38</v>
      </c>
      <c r="D54" s="279">
        <v>842</v>
      </c>
      <c r="E54" s="414">
        <f>+C54*100%</f>
        <v>38</v>
      </c>
      <c r="F54" s="414">
        <f>D54*100%</f>
        <v>842</v>
      </c>
      <c r="G54" s="414">
        <v>5</v>
      </c>
      <c r="H54" s="267">
        <v>1</v>
      </c>
      <c r="I54" s="414">
        <f>+G54*E54*H54</f>
        <v>190</v>
      </c>
      <c r="J54" s="414">
        <v>1</v>
      </c>
      <c r="K54" s="414">
        <f t="shared" ref="K54:K55" si="18">+G54*E54*J54</f>
        <v>190</v>
      </c>
      <c r="L54" s="443">
        <v>0</v>
      </c>
      <c r="M54" s="414">
        <v>0</v>
      </c>
      <c r="N54" s="414">
        <v>0</v>
      </c>
      <c r="O54" s="414">
        <v>0</v>
      </c>
      <c r="P54" s="414">
        <v>0</v>
      </c>
      <c r="Q54" s="582">
        <v>0</v>
      </c>
    </row>
    <row r="55" spans="2:18" ht="25.2" thickBot="1" x14ac:dyDescent="0.75">
      <c r="B55" s="630" t="s">
        <v>141</v>
      </c>
      <c r="C55" s="281">
        <v>38</v>
      </c>
      <c r="D55" s="282">
        <v>844</v>
      </c>
      <c r="E55" s="414">
        <f>+C55*100%</f>
        <v>38</v>
      </c>
      <c r="F55" s="414">
        <f t="shared" si="17"/>
        <v>844</v>
      </c>
      <c r="G55" s="414">
        <v>5</v>
      </c>
      <c r="H55" s="267">
        <v>1</v>
      </c>
      <c r="I55" s="414">
        <f>+G55*C55*H55</f>
        <v>190</v>
      </c>
      <c r="J55" s="414">
        <v>1</v>
      </c>
      <c r="K55" s="414">
        <f t="shared" si="18"/>
        <v>190</v>
      </c>
      <c r="L55" s="443">
        <v>0</v>
      </c>
      <c r="M55" s="414">
        <v>0</v>
      </c>
      <c r="N55" s="414">
        <v>0</v>
      </c>
      <c r="O55" s="414">
        <v>0</v>
      </c>
      <c r="P55" s="414">
        <v>0</v>
      </c>
      <c r="Q55" s="582">
        <v>0</v>
      </c>
    </row>
    <row r="56" spans="2:18" ht="27" thickBot="1" x14ac:dyDescent="0.9">
      <c r="B56" s="463" t="s">
        <v>323</v>
      </c>
      <c r="C56" s="600">
        <f>SUM(C53:C55)</f>
        <v>197</v>
      </c>
      <c r="D56" s="464">
        <f>SUM(D53:D55)</f>
        <v>4723</v>
      </c>
      <c r="E56" s="464">
        <f>SUM(E53:E55)</f>
        <v>197</v>
      </c>
      <c r="F56" s="464">
        <f>SUM(F53:F55)</f>
        <v>4723</v>
      </c>
      <c r="G56" s="599"/>
      <c r="H56" s="465"/>
      <c r="I56" s="461">
        <f>SUM(I53:I55)</f>
        <v>985</v>
      </c>
      <c r="J56" s="461">
        <f>0</f>
        <v>0</v>
      </c>
      <c r="K56" s="461">
        <f t="shared" ref="K56:Q56" si="19">SUM(K53:K55)</f>
        <v>985</v>
      </c>
      <c r="L56" s="461">
        <f t="shared" si="19"/>
        <v>0</v>
      </c>
      <c r="M56" s="461">
        <f t="shared" si="19"/>
        <v>0</v>
      </c>
      <c r="N56" s="461">
        <f t="shared" si="19"/>
        <v>0</v>
      </c>
      <c r="O56" s="461">
        <f t="shared" si="19"/>
        <v>0</v>
      </c>
      <c r="P56" s="461">
        <f t="shared" si="19"/>
        <v>0</v>
      </c>
      <c r="Q56" s="462">
        <f t="shared" si="19"/>
        <v>0</v>
      </c>
      <c r="R56" s="611">
        <f>K56+I56</f>
        <v>1970</v>
      </c>
    </row>
    <row r="57" spans="2:18" x14ac:dyDescent="0.7">
      <c r="B57" s="1241" t="s">
        <v>215</v>
      </c>
      <c r="C57" s="1242"/>
      <c r="D57" s="1242"/>
      <c r="E57" s="1242"/>
      <c r="F57" s="1242"/>
      <c r="G57" s="1242"/>
      <c r="H57" s="1242"/>
      <c r="I57" s="1242"/>
      <c r="J57" s="1242"/>
      <c r="K57" s="1242"/>
      <c r="L57" s="1242"/>
      <c r="M57" s="1242"/>
      <c r="N57" s="1242"/>
      <c r="O57" s="1242"/>
      <c r="P57" s="1242"/>
      <c r="Q57" s="1243"/>
    </row>
    <row r="58" spans="2:18" x14ac:dyDescent="0.7">
      <c r="B58" s="107" t="s">
        <v>144</v>
      </c>
      <c r="C58" s="601">
        <v>24</v>
      </c>
      <c r="D58" s="602">
        <v>534</v>
      </c>
      <c r="E58" s="414">
        <f>+C58*100%</f>
        <v>24</v>
      </c>
      <c r="F58" s="414">
        <f t="shared" ref="F58:F62" si="20">D58*100%</f>
        <v>534</v>
      </c>
      <c r="G58" s="414">
        <v>5</v>
      </c>
      <c r="H58" s="414">
        <f>0</f>
        <v>0</v>
      </c>
      <c r="I58" s="414"/>
      <c r="J58" s="414"/>
      <c r="K58" s="414"/>
      <c r="L58" s="267">
        <v>1</v>
      </c>
      <c r="M58" s="414">
        <f>+E58*G58*L58</f>
        <v>120</v>
      </c>
      <c r="N58" s="414">
        <v>1</v>
      </c>
      <c r="O58" s="414">
        <f>+G58*E58*N58</f>
        <v>120</v>
      </c>
      <c r="P58" s="414">
        <v>1</v>
      </c>
      <c r="Q58" s="582">
        <f>+I58*G58*P58</f>
        <v>0</v>
      </c>
    </row>
    <row r="59" spans="2:18" x14ac:dyDescent="0.7">
      <c r="B59" s="107" t="s">
        <v>145</v>
      </c>
      <c r="C59" s="601">
        <v>39</v>
      </c>
      <c r="D59" s="602">
        <v>980</v>
      </c>
      <c r="E59" s="414">
        <f t="shared" ref="E59:E62" si="21">+C59*100%</f>
        <v>39</v>
      </c>
      <c r="F59" s="414">
        <f t="shared" si="20"/>
        <v>980</v>
      </c>
      <c r="G59" s="414">
        <v>5</v>
      </c>
      <c r="H59" s="414">
        <f>0</f>
        <v>0</v>
      </c>
      <c r="I59" s="414"/>
      <c r="J59" s="414"/>
      <c r="K59" s="414"/>
      <c r="L59" s="267">
        <v>1</v>
      </c>
      <c r="M59" s="414">
        <f t="shared" ref="M59:M62" si="22">+E59*G59*L59</f>
        <v>195</v>
      </c>
      <c r="N59" s="414">
        <v>1</v>
      </c>
      <c r="O59" s="414">
        <f t="shared" ref="O59:O62" si="23">+G59*E59*N59</f>
        <v>195</v>
      </c>
      <c r="P59" s="414">
        <v>1</v>
      </c>
      <c r="Q59" s="582">
        <f t="shared" ref="Q59:Q62" si="24">+I59*G59*P59</f>
        <v>0</v>
      </c>
    </row>
    <row r="60" spans="2:18" x14ac:dyDescent="0.7">
      <c r="B60" s="107" t="s">
        <v>146</v>
      </c>
      <c r="C60" s="601">
        <v>14</v>
      </c>
      <c r="D60" s="602">
        <v>309</v>
      </c>
      <c r="E60" s="414">
        <f t="shared" si="21"/>
        <v>14</v>
      </c>
      <c r="F60" s="414">
        <f t="shared" si="20"/>
        <v>309</v>
      </c>
      <c r="G60" s="414">
        <v>5</v>
      </c>
      <c r="H60" s="414">
        <f>0</f>
        <v>0</v>
      </c>
      <c r="I60" s="414"/>
      <c r="J60" s="414"/>
      <c r="K60" s="414"/>
      <c r="L60" s="267">
        <v>1</v>
      </c>
      <c r="M60" s="414">
        <f t="shared" si="22"/>
        <v>70</v>
      </c>
      <c r="N60" s="414">
        <v>1</v>
      </c>
      <c r="O60" s="414">
        <f t="shared" si="23"/>
        <v>70</v>
      </c>
      <c r="P60" s="414">
        <v>1</v>
      </c>
      <c r="Q60" s="582">
        <f t="shared" si="24"/>
        <v>0</v>
      </c>
    </row>
    <row r="61" spans="2:18" x14ac:dyDescent="0.7">
      <c r="B61" s="107" t="s">
        <v>147</v>
      </c>
      <c r="C61" s="601">
        <v>109</v>
      </c>
      <c r="D61" s="602">
        <v>2388</v>
      </c>
      <c r="E61" s="414">
        <f t="shared" si="21"/>
        <v>109</v>
      </c>
      <c r="F61" s="414">
        <f>D61*100%</f>
        <v>2388</v>
      </c>
      <c r="G61" s="414">
        <v>5</v>
      </c>
      <c r="H61" s="414">
        <f>0</f>
        <v>0</v>
      </c>
      <c r="I61" s="414"/>
      <c r="J61" s="414"/>
      <c r="K61" s="414"/>
      <c r="L61" s="267">
        <v>1</v>
      </c>
      <c r="M61" s="414">
        <f t="shared" si="22"/>
        <v>545</v>
      </c>
      <c r="N61" s="414">
        <v>1</v>
      </c>
      <c r="O61" s="414">
        <f t="shared" si="23"/>
        <v>545</v>
      </c>
      <c r="P61" s="414">
        <v>1</v>
      </c>
      <c r="Q61" s="582">
        <f t="shared" si="24"/>
        <v>0</v>
      </c>
    </row>
    <row r="62" spans="2:18" ht="25.2" thickBot="1" x14ac:dyDescent="0.75">
      <c r="B62" s="427" t="s">
        <v>149</v>
      </c>
      <c r="C62" s="603">
        <v>108</v>
      </c>
      <c r="D62" s="604">
        <v>2365</v>
      </c>
      <c r="E62" s="414">
        <f t="shared" si="21"/>
        <v>108</v>
      </c>
      <c r="F62" s="414">
        <f t="shared" si="20"/>
        <v>2365</v>
      </c>
      <c r="G62" s="414">
        <v>5</v>
      </c>
      <c r="H62" s="414">
        <f>0</f>
        <v>0</v>
      </c>
      <c r="I62" s="414"/>
      <c r="J62" s="414"/>
      <c r="K62" s="414"/>
      <c r="L62" s="267">
        <v>1</v>
      </c>
      <c r="M62" s="414">
        <f t="shared" si="22"/>
        <v>540</v>
      </c>
      <c r="N62" s="414">
        <v>1</v>
      </c>
      <c r="O62" s="414">
        <f t="shared" si="23"/>
        <v>540</v>
      </c>
      <c r="P62" s="414">
        <v>1</v>
      </c>
      <c r="Q62" s="582">
        <f t="shared" si="24"/>
        <v>0</v>
      </c>
    </row>
    <row r="63" spans="2:18" ht="27" thickBot="1" x14ac:dyDescent="0.9">
      <c r="B63" s="463" t="s">
        <v>324</v>
      </c>
      <c r="C63" s="600">
        <f>SUM(C58:C62)</f>
        <v>294</v>
      </c>
      <c r="D63" s="464">
        <f>SUM(D58:D62)</f>
        <v>6576</v>
      </c>
      <c r="E63" s="464">
        <f>SUM(E58:E62)</f>
        <v>294</v>
      </c>
      <c r="F63" s="464">
        <f>SUM(F58:F62)</f>
        <v>6576</v>
      </c>
      <c r="G63" s="599"/>
      <c r="H63" s="465">
        <f>0</f>
        <v>0</v>
      </c>
      <c r="I63" s="461"/>
      <c r="J63" s="461">
        <f>SUM(J58:J62)</f>
        <v>0</v>
      </c>
      <c r="K63" s="461">
        <f>SUM(K58:K62)</f>
        <v>0</v>
      </c>
      <c r="L63" s="461">
        <f>0</f>
        <v>0</v>
      </c>
      <c r="M63" s="461">
        <f>SUM(M58:M62)</f>
        <v>1470</v>
      </c>
      <c r="N63" s="461">
        <f>0</f>
        <v>0</v>
      </c>
      <c r="O63" s="461">
        <f>SUM(O58:O62)</f>
        <v>1470</v>
      </c>
      <c r="P63" s="461">
        <f>0</f>
        <v>0</v>
      </c>
      <c r="Q63" s="462">
        <f>SUM(Q58:Q62)</f>
        <v>0</v>
      </c>
      <c r="R63" s="611">
        <f>O63+M63</f>
        <v>2940</v>
      </c>
    </row>
    <row r="64" spans="2:18" x14ac:dyDescent="0.7">
      <c r="B64" s="1235" t="s">
        <v>336</v>
      </c>
      <c r="C64" s="1236"/>
      <c r="D64" s="1236"/>
      <c r="E64" s="1236"/>
      <c r="F64" s="1236"/>
      <c r="G64" s="1236"/>
      <c r="H64" s="1236"/>
      <c r="I64" s="1236"/>
      <c r="J64" s="1236"/>
      <c r="K64" s="1236"/>
      <c r="L64" s="1236"/>
      <c r="M64" s="1236"/>
      <c r="N64" s="1236"/>
      <c r="O64" s="1236"/>
      <c r="P64" s="1236"/>
      <c r="Q64" s="1237"/>
    </row>
    <row r="65" spans="2:18" x14ac:dyDescent="0.7">
      <c r="B65" s="1238" t="s">
        <v>22</v>
      </c>
      <c r="C65" s="1239"/>
      <c r="D65" s="1239"/>
      <c r="E65" s="1239"/>
      <c r="F65" s="1239"/>
      <c r="G65" s="1239"/>
      <c r="H65" s="1239"/>
      <c r="I65" s="1239"/>
      <c r="J65" s="1239"/>
      <c r="K65" s="1239"/>
      <c r="L65" s="1239"/>
      <c r="M65" s="1239"/>
      <c r="N65" s="1239"/>
      <c r="O65" s="1239"/>
      <c r="P65" s="1239"/>
      <c r="Q65" s="1240"/>
    </row>
    <row r="66" spans="2:18" x14ac:dyDescent="0.7">
      <c r="B66" s="439" t="s">
        <v>55</v>
      </c>
      <c r="C66" s="232">
        <v>158</v>
      </c>
      <c r="D66" s="247">
        <v>3480</v>
      </c>
      <c r="E66" s="414">
        <f>+C66*100%</f>
        <v>158</v>
      </c>
      <c r="F66" s="414">
        <f>D66*100%</f>
        <v>3480</v>
      </c>
      <c r="G66" s="414">
        <v>5</v>
      </c>
      <c r="H66" s="267">
        <v>1</v>
      </c>
      <c r="I66" s="414">
        <f>+G66*E66*H66</f>
        <v>790</v>
      </c>
      <c r="J66" s="414">
        <v>1</v>
      </c>
      <c r="K66" s="414">
        <f>+G66*E66*J66</f>
        <v>790</v>
      </c>
      <c r="L66" s="443">
        <v>0</v>
      </c>
      <c r="M66" s="414">
        <v>0</v>
      </c>
      <c r="N66" s="414">
        <v>0</v>
      </c>
      <c r="O66" s="414">
        <v>0</v>
      </c>
      <c r="P66" s="414">
        <v>0</v>
      </c>
      <c r="Q66" s="582">
        <v>0</v>
      </c>
    </row>
    <row r="67" spans="2:18" x14ac:dyDescent="0.7">
      <c r="B67" s="629" t="s">
        <v>56</v>
      </c>
      <c r="C67" s="228">
        <v>143</v>
      </c>
      <c r="D67" s="279">
        <v>3140</v>
      </c>
      <c r="E67" s="414">
        <f>+C67*100%</f>
        <v>143</v>
      </c>
      <c r="F67" s="414">
        <f>D67*100%</f>
        <v>3140</v>
      </c>
      <c r="G67" s="414">
        <v>5</v>
      </c>
      <c r="H67" s="267">
        <v>1</v>
      </c>
      <c r="I67" s="414">
        <f>+G67*E67*H67</f>
        <v>715</v>
      </c>
      <c r="J67" s="414">
        <v>1</v>
      </c>
      <c r="K67" s="414">
        <f t="shared" ref="K67:K68" si="25">+G67*E67*J67</f>
        <v>715</v>
      </c>
      <c r="L67" s="443">
        <v>0</v>
      </c>
      <c r="M67" s="414">
        <v>0</v>
      </c>
      <c r="N67" s="414">
        <v>0</v>
      </c>
      <c r="O67" s="414">
        <v>0</v>
      </c>
      <c r="P67" s="414">
        <v>0</v>
      </c>
      <c r="Q67" s="582">
        <v>0</v>
      </c>
    </row>
    <row r="68" spans="2:18" ht="25.2" thickBot="1" x14ac:dyDescent="0.75">
      <c r="B68" s="630" t="s">
        <v>57</v>
      </c>
      <c r="C68" s="281">
        <v>167</v>
      </c>
      <c r="D68" s="282">
        <v>3671</v>
      </c>
      <c r="E68" s="414">
        <f>+C68*100%</f>
        <v>167</v>
      </c>
      <c r="F68" s="414">
        <f t="shared" ref="F68" si="26">D68*100%</f>
        <v>3671</v>
      </c>
      <c r="G68" s="414">
        <v>5</v>
      </c>
      <c r="H68" s="267">
        <v>1</v>
      </c>
      <c r="I68" s="414">
        <f>+G68*E68*H68</f>
        <v>835</v>
      </c>
      <c r="J68" s="414">
        <v>1</v>
      </c>
      <c r="K68" s="414">
        <f t="shared" si="25"/>
        <v>835</v>
      </c>
      <c r="L68" s="443">
        <v>0</v>
      </c>
      <c r="M68" s="414">
        <v>0</v>
      </c>
      <c r="N68" s="414">
        <v>0</v>
      </c>
      <c r="O68" s="414">
        <v>0</v>
      </c>
      <c r="P68" s="414">
        <v>0</v>
      </c>
      <c r="Q68" s="582">
        <v>0</v>
      </c>
    </row>
    <row r="69" spans="2:18" ht="27" thickBot="1" x14ac:dyDescent="0.9">
      <c r="B69" s="463" t="s">
        <v>323</v>
      </c>
      <c r="C69" s="600">
        <f>SUM(C66:C68)</f>
        <v>468</v>
      </c>
      <c r="D69" s="464">
        <f>SUM(D66:D68)</f>
        <v>10291</v>
      </c>
      <c r="E69" s="464">
        <f>SUM(E66:E68)</f>
        <v>468</v>
      </c>
      <c r="F69" s="464">
        <f>SUM(F66:F68)</f>
        <v>10291</v>
      </c>
      <c r="G69" s="599"/>
      <c r="H69" s="465"/>
      <c r="I69" s="461">
        <f>SUM(I66:I68)</f>
        <v>2340</v>
      </c>
      <c r="J69" s="461">
        <f>0</f>
        <v>0</v>
      </c>
      <c r="K69" s="461">
        <f t="shared" ref="K69:Q69" si="27">SUM(K66:K68)</f>
        <v>2340</v>
      </c>
      <c r="L69" s="461">
        <f t="shared" si="27"/>
        <v>0</v>
      </c>
      <c r="M69" s="461">
        <f t="shared" si="27"/>
        <v>0</v>
      </c>
      <c r="N69" s="461">
        <f t="shared" si="27"/>
        <v>0</v>
      </c>
      <c r="O69" s="461">
        <f t="shared" si="27"/>
        <v>0</v>
      </c>
      <c r="P69" s="461">
        <f t="shared" si="27"/>
        <v>0</v>
      </c>
      <c r="Q69" s="462">
        <f t="shared" si="27"/>
        <v>0</v>
      </c>
      <c r="R69" s="611">
        <f>K69+I69</f>
        <v>4680</v>
      </c>
    </row>
    <row r="70" spans="2:18" x14ac:dyDescent="0.7">
      <c r="B70" s="1241" t="s">
        <v>215</v>
      </c>
      <c r="C70" s="1242"/>
      <c r="D70" s="1242"/>
      <c r="E70" s="1242"/>
      <c r="F70" s="1242"/>
      <c r="G70" s="1242"/>
      <c r="H70" s="1242"/>
      <c r="I70" s="1242"/>
      <c r="J70" s="1242"/>
      <c r="K70" s="1242"/>
      <c r="L70" s="1242"/>
      <c r="M70" s="1242"/>
      <c r="N70" s="1242"/>
      <c r="O70" s="1242"/>
      <c r="P70" s="1242"/>
      <c r="Q70" s="1243"/>
    </row>
    <row r="71" spans="2:18" x14ac:dyDescent="0.7">
      <c r="B71" s="107" t="s">
        <v>152</v>
      </c>
      <c r="C71" s="601">
        <v>131</v>
      </c>
      <c r="D71" s="602">
        <v>2886</v>
      </c>
      <c r="E71" s="414">
        <f>+C71*100%</f>
        <v>131</v>
      </c>
      <c r="F71" s="414">
        <f t="shared" ref="F71:F75" si="28">D71*100%</f>
        <v>2886</v>
      </c>
      <c r="G71" s="414">
        <v>5</v>
      </c>
      <c r="H71" s="414">
        <f>0</f>
        <v>0</v>
      </c>
      <c r="I71" s="414">
        <f>0</f>
        <v>0</v>
      </c>
      <c r="J71" s="414">
        <f>0</f>
        <v>0</v>
      </c>
      <c r="K71" s="414">
        <f>0</f>
        <v>0</v>
      </c>
      <c r="L71" s="267">
        <v>1</v>
      </c>
      <c r="M71" s="414">
        <f>+E71*G71*L71</f>
        <v>655</v>
      </c>
      <c r="N71" s="414">
        <v>1</v>
      </c>
      <c r="O71" s="414">
        <f>+G71*E71*N71</f>
        <v>655</v>
      </c>
      <c r="P71" s="414">
        <v>1</v>
      </c>
      <c r="Q71" s="582">
        <f>+I71*G71*P71</f>
        <v>0</v>
      </c>
    </row>
    <row r="72" spans="2:18" x14ac:dyDescent="0.7">
      <c r="B72" s="107" t="s">
        <v>153</v>
      </c>
      <c r="C72" s="601">
        <v>117</v>
      </c>
      <c r="D72" s="602">
        <v>2579</v>
      </c>
      <c r="E72" s="414">
        <f t="shared" ref="E72:E75" si="29">+C72*100%</f>
        <v>117</v>
      </c>
      <c r="F72" s="414">
        <f t="shared" si="28"/>
        <v>2579</v>
      </c>
      <c r="G72" s="414">
        <v>5</v>
      </c>
      <c r="H72" s="414">
        <f>0</f>
        <v>0</v>
      </c>
      <c r="I72" s="414">
        <f>0</f>
        <v>0</v>
      </c>
      <c r="J72" s="414">
        <f>0</f>
        <v>0</v>
      </c>
      <c r="K72" s="414">
        <f>0</f>
        <v>0</v>
      </c>
      <c r="L72" s="267">
        <v>1</v>
      </c>
      <c r="M72" s="414">
        <f t="shared" ref="M72:M75" si="30">+E72*G72*L72</f>
        <v>585</v>
      </c>
      <c r="N72" s="414">
        <v>1</v>
      </c>
      <c r="O72" s="414">
        <f t="shared" ref="O72:O75" si="31">+G72*E72*N72</f>
        <v>585</v>
      </c>
      <c r="P72" s="414">
        <v>1</v>
      </c>
      <c r="Q72" s="582">
        <f t="shared" ref="Q72:Q75" si="32">+I72*G72*P72</f>
        <v>0</v>
      </c>
    </row>
    <row r="73" spans="2:18" x14ac:dyDescent="0.7">
      <c r="B73" s="107" t="s">
        <v>154</v>
      </c>
      <c r="C73" s="601">
        <v>155</v>
      </c>
      <c r="D73" s="602">
        <v>3402</v>
      </c>
      <c r="E73" s="414">
        <f t="shared" si="29"/>
        <v>155</v>
      </c>
      <c r="F73" s="414">
        <f t="shared" si="28"/>
        <v>3402</v>
      </c>
      <c r="G73" s="414">
        <v>5</v>
      </c>
      <c r="H73" s="414">
        <f>0</f>
        <v>0</v>
      </c>
      <c r="I73" s="414">
        <f>0</f>
        <v>0</v>
      </c>
      <c r="J73" s="414">
        <f>0</f>
        <v>0</v>
      </c>
      <c r="K73" s="414">
        <f>0</f>
        <v>0</v>
      </c>
      <c r="L73" s="267">
        <v>1</v>
      </c>
      <c r="M73" s="414">
        <f t="shared" si="30"/>
        <v>775</v>
      </c>
      <c r="N73" s="414">
        <v>1</v>
      </c>
      <c r="O73" s="414">
        <f t="shared" si="31"/>
        <v>775</v>
      </c>
      <c r="P73" s="414">
        <v>1</v>
      </c>
      <c r="Q73" s="582">
        <f t="shared" si="32"/>
        <v>0</v>
      </c>
    </row>
    <row r="74" spans="2:18" x14ac:dyDescent="0.7">
      <c r="B74" s="107" t="s">
        <v>155</v>
      </c>
      <c r="C74" s="601">
        <v>100</v>
      </c>
      <c r="D74" s="602">
        <v>2192</v>
      </c>
      <c r="E74" s="414">
        <f t="shared" si="29"/>
        <v>100</v>
      </c>
      <c r="F74" s="414">
        <f t="shared" si="28"/>
        <v>2192</v>
      </c>
      <c r="G74" s="414">
        <v>5</v>
      </c>
      <c r="H74" s="414">
        <f>0</f>
        <v>0</v>
      </c>
      <c r="I74" s="414">
        <f>0</f>
        <v>0</v>
      </c>
      <c r="J74" s="414">
        <f>0</f>
        <v>0</v>
      </c>
      <c r="K74" s="414">
        <f>0</f>
        <v>0</v>
      </c>
      <c r="L74" s="267">
        <v>1</v>
      </c>
      <c r="M74" s="414">
        <f t="shared" si="30"/>
        <v>500</v>
      </c>
      <c r="N74" s="414">
        <v>1</v>
      </c>
      <c r="O74" s="414">
        <f t="shared" si="31"/>
        <v>500</v>
      </c>
      <c r="P74" s="414">
        <v>1</v>
      </c>
      <c r="Q74" s="582">
        <f t="shared" si="32"/>
        <v>0</v>
      </c>
    </row>
    <row r="75" spans="2:18" ht="25.2" thickBot="1" x14ac:dyDescent="0.75">
      <c r="B75" s="107" t="s">
        <v>158</v>
      </c>
      <c r="C75" s="601">
        <v>130</v>
      </c>
      <c r="D75" s="602">
        <v>2853</v>
      </c>
      <c r="E75" s="414">
        <f t="shared" si="29"/>
        <v>130</v>
      </c>
      <c r="F75" s="414">
        <f t="shared" si="28"/>
        <v>2853</v>
      </c>
      <c r="G75" s="414">
        <v>5</v>
      </c>
      <c r="H75" s="414">
        <f>0</f>
        <v>0</v>
      </c>
      <c r="I75" s="414">
        <f>0</f>
        <v>0</v>
      </c>
      <c r="J75" s="414">
        <f>0</f>
        <v>0</v>
      </c>
      <c r="K75" s="414">
        <f>0</f>
        <v>0</v>
      </c>
      <c r="L75" s="267">
        <v>1</v>
      </c>
      <c r="M75" s="414">
        <f t="shared" si="30"/>
        <v>650</v>
      </c>
      <c r="N75" s="414">
        <v>1</v>
      </c>
      <c r="O75" s="414">
        <f t="shared" si="31"/>
        <v>650</v>
      </c>
      <c r="P75" s="414">
        <v>1</v>
      </c>
      <c r="Q75" s="582">
        <f t="shared" si="32"/>
        <v>0</v>
      </c>
    </row>
    <row r="76" spans="2:18" ht="27" thickBot="1" x14ac:dyDescent="0.9">
      <c r="B76" s="463" t="s">
        <v>324</v>
      </c>
      <c r="C76" s="600">
        <f>SUM(C71:C75)</f>
        <v>633</v>
      </c>
      <c r="D76" s="464">
        <f>SUM(D71:D75)</f>
        <v>13912</v>
      </c>
      <c r="E76" s="464">
        <f>SUM(E71:E75)</f>
        <v>633</v>
      </c>
      <c r="F76" s="464">
        <f>SUM(F71:F75)</f>
        <v>13912</v>
      </c>
      <c r="G76" s="599"/>
      <c r="H76" s="465">
        <f>0</f>
        <v>0</v>
      </c>
      <c r="I76" s="461">
        <f>0</f>
        <v>0</v>
      </c>
      <c r="J76" s="461">
        <f>SUM(J71:J75)</f>
        <v>0</v>
      </c>
      <c r="K76" s="461">
        <f>SUM(K71:K75)</f>
        <v>0</v>
      </c>
      <c r="L76" s="461">
        <f>0</f>
        <v>0</v>
      </c>
      <c r="M76" s="461">
        <f>SUM(M71:M75)</f>
        <v>3165</v>
      </c>
      <c r="N76" s="461">
        <f>0</f>
        <v>0</v>
      </c>
      <c r="O76" s="461">
        <f>SUM(O71:O75)</f>
        <v>3165</v>
      </c>
      <c r="P76" s="461">
        <f>0</f>
        <v>0</v>
      </c>
      <c r="Q76" s="462">
        <f>SUM(Q71:Q75)</f>
        <v>0</v>
      </c>
      <c r="R76" s="611">
        <f>O76+M76</f>
        <v>6330</v>
      </c>
    </row>
    <row r="77" spans="2:18" x14ac:dyDescent="0.7">
      <c r="B77" s="1235" t="s">
        <v>337</v>
      </c>
      <c r="C77" s="1236"/>
      <c r="D77" s="1236"/>
      <c r="E77" s="1236"/>
      <c r="F77" s="1236"/>
      <c r="G77" s="1236"/>
      <c r="H77" s="1236"/>
      <c r="I77" s="1236"/>
      <c r="J77" s="1236"/>
      <c r="K77" s="1236"/>
      <c r="L77" s="1236"/>
      <c r="M77" s="1236"/>
      <c r="N77" s="1236"/>
      <c r="O77" s="1236"/>
      <c r="P77" s="1236"/>
      <c r="Q77" s="1237"/>
    </row>
    <row r="78" spans="2:18" x14ac:dyDescent="0.7">
      <c r="B78" s="1238" t="s">
        <v>22</v>
      </c>
      <c r="C78" s="1239"/>
      <c r="D78" s="1239"/>
      <c r="E78" s="1239"/>
      <c r="F78" s="1239"/>
      <c r="G78" s="1239"/>
      <c r="H78" s="1239"/>
      <c r="I78" s="1239"/>
      <c r="J78" s="1239"/>
      <c r="K78" s="1239"/>
      <c r="L78" s="1239"/>
      <c r="M78" s="1239"/>
      <c r="N78" s="1239"/>
      <c r="O78" s="1239"/>
      <c r="P78" s="1239"/>
      <c r="Q78" s="1240"/>
    </row>
    <row r="79" spans="2:18" x14ac:dyDescent="0.7">
      <c r="B79" s="439" t="s">
        <v>58</v>
      </c>
      <c r="C79" s="232">
        <v>130</v>
      </c>
      <c r="D79" s="247">
        <v>2868</v>
      </c>
      <c r="E79" s="414">
        <f>+C79*100%</f>
        <v>130</v>
      </c>
      <c r="F79" s="414">
        <f>D79*100%</f>
        <v>2868</v>
      </c>
      <c r="G79" s="414">
        <v>5</v>
      </c>
      <c r="H79" s="267">
        <v>1</v>
      </c>
      <c r="I79" s="414">
        <f>+G79*E79*H79</f>
        <v>650</v>
      </c>
      <c r="J79" s="414">
        <v>1</v>
      </c>
      <c r="K79" s="414">
        <f>+G79*E79*J79</f>
        <v>650</v>
      </c>
      <c r="L79" s="443">
        <v>0</v>
      </c>
      <c r="M79" s="414">
        <v>0</v>
      </c>
      <c r="N79" s="414">
        <v>0</v>
      </c>
      <c r="O79" s="414">
        <v>0</v>
      </c>
      <c r="P79" s="414">
        <v>0</v>
      </c>
      <c r="Q79" s="582">
        <v>0</v>
      </c>
    </row>
    <row r="80" spans="2:18" ht="25.2" thickBot="1" x14ac:dyDescent="0.75">
      <c r="B80" s="629" t="s">
        <v>44</v>
      </c>
      <c r="C80" s="228">
        <v>145</v>
      </c>
      <c r="D80" s="279">
        <v>3193</v>
      </c>
      <c r="E80" s="414">
        <f>+C80*100%</f>
        <v>145</v>
      </c>
      <c r="F80" s="414">
        <f>D80*100%</f>
        <v>3193</v>
      </c>
      <c r="G80" s="414">
        <v>5</v>
      </c>
      <c r="H80" s="267">
        <v>1</v>
      </c>
      <c r="I80" s="414">
        <f>+G80*E80*H80</f>
        <v>725</v>
      </c>
      <c r="J80" s="414">
        <v>1</v>
      </c>
      <c r="K80" s="414">
        <f t="shared" ref="K80" si="33">+G80*E80*J80</f>
        <v>725</v>
      </c>
      <c r="L80" s="443">
        <v>0</v>
      </c>
      <c r="M80" s="414">
        <v>0</v>
      </c>
      <c r="N80" s="414">
        <v>0</v>
      </c>
      <c r="O80" s="414">
        <v>0</v>
      </c>
      <c r="P80" s="414">
        <v>0</v>
      </c>
      <c r="Q80" s="582">
        <v>0</v>
      </c>
    </row>
    <row r="81" spans="2:18" ht="27" thickBot="1" x14ac:dyDescent="0.9">
      <c r="B81" s="463" t="s">
        <v>323</v>
      </c>
      <c r="C81" s="600">
        <f>SUM(C79:C80)</f>
        <v>275</v>
      </c>
      <c r="D81" s="464">
        <f>SUM(D79:D80)</f>
        <v>6061</v>
      </c>
      <c r="E81" s="464">
        <f>SUM(E79:E80)</f>
        <v>275</v>
      </c>
      <c r="F81" s="464">
        <f>SUM(F79:F80)</f>
        <v>6061</v>
      </c>
      <c r="G81" s="599"/>
      <c r="H81" s="465"/>
      <c r="I81" s="461">
        <f>SUM(I79:I80)</f>
        <v>1375</v>
      </c>
      <c r="J81" s="461">
        <f>0</f>
        <v>0</v>
      </c>
      <c r="K81" s="461">
        <f t="shared" ref="K81:Q81" si="34">SUM(K79:K80)</f>
        <v>1375</v>
      </c>
      <c r="L81" s="461">
        <f t="shared" si="34"/>
        <v>0</v>
      </c>
      <c r="M81" s="461">
        <f t="shared" si="34"/>
        <v>0</v>
      </c>
      <c r="N81" s="461">
        <f t="shared" si="34"/>
        <v>0</v>
      </c>
      <c r="O81" s="461">
        <f t="shared" si="34"/>
        <v>0</v>
      </c>
      <c r="P81" s="461">
        <f t="shared" si="34"/>
        <v>0</v>
      </c>
      <c r="Q81" s="462">
        <f t="shared" si="34"/>
        <v>0</v>
      </c>
      <c r="R81" s="611">
        <f>K81+I81</f>
        <v>2750</v>
      </c>
    </row>
    <row r="82" spans="2:18" x14ac:dyDescent="0.7">
      <c r="B82" s="1241" t="s">
        <v>215</v>
      </c>
      <c r="C82" s="1242"/>
      <c r="D82" s="1242"/>
      <c r="E82" s="1242"/>
      <c r="F82" s="1242"/>
      <c r="G82" s="1242"/>
      <c r="H82" s="1242"/>
      <c r="I82" s="1242"/>
      <c r="J82" s="1242"/>
      <c r="K82" s="1242"/>
      <c r="L82" s="1242"/>
      <c r="M82" s="1242"/>
      <c r="N82" s="1242"/>
      <c r="O82" s="1242"/>
      <c r="P82" s="1242"/>
      <c r="Q82" s="1243"/>
    </row>
    <row r="83" spans="2:18" x14ac:dyDescent="0.7">
      <c r="B83" s="107" t="s">
        <v>160</v>
      </c>
      <c r="C83" s="601">
        <v>115</v>
      </c>
      <c r="D83" s="602">
        <v>2531</v>
      </c>
      <c r="E83" s="414">
        <f>+C83*100%</f>
        <v>115</v>
      </c>
      <c r="F83" s="414">
        <f t="shared" ref="F83:F86" si="35">D83*100%</f>
        <v>2531</v>
      </c>
      <c r="G83" s="414">
        <v>5</v>
      </c>
      <c r="H83" s="414">
        <f>0</f>
        <v>0</v>
      </c>
      <c r="I83" s="414">
        <f>0</f>
        <v>0</v>
      </c>
      <c r="J83" s="414">
        <f>0</f>
        <v>0</v>
      </c>
      <c r="K83" s="414">
        <f>0</f>
        <v>0</v>
      </c>
      <c r="L83" s="267">
        <v>1</v>
      </c>
      <c r="M83" s="414">
        <f>+E83*G83*L83</f>
        <v>575</v>
      </c>
      <c r="N83" s="414">
        <v>1</v>
      </c>
      <c r="O83" s="414">
        <f>+G83*E83*N83</f>
        <v>575</v>
      </c>
      <c r="P83" s="414">
        <v>1</v>
      </c>
      <c r="Q83" s="582">
        <f>+E83*G83*P83</f>
        <v>575</v>
      </c>
    </row>
    <row r="84" spans="2:18" x14ac:dyDescent="0.7">
      <c r="B84" s="107" t="s">
        <v>161</v>
      </c>
      <c r="C84" s="601">
        <v>127</v>
      </c>
      <c r="D84" s="602">
        <v>2803</v>
      </c>
      <c r="E84" s="414">
        <f t="shared" ref="E84:E86" si="36">+C84*100%</f>
        <v>127</v>
      </c>
      <c r="F84" s="414">
        <f t="shared" si="35"/>
        <v>2803</v>
      </c>
      <c r="G84" s="414">
        <v>5</v>
      </c>
      <c r="H84" s="414">
        <f>0</f>
        <v>0</v>
      </c>
      <c r="I84" s="414">
        <f>0</f>
        <v>0</v>
      </c>
      <c r="J84" s="414">
        <f>0</f>
        <v>0</v>
      </c>
      <c r="K84" s="414">
        <f>0</f>
        <v>0</v>
      </c>
      <c r="L84" s="267">
        <v>1</v>
      </c>
      <c r="M84" s="414">
        <f>+E84*G84*L84</f>
        <v>635</v>
      </c>
      <c r="N84" s="414">
        <v>1</v>
      </c>
      <c r="O84" s="414">
        <f t="shared" ref="O84:O86" si="37">+G84*E84*N84</f>
        <v>635</v>
      </c>
      <c r="P84" s="414">
        <v>1</v>
      </c>
      <c r="Q84" s="582">
        <f t="shared" ref="Q84:Q86" si="38">+E84*G84*P84</f>
        <v>635</v>
      </c>
    </row>
    <row r="85" spans="2:18" x14ac:dyDescent="0.7">
      <c r="B85" s="107" t="s">
        <v>162</v>
      </c>
      <c r="C85" s="601">
        <v>128</v>
      </c>
      <c r="D85" s="602">
        <v>2819</v>
      </c>
      <c r="E85" s="414">
        <f t="shared" si="36"/>
        <v>128</v>
      </c>
      <c r="F85" s="414">
        <f t="shared" si="35"/>
        <v>2819</v>
      </c>
      <c r="G85" s="414">
        <v>5</v>
      </c>
      <c r="H85" s="414">
        <f>0</f>
        <v>0</v>
      </c>
      <c r="I85" s="414">
        <f>0</f>
        <v>0</v>
      </c>
      <c r="J85" s="414">
        <f>0</f>
        <v>0</v>
      </c>
      <c r="K85" s="414">
        <f>0</f>
        <v>0</v>
      </c>
      <c r="L85" s="267">
        <v>1</v>
      </c>
      <c r="M85" s="414">
        <f>+E85*G85*L85</f>
        <v>640</v>
      </c>
      <c r="N85" s="414">
        <v>1</v>
      </c>
      <c r="O85" s="414">
        <f t="shared" si="37"/>
        <v>640</v>
      </c>
      <c r="P85" s="414">
        <v>1</v>
      </c>
      <c r="Q85" s="582">
        <f t="shared" si="38"/>
        <v>640</v>
      </c>
    </row>
    <row r="86" spans="2:18" ht="25.2" thickBot="1" x14ac:dyDescent="0.75">
      <c r="B86" s="107" t="s">
        <v>163</v>
      </c>
      <c r="C86" s="601">
        <v>122</v>
      </c>
      <c r="D86" s="602">
        <v>2687</v>
      </c>
      <c r="E86" s="414">
        <f t="shared" si="36"/>
        <v>122</v>
      </c>
      <c r="F86" s="414">
        <f t="shared" si="35"/>
        <v>2687</v>
      </c>
      <c r="G86" s="414">
        <v>5</v>
      </c>
      <c r="H86" s="414">
        <f>0</f>
        <v>0</v>
      </c>
      <c r="I86" s="414">
        <f>0</f>
        <v>0</v>
      </c>
      <c r="J86" s="414">
        <f>0</f>
        <v>0</v>
      </c>
      <c r="K86" s="414">
        <f>0</f>
        <v>0</v>
      </c>
      <c r="L86" s="267">
        <v>1</v>
      </c>
      <c r="M86" s="414">
        <f>+E86*G86*L86</f>
        <v>610</v>
      </c>
      <c r="N86" s="414">
        <v>1</v>
      </c>
      <c r="O86" s="414">
        <f t="shared" si="37"/>
        <v>610</v>
      </c>
      <c r="P86" s="414">
        <v>1</v>
      </c>
      <c r="Q86" s="582">
        <f t="shared" si="38"/>
        <v>610</v>
      </c>
    </row>
    <row r="87" spans="2:18" ht="27" thickBot="1" x14ac:dyDescent="0.9">
      <c r="B87" s="463" t="s">
        <v>324</v>
      </c>
      <c r="C87" s="600">
        <f>SUM(C83:C86)</f>
        <v>492</v>
      </c>
      <c r="D87" s="464">
        <f>SUM(D83:D86)</f>
        <v>10840</v>
      </c>
      <c r="E87" s="464">
        <f>SUM(E83:E86)</f>
        <v>492</v>
      </c>
      <c r="F87" s="464">
        <f>SUM(F83:F86)</f>
        <v>10840</v>
      </c>
      <c r="G87" s="599"/>
      <c r="H87" s="465">
        <f>0</f>
        <v>0</v>
      </c>
      <c r="I87" s="461">
        <f>0</f>
        <v>0</v>
      </c>
      <c r="J87" s="461">
        <f>SUM(J83:J86)</f>
        <v>0</v>
      </c>
      <c r="K87" s="461">
        <f>SUM(K83:K86)</f>
        <v>0</v>
      </c>
      <c r="L87" s="461">
        <f>0</f>
        <v>0</v>
      </c>
      <c r="M87" s="461">
        <f>SUM(M83:M86)</f>
        <v>2460</v>
      </c>
      <c r="N87" s="461">
        <f>0</f>
        <v>0</v>
      </c>
      <c r="O87" s="461">
        <f>SUM(O83:O86)</f>
        <v>2460</v>
      </c>
      <c r="P87" s="461">
        <f>0</f>
        <v>0</v>
      </c>
      <c r="Q87" s="462">
        <f>SUM(Q83:Q86)</f>
        <v>2460</v>
      </c>
      <c r="R87" s="611">
        <f>O87+M87+Q87</f>
        <v>7380</v>
      </c>
    </row>
    <row r="88" spans="2:18" x14ac:dyDescent="0.7">
      <c r="B88" s="1235" t="s">
        <v>233</v>
      </c>
      <c r="C88" s="1236"/>
      <c r="D88" s="1236"/>
      <c r="E88" s="1236"/>
      <c r="F88" s="1236"/>
      <c r="G88" s="1236"/>
      <c r="H88" s="1236"/>
      <c r="I88" s="1236"/>
      <c r="J88" s="1236"/>
      <c r="K88" s="1236"/>
      <c r="L88" s="1236"/>
      <c r="M88" s="1236"/>
      <c r="N88" s="1236"/>
      <c r="O88" s="1236"/>
      <c r="P88" s="1236"/>
      <c r="Q88" s="1237"/>
    </row>
    <row r="89" spans="2:18" x14ac:dyDescent="0.7">
      <c r="B89" s="1238" t="s">
        <v>22</v>
      </c>
      <c r="C89" s="1239"/>
      <c r="D89" s="1239"/>
      <c r="E89" s="1239"/>
      <c r="F89" s="1239"/>
      <c r="G89" s="1239"/>
      <c r="H89" s="1239"/>
      <c r="I89" s="1239"/>
      <c r="J89" s="1239"/>
      <c r="K89" s="1239"/>
      <c r="L89" s="1239"/>
      <c r="M89" s="1239"/>
      <c r="N89" s="1239"/>
      <c r="O89" s="1239"/>
      <c r="P89" s="1239"/>
      <c r="Q89" s="1240"/>
    </row>
    <row r="90" spans="2:18" x14ac:dyDescent="0.7">
      <c r="B90" s="439" t="s">
        <v>174</v>
      </c>
      <c r="C90" s="232">
        <v>111</v>
      </c>
      <c r="D90" s="247">
        <v>2449</v>
      </c>
      <c r="E90" s="414">
        <f>+C90*100%</f>
        <v>111</v>
      </c>
      <c r="F90" s="414">
        <f>D90*100%</f>
        <v>2449</v>
      </c>
      <c r="G90" s="414">
        <v>5</v>
      </c>
      <c r="H90" s="267">
        <v>1</v>
      </c>
      <c r="I90" s="414">
        <f>+G90*E90*H90</f>
        <v>555</v>
      </c>
      <c r="J90" s="414">
        <v>1</v>
      </c>
      <c r="K90" s="414">
        <f>+G90*E90*J90</f>
        <v>555</v>
      </c>
      <c r="L90" s="443">
        <v>0</v>
      </c>
      <c r="M90" s="414">
        <v>0</v>
      </c>
      <c r="N90" s="414">
        <v>0</v>
      </c>
      <c r="O90" s="414">
        <v>0</v>
      </c>
      <c r="P90" s="414">
        <v>0</v>
      </c>
      <c r="Q90" s="582">
        <v>0</v>
      </c>
    </row>
    <row r="91" spans="2:18" x14ac:dyDescent="0.7">
      <c r="B91" s="439" t="s">
        <v>175</v>
      </c>
      <c r="C91" s="232">
        <v>92</v>
      </c>
      <c r="D91" s="247">
        <v>2014</v>
      </c>
      <c r="E91" s="414">
        <f t="shared" ref="E91:E93" si="39">+C91*100%</f>
        <v>92</v>
      </c>
      <c r="F91" s="414">
        <f t="shared" ref="F91:F93" si="40">D91*100%</f>
        <v>2014</v>
      </c>
      <c r="G91" s="414">
        <v>5</v>
      </c>
      <c r="H91" s="267">
        <v>1</v>
      </c>
      <c r="I91" s="414">
        <f t="shared" ref="I91:I93" si="41">+G91*E91*H91</f>
        <v>460</v>
      </c>
      <c r="J91" s="414">
        <v>1</v>
      </c>
      <c r="K91" s="414">
        <f t="shared" ref="K91:K93" si="42">+G91*E91*J91</f>
        <v>460</v>
      </c>
      <c r="L91" s="443"/>
      <c r="M91" s="414"/>
      <c r="N91" s="414"/>
      <c r="O91" s="414"/>
      <c r="P91" s="414"/>
      <c r="Q91" s="582"/>
    </row>
    <row r="92" spans="2:18" x14ac:dyDescent="0.7">
      <c r="B92" s="439" t="s">
        <v>176</v>
      </c>
      <c r="C92" s="232">
        <v>132</v>
      </c>
      <c r="D92" s="247">
        <v>2898</v>
      </c>
      <c r="E92" s="414">
        <f t="shared" si="39"/>
        <v>132</v>
      </c>
      <c r="F92" s="414">
        <f t="shared" si="40"/>
        <v>2898</v>
      </c>
      <c r="G92" s="414">
        <v>5</v>
      </c>
      <c r="H92" s="267">
        <v>1</v>
      </c>
      <c r="I92" s="414">
        <f t="shared" si="41"/>
        <v>660</v>
      </c>
      <c r="J92" s="414">
        <v>1</v>
      </c>
      <c r="K92" s="414">
        <f t="shared" si="42"/>
        <v>660</v>
      </c>
      <c r="L92" s="443"/>
      <c r="M92" s="414"/>
      <c r="N92" s="414"/>
      <c r="O92" s="414"/>
      <c r="P92" s="414"/>
      <c r="Q92" s="582"/>
    </row>
    <row r="93" spans="2:18" ht="25.2" thickBot="1" x14ac:dyDescent="0.75">
      <c r="B93" s="629" t="s">
        <v>177</v>
      </c>
      <c r="C93" s="228">
        <v>107</v>
      </c>
      <c r="D93" s="279">
        <v>2364</v>
      </c>
      <c r="E93" s="414">
        <f t="shared" si="39"/>
        <v>107</v>
      </c>
      <c r="F93" s="414">
        <f t="shared" si="40"/>
        <v>2364</v>
      </c>
      <c r="G93" s="414">
        <v>5</v>
      </c>
      <c r="H93" s="267">
        <v>1</v>
      </c>
      <c r="I93" s="414">
        <f t="shared" si="41"/>
        <v>535</v>
      </c>
      <c r="J93" s="414">
        <v>1</v>
      </c>
      <c r="K93" s="414">
        <f t="shared" si="42"/>
        <v>535</v>
      </c>
      <c r="L93" s="443">
        <v>0</v>
      </c>
      <c r="M93" s="414">
        <v>0</v>
      </c>
      <c r="N93" s="414">
        <v>0</v>
      </c>
      <c r="O93" s="414">
        <v>0</v>
      </c>
      <c r="P93" s="414">
        <v>0</v>
      </c>
      <c r="Q93" s="582">
        <v>0</v>
      </c>
    </row>
    <row r="94" spans="2:18" ht="27" thickBot="1" x14ac:dyDescent="0.9">
      <c r="B94" s="463" t="s">
        <v>323</v>
      </c>
      <c r="C94" s="600">
        <f>SUM(C90:C93)</f>
        <v>442</v>
      </c>
      <c r="D94" s="464">
        <f>SUM(D90:D93)</f>
        <v>9725</v>
      </c>
      <c r="E94" s="464">
        <f>SUM(E90:E93)</f>
        <v>442</v>
      </c>
      <c r="F94" s="464">
        <f>SUM(F90:F93)</f>
        <v>9725</v>
      </c>
      <c r="G94" s="599"/>
      <c r="H94" s="465"/>
      <c r="I94" s="461">
        <f>SUM(I90:I93)</f>
        <v>2210</v>
      </c>
      <c r="J94" s="461">
        <f>0</f>
        <v>0</v>
      </c>
      <c r="K94" s="461">
        <f t="shared" ref="K94:Q94" si="43">SUM(K90:K93)</f>
        <v>2210</v>
      </c>
      <c r="L94" s="461">
        <f t="shared" si="43"/>
        <v>0</v>
      </c>
      <c r="M94" s="461">
        <f t="shared" si="43"/>
        <v>0</v>
      </c>
      <c r="N94" s="461">
        <f t="shared" si="43"/>
        <v>0</v>
      </c>
      <c r="O94" s="461">
        <f t="shared" si="43"/>
        <v>0</v>
      </c>
      <c r="P94" s="461">
        <f t="shared" si="43"/>
        <v>0</v>
      </c>
      <c r="Q94" s="462">
        <f t="shared" si="43"/>
        <v>0</v>
      </c>
      <c r="R94" s="611">
        <f>K94+I94</f>
        <v>4420</v>
      </c>
    </row>
    <row r="95" spans="2:18" x14ac:dyDescent="0.7">
      <c r="B95" s="1241" t="s">
        <v>215</v>
      </c>
      <c r="C95" s="1242"/>
      <c r="D95" s="1242"/>
      <c r="E95" s="1242"/>
      <c r="F95" s="1242"/>
      <c r="G95" s="1242"/>
      <c r="H95" s="1242"/>
      <c r="I95" s="1242"/>
      <c r="J95" s="1242"/>
      <c r="K95" s="1242"/>
      <c r="L95" s="1242"/>
      <c r="M95" s="1242"/>
      <c r="N95" s="1242"/>
      <c r="O95" s="1242"/>
      <c r="P95" s="1242"/>
      <c r="Q95" s="1243"/>
    </row>
    <row r="96" spans="2:18" x14ac:dyDescent="0.7">
      <c r="B96" s="107" t="s">
        <v>168</v>
      </c>
      <c r="C96" s="601">
        <v>116</v>
      </c>
      <c r="D96" s="602">
        <v>2550</v>
      </c>
      <c r="E96" s="414">
        <f>+C96*100%</f>
        <v>116</v>
      </c>
      <c r="F96" s="414">
        <f t="shared" ref="F96:F100" si="44">D96*100%</f>
        <v>2550</v>
      </c>
      <c r="G96" s="414">
        <v>5</v>
      </c>
      <c r="H96" s="414">
        <f>0</f>
        <v>0</v>
      </c>
      <c r="I96" s="414">
        <f>0</f>
        <v>0</v>
      </c>
      <c r="J96" s="414">
        <f>0</f>
        <v>0</v>
      </c>
      <c r="K96" s="414">
        <f>0</f>
        <v>0</v>
      </c>
      <c r="L96" s="267">
        <v>1</v>
      </c>
      <c r="M96" s="414">
        <f>+E96*G96*L96</f>
        <v>580</v>
      </c>
      <c r="N96" s="414">
        <v>1</v>
      </c>
      <c r="O96" s="414">
        <f>+G96*E96*N96</f>
        <v>580</v>
      </c>
      <c r="P96" s="414">
        <v>1</v>
      </c>
      <c r="Q96" s="582">
        <f>+E96*G96*P96</f>
        <v>580</v>
      </c>
    </row>
    <row r="97" spans="2:18" x14ac:dyDescent="0.7">
      <c r="B97" s="107" t="s">
        <v>169</v>
      </c>
      <c r="C97" s="601">
        <v>130</v>
      </c>
      <c r="D97" s="602">
        <v>2854</v>
      </c>
      <c r="E97" s="414">
        <f t="shared" ref="E97:E100" si="45">+C97*100%</f>
        <v>130</v>
      </c>
      <c r="F97" s="414">
        <f t="shared" si="44"/>
        <v>2854</v>
      </c>
      <c r="G97" s="414">
        <v>5</v>
      </c>
      <c r="H97" s="414">
        <f>0</f>
        <v>0</v>
      </c>
      <c r="I97" s="414">
        <f>0</f>
        <v>0</v>
      </c>
      <c r="J97" s="414">
        <f>0</f>
        <v>0</v>
      </c>
      <c r="K97" s="414">
        <f>0</f>
        <v>0</v>
      </c>
      <c r="L97" s="267">
        <v>1</v>
      </c>
      <c r="M97" s="414">
        <f t="shared" ref="M97:M100" si="46">+E97*G97*L97</f>
        <v>650</v>
      </c>
      <c r="N97" s="414">
        <v>1</v>
      </c>
      <c r="O97" s="414">
        <f t="shared" ref="O97:O100" si="47">+G97*E97*N97</f>
        <v>650</v>
      </c>
      <c r="P97" s="414">
        <v>1</v>
      </c>
      <c r="Q97" s="582">
        <f t="shared" ref="Q97:Q100" si="48">+E97*G97*P97</f>
        <v>650</v>
      </c>
    </row>
    <row r="98" spans="2:18" x14ac:dyDescent="0.7">
      <c r="B98" s="107" t="s">
        <v>170</v>
      </c>
      <c r="C98" s="601">
        <v>141</v>
      </c>
      <c r="D98" s="602">
        <v>3111</v>
      </c>
      <c r="E98" s="414">
        <f t="shared" si="45"/>
        <v>141</v>
      </c>
      <c r="F98" s="414">
        <f t="shared" si="44"/>
        <v>3111</v>
      </c>
      <c r="G98" s="414">
        <v>5</v>
      </c>
      <c r="H98" s="414">
        <f>0</f>
        <v>0</v>
      </c>
      <c r="I98" s="414">
        <f>0</f>
        <v>0</v>
      </c>
      <c r="J98" s="414">
        <f>0</f>
        <v>0</v>
      </c>
      <c r="K98" s="414">
        <f>0</f>
        <v>0</v>
      </c>
      <c r="L98" s="267">
        <v>1</v>
      </c>
      <c r="M98" s="414">
        <f t="shared" si="46"/>
        <v>705</v>
      </c>
      <c r="N98" s="414">
        <v>1</v>
      </c>
      <c r="O98" s="414">
        <f t="shared" si="47"/>
        <v>705</v>
      </c>
      <c r="P98" s="414">
        <v>1</v>
      </c>
      <c r="Q98" s="582">
        <f t="shared" si="48"/>
        <v>705</v>
      </c>
    </row>
    <row r="99" spans="2:18" x14ac:dyDescent="0.7">
      <c r="B99" s="107" t="s">
        <v>172</v>
      </c>
      <c r="C99" s="601">
        <v>136</v>
      </c>
      <c r="D99" s="602">
        <v>2999</v>
      </c>
      <c r="E99" s="414">
        <f>+C99*100%</f>
        <v>136</v>
      </c>
      <c r="F99" s="414">
        <f t="shared" si="44"/>
        <v>2999</v>
      </c>
      <c r="G99" s="414">
        <v>5</v>
      </c>
      <c r="H99" s="414">
        <f>0</f>
        <v>0</v>
      </c>
      <c r="I99" s="414">
        <f>0</f>
        <v>0</v>
      </c>
      <c r="J99" s="414">
        <f>0</f>
        <v>0</v>
      </c>
      <c r="K99" s="414">
        <f>0</f>
        <v>0</v>
      </c>
      <c r="L99" s="267">
        <v>1</v>
      </c>
      <c r="M99" s="414">
        <f t="shared" si="46"/>
        <v>680</v>
      </c>
      <c r="N99" s="414">
        <v>1</v>
      </c>
      <c r="O99" s="414">
        <f t="shared" si="47"/>
        <v>680</v>
      </c>
      <c r="P99" s="414">
        <v>1</v>
      </c>
      <c r="Q99" s="582">
        <f t="shared" si="48"/>
        <v>680</v>
      </c>
    </row>
    <row r="100" spans="2:18" ht="25.2" thickBot="1" x14ac:dyDescent="0.75">
      <c r="B100" s="632" t="s">
        <v>319</v>
      </c>
      <c r="C100" s="605">
        <v>90</v>
      </c>
      <c r="D100" s="606">
        <v>1970</v>
      </c>
      <c r="E100" s="414">
        <f t="shared" si="45"/>
        <v>90</v>
      </c>
      <c r="F100" s="414">
        <f t="shared" si="44"/>
        <v>1970</v>
      </c>
      <c r="G100" s="414">
        <v>5</v>
      </c>
      <c r="H100" s="414">
        <f>0</f>
        <v>0</v>
      </c>
      <c r="I100" s="414">
        <f>0</f>
        <v>0</v>
      </c>
      <c r="J100" s="414">
        <f>0</f>
        <v>0</v>
      </c>
      <c r="K100" s="414">
        <f>0</f>
        <v>0</v>
      </c>
      <c r="L100" s="267">
        <v>1</v>
      </c>
      <c r="M100" s="414">
        <f t="shared" si="46"/>
        <v>450</v>
      </c>
      <c r="N100" s="414">
        <v>1</v>
      </c>
      <c r="O100" s="414">
        <f t="shared" si="47"/>
        <v>450</v>
      </c>
      <c r="P100" s="414">
        <v>1</v>
      </c>
      <c r="Q100" s="582">
        <f t="shared" si="48"/>
        <v>450</v>
      </c>
    </row>
    <row r="101" spans="2:18" ht="27" thickBot="1" x14ac:dyDescent="0.9">
      <c r="B101" s="463" t="s">
        <v>324</v>
      </c>
      <c r="C101" s="600">
        <f>SUM(C96:C99)</f>
        <v>523</v>
      </c>
      <c r="D101" s="464">
        <f>SUM(D96:D100)</f>
        <v>13484</v>
      </c>
      <c r="E101" s="464">
        <f>SUM(E96:E100)</f>
        <v>613</v>
      </c>
      <c r="F101" s="464">
        <f>SUM(F96:F100)</f>
        <v>13484</v>
      </c>
      <c r="G101" s="599"/>
      <c r="H101" s="465">
        <f>0</f>
        <v>0</v>
      </c>
      <c r="I101" s="461">
        <f>0</f>
        <v>0</v>
      </c>
      <c r="J101" s="461">
        <f>SUM(J96:J99)</f>
        <v>0</v>
      </c>
      <c r="K101" s="461">
        <f>SUM(K96:K99)</f>
        <v>0</v>
      </c>
      <c r="L101" s="461">
        <f>0</f>
        <v>0</v>
      </c>
      <c r="M101" s="461">
        <f>SUM(M96:M100)</f>
        <v>3065</v>
      </c>
      <c r="N101" s="461">
        <f>0</f>
        <v>0</v>
      </c>
      <c r="O101" s="461">
        <f>SUM(O96:O100)</f>
        <v>3065</v>
      </c>
      <c r="P101" s="461">
        <f>0</f>
        <v>0</v>
      </c>
      <c r="Q101" s="462">
        <f>SUM(Q96:Q100)</f>
        <v>3065</v>
      </c>
      <c r="R101" s="611">
        <f>O101+M101+Q101</f>
        <v>9195</v>
      </c>
    </row>
    <row r="102" spans="2:18" x14ac:dyDescent="0.7">
      <c r="B102" s="1235" t="s">
        <v>235</v>
      </c>
      <c r="C102" s="1236"/>
      <c r="D102" s="1236"/>
      <c r="E102" s="1236"/>
      <c r="F102" s="1236"/>
      <c r="G102" s="1236"/>
      <c r="H102" s="1236"/>
      <c r="I102" s="1236"/>
      <c r="J102" s="1236"/>
      <c r="K102" s="1236"/>
      <c r="L102" s="1236"/>
      <c r="M102" s="1236"/>
      <c r="N102" s="1236"/>
      <c r="O102" s="1236"/>
      <c r="P102" s="1236"/>
      <c r="Q102" s="1237"/>
    </row>
    <row r="103" spans="2:18" x14ac:dyDescent="0.7">
      <c r="B103" s="1238" t="s">
        <v>22</v>
      </c>
      <c r="C103" s="1239"/>
      <c r="D103" s="1239"/>
      <c r="E103" s="1239"/>
      <c r="F103" s="1239"/>
      <c r="G103" s="1239"/>
      <c r="H103" s="1239"/>
      <c r="I103" s="1239"/>
      <c r="J103" s="1239"/>
      <c r="K103" s="1239"/>
      <c r="L103" s="1239"/>
      <c r="M103" s="1239"/>
      <c r="N103" s="1239"/>
      <c r="O103" s="1239"/>
      <c r="P103" s="1239"/>
      <c r="Q103" s="1240"/>
    </row>
    <row r="104" spans="2:18" x14ac:dyDescent="0.7">
      <c r="B104" s="439" t="s">
        <v>178</v>
      </c>
      <c r="C104" s="232">
        <v>3</v>
      </c>
      <c r="D104" s="247">
        <v>61</v>
      </c>
      <c r="E104" s="414">
        <f t="shared" ref="E104:E108" si="49">+C104*100%</f>
        <v>3</v>
      </c>
      <c r="F104" s="414">
        <f>D104*100%</f>
        <v>61</v>
      </c>
      <c r="G104" s="414">
        <v>5</v>
      </c>
      <c r="H104" s="267">
        <v>1</v>
      </c>
      <c r="I104" s="414">
        <f>+G104*E104*H104</f>
        <v>15</v>
      </c>
      <c r="J104" s="414">
        <v>1</v>
      </c>
      <c r="K104" s="414">
        <f>+G104*E104*J104</f>
        <v>15</v>
      </c>
      <c r="L104" s="443">
        <v>0</v>
      </c>
      <c r="M104" s="414">
        <v>0</v>
      </c>
      <c r="N104" s="414">
        <v>0</v>
      </c>
      <c r="O104" s="414">
        <v>0</v>
      </c>
      <c r="P104" s="414">
        <v>0</v>
      </c>
      <c r="Q104" s="582">
        <v>0</v>
      </c>
    </row>
    <row r="105" spans="2:18" x14ac:dyDescent="0.7">
      <c r="B105" s="439" t="s">
        <v>179</v>
      </c>
      <c r="C105" s="232">
        <v>8</v>
      </c>
      <c r="D105" s="247">
        <v>171</v>
      </c>
      <c r="E105" s="414">
        <f t="shared" si="49"/>
        <v>8</v>
      </c>
      <c r="F105" s="414">
        <f t="shared" ref="F105:F108" si="50">D105*100%</f>
        <v>171</v>
      </c>
      <c r="G105" s="414">
        <v>5</v>
      </c>
      <c r="H105" s="267">
        <v>1</v>
      </c>
      <c r="I105" s="414">
        <f>+G105*E105*H105</f>
        <v>40</v>
      </c>
      <c r="J105" s="414">
        <v>1</v>
      </c>
      <c r="K105" s="414">
        <f>+G105*E105*J105</f>
        <v>40</v>
      </c>
      <c r="L105" s="443"/>
      <c r="M105" s="414"/>
      <c r="N105" s="414"/>
      <c r="O105" s="414"/>
      <c r="P105" s="414"/>
      <c r="Q105" s="582"/>
    </row>
    <row r="106" spans="2:18" x14ac:dyDescent="0.7">
      <c r="B106" s="439" t="s">
        <v>180</v>
      </c>
      <c r="C106" s="232">
        <v>11</v>
      </c>
      <c r="D106" s="247">
        <v>241</v>
      </c>
      <c r="E106" s="414">
        <f t="shared" si="49"/>
        <v>11</v>
      </c>
      <c r="F106" s="414">
        <f t="shared" si="50"/>
        <v>241</v>
      </c>
      <c r="G106" s="414">
        <v>5</v>
      </c>
      <c r="H106" s="267">
        <v>1</v>
      </c>
      <c r="I106" s="414">
        <f t="shared" ref="I106:I107" si="51">+G106*E106*H106</f>
        <v>55</v>
      </c>
      <c r="J106" s="414">
        <v>1</v>
      </c>
      <c r="K106" s="414">
        <f t="shared" ref="K106:K107" si="52">+G106*E106*J106</f>
        <v>55</v>
      </c>
      <c r="L106" s="443"/>
      <c r="M106" s="414"/>
      <c r="N106" s="414"/>
      <c r="O106" s="414"/>
      <c r="P106" s="414"/>
      <c r="Q106" s="582"/>
    </row>
    <row r="107" spans="2:18" x14ac:dyDescent="0.7">
      <c r="B107" s="439" t="s">
        <v>181</v>
      </c>
      <c r="C107" s="232">
        <v>140</v>
      </c>
      <c r="D107" s="247">
        <v>3070</v>
      </c>
      <c r="E107" s="414">
        <f t="shared" si="49"/>
        <v>140</v>
      </c>
      <c r="F107" s="414">
        <f t="shared" si="50"/>
        <v>3070</v>
      </c>
      <c r="G107" s="414">
        <v>5</v>
      </c>
      <c r="H107" s="267">
        <v>1</v>
      </c>
      <c r="I107" s="414">
        <f t="shared" si="51"/>
        <v>700</v>
      </c>
      <c r="J107" s="414">
        <v>1</v>
      </c>
      <c r="K107" s="414">
        <f t="shared" si="52"/>
        <v>700</v>
      </c>
      <c r="L107" s="443"/>
      <c r="M107" s="414"/>
      <c r="N107" s="414"/>
      <c r="O107" s="414"/>
      <c r="P107" s="414"/>
      <c r="Q107" s="582"/>
    </row>
    <row r="108" spans="2:18" ht="25.2" thickBot="1" x14ac:dyDescent="0.75">
      <c r="B108" s="439" t="s">
        <v>182</v>
      </c>
      <c r="C108" s="232">
        <v>149</v>
      </c>
      <c r="D108" s="247">
        <v>3270</v>
      </c>
      <c r="E108" s="414">
        <f t="shared" si="49"/>
        <v>149</v>
      </c>
      <c r="F108" s="414">
        <f t="shared" si="50"/>
        <v>3270</v>
      </c>
      <c r="G108" s="414">
        <v>5</v>
      </c>
      <c r="H108" s="267">
        <v>1</v>
      </c>
      <c r="I108" s="414">
        <f>+G108*E108*H108</f>
        <v>745</v>
      </c>
      <c r="J108" s="414">
        <v>1</v>
      </c>
      <c r="K108" s="414">
        <f>+G108*E108*J108</f>
        <v>745</v>
      </c>
      <c r="L108" s="443"/>
      <c r="M108" s="414"/>
      <c r="N108" s="414"/>
      <c r="O108" s="414"/>
      <c r="P108" s="414"/>
      <c r="Q108" s="582"/>
    </row>
    <row r="109" spans="2:18" ht="27" thickBot="1" x14ac:dyDescent="0.9">
      <c r="B109" s="463" t="s">
        <v>323</v>
      </c>
      <c r="C109" s="600">
        <f>SUM(C104:C108)</f>
        <v>311</v>
      </c>
      <c r="D109" s="464">
        <f>SUM(D104:D108)</f>
        <v>6813</v>
      </c>
      <c r="E109" s="464">
        <f>SUM(E104:E108)</f>
        <v>311</v>
      </c>
      <c r="F109" s="464">
        <f>SUM(F104:F108)</f>
        <v>6813</v>
      </c>
      <c r="G109" s="599"/>
      <c r="H109" s="465"/>
      <c r="I109" s="461">
        <f>SUM(I104:I108)</f>
        <v>1555</v>
      </c>
      <c r="J109" s="461">
        <f>0</f>
        <v>0</v>
      </c>
      <c r="K109" s="461">
        <f t="shared" ref="K109:Q109" si="53">SUM(K104:K108)</f>
        <v>1555</v>
      </c>
      <c r="L109" s="461">
        <f t="shared" si="53"/>
        <v>0</v>
      </c>
      <c r="M109" s="461">
        <f t="shared" si="53"/>
        <v>0</v>
      </c>
      <c r="N109" s="461">
        <f t="shared" si="53"/>
        <v>0</v>
      </c>
      <c r="O109" s="461">
        <f t="shared" si="53"/>
        <v>0</v>
      </c>
      <c r="P109" s="461">
        <f t="shared" si="53"/>
        <v>0</v>
      </c>
      <c r="Q109" s="462">
        <f t="shared" si="53"/>
        <v>0</v>
      </c>
      <c r="R109" s="611">
        <f>K109+I109</f>
        <v>3110</v>
      </c>
    </row>
    <row r="110" spans="2:18" x14ac:dyDescent="0.7">
      <c r="B110" s="1241" t="s">
        <v>215</v>
      </c>
      <c r="C110" s="1242"/>
      <c r="D110" s="1242"/>
      <c r="E110" s="1242"/>
      <c r="F110" s="1242"/>
      <c r="G110" s="1242"/>
      <c r="H110" s="1242"/>
      <c r="I110" s="1242"/>
      <c r="J110" s="1242"/>
      <c r="K110" s="1242"/>
      <c r="L110" s="1242"/>
      <c r="M110" s="1242"/>
      <c r="N110" s="1242"/>
      <c r="O110" s="1242"/>
      <c r="P110" s="1242"/>
      <c r="Q110" s="1243"/>
    </row>
    <row r="111" spans="2:18" x14ac:dyDescent="0.7">
      <c r="B111" s="252" t="s">
        <v>187</v>
      </c>
      <c r="C111" s="122">
        <v>99</v>
      </c>
      <c r="D111" s="293">
        <v>2167</v>
      </c>
      <c r="E111" s="414">
        <f>+C111*100%</f>
        <v>99</v>
      </c>
      <c r="F111" s="414">
        <f t="shared" ref="F111:F113" si="54">D111*100%</f>
        <v>2167</v>
      </c>
      <c r="G111" s="414">
        <v>5</v>
      </c>
      <c r="H111" s="414">
        <f>0</f>
        <v>0</v>
      </c>
      <c r="I111" s="414">
        <f>0</f>
        <v>0</v>
      </c>
      <c r="J111" s="414">
        <f>0</f>
        <v>0</v>
      </c>
      <c r="K111" s="414">
        <f>0</f>
        <v>0</v>
      </c>
      <c r="L111" s="267">
        <v>1</v>
      </c>
      <c r="M111" s="414">
        <f>+E111*G111*L111</f>
        <v>495</v>
      </c>
      <c r="N111" s="414">
        <v>1</v>
      </c>
      <c r="O111" s="414">
        <f>+G111*E111*N111</f>
        <v>495</v>
      </c>
      <c r="P111" s="414">
        <v>1</v>
      </c>
      <c r="Q111" s="582">
        <f>+E111*G111*P111</f>
        <v>495</v>
      </c>
    </row>
    <row r="112" spans="2:18" x14ac:dyDescent="0.7">
      <c r="B112" s="253" t="s">
        <v>189</v>
      </c>
      <c r="C112" s="124">
        <v>105</v>
      </c>
      <c r="D112" s="297">
        <v>2320</v>
      </c>
      <c r="E112" s="414">
        <f t="shared" ref="E112:E113" si="55">+C112*100%</f>
        <v>105</v>
      </c>
      <c r="F112" s="414">
        <f t="shared" si="54"/>
        <v>2320</v>
      </c>
      <c r="G112" s="414">
        <v>5</v>
      </c>
      <c r="H112" s="414">
        <f>0</f>
        <v>0</v>
      </c>
      <c r="I112" s="414">
        <f>0</f>
        <v>0</v>
      </c>
      <c r="J112" s="414">
        <f>0</f>
        <v>0</v>
      </c>
      <c r="K112" s="414">
        <f>0</f>
        <v>0</v>
      </c>
      <c r="L112" s="267">
        <v>1</v>
      </c>
      <c r="M112" s="414">
        <f>+E112*G112*L112</f>
        <v>525</v>
      </c>
      <c r="N112" s="414">
        <v>1</v>
      </c>
      <c r="O112" s="414">
        <f t="shared" ref="O112:O113" si="56">+G112*E112*N112</f>
        <v>525</v>
      </c>
      <c r="P112" s="414">
        <v>1</v>
      </c>
      <c r="Q112" s="582">
        <f t="shared" ref="Q112:Q113" si="57">+E112*G112*P112</f>
        <v>525</v>
      </c>
    </row>
    <row r="113" spans="2:18" ht="25.2" thickBot="1" x14ac:dyDescent="0.75">
      <c r="B113" s="107" t="s">
        <v>190</v>
      </c>
      <c r="C113" s="601">
        <v>130</v>
      </c>
      <c r="D113" s="602">
        <v>2865</v>
      </c>
      <c r="E113" s="414">
        <f t="shared" si="55"/>
        <v>130</v>
      </c>
      <c r="F113" s="414">
        <f t="shared" si="54"/>
        <v>2865</v>
      </c>
      <c r="G113" s="414">
        <v>5</v>
      </c>
      <c r="H113" s="414">
        <f>0</f>
        <v>0</v>
      </c>
      <c r="I113" s="414">
        <f>0</f>
        <v>0</v>
      </c>
      <c r="J113" s="414">
        <f>0</f>
        <v>0</v>
      </c>
      <c r="K113" s="414">
        <f>0</f>
        <v>0</v>
      </c>
      <c r="L113" s="267">
        <v>1</v>
      </c>
      <c r="M113" s="414">
        <f>+E113*G113*L113</f>
        <v>650</v>
      </c>
      <c r="N113" s="414">
        <v>1</v>
      </c>
      <c r="O113" s="414">
        <f t="shared" si="56"/>
        <v>650</v>
      </c>
      <c r="P113" s="414">
        <v>1</v>
      </c>
      <c r="Q113" s="582">
        <f t="shared" si="57"/>
        <v>650</v>
      </c>
    </row>
    <row r="114" spans="2:18" ht="27" thickBot="1" x14ac:dyDescent="0.9">
      <c r="B114" s="463" t="s">
        <v>324</v>
      </c>
      <c r="C114" s="600">
        <f>SUM(C111:C113)</f>
        <v>334</v>
      </c>
      <c r="D114" s="464">
        <f>SUM(D111:D113)</f>
        <v>7352</v>
      </c>
      <c r="E114" s="464">
        <f>SUM(E111:E113)</f>
        <v>334</v>
      </c>
      <c r="F114" s="464">
        <f>SUM(F111:F113)</f>
        <v>7352</v>
      </c>
      <c r="G114" s="599"/>
      <c r="H114" s="465">
        <f>0</f>
        <v>0</v>
      </c>
      <c r="I114" s="461">
        <f>0</f>
        <v>0</v>
      </c>
      <c r="J114" s="461">
        <f>SUM(J111:J113)</f>
        <v>0</v>
      </c>
      <c r="K114" s="461">
        <f>SUM(K111:K113)</f>
        <v>0</v>
      </c>
      <c r="L114" s="461">
        <f>0</f>
        <v>0</v>
      </c>
      <c r="M114" s="461">
        <f>SUM(M111:M113)</f>
        <v>1670</v>
      </c>
      <c r="N114" s="461">
        <f>0</f>
        <v>0</v>
      </c>
      <c r="O114" s="461">
        <f>SUM(O111:O113)</f>
        <v>1670</v>
      </c>
      <c r="P114" s="461">
        <f>0</f>
        <v>0</v>
      </c>
      <c r="Q114" s="462">
        <f>SUM(Q111:Q113)</f>
        <v>1670</v>
      </c>
      <c r="R114" s="611">
        <f>O114+M114+Q114</f>
        <v>5010</v>
      </c>
    </row>
    <row r="115" spans="2:18" x14ac:dyDescent="0.7">
      <c r="B115" s="1235" t="s">
        <v>320</v>
      </c>
      <c r="C115" s="1236"/>
      <c r="D115" s="1236"/>
      <c r="E115" s="1236"/>
      <c r="F115" s="1236"/>
      <c r="G115" s="1236"/>
      <c r="H115" s="1236"/>
      <c r="I115" s="1236"/>
      <c r="J115" s="1236"/>
      <c r="K115" s="1236"/>
      <c r="L115" s="1236"/>
      <c r="M115" s="1236"/>
      <c r="N115" s="1236"/>
      <c r="O115" s="1236"/>
      <c r="P115" s="1236"/>
      <c r="Q115" s="1237"/>
    </row>
    <row r="116" spans="2:18" x14ac:dyDescent="0.7">
      <c r="B116" s="1238" t="s">
        <v>22</v>
      </c>
      <c r="C116" s="1239"/>
      <c r="D116" s="1239"/>
      <c r="E116" s="1239"/>
      <c r="F116" s="1239"/>
      <c r="G116" s="1239"/>
      <c r="H116" s="1239"/>
      <c r="I116" s="1239"/>
      <c r="J116" s="1239"/>
      <c r="K116" s="1239"/>
      <c r="L116" s="1239"/>
      <c r="M116" s="1239"/>
      <c r="N116" s="1239"/>
      <c r="O116" s="1239"/>
      <c r="P116" s="1239"/>
      <c r="Q116" s="1240"/>
    </row>
    <row r="117" spans="2:18" x14ac:dyDescent="0.7">
      <c r="B117" s="252" t="s">
        <v>183</v>
      </c>
      <c r="C117" s="122">
        <v>144</v>
      </c>
      <c r="D117" s="293">
        <v>3171</v>
      </c>
      <c r="E117" s="414">
        <f>+C117*100%</f>
        <v>144</v>
      </c>
      <c r="F117" s="414">
        <f t="shared" ref="F117:F118" si="58">D117*100%</f>
        <v>3171</v>
      </c>
      <c r="G117" s="414">
        <v>5</v>
      </c>
      <c r="H117" s="414">
        <v>1</v>
      </c>
      <c r="I117" s="414">
        <f>+G117*E117*H117</f>
        <v>720</v>
      </c>
      <c r="J117" s="414">
        <v>1</v>
      </c>
      <c r="K117" s="414">
        <f>+G117*E117*J117</f>
        <v>720</v>
      </c>
      <c r="L117" s="414">
        <f>0</f>
        <v>0</v>
      </c>
      <c r="M117" s="414">
        <f>0</f>
        <v>0</v>
      </c>
      <c r="N117" s="414">
        <f>0</f>
        <v>0</v>
      </c>
      <c r="O117" s="414">
        <f>0</f>
        <v>0</v>
      </c>
      <c r="P117" s="414">
        <f>0</f>
        <v>0</v>
      </c>
      <c r="Q117" s="582">
        <f>0</f>
        <v>0</v>
      </c>
    </row>
    <row r="118" spans="2:18" ht="25.2" thickBot="1" x14ac:dyDescent="0.75">
      <c r="B118" s="253" t="s">
        <v>184</v>
      </c>
      <c r="C118" s="124">
        <v>134</v>
      </c>
      <c r="D118" s="297">
        <v>2950</v>
      </c>
      <c r="E118" s="414">
        <f t="shared" ref="E118" si="59">+C118*100%</f>
        <v>134</v>
      </c>
      <c r="F118" s="414">
        <f t="shared" si="58"/>
        <v>2950</v>
      </c>
      <c r="G118" s="414">
        <v>5</v>
      </c>
      <c r="H118" s="414">
        <v>1</v>
      </c>
      <c r="I118" s="414">
        <f>+G118*E118*H118</f>
        <v>670</v>
      </c>
      <c r="J118" s="414">
        <v>1</v>
      </c>
      <c r="K118" s="414">
        <f>+G118*E118*J118</f>
        <v>670</v>
      </c>
      <c r="L118" s="414">
        <f>0</f>
        <v>0</v>
      </c>
      <c r="M118" s="414">
        <f>0</f>
        <v>0</v>
      </c>
      <c r="N118" s="414">
        <f>0</f>
        <v>0</v>
      </c>
      <c r="O118" s="414">
        <f>0</f>
        <v>0</v>
      </c>
      <c r="P118" s="414">
        <f>0</f>
        <v>0</v>
      </c>
      <c r="Q118" s="582">
        <f>0</f>
        <v>0</v>
      </c>
    </row>
    <row r="119" spans="2:18" ht="27" thickBot="1" x14ac:dyDescent="0.9">
      <c r="B119" s="463" t="s">
        <v>324</v>
      </c>
      <c r="C119" s="600">
        <f>SUM(C117:C118)</f>
        <v>278</v>
      </c>
      <c r="D119" s="464">
        <f>SUM(D117:D118)</f>
        <v>6121</v>
      </c>
      <c r="E119" s="464">
        <f>SUM(E117:E118)</f>
        <v>278</v>
      </c>
      <c r="F119" s="464">
        <f>SUM(F117:F118)</f>
        <v>6121</v>
      </c>
      <c r="G119" s="599"/>
      <c r="H119" s="465">
        <f>0</f>
        <v>0</v>
      </c>
      <c r="I119" s="461">
        <f>I117+I118</f>
        <v>1390</v>
      </c>
      <c r="J119" s="461">
        <f>0</f>
        <v>0</v>
      </c>
      <c r="K119" s="461">
        <f>SUM(K117:K118)</f>
        <v>1390</v>
      </c>
      <c r="L119" s="461">
        <f>0</f>
        <v>0</v>
      </c>
      <c r="M119" s="461">
        <f>SUM(M117:M118)</f>
        <v>0</v>
      </c>
      <c r="N119" s="461">
        <f>0</f>
        <v>0</v>
      </c>
      <c r="O119" s="461">
        <f>SUM(O117:O118)</f>
        <v>0</v>
      </c>
      <c r="P119" s="461">
        <f>0</f>
        <v>0</v>
      </c>
      <c r="Q119" s="462">
        <f>SUM(Q117:Q118)</f>
        <v>0</v>
      </c>
      <c r="R119" s="611">
        <f>K119+I119</f>
        <v>2780</v>
      </c>
    </row>
    <row r="120" spans="2:18" x14ac:dyDescent="0.7">
      <c r="B120" s="1241" t="s">
        <v>215</v>
      </c>
      <c r="C120" s="1242"/>
      <c r="D120" s="1242"/>
      <c r="E120" s="1242"/>
      <c r="F120" s="1242"/>
      <c r="G120" s="1242"/>
      <c r="H120" s="1242"/>
      <c r="I120" s="1242"/>
      <c r="J120" s="1242"/>
      <c r="K120" s="1242"/>
      <c r="L120" s="1242"/>
      <c r="M120" s="1242"/>
      <c r="N120" s="1242"/>
      <c r="O120" s="1242"/>
      <c r="P120" s="1242"/>
      <c r="Q120" s="1243"/>
    </row>
    <row r="121" spans="2:18" x14ac:dyDescent="0.7">
      <c r="B121" s="252" t="s">
        <v>305</v>
      </c>
      <c r="C121" s="122">
        <v>86</v>
      </c>
      <c r="D121" s="293">
        <v>1892</v>
      </c>
      <c r="E121" s="414">
        <f>+C121*100%</f>
        <v>86</v>
      </c>
      <c r="F121" s="414">
        <f t="shared" ref="F121:F127" si="60">D121*100%</f>
        <v>1892</v>
      </c>
      <c r="G121" s="414">
        <v>5</v>
      </c>
      <c r="H121" s="414">
        <f>0</f>
        <v>0</v>
      </c>
      <c r="I121" s="414">
        <f>0</f>
        <v>0</v>
      </c>
      <c r="J121" s="414">
        <f>0</f>
        <v>0</v>
      </c>
      <c r="K121" s="414">
        <f>0</f>
        <v>0</v>
      </c>
      <c r="L121" s="267">
        <v>1</v>
      </c>
      <c r="M121" s="414">
        <f>+E121*G121*L121</f>
        <v>430</v>
      </c>
      <c r="N121" s="414">
        <v>1</v>
      </c>
      <c r="O121" s="414">
        <f>+G121*E121*N121</f>
        <v>430</v>
      </c>
      <c r="P121" s="414">
        <f>0</f>
        <v>0</v>
      </c>
      <c r="Q121" s="582">
        <f>0</f>
        <v>0</v>
      </c>
    </row>
    <row r="122" spans="2:18" x14ac:dyDescent="0.7">
      <c r="B122" s="253" t="s">
        <v>306</v>
      </c>
      <c r="C122" s="124">
        <v>77</v>
      </c>
      <c r="D122" s="297">
        <v>1686</v>
      </c>
      <c r="E122" s="414">
        <f t="shared" ref="E122:E127" si="61">+C122*100%</f>
        <v>77</v>
      </c>
      <c r="F122" s="414">
        <f t="shared" si="60"/>
        <v>1686</v>
      </c>
      <c r="G122" s="414">
        <v>5</v>
      </c>
      <c r="H122" s="414">
        <f>0</f>
        <v>0</v>
      </c>
      <c r="I122" s="414">
        <f>0</f>
        <v>0</v>
      </c>
      <c r="J122" s="414">
        <f>0</f>
        <v>0</v>
      </c>
      <c r="K122" s="414">
        <f>0</f>
        <v>0</v>
      </c>
      <c r="L122" s="267">
        <v>1</v>
      </c>
      <c r="M122" s="414">
        <f t="shared" ref="M122:M123" si="62">+E122*G122*L122</f>
        <v>385</v>
      </c>
      <c r="N122" s="414">
        <v>1</v>
      </c>
      <c r="O122" s="414">
        <f t="shared" ref="O122:O123" si="63">+G122*E122*N122</f>
        <v>385</v>
      </c>
      <c r="P122" s="414">
        <f>0</f>
        <v>0</v>
      </c>
      <c r="Q122" s="582">
        <f>0</f>
        <v>0</v>
      </c>
    </row>
    <row r="123" spans="2:18" x14ac:dyDescent="0.7">
      <c r="B123" s="633" t="s">
        <v>307</v>
      </c>
      <c r="C123" s="124">
        <v>63</v>
      </c>
      <c r="D123" s="297">
        <v>1380</v>
      </c>
      <c r="E123" s="414">
        <f t="shared" si="61"/>
        <v>63</v>
      </c>
      <c r="F123" s="414">
        <f t="shared" si="60"/>
        <v>1380</v>
      </c>
      <c r="G123" s="414">
        <v>5</v>
      </c>
      <c r="H123" s="414">
        <f>0</f>
        <v>0</v>
      </c>
      <c r="I123" s="414">
        <f>0</f>
        <v>0</v>
      </c>
      <c r="J123" s="414">
        <f>0</f>
        <v>0</v>
      </c>
      <c r="K123" s="414">
        <f>0</f>
        <v>0</v>
      </c>
      <c r="L123" s="267">
        <v>1</v>
      </c>
      <c r="M123" s="414">
        <f t="shared" si="62"/>
        <v>315</v>
      </c>
      <c r="N123" s="414">
        <v>1</v>
      </c>
      <c r="O123" s="414">
        <f t="shared" si="63"/>
        <v>315</v>
      </c>
      <c r="P123" s="414">
        <f>0</f>
        <v>0</v>
      </c>
      <c r="Q123" s="582">
        <f>0</f>
        <v>0</v>
      </c>
    </row>
    <row r="124" spans="2:18" x14ac:dyDescent="0.7">
      <c r="B124" s="633" t="s">
        <v>308</v>
      </c>
      <c r="C124" s="124">
        <v>53</v>
      </c>
      <c r="D124" s="297">
        <v>1168</v>
      </c>
      <c r="E124" s="414">
        <f t="shared" si="61"/>
        <v>53</v>
      </c>
      <c r="F124" s="414">
        <f t="shared" si="60"/>
        <v>1168</v>
      </c>
      <c r="G124" s="414">
        <v>5</v>
      </c>
      <c r="H124" s="414">
        <f>0</f>
        <v>0</v>
      </c>
      <c r="I124" s="414">
        <f>0</f>
        <v>0</v>
      </c>
      <c r="J124" s="414">
        <f>0</f>
        <v>0</v>
      </c>
      <c r="K124" s="414">
        <f>0</f>
        <v>0</v>
      </c>
      <c r="L124" s="267">
        <v>1</v>
      </c>
      <c r="M124" s="414">
        <f t="shared" ref="M124:M127" si="64">+E124*G124*L124</f>
        <v>265</v>
      </c>
      <c r="N124" s="414">
        <v>1</v>
      </c>
      <c r="O124" s="414">
        <f>+G124*E124*N124</f>
        <v>265</v>
      </c>
      <c r="P124" s="414">
        <v>1</v>
      </c>
      <c r="Q124" s="582">
        <f t="shared" ref="Q124" si="65">+E124*G124*P124</f>
        <v>265</v>
      </c>
    </row>
    <row r="125" spans="2:18" x14ac:dyDescent="0.7">
      <c r="B125" s="633" t="s">
        <v>309</v>
      </c>
      <c r="C125" s="124">
        <v>34</v>
      </c>
      <c r="D125" s="297">
        <v>751</v>
      </c>
      <c r="E125" s="414">
        <f t="shared" si="61"/>
        <v>34</v>
      </c>
      <c r="F125" s="414">
        <f t="shared" si="60"/>
        <v>751</v>
      </c>
      <c r="G125" s="414">
        <v>5</v>
      </c>
      <c r="H125" s="414">
        <f>0</f>
        <v>0</v>
      </c>
      <c r="I125" s="414">
        <f>0</f>
        <v>0</v>
      </c>
      <c r="J125" s="414">
        <f>0</f>
        <v>0</v>
      </c>
      <c r="K125" s="414">
        <f>0</f>
        <v>0</v>
      </c>
      <c r="L125" s="267">
        <v>1</v>
      </c>
      <c r="M125" s="414">
        <f t="shared" si="64"/>
        <v>170</v>
      </c>
      <c r="N125" s="414">
        <v>1</v>
      </c>
      <c r="O125" s="414">
        <f t="shared" ref="O125:O127" si="66">+G125*E125*N125</f>
        <v>170</v>
      </c>
      <c r="P125" s="414">
        <v>1</v>
      </c>
      <c r="Q125" s="582">
        <f t="shared" ref="Q125:Q127" si="67">+E125*G125*P125</f>
        <v>170</v>
      </c>
    </row>
    <row r="126" spans="2:18" x14ac:dyDescent="0.7">
      <c r="B126" s="633" t="s">
        <v>310</v>
      </c>
      <c r="C126" s="124">
        <v>70</v>
      </c>
      <c r="D126" s="297">
        <v>1547</v>
      </c>
      <c r="E126" s="414">
        <f t="shared" si="61"/>
        <v>70</v>
      </c>
      <c r="F126" s="414">
        <f t="shared" si="60"/>
        <v>1547</v>
      </c>
      <c r="G126" s="414">
        <v>5</v>
      </c>
      <c r="H126" s="414">
        <f>0</f>
        <v>0</v>
      </c>
      <c r="I126" s="414">
        <f>0</f>
        <v>0</v>
      </c>
      <c r="J126" s="414">
        <f>0</f>
        <v>0</v>
      </c>
      <c r="K126" s="414">
        <f>0</f>
        <v>0</v>
      </c>
      <c r="L126" s="267">
        <v>1</v>
      </c>
      <c r="M126" s="414">
        <f t="shared" si="64"/>
        <v>350</v>
      </c>
      <c r="N126" s="414">
        <v>1</v>
      </c>
      <c r="O126" s="414">
        <f t="shared" si="66"/>
        <v>350</v>
      </c>
      <c r="P126" s="414">
        <v>1</v>
      </c>
      <c r="Q126" s="582">
        <f t="shared" si="67"/>
        <v>350</v>
      </c>
    </row>
    <row r="127" spans="2:18" ht="25.2" thickBot="1" x14ac:dyDescent="0.75">
      <c r="B127" s="107" t="s">
        <v>311</v>
      </c>
      <c r="C127" s="601">
        <v>7</v>
      </c>
      <c r="D127" s="602">
        <v>145</v>
      </c>
      <c r="E127" s="414">
        <f t="shared" si="61"/>
        <v>7</v>
      </c>
      <c r="F127" s="414">
        <f t="shared" si="60"/>
        <v>145</v>
      </c>
      <c r="G127" s="414">
        <v>5</v>
      </c>
      <c r="H127" s="414">
        <f>0</f>
        <v>0</v>
      </c>
      <c r="I127" s="414">
        <f>0</f>
        <v>0</v>
      </c>
      <c r="J127" s="414">
        <f>0</f>
        <v>0</v>
      </c>
      <c r="K127" s="414">
        <f>0</f>
        <v>0</v>
      </c>
      <c r="L127" s="267">
        <v>1</v>
      </c>
      <c r="M127" s="414">
        <f t="shared" si="64"/>
        <v>35</v>
      </c>
      <c r="N127" s="414">
        <v>1</v>
      </c>
      <c r="O127" s="414">
        <f t="shared" si="66"/>
        <v>35</v>
      </c>
      <c r="P127" s="414">
        <v>1</v>
      </c>
      <c r="Q127" s="582">
        <f t="shared" si="67"/>
        <v>35</v>
      </c>
    </row>
    <row r="128" spans="2:18" ht="27" thickBot="1" x14ac:dyDescent="0.9">
      <c r="B128" s="463" t="s">
        <v>324</v>
      </c>
      <c r="C128" s="600">
        <f>SUM(C121:C127)</f>
        <v>390</v>
      </c>
      <c r="D128" s="464">
        <f>SUM(D121:D127)</f>
        <v>8569</v>
      </c>
      <c r="E128" s="464">
        <f>SUM(E121:E127)</f>
        <v>390</v>
      </c>
      <c r="F128" s="464">
        <f>SUM(F121:F127)</f>
        <v>8569</v>
      </c>
      <c r="G128" s="599"/>
      <c r="H128" s="465">
        <f>0</f>
        <v>0</v>
      </c>
      <c r="I128" s="461">
        <f>0</f>
        <v>0</v>
      </c>
      <c r="J128" s="461">
        <f>SUM(J121:J127)</f>
        <v>0</v>
      </c>
      <c r="K128" s="461">
        <f>SUM(K121:K127)</f>
        <v>0</v>
      </c>
      <c r="L128" s="461">
        <f>0</f>
        <v>0</v>
      </c>
      <c r="M128" s="461">
        <f>SUM(M121:M127)</f>
        <v>1950</v>
      </c>
      <c r="N128" s="461">
        <f>0</f>
        <v>0</v>
      </c>
      <c r="O128" s="461">
        <f>SUM(O121:O127)</f>
        <v>1950</v>
      </c>
      <c r="P128" s="461">
        <f>0</f>
        <v>0</v>
      </c>
      <c r="Q128" s="462">
        <f>SUM(Q121:Q127)</f>
        <v>820</v>
      </c>
      <c r="R128" s="611">
        <f>O128+M128+Q128</f>
        <v>4720</v>
      </c>
    </row>
  </sheetData>
  <mergeCells count="36">
    <mergeCell ref="B115:Q115"/>
    <mergeCell ref="B116:Q116"/>
    <mergeCell ref="B120:Q120"/>
    <mergeCell ref="B89:Q89"/>
    <mergeCell ref="B95:Q95"/>
    <mergeCell ref="B102:Q102"/>
    <mergeCell ref="B103:Q103"/>
    <mergeCell ref="B110:Q110"/>
    <mergeCell ref="B6:Q6"/>
    <mergeCell ref="B77:Q77"/>
    <mergeCell ref="B78:Q78"/>
    <mergeCell ref="B82:Q82"/>
    <mergeCell ref="B88:Q88"/>
    <mergeCell ref="B45:Q45"/>
    <mergeCell ref="B51:Q51"/>
    <mergeCell ref="B52:Q52"/>
    <mergeCell ref="B57:Q57"/>
    <mergeCell ref="B70:Q70"/>
    <mergeCell ref="B64:Q64"/>
    <mergeCell ref="B65:Q65"/>
    <mergeCell ref="S3:AA3"/>
    <mergeCell ref="B18:Q18"/>
    <mergeCell ref="B1:Q1"/>
    <mergeCell ref="B9:Q9"/>
    <mergeCell ref="B10:Q10"/>
    <mergeCell ref="B17:Q17"/>
    <mergeCell ref="H3:K3"/>
    <mergeCell ref="B2:B4"/>
    <mergeCell ref="C2:C4"/>
    <mergeCell ref="D2:D4"/>
    <mergeCell ref="E2:E4"/>
    <mergeCell ref="F2:F4"/>
    <mergeCell ref="H2:Q2"/>
    <mergeCell ref="L3:Q3"/>
    <mergeCell ref="G2:G4"/>
    <mergeCell ref="B5:Q5"/>
  </mergeCells>
  <pageMargins left="0.17" right="0.23622047244094491" top="0.39370078740157483" bottom="0.74803149606299213" header="0.31496062992125984" footer="0.31496062992125984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1:S10"/>
  <sheetViews>
    <sheetView zoomScale="80" zoomScaleNormal="80" workbookViewId="0">
      <pane ySplit="4" topLeftCell="A5" activePane="bottomLeft" state="frozen"/>
      <selection pane="bottomLeft" activeCell="F13" sqref="F13"/>
    </sheetView>
  </sheetViews>
  <sheetFormatPr defaultRowHeight="24.6" x14ac:dyDescent="0.7"/>
  <cols>
    <col min="1" max="1" width="0.8984375" customWidth="1"/>
    <col min="2" max="6" width="20.59765625" customWidth="1"/>
    <col min="7" max="7" width="20.59765625" style="150" customWidth="1"/>
    <col min="8" max="9" width="20.59765625" customWidth="1"/>
  </cols>
  <sheetData>
    <row r="1" spans="2:19" ht="33" x14ac:dyDescent="0.9">
      <c r="B1" s="1244" t="s">
        <v>342</v>
      </c>
      <c r="C1" s="1244"/>
      <c r="D1" s="1244"/>
      <c r="E1" s="1244"/>
      <c r="F1" s="1244"/>
      <c r="G1" s="1244"/>
      <c r="H1" s="1244"/>
      <c r="I1" s="1244"/>
    </row>
    <row r="2" spans="2:19" ht="28.8" x14ac:dyDescent="0.7">
      <c r="B2" s="1248" t="s">
        <v>204</v>
      </c>
      <c r="C2" s="1248" t="s">
        <v>1</v>
      </c>
      <c r="D2" s="1248" t="s">
        <v>2</v>
      </c>
      <c r="E2" s="1249" t="s">
        <v>205</v>
      </c>
      <c r="F2" s="1247" t="s">
        <v>206</v>
      </c>
      <c r="G2" s="1246" t="s">
        <v>338</v>
      </c>
      <c r="H2" s="1247" t="s">
        <v>3</v>
      </c>
      <c r="I2" s="1247"/>
    </row>
    <row r="3" spans="2:19" ht="28.8" x14ac:dyDescent="0.7">
      <c r="B3" s="1248"/>
      <c r="C3" s="1248"/>
      <c r="D3" s="1248"/>
      <c r="E3" s="1249"/>
      <c r="F3" s="1247"/>
      <c r="G3" s="1246"/>
      <c r="H3" s="1247" t="s">
        <v>22</v>
      </c>
      <c r="I3" s="1247"/>
      <c r="K3" s="880" t="s">
        <v>421</v>
      </c>
      <c r="L3" s="880"/>
      <c r="M3" s="880"/>
      <c r="N3" s="880"/>
      <c r="O3" s="880"/>
      <c r="P3" s="880"/>
      <c r="Q3" s="880"/>
      <c r="R3" s="880"/>
      <c r="S3" s="880"/>
    </row>
    <row r="4" spans="2:19" ht="33" x14ac:dyDescent="0.9">
      <c r="B4" s="1248"/>
      <c r="C4" s="1248"/>
      <c r="D4" s="1248"/>
      <c r="E4" s="1249"/>
      <c r="F4" s="1247"/>
      <c r="G4" s="1246"/>
      <c r="H4" s="478" t="s">
        <v>339</v>
      </c>
      <c r="I4" s="479" t="s">
        <v>335</v>
      </c>
    </row>
    <row r="5" spans="2:19" ht="33" x14ac:dyDescent="0.9">
      <c r="B5" s="480" t="s">
        <v>320</v>
      </c>
      <c r="C5" s="481"/>
      <c r="D5" s="481"/>
      <c r="E5" s="481"/>
      <c r="F5" s="481"/>
      <c r="G5" s="482"/>
      <c r="H5" s="481"/>
      <c r="I5" s="481"/>
    </row>
    <row r="6" spans="2:19" ht="33" x14ac:dyDescent="0.9">
      <c r="B6" s="483" t="s">
        <v>218</v>
      </c>
      <c r="C6" s="484"/>
      <c r="D6" s="484"/>
      <c r="E6" s="484"/>
      <c r="F6" s="484"/>
      <c r="G6" s="485"/>
      <c r="H6" s="484"/>
      <c r="I6" s="484"/>
    </row>
    <row r="7" spans="2:19" ht="33" x14ac:dyDescent="0.9">
      <c r="B7" s="486" t="s">
        <v>183</v>
      </c>
      <c r="C7" s="487">
        <v>144</v>
      </c>
      <c r="D7" s="488">
        <v>3171</v>
      </c>
      <c r="E7" s="489">
        <v>0</v>
      </c>
      <c r="F7" s="489">
        <v>0</v>
      </c>
      <c r="G7" s="489">
        <v>5</v>
      </c>
      <c r="H7" s="487">
        <v>1</v>
      </c>
      <c r="I7" s="489">
        <f>+G7*C7*H7</f>
        <v>720</v>
      </c>
    </row>
    <row r="8" spans="2:19" ht="33" x14ac:dyDescent="0.9">
      <c r="B8" s="486" t="s">
        <v>184</v>
      </c>
      <c r="C8" s="487">
        <v>134</v>
      </c>
      <c r="D8" s="488">
        <v>2950</v>
      </c>
      <c r="E8" s="489">
        <v>0</v>
      </c>
      <c r="F8" s="489">
        <v>0</v>
      </c>
      <c r="G8" s="489">
        <v>5</v>
      </c>
      <c r="H8" s="487">
        <v>1</v>
      </c>
      <c r="I8" s="489">
        <f>+G8*C8* H8</f>
        <v>670</v>
      </c>
    </row>
    <row r="9" spans="2:19" s="493" customFormat="1" ht="30" customHeight="1" x14ac:dyDescent="0.7">
      <c r="B9" s="490" t="s">
        <v>340</v>
      </c>
      <c r="C9" s="491">
        <f>SUM(C7:C8)</f>
        <v>278</v>
      </c>
      <c r="D9" s="492">
        <f>SUM(D7:D8)</f>
        <v>6121</v>
      </c>
      <c r="E9" s="492"/>
      <c r="F9" s="492"/>
      <c r="G9" s="492"/>
      <c r="H9" s="491"/>
      <c r="I9" s="494">
        <f>SUM(I7:I8)</f>
        <v>1390</v>
      </c>
    </row>
    <row r="10" spans="2:19" ht="30.6" x14ac:dyDescent="0.7">
      <c r="B10" s="1245" t="s">
        <v>341</v>
      </c>
      <c r="C10" s="1245"/>
      <c r="D10" s="1245"/>
      <c r="E10" s="1245"/>
      <c r="F10" s="1245"/>
      <c r="G10" s="1245"/>
      <c r="H10" s="1245"/>
      <c r="I10" s="495">
        <f>I9</f>
        <v>1390</v>
      </c>
      <c r="L10" s="477"/>
    </row>
  </sheetData>
  <mergeCells count="11">
    <mergeCell ref="K3:S3"/>
    <mergeCell ref="B1:I1"/>
    <mergeCell ref="B10:H10"/>
    <mergeCell ref="G2:G4"/>
    <mergeCell ref="H2:I2"/>
    <mergeCell ref="H3:I3"/>
    <mergeCell ref="B2:B4"/>
    <mergeCell ref="C2:C4"/>
    <mergeCell ref="D2:D4"/>
    <mergeCell ref="E2:E4"/>
    <mergeCell ref="F2:F4"/>
  </mergeCells>
  <pageMargins left="0.25" right="0.25" top="0.63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T38"/>
  <sheetViews>
    <sheetView zoomScale="80" zoomScaleNormal="80" workbookViewId="0">
      <pane ySplit="3" topLeftCell="A28" activePane="bottomLeft" state="frozen"/>
      <selection pane="bottomLeft" activeCell="L4" sqref="L4:T4"/>
    </sheetView>
  </sheetViews>
  <sheetFormatPr defaultRowHeight="24" customHeight="1" x14ac:dyDescent="0.7"/>
  <cols>
    <col min="1" max="1" width="25" customWidth="1"/>
    <col min="2" max="2" width="11.09765625" customWidth="1"/>
    <col min="3" max="3" width="11.09765625" style="641" customWidth="1"/>
    <col min="4" max="4" width="13.19921875" customWidth="1"/>
    <col min="5" max="8" width="11.19921875" customWidth="1"/>
    <col min="9" max="10" width="13.19921875" customWidth="1"/>
  </cols>
  <sheetData>
    <row r="1" spans="1:20" ht="31.5" customHeight="1" x14ac:dyDescent="0.7">
      <c r="A1" s="1252" t="s">
        <v>356</v>
      </c>
      <c r="B1" s="1253"/>
      <c r="C1" s="1253"/>
      <c r="D1" s="1253"/>
      <c r="E1" s="1253"/>
      <c r="F1" s="1253"/>
      <c r="G1" s="1253"/>
      <c r="H1" s="1253"/>
      <c r="I1" s="1253"/>
      <c r="J1" s="1254"/>
    </row>
    <row r="2" spans="1:20" ht="24" customHeight="1" x14ac:dyDescent="0.7">
      <c r="A2" s="1014" t="s">
        <v>204</v>
      </c>
      <c r="B2" s="1014" t="s">
        <v>1</v>
      </c>
      <c r="C2" s="1256" t="s">
        <v>2</v>
      </c>
      <c r="D2" s="1258" t="s">
        <v>347</v>
      </c>
      <c r="E2" s="1260" t="s">
        <v>348</v>
      </c>
      <c r="F2" s="1260" t="s">
        <v>349</v>
      </c>
      <c r="G2" s="1260" t="s">
        <v>350</v>
      </c>
      <c r="H2" s="1260" t="s">
        <v>351</v>
      </c>
      <c r="I2" s="1250" t="s">
        <v>34</v>
      </c>
      <c r="J2" s="1250" t="s">
        <v>352</v>
      </c>
    </row>
    <row r="3" spans="1:20" ht="24" customHeight="1" thickBot="1" x14ac:dyDescent="0.75">
      <c r="A3" s="1255"/>
      <c r="B3" s="1255"/>
      <c r="C3" s="1257"/>
      <c r="D3" s="1259"/>
      <c r="E3" s="1258"/>
      <c r="F3" s="1258"/>
      <c r="G3" s="1258"/>
      <c r="H3" s="1258"/>
      <c r="I3" s="1251"/>
      <c r="J3" s="1251"/>
    </row>
    <row r="4" spans="1:20" ht="24" customHeight="1" thickBot="1" x14ac:dyDescent="0.75">
      <c r="A4" s="1261" t="s">
        <v>233</v>
      </c>
      <c r="B4" s="1262"/>
      <c r="C4" s="1262"/>
      <c r="D4" s="1262"/>
      <c r="E4" s="1262"/>
      <c r="F4" s="1262"/>
      <c r="G4" s="1262"/>
      <c r="H4" s="1262"/>
      <c r="I4" s="1262"/>
      <c r="J4" s="1263"/>
      <c r="L4" s="880" t="s">
        <v>422</v>
      </c>
      <c r="M4" s="880"/>
      <c r="N4" s="880"/>
      <c r="O4" s="880"/>
      <c r="P4" s="880"/>
      <c r="Q4" s="880"/>
      <c r="R4" s="880"/>
      <c r="S4" s="880"/>
      <c r="T4" s="880"/>
    </row>
    <row r="5" spans="1:20" ht="24" customHeight="1" x14ac:dyDescent="0.7">
      <c r="A5" s="1264" t="s">
        <v>27</v>
      </c>
      <c r="B5" s="1264"/>
      <c r="C5" s="1264"/>
      <c r="D5" s="1264"/>
      <c r="E5" s="1264"/>
      <c r="F5" s="1264"/>
      <c r="G5" s="1264"/>
      <c r="H5" s="1264"/>
      <c r="I5" s="1264"/>
      <c r="J5" s="1264"/>
    </row>
    <row r="6" spans="1:20" ht="24" customHeight="1" x14ac:dyDescent="0.7">
      <c r="A6" s="634" t="s">
        <v>168</v>
      </c>
      <c r="B6" s="634">
        <v>116</v>
      </c>
      <c r="C6" s="635">
        <v>2550</v>
      </c>
      <c r="D6" s="1265">
        <f>I11</f>
        <v>124</v>
      </c>
      <c r="E6" s="634">
        <f>ROUND(B6/10,0)</f>
        <v>12</v>
      </c>
      <c r="F6" s="634">
        <f>ROUND(B6/10,0)</f>
        <v>12</v>
      </c>
      <c r="G6" s="634"/>
      <c r="H6" s="634"/>
      <c r="I6" s="634">
        <f>SUM(E6:H6)</f>
        <v>24</v>
      </c>
      <c r="J6" s="634"/>
    </row>
    <row r="7" spans="1:20" ht="24" customHeight="1" x14ac:dyDescent="0.7">
      <c r="A7" s="634" t="s">
        <v>169</v>
      </c>
      <c r="B7" s="634">
        <v>130</v>
      </c>
      <c r="C7" s="635">
        <v>2854</v>
      </c>
      <c r="D7" s="1265"/>
      <c r="E7" s="634">
        <f t="shared" ref="E7:E10" si="0">ROUND(B7/10,0)</f>
        <v>13</v>
      </c>
      <c r="F7" s="634">
        <f t="shared" ref="F7:F10" si="1">ROUND(B7/10,0)</f>
        <v>13</v>
      </c>
      <c r="G7" s="634"/>
      <c r="H7" s="634"/>
      <c r="I7" s="634">
        <f t="shared" ref="I7:I10" si="2">SUM(E7:H7)</f>
        <v>26</v>
      </c>
      <c r="J7" s="634"/>
    </row>
    <row r="8" spans="1:20" ht="24" customHeight="1" x14ac:dyDescent="0.7">
      <c r="A8" s="634" t="s">
        <v>170</v>
      </c>
      <c r="B8" s="634">
        <v>141</v>
      </c>
      <c r="C8" s="635">
        <v>3111</v>
      </c>
      <c r="D8" s="1265"/>
      <c r="E8" s="634">
        <f t="shared" si="0"/>
        <v>14</v>
      </c>
      <c r="F8" s="634">
        <f t="shared" si="1"/>
        <v>14</v>
      </c>
      <c r="G8" s="634"/>
      <c r="H8" s="634"/>
      <c r="I8" s="634">
        <f t="shared" si="2"/>
        <v>28</v>
      </c>
      <c r="J8" s="634"/>
    </row>
    <row r="9" spans="1:20" ht="24" customHeight="1" x14ac:dyDescent="0.7">
      <c r="A9" s="634" t="s">
        <v>172</v>
      </c>
      <c r="B9" s="634">
        <v>136</v>
      </c>
      <c r="C9" s="635">
        <v>2999</v>
      </c>
      <c r="D9" s="1265"/>
      <c r="E9" s="634">
        <f t="shared" si="0"/>
        <v>14</v>
      </c>
      <c r="F9" s="634">
        <f t="shared" si="1"/>
        <v>14</v>
      </c>
      <c r="G9" s="634"/>
      <c r="H9" s="634"/>
      <c r="I9" s="634">
        <f t="shared" si="2"/>
        <v>28</v>
      </c>
      <c r="J9" s="634"/>
    </row>
    <row r="10" spans="1:20" ht="24" customHeight="1" x14ac:dyDescent="0.7">
      <c r="A10" s="634" t="s">
        <v>319</v>
      </c>
      <c r="B10" s="634">
        <v>90</v>
      </c>
      <c r="C10" s="635">
        <v>1970</v>
      </c>
      <c r="D10" s="1265"/>
      <c r="E10" s="634">
        <f t="shared" si="0"/>
        <v>9</v>
      </c>
      <c r="F10" s="634">
        <f t="shared" si="1"/>
        <v>9</v>
      </c>
      <c r="G10" s="634"/>
      <c r="H10" s="634"/>
      <c r="I10" s="634">
        <f t="shared" si="2"/>
        <v>18</v>
      </c>
      <c r="J10" s="634"/>
    </row>
    <row r="11" spans="1:20" ht="24" customHeight="1" thickBot="1" x14ac:dyDescent="0.75">
      <c r="A11" s="636" t="s">
        <v>353</v>
      </c>
      <c r="B11" s="636">
        <f>SUM(B6:B10)</f>
        <v>613</v>
      </c>
      <c r="C11" s="637">
        <f>SUM(C6:C10)</f>
        <v>13484</v>
      </c>
      <c r="D11" s="1265"/>
      <c r="E11" s="636">
        <f>SUM(E6:E10)</f>
        <v>62</v>
      </c>
      <c r="F11" s="636">
        <f>E11</f>
        <v>62</v>
      </c>
      <c r="G11" s="636">
        <f>0</f>
        <v>0</v>
      </c>
      <c r="H11" s="636">
        <f>0</f>
        <v>0</v>
      </c>
      <c r="I11" s="639">
        <f>SUM(I6:I10)</f>
        <v>124</v>
      </c>
      <c r="J11" s="636"/>
    </row>
    <row r="12" spans="1:20" ht="24" customHeight="1" x14ac:dyDescent="0.7">
      <c r="A12" s="1268" t="s">
        <v>235</v>
      </c>
      <c r="B12" s="1269"/>
      <c r="C12" s="1269"/>
      <c r="D12" s="1269"/>
      <c r="E12" s="1269"/>
      <c r="F12" s="1269"/>
      <c r="G12" s="1269"/>
      <c r="H12" s="1269"/>
      <c r="I12" s="1269"/>
      <c r="J12" s="1270"/>
    </row>
    <row r="13" spans="1:20" ht="24" customHeight="1" x14ac:dyDescent="0.7">
      <c r="A13" s="1266" t="s">
        <v>22</v>
      </c>
      <c r="B13" s="1266"/>
      <c r="C13" s="1266"/>
      <c r="D13" s="1266"/>
      <c r="E13" s="1266"/>
      <c r="F13" s="1266"/>
      <c r="G13" s="1266"/>
      <c r="H13" s="1266"/>
      <c r="I13" s="1266"/>
      <c r="J13" s="1266"/>
    </row>
    <row r="14" spans="1:20" ht="24" customHeight="1" x14ac:dyDescent="0.7">
      <c r="A14" s="634" t="s">
        <v>178</v>
      </c>
      <c r="B14" s="634">
        <v>3</v>
      </c>
      <c r="C14" s="635">
        <v>61</v>
      </c>
      <c r="D14" s="1265">
        <f>I19</f>
        <v>124</v>
      </c>
      <c r="E14" s="634">
        <v>0</v>
      </c>
      <c r="F14" s="634">
        <v>0</v>
      </c>
      <c r="G14" s="634">
        <v>0</v>
      </c>
      <c r="H14" s="634">
        <v>0</v>
      </c>
      <c r="I14" s="634">
        <f>SUM(E14:H14)</f>
        <v>0</v>
      </c>
      <c r="J14" s="634"/>
    </row>
    <row r="15" spans="1:20" ht="24" customHeight="1" x14ac:dyDescent="0.7">
      <c r="A15" s="634" t="s">
        <v>179</v>
      </c>
      <c r="B15" s="634">
        <v>8</v>
      </c>
      <c r="C15" s="635">
        <v>171</v>
      </c>
      <c r="D15" s="1265"/>
      <c r="E15" s="634">
        <v>1</v>
      </c>
      <c r="F15" s="634">
        <f t="shared" ref="F15:F18" si="3">ROUND(B15/10,0)</f>
        <v>1</v>
      </c>
      <c r="G15" s="634">
        <f t="shared" ref="G15:G18" si="4">ROUND(B15/10,0)</f>
        <v>1</v>
      </c>
      <c r="H15" s="634">
        <f t="shared" ref="H15:H18" si="5">ROUND(B15/10,0)</f>
        <v>1</v>
      </c>
      <c r="I15" s="634">
        <f t="shared" ref="I15:I18" si="6">SUM(E15:H15)</f>
        <v>4</v>
      </c>
      <c r="J15" s="634"/>
    </row>
    <row r="16" spans="1:20" ht="24" customHeight="1" x14ac:dyDescent="0.7">
      <c r="A16" s="634" t="s">
        <v>180</v>
      </c>
      <c r="B16" s="634">
        <v>11</v>
      </c>
      <c r="C16" s="635">
        <v>241</v>
      </c>
      <c r="D16" s="1265"/>
      <c r="E16" s="634">
        <f>ROUND(B16/10,0)</f>
        <v>1</v>
      </c>
      <c r="F16" s="634">
        <f t="shared" si="3"/>
        <v>1</v>
      </c>
      <c r="G16" s="634">
        <f t="shared" si="4"/>
        <v>1</v>
      </c>
      <c r="H16" s="634">
        <f t="shared" si="5"/>
        <v>1</v>
      </c>
      <c r="I16" s="634">
        <f t="shared" si="6"/>
        <v>4</v>
      </c>
      <c r="J16" s="634"/>
    </row>
    <row r="17" spans="1:10" ht="24" customHeight="1" x14ac:dyDescent="0.7">
      <c r="A17" s="634" t="s">
        <v>181</v>
      </c>
      <c r="B17" s="634">
        <v>140</v>
      </c>
      <c r="C17" s="635">
        <v>3070</v>
      </c>
      <c r="D17" s="1265"/>
      <c r="E17" s="634">
        <f>ROUND(B17/10,0)</f>
        <v>14</v>
      </c>
      <c r="F17" s="634">
        <f t="shared" si="3"/>
        <v>14</v>
      </c>
      <c r="G17" s="634">
        <f t="shared" si="4"/>
        <v>14</v>
      </c>
      <c r="H17" s="634">
        <f t="shared" si="5"/>
        <v>14</v>
      </c>
      <c r="I17" s="634">
        <f t="shared" si="6"/>
        <v>56</v>
      </c>
      <c r="J17" s="634"/>
    </row>
    <row r="18" spans="1:10" ht="24" customHeight="1" x14ac:dyDescent="0.7">
      <c r="A18" s="634" t="s">
        <v>182</v>
      </c>
      <c r="B18" s="634">
        <v>149</v>
      </c>
      <c r="C18" s="635">
        <v>3270</v>
      </c>
      <c r="D18" s="1265"/>
      <c r="E18" s="634">
        <f>ROUND(B18/10,0)</f>
        <v>15</v>
      </c>
      <c r="F18" s="634">
        <f t="shared" si="3"/>
        <v>15</v>
      </c>
      <c r="G18" s="634">
        <f t="shared" si="4"/>
        <v>15</v>
      </c>
      <c r="H18" s="634">
        <f t="shared" si="5"/>
        <v>15</v>
      </c>
      <c r="I18" s="634">
        <f t="shared" si="6"/>
        <v>60</v>
      </c>
      <c r="J18" s="634"/>
    </row>
    <row r="19" spans="1:10" ht="24" customHeight="1" x14ac:dyDescent="0.7">
      <c r="A19" s="643" t="s">
        <v>355</v>
      </c>
      <c r="B19" s="643">
        <f>SUM(B14:B18)</f>
        <v>311</v>
      </c>
      <c r="C19" s="644">
        <f>SUM(C14:C18)</f>
        <v>6813</v>
      </c>
      <c r="D19" s="1265"/>
      <c r="E19" s="643">
        <f>SUM(E14:E18)</f>
        <v>31</v>
      </c>
      <c r="F19" s="643">
        <f>SUM(F14:F18)</f>
        <v>31</v>
      </c>
      <c r="G19" s="643">
        <f>SUM(G14:G18)</f>
        <v>31</v>
      </c>
      <c r="H19" s="643">
        <f>SUM(H14:H18)</f>
        <v>31</v>
      </c>
      <c r="I19" s="645">
        <f>SUM(I14:I18)</f>
        <v>124</v>
      </c>
      <c r="J19" s="643"/>
    </row>
    <row r="20" spans="1:10" ht="24" customHeight="1" x14ac:dyDescent="0.7">
      <c r="A20" s="1271" t="s">
        <v>27</v>
      </c>
      <c r="B20" s="1271"/>
      <c r="C20" s="1271"/>
      <c r="D20" s="1271"/>
      <c r="E20" s="1271"/>
      <c r="F20" s="1271"/>
      <c r="G20" s="1271"/>
      <c r="H20" s="1271"/>
      <c r="I20" s="1271"/>
      <c r="J20" s="1271"/>
    </row>
    <row r="21" spans="1:10" ht="24" customHeight="1" x14ac:dyDescent="0.7">
      <c r="A21" s="646" t="s">
        <v>187</v>
      </c>
      <c r="B21" s="646">
        <v>99</v>
      </c>
      <c r="C21" s="647">
        <v>2167</v>
      </c>
      <c r="D21" s="1265">
        <f>I24</f>
        <v>136</v>
      </c>
      <c r="E21" s="634">
        <f>ROUND(B21/10,0)</f>
        <v>10</v>
      </c>
      <c r="F21" s="634">
        <f>ROUND(B21/10,0)</f>
        <v>10</v>
      </c>
      <c r="G21" s="634">
        <f>ROUND(B21/10,0)</f>
        <v>10</v>
      </c>
      <c r="H21" s="634">
        <f>ROUND(B21/10,0)</f>
        <v>10</v>
      </c>
      <c r="I21" s="634">
        <f>SUM(E21:H21)</f>
        <v>40</v>
      </c>
      <c r="J21" s="634"/>
    </row>
    <row r="22" spans="1:10" ht="24" customHeight="1" x14ac:dyDescent="0.7">
      <c r="A22" s="648" t="s">
        <v>189</v>
      </c>
      <c r="B22" s="648">
        <v>105</v>
      </c>
      <c r="C22" s="649">
        <v>2320</v>
      </c>
      <c r="D22" s="1265"/>
      <c r="E22" s="634">
        <f>ROUND(B22/10,0)</f>
        <v>11</v>
      </c>
      <c r="F22" s="634">
        <f>ROUND(B22/10,0)</f>
        <v>11</v>
      </c>
      <c r="G22" s="634">
        <f>ROUND(B22/10,0)</f>
        <v>11</v>
      </c>
      <c r="H22" s="634">
        <f>ROUND(B22/10,0)</f>
        <v>11</v>
      </c>
      <c r="I22" s="634">
        <f>SUM(E22:H22)</f>
        <v>44</v>
      </c>
      <c r="J22" s="634"/>
    </row>
    <row r="23" spans="1:10" ht="24" customHeight="1" x14ac:dyDescent="0.7">
      <c r="A23" s="650" t="s">
        <v>190</v>
      </c>
      <c r="B23" s="650">
        <v>130</v>
      </c>
      <c r="C23" s="651">
        <v>2865</v>
      </c>
      <c r="D23" s="1265"/>
      <c r="E23" s="634">
        <f>ROUND(B23/10,0)</f>
        <v>13</v>
      </c>
      <c r="F23" s="634">
        <f>ROUND(B23/10,0)</f>
        <v>13</v>
      </c>
      <c r="G23" s="634">
        <f>ROUND(B23/10,0)</f>
        <v>13</v>
      </c>
      <c r="H23" s="634">
        <f>ROUND(B23/10,0)</f>
        <v>13</v>
      </c>
      <c r="I23" s="634">
        <f>SUM(E23:H23)</f>
        <v>52</v>
      </c>
      <c r="J23" s="634"/>
    </row>
    <row r="24" spans="1:10" ht="24" customHeight="1" thickBot="1" x14ac:dyDescent="0.75">
      <c r="A24" s="636" t="s">
        <v>354</v>
      </c>
      <c r="B24" s="636">
        <f>SUM(B21:B23)</f>
        <v>334</v>
      </c>
      <c r="C24" s="642">
        <f>SUM(C21:C23)</f>
        <v>7352</v>
      </c>
      <c r="D24" s="1265"/>
      <c r="E24" s="636">
        <f>SUM(E21:E23)</f>
        <v>34</v>
      </c>
      <c r="F24" s="636">
        <f>SUM(F21:F23)</f>
        <v>34</v>
      </c>
      <c r="G24" s="636">
        <f>SUM(G21:G23)</f>
        <v>34</v>
      </c>
      <c r="H24" s="636">
        <f>SUM(H21:H23)</f>
        <v>34</v>
      </c>
      <c r="I24" s="639">
        <f>SUM(I21:I23)</f>
        <v>136</v>
      </c>
      <c r="J24" s="636"/>
    </row>
    <row r="25" spans="1:10" ht="24" customHeight="1" thickBot="1" x14ac:dyDescent="0.75">
      <c r="A25" s="1272" t="s">
        <v>320</v>
      </c>
      <c r="B25" s="1273"/>
      <c r="C25" s="1273"/>
      <c r="D25" s="1273"/>
      <c r="E25" s="1273"/>
      <c r="F25" s="1273"/>
      <c r="G25" s="1273"/>
      <c r="H25" s="1273"/>
      <c r="I25" s="1273"/>
      <c r="J25" s="1274"/>
    </row>
    <row r="26" spans="1:10" ht="24" customHeight="1" x14ac:dyDescent="0.7">
      <c r="A26" s="1266" t="s">
        <v>22</v>
      </c>
      <c r="B26" s="1266"/>
      <c r="C26" s="1266"/>
      <c r="D26" s="1266"/>
      <c r="E26" s="1266"/>
      <c r="F26" s="1266"/>
      <c r="G26" s="1266"/>
      <c r="H26" s="1266"/>
      <c r="I26" s="1266"/>
      <c r="J26" s="1266"/>
    </row>
    <row r="27" spans="1:10" ht="24" customHeight="1" x14ac:dyDescent="0.7">
      <c r="A27" s="634" t="s">
        <v>183</v>
      </c>
      <c r="B27" s="634">
        <v>144</v>
      </c>
      <c r="C27" s="635">
        <v>3171</v>
      </c>
      <c r="D27" s="1265">
        <f>I29</f>
        <v>108</v>
      </c>
      <c r="E27" s="634">
        <f>ROUND(B27/10,0)</f>
        <v>14</v>
      </c>
      <c r="F27" s="634">
        <f>ROUND(B27/10,0)</f>
        <v>14</v>
      </c>
      <c r="G27" s="634">
        <f>ROUND(B27/10,0)</f>
        <v>14</v>
      </c>
      <c r="H27" s="634">
        <f>ROUND(B27/10,0)</f>
        <v>14</v>
      </c>
      <c r="I27" s="634">
        <f>SUM(E27:H27)</f>
        <v>56</v>
      </c>
      <c r="J27" s="634"/>
    </row>
    <row r="28" spans="1:10" ht="24" customHeight="1" x14ac:dyDescent="0.7">
      <c r="A28" s="634" t="s">
        <v>184</v>
      </c>
      <c r="B28" s="634">
        <v>134</v>
      </c>
      <c r="C28" s="635">
        <v>2950</v>
      </c>
      <c r="D28" s="1265"/>
      <c r="E28" s="634">
        <f>ROUND(B28/10,0)</f>
        <v>13</v>
      </c>
      <c r="F28" s="634">
        <f>ROUND(B28/10,0)</f>
        <v>13</v>
      </c>
      <c r="G28" s="634">
        <f>ROUND(B28/10,0)</f>
        <v>13</v>
      </c>
      <c r="H28" s="634">
        <f>ROUND(B28/10,0)</f>
        <v>13</v>
      </c>
      <c r="I28" s="634">
        <f>SUM(E28:H28)</f>
        <v>52</v>
      </c>
      <c r="J28" s="634"/>
    </row>
    <row r="29" spans="1:10" ht="24" customHeight="1" thickBot="1" x14ac:dyDescent="0.75">
      <c r="A29" s="643" t="s">
        <v>357</v>
      </c>
      <c r="B29" s="643">
        <f>SUM(B27:B28)</f>
        <v>278</v>
      </c>
      <c r="C29" s="644">
        <f>SUM(C27:C28)</f>
        <v>6121</v>
      </c>
      <c r="D29" s="1265"/>
      <c r="E29" s="643">
        <f>SUM(E27:E28)</f>
        <v>27</v>
      </c>
      <c r="F29" s="643">
        <f>SUM(F27:F28)</f>
        <v>27</v>
      </c>
      <c r="G29" s="643">
        <f>SUM(G27:G28)</f>
        <v>27</v>
      </c>
      <c r="H29" s="643">
        <f>SUM(H27:H28)</f>
        <v>27</v>
      </c>
      <c r="I29" s="645">
        <f>SUM(I27:I28)</f>
        <v>108</v>
      </c>
      <c r="J29" s="643"/>
    </row>
    <row r="30" spans="1:10" ht="24" customHeight="1" x14ac:dyDescent="0.7">
      <c r="A30" s="1267" t="s">
        <v>27</v>
      </c>
      <c r="B30" s="1267"/>
      <c r="C30" s="1267"/>
      <c r="D30" s="1267"/>
      <c r="E30" s="1267"/>
      <c r="F30" s="1267"/>
      <c r="G30" s="1267"/>
      <c r="H30" s="1267"/>
      <c r="I30" s="1267"/>
      <c r="J30" s="1267"/>
    </row>
    <row r="31" spans="1:10" ht="24" customHeight="1" x14ac:dyDescent="0.7">
      <c r="A31" s="640" t="s">
        <v>305</v>
      </c>
      <c r="B31" s="640">
        <v>86</v>
      </c>
      <c r="C31" s="635">
        <v>1892</v>
      </c>
      <c r="D31" s="1265">
        <f>I38</f>
        <v>156</v>
      </c>
      <c r="E31" s="634">
        <f>ROUND(B31/10,0)</f>
        <v>9</v>
      </c>
      <c r="F31" s="634">
        <f>ROUND(B31/10,0)</f>
        <v>9</v>
      </c>
      <c r="G31" s="634">
        <f>ROUND(B31/10,0)</f>
        <v>9</v>
      </c>
      <c r="H31" s="634">
        <f>ROUND(B31/10,0)</f>
        <v>9</v>
      </c>
      <c r="I31" s="634">
        <f>SUM(E31:H31)</f>
        <v>36</v>
      </c>
      <c r="J31" s="634"/>
    </row>
    <row r="32" spans="1:10" ht="24" customHeight="1" x14ac:dyDescent="0.7">
      <c r="A32" s="640" t="s">
        <v>306</v>
      </c>
      <c r="B32" s="640">
        <v>77</v>
      </c>
      <c r="C32" s="635">
        <v>1686</v>
      </c>
      <c r="D32" s="1265"/>
      <c r="E32" s="634">
        <f t="shared" ref="E32:E37" si="7">ROUND(B32/10,0)</f>
        <v>8</v>
      </c>
      <c r="F32" s="634">
        <f t="shared" ref="F32:F36" si="8">ROUND(B32/10,0)</f>
        <v>8</v>
      </c>
      <c r="G32" s="634">
        <f t="shared" ref="G32:G37" si="9">ROUND(B32/10,0)</f>
        <v>8</v>
      </c>
      <c r="H32" s="634">
        <f t="shared" ref="H32:H37" si="10">ROUND(B32/10,0)</f>
        <v>8</v>
      </c>
      <c r="I32" s="634">
        <f t="shared" ref="I32:I37" si="11">SUM(E32:H32)</f>
        <v>32</v>
      </c>
      <c r="J32" s="634"/>
    </row>
    <row r="33" spans="1:10" ht="24" customHeight="1" x14ac:dyDescent="0.7">
      <c r="A33" s="640" t="s">
        <v>307</v>
      </c>
      <c r="B33" s="640">
        <v>63</v>
      </c>
      <c r="C33" s="635">
        <v>1380</v>
      </c>
      <c r="D33" s="1265"/>
      <c r="E33" s="634">
        <f t="shared" si="7"/>
        <v>6</v>
      </c>
      <c r="F33" s="634">
        <f t="shared" si="8"/>
        <v>6</v>
      </c>
      <c r="G33" s="634">
        <f t="shared" si="9"/>
        <v>6</v>
      </c>
      <c r="H33" s="634">
        <f t="shared" si="10"/>
        <v>6</v>
      </c>
      <c r="I33" s="634">
        <f t="shared" si="11"/>
        <v>24</v>
      </c>
      <c r="J33" s="634"/>
    </row>
    <row r="34" spans="1:10" ht="24" customHeight="1" x14ac:dyDescent="0.7">
      <c r="A34" s="640" t="s">
        <v>308</v>
      </c>
      <c r="B34" s="640">
        <v>53</v>
      </c>
      <c r="C34" s="635">
        <v>1168</v>
      </c>
      <c r="D34" s="1265"/>
      <c r="E34" s="634">
        <f t="shared" si="7"/>
        <v>5</v>
      </c>
      <c r="F34" s="634">
        <f t="shared" si="8"/>
        <v>5</v>
      </c>
      <c r="G34" s="634">
        <f t="shared" si="9"/>
        <v>5</v>
      </c>
      <c r="H34" s="634">
        <f t="shared" si="10"/>
        <v>5</v>
      </c>
      <c r="I34" s="634">
        <f t="shared" si="11"/>
        <v>20</v>
      </c>
      <c r="J34" s="634"/>
    </row>
    <row r="35" spans="1:10" ht="24" customHeight="1" x14ac:dyDescent="0.7">
      <c r="A35" s="640" t="s">
        <v>309</v>
      </c>
      <c r="B35" s="640">
        <v>34</v>
      </c>
      <c r="C35" s="635">
        <v>751</v>
      </c>
      <c r="D35" s="1265"/>
      <c r="E35" s="634">
        <f t="shared" si="7"/>
        <v>3</v>
      </c>
      <c r="F35" s="634">
        <f t="shared" si="8"/>
        <v>3</v>
      </c>
      <c r="G35" s="634">
        <f t="shared" si="9"/>
        <v>3</v>
      </c>
      <c r="H35" s="634">
        <f t="shared" si="10"/>
        <v>3</v>
      </c>
      <c r="I35" s="634">
        <f t="shared" si="11"/>
        <v>12</v>
      </c>
      <c r="J35" s="634"/>
    </row>
    <row r="36" spans="1:10" ht="24" customHeight="1" x14ac:dyDescent="0.7">
      <c r="A36" s="640" t="s">
        <v>310</v>
      </c>
      <c r="B36" s="640">
        <v>70</v>
      </c>
      <c r="C36" s="635">
        <v>1547</v>
      </c>
      <c r="D36" s="1265"/>
      <c r="E36" s="634">
        <f t="shared" si="7"/>
        <v>7</v>
      </c>
      <c r="F36" s="634">
        <f t="shared" si="8"/>
        <v>7</v>
      </c>
      <c r="G36" s="634">
        <f t="shared" si="9"/>
        <v>7</v>
      </c>
      <c r="H36" s="634">
        <f t="shared" si="10"/>
        <v>7</v>
      </c>
      <c r="I36" s="634">
        <f t="shared" si="11"/>
        <v>28</v>
      </c>
      <c r="J36" s="634"/>
    </row>
    <row r="37" spans="1:10" ht="24" customHeight="1" x14ac:dyDescent="0.7">
      <c r="A37" s="640" t="s">
        <v>311</v>
      </c>
      <c r="B37" s="640">
        <v>7</v>
      </c>
      <c r="C37" s="635">
        <v>145</v>
      </c>
      <c r="D37" s="1265"/>
      <c r="E37" s="634">
        <f t="shared" si="7"/>
        <v>1</v>
      </c>
      <c r="F37" s="634">
        <f>ROUND(B37/10,0)</f>
        <v>1</v>
      </c>
      <c r="G37" s="634">
        <f t="shared" si="9"/>
        <v>1</v>
      </c>
      <c r="H37" s="634">
        <f t="shared" si="10"/>
        <v>1</v>
      </c>
      <c r="I37" s="634">
        <f t="shared" si="11"/>
        <v>4</v>
      </c>
      <c r="J37" s="634"/>
    </row>
    <row r="38" spans="1:10" ht="24" customHeight="1" x14ac:dyDescent="0.7">
      <c r="A38" s="636" t="s">
        <v>358</v>
      </c>
      <c r="B38" s="636">
        <f>SUM(B31:B37)</f>
        <v>390</v>
      </c>
      <c r="C38" s="637">
        <f>SUM(C31:C37)</f>
        <v>8569</v>
      </c>
      <c r="D38" s="1265"/>
      <c r="E38" s="636">
        <f>SUM(E31:E37)</f>
        <v>39</v>
      </c>
      <c r="F38" s="636">
        <f>SUM(F31:F37)</f>
        <v>39</v>
      </c>
      <c r="G38" s="636">
        <f>SUM(G31:G37)</f>
        <v>39</v>
      </c>
      <c r="H38" s="636">
        <f>SUM(H31:H37)</f>
        <v>39</v>
      </c>
      <c r="I38" s="639">
        <f>SUM(I31:I37)</f>
        <v>156</v>
      </c>
      <c r="J38" s="636"/>
    </row>
  </sheetData>
  <mergeCells count="25">
    <mergeCell ref="D31:D38"/>
    <mergeCell ref="A12:J12"/>
    <mergeCell ref="A20:J20"/>
    <mergeCell ref="D21:D24"/>
    <mergeCell ref="A25:J25"/>
    <mergeCell ref="A13:J13"/>
    <mergeCell ref="D14:D19"/>
    <mergeCell ref="A5:J5"/>
    <mergeCell ref="D6:D11"/>
    <mergeCell ref="A26:J26"/>
    <mergeCell ref="D27:D29"/>
    <mergeCell ref="A30:J30"/>
    <mergeCell ref="L4:T4"/>
    <mergeCell ref="J2:J3"/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R38"/>
  <sheetViews>
    <sheetView zoomScale="80" zoomScaleNormal="80" workbookViewId="0">
      <pane ySplit="3" topLeftCell="A4" activePane="bottomLeft" state="frozen"/>
      <selection pane="bottomLeft" activeCell="J12" sqref="J12"/>
    </sheetView>
  </sheetViews>
  <sheetFormatPr defaultRowHeight="24" customHeight="1" x14ac:dyDescent="0.7"/>
  <cols>
    <col min="1" max="1" width="25" customWidth="1"/>
    <col min="2" max="2" width="11.09765625" customWidth="1"/>
    <col min="3" max="4" width="11.09765625" style="641" customWidth="1"/>
    <col min="5" max="5" width="18.19921875" style="641" bestFit="1" customWidth="1"/>
    <col min="6" max="6" width="11.8984375" style="666" customWidth="1"/>
    <col min="7" max="7" width="15.19921875" customWidth="1"/>
  </cols>
  <sheetData>
    <row r="1" spans="1:18" ht="24" customHeight="1" x14ac:dyDescent="0.7">
      <c r="A1" s="1252" t="s">
        <v>365</v>
      </c>
      <c r="B1" s="1253"/>
      <c r="C1" s="1253"/>
      <c r="D1" s="1253"/>
      <c r="E1" s="1253"/>
      <c r="F1" s="1253"/>
      <c r="G1" s="1253"/>
      <c r="I1" t="s">
        <v>359</v>
      </c>
    </row>
    <row r="2" spans="1:18" ht="24" customHeight="1" x14ac:dyDescent="0.7">
      <c r="A2" s="1014" t="s">
        <v>204</v>
      </c>
      <c r="B2" s="1014" t="s">
        <v>1</v>
      </c>
      <c r="C2" s="1256" t="s">
        <v>2</v>
      </c>
      <c r="D2" s="1257" t="s">
        <v>360</v>
      </c>
      <c r="E2" s="652" t="s">
        <v>367</v>
      </c>
      <c r="F2" s="1279" t="s">
        <v>368</v>
      </c>
      <c r="G2" s="1250" t="s">
        <v>361</v>
      </c>
    </row>
    <row r="3" spans="1:18" ht="24" customHeight="1" thickBot="1" x14ac:dyDescent="0.75">
      <c r="A3" s="1255"/>
      <c r="B3" s="1255"/>
      <c r="C3" s="1257"/>
      <c r="D3" s="1278"/>
      <c r="E3" s="653" t="s">
        <v>362</v>
      </c>
      <c r="F3" s="1280"/>
      <c r="G3" s="1251"/>
    </row>
    <row r="4" spans="1:18" ht="24" customHeight="1" thickBot="1" x14ac:dyDescent="0.75">
      <c r="A4" s="1261" t="s">
        <v>233</v>
      </c>
      <c r="B4" s="1262"/>
      <c r="C4" s="1262"/>
      <c r="D4" s="1262"/>
      <c r="E4" s="1262"/>
      <c r="F4" s="1262"/>
      <c r="G4" s="1263"/>
      <c r="J4" s="880" t="s">
        <v>423</v>
      </c>
      <c r="K4" s="880"/>
      <c r="L4" s="880"/>
      <c r="M4" s="880"/>
      <c r="N4" s="880"/>
      <c r="O4" s="880"/>
      <c r="P4" s="880"/>
      <c r="Q4" s="880"/>
      <c r="R4" s="880"/>
    </row>
    <row r="5" spans="1:18" ht="24" customHeight="1" x14ac:dyDescent="0.7">
      <c r="A5" s="1264" t="s">
        <v>27</v>
      </c>
      <c r="B5" s="1264"/>
      <c r="C5" s="1264"/>
      <c r="D5" s="1264"/>
      <c r="E5" s="1264"/>
      <c r="F5" s="1264"/>
      <c r="G5" s="1264"/>
      <c r="K5" s="1275" t="s">
        <v>424</v>
      </c>
      <c r="L5" s="1275"/>
      <c r="M5" s="1275"/>
      <c r="N5" s="1275"/>
      <c r="O5" s="1275"/>
      <c r="P5" s="1275"/>
    </row>
    <row r="6" spans="1:18" ht="24" customHeight="1" x14ac:dyDescent="0.7">
      <c r="A6" s="634" t="s">
        <v>168</v>
      </c>
      <c r="B6" s="634">
        <v>116</v>
      </c>
      <c r="C6" s="635">
        <v>2550</v>
      </c>
      <c r="D6" s="1276" t="s">
        <v>363</v>
      </c>
      <c r="E6" s="654">
        <f>ROUND(C6*$E$3,0)</f>
        <v>25500</v>
      </c>
      <c r="F6" s="635">
        <f>ROUND(E6*D6/1000,0)</f>
        <v>612</v>
      </c>
      <c r="G6" s="634"/>
      <c r="H6" s="655">
        <f t="shared" ref="H6:H11" si="0">ROUND(E6/1000,0)</f>
        <v>26</v>
      </c>
      <c r="I6" t="s">
        <v>364</v>
      </c>
      <c r="K6" s="610"/>
      <c r="L6" s="656"/>
      <c r="M6" s="150"/>
    </row>
    <row r="7" spans="1:18" ht="24" customHeight="1" x14ac:dyDescent="0.7">
      <c r="A7" s="634" t="s">
        <v>169</v>
      </c>
      <c r="B7" s="634">
        <v>130</v>
      </c>
      <c r="C7" s="635">
        <v>2854</v>
      </c>
      <c r="D7" s="1277"/>
      <c r="E7" s="654">
        <f>ROUND(C7*$E$3,0)</f>
        <v>28540</v>
      </c>
      <c r="F7" s="635">
        <f>ROUND(E7*D6/1000,0)</f>
        <v>685</v>
      </c>
      <c r="G7" s="634"/>
      <c r="H7" s="655">
        <f t="shared" si="0"/>
        <v>29</v>
      </c>
      <c r="I7" t="s">
        <v>364</v>
      </c>
      <c r="K7" s="610"/>
    </row>
    <row r="8" spans="1:18" ht="24" customHeight="1" x14ac:dyDescent="0.7">
      <c r="A8" s="634" t="s">
        <v>170</v>
      </c>
      <c r="B8" s="634">
        <v>141</v>
      </c>
      <c r="C8" s="635">
        <v>3111</v>
      </c>
      <c r="D8" s="1277"/>
      <c r="E8" s="654">
        <f t="shared" ref="E8" si="1">ROUND(C8*$E$3,0)</f>
        <v>31110</v>
      </c>
      <c r="F8" s="635">
        <f>ROUND(E8*D6/1000,0)</f>
        <v>747</v>
      </c>
      <c r="G8" s="634"/>
      <c r="H8" s="655">
        <f t="shared" si="0"/>
        <v>31</v>
      </c>
      <c r="I8" t="s">
        <v>364</v>
      </c>
      <c r="K8" s="610"/>
    </row>
    <row r="9" spans="1:18" ht="24" customHeight="1" x14ac:dyDescent="0.7">
      <c r="A9" s="634" t="s">
        <v>172</v>
      </c>
      <c r="B9" s="634">
        <v>136</v>
      </c>
      <c r="C9" s="635">
        <v>2999</v>
      </c>
      <c r="D9" s="1277"/>
      <c r="E9" s="654">
        <f>ROUND(C9*$E$3,0)</f>
        <v>29990</v>
      </c>
      <c r="F9" s="635">
        <f>ROUND(E9*D6/1000,0)</f>
        <v>720</v>
      </c>
      <c r="G9" s="634"/>
      <c r="H9" s="655">
        <f t="shared" si="0"/>
        <v>30</v>
      </c>
      <c r="I9" t="s">
        <v>364</v>
      </c>
    </row>
    <row r="10" spans="1:18" ht="24" customHeight="1" x14ac:dyDescent="0.7">
      <c r="A10" s="634" t="s">
        <v>319</v>
      </c>
      <c r="B10" s="634">
        <v>90</v>
      </c>
      <c r="C10" s="635">
        <v>1970</v>
      </c>
      <c r="D10" s="1277"/>
      <c r="E10" s="654">
        <f>ROUND(C10*$E$3,0)</f>
        <v>19700</v>
      </c>
      <c r="F10" s="635">
        <f>ROUND(E10*D6/1000,0)</f>
        <v>473</v>
      </c>
      <c r="G10" s="634"/>
      <c r="H10" s="655">
        <f t="shared" si="0"/>
        <v>20</v>
      </c>
      <c r="I10" t="s">
        <v>364</v>
      </c>
    </row>
    <row r="11" spans="1:18" ht="24" customHeight="1" thickBot="1" x14ac:dyDescent="0.75">
      <c r="A11" s="636" t="s">
        <v>366</v>
      </c>
      <c r="B11" s="636">
        <f>SUM(B6:B10)</f>
        <v>613</v>
      </c>
      <c r="C11" s="637">
        <f>SUM(C6:C10)</f>
        <v>13484</v>
      </c>
      <c r="D11" s="1277"/>
      <c r="E11" s="637">
        <f>SUM(E6:E10)</f>
        <v>134840</v>
      </c>
      <c r="F11" s="657">
        <f>SUM(F6:F10)</f>
        <v>3237</v>
      </c>
      <c r="G11" s="636"/>
      <c r="H11" s="658">
        <f t="shared" si="0"/>
        <v>135</v>
      </c>
      <c r="I11" s="659" t="s">
        <v>364</v>
      </c>
    </row>
    <row r="12" spans="1:18" ht="24" customHeight="1" x14ac:dyDescent="0.7">
      <c r="A12" s="1268" t="s">
        <v>235</v>
      </c>
      <c r="B12" s="1269"/>
      <c r="C12" s="1269"/>
      <c r="D12" s="1269"/>
      <c r="E12" s="1269"/>
      <c r="F12" s="1269"/>
      <c r="G12" s="1270"/>
    </row>
    <row r="13" spans="1:18" ht="24" customHeight="1" x14ac:dyDescent="0.7">
      <c r="A13" s="1266" t="s">
        <v>22</v>
      </c>
      <c r="B13" s="1266"/>
      <c r="C13" s="1266"/>
      <c r="D13" s="1266"/>
      <c r="E13" s="1266"/>
      <c r="F13" s="1266"/>
      <c r="G13" s="1266"/>
    </row>
    <row r="14" spans="1:18" ht="24" customHeight="1" x14ac:dyDescent="0.7">
      <c r="A14" s="634" t="s">
        <v>178</v>
      </c>
      <c r="B14" s="634">
        <v>3</v>
      </c>
      <c r="C14" s="635">
        <v>61</v>
      </c>
      <c r="D14" s="1276">
        <v>24</v>
      </c>
      <c r="E14" s="654">
        <f>ROUND(C14*$E$3,0)</f>
        <v>610</v>
      </c>
      <c r="F14" s="635">
        <f>ROUND(E14*D14/1000,0)</f>
        <v>15</v>
      </c>
      <c r="G14" s="634"/>
      <c r="H14" s="655">
        <f>ROUND(E14/1000,0)</f>
        <v>1</v>
      </c>
      <c r="I14" t="s">
        <v>364</v>
      </c>
    </row>
    <row r="15" spans="1:18" ht="24" customHeight="1" x14ac:dyDescent="0.7">
      <c r="A15" s="634" t="s">
        <v>179</v>
      </c>
      <c r="B15" s="634">
        <v>8</v>
      </c>
      <c r="C15" s="635">
        <v>171</v>
      </c>
      <c r="D15" s="1277"/>
      <c r="E15" s="654">
        <f>ROUND(C15*$E$3,0)</f>
        <v>1710</v>
      </c>
      <c r="F15" s="635">
        <f>ROUND(E15*D14/1000,0)</f>
        <v>41</v>
      </c>
      <c r="G15" s="634"/>
      <c r="H15" s="655">
        <f>ROUND(E15/1000,0)</f>
        <v>2</v>
      </c>
      <c r="I15" t="s">
        <v>364</v>
      </c>
    </row>
    <row r="16" spans="1:18" ht="24" customHeight="1" x14ac:dyDescent="0.7">
      <c r="A16" s="634" t="s">
        <v>180</v>
      </c>
      <c r="B16" s="634">
        <v>11</v>
      </c>
      <c r="C16" s="635">
        <v>241</v>
      </c>
      <c r="D16" s="1277"/>
      <c r="E16" s="654">
        <f>ROUND(C16*$E$3,0)</f>
        <v>2410</v>
      </c>
      <c r="F16" s="635">
        <f>ROUND(E16*D14/1000,0)</f>
        <v>58</v>
      </c>
      <c r="G16" s="634"/>
      <c r="H16" s="655">
        <f t="shared" ref="H16:H17" si="2">ROUND(E16/1000,0)</f>
        <v>2</v>
      </c>
      <c r="I16" t="s">
        <v>364</v>
      </c>
    </row>
    <row r="17" spans="1:9" ht="24" customHeight="1" x14ac:dyDescent="0.7">
      <c r="A17" s="634" t="s">
        <v>181</v>
      </c>
      <c r="B17" s="634">
        <v>140</v>
      </c>
      <c r="C17" s="635">
        <v>3070</v>
      </c>
      <c r="D17" s="1277"/>
      <c r="E17" s="654">
        <f t="shared" ref="E17:E18" si="3">ROUND(C17*$E$3,0)</f>
        <v>30700</v>
      </c>
      <c r="F17" s="635">
        <f>ROUND(E17*D14/1000,0)</f>
        <v>737</v>
      </c>
      <c r="G17" s="634"/>
      <c r="H17" s="655">
        <f t="shared" si="2"/>
        <v>31</v>
      </c>
      <c r="I17" t="s">
        <v>364</v>
      </c>
    </row>
    <row r="18" spans="1:9" ht="24" customHeight="1" x14ac:dyDescent="0.7">
      <c r="A18" s="646" t="s">
        <v>182</v>
      </c>
      <c r="B18" s="646">
        <v>149</v>
      </c>
      <c r="C18" s="647">
        <v>3270</v>
      </c>
      <c r="D18" s="1277"/>
      <c r="E18" s="667">
        <f t="shared" si="3"/>
        <v>32700</v>
      </c>
      <c r="F18" s="635">
        <f>ROUND(E18*D14/1000,0)</f>
        <v>785</v>
      </c>
      <c r="G18" s="634"/>
      <c r="H18" s="655">
        <f>ROUND(E18/1000,0)</f>
        <v>33</v>
      </c>
      <c r="I18" t="s">
        <v>364</v>
      </c>
    </row>
    <row r="19" spans="1:9" ht="24" customHeight="1" x14ac:dyDescent="0.7">
      <c r="A19" s="643" t="s">
        <v>355</v>
      </c>
      <c r="B19" s="643">
        <f>SUM(B14:B18)</f>
        <v>311</v>
      </c>
      <c r="C19" s="669">
        <f>SUM(C14:C18)</f>
        <v>6813</v>
      </c>
      <c r="D19" s="670"/>
      <c r="E19" s="671">
        <f>SUM(E14:E18)</f>
        <v>68130</v>
      </c>
      <c r="F19" s="668">
        <f>SUM(F14:F18)</f>
        <v>1636</v>
      </c>
      <c r="G19" s="638"/>
      <c r="H19" s="658">
        <f>ROUND(E19/1000,0)</f>
        <v>68</v>
      </c>
      <c r="I19" s="659" t="s">
        <v>364</v>
      </c>
    </row>
    <row r="20" spans="1:9" ht="24" customHeight="1" x14ac:dyDescent="0.7">
      <c r="A20" s="1271" t="s">
        <v>27</v>
      </c>
      <c r="B20" s="1271"/>
      <c r="C20" s="1271"/>
      <c r="D20" s="1271"/>
      <c r="E20" s="1271"/>
      <c r="F20" s="1271"/>
      <c r="G20" s="1271"/>
    </row>
    <row r="21" spans="1:9" ht="24" customHeight="1" x14ac:dyDescent="0.7">
      <c r="A21" s="648" t="s">
        <v>187</v>
      </c>
      <c r="B21" s="648">
        <v>99</v>
      </c>
      <c r="C21" s="649">
        <v>2167</v>
      </c>
      <c r="D21" s="1276" t="s">
        <v>363</v>
      </c>
      <c r="E21" s="654">
        <f>ROUND(C21*$E$3,0)</f>
        <v>21670</v>
      </c>
      <c r="F21" s="635">
        <f>ROUND(E21*D21/1000,0)</f>
        <v>520</v>
      </c>
      <c r="G21" s="646"/>
      <c r="H21" s="655">
        <f>ROUND(E21/1000,0)</f>
        <v>22</v>
      </c>
      <c r="I21" t="s">
        <v>364</v>
      </c>
    </row>
    <row r="22" spans="1:9" ht="24" customHeight="1" x14ac:dyDescent="0.7">
      <c r="A22" s="646" t="s">
        <v>189</v>
      </c>
      <c r="B22" s="646">
        <v>105</v>
      </c>
      <c r="C22" s="647">
        <v>2320</v>
      </c>
      <c r="D22" s="1277"/>
      <c r="E22" s="654">
        <f>ROUND(C22*$E$3,0)</f>
        <v>23200</v>
      </c>
      <c r="F22" s="635">
        <f>ROUND(E22*D21/1000,0)</f>
        <v>557</v>
      </c>
      <c r="G22" s="646"/>
      <c r="H22" s="655">
        <f>ROUND(E22/1000,0)</f>
        <v>23</v>
      </c>
      <c r="I22" t="s">
        <v>364</v>
      </c>
    </row>
    <row r="23" spans="1:9" ht="24" customHeight="1" x14ac:dyDescent="0.7">
      <c r="A23" s="646" t="s">
        <v>190</v>
      </c>
      <c r="B23" s="646">
        <v>130</v>
      </c>
      <c r="C23" s="647">
        <v>2865</v>
      </c>
      <c r="D23" s="1284"/>
      <c r="E23" s="667">
        <f>ROUND(C23*$E$3,0)</f>
        <v>28650</v>
      </c>
      <c r="F23" s="647">
        <f>ROUND(E23*D21/1000,0)</f>
        <v>688</v>
      </c>
      <c r="G23" s="646"/>
      <c r="H23" s="655">
        <f>ROUND(E23/1000,0)</f>
        <v>29</v>
      </c>
      <c r="I23" t="s">
        <v>364</v>
      </c>
    </row>
    <row r="24" spans="1:9" ht="24" customHeight="1" thickBot="1" x14ac:dyDescent="0.75">
      <c r="A24" s="636" t="s">
        <v>354</v>
      </c>
      <c r="B24" s="636">
        <f>SUM(B21:B23)</f>
        <v>334</v>
      </c>
      <c r="C24" s="657">
        <f>SUM(C21:C23)</f>
        <v>7352</v>
      </c>
      <c r="D24" s="672"/>
      <c r="E24" s="637">
        <f>SUM(E21:E23)</f>
        <v>73520</v>
      </c>
      <c r="F24" s="660">
        <f>SUM(F21:F23)</f>
        <v>1765</v>
      </c>
      <c r="G24" s="636"/>
      <c r="H24" s="658">
        <f>ROUND(E24/1000,0)</f>
        <v>74</v>
      </c>
      <c r="I24" s="659" t="s">
        <v>364</v>
      </c>
    </row>
    <row r="25" spans="1:9" ht="24" customHeight="1" x14ac:dyDescent="0.7">
      <c r="A25" s="1268" t="s">
        <v>320</v>
      </c>
      <c r="B25" s="1269"/>
      <c r="C25" s="1269"/>
      <c r="D25" s="1269"/>
      <c r="E25" s="1269"/>
      <c r="F25" s="1269"/>
      <c r="G25" s="1270"/>
    </row>
    <row r="26" spans="1:9" ht="24" customHeight="1" x14ac:dyDescent="0.7">
      <c r="A26" s="1266" t="s">
        <v>22</v>
      </c>
      <c r="B26" s="1266"/>
      <c r="C26" s="1266"/>
      <c r="D26" s="1266"/>
      <c r="E26" s="1266"/>
      <c r="F26" s="1266"/>
      <c r="G26" s="1266"/>
    </row>
    <row r="27" spans="1:9" ht="24" customHeight="1" x14ac:dyDescent="0.7">
      <c r="A27" s="634" t="s">
        <v>183</v>
      </c>
      <c r="B27" s="634">
        <v>144</v>
      </c>
      <c r="C27" s="635">
        <v>3171</v>
      </c>
      <c r="D27" s="1276" t="s">
        <v>363</v>
      </c>
      <c r="E27" s="654">
        <f>ROUND(C27*$E$3,0)</f>
        <v>31710</v>
      </c>
      <c r="F27" s="635">
        <f>ROUND(E27*$D$27/1000,0)</f>
        <v>761</v>
      </c>
      <c r="G27" s="634"/>
      <c r="H27" s="655">
        <f>ROUND(E27/1000,0)</f>
        <v>32</v>
      </c>
      <c r="I27" t="s">
        <v>364</v>
      </c>
    </row>
    <row r="28" spans="1:9" ht="24" customHeight="1" x14ac:dyDescent="0.7">
      <c r="A28" s="634" t="s">
        <v>184</v>
      </c>
      <c r="B28" s="634">
        <v>134</v>
      </c>
      <c r="C28" s="635">
        <v>2950</v>
      </c>
      <c r="D28" s="1277"/>
      <c r="E28" s="654">
        <f>ROUND(C28*$E$3,0)</f>
        <v>29500</v>
      </c>
      <c r="F28" s="635">
        <f>ROUND(E28*$D$27/1000,0)</f>
        <v>708</v>
      </c>
      <c r="G28" s="634"/>
      <c r="H28" s="655">
        <f>ROUND(E28/1000,0)</f>
        <v>30</v>
      </c>
      <c r="I28" t="s">
        <v>364</v>
      </c>
    </row>
    <row r="29" spans="1:9" ht="24" customHeight="1" x14ac:dyDescent="0.7">
      <c r="A29" s="643" t="s">
        <v>369</v>
      </c>
      <c r="B29" s="643">
        <f>SUM(B27:B28)</f>
        <v>278</v>
      </c>
      <c r="C29" s="644">
        <f>SUM(C27:C28)</f>
        <v>6121</v>
      </c>
      <c r="D29" s="673"/>
      <c r="E29" s="644">
        <f>SUM(E27:E28)</f>
        <v>61210</v>
      </c>
      <c r="F29" s="665">
        <f>SUM(F27:F28)</f>
        <v>1469</v>
      </c>
      <c r="G29" s="643"/>
      <c r="H29" s="658">
        <f>ROUND(E29/1000,0)</f>
        <v>61</v>
      </c>
      <c r="I29" s="659" t="s">
        <v>364</v>
      </c>
    </row>
    <row r="30" spans="1:9" ht="24" customHeight="1" x14ac:dyDescent="0.7">
      <c r="A30" s="1271" t="s">
        <v>27</v>
      </c>
      <c r="B30" s="1271"/>
      <c r="C30" s="1271"/>
      <c r="D30" s="1271"/>
      <c r="E30" s="1271"/>
      <c r="F30" s="1271"/>
      <c r="G30" s="1271"/>
    </row>
    <row r="31" spans="1:9" ht="24" customHeight="1" x14ac:dyDescent="0.7">
      <c r="A31" s="661" t="s">
        <v>305</v>
      </c>
      <c r="B31" s="662">
        <v>86</v>
      </c>
      <c r="C31" s="662">
        <v>1892</v>
      </c>
      <c r="D31" s="1281">
        <v>24</v>
      </c>
      <c r="E31" s="654">
        <f>ROUND(C31*$E$3,0)</f>
        <v>18920</v>
      </c>
      <c r="F31" s="651">
        <f t="shared" ref="F31:F37" si="4">ROUND(E31*$D$31/1000,0)</f>
        <v>454</v>
      </c>
      <c r="G31" s="661"/>
      <c r="H31" s="655">
        <f t="shared" ref="H31:H37" si="5">ROUND(E31/1000,0)</f>
        <v>19</v>
      </c>
      <c r="I31" t="s">
        <v>364</v>
      </c>
    </row>
    <row r="32" spans="1:9" ht="24" customHeight="1" x14ac:dyDescent="0.7">
      <c r="A32" s="661" t="s">
        <v>306</v>
      </c>
      <c r="B32" s="662">
        <v>77</v>
      </c>
      <c r="C32" s="662">
        <v>1686</v>
      </c>
      <c r="D32" s="1282"/>
      <c r="E32" s="654">
        <f t="shared" ref="E32:E37" si="6">ROUND(C32*$E$3,0)</f>
        <v>16860</v>
      </c>
      <c r="F32" s="651">
        <f t="shared" si="4"/>
        <v>405</v>
      </c>
      <c r="G32" s="661"/>
      <c r="H32" s="655">
        <f t="shared" ref="H32:H34" si="7">ROUND(E32/1000,0)</f>
        <v>17</v>
      </c>
      <c r="I32" t="s">
        <v>364</v>
      </c>
    </row>
    <row r="33" spans="1:9" ht="24" customHeight="1" x14ac:dyDescent="0.7">
      <c r="A33" s="661" t="s">
        <v>307</v>
      </c>
      <c r="B33" s="662">
        <v>63</v>
      </c>
      <c r="C33" s="662">
        <v>1380</v>
      </c>
      <c r="D33" s="1282"/>
      <c r="E33" s="654">
        <f t="shared" si="6"/>
        <v>13800</v>
      </c>
      <c r="F33" s="651">
        <f t="shared" si="4"/>
        <v>331</v>
      </c>
      <c r="G33" s="661"/>
      <c r="H33" s="655">
        <f t="shared" si="7"/>
        <v>14</v>
      </c>
      <c r="I33" t="s">
        <v>364</v>
      </c>
    </row>
    <row r="34" spans="1:9" ht="24" customHeight="1" x14ac:dyDescent="0.7">
      <c r="A34" s="661" t="s">
        <v>308</v>
      </c>
      <c r="B34" s="662">
        <v>53</v>
      </c>
      <c r="C34" s="662">
        <v>1168</v>
      </c>
      <c r="D34" s="1282"/>
      <c r="E34" s="654">
        <f t="shared" si="6"/>
        <v>11680</v>
      </c>
      <c r="F34" s="651">
        <f t="shared" si="4"/>
        <v>280</v>
      </c>
      <c r="G34" s="661"/>
      <c r="H34" s="655">
        <f t="shared" si="7"/>
        <v>12</v>
      </c>
      <c r="I34" t="s">
        <v>364</v>
      </c>
    </row>
    <row r="35" spans="1:9" ht="24" customHeight="1" x14ac:dyDescent="0.7">
      <c r="A35" s="663" t="s">
        <v>309</v>
      </c>
      <c r="B35" s="664">
        <v>34</v>
      </c>
      <c r="C35" s="664">
        <v>751</v>
      </c>
      <c r="D35" s="1282"/>
      <c r="E35" s="654">
        <f t="shared" si="6"/>
        <v>7510</v>
      </c>
      <c r="F35" s="651">
        <f t="shared" si="4"/>
        <v>180</v>
      </c>
      <c r="G35" s="663"/>
      <c r="H35" s="655">
        <f t="shared" si="5"/>
        <v>8</v>
      </c>
      <c r="I35" t="s">
        <v>364</v>
      </c>
    </row>
    <row r="36" spans="1:9" ht="24" customHeight="1" x14ac:dyDescent="0.7">
      <c r="A36" s="663" t="s">
        <v>310</v>
      </c>
      <c r="B36" s="664">
        <v>70</v>
      </c>
      <c r="C36" s="664">
        <v>1547</v>
      </c>
      <c r="D36" s="1282"/>
      <c r="E36" s="654">
        <f t="shared" si="6"/>
        <v>15470</v>
      </c>
      <c r="F36" s="651">
        <f t="shared" si="4"/>
        <v>371</v>
      </c>
      <c r="G36" s="663"/>
      <c r="H36" s="655">
        <f t="shared" si="5"/>
        <v>15</v>
      </c>
      <c r="I36" t="s">
        <v>364</v>
      </c>
    </row>
    <row r="37" spans="1:9" ht="24" customHeight="1" x14ac:dyDescent="0.7">
      <c r="A37" s="640" t="s">
        <v>311</v>
      </c>
      <c r="B37" s="640">
        <v>7</v>
      </c>
      <c r="C37" s="635">
        <v>145</v>
      </c>
      <c r="D37" s="1283"/>
      <c r="E37" s="654">
        <f t="shared" si="6"/>
        <v>1450</v>
      </c>
      <c r="F37" s="651">
        <f t="shared" si="4"/>
        <v>35</v>
      </c>
      <c r="G37" s="634"/>
      <c r="H37" s="655">
        <f t="shared" si="5"/>
        <v>1</v>
      </c>
      <c r="I37" t="s">
        <v>364</v>
      </c>
    </row>
    <row r="38" spans="1:9" ht="24" customHeight="1" x14ac:dyDescent="0.7">
      <c r="A38" s="636" t="s">
        <v>369</v>
      </c>
      <c r="B38" s="657">
        <f>SUM(B31:B37)</f>
        <v>390</v>
      </c>
      <c r="C38" s="657">
        <f>SUM(C31:C37)</f>
        <v>8569</v>
      </c>
      <c r="D38" s="637"/>
      <c r="E38" s="637">
        <f>SUM(E31:E37)</f>
        <v>85690</v>
      </c>
      <c r="F38" s="657">
        <f>SUM(F31:F37)</f>
        <v>2056</v>
      </c>
      <c r="G38" s="636"/>
      <c r="H38" s="658">
        <f>ROUND(E38/1000,0)</f>
        <v>86</v>
      </c>
      <c r="I38" s="659" t="s">
        <v>364</v>
      </c>
    </row>
  </sheetData>
  <mergeCells count="22">
    <mergeCell ref="A30:G30"/>
    <mergeCell ref="A26:G26"/>
    <mergeCell ref="D31:D37"/>
    <mergeCell ref="A12:G12"/>
    <mergeCell ref="A20:G20"/>
    <mergeCell ref="A13:G13"/>
    <mergeCell ref="D14:D18"/>
    <mergeCell ref="D21:D23"/>
    <mergeCell ref="D27:D28"/>
    <mergeCell ref="A25:G25"/>
    <mergeCell ref="A1:G1"/>
    <mergeCell ref="A2:A3"/>
    <mergeCell ref="B2:B3"/>
    <mergeCell ref="C2:C3"/>
    <mergeCell ref="D2:D3"/>
    <mergeCell ref="F2:F3"/>
    <mergeCell ref="G2:G3"/>
    <mergeCell ref="J4:R4"/>
    <mergeCell ref="K5:P5"/>
    <mergeCell ref="A4:G4"/>
    <mergeCell ref="A5:G5"/>
    <mergeCell ref="D6:D1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1:R17"/>
  <sheetViews>
    <sheetView zoomScale="80" zoomScaleNormal="80" workbookViewId="0">
      <pane ySplit="4" topLeftCell="A5" activePane="bottomLeft" state="frozen"/>
      <selection pane="bottomLeft" activeCell="J2" sqref="J2:R2"/>
    </sheetView>
  </sheetViews>
  <sheetFormatPr defaultRowHeight="24.6" x14ac:dyDescent="0.7"/>
  <cols>
    <col min="1" max="1" width="0.8984375" customWidth="1"/>
    <col min="2" max="8" width="20.59765625" customWidth="1"/>
  </cols>
  <sheetData>
    <row r="1" spans="2:18" ht="33" x14ac:dyDescent="0.9">
      <c r="B1" s="1285" t="s">
        <v>371</v>
      </c>
      <c r="C1" s="1286"/>
      <c r="D1" s="1286"/>
      <c r="E1" s="1286"/>
      <c r="F1" s="1286"/>
      <c r="G1" s="1286"/>
      <c r="H1" s="1286"/>
    </row>
    <row r="2" spans="2:18" ht="33" customHeight="1" x14ac:dyDescent="0.7">
      <c r="B2" s="1248" t="s">
        <v>204</v>
      </c>
      <c r="C2" s="1248" t="s">
        <v>1</v>
      </c>
      <c r="D2" s="1248" t="s">
        <v>2</v>
      </c>
      <c r="E2" s="1287" t="s">
        <v>3</v>
      </c>
      <c r="F2" s="1288"/>
      <c r="G2" s="1288"/>
      <c r="H2" s="1289"/>
      <c r="J2" s="880" t="s">
        <v>425</v>
      </c>
      <c r="K2" s="880"/>
      <c r="L2" s="880"/>
      <c r="M2" s="880"/>
      <c r="N2" s="880"/>
      <c r="O2" s="880"/>
      <c r="P2" s="880"/>
      <c r="Q2" s="880"/>
      <c r="R2" s="880"/>
    </row>
    <row r="3" spans="2:18" ht="33" customHeight="1" x14ac:dyDescent="0.7">
      <c r="B3" s="1248"/>
      <c r="C3" s="1248"/>
      <c r="D3" s="1248"/>
      <c r="E3" s="1290" t="s">
        <v>370</v>
      </c>
      <c r="F3" s="1291"/>
      <c r="G3" s="1291"/>
      <c r="H3" s="1292"/>
    </row>
    <row r="4" spans="2:18" ht="33" x14ac:dyDescent="0.9">
      <c r="B4" s="1248"/>
      <c r="C4" s="1248"/>
      <c r="D4" s="1248"/>
      <c r="E4" s="478" t="s">
        <v>339</v>
      </c>
      <c r="F4" s="479" t="s">
        <v>372</v>
      </c>
      <c r="G4" s="478" t="s">
        <v>339</v>
      </c>
      <c r="H4" s="479" t="s">
        <v>372</v>
      </c>
    </row>
    <row r="5" spans="2:18" ht="33" x14ac:dyDescent="0.9">
      <c r="B5" s="480" t="s">
        <v>235</v>
      </c>
      <c r="C5" s="481"/>
      <c r="D5" s="481"/>
      <c r="E5" s="481"/>
      <c r="F5" s="481"/>
      <c r="G5" s="481"/>
      <c r="H5" s="481"/>
    </row>
    <row r="6" spans="2:18" ht="33" x14ac:dyDescent="0.9">
      <c r="B6" s="483" t="s">
        <v>218</v>
      </c>
      <c r="C6" s="484"/>
      <c r="D6" s="484"/>
      <c r="E6" s="484"/>
      <c r="F6" s="484"/>
      <c r="G6" s="484"/>
      <c r="H6" s="484"/>
    </row>
    <row r="7" spans="2:18" ht="33" x14ac:dyDescent="0.9">
      <c r="B7" s="486" t="s">
        <v>181</v>
      </c>
      <c r="C7" s="487">
        <v>140</v>
      </c>
      <c r="D7" s="488">
        <v>3070</v>
      </c>
      <c r="E7" s="487">
        <v>1</v>
      </c>
      <c r="F7" s="489">
        <f>ROUND(D7/100,0)</f>
        <v>31</v>
      </c>
      <c r="G7" s="487">
        <v>1</v>
      </c>
      <c r="H7" s="489">
        <f>ROUND(D7/100,0)</f>
        <v>31</v>
      </c>
    </row>
    <row r="8" spans="2:18" ht="33" x14ac:dyDescent="0.9">
      <c r="B8" s="486" t="s">
        <v>182</v>
      </c>
      <c r="C8" s="487">
        <v>149</v>
      </c>
      <c r="D8" s="488">
        <v>3270</v>
      </c>
      <c r="E8" s="487">
        <v>1</v>
      </c>
      <c r="F8" s="489">
        <f>ROUND(D8/100,0)</f>
        <v>33</v>
      </c>
      <c r="G8" s="487">
        <v>1</v>
      </c>
      <c r="H8" s="489">
        <f>ROUND(D8/100,0)</f>
        <v>33</v>
      </c>
    </row>
    <row r="9" spans="2:18" s="493" customFormat="1" ht="30" customHeight="1" x14ac:dyDescent="0.7">
      <c r="B9" s="490" t="s">
        <v>331</v>
      </c>
      <c r="C9" s="491">
        <f>SUM(C7:C8)</f>
        <v>289</v>
      </c>
      <c r="D9" s="492">
        <f>SUM(D7:D8)</f>
        <v>6340</v>
      </c>
      <c r="E9" s="491"/>
      <c r="F9" s="494">
        <f>SUM(F7:F8)</f>
        <v>64</v>
      </c>
      <c r="G9" s="491"/>
      <c r="H9" s="494">
        <f>SUM(H7:H8)</f>
        <v>64</v>
      </c>
    </row>
    <row r="10" spans="2:18" ht="30.6" x14ac:dyDescent="0.7">
      <c r="B10" s="1245" t="s">
        <v>373</v>
      </c>
      <c r="C10" s="1245"/>
      <c r="D10" s="1245"/>
      <c r="E10" s="1245"/>
      <c r="F10" s="495">
        <f>F9</f>
        <v>64</v>
      </c>
      <c r="G10" s="495"/>
      <c r="H10" s="495">
        <f>H9</f>
        <v>64</v>
      </c>
      <c r="K10" s="477"/>
    </row>
    <row r="11" spans="2:18" ht="33" x14ac:dyDescent="0.9">
      <c r="B11" s="480" t="s">
        <v>320</v>
      </c>
      <c r="C11" s="481"/>
      <c r="D11" s="481"/>
      <c r="E11" s="481"/>
      <c r="F11" s="481"/>
      <c r="G11" s="481"/>
      <c r="H11" s="481"/>
    </row>
    <row r="12" spans="2:18" ht="33" x14ac:dyDescent="0.9">
      <c r="B12" s="483" t="s">
        <v>218</v>
      </c>
      <c r="C12" s="484"/>
      <c r="D12" s="484"/>
      <c r="E12" s="484"/>
      <c r="F12" s="484"/>
      <c r="G12" s="484"/>
      <c r="H12" s="484"/>
    </row>
    <row r="13" spans="2:18" ht="33" x14ac:dyDescent="0.9">
      <c r="B13" s="486" t="s">
        <v>305</v>
      </c>
      <c r="C13" s="487">
        <v>86</v>
      </c>
      <c r="D13" s="488">
        <v>1892</v>
      </c>
      <c r="E13" s="487">
        <v>1</v>
      </c>
      <c r="F13" s="489">
        <f>ROUND(D13/100,0)</f>
        <v>19</v>
      </c>
      <c r="G13" s="487">
        <v>1</v>
      </c>
      <c r="H13" s="489">
        <f>ROUND(D13/100,0)</f>
        <v>19</v>
      </c>
    </row>
    <row r="14" spans="2:18" ht="33" x14ac:dyDescent="0.9">
      <c r="B14" s="486" t="s">
        <v>306</v>
      </c>
      <c r="C14" s="487">
        <v>77</v>
      </c>
      <c r="D14" s="488">
        <v>1686</v>
      </c>
      <c r="E14" s="487">
        <v>1</v>
      </c>
      <c r="F14" s="489">
        <f>ROUND(D14/100,0)</f>
        <v>17</v>
      </c>
      <c r="G14" s="487">
        <v>1</v>
      </c>
      <c r="H14" s="489">
        <f t="shared" ref="H14:H15" si="0">ROUND(D14/100,0)</f>
        <v>17</v>
      </c>
    </row>
    <row r="15" spans="2:18" ht="33" x14ac:dyDescent="0.9">
      <c r="B15" s="486" t="s">
        <v>307</v>
      </c>
      <c r="C15" s="487">
        <v>63</v>
      </c>
      <c r="D15" s="488">
        <v>1380</v>
      </c>
      <c r="E15" s="487">
        <v>1</v>
      </c>
      <c r="F15" s="489">
        <f>ROUND(D15/100,0)</f>
        <v>14</v>
      </c>
      <c r="G15" s="487">
        <v>1</v>
      </c>
      <c r="H15" s="489">
        <f t="shared" si="0"/>
        <v>14</v>
      </c>
    </row>
    <row r="16" spans="2:18" s="493" customFormat="1" ht="30" customHeight="1" x14ac:dyDescent="0.7">
      <c r="B16" s="490" t="s">
        <v>331</v>
      </c>
      <c r="C16" s="491">
        <f>SUM(C13:C15)</f>
        <v>226</v>
      </c>
      <c r="D16" s="492">
        <f>SUM(D13:D15)</f>
        <v>4958</v>
      </c>
      <c r="E16" s="491"/>
      <c r="F16" s="494">
        <f>SUM(F13:F15)</f>
        <v>50</v>
      </c>
      <c r="G16" s="491"/>
      <c r="H16" s="494">
        <f>SUM(H13:H15)</f>
        <v>50</v>
      </c>
    </row>
    <row r="17" spans="2:11" ht="30.6" x14ac:dyDescent="0.7">
      <c r="B17" s="1245" t="s">
        <v>369</v>
      </c>
      <c r="C17" s="1245"/>
      <c r="D17" s="1245"/>
      <c r="E17" s="1245"/>
      <c r="F17" s="495">
        <f>F16</f>
        <v>50</v>
      </c>
      <c r="G17" s="495"/>
      <c r="H17" s="495">
        <f>H16</f>
        <v>50</v>
      </c>
      <c r="K17" s="477"/>
    </row>
  </sheetData>
  <mergeCells count="9">
    <mergeCell ref="J2:R2"/>
    <mergeCell ref="B17:E17"/>
    <mergeCell ref="B10:E10"/>
    <mergeCell ref="B1:H1"/>
    <mergeCell ref="E2:H2"/>
    <mergeCell ref="E3:H3"/>
    <mergeCell ref="B2:B4"/>
    <mergeCell ref="C2:C4"/>
    <mergeCell ref="D2:D4"/>
  </mergeCells>
  <pageMargins left="0.25" right="0.25" top="0.63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U106"/>
  <sheetViews>
    <sheetView tabSelected="1" zoomScale="90" zoomScaleNormal="90" workbookViewId="0">
      <selection activeCell="K14" sqref="K14"/>
    </sheetView>
  </sheetViews>
  <sheetFormatPr defaultColWidth="9" defaultRowHeight="18" x14ac:dyDescent="0.35"/>
  <cols>
    <col min="1" max="1" width="15.59765625" style="217" customWidth="1"/>
    <col min="2" max="2" width="15.59765625" style="218" customWidth="1"/>
    <col min="3" max="5" width="15.59765625" style="217" customWidth="1"/>
    <col min="6" max="7" width="15.59765625" style="216" customWidth="1"/>
    <col min="8" max="9" width="15.59765625" style="217" customWidth="1"/>
    <col min="10" max="16384" width="9" style="217"/>
  </cols>
  <sheetData>
    <row r="1" spans="1:21" ht="24.75" customHeight="1" thickBot="1" x14ac:dyDescent="0.4">
      <c r="A1" s="1081" t="s">
        <v>387</v>
      </c>
      <c r="B1" s="1082"/>
      <c r="C1" s="1082"/>
      <c r="D1" s="1082"/>
      <c r="E1" s="1082"/>
      <c r="F1" s="1082"/>
      <c r="G1" s="1082"/>
      <c r="H1" s="1082"/>
      <c r="I1" s="1293"/>
    </row>
    <row r="2" spans="1:21" ht="21.75" customHeight="1" x14ac:dyDescent="0.35">
      <c r="A2" s="1294" t="s">
        <v>204</v>
      </c>
      <c r="B2" s="1089"/>
      <c r="C2" s="1092" t="s">
        <v>1</v>
      </c>
      <c r="D2" s="1092" t="s">
        <v>2</v>
      </c>
      <c r="E2" s="1296" t="s">
        <v>205</v>
      </c>
      <c r="F2" s="1096" t="s">
        <v>206</v>
      </c>
      <c r="G2" s="1318" t="s">
        <v>388</v>
      </c>
      <c r="H2" s="1300" t="s">
        <v>207</v>
      </c>
      <c r="I2" s="1298" t="s">
        <v>389</v>
      </c>
    </row>
    <row r="3" spans="1:21" ht="24.75" customHeight="1" thickBot="1" x14ac:dyDescent="0.4">
      <c r="A3" s="1295"/>
      <c r="B3" s="1091"/>
      <c r="C3" s="1093"/>
      <c r="D3" s="1093"/>
      <c r="E3" s="1297"/>
      <c r="F3" s="1097"/>
      <c r="G3" s="1319"/>
      <c r="H3" s="1114"/>
      <c r="I3" s="1299"/>
      <c r="K3" s="880" t="s">
        <v>426</v>
      </c>
      <c r="L3" s="880"/>
      <c r="M3" s="880"/>
      <c r="N3" s="880"/>
      <c r="O3" s="880"/>
      <c r="P3" s="880"/>
      <c r="Q3" s="880"/>
      <c r="R3" s="880"/>
      <c r="S3" s="880"/>
      <c r="T3" s="880"/>
      <c r="U3" s="880"/>
    </row>
    <row r="4" spans="1:21" ht="24.75" customHeight="1" thickBot="1" x14ac:dyDescent="0.4">
      <c r="A4" s="1078" t="s">
        <v>217</v>
      </c>
      <c r="B4" s="1079"/>
      <c r="C4" s="1079"/>
      <c r="D4" s="1079"/>
      <c r="E4" s="1079"/>
      <c r="F4" s="1079"/>
      <c r="G4" s="1079"/>
      <c r="H4" s="1079"/>
      <c r="I4" s="1080"/>
    </row>
    <row r="5" spans="1:21" ht="24" customHeight="1" thickBot="1" x14ac:dyDescent="0.5">
      <c r="A5" s="1130" t="s">
        <v>218</v>
      </c>
      <c r="B5" s="1131"/>
      <c r="C5" s="1131"/>
      <c r="D5" s="1131"/>
      <c r="E5" s="1131"/>
      <c r="F5" s="1131"/>
      <c r="G5" s="1131"/>
      <c r="H5" s="1131"/>
      <c r="I5" s="1132"/>
    </row>
    <row r="6" spans="1:21" ht="24" thickBot="1" x14ac:dyDescent="0.5">
      <c r="A6" s="783" t="s">
        <v>51</v>
      </c>
      <c r="B6" s="538">
        <v>1</v>
      </c>
      <c r="C6" s="539">
        <f>'จน.ปาล์ม 69 '!E59</f>
        <v>169</v>
      </c>
      <c r="D6" s="539">
        <f>'จน.ปาล์ม 69 '!F59</f>
        <v>4231</v>
      </c>
      <c r="E6" s="500">
        <f>ROUND(C6*B6,0)</f>
        <v>169</v>
      </c>
      <c r="F6" s="501">
        <f>ROUND(D6*B6,0)</f>
        <v>4231</v>
      </c>
      <c r="G6" s="501">
        <v>1</v>
      </c>
      <c r="H6" s="384">
        <v>2</v>
      </c>
      <c r="I6" s="778">
        <f>ROUND(H6*F6,0)</f>
        <v>8462</v>
      </c>
    </row>
    <row r="7" spans="1:21" ht="24.75" customHeight="1" thickBot="1" x14ac:dyDescent="0.65">
      <c r="A7" s="1141" t="s">
        <v>390</v>
      </c>
      <c r="B7" s="1142"/>
      <c r="C7" s="1142"/>
      <c r="D7" s="1142"/>
      <c r="E7" s="1142"/>
      <c r="F7" s="1142"/>
      <c r="G7" s="1142"/>
      <c r="H7" s="1142"/>
      <c r="I7" s="799">
        <f>I6</f>
        <v>8462</v>
      </c>
    </row>
    <row r="8" spans="1:21" ht="23.4" x14ac:dyDescent="0.35">
      <c r="A8" s="1301" t="s">
        <v>392</v>
      </c>
      <c r="B8" s="1153"/>
      <c r="C8" s="1153"/>
      <c r="D8" s="1153"/>
      <c r="E8" s="1153"/>
      <c r="F8" s="1153"/>
      <c r="G8" s="1153"/>
      <c r="H8" s="1153"/>
      <c r="I8" s="1302"/>
    </row>
    <row r="9" spans="1:21" ht="23.4" x14ac:dyDescent="0.45">
      <c r="A9" s="785" t="s">
        <v>111</v>
      </c>
      <c r="B9" s="538">
        <v>1</v>
      </c>
      <c r="C9" s="539">
        <f>'จน.ปาล์ม 69 '!E53</f>
        <v>117</v>
      </c>
      <c r="D9" s="539">
        <f>'จน.ปาล์ม 69 '!F53</f>
        <v>2934</v>
      </c>
      <c r="E9" s="542">
        <f>ROUND(C9*B9,0)</f>
        <v>117</v>
      </c>
      <c r="F9" s="543">
        <f>ROUND(D9*B9,0)</f>
        <v>2934</v>
      </c>
      <c r="G9" s="501">
        <v>1</v>
      </c>
      <c r="H9" s="384">
        <v>2</v>
      </c>
      <c r="I9" s="780">
        <f>ROUND(H9*F9,0)</f>
        <v>5868</v>
      </c>
    </row>
    <row r="10" spans="1:21" ht="24" thickBot="1" x14ac:dyDescent="0.5">
      <c r="A10" s="800" t="s">
        <v>113</v>
      </c>
      <c r="B10" s="545">
        <v>1</v>
      </c>
      <c r="C10" s="405">
        <f>'จน.ปาล์ม 69 '!E55</f>
        <v>115</v>
      </c>
      <c r="D10" s="405">
        <f>'จน.ปาล์ม 69 '!F55</f>
        <v>2864</v>
      </c>
      <c r="E10" s="507">
        <f>ROUND(C10*B10,0)</f>
        <v>115</v>
      </c>
      <c r="F10" s="508">
        <f>ROUND(D10*B10,0)</f>
        <v>2864</v>
      </c>
      <c r="G10" s="515">
        <v>1</v>
      </c>
      <c r="H10" s="547">
        <v>2</v>
      </c>
      <c r="I10" s="779">
        <f>ROUND(H10*F10,0)</f>
        <v>5728</v>
      </c>
    </row>
    <row r="11" spans="1:21" ht="24.75" customHeight="1" thickBot="1" x14ac:dyDescent="0.65">
      <c r="A11" s="1141" t="s">
        <v>391</v>
      </c>
      <c r="B11" s="1142"/>
      <c r="C11" s="1142"/>
      <c r="D11" s="1142"/>
      <c r="E11" s="1142"/>
      <c r="F11" s="1142"/>
      <c r="G11" s="1142"/>
      <c r="H11" s="1142"/>
      <c r="I11" s="799">
        <f>SUM(I9:I10)</f>
        <v>11596</v>
      </c>
    </row>
    <row r="12" spans="1:21" ht="23.4" x14ac:dyDescent="0.45">
      <c r="A12" s="1303" t="s">
        <v>225</v>
      </c>
      <c r="B12" s="1304"/>
      <c r="C12" s="1304"/>
      <c r="D12" s="1304"/>
      <c r="E12" s="1304"/>
      <c r="F12" s="1304"/>
      <c r="G12" s="1304"/>
      <c r="H12" s="1304"/>
      <c r="I12" s="1305"/>
    </row>
    <row r="13" spans="1:21" ht="24.75" customHeight="1" x14ac:dyDescent="0.45">
      <c r="A13" s="1146" t="s">
        <v>227</v>
      </c>
      <c r="B13" s="1147"/>
      <c r="C13" s="1147"/>
      <c r="D13" s="1147"/>
      <c r="E13" s="1147"/>
      <c r="F13" s="1147"/>
      <c r="G13" s="1147"/>
      <c r="H13" s="1147"/>
      <c r="I13" s="1306"/>
    </row>
    <row r="14" spans="1:21" ht="23.4" x14ac:dyDescent="0.45">
      <c r="A14" s="784" t="s">
        <v>52</v>
      </c>
      <c r="B14" s="564">
        <v>1</v>
      </c>
      <c r="C14" s="381">
        <f>'จน.ปาล์ม 69 '!E82</f>
        <v>154</v>
      </c>
      <c r="D14" s="381">
        <f>'จน.ปาล์ม 69 '!F82</f>
        <v>3851</v>
      </c>
      <c r="E14" s="542">
        <f>ROUND(C14*B14,0)</f>
        <v>154</v>
      </c>
      <c r="F14" s="543">
        <f>ROUND(D14*B14,0)</f>
        <v>3851</v>
      </c>
      <c r="G14" s="543">
        <v>1</v>
      </c>
      <c r="H14" s="378">
        <v>2</v>
      </c>
      <c r="I14" s="780">
        <f>ROUND(H14*F14,0)</f>
        <v>7702</v>
      </c>
    </row>
    <row r="15" spans="1:21" ht="23.4" x14ac:dyDescent="0.45">
      <c r="A15" s="784" t="s">
        <v>53</v>
      </c>
      <c r="B15" s="564">
        <v>1</v>
      </c>
      <c r="C15" s="381">
        <f>'จน.ปาล์ม 69 '!E83</f>
        <v>139</v>
      </c>
      <c r="D15" s="381">
        <f>'จน.ปาล์ม 69 '!F83</f>
        <v>3476</v>
      </c>
      <c r="E15" s="542">
        <f t="shared" ref="E15:E16" si="0">ROUND(C15*B15,0)</f>
        <v>139</v>
      </c>
      <c r="F15" s="543">
        <f t="shared" ref="F15:F16" si="1">ROUND(D15*B15,0)</f>
        <v>3476</v>
      </c>
      <c r="G15" s="543">
        <v>1</v>
      </c>
      <c r="H15" s="378">
        <v>2</v>
      </c>
      <c r="I15" s="780">
        <f>ROUND(H15*F15,0)</f>
        <v>6952</v>
      </c>
    </row>
    <row r="16" spans="1:21" ht="24" thickBot="1" x14ac:dyDescent="0.5">
      <c r="A16" s="791" t="s">
        <v>54</v>
      </c>
      <c r="B16" s="792">
        <v>1</v>
      </c>
      <c r="C16" s="793">
        <f>'จน.ปาล์ม 69 '!E84</f>
        <v>165</v>
      </c>
      <c r="D16" s="793">
        <f>'จน.ปาล์ม 69 '!F84</f>
        <v>4127</v>
      </c>
      <c r="E16" s="794">
        <f t="shared" si="0"/>
        <v>165</v>
      </c>
      <c r="F16" s="795">
        <f t="shared" si="1"/>
        <v>4127</v>
      </c>
      <c r="G16" s="795">
        <v>1</v>
      </c>
      <c r="H16" s="796">
        <v>2</v>
      </c>
      <c r="I16" s="797">
        <f>ROUND(H16*F16,0)</f>
        <v>8254</v>
      </c>
    </row>
    <row r="17" spans="1:9" ht="24.75" customHeight="1" thickBot="1" x14ac:dyDescent="0.5">
      <c r="A17" s="1139" t="s">
        <v>393</v>
      </c>
      <c r="B17" s="1140"/>
      <c r="C17" s="1140"/>
      <c r="D17" s="1140"/>
      <c r="E17" s="1140"/>
      <c r="F17" s="1140"/>
      <c r="G17" s="1140"/>
      <c r="H17" s="1140"/>
      <c r="I17" s="548">
        <f>SUM(I14:I16)</f>
        <v>22908</v>
      </c>
    </row>
    <row r="18" spans="1:9" ht="24" customHeight="1" x14ac:dyDescent="0.45">
      <c r="A18" s="1307" t="s">
        <v>27</v>
      </c>
      <c r="B18" s="1144"/>
      <c r="C18" s="1144"/>
      <c r="D18" s="1144"/>
      <c r="E18" s="1144"/>
      <c r="F18" s="1144"/>
      <c r="G18" s="1144"/>
      <c r="H18" s="1144"/>
      <c r="I18" s="1308"/>
    </row>
    <row r="19" spans="1:9" ht="24" customHeight="1" x14ac:dyDescent="0.45">
      <c r="A19" s="786" t="s">
        <v>135</v>
      </c>
      <c r="B19" s="561">
        <v>1</v>
      </c>
      <c r="C19" s="551">
        <f>'จน.ปาล์ม 69 '!E97</f>
        <v>142</v>
      </c>
      <c r="D19" s="551">
        <f>'จน.ปาล์ม 69 '!F97</f>
        <v>3259</v>
      </c>
      <c r="E19" s="507">
        <f>ROUND(C19*B19,0)</f>
        <v>142</v>
      </c>
      <c r="F19" s="508">
        <f>ROUND(D19*B19,0)</f>
        <v>3259</v>
      </c>
      <c r="G19" s="508">
        <v>1</v>
      </c>
      <c r="H19" s="402">
        <v>2</v>
      </c>
      <c r="I19" s="780">
        <f>ROUND(H19*F19,0)</f>
        <v>6518</v>
      </c>
    </row>
    <row r="20" spans="1:9" ht="24" thickBot="1" x14ac:dyDescent="0.5">
      <c r="A20" s="786" t="s">
        <v>128</v>
      </c>
      <c r="B20" s="561">
        <v>1</v>
      </c>
      <c r="C20" s="551">
        <f>'จน.ปาล์ม 69 '!E95</f>
        <v>29</v>
      </c>
      <c r="D20" s="551">
        <f>'จน.ปาล์ม 69 '!F95</f>
        <v>720</v>
      </c>
      <c r="E20" s="507">
        <f>ROUND(C20*B20,0)</f>
        <v>29</v>
      </c>
      <c r="F20" s="508">
        <f>ROUND(D20*B20,0)</f>
        <v>720</v>
      </c>
      <c r="G20" s="508">
        <v>1</v>
      </c>
      <c r="H20" s="402">
        <v>2</v>
      </c>
      <c r="I20" s="780">
        <f>ROUND(H20*F20,0)</f>
        <v>1440</v>
      </c>
    </row>
    <row r="21" spans="1:9" ht="24" thickBot="1" x14ac:dyDescent="0.5">
      <c r="A21" s="1139" t="s">
        <v>394</v>
      </c>
      <c r="B21" s="1140"/>
      <c r="C21" s="1140"/>
      <c r="D21" s="1140"/>
      <c r="E21" s="1140"/>
      <c r="F21" s="1140"/>
      <c r="G21" s="1140"/>
      <c r="H21" s="1140"/>
      <c r="I21" s="801">
        <f>SUM(I19:I20)</f>
        <v>7958</v>
      </c>
    </row>
    <row r="22" spans="1:9" ht="24.75" customHeight="1" thickBot="1" x14ac:dyDescent="0.4">
      <c r="A22" s="1161" t="s">
        <v>395</v>
      </c>
      <c r="B22" s="1162"/>
      <c r="C22" s="1162"/>
      <c r="D22" s="1162"/>
      <c r="E22" s="1162"/>
      <c r="F22" s="1162"/>
      <c r="G22" s="1162"/>
      <c r="H22" s="1162"/>
      <c r="I22" s="802">
        <f>I21+I17</f>
        <v>30866</v>
      </c>
    </row>
    <row r="23" spans="1:9" ht="24.75" customHeight="1" thickBot="1" x14ac:dyDescent="0.5">
      <c r="A23" s="1165" t="s">
        <v>230</v>
      </c>
      <c r="B23" s="1166"/>
      <c r="C23" s="1166"/>
      <c r="D23" s="1166"/>
      <c r="E23" s="1166"/>
      <c r="F23" s="1166"/>
      <c r="G23" s="1166"/>
      <c r="H23" s="1166"/>
      <c r="I23" s="1167"/>
    </row>
    <row r="24" spans="1:9" ht="24" customHeight="1" thickBot="1" x14ac:dyDescent="0.5">
      <c r="A24" s="1310" t="s">
        <v>22</v>
      </c>
      <c r="B24" s="1311"/>
      <c r="C24" s="1311"/>
      <c r="D24" s="1311"/>
      <c r="E24" s="1311"/>
      <c r="F24" s="1311"/>
      <c r="G24" s="1311"/>
      <c r="H24" s="1311"/>
      <c r="I24" s="1312"/>
    </row>
    <row r="25" spans="1:9" ht="23.4" x14ac:dyDescent="0.45">
      <c r="A25" s="786" t="s">
        <v>139</v>
      </c>
      <c r="B25" s="561">
        <v>1</v>
      </c>
      <c r="C25" s="551">
        <v>121</v>
      </c>
      <c r="D25" s="551">
        <v>3037</v>
      </c>
      <c r="E25" s="507">
        <f>ROUND(C25*B25,0)</f>
        <v>121</v>
      </c>
      <c r="F25" s="508">
        <f>ROUND(D25*B25,0)</f>
        <v>3037</v>
      </c>
      <c r="G25" s="508">
        <v>2</v>
      </c>
      <c r="H25" s="402">
        <v>2</v>
      </c>
      <c r="I25" s="780">
        <f>ROUND(H25*F25*G25,0)</f>
        <v>12148</v>
      </c>
    </row>
    <row r="26" spans="1:9" ht="23.4" x14ac:dyDescent="0.45">
      <c r="A26" s="786" t="s">
        <v>140</v>
      </c>
      <c r="B26" s="561">
        <v>1</v>
      </c>
      <c r="C26" s="551">
        <v>38</v>
      </c>
      <c r="D26" s="551">
        <v>842</v>
      </c>
      <c r="E26" s="507">
        <f t="shared" ref="E26:E27" si="2">ROUND(C26*B26,0)</f>
        <v>38</v>
      </c>
      <c r="F26" s="508">
        <f t="shared" ref="F26:F27" si="3">ROUND(D26*B26,0)</f>
        <v>842</v>
      </c>
      <c r="G26" s="508">
        <v>2</v>
      </c>
      <c r="H26" s="402">
        <v>2</v>
      </c>
      <c r="I26" s="780">
        <f>ROUND(H26*F26*G26,0)</f>
        <v>3368</v>
      </c>
    </row>
    <row r="27" spans="1:9" ht="24" thickBot="1" x14ac:dyDescent="0.5">
      <c r="A27" s="786" t="s">
        <v>141</v>
      </c>
      <c r="B27" s="561">
        <v>1</v>
      </c>
      <c r="C27" s="551">
        <v>38</v>
      </c>
      <c r="D27" s="551">
        <v>844</v>
      </c>
      <c r="E27" s="507">
        <f t="shared" si="2"/>
        <v>38</v>
      </c>
      <c r="F27" s="508">
        <f t="shared" si="3"/>
        <v>844</v>
      </c>
      <c r="G27" s="508">
        <v>2</v>
      </c>
      <c r="H27" s="402">
        <v>2</v>
      </c>
      <c r="I27" s="780">
        <f t="shared" ref="I27" si="4">ROUND(H27*F27*G27,0)</f>
        <v>3376</v>
      </c>
    </row>
    <row r="28" spans="1:9" ht="24.75" customHeight="1" thickBot="1" x14ac:dyDescent="0.5">
      <c r="A28" s="1139" t="s">
        <v>397</v>
      </c>
      <c r="B28" s="1140"/>
      <c r="C28" s="1140"/>
      <c r="D28" s="1140"/>
      <c r="E28" s="1140"/>
      <c r="F28" s="1140"/>
      <c r="G28" s="1140"/>
      <c r="H28" s="1140"/>
      <c r="I28" s="548">
        <f>SUM(I25:I27)</f>
        <v>18892</v>
      </c>
    </row>
    <row r="29" spans="1:9" ht="24" customHeight="1" thickBot="1" x14ac:dyDescent="0.5">
      <c r="A29" s="1168" t="s">
        <v>27</v>
      </c>
      <c r="B29" s="1169"/>
      <c r="C29" s="1169"/>
      <c r="D29" s="1169"/>
      <c r="E29" s="1169"/>
      <c r="F29" s="1169"/>
      <c r="G29" s="1169"/>
      <c r="H29" s="1169"/>
      <c r="I29" s="1171"/>
    </row>
    <row r="30" spans="1:9" ht="23.4" x14ac:dyDescent="0.45">
      <c r="A30" s="787" t="s">
        <v>144</v>
      </c>
      <c r="B30" s="803">
        <v>1</v>
      </c>
      <c r="C30" s="573">
        <v>24</v>
      </c>
      <c r="D30" s="573">
        <v>534</v>
      </c>
      <c r="E30" s="574">
        <f>ROUND(C30*B30,0)</f>
        <v>24</v>
      </c>
      <c r="F30" s="508">
        <f>ROUND(D30*B30,0)</f>
        <v>534</v>
      </c>
      <c r="G30" s="804">
        <v>2</v>
      </c>
      <c r="H30" s="805">
        <v>2</v>
      </c>
      <c r="I30" s="806">
        <f t="shared" ref="I30:I34" si="5">ROUND(H30*F30*G30,0)</f>
        <v>2136</v>
      </c>
    </row>
    <row r="31" spans="1:9" ht="23.4" x14ac:dyDescent="0.45">
      <c r="A31" s="377" t="s">
        <v>145</v>
      </c>
      <c r="B31" s="808">
        <v>1</v>
      </c>
      <c r="C31" s="551">
        <v>39</v>
      </c>
      <c r="D31" s="551">
        <v>980</v>
      </c>
      <c r="E31" s="551">
        <f t="shared" ref="E31:E34" si="6">ROUND(C31*B31,0)</f>
        <v>39</v>
      </c>
      <c r="F31" s="508">
        <f t="shared" ref="F31:F34" si="7">ROUND(D31*B31,0)</f>
        <v>980</v>
      </c>
      <c r="G31" s="543">
        <v>2</v>
      </c>
      <c r="H31" s="378">
        <v>2</v>
      </c>
      <c r="I31" s="780">
        <f t="shared" si="5"/>
        <v>3920</v>
      </c>
    </row>
    <row r="32" spans="1:9" ht="23.4" x14ac:dyDescent="0.45">
      <c r="A32" s="377" t="s">
        <v>146</v>
      </c>
      <c r="B32" s="807">
        <v>1</v>
      </c>
      <c r="C32" s="551">
        <v>14</v>
      </c>
      <c r="D32" s="551">
        <v>309</v>
      </c>
      <c r="E32" s="551">
        <f t="shared" si="6"/>
        <v>14</v>
      </c>
      <c r="F32" s="508">
        <f t="shared" si="7"/>
        <v>309</v>
      </c>
      <c r="G32" s="543">
        <v>2</v>
      </c>
      <c r="H32" s="378">
        <v>2</v>
      </c>
      <c r="I32" s="780">
        <f t="shared" si="5"/>
        <v>1236</v>
      </c>
    </row>
    <row r="33" spans="1:9" ht="23.4" x14ac:dyDescent="0.45">
      <c r="A33" s="377" t="s">
        <v>147</v>
      </c>
      <c r="B33" s="809">
        <v>1</v>
      </c>
      <c r="C33" s="551">
        <v>109</v>
      </c>
      <c r="D33" s="551">
        <v>2388</v>
      </c>
      <c r="E33" s="555">
        <f t="shared" si="6"/>
        <v>109</v>
      </c>
      <c r="F33" s="508">
        <f t="shared" si="7"/>
        <v>2388</v>
      </c>
      <c r="G33" s="543">
        <v>2</v>
      </c>
      <c r="H33" s="378">
        <v>2</v>
      </c>
      <c r="I33" s="780">
        <f t="shared" si="5"/>
        <v>9552</v>
      </c>
    </row>
    <row r="34" spans="1:9" ht="23.4" x14ac:dyDescent="0.45">
      <c r="A34" s="377" t="s">
        <v>149</v>
      </c>
      <c r="B34" s="807">
        <v>1</v>
      </c>
      <c r="C34" s="551">
        <v>108</v>
      </c>
      <c r="D34" s="551">
        <v>2365</v>
      </c>
      <c r="E34" s="542">
        <f t="shared" si="6"/>
        <v>108</v>
      </c>
      <c r="F34" s="508">
        <f t="shared" si="7"/>
        <v>2365</v>
      </c>
      <c r="G34" s="543">
        <v>2</v>
      </c>
      <c r="H34" s="378">
        <v>2</v>
      </c>
      <c r="I34" s="780">
        <f t="shared" si="5"/>
        <v>9460</v>
      </c>
    </row>
    <row r="35" spans="1:9" ht="24.75" customHeight="1" x14ac:dyDescent="0.45">
      <c r="A35" s="1313" t="s">
        <v>396</v>
      </c>
      <c r="B35" s="1164"/>
      <c r="C35" s="1164"/>
      <c r="D35" s="1164"/>
      <c r="E35" s="1164"/>
      <c r="F35" s="1164"/>
      <c r="G35" s="1164"/>
      <c r="H35" s="1164"/>
      <c r="I35" s="781">
        <f>SUM(I30:I34)</f>
        <v>26304</v>
      </c>
    </row>
    <row r="36" spans="1:9" ht="25.8" thickBot="1" x14ac:dyDescent="0.65">
      <c r="A36" s="1314" t="s">
        <v>398</v>
      </c>
      <c r="B36" s="1129"/>
      <c r="C36" s="1129"/>
      <c r="D36" s="1129"/>
      <c r="E36" s="1129"/>
      <c r="F36" s="1129"/>
      <c r="G36" s="1129"/>
      <c r="H36" s="1129"/>
      <c r="I36" s="798">
        <f>I35+I28</f>
        <v>45196</v>
      </c>
    </row>
    <row r="37" spans="1:9" ht="24.75" customHeight="1" thickBot="1" x14ac:dyDescent="0.5">
      <c r="A37" s="1165" t="s">
        <v>336</v>
      </c>
      <c r="B37" s="1166"/>
      <c r="C37" s="1166"/>
      <c r="D37" s="1166"/>
      <c r="E37" s="1166"/>
      <c r="F37" s="1166"/>
      <c r="G37" s="1166"/>
      <c r="H37" s="1166"/>
      <c r="I37" s="1167"/>
    </row>
    <row r="38" spans="1:9" ht="24" customHeight="1" thickBot="1" x14ac:dyDescent="0.5">
      <c r="A38" s="1310" t="s">
        <v>22</v>
      </c>
      <c r="B38" s="1311"/>
      <c r="C38" s="1311"/>
      <c r="D38" s="1311"/>
      <c r="E38" s="1311"/>
      <c r="F38" s="1311"/>
      <c r="G38" s="1311"/>
      <c r="H38" s="1311"/>
      <c r="I38" s="1312"/>
    </row>
    <row r="39" spans="1:9" ht="23.4" x14ac:dyDescent="0.45">
      <c r="A39" s="786" t="s">
        <v>55</v>
      </c>
      <c r="B39" s="561">
        <v>1</v>
      </c>
      <c r="C39" s="551">
        <v>158</v>
      </c>
      <c r="D39" s="551">
        <v>3480</v>
      </c>
      <c r="E39" s="507">
        <f>ROUND(C39*B39,0)</f>
        <v>158</v>
      </c>
      <c r="F39" s="508">
        <f>ROUND(D39*B39,0)</f>
        <v>3480</v>
      </c>
      <c r="G39" s="508">
        <v>3</v>
      </c>
      <c r="H39" s="402">
        <v>3.5</v>
      </c>
      <c r="I39" s="780">
        <f>ROUND(H39*F39*G39,0)</f>
        <v>36540</v>
      </c>
    </row>
    <row r="40" spans="1:9" ht="23.4" x14ac:dyDescent="0.45">
      <c r="A40" s="786" t="s">
        <v>56</v>
      </c>
      <c r="B40" s="561">
        <v>1</v>
      </c>
      <c r="C40" s="551">
        <v>143</v>
      </c>
      <c r="D40" s="551">
        <v>3140</v>
      </c>
      <c r="E40" s="507">
        <f t="shared" ref="E40:E41" si="8">ROUND(C40*B40,0)</f>
        <v>143</v>
      </c>
      <c r="F40" s="508">
        <f t="shared" ref="F40:F41" si="9">ROUND(D40*B40,0)</f>
        <v>3140</v>
      </c>
      <c r="G40" s="508">
        <v>3</v>
      </c>
      <c r="H40" s="402">
        <v>3.5</v>
      </c>
      <c r="I40" s="780">
        <f>ROUND(H40*F40*G40,0)</f>
        <v>32970</v>
      </c>
    </row>
    <row r="41" spans="1:9" ht="24" thickBot="1" x14ac:dyDescent="0.5">
      <c r="A41" s="786" t="s">
        <v>57</v>
      </c>
      <c r="B41" s="561">
        <v>1</v>
      </c>
      <c r="C41" s="551">
        <v>167</v>
      </c>
      <c r="D41" s="551">
        <v>3671</v>
      </c>
      <c r="E41" s="507">
        <f t="shared" si="8"/>
        <v>167</v>
      </c>
      <c r="F41" s="508">
        <f t="shared" si="9"/>
        <v>3671</v>
      </c>
      <c r="G41" s="508">
        <v>3</v>
      </c>
      <c r="H41" s="402">
        <v>3.5</v>
      </c>
      <c r="I41" s="780">
        <f>ROUND(H41*F41*G41,0)</f>
        <v>38546</v>
      </c>
    </row>
    <row r="42" spans="1:9" ht="24.75" customHeight="1" thickBot="1" x14ac:dyDescent="0.5">
      <c r="A42" s="1139" t="s">
        <v>399</v>
      </c>
      <c r="B42" s="1140"/>
      <c r="C42" s="1140"/>
      <c r="D42" s="1140"/>
      <c r="E42" s="1140"/>
      <c r="F42" s="1140"/>
      <c r="G42" s="1140"/>
      <c r="H42" s="1140"/>
      <c r="I42" s="548">
        <f>SUM(I39:I41)</f>
        <v>108056</v>
      </c>
    </row>
    <row r="43" spans="1:9" ht="24" customHeight="1" thickBot="1" x14ac:dyDescent="0.5">
      <c r="A43" s="1168" t="s">
        <v>27</v>
      </c>
      <c r="B43" s="1169"/>
      <c r="C43" s="1169"/>
      <c r="D43" s="1169"/>
      <c r="E43" s="1169"/>
      <c r="F43" s="1169"/>
      <c r="G43" s="1169"/>
      <c r="H43" s="1169"/>
      <c r="I43" s="1171"/>
    </row>
    <row r="44" spans="1:9" ht="23.4" x14ac:dyDescent="0.45">
      <c r="A44" s="787" t="s">
        <v>152</v>
      </c>
      <c r="B44" s="803">
        <v>1</v>
      </c>
      <c r="C44" s="573">
        <v>131</v>
      </c>
      <c r="D44" s="573">
        <v>2886</v>
      </c>
      <c r="E44" s="574">
        <f>ROUND(C44*B44,0)</f>
        <v>131</v>
      </c>
      <c r="F44" s="508">
        <f>ROUND(D44*B44,0)</f>
        <v>2886</v>
      </c>
      <c r="G44" s="804">
        <v>3</v>
      </c>
      <c r="H44" s="805">
        <v>3.5</v>
      </c>
      <c r="I44" s="806">
        <f>ROUND(H44*F44*G44,0)</f>
        <v>30303</v>
      </c>
    </row>
    <row r="45" spans="1:9" ht="23.4" x14ac:dyDescent="0.45">
      <c r="A45" s="377" t="s">
        <v>153</v>
      </c>
      <c r="B45" s="808">
        <v>1</v>
      </c>
      <c r="C45" s="551">
        <v>117</v>
      </c>
      <c r="D45" s="551">
        <v>2579</v>
      </c>
      <c r="E45" s="551">
        <f t="shared" ref="E45:E48" si="10">ROUND(C45*B45,0)</f>
        <v>117</v>
      </c>
      <c r="F45" s="508">
        <f t="shared" ref="F45:F48" si="11">ROUND(D45*B45,0)</f>
        <v>2579</v>
      </c>
      <c r="G45" s="543">
        <v>3</v>
      </c>
      <c r="H45" s="378">
        <v>3.5</v>
      </c>
      <c r="I45" s="780">
        <f t="shared" ref="I45:I48" si="12">ROUND(H45*F45*G45,0)</f>
        <v>27080</v>
      </c>
    </row>
    <row r="46" spans="1:9" ht="23.4" x14ac:dyDescent="0.45">
      <c r="A46" s="377" t="s">
        <v>154</v>
      </c>
      <c r="B46" s="807">
        <v>1</v>
      </c>
      <c r="C46" s="551">
        <v>155</v>
      </c>
      <c r="D46" s="551">
        <v>3402</v>
      </c>
      <c r="E46" s="551">
        <f t="shared" si="10"/>
        <v>155</v>
      </c>
      <c r="F46" s="508">
        <f t="shared" si="11"/>
        <v>3402</v>
      </c>
      <c r="G46" s="543">
        <v>3</v>
      </c>
      <c r="H46" s="378">
        <v>3.5</v>
      </c>
      <c r="I46" s="780">
        <f t="shared" si="12"/>
        <v>35721</v>
      </c>
    </row>
    <row r="47" spans="1:9" ht="23.4" x14ac:dyDescent="0.45">
      <c r="A47" s="377" t="s">
        <v>155</v>
      </c>
      <c r="B47" s="809">
        <v>1</v>
      </c>
      <c r="C47" s="551">
        <v>100</v>
      </c>
      <c r="D47" s="551">
        <v>2192</v>
      </c>
      <c r="E47" s="555">
        <f t="shared" si="10"/>
        <v>100</v>
      </c>
      <c r="F47" s="508">
        <f t="shared" si="11"/>
        <v>2192</v>
      </c>
      <c r="G47" s="543">
        <v>3</v>
      </c>
      <c r="H47" s="378">
        <v>3.5</v>
      </c>
      <c r="I47" s="779">
        <f t="shared" si="12"/>
        <v>23016</v>
      </c>
    </row>
    <row r="48" spans="1:9" ht="23.4" x14ac:dyDescent="0.45">
      <c r="A48" s="377" t="s">
        <v>158</v>
      </c>
      <c r="B48" s="809">
        <v>1</v>
      </c>
      <c r="C48" s="551">
        <v>130</v>
      </c>
      <c r="D48" s="551">
        <v>2853</v>
      </c>
      <c r="E48" s="555">
        <f t="shared" si="10"/>
        <v>130</v>
      </c>
      <c r="F48" s="508">
        <f t="shared" si="11"/>
        <v>2853</v>
      </c>
      <c r="G48" s="543">
        <v>3</v>
      </c>
      <c r="H48" s="378">
        <v>3.5</v>
      </c>
      <c r="I48" s="780">
        <f t="shared" si="12"/>
        <v>29957</v>
      </c>
    </row>
    <row r="49" spans="1:9" ht="24.75" customHeight="1" x14ac:dyDescent="0.45">
      <c r="A49" s="1313" t="s">
        <v>400</v>
      </c>
      <c r="B49" s="1164"/>
      <c r="C49" s="1164"/>
      <c r="D49" s="1164"/>
      <c r="E49" s="1164"/>
      <c r="F49" s="1164"/>
      <c r="G49" s="1164"/>
      <c r="H49" s="1164"/>
      <c r="I49" s="781">
        <f>SUM(I44:I48)</f>
        <v>146077</v>
      </c>
    </row>
    <row r="50" spans="1:9" ht="25.8" thickBot="1" x14ac:dyDescent="0.65">
      <c r="A50" s="1314" t="s">
        <v>401</v>
      </c>
      <c r="B50" s="1129"/>
      <c r="C50" s="1129"/>
      <c r="D50" s="1129"/>
      <c r="E50" s="1129"/>
      <c r="F50" s="1129"/>
      <c r="G50" s="1129"/>
      <c r="H50" s="1129"/>
      <c r="I50" s="798">
        <f>I49+I42</f>
        <v>254133</v>
      </c>
    </row>
    <row r="51" spans="1:9" ht="24.75" customHeight="1" thickBot="1" x14ac:dyDescent="0.5">
      <c r="A51" s="1165" t="s">
        <v>337</v>
      </c>
      <c r="B51" s="1166"/>
      <c r="C51" s="1166"/>
      <c r="D51" s="1166"/>
      <c r="E51" s="1166"/>
      <c r="F51" s="1166"/>
      <c r="G51" s="1166"/>
      <c r="H51" s="1166"/>
      <c r="I51" s="1167"/>
    </row>
    <row r="52" spans="1:9" ht="24" customHeight="1" thickBot="1" x14ac:dyDescent="0.5">
      <c r="A52" s="1310" t="s">
        <v>22</v>
      </c>
      <c r="B52" s="1311"/>
      <c r="C52" s="1311"/>
      <c r="D52" s="1311"/>
      <c r="E52" s="1311"/>
      <c r="F52" s="1311"/>
      <c r="G52" s="1311"/>
      <c r="H52" s="1311"/>
      <c r="I52" s="1312"/>
    </row>
    <row r="53" spans="1:9" ht="23.4" x14ac:dyDescent="0.45">
      <c r="A53" s="786" t="s">
        <v>58</v>
      </c>
      <c r="B53" s="561">
        <v>1</v>
      </c>
      <c r="C53" s="551">
        <v>130</v>
      </c>
      <c r="D53" s="551">
        <v>2868</v>
      </c>
      <c r="E53" s="507">
        <f>ROUND(C53*B53,0)</f>
        <v>130</v>
      </c>
      <c r="F53" s="508">
        <f>ROUND(D53*B53,0)</f>
        <v>2868</v>
      </c>
      <c r="G53" s="508">
        <v>3</v>
      </c>
      <c r="H53" s="402">
        <v>3.5</v>
      </c>
      <c r="I53" s="780">
        <f>ROUND(H53*F53*G53,0)</f>
        <v>30114</v>
      </c>
    </row>
    <row r="54" spans="1:9" ht="24" thickBot="1" x14ac:dyDescent="0.5">
      <c r="A54" s="786" t="s">
        <v>44</v>
      </c>
      <c r="B54" s="561">
        <v>1</v>
      </c>
      <c r="C54" s="551">
        <v>145</v>
      </c>
      <c r="D54" s="551">
        <v>3193</v>
      </c>
      <c r="E54" s="507">
        <f t="shared" ref="E54" si="13">ROUND(C54*B54,0)</f>
        <v>145</v>
      </c>
      <c r="F54" s="508">
        <f t="shared" ref="F54" si="14">ROUND(D54*B54,0)</f>
        <v>3193</v>
      </c>
      <c r="G54" s="508">
        <v>3</v>
      </c>
      <c r="H54" s="402">
        <v>3.5</v>
      </c>
      <c r="I54" s="780">
        <f>ROUND(H54*F54*G54,0)</f>
        <v>33527</v>
      </c>
    </row>
    <row r="55" spans="1:9" ht="24.75" customHeight="1" thickBot="1" x14ac:dyDescent="0.5">
      <c r="A55" s="1139" t="s">
        <v>402</v>
      </c>
      <c r="B55" s="1140"/>
      <c r="C55" s="1140"/>
      <c r="D55" s="1140"/>
      <c r="E55" s="1140"/>
      <c r="F55" s="1140"/>
      <c r="G55" s="1140"/>
      <c r="H55" s="1140"/>
      <c r="I55" s="548">
        <f>SUM(I53:I54)</f>
        <v>63641</v>
      </c>
    </row>
    <row r="56" spans="1:9" ht="24" customHeight="1" thickBot="1" x14ac:dyDescent="0.5">
      <c r="A56" s="1168" t="s">
        <v>27</v>
      </c>
      <c r="B56" s="1169"/>
      <c r="C56" s="1169"/>
      <c r="D56" s="1169"/>
      <c r="E56" s="1169"/>
      <c r="F56" s="1169"/>
      <c r="G56" s="1169"/>
      <c r="H56" s="1169"/>
      <c r="I56" s="1171"/>
    </row>
    <row r="57" spans="1:9" ht="23.4" x14ac:dyDescent="0.45">
      <c r="A57" s="787" t="s">
        <v>160</v>
      </c>
      <c r="B57" s="803">
        <v>1</v>
      </c>
      <c r="C57" s="573">
        <v>115</v>
      </c>
      <c r="D57" s="573">
        <v>2531</v>
      </c>
      <c r="E57" s="574">
        <f>ROUND(C57*B57,0)</f>
        <v>115</v>
      </c>
      <c r="F57" s="508">
        <f>ROUND(D57*B57,0)</f>
        <v>2531</v>
      </c>
      <c r="G57" s="804">
        <v>3</v>
      </c>
      <c r="H57" s="805">
        <v>3.5</v>
      </c>
      <c r="I57" s="806">
        <f>ROUND(H57*F57*G57,0)</f>
        <v>26576</v>
      </c>
    </row>
    <row r="58" spans="1:9" ht="23.4" x14ac:dyDescent="0.45">
      <c r="A58" s="377" t="s">
        <v>161</v>
      </c>
      <c r="B58" s="808">
        <v>1</v>
      </c>
      <c r="C58" s="551">
        <v>127</v>
      </c>
      <c r="D58" s="551">
        <v>2803</v>
      </c>
      <c r="E58" s="551">
        <f t="shared" ref="E58:E60" si="15">ROUND(C58*B58,0)</f>
        <v>127</v>
      </c>
      <c r="F58" s="508">
        <f t="shared" ref="F58:F60" si="16">ROUND(D58*B58,0)</f>
        <v>2803</v>
      </c>
      <c r="G58" s="543">
        <v>3</v>
      </c>
      <c r="H58" s="378">
        <v>3.5</v>
      </c>
      <c r="I58" s="780">
        <f t="shared" ref="I58:I60" si="17">ROUND(H58*F58*G58,0)</f>
        <v>29432</v>
      </c>
    </row>
    <row r="59" spans="1:9" ht="23.4" x14ac:dyDescent="0.45">
      <c r="A59" s="377" t="s">
        <v>162</v>
      </c>
      <c r="B59" s="807">
        <v>1</v>
      </c>
      <c r="C59" s="551">
        <v>128</v>
      </c>
      <c r="D59" s="551">
        <v>2819</v>
      </c>
      <c r="E59" s="551">
        <f t="shared" si="15"/>
        <v>128</v>
      </c>
      <c r="F59" s="508">
        <f t="shared" si="16"/>
        <v>2819</v>
      </c>
      <c r="G59" s="543">
        <v>3</v>
      </c>
      <c r="H59" s="378">
        <v>3.5</v>
      </c>
      <c r="I59" s="780">
        <f t="shared" si="17"/>
        <v>29600</v>
      </c>
    </row>
    <row r="60" spans="1:9" ht="23.4" x14ac:dyDescent="0.45">
      <c r="A60" s="377" t="s">
        <v>163</v>
      </c>
      <c r="B60" s="809">
        <v>1</v>
      </c>
      <c r="C60" s="551">
        <v>122</v>
      </c>
      <c r="D60" s="551">
        <v>2687</v>
      </c>
      <c r="E60" s="555">
        <f t="shared" si="15"/>
        <v>122</v>
      </c>
      <c r="F60" s="508">
        <f t="shared" si="16"/>
        <v>2687</v>
      </c>
      <c r="G60" s="543">
        <v>3</v>
      </c>
      <c r="H60" s="378">
        <v>3.5</v>
      </c>
      <c r="I60" s="779">
        <f t="shared" si="17"/>
        <v>28214</v>
      </c>
    </row>
    <row r="61" spans="1:9" ht="24.75" customHeight="1" x14ac:dyDescent="0.45">
      <c r="A61" s="1313" t="s">
        <v>403</v>
      </c>
      <c r="B61" s="1164"/>
      <c r="C61" s="1164"/>
      <c r="D61" s="1164"/>
      <c r="E61" s="1164"/>
      <c r="F61" s="1164"/>
      <c r="G61" s="1164"/>
      <c r="H61" s="1164"/>
      <c r="I61" s="781">
        <f>SUM(I57:I60)</f>
        <v>113822</v>
      </c>
    </row>
    <row r="62" spans="1:9" ht="25.8" thickBot="1" x14ac:dyDescent="0.65">
      <c r="A62" s="1314" t="s">
        <v>404</v>
      </c>
      <c r="B62" s="1129"/>
      <c r="C62" s="1129"/>
      <c r="D62" s="1129"/>
      <c r="E62" s="1129"/>
      <c r="F62" s="1129"/>
      <c r="G62" s="1129"/>
      <c r="H62" s="1129"/>
      <c r="I62" s="798">
        <f>I61+I55</f>
        <v>177463</v>
      </c>
    </row>
    <row r="63" spans="1:9" ht="24.75" customHeight="1" thickBot="1" x14ac:dyDescent="0.5">
      <c r="A63" s="1165" t="s">
        <v>233</v>
      </c>
      <c r="B63" s="1166"/>
      <c r="C63" s="1166"/>
      <c r="D63" s="1166"/>
      <c r="E63" s="1166"/>
      <c r="F63" s="1166"/>
      <c r="G63" s="1166"/>
      <c r="H63" s="1166"/>
      <c r="I63" s="1167"/>
    </row>
    <row r="64" spans="1:9" ht="24" customHeight="1" thickBot="1" x14ac:dyDescent="0.5">
      <c r="A64" s="1310" t="s">
        <v>22</v>
      </c>
      <c r="B64" s="1311"/>
      <c r="C64" s="1311"/>
      <c r="D64" s="1311"/>
      <c r="E64" s="1311"/>
      <c r="F64" s="1311"/>
      <c r="G64" s="1311"/>
      <c r="H64" s="1311"/>
      <c r="I64" s="1312"/>
    </row>
    <row r="65" spans="1:9" ht="23.4" x14ac:dyDescent="0.45">
      <c r="A65" s="786" t="s">
        <v>174</v>
      </c>
      <c r="B65" s="561">
        <v>1</v>
      </c>
      <c r="C65" s="551">
        <v>111</v>
      </c>
      <c r="D65" s="551">
        <v>2449</v>
      </c>
      <c r="E65" s="507">
        <f>ROUND(C65*B65,0)</f>
        <v>111</v>
      </c>
      <c r="F65" s="508">
        <f>ROUND(D65*B65,0)</f>
        <v>2449</v>
      </c>
      <c r="G65" s="508">
        <v>4</v>
      </c>
      <c r="H65" s="402">
        <v>3.5</v>
      </c>
      <c r="I65" s="780">
        <f>ROUND(H65*F65*G65,0)</f>
        <v>34286</v>
      </c>
    </row>
    <row r="66" spans="1:9" ht="23.4" x14ac:dyDescent="0.45">
      <c r="A66" s="786" t="s">
        <v>175</v>
      </c>
      <c r="B66" s="561">
        <v>1</v>
      </c>
      <c r="C66" s="551">
        <v>92</v>
      </c>
      <c r="D66" s="551">
        <v>2014</v>
      </c>
      <c r="E66" s="507">
        <f t="shared" ref="E66:E68" si="18">ROUND(C66*B66,0)</f>
        <v>92</v>
      </c>
      <c r="F66" s="508">
        <f t="shared" ref="F66:F68" si="19">ROUND(D66*B66,0)</f>
        <v>2014</v>
      </c>
      <c r="G66" s="508">
        <v>4</v>
      </c>
      <c r="H66" s="402">
        <v>3.5</v>
      </c>
      <c r="I66" s="780">
        <f t="shared" ref="I66:I68" si="20">ROUND(H66*F66*G66,0)</f>
        <v>28196</v>
      </c>
    </row>
    <row r="67" spans="1:9" ht="23.4" x14ac:dyDescent="0.45">
      <c r="A67" s="786" t="s">
        <v>176</v>
      </c>
      <c r="B67" s="561">
        <v>1</v>
      </c>
      <c r="C67" s="551">
        <v>132</v>
      </c>
      <c r="D67" s="551">
        <v>2898</v>
      </c>
      <c r="E67" s="507">
        <f t="shared" si="18"/>
        <v>132</v>
      </c>
      <c r="F67" s="508">
        <f t="shared" si="19"/>
        <v>2898</v>
      </c>
      <c r="G67" s="508">
        <v>4</v>
      </c>
      <c r="H67" s="402">
        <v>3.5</v>
      </c>
      <c r="I67" s="780">
        <f t="shared" si="20"/>
        <v>40572</v>
      </c>
    </row>
    <row r="68" spans="1:9" ht="24" thickBot="1" x14ac:dyDescent="0.5">
      <c r="A68" s="786" t="s">
        <v>177</v>
      </c>
      <c r="B68" s="561">
        <v>1</v>
      </c>
      <c r="C68" s="551">
        <v>107</v>
      </c>
      <c r="D68" s="551">
        <v>2364</v>
      </c>
      <c r="E68" s="507">
        <f t="shared" si="18"/>
        <v>107</v>
      </c>
      <c r="F68" s="508">
        <f t="shared" si="19"/>
        <v>2364</v>
      </c>
      <c r="G68" s="508">
        <v>4</v>
      </c>
      <c r="H68" s="402">
        <v>3.5</v>
      </c>
      <c r="I68" s="780">
        <f t="shared" si="20"/>
        <v>33096</v>
      </c>
    </row>
    <row r="69" spans="1:9" ht="24.75" customHeight="1" thickBot="1" x14ac:dyDescent="0.5">
      <c r="A69" s="1139" t="s">
        <v>405</v>
      </c>
      <c r="B69" s="1140"/>
      <c r="C69" s="1140"/>
      <c r="D69" s="1140"/>
      <c r="E69" s="1140"/>
      <c r="F69" s="1140"/>
      <c r="G69" s="1140"/>
      <c r="H69" s="1140"/>
      <c r="I69" s="548">
        <f>SUM(I65:I68)</f>
        <v>136150</v>
      </c>
    </row>
    <row r="70" spans="1:9" ht="24" customHeight="1" thickBot="1" x14ac:dyDescent="0.5">
      <c r="A70" s="1168" t="s">
        <v>27</v>
      </c>
      <c r="B70" s="1169"/>
      <c r="C70" s="1169"/>
      <c r="D70" s="1169"/>
      <c r="E70" s="1169"/>
      <c r="F70" s="1169"/>
      <c r="G70" s="1169"/>
      <c r="H70" s="1169"/>
      <c r="I70" s="1171"/>
    </row>
    <row r="71" spans="1:9" ht="23.4" x14ac:dyDescent="0.45">
      <c r="A71" s="786" t="s">
        <v>168</v>
      </c>
      <c r="B71" s="561">
        <v>1</v>
      </c>
      <c r="C71" s="551">
        <v>116</v>
      </c>
      <c r="D71" s="551">
        <v>2550</v>
      </c>
      <c r="E71" s="507">
        <f>ROUND(C71*B71,0)</f>
        <v>116</v>
      </c>
      <c r="F71" s="508">
        <f>ROUND(D71*B71,0)</f>
        <v>2550</v>
      </c>
      <c r="G71" s="508">
        <v>4</v>
      </c>
      <c r="H71" s="402">
        <v>3.5</v>
      </c>
      <c r="I71" s="780">
        <f t="shared" ref="I71:I75" si="21">ROUND(H71*F71*G71,0)</f>
        <v>35700</v>
      </c>
    </row>
    <row r="72" spans="1:9" ht="23.4" x14ac:dyDescent="0.45">
      <c r="A72" s="786" t="s">
        <v>169</v>
      </c>
      <c r="B72" s="561">
        <v>1</v>
      </c>
      <c r="C72" s="551">
        <v>130</v>
      </c>
      <c r="D72" s="551">
        <v>2854</v>
      </c>
      <c r="E72" s="507">
        <f t="shared" ref="E72:E75" si="22">ROUND(C72*B72,0)</f>
        <v>130</v>
      </c>
      <c r="F72" s="508">
        <f t="shared" ref="F72:F74" si="23">ROUND(D72*B72,0)</f>
        <v>2854</v>
      </c>
      <c r="G72" s="508">
        <v>4</v>
      </c>
      <c r="H72" s="402">
        <v>3.5</v>
      </c>
      <c r="I72" s="780">
        <f t="shared" si="21"/>
        <v>39956</v>
      </c>
    </row>
    <row r="73" spans="1:9" ht="23.4" x14ac:dyDescent="0.45">
      <c r="A73" s="786" t="s">
        <v>170</v>
      </c>
      <c r="B73" s="561">
        <v>1</v>
      </c>
      <c r="C73" s="551">
        <v>141</v>
      </c>
      <c r="D73" s="551">
        <v>3111</v>
      </c>
      <c r="E73" s="507">
        <f t="shared" si="22"/>
        <v>141</v>
      </c>
      <c r="F73" s="508">
        <f t="shared" si="23"/>
        <v>3111</v>
      </c>
      <c r="G73" s="508">
        <v>4</v>
      </c>
      <c r="H73" s="402">
        <v>3.5</v>
      </c>
      <c r="I73" s="780">
        <f t="shared" si="21"/>
        <v>43554</v>
      </c>
    </row>
    <row r="74" spans="1:9" ht="23.4" x14ac:dyDescent="0.45">
      <c r="A74" s="786" t="s">
        <v>172</v>
      </c>
      <c r="B74" s="561">
        <v>1</v>
      </c>
      <c r="C74" s="551">
        <v>136</v>
      </c>
      <c r="D74" s="551">
        <v>2999</v>
      </c>
      <c r="E74" s="507">
        <f>ROUND(C74*B74,0)</f>
        <v>136</v>
      </c>
      <c r="F74" s="508">
        <f t="shared" si="23"/>
        <v>2999</v>
      </c>
      <c r="G74" s="508">
        <v>4</v>
      </c>
      <c r="H74" s="402">
        <v>3.5</v>
      </c>
      <c r="I74" s="780">
        <f>ROUND(H74*F74*G74,0)</f>
        <v>41986</v>
      </c>
    </row>
    <row r="75" spans="1:9" ht="23.4" x14ac:dyDescent="0.45">
      <c r="A75" s="786" t="s">
        <v>319</v>
      </c>
      <c r="B75" s="807">
        <v>1</v>
      </c>
      <c r="C75" s="551">
        <v>90</v>
      </c>
      <c r="D75" s="551">
        <v>1970</v>
      </c>
      <c r="E75" s="507">
        <f t="shared" si="22"/>
        <v>90</v>
      </c>
      <c r="F75" s="508">
        <f>ROUND(D75*B75,0)</f>
        <v>1970</v>
      </c>
      <c r="G75" s="508">
        <v>4</v>
      </c>
      <c r="H75" s="402">
        <v>3.5</v>
      </c>
      <c r="I75" s="780">
        <f t="shared" si="21"/>
        <v>27580</v>
      </c>
    </row>
    <row r="76" spans="1:9" ht="24.75" customHeight="1" x14ac:dyDescent="0.45">
      <c r="A76" s="1313" t="s">
        <v>406</v>
      </c>
      <c r="B76" s="1164"/>
      <c r="C76" s="1164"/>
      <c r="D76" s="1164"/>
      <c r="E76" s="1164"/>
      <c r="F76" s="1164"/>
      <c r="G76" s="1164"/>
      <c r="H76" s="1164"/>
      <c r="I76" s="781">
        <f>SUM(I71:I75)</f>
        <v>188776</v>
      </c>
    </row>
    <row r="77" spans="1:9" ht="25.8" thickBot="1" x14ac:dyDescent="0.65">
      <c r="A77" s="1309" t="s">
        <v>407</v>
      </c>
      <c r="B77" s="1108"/>
      <c r="C77" s="1109"/>
      <c r="D77" s="1109"/>
      <c r="E77" s="1109"/>
      <c r="F77" s="1109"/>
      <c r="G77" s="1109"/>
      <c r="H77" s="1109"/>
      <c r="I77" s="798">
        <f>I76+I69</f>
        <v>324926</v>
      </c>
    </row>
    <row r="78" spans="1:9" ht="24.75" customHeight="1" thickBot="1" x14ac:dyDescent="0.5">
      <c r="A78" s="1165" t="s">
        <v>235</v>
      </c>
      <c r="B78" s="1166"/>
      <c r="C78" s="1166"/>
      <c r="D78" s="1166"/>
      <c r="E78" s="1166"/>
      <c r="F78" s="1166"/>
      <c r="G78" s="1166"/>
      <c r="H78" s="1166"/>
      <c r="I78" s="1167"/>
    </row>
    <row r="79" spans="1:9" ht="24" customHeight="1" thickBot="1" x14ac:dyDescent="0.5">
      <c r="A79" s="1168" t="s">
        <v>218</v>
      </c>
      <c r="B79" s="1169"/>
      <c r="C79" s="1169"/>
      <c r="D79" s="1169"/>
      <c r="E79" s="1169"/>
      <c r="F79" s="1169"/>
      <c r="G79" s="1169"/>
      <c r="H79" s="1169"/>
      <c r="I79" s="1171"/>
    </row>
    <row r="80" spans="1:9" ht="23.4" x14ac:dyDescent="0.45">
      <c r="A80" s="788" t="s">
        <v>178</v>
      </c>
      <c r="B80" s="521">
        <v>1</v>
      </c>
      <c r="C80" s="577">
        <v>3</v>
      </c>
      <c r="D80" s="577">
        <v>61</v>
      </c>
      <c r="E80" s="508">
        <f t="shared" ref="E80:E84" si="24">ROUND(C80*B80,0)</f>
        <v>3</v>
      </c>
      <c r="F80" s="515">
        <f t="shared" ref="F80:F84" si="25">ROUND(D80*B80,0)</f>
        <v>61</v>
      </c>
      <c r="G80" s="384">
        <v>3</v>
      </c>
      <c r="H80" s="384">
        <v>2.5</v>
      </c>
      <c r="I80" s="778">
        <f t="shared" ref="I80:I84" si="26">ROUND(H80*F80*G80,0)</f>
        <v>458</v>
      </c>
    </row>
    <row r="81" spans="1:9" ht="23.4" x14ac:dyDescent="0.45">
      <c r="A81" s="789" t="s">
        <v>179</v>
      </c>
      <c r="B81" s="524">
        <v>1</v>
      </c>
      <c r="C81" s="507">
        <v>8</v>
      </c>
      <c r="D81" s="507">
        <v>171</v>
      </c>
      <c r="E81" s="508">
        <f t="shared" si="24"/>
        <v>8</v>
      </c>
      <c r="F81" s="508">
        <f t="shared" si="25"/>
        <v>171</v>
      </c>
      <c r="G81" s="384">
        <v>3</v>
      </c>
      <c r="H81" s="384">
        <v>2.5</v>
      </c>
      <c r="I81" s="780">
        <f t="shared" si="26"/>
        <v>1283</v>
      </c>
    </row>
    <row r="82" spans="1:9" ht="23.4" x14ac:dyDescent="0.45">
      <c r="A82" s="789" t="s">
        <v>180</v>
      </c>
      <c r="B82" s="524">
        <v>1</v>
      </c>
      <c r="C82" s="507">
        <v>11</v>
      </c>
      <c r="D82" s="507">
        <v>241</v>
      </c>
      <c r="E82" s="508">
        <f t="shared" si="24"/>
        <v>11</v>
      </c>
      <c r="F82" s="508">
        <f t="shared" si="25"/>
        <v>241</v>
      </c>
      <c r="G82" s="384">
        <v>3</v>
      </c>
      <c r="H82" s="384">
        <v>2.5</v>
      </c>
      <c r="I82" s="780">
        <f t="shared" si="26"/>
        <v>1808</v>
      </c>
    </row>
    <row r="83" spans="1:9" ht="23.4" x14ac:dyDescent="0.45">
      <c r="A83" s="789" t="s">
        <v>181</v>
      </c>
      <c r="B83" s="524">
        <v>1</v>
      </c>
      <c r="C83" s="507">
        <v>140</v>
      </c>
      <c r="D83" s="507">
        <v>3070</v>
      </c>
      <c r="E83" s="508">
        <f t="shared" si="24"/>
        <v>140</v>
      </c>
      <c r="F83" s="508">
        <f t="shared" si="25"/>
        <v>3070</v>
      </c>
      <c r="G83" s="384">
        <v>3</v>
      </c>
      <c r="H83" s="384">
        <v>2.5</v>
      </c>
      <c r="I83" s="780">
        <f t="shared" si="26"/>
        <v>23025</v>
      </c>
    </row>
    <row r="84" spans="1:9" ht="24" thickBot="1" x14ac:dyDescent="0.5">
      <c r="A84" s="789" t="s">
        <v>182</v>
      </c>
      <c r="B84" s="524">
        <v>1</v>
      </c>
      <c r="C84" s="507">
        <v>149</v>
      </c>
      <c r="D84" s="507">
        <v>3270</v>
      </c>
      <c r="E84" s="508">
        <f t="shared" si="24"/>
        <v>149</v>
      </c>
      <c r="F84" s="508">
        <f t="shared" si="25"/>
        <v>3270</v>
      </c>
      <c r="G84" s="384">
        <v>3</v>
      </c>
      <c r="H84" s="384">
        <v>2.5</v>
      </c>
      <c r="I84" s="780">
        <f t="shared" si="26"/>
        <v>24525</v>
      </c>
    </row>
    <row r="85" spans="1:9" ht="24.75" customHeight="1" thickBot="1" x14ac:dyDescent="0.5">
      <c r="A85" s="1139" t="s">
        <v>408</v>
      </c>
      <c r="B85" s="1140"/>
      <c r="C85" s="1140"/>
      <c r="D85" s="1140"/>
      <c r="E85" s="1140"/>
      <c r="F85" s="1140"/>
      <c r="G85" s="1140"/>
      <c r="H85" s="1140"/>
      <c r="I85" s="548">
        <f>SUM(I80:I84)</f>
        <v>51099</v>
      </c>
    </row>
    <row r="86" spans="1:9" ht="24" customHeight="1" thickBot="1" x14ac:dyDescent="0.5">
      <c r="A86" s="1168" t="s">
        <v>27</v>
      </c>
      <c r="B86" s="1169"/>
      <c r="C86" s="1169"/>
      <c r="D86" s="1169"/>
      <c r="E86" s="1169"/>
      <c r="F86" s="1169"/>
      <c r="G86" s="1169"/>
      <c r="H86" s="1169"/>
      <c r="I86" s="1171"/>
    </row>
    <row r="87" spans="1:9" ht="23.4" x14ac:dyDescent="0.45">
      <c r="A87" s="786" t="s">
        <v>187</v>
      </c>
      <c r="B87" s="561">
        <v>1</v>
      </c>
      <c r="C87" s="551">
        <v>99</v>
      </c>
      <c r="D87" s="551">
        <v>2167</v>
      </c>
      <c r="E87" s="507">
        <f>ROUND(C87*B87,0)</f>
        <v>99</v>
      </c>
      <c r="F87" s="508">
        <f>ROUND(D87*B87,0)</f>
        <v>2167</v>
      </c>
      <c r="G87" s="384">
        <v>3</v>
      </c>
      <c r="H87" s="402">
        <v>2.5</v>
      </c>
      <c r="I87" s="780">
        <f t="shared" ref="I87:I89" si="27">ROUND(H87*F87*G87,0)</f>
        <v>16253</v>
      </c>
    </row>
    <row r="88" spans="1:9" ht="23.4" x14ac:dyDescent="0.45">
      <c r="A88" s="786" t="s">
        <v>189</v>
      </c>
      <c r="B88" s="561">
        <v>1</v>
      </c>
      <c r="C88" s="551">
        <v>105</v>
      </c>
      <c r="D88" s="551">
        <v>2320</v>
      </c>
      <c r="E88" s="507">
        <f t="shared" ref="E88:E89" si="28">ROUND(C88*B88,0)</f>
        <v>105</v>
      </c>
      <c r="F88" s="508">
        <f t="shared" ref="F88:F89" si="29">ROUND(D88*B88,0)</f>
        <v>2320</v>
      </c>
      <c r="G88" s="384">
        <v>3</v>
      </c>
      <c r="H88" s="402">
        <v>2.5</v>
      </c>
      <c r="I88" s="780">
        <f t="shared" si="27"/>
        <v>17400</v>
      </c>
    </row>
    <row r="89" spans="1:9" ht="23.4" x14ac:dyDescent="0.45">
      <c r="A89" s="786" t="s">
        <v>190</v>
      </c>
      <c r="B89" s="561">
        <v>1</v>
      </c>
      <c r="C89" s="551">
        <v>130</v>
      </c>
      <c r="D89" s="551">
        <v>2865</v>
      </c>
      <c r="E89" s="507">
        <f t="shared" si="28"/>
        <v>130</v>
      </c>
      <c r="F89" s="508">
        <f t="shared" si="29"/>
        <v>2865</v>
      </c>
      <c r="G89" s="384">
        <v>3</v>
      </c>
      <c r="H89" s="402">
        <v>2.5</v>
      </c>
      <c r="I89" s="780">
        <f t="shared" si="27"/>
        <v>21488</v>
      </c>
    </row>
    <row r="90" spans="1:9" ht="24.75" customHeight="1" x14ac:dyDescent="0.45">
      <c r="A90" s="1313" t="s">
        <v>409</v>
      </c>
      <c r="B90" s="1164"/>
      <c r="C90" s="1164"/>
      <c r="D90" s="1164"/>
      <c r="E90" s="1164"/>
      <c r="F90" s="1164"/>
      <c r="G90" s="1164"/>
      <c r="H90" s="1164"/>
      <c r="I90" s="781">
        <f>SUM(I87:I89)</f>
        <v>55141</v>
      </c>
    </row>
    <row r="91" spans="1:9" ht="25.8" thickBot="1" x14ac:dyDescent="0.65">
      <c r="A91" s="1320" t="s">
        <v>410</v>
      </c>
      <c r="B91" s="1111"/>
      <c r="C91" s="1112"/>
      <c r="D91" s="1112"/>
      <c r="E91" s="1112"/>
      <c r="F91" s="1112"/>
      <c r="G91" s="1112"/>
      <c r="H91" s="1112"/>
      <c r="I91" s="810">
        <f>I90+I85</f>
        <v>106240</v>
      </c>
    </row>
    <row r="92" spans="1:9" ht="24.75" customHeight="1" thickBot="1" x14ac:dyDescent="0.5">
      <c r="A92" s="1165" t="s">
        <v>320</v>
      </c>
      <c r="B92" s="1166"/>
      <c r="C92" s="1166"/>
      <c r="D92" s="1166"/>
      <c r="E92" s="1166"/>
      <c r="F92" s="1166"/>
      <c r="G92" s="1166"/>
      <c r="H92" s="1166"/>
      <c r="I92" s="1167"/>
    </row>
    <row r="93" spans="1:9" ht="24" customHeight="1" thickBot="1" x14ac:dyDescent="0.5">
      <c r="A93" s="1168" t="s">
        <v>218</v>
      </c>
      <c r="B93" s="1169"/>
      <c r="C93" s="1169"/>
      <c r="D93" s="1169"/>
      <c r="E93" s="1169"/>
      <c r="F93" s="1169"/>
      <c r="G93" s="1169"/>
      <c r="H93" s="1169"/>
      <c r="I93" s="1171"/>
    </row>
    <row r="94" spans="1:9" ht="23.4" x14ac:dyDescent="0.45">
      <c r="A94" s="789" t="s">
        <v>183</v>
      </c>
      <c r="B94" s="524">
        <v>1</v>
      </c>
      <c r="C94" s="507">
        <v>144</v>
      </c>
      <c r="D94" s="508">
        <v>3171</v>
      </c>
      <c r="E94" s="508">
        <f t="shared" ref="E94:E95" si="30">ROUND(C94*B94,0)</f>
        <v>144</v>
      </c>
      <c r="F94" s="508">
        <f t="shared" ref="F94:F95" si="31">ROUND(D94*B94,0)</f>
        <v>3171</v>
      </c>
      <c r="G94" s="384">
        <v>3</v>
      </c>
      <c r="H94" s="384">
        <v>2.25</v>
      </c>
      <c r="I94" s="780">
        <f>ROUND(H94*F94*G94,0)</f>
        <v>21404</v>
      </c>
    </row>
    <row r="95" spans="1:9" ht="24" thickBot="1" x14ac:dyDescent="0.5">
      <c r="A95" s="789" t="s">
        <v>184</v>
      </c>
      <c r="B95" s="524">
        <v>1</v>
      </c>
      <c r="C95" s="507">
        <v>134</v>
      </c>
      <c r="D95" s="508">
        <v>2950</v>
      </c>
      <c r="E95" s="508">
        <f t="shared" si="30"/>
        <v>134</v>
      </c>
      <c r="F95" s="508">
        <f t="shared" si="31"/>
        <v>2950</v>
      </c>
      <c r="G95" s="384">
        <v>3</v>
      </c>
      <c r="H95" s="384">
        <v>2.25</v>
      </c>
      <c r="I95" s="780">
        <f>ROUND(H95*F95*G95,0)</f>
        <v>19913</v>
      </c>
    </row>
    <row r="96" spans="1:9" ht="24.75" customHeight="1" thickBot="1" x14ac:dyDescent="0.5">
      <c r="A96" s="1139" t="s">
        <v>411</v>
      </c>
      <c r="B96" s="1140"/>
      <c r="C96" s="1140"/>
      <c r="D96" s="1140"/>
      <c r="E96" s="1140"/>
      <c r="F96" s="1140"/>
      <c r="G96" s="1140"/>
      <c r="H96" s="1140"/>
      <c r="I96" s="548">
        <f>SUM(I94:I95)</f>
        <v>41317</v>
      </c>
    </row>
    <row r="97" spans="1:9" ht="23.4" x14ac:dyDescent="0.45">
      <c r="A97" s="1104" t="s">
        <v>27</v>
      </c>
      <c r="B97" s="1105"/>
      <c r="C97" s="1105"/>
      <c r="D97" s="1105"/>
      <c r="E97" s="1105"/>
      <c r="F97" s="1105"/>
      <c r="G97" s="1105"/>
      <c r="H97" s="1105"/>
      <c r="I97" s="1106"/>
    </row>
    <row r="98" spans="1:9" ht="23.4" x14ac:dyDescent="0.45">
      <c r="A98" s="790" t="s">
        <v>305</v>
      </c>
      <c r="B98" s="807">
        <v>1</v>
      </c>
      <c r="C98" s="581">
        <v>86</v>
      </c>
      <c r="D98" s="581">
        <v>1892</v>
      </c>
      <c r="E98" s="507">
        <f>ROUND(C98*B98,0)</f>
        <v>86</v>
      </c>
      <c r="F98" s="508">
        <f>ROUND(D98*B98,0)</f>
        <v>1892</v>
      </c>
      <c r="G98" s="515">
        <v>3</v>
      </c>
      <c r="H98" s="384">
        <v>2.25</v>
      </c>
      <c r="I98" s="780">
        <f t="shared" ref="I98:I104" si="32">ROUND(H98*F98*G98,0)</f>
        <v>12771</v>
      </c>
    </row>
    <row r="99" spans="1:9" ht="23.4" x14ac:dyDescent="0.45">
      <c r="A99" s="790" t="s">
        <v>306</v>
      </c>
      <c r="B99" s="807">
        <v>1</v>
      </c>
      <c r="C99" s="581">
        <v>77</v>
      </c>
      <c r="D99" s="581">
        <v>1686</v>
      </c>
      <c r="E99" s="507">
        <f t="shared" ref="E99:E104" si="33">ROUND(C99*B99,0)</f>
        <v>77</v>
      </c>
      <c r="F99" s="508">
        <f t="shared" ref="F99:F104" si="34">ROUND(D99*B99,0)</f>
        <v>1686</v>
      </c>
      <c r="G99" s="543">
        <v>3</v>
      </c>
      <c r="H99" s="384">
        <v>2.25</v>
      </c>
      <c r="I99" s="780">
        <f t="shared" si="32"/>
        <v>11381</v>
      </c>
    </row>
    <row r="100" spans="1:9" ht="23.4" x14ac:dyDescent="0.45">
      <c r="A100" s="790" t="s">
        <v>307</v>
      </c>
      <c r="B100" s="807">
        <v>1</v>
      </c>
      <c r="C100" s="581">
        <v>63</v>
      </c>
      <c r="D100" s="581">
        <v>1380</v>
      </c>
      <c r="E100" s="507">
        <f t="shared" si="33"/>
        <v>63</v>
      </c>
      <c r="F100" s="508">
        <f t="shared" si="34"/>
        <v>1380</v>
      </c>
      <c r="G100" s="543">
        <v>3</v>
      </c>
      <c r="H100" s="384">
        <v>2.25</v>
      </c>
      <c r="I100" s="780">
        <f t="shared" si="32"/>
        <v>9315</v>
      </c>
    </row>
    <row r="101" spans="1:9" ht="23.4" x14ac:dyDescent="0.45">
      <c r="A101" s="790" t="s">
        <v>308</v>
      </c>
      <c r="B101" s="807">
        <v>1</v>
      </c>
      <c r="C101" s="581">
        <v>53</v>
      </c>
      <c r="D101" s="581">
        <v>1168</v>
      </c>
      <c r="E101" s="507">
        <f t="shared" si="33"/>
        <v>53</v>
      </c>
      <c r="F101" s="508">
        <f t="shared" si="34"/>
        <v>1168</v>
      </c>
      <c r="G101" s="543">
        <v>3</v>
      </c>
      <c r="H101" s="384">
        <v>2.25</v>
      </c>
      <c r="I101" s="780">
        <f t="shared" si="32"/>
        <v>7884</v>
      </c>
    </row>
    <row r="102" spans="1:9" ht="23.4" x14ac:dyDescent="0.45">
      <c r="A102" s="790" t="s">
        <v>309</v>
      </c>
      <c r="B102" s="807">
        <v>1</v>
      </c>
      <c r="C102" s="581">
        <v>34</v>
      </c>
      <c r="D102" s="581">
        <v>751</v>
      </c>
      <c r="E102" s="507">
        <f t="shared" si="33"/>
        <v>34</v>
      </c>
      <c r="F102" s="508">
        <f t="shared" si="34"/>
        <v>751</v>
      </c>
      <c r="G102" s="543">
        <v>3</v>
      </c>
      <c r="H102" s="384">
        <v>2.25</v>
      </c>
      <c r="I102" s="780">
        <f t="shared" si="32"/>
        <v>5069</v>
      </c>
    </row>
    <row r="103" spans="1:9" ht="23.4" x14ac:dyDescent="0.45">
      <c r="A103" s="790" t="s">
        <v>310</v>
      </c>
      <c r="B103" s="807">
        <v>1</v>
      </c>
      <c r="C103" s="581">
        <v>70</v>
      </c>
      <c r="D103" s="581">
        <v>1547</v>
      </c>
      <c r="E103" s="507">
        <f t="shared" si="33"/>
        <v>70</v>
      </c>
      <c r="F103" s="508">
        <f t="shared" si="34"/>
        <v>1547</v>
      </c>
      <c r="G103" s="543">
        <v>3</v>
      </c>
      <c r="H103" s="384">
        <v>2.25</v>
      </c>
      <c r="I103" s="780">
        <f t="shared" si="32"/>
        <v>10442</v>
      </c>
    </row>
    <row r="104" spans="1:9" ht="24" thickBot="1" x14ac:dyDescent="0.5">
      <c r="A104" s="790" t="s">
        <v>311</v>
      </c>
      <c r="B104" s="807">
        <v>1</v>
      </c>
      <c r="C104" s="581">
        <v>7</v>
      </c>
      <c r="D104" s="581">
        <v>145</v>
      </c>
      <c r="E104" s="507">
        <f t="shared" si="33"/>
        <v>7</v>
      </c>
      <c r="F104" s="508">
        <f t="shared" si="34"/>
        <v>145</v>
      </c>
      <c r="G104" s="543">
        <v>3</v>
      </c>
      <c r="H104" s="384">
        <v>2.25</v>
      </c>
      <c r="I104" s="780">
        <f t="shared" si="32"/>
        <v>979</v>
      </c>
    </row>
    <row r="105" spans="1:9" ht="24" thickBot="1" x14ac:dyDescent="0.5">
      <c r="A105" s="1139" t="s">
        <v>413</v>
      </c>
      <c r="B105" s="1140"/>
      <c r="C105" s="1140"/>
      <c r="D105" s="1140"/>
      <c r="E105" s="1140"/>
      <c r="F105" s="1140"/>
      <c r="G105" s="1140"/>
      <c r="H105" s="1140"/>
      <c r="I105" s="782">
        <f>SUM(I98:I104)</f>
        <v>57841</v>
      </c>
    </row>
    <row r="106" spans="1:9" ht="25.8" thickBot="1" x14ac:dyDescent="0.65">
      <c r="A106" s="1315" t="s">
        <v>412</v>
      </c>
      <c r="B106" s="1316"/>
      <c r="C106" s="1316"/>
      <c r="D106" s="1316"/>
      <c r="E106" s="1316"/>
      <c r="F106" s="1316"/>
      <c r="G106" s="1316"/>
      <c r="H106" s="1317"/>
      <c r="I106" s="811">
        <f>I105+I96</f>
        <v>99158</v>
      </c>
    </row>
  </sheetData>
  <mergeCells count="57">
    <mergeCell ref="A85:H85"/>
    <mergeCell ref="A106:H106"/>
    <mergeCell ref="G2:G3"/>
    <mergeCell ref="A24:I24"/>
    <mergeCell ref="A28:H28"/>
    <mergeCell ref="A37:I37"/>
    <mergeCell ref="A38:I38"/>
    <mergeCell ref="A42:H42"/>
    <mergeCell ref="A43:I43"/>
    <mergeCell ref="A49:H49"/>
    <mergeCell ref="A50:H50"/>
    <mergeCell ref="A78:I78"/>
    <mergeCell ref="A79:I79"/>
    <mergeCell ref="A91:H91"/>
    <mergeCell ref="A92:I92"/>
    <mergeCell ref="A97:I97"/>
    <mergeCell ref="A105:H105"/>
    <mergeCell ref="A86:I86"/>
    <mergeCell ref="A90:H90"/>
    <mergeCell ref="A93:I93"/>
    <mergeCell ref="A96:H96"/>
    <mergeCell ref="A29:I29"/>
    <mergeCell ref="A35:H35"/>
    <mergeCell ref="A36:H36"/>
    <mergeCell ref="A63:I63"/>
    <mergeCell ref="A70:I70"/>
    <mergeCell ref="A61:H61"/>
    <mergeCell ref="A62:H62"/>
    <mergeCell ref="A64:I64"/>
    <mergeCell ref="A69:H69"/>
    <mergeCell ref="A77:H77"/>
    <mergeCell ref="A51:I51"/>
    <mergeCell ref="A52:I52"/>
    <mergeCell ref="A55:H55"/>
    <mergeCell ref="A56:I56"/>
    <mergeCell ref="A76:H76"/>
    <mergeCell ref="A23:I23"/>
    <mergeCell ref="A7:H7"/>
    <mergeCell ref="A8:I8"/>
    <mergeCell ref="A11:H11"/>
    <mergeCell ref="A12:I12"/>
    <mergeCell ref="A13:I13"/>
    <mergeCell ref="A17:H17"/>
    <mergeCell ref="A18:I18"/>
    <mergeCell ref="A21:H21"/>
    <mergeCell ref="A22:H22"/>
    <mergeCell ref="K3:U3"/>
    <mergeCell ref="A4:I4"/>
    <mergeCell ref="A5:I5"/>
    <mergeCell ref="A1:I1"/>
    <mergeCell ref="A2:B3"/>
    <mergeCell ref="C2:C3"/>
    <mergeCell ref="D2:D3"/>
    <mergeCell ref="E2:E3"/>
    <mergeCell ref="F2:F3"/>
    <mergeCell ref="I2:I3"/>
    <mergeCell ref="H2:H3"/>
  </mergeCells>
  <pageMargins left="0.23622047244094491" right="0.17" top="0.35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จน.ปาล์ม 69 </vt:lpstr>
      <vt:lpstr>ผลผลิต</vt:lpstr>
      <vt:lpstr>ค่าสารเคมี,อัตราจ้าง 69 </vt:lpstr>
      <vt:lpstr>ถางป่าพร้อมทายา 69</vt:lpstr>
      <vt:lpstr>ถากโคน 69</vt:lpstr>
      <vt:lpstr>ตัดหญ้า 69</vt:lpstr>
      <vt:lpstr>ไถ,พรวนดิน 69 </vt:lpstr>
      <vt:lpstr>ฟีโรโมน 69 </vt:lpstr>
      <vt:lpstr>พิโพรนิล 69 </vt:lpstr>
      <vt:lpstr>เจาะฆ่าต้นปาล์ม 69  </vt:lpstr>
      <vt:lpstr>แหวกโคน 69</vt:lpstr>
      <vt:lpstr>'ค่าสารเคมี,อัตราจ้าง 69 '!Print_Area</vt:lpstr>
      <vt:lpstr>'ค่าสารเคมี,อัตราจ้าง 69 '!Print_Titles</vt:lpstr>
      <vt:lpstr>'จน.ปาล์ม 69 '!Print_Titles</vt:lpstr>
      <vt:lpstr>'ตัดหญ้า 69'!Print_Titles</vt:lpstr>
      <vt:lpstr>'ถางป่าพร้อมทายา 69'!Print_Titles</vt:lpstr>
      <vt:lpstr>ผลผลิต!Print_Titles</vt:lpstr>
      <vt:lpstr>'แหวกโคน 69'!Print_Titles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KohZ Nuklaeo</cp:lastModifiedBy>
  <dcterms:created xsi:type="dcterms:W3CDTF">2026-04-16T03:42:41Z</dcterms:created>
  <dcterms:modified xsi:type="dcterms:W3CDTF">2026-06-25T09:26:59Z</dcterms:modified>
</cp:coreProperties>
</file>