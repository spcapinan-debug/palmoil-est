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\งานปี 2569\งานที่ทำประจำวัน 2569\งานปี2569\กรอกข้อมูลและตรวจทุกวัน2569\ตรวจรายงานสต็อครายวัน 2569\เดือน มี.ค.69\"/>
    </mc:Choice>
  </mc:AlternateContent>
  <xr:revisionPtr revIDLastSave="0" documentId="13_ncr:1_{F5E94AAB-C8CF-477E-9003-17830675FAA8}" xr6:coauthVersionLast="47" xr6:coauthVersionMax="47" xr10:uidLastSave="{00000000-0000-0000-0000-000000000000}"/>
  <workbookProtection workbookPassword="CC3D" lockStructure="1"/>
  <bookViews>
    <workbookView xWindow="-120" yWindow="-120" windowWidth="24240" windowHeight="13140" activeTab="2" xr2:uid="{00000000-000D-0000-FFFF-FFFF00000000}"/>
  </bookViews>
  <sheets>
    <sheet name="แรมป์สวน" sheetId="1" r:id="rId1"/>
    <sheet name="ตะกุก" sheetId="7" r:id="rId2"/>
    <sheet name="รวม" sheetId="9" r:id="rId3"/>
    <sheet name="Sheet1" sheetId="11" state="hidden" r:id="rId4"/>
  </sheets>
  <definedNames>
    <definedName name="_xlnm.Print_Area" localSheetId="1">ตะกุก!$A$1:$X$39</definedName>
    <definedName name="_xlnm.Print_Area" localSheetId="2">รวม!$A$1:$AA$39</definedName>
    <definedName name="_xlnm.Print_Area" localSheetId="0">แรมป์สวน!$A$1:$Z$39</definedName>
    <definedName name="_xlnm.Print_Titles" localSheetId="1">ตะกุก!$1:$6</definedName>
    <definedName name="_xlnm.Print_Titles" localSheetId="2">รวม!$1:$6</definedName>
    <definedName name="_xlnm.Print_Titles" localSheetId="0">แรมป์สวน!$1:$6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38" i="7" l="1"/>
  <c r="AA9" i="7" l="1"/>
  <c r="AA10" i="7"/>
  <c r="AA11" i="7"/>
  <c r="AA12" i="7"/>
  <c r="AA13" i="7"/>
  <c r="AA14" i="7"/>
  <c r="AA15" i="7"/>
  <c r="AA16" i="7"/>
  <c r="AA17" i="7"/>
  <c r="AA18" i="7"/>
  <c r="AA19" i="7"/>
  <c r="AA20" i="7"/>
  <c r="AA21" i="7"/>
  <c r="AA22" i="7"/>
  <c r="AA23" i="7"/>
  <c r="AA24" i="7"/>
  <c r="AA25" i="7"/>
  <c r="AA26" i="7"/>
  <c r="AA27" i="7"/>
  <c r="AA28" i="7"/>
  <c r="AA29" i="7"/>
  <c r="AA30" i="7"/>
  <c r="AA31" i="7"/>
  <c r="AA32" i="7"/>
  <c r="AA33" i="7"/>
  <c r="AA34" i="7"/>
  <c r="AA35" i="7"/>
  <c r="AA36" i="7"/>
  <c r="AA37" i="7"/>
  <c r="AA8" i="7"/>
  <c r="V38" i="1" l="1"/>
  <c r="B24" i="7" l="1"/>
  <c r="J24" i="7"/>
  <c r="Q20" i="7" l="1"/>
  <c r="Q14" i="7"/>
  <c r="Q15" i="7"/>
  <c r="M38" i="1"/>
  <c r="N38" i="1"/>
  <c r="I38" i="7" l="1"/>
  <c r="B19" i="1" l="1"/>
  <c r="B12" i="1"/>
  <c r="B11" i="1"/>
  <c r="Q11" i="7" l="1"/>
  <c r="Q12" i="7"/>
  <c r="Q9" i="7"/>
  <c r="Q10" i="7"/>
  <c r="Q8" i="7"/>
  <c r="Q7" i="7"/>
  <c r="W34" i="9" l="1"/>
  <c r="L24" i="9" l="1"/>
  <c r="P24" i="9"/>
  <c r="AA22" i="9" l="1"/>
  <c r="J21" i="7" l="1"/>
  <c r="W21" i="7"/>
  <c r="Q21" i="7"/>
  <c r="H12" i="1" l="1"/>
  <c r="AA12" i="9" l="1"/>
  <c r="G12" i="1" l="1"/>
  <c r="L12" i="1" s="1"/>
  <c r="M33" i="9" l="1"/>
  <c r="P29" i="1" l="1"/>
  <c r="Q22" i="7" l="1"/>
  <c r="U38" i="7" l="1"/>
  <c r="P12" i="1" l="1"/>
  <c r="Y12" i="1"/>
  <c r="AC12" i="1" s="1"/>
  <c r="P8" i="1" l="1"/>
  <c r="P9" i="1"/>
  <c r="P10" i="1"/>
  <c r="P11" i="1"/>
  <c r="P13" i="1"/>
  <c r="P14" i="1"/>
  <c r="P17" i="1"/>
  <c r="P18" i="1"/>
  <c r="P19" i="1"/>
  <c r="P20" i="1"/>
  <c r="P21" i="1"/>
  <c r="P22" i="1"/>
  <c r="O22" i="9" s="1"/>
  <c r="P23" i="1"/>
  <c r="P24" i="1"/>
  <c r="G7" i="1"/>
  <c r="P7" i="1"/>
  <c r="Q13" i="7" l="1"/>
  <c r="H8" i="1" l="1"/>
  <c r="H9" i="1"/>
  <c r="H10" i="1"/>
  <c r="H11" i="1"/>
  <c r="H13" i="1"/>
  <c r="H14" i="1"/>
  <c r="H15" i="1"/>
  <c r="H16" i="1"/>
  <c r="H17" i="1"/>
  <c r="H18" i="1"/>
  <c r="H19" i="1"/>
  <c r="H20" i="1"/>
  <c r="H21" i="1"/>
  <c r="H22" i="1"/>
  <c r="H23" i="1"/>
  <c r="H24" i="1"/>
  <c r="G24" i="9" s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G13" i="1"/>
  <c r="G14" i="1"/>
  <c r="G15" i="1"/>
  <c r="G16" i="1"/>
  <c r="G17" i="1"/>
  <c r="G18" i="1"/>
  <c r="G19" i="1"/>
  <c r="G20" i="1"/>
  <c r="G21" i="1"/>
  <c r="G22" i="1"/>
  <c r="G23" i="1"/>
  <c r="G24" i="1"/>
  <c r="F24" i="9" s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9" i="1"/>
  <c r="G10" i="1"/>
  <c r="G11" i="1"/>
  <c r="G8" i="1"/>
  <c r="H7" i="1"/>
  <c r="C8" i="9" l="1"/>
  <c r="D8" i="9"/>
  <c r="E8" i="9"/>
  <c r="C9" i="9"/>
  <c r="D9" i="9"/>
  <c r="E9" i="9"/>
  <c r="C10" i="9"/>
  <c r="D10" i="9"/>
  <c r="E10" i="9"/>
  <c r="C11" i="9"/>
  <c r="D11" i="9"/>
  <c r="E11" i="9"/>
  <c r="C12" i="9"/>
  <c r="D12" i="9"/>
  <c r="E12" i="9"/>
  <c r="C13" i="9"/>
  <c r="D13" i="9"/>
  <c r="E13" i="9"/>
  <c r="C14" i="9"/>
  <c r="D14" i="9"/>
  <c r="E14" i="9"/>
  <c r="C15" i="9"/>
  <c r="D15" i="9"/>
  <c r="E15" i="9"/>
  <c r="C16" i="9"/>
  <c r="D16" i="9"/>
  <c r="E16" i="9"/>
  <c r="C17" i="9"/>
  <c r="D17" i="9"/>
  <c r="E17" i="9"/>
  <c r="C18" i="9"/>
  <c r="D18" i="9"/>
  <c r="E18" i="9"/>
  <c r="C19" i="9"/>
  <c r="D19" i="9"/>
  <c r="E19" i="9"/>
  <c r="C20" i="9"/>
  <c r="D20" i="9"/>
  <c r="E20" i="9"/>
  <c r="C21" i="9"/>
  <c r="D21" i="9"/>
  <c r="E21" i="9"/>
  <c r="C22" i="9"/>
  <c r="D22" i="9"/>
  <c r="E22" i="9"/>
  <c r="C23" i="9"/>
  <c r="D23" i="9"/>
  <c r="E23" i="9"/>
  <c r="C24" i="9"/>
  <c r="D24" i="9"/>
  <c r="E24" i="9"/>
  <c r="C25" i="9"/>
  <c r="D25" i="9"/>
  <c r="E25" i="9"/>
  <c r="C26" i="9"/>
  <c r="D26" i="9"/>
  <c r="E26" i="9"/>
  <c r="C27" i="9"/>
  <c r="D27" i="9"/>
  <c r="E27" i="9"/>
  <c r="C28" i="9"/>
  <c r="D28" i="9"/>
  <c r="E28" i="9"/>
  <c r="C29" i="9"/>
  <c r="D29" i="9"/>
  <c r="E29" i="9"/>
  <c r="C30" i="9"/>
  <c r="D30" i="9"/>
  <c r="E30" i="9"/>
  <c r="C31" i="9"/>
  <c r="D31" i="9"/>
  <c r="E31" i="9"/>
  <c r="C32" i="9"/>
  <c r="D32" i="9"/>
  <c r="E32" i="9"/>
  <c r="C33" i="9"/>
  <c r="D33" i="9"/>
  <c r="E33" i="9"/>
  <c r="C34" i="9"/>
  <c r="D34" i="9"/>
  <c r="E34" i="9"/>
  <c r="C35" i="9"/>
  <c r="D35" i="9"/>
  <c r="E35" i="9"/>
  <c r="C36" i="9"/>
  <c r="D36" i="9"/>
  <c r="E36" i="9"/>
  <c r="C37" i="9"/>
  <c r="D37" i="9"/>
  <c r="E37" i="9"/>
  <c r="Q38" i="1" l="1"/>
  <c r="Q33" i="7" l="1"/>
  <c r="AB38" i="1" l="1"/>
  <c r="B26" i="1"/>
  <c r="Q23" i="7"/>
  <c r="R23" i="9" s="1"/>
  <c r="Y38" i="7"/>
  <c r="W25" i="9"/>
  <c r="P30" i="1"/>
  <c r="O30" i="9" s="1"/>
  <c r="P25" i="1"/>
  <c r="O25" i="9" s="1"/>
  <c r="P26" i="1"/>
  <c r="O26" i="9" s="1"/>
  <c r="B38" i="1"/>
  <c r="B38" i="7"/>
  <c r="B11" i="7"/>
  <c r="B15" i="7"/>
  <c r="B29" i="7"/>
  <c r="B35" i="7"/>
  <c r="B37" i="7"/>
  <c r="B8" i="7"/>
  <c r="AA38" i="1"/>
  <c r="Y28" i="1"/>
  <c r="AC28" i="1" s="1"/>
  <c r="Y29" i="1"/>
  <c r="AC29" i="1" s="1"/>
  <c r="Y30" i="1"/>
  <c r="AC30" i="1" s="1"/>
  <c r="P28" i="1"/>
  <c r="O28" i="9" s="1"/>
  <c r="C6" i="11"/>
  <c r="I6" i="11" s="1"/>
  <c r="C4" i="11"/>
  <c r="C8" i="11"/>
  <c r="C32" i="11"/>
  <c r="C31" i="11"/>
  <c r="C30" i="11"/>
  <c r="C29" i="11"/>
  <c r="C27" i="11"/>
  <c r="C26" i="11"/>
  <c r="C25" i="11"/>
  <c r="C24" i="11"/>
  <c r="C23" i="11"/>
  <c r="C22" i="11"/>
  <c r="I22" i="11"/>
  <c r="C17" i="11"/>
  <c r="C16" i="11"/>
  <c r="C15" i="11"/>
  <c r="C12" i="11"/>
  <c r="C11" i="11"/>
  <c r="C10" i="11"/>
  <c r="C9" i="11"/>
  <c r="E109" i="11"/>
  <c r="B33" i="11"/>
  <c r="F38" i="1"/>
  <c r="W38" i="1"/>
  <c r="T38" i="1"/>
  <c r="G37" i="9"/>
  <c r="O15" i="9"/>
  <c r="G21" i="9"/>
  <c r="G22" i="9"/>
  <c r="G23" i="9"/>
  <c r="G25" i="9"/>
  <c r="G26" i="9"/>
  <c r="G27" i="9"/>
  <c r="G33" i="9"/>
  <c r="G34" i="9"/>
  <c r="L36" i="1"/>
  <c r="G14" i="9"/>
  <c r="G15" i="9"/>
  <c r="G17" i="9"/>
  <c r="G18" i="9"/>
  <c r="G20" i="9"/>
  <c r="L24" i="1"/>
  <c r="L26" i="1"/>
  <c r="F27" i="9"/>
  <c r="L29" i="1"/>
  <c r="F29" i="9"/>
  <c r="L30" i="1"/>
  <c r="F30" i="9"/>
  <c r="G38" i="1"/>
  <c r="L16" i="1"/>
  <c r="F17" i="9"/>
  <c r="F18" i="9"/>
  <c r="F19" i="9"/>
  <c r="L21" i="1"/>
  <c r="F23" i="9"/>
  <c r="G13" i="9"/>
  <c r="W8" i="7"/>
  <c r="O10" i="9"/>
  <c r="F8" i="9"/>
  <c r="F9" i="9"/>
  <c r="F11" i="9"/>
  <c r="R8" i="9"/>
  <c r="J8" i="7"/>
  <c r="R7" i="9"/>
  <c r="G10" i="9"/>
  <c r="G7" i="9"/>
  <c r="J7" i="7"/>
  <c r="M7" i="7" s="1"/>
  <c r="S7" i="7" s="1"/>
  <c r="V7" i="7" s="1"/>
  <c r="J31" i="9"/>
  <c r="J30" i="9"/>
  <c r="H31" i="9"/>
  <c r="V39" i="1"/>
  <c r="J28" i="9"/>
  <c r="H24" i="9"/>
  <c r="H23" i="9"/>
  <c r="H20" i="9"/>
  <c r="Q16" i="7"/>
  <c r="R16" i="9" s="1"/>
  <c r="Q17" i="7"/>
  <c r="R17" i="9" s="1"/>
  <c r="Q18" i="7"/>
  <c r="R18" i="9" s="1"/>
  <c r="R14" i="9"/>
  <c r="R15" i="9"/>
  <c r="Q28" i="7"/>
  <c r="R28" i="9" s="1"/>
  <c r="Q29" i="7"/>
  <c r="R29" i="9" s="1"/>
  <c r="Q30" i="7"/>
  <c r="R30" i="9" s="1"/>
  <c r="Q31" i="7"/>
  <c r="R31" i="9" s="1"/>
  <c r="Q32" i="7"/>
  <c r="R32" i="9" s="1"/>
  <c r="R33" i="9"/>
  <c r="Q34" i="7"/>
  <c r="R34" i="9" s="1"/>
  <c r="Q35" i="7"/>
  <c r="R35" i="9" s="1"/>
  <c r="Q36" i="7"/>
  <c r="R36" i="9" s="1"/>
  <c r="U37" i="9"/>
  <c r="U38" i="9" s="1"/>
  <c r="T38" i="7"/>
  <c r="Q37" i="7"/>
  <c r="R37" i="9" s="1"/>
  <c r="J31" i="7"/>
  <c r="W28" i="7"/>
  <c r="O23" i="9"/>
  <c r="L21" i="9"/>
  <c r="B17" i="1"/>
  <c r="B37" i="1"/>
  <c r="B16" i="1"/>
  <c r="O11" i="9"/>
  <c r="O12" i="9"/>
  <c r="O13" i="9"/>
  <c r="O14" i="9"/>
  <c r="O16" i="9"/>
  <c r="O17" i="9"/>
  <c r="O18" i="9"/>
  <c r="O19" i="9"/>
  <c r="O20" i="9"/>
  <c r="O24" i="9"/>
  <c r="P27" i="1"/>
  <c r="O27" i="9" s="1"/>
  <c r="O29" i="9"/>
  <c r="P31" i="1"/>
  <c r="O31" i="9" s="1"/>
  <c r="P32" i="1"/>
  <c r="O32" i="9" s="1"/>
  <c r="P33" i="1"/>
  <c r="O33" i="9" s="1"/>
  <c r="P34" i="1"/>
  <c r="O34" i="9" s="1"/>
  <c r="P35" i="1"/>
  <c r="O35" i="9" s="1"/>
  <c r="P36" i="1"/>
  <c r="O36" i="9" s="1"/>
  <c r="P37" i="1"/>
  <c r="O37" i="9" s="1"/>
  <c r="O8" i="9"/>
  <c r="O9" i="9"/>
  <c r="H12" i="9"/>
  <c r="G19" i="9"/>
  <c r="J8" i="9"/>
  <c r="Z38" i="7"/>
  <c r="AB8" i="9"/>
  <c r="AB9" i="9"/>
  <c r="AB10" i="9"/>
  <c r="AB11" i="9"/>
  <c r="AB12" i="9"/>
  <c r="AB13" i="9"/>
  <c r="AB14" i="9"/>
  <c r="AB15" i="9"/>
  <c r="AB16" i="9"/>
  <c r="AB17" i="9"/>
  <c r="AB18" i="9"/>
  <c r="AB19" i="9"/>
  <c r="AB20" i="9"/>
  <c r="AB21" i="9"/>
  <c r="AB22" i="9"/>
  <c r="AB23" i="9"/>
  <c r="AB24" i="9"/>
  <c r="AB25" i="9"/>
  <c r="AB26" i="9"/>
  <c r="AB27" i="9"/>
  <c r="AB28" i="9"/>
  <c r="AB29" i="9"/>
  <c r="AB30" i="9"/>
  <c r="AB32" i="9"/>
  <c r="AB33" i="9"/>
  <c r="AB34" i="9"/>
  <c r="AB35" i="9"/>
  <c r="AB36" i="9"/>
  <c r="AB37" i="9"/>
  <c r="AB7" i="9"/>
  <c r="AA8" i="9"/>
  <c r="AA9" i="9"/>
  <c r="AA10" i="9"/>
  <c r="AA11" i="9"/>
  <c r="AA13" i="9"/>
  <c r="AA14" i="9"/>
  <c r="AA15" i="9"/>
  <c r="AA16" i="9"/>
  <c r="AA17" i="9"/>
  <c r="AA18" i="9"/>
  <c r="AA19" i="9"/>
  <c r="AA20" i="9"/>
  <c r="AA21" i="9"/>
  <c r="AA23" i="9"/>
  <c r="AA24" i="9"/>
  <c r="AA25" i="9"/>
  <c r="AA26" i="9"/>
  <c r="AA27" i="9"/>
  <c r="AA28" i="9"/>
  <c r="AA29" i="9"/>
  <c r="AA30" i="9"/>
  <c r="AA31" i="9"/>
  <c r="AA32" i="9"/>
  <c r="AA33" i="9"/>
  <c r="AA34" i="9"/>
  <c r="AA35" i="9"/>
  <c r="AA36" i="9"/>
  <c r="AA37" i="9"/>
  <c r="AA7" i="9"/>
  <c r="W26" i="9"/>
  <c r="H37" i="9"/>
  <c r="I37" i="9"/>
  <c r="J37" i="9"/>
  <c r="L37" i="9"/>
  <c r="M37" i="9"/>
  <c r="P37" i="9"/>
  <c r="Q37" i="9"/>
  <c r="V37" i="9"/>
  <c r="W37" i="9"/>
  <c r="G16" i="9"/>
  <c r="W37" i="7"/>
  <c r="J37" i="7"/>
  <c r="Q25" i="7"/>
  <c r="R25" i="9" s="1"/>
  <c r="Q14" i="9"/>
  <c r="P25" i="9"/>
  <c r="P28" i="9"/>
  <c r="H28" i="9"/>
  <c r="V12" i="9"/>
  <c r="J38" i="1"/>
  <c r="F21" i="9"/>
  <c r="H21" i="9"/>
  <c r="F25" i="9"/>
  <c r="J30" i="7"/>
  <c r="P8" i="9"/>
  <c r="H33" i="9"/>
  <c r="H32" i="9"/>
  <c r="I32" i="9"/>
  <c r="P30" i="9"/>
  <c r="H18" i="9"/>
  <c r="H17" i="9"/>
  <c r="H14" i="9"/>
  <c r="P11" i="9"/>
  <c r="H30" i="9"/>
  <c r="H16" i="9"/>
  <c r="W35" i="7"/>
  <c r="A10" i="7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H36" i="9"/>
  <c r="H34" i="9"/>
  <c r="P20" i="9"/>
  <c r="H29" i="9"/>
  <c r="S38" i="1"/>
  <c r="K38" i="1"/>
  <c r="P15" i="9"/>
  <c r="B7" i="9"/>
  <c r="B38" i="9" s="1"/>
  <c r="U34" i="9"/>
  <c r="Y37" i="1"/>
  <c r="AC37" i="1" s="1"/>
  <c r="Y7" i="1"/>
  <c r="AC7" i="1" s="1"/>
  <c r="P13" i="9"/>
  <c r="Q13" i="9"/>
  <c r="P14" i="9"/>
  <c r="Q15" i="9"/>
  <c r="P16" i="9"/>
  <c r="Q16" i="9"/>
  <c r="P17" i="9"/>
  <c r="Q17" i="9"/>
  <c r="Q18" i="9"/>
  <c r="P19" i="9"/>
  <c r="Q19" i="9"/>
  <c r="Q20" i="9"/>
  <c r="P21" i="9"/>
  <c r="Q21" i="9"/>
  <c r="P22" i="9"/>
  <c r="Q22" i="9"/>
  <c r="P23" i="9"/>
  <c r="Q23" i="9"/>
  <c r="Q24" i="9"/>
  <c r="Q25" i="9"/>
  <c r="P26" i="9"/>
  <c r="Q26" i="9"/>
  <c r="P27" i="9"/>
  <c r="Q27" i="9"/>
  <c r="Q28" i="9"/>
  <c r="Q29" i="9"/>
  <c r="Q30" i="9"/>
  <c r="P31" i="9"/>
  <c r="Q31" i="9"/>
  <c r="P32" i="9"/>
  <c r="Q32" i="9"/>
  <c r="P33" i="9"/>
  <c r="Q33" i="9"/>
  <c r="Q34" i="9"/>
  <c r="P35" i="9"/>
  <c r="Q35" i="9"/>
  <c r="Q36" i="9"/>
  <c r="Q8" i="9"/>
  <c r="P9" i="9"/>
  <c r="Q9" i="9"/>
  <c r="P10" i="9"/>
  <c r="Q10" i="9"/>
  <c r="Q11" i="9"/>
  <c r="P12" i="9"/>
  <c r="Q12" i="9"/>
  <c r="P7" i="9"/>
  <c r="Q7" i="9"/>
  <c r="I21" i="9"/>
  <c r="J21" i="9"/>
  <c r="H22" i="9"/>
  <c r="I22" i="9"/>
  <c r="J22" i="9"/>
  <c r="I23" i="9"/>
  <c r="J23" i="9"/>
  <c r="J24" i="9"/>
  <c r="I25" i="9"/>
  <c r="J25" i="9"/>
  <c r="H26" i="9"/>
  <c r="I26" i="9"/>
  <c r="J26" i="9"/>
  <c r="H27" i="9"/>
  <c r="I27" i="9"/>
  <c r="J27" i="9"/>
  <c r="I28" i="9"/>
  <c r="I29" i="9"/>
  <c r="J29" i="9"/>
  <c r="I30" i="9"/>
  <c r="J32" i="9"/>
  <c r="I33" i="9"/>
  <c r="J33" i="9"/>
  <c r="I34" i="9"/>
  <c r="J34" i="9"/>
  <c r="H35" i="9"/>
  <c r="I35" i="9"/>
  <c r="J35" i="9"/>
  <c r="I36" i="9"/>
  <c r="J36" i="9"/>
  <c r="I9" i="9"/>
  <c r="J9" i="9"/>
  <c r="H10" i="9"/>
  <c r="I10" i="9"/>
  <c r="J10" i="9"/>
  <c r="H11" i="9"/>
  <c r="I11" i="9"/>
  <c r="J11" i="9"/>
  <c r="I12" i="9"/>
  <c r="J12" i="9"/>
  <c r="H13" i="9"/>
  <c r="J13" i="9"/>
  <c r="I14" i="9"/>
  <c r="J14" i="9"/>
  <c r="H15" i="9"/>
  <c r="I15" i="9"/>
  <c r="J15" i="9"/>
  <c r="I16" i="9"/>
  <c r="J16" i="9"/>
  <c r="I17" i="9"/>
  <c r="J17" i="9"/>
  <c r="I18" i="9"/>
  <c r="J18" i="9"/>
  <c r="H19" i="9"/>
  <c r="I19" i="9"/>
  <c r="J19" i="9"/>
  <c r="I20" i="9"/>
  <c r="J20" i="9"/>
  <c r="I8" i="9"/>
  <c r="H7" i="9"/>
  <c r="I7" i="9"/>
  <c r="J7" i="9"/>
  <c r="W8" i="9"/>
  <c r="W9" i="9"/>
  <c r="W10" i="9"/>
  <c r="W11" i="9"/>
  <c r="W12" i="9"/>
  <c r="W13" i="9"/>
  <c r="W14" i="9"/>
  <c r="W15" i="9"/>
  <c r="W16" i="9"/>
  <c r="W17" i="9"/>
  <c r="W18" i="9"/>
  <c r="W19" i="9"/>
  <c r="W20" i="9"/>
  <c r="W21" i="9"/>
  <c r="W22" i="9"/>
  <c r="W23" i="9"/>
  <c r="W24" i="9"/>
  <c r="W27" i="9"/>
  <c r="W28" i="9"/>
  <c r="W29" i="9"/>
  <c r="W30" i="9"/>
  <c r="W31" i="9"/>
  <c r="W32" i="9"/>
  <c r="W33" i="9"/>
  <c r="W35" i="9"/>
  <c r="W36" i="9"/>
  <c r="W7" i="9"/>
  <c r="U36" i="9"/>
  <c r="L8" i="9"/>
  <c r="M8" i="9"/>
  <c r="L9" i="9"/>
  <c r="M9" i="9"/>
  <c r="L10" i="9"/>
  <c r="M10" i="9"/>
  <c r="L11" i="9"/>
  <c r="M11" i="9"/>
  <c r="L12" i="9"/>
  <c r="M12" i="9"/>
  <c r="L13" i="9"/>
  <c r="M13" i="9"/>
  <c r="L14" i="9"/>
  <c r="M14" i="9"/>
  <c r="L15" i="9"/>
  <c r="M15" i="9"/>
  <c r="L16" i="9"/>
  <c r="M16" i="9"/>
  <c r="L17" i="9"/>
  <c r="M17" i="9"/>
  <c r="L18" i="9"/>
  <c r="M18" i="9"/>
  <c r="M19" i="9"/>
  <c r="L20" i="9"/>
  <c r="M20" i="9"/>
  <c r="M21" i="9"/>
  <c r="L22" i="9"/>
  <c r="M22" i="9"/>
  <c r="L23" i="9"/>
  <c r="M23" i="9"/>
  <c r="M24" i="9"/>
  <c r="L25" i="9"/>
  <c r="M25" i="9"/>
  <c r="L26" i="9"/>
  <c r="M26" i="9"/>
  <c r="L27" i="9"/>
  <c r="M27" i="9"/>
  <c r="L28" i="9"/>
  <c r="M28" i="9"/>
  <c r="L29" i="9"/>
  <c r="M29" i="9"/>
  <c r="L30" i="9"/>
  <c r="M30" i="9"/>
  <c r="L31" i="9"/>
  <c r="M31" i="9"/>
  <c r="L32" i="9"/>
  <c r="M32" i="9"/>
  <c r="L33" i="9"/>
  <c r="L34" i="9"/>
  <c r="M34" i="9"/>
  <c r="L35" i="9"/>
  <c r="M35" i="9"/>
  <c r="L36" i="9"/>
  <c r="M36" i="9"/>
  <c r="M7" i="9"/>
  <c r="L7" i="9"/>
  <c r="W7" i="7"/>
  <c r="L38" i="7"/>
  <c r="K38" i="7"/>
  <c r="V8" i="9"/>
  <c r="V9" i="9"/>
  <c r="V10" i="9"/>
  <c r="V11" i="9"/>
  <c r="V13" i="9"/>
  <c r="V14" i="9"/>
  <c r="V15" i="9"/>
  <c r="V16" i="9"/>
  <c r="V17" i="9"/>
  <c r="V18" i="9"/>
  <c r="V19" i="9"/>
  <c r="V20" i="9"/>
  <c r="V21" i="9"/>
  <c r="V22" i="9"/>
  <c r="V23" i="9"/>
  <c r="V24" i="9"/>
  <c r="V25" i="9"/>
  <c r="V26" i="9"/>
  <c r="V27" i="9"/>
  <c r="V28" i="9"/>
  <c r="V29" i="9"/>
  <c r="V30" i="9"/>
  <c r="V31" i="9"/>
  <c r="V32" i="9"/>
  <c r="V33" i="9"/>
  <c r="V34" i="9"/>
  <c r="V35" i="9"/>
  <c r="V36" i="9"/>
  <c r="V38" i="9" s="1"/>
  <c r="V7" i="9"/>
  <c r="U8" i="9"/>
  <c r="U9" i="9"/>
  <c r="U10" i="9"/>
  <c r="U11" i="9"/>
  <c r="U12" i="9"/>
  <c r="U14" i="9"/>
  <c r="U15" i="9"/>
  <c r="U16" i="9"/>
  <c r="U17" i="9"/>
  <c r="U18" i="9"/>
  <c r="U19" i="9"/>
  <c r="U20" i="9"/>
  <c r="U21" i="9"/>
  <c r="U22" i="9"/>
  <c r="U23" i="9"/>
  <c r="U25" i="9"/>
  <c r="U26" i="9"/>
  <c r="U27" i="9"/>
  <c r="U28" i="9"/>
  <c r="U29" i="9"/>
  <c r="U30" i="9"/>
  <c r="U32" i="9"/>
  <c r="U33" i="9"/>
  <c r="U35" i="9"/>
  <c r="U7" i="9"/>
  <c r="C7" i="9"/>
  <c r="A8" i="9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R21" i="9"/>
  <c r="R22" i="9"/>
  <c r="Q24" i="7"/>
  <c r="R24" i="9" s="1"/>
  <c r="Q26" i="7"/>
  <c r="R26" i="9" s="1"/>
  <c r="Q27" i="7"/>
  <c r="R27" i="9" s="1"/>
  <c r="R9" i="9"/>
  <c r="R10" i="9"/>
  <c r="R11" i="9"/>
  <c r="R12" i="9"/>
  <c r="R13" i="9"/>
  <c r="Q19" i="7"/>
  <c r="R19" i="9" s="1"/>
  <c r="R20" i="9"/>
  <c r="W36" i="7"/>
  <c r="W34" i="7"/>
  <c r="W33" i="7"/>
  <c r="W32" i="7"/>
  <c r="W31" i="7"/>
  <c r="W30" i="7"/>
  <c r="W29" i="7"/>
  <c r="W27" i="7"/>
  <c r="W26" i="7"/>
  <c r="W25" i="7"/>
  <c r="W24" i="7"/>
  <c r="W23" i="7"/>
  <c r="W22" i="7"/>
  <c r="W20" i="7"/>
  <c r="W19" i="7"/>
  <c r="W18" i="7"/>
  <c r="W17" i="7"/>
  <c r="W16" i="7"/>
  <c r="W15" i="7"/>
  <c r="W14" i="7"/>
  <c r="W13" i="7"/>
  <c r="W12" i="7"/>
  <c r="W11" i="7"/>
  <c r="W10" i="7"/>
  <c r="W9" i="7"/>
  <c r="Y8" i="1"/>
  <c r="AC8" i="1" s="1"/>
  <c r="Y9" i="1"/>
  <c r="AC9" i="1" s="1"/>
  <c r="Y10" i="1"/>
  <c r="AC10" i="1" s="1"/>
  <c r="Y11" i="1"/>
  <c r="AC11" i="1" s="1"/>
  <c r="Y13" i="1"/>
  <c r="AC13" i="1" s="1"/>
  <c r="Y14" i="1"/>
  <c r="AC14" i="1" s="1"/>
  <c r="Y15" i="1"/>
  <c r="AC15" i="1" s="1"/>
  <c r="Y16" i="1"/>
  <c r="AC16" i="1" s="1"/>
  <c r="Y17" i="1"/>
  <c r="AC17" i="1" s="1"/>
  <c r="Y18" i="1"/>
  <c r="AC18" i="1" s="1"/>
  <c r="Y19" i="1"/>
  <c r="AC19" i="1" s="1"/>
  <c r="Y20" i="1"/>
  <c r="AC20" i="1" s="1"/>
  <c r="Y21" i="1"/>
  <c r="AC21" i="1" s="1"/>
  <c r="Y22" i="1"/>
  <c r="AC22" i="1" s="1"/>
  <c r="Y24" i="1"/>
  <c r="AC24" i="1" s="1"/>
  <c r="Y26" i="1"/>
  <c r="AC26" i="1" s="1"/>
  <c r="Y27" i="1"/>
  <c r="AC27" i="1" s="1"/>
  <c r="Y31" i="1"/>
  <c r="AC31" i="1" s="1"/>
  <c r="Y32" i="1"/>
  <c r="AC32" i="1" s="1"/>
  <c r="Y33" i="1"/>
  <c r="AC33" i="1" s="1"/>
  <c r="Y34" i="1"/>
  <c r="AC34" i="1" s="1"/>
  <c r="Y35" i="1"/>
  <c r="AC35" i="1" s="1"/>
  <c r="Y36" i="1"/>
  <c r="AC36" i="1" s="1"/>
  <c r="J9" i="7"/>
  <c r="B10" i="7"/>
  <c r="J12" i="7"/>
  <c r="J14" i="7"/>
  <c r="P38" i="7"/>
  <c r="F38" i="7"/>
  <c r="H38" i="7"/>
  <c r="J10" i="7"/>
  <c r="J20" i="7"/>
  <c r="J22" i="7"/>
  <c r="J32" i="7"/>
  <c r="J34" i="7"/>
  <c r="J36" i="7"/>
  <c r="E38" i="7"/>
  <c r="D38" i="7"/>
  <c r="C38" i="7"/>
  <c r="A8" i="7"/>
  <c r="A8" i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9" i="1"/>
  <c r="A30" i="1" s="1"/>
  <c r="A31" i="1" s="1"/>
  <c r="A32" i="1" s="1"/>
  <c r="A33" i="1" s="1"/>
  <c r="A34" i="1" s="1"/>
  <c r="A35" i="1" s="1"/>
  <c r="A36" i="1" s="1"/>
  <c r="J18" i="7"/>
  <c r="J16" i="7"/>
  <c r="J33" i="7"/>
  <c r="J28" i="7"/>
  <c r="J25" i="7"/>
  <c r="J13" i="7"/>
  <c r="J17" i="7"/>
  <c r="J19" i="7"/>
  <c r="J29" i="7"/>
  <c r="J11" i="7"/>
  <c r="J35" i="7"/>
  <c r="J23" i="7"/>
  <c r="J27" i="7"/>
  <c r="J26" i="7"/>
  <c r="J15" i="7"/>
  <c r="P29" i="9"/>
  <c r="P18" i="9"/>
  <c r="P36" i="9"/>
  <c r="P34" i="9"/>
  <c r="Y25" i="1"/>
  <c r="AC25" i="1" s="1"/>
  <c r="I13" i="9"/>
  <c r="I31" i="9"/>
  <c r="H8" i="9"/>
  <c r="U31" i="9"/>
  <c r="D7" i="9"/>
  <c r="I24" i="9"/>
  <c r="H9" i="9"/>
  <c r="R38" i="1"/>
  <c r="E7" i="9"/>
  <c r="F15" i="9"/>
  <c r="G29" i="9"/>
  <c r="U24" i="9"/>
  <c r="E38" i="1"/>
  <c r="F7" i="9"/>
  <c r="U13" i="9"/>
  <c r="Y23" i="1"/>
  <c r="AC23" i="1" s="1"/>
  <c r="L19" i="9"/>
  <c r="L15" i="1"/>
  <c r="F14" i="9"/>
  <c r="I38" i="1"/>
  <c r="H25" i="9"/>
  <c r="F20" i="9"/>
  <c r="L20" i="1"/>
  <c r="C38" i="1"/>
  <c r="D38" i="1"/>
  <c r="O7" i="9"/>
  <c r="L19" i="1"/>
  <c r="L33" i="1"/>
  <c r="F10" i="9"/>
  <c r="F36" i="9"/>
  <c r="F33" i="9"/>
  <c r="L8" i="1"/>
  <c r="G8" i="9"/>
  <c r="F31" i="9"/>
  <c r="F37" i="9"/>
  <c r="L37" i="1"/>
  <c r="G12" i="9"/>
  <c r="F13" i="9"/>
  <c r="L13" i="1"/>
  <c r="L17" i="1"/>
  <c r="O21" i="9"/>
  <c r="F32" i="9"/>
  <c r="F26" i="9"/>
  <c r="G28" i="9"/>
  <c r="G35" i="9"/>
  <c r="L7" i="1"/>
  <c r="O7" i="1" s="1"/>
  <c r="U7" i="1" s="1"/>
  <c r="B8" i="1" s="1"/>
  <c r="L27" i="1"/>
  <c r="F22" i="9"/>
  <c r="G36" i="9"/>
  <c r="G30" i="9"/>
  <c r="G9" i="9"/>
  <c r="L9" i="1"/>
  <c r="F12" i="9"/>
  <c r="O12" i="1"/>
  <c r="U12" i="1" s="1"/>
  <c r="G11" i="9"/>
  <c r="L11" i="1"/>
  <c r="B10" i="1"/>
  <c r="L10" i="1"/>
  <c r="L14" i="1"/>
  <c r="F16" i="9"/>
  <c r="L18" i="1"/>
  <c r="B22" i="1"/>
  <c r="L22" i="1"/>
  <c r="L23" i="1"/>
  <c r="L25" i="1"/>
  <c r="B31" i="1"/>
  <c r="I39" i="1" l="1"/>
  <c r="AC38" i="1"/>
  <c r="U39" i="7"/>
  <c r="I39" i="7"/>
  <c r="S12" i="9"/>
  <c r="Y12" i="9" s="1"/>
  <c r="O16" i="1"/>
  <c r="U16" i="1" s="1"/>
  <c r="X16" i="1" s="1"/>
  <c r="Z16" i="1" s="1"/>
  <c r="S17" i="9"/>
  <c r="Y17" i="9" s="1"/>
  <c r="O19" i="1"/>
  <c r="U19" i="1" s="1"/>
  <c r="W38" i="7"/>
  <c r="Y38" i="1"/>
  <c r="Y39" i="1" s="1"/>
  <c r="S31" i="9"/>
  <c r="Y31" i="9" s="1"/>
  <c r="S16" i="9"/>
  <c r="Y16" i="9" s="1"/>
  <c r="I38" i="9"/>
  <c r="I39" i="9" s="1"/>
  <c r="S27" i="9"/>
  <c r="Y27" i="9" s="1"/>
  <c r="O10" i="1"/>
  <c r="G39" i="1"/>
  <c r="O8" i="1"/>
  <c r="U8" i="1" s="1"/>
  <c r="S18" i="9"/>
  <c r="Y18" i="9" s="1"/>
  <c r="S8" i="9"/>
  <c r="Y8" i="9" s="1"/>
  <c r="S35" i="9"/>
  <c r="Y35" i="9" s="1"/>
  <c r="K29" i="9"/>
  <c r="S28" i="9"/>
  <c r="Y28" i="9" s="1"/>
  <c r="K25" i="9"/>
  <c r="S24" i="9"/>
  <c r="Y24" i="9" s="1"/>
  <c r="S21" i="9"/>
  <c r="Y21" i="9" s="1"/>
  <c r="K20" i="9"/>
  <c r="K17" i="9"/>
  <c r="S15" i="9"/>
  <c r="Y15" i="9" s="1"/>
  <c r="M15" i="7"/>
  <c r="S15" i="7" s="1"/>
  <c r="S14" i="9"/>
  <c r="Y14" i="9" s="1"/>
  <c r="S13" i="9"/>
  <c r="Y13" i="9" s="1"/>
  <c r="Q38" i="7"/>
  <c r="Q39" i="7" s="1"/>
  <c r="R38" i="9"/>
  <c r="R39" i="9" s="1"/>
  <c r="M8" i="7"/>
  <c r="S8" i="7" s="1"/>
  <c r="K15" i="9"/>
  <c r="O26" i="1"/>
  <c r="K19" i="9"/>
  <c r="K12" i="9"/>
  <c r="K8" i="9"/>
  <c r="K14" i="9"/>
  <c r="K9" i="9"/>
  <c r="K13" i="9"/>
  <c r="K21" i="9"/>
  <c r="K16" i="9"/>
  <c r="K24" i="9"/>
  <c r="K7" i="9"/>
  <c r="N7" i="9" s="1"/>
  <c r="X7" i="1"/>
  <c r="Z7" i="1" s="1"/>
  <c r="X7" i="7"/>
  <c r="S23" i="9"/>
  <c r="Y23" i="9" s="1"/>
  <c r="M10" i="7"/>
  <c r="S10" i="7" s="1"/>
  <c r="V10" i="7" s="1"/>
  <c r="S9" i="9"/>
  <c r="Y9" i="9" s="1"/>
  <c r="S29" i="9"/>
  <c r="Y29" i="9" s="1"/>
  <c r="S22" i="9"/>
  <c r="Y22" i="9" s="1"/>
  <c r="S10" i="9"/>
  <c r="Y10" i="9" s="1"/>
  <c r="S26" i="9"/>
  <c r="Y26" i="9" s="1"/>
  <c r="S25" i="9"/>
  <c r="Y25" i="9" s="1"/>
  <c r="S37" i="9"/>
  <c r="Y37" i="9" s="1"/>
  <c r="S11" i="9"/>
  <c r="Y11" i="9" s="1"/>
  <c r="B10" i="9"/>
  <c r="S7" i="9"/>
  <c r="Y7" i="9" s="1"/>
  <c r="K11" i="9"/>
  <c r="K23" i="9"/>
  <c r="K18" i="9"/>
  <c r="K27" i="9"/>
  <c r="K26" i="9"/>
  <c r="M29" i="7"/>
  <c r="S29" i="7" s="1"/>
  <c r="M11" i="7"/>
  <c r="S11" i="7" s="1"/>
  <c r="K22" i="9"/>
  <c r="S33" i="9"/>
  <c r="Y33" i="9" s="1"/>
  <c r="S19" i="9"/>
  <c r="Y19" i="9" s="1"/>
  <c r="S30" i="9"/>
  <c r="Y30" i="9" s="1"/>
  <c r="K10" i="9"/>
  <c r="K30" i="9"/>
  <c r="O17" i="1"/>
  <c r="U17" i="1" s="1"/>
  <c r="W38" i="9"/>
  <c r="W39" i="9" s="1"/>
  <c r="K37" i="9"/>
  <c r="K36" i="9"/>
  <c r="L35" i="1"/>
  <c r="F35" i="9"/>
  <c r="K35" i="9" s="1"/>
  <c r="S34" i="9"/>
  <c r="Y34" i="9" s="1"/>
  <c r="F34" i="9"/>
  <c r="K34" i="9" s="1"/>
  <c r="L34" i="1"/>
  <c r="AB38" i="9"/>
  <c r="AB39" i="9" s="1"/>
  <c r="P38" i="1"/>
  <c r="P39" i="1" s="1"/>
  <c r="K33" i="9"/>
  <c r="O22" i="1"/>
  <c r="U22" i="1" s="1"/>
  <c r="X22" i="1" s="1"/>
  <c r="B8" i="9"/>
  <c r="Q39" i="1"/>
  <c r="S39" i="1"/>
  <c r="R39" i="1"/>
  <c r="E39" i="1"/>
  <c r="K39" i="1"/>
  <c r="J39" i="1"/>
  <c r="P39" i="7"/>
  <c r="C39" i="7"/>
  <c r="E39" i="7"/>
  <c r="A37" i="7"/>
  <c r="O39" i="7"/>
  <c r="F39" i="7"/>
  <c r="N39" i="7"/>
  <c r="D39" i="7"/>
  <c r="M39" i="1"/>
  <c r="C38" i="9"/>
  <c r="C39" i="9" s="1"/>
  <c r="S20" i="9"/>
  <c r="Y20" i="9" s="1"/>
  <c r="H38" i="9"/>
  <c r="H39" i="9" s="1"/>
  <c r="G31" i="9"/>
  <c r="K31" i="9" s="1"/>
  <c r="L31" i="1"/>
  <c r="O31" i="1" s="1"/>
  <c r="T39" i="1"/>
  <c r="F39" i="1"/>
  <c r="D39" i="1"/>
  <c r="C39" i="1"/>
  <c r="E38" i="9"/>
  <c r="E39" i="9" s="1"/>
  <c r="Q38" i="9"/>
  <c r="Q39" i="9" s="1"/>
  <c r="O37" i="1"/>
  <c r="L28" i="1"/>
  <c r="H39" i="7"/>
  <c r="P38" i="9"/>
  <c r="P39" i="9" s="1"/>
  <c r="K39" i="7"/>
  <c r="S36" i="9"/>
  <c r="Y36" i="9" s="1"/>
  <c r="L39" i="7"/>
  <c r="M38" i="9"/>
  <c r="M39" i="9" s="1"/>
  <c r="J38" i="9"/>
  <c r="J39" i="9" s="1"/>
  <c r="O38" i="9"/>
  <c r="O39" i="9" s="1"/>
  <c r="W39" i="1"/>
  <c r="F28" i="9"/>
  <c r="K28" i="9" s="1"/>
  <c r="AA39" i="1"/>
  <c r="M37" i="7"/>
  <c r="S37" i="7" s="1"/>
  <c r="V37" i="7" s="1"/>
  <c r="X37" i="7" s="1"/>
  <c r="N39" i="1"/>
  <c r="L38" i="9"/>
  <c r="L39" i="9" s="1"/>
  <c r="AA38" i="9"/>
  <c r="AA39" i="9" s="1"/>
  <c r="L32" i="1"/>
  <c r="Y39" i="7"/>
  <c r="D38" i="9"/>
  <c r="D39" i="9" s="1"/>
  <c r="M35" i="7"/>
  <c r="S35" i="7" s="1"/>
  <c r="J38" i="7"/>
  <c r="S32" i="9"/>
  <c r="B37" i="9"/>
  <c r="G32" i="9"/>
  <c r="H38" i="1"/>
  <c r="V15" i="7" l="1"/>
  <c r="X15" i="7" s="1"/>
  <c r="B16" i="7"/>
  <c r="V25" i="7"/>
  <c r="X25" i="7" s="1"/>
  <c r="B34" i="7"/>
  <c r="M34" i="7" s="1"/>
  <c r="S34" i="7" s="1"/>
  <c r="V34" i="7" s="1"/>
  <c r="X34" i="7" s="1"/>
  <c r="V11" i="7"/>
  <c r="X11" i="7" s="1"/>
  <c r="B12" i="7"/>
  <c r="V35" i="7"/>
  <c r="X35" i="7" s="1"/>
  <c r="B36" i="7"/>
  <c r="M36" i="7" s="1"/>
  <c r="S36" i="7" s="1"/>
  <c r="V36" i="7" s="1"/>
  <c r="X36" i="7" s="1"/>
  <c r="V16" i="7"/>
  <c r="X16" i="7" s="1"/>
  <c r="V8" i="7"/>
  <c r="X8" i="7" s="1"/>
  <c r="B9" i="7"/>
  <c r="M9" i="7" s="1"/>
  <c r="S9" i="7" s="1"/>
  <c r="V9" i="7" s="1"/>
  <c r="X9" i="7" s="1"/>
  <c r="V29" i="7"/>
  <c r="X29" i="7" s="1"/>
  <c r="B30" i="7"/>
  <c r="M30" i="7" s="1"/>
  <c r="S30" i="7" s="1"/>
  <c r="X8" i="1"/>
  <c r="X8" i="9" s="1"/>
  <c r="Z8" i="9" s="1"/>
  <c r="B9" i="1"/>
  <c r="U10" i="1"/>
  <c r="X10" i="1" s="1"/>
  <c r="Z10" i="1" s="1"/>
  <c r="X12" i="1"/>
  <c r="Z12" i="1" s="1"/>
  <c r="B13" i="1"/>
  <c r="X19" i="1"/>
  <c r="Z19" i="1" s="1"/>
  <c r="B20" i="1"/>
  <c r="V26" i="7"/>
  <c r="X26" i="7" s="1"/>
  <c r="X10" i="7"/>
  <c r="V27" i="7"/>
  <c r="X27" i="7" s="1"/>
  <c r="X17" i="1"/>
  <c r="B18" i="1"/>
  <c r="U37" i="1"/>
  <c r="X37" i="1" s="1"/>
  <c r="U31" i="1"/>
  <c r="U26" i="1"/>
  <c r="R38" i="7"/>
  <c r="R39" i="7" s="1"/>
  <c r="N37" i="9"/>
  <c r="T37" i="9" s="1"/>
  <c r="X7" i="9"/>
  <c r="Z7" i="9" s="1"/>
  <c r="T7" i="9"/>
  <c r="N10" i="9"/>
  <c r="T10" i="9" s="1"/>
  <c r="B36" i="1"/>
  <c r="B29" i="1"/>
  <c r="B29" i="9" s="1"/>
  <c r="N29" i="9" s="1"/>
  <c r="T29" i="9" s="1"/>
  <c r="B15" i="1"/>
  <c r="B15" i="9" s="1"/>
  <c r="N15" i="9" s="1"/>
  <c r="T15" i="9" s="1"/>
  <c r="L38" i="1"/>
  <c r="O38" i="1" s="1"/>
  <c r="U38" i="1" s="1"/>
  <c r="U39" i="1" s="1"/>
  <c r="F38" i="9"/>
  <c r="F39" i="9" s="1"/>
  <c r="B33" i="1"/>
  <c r="N8" i="9"/>
  <c r="T8" i="9" s="1"/>
  <c r="M38" i="7"/>
  <c r="J39" i="7"/>
  <c r="Y32" i="9"/>
  <c r="Y38" i="9" s="1"/>
  <c r="S38" i="9"/>
  <c r="S39" i="9" s="1"/>
  <c r="H39" i="1"/>
  <c r="G38" i="9"/>
  <c r="K32" i="9"/>
  <c r="V30" i="7" l="1"/>
  <c r="X30" i="7" s="1"/>
  <c r="B31" i="7"/>
  <c r="M16" i="7"/>
  <c r="S16" i="7" s="1"/>
  <c r="B17" i="7" s="1"/>
  <c r="B17" i="9" s="1"/>
  <c r="N17" i="9" s="1"/>
  <c r="T17" i="9" s="1"/>
  <c r="B16" i="9"/>
  <c r="N16" i="9" s="1"/>
  <c r="T16" i="9" s="1"/>
  <c r="B36" i="9"/>
  <c r="N36" i="9" s="1"/>
  <c r="T36" i="9" s="1"/>
  <c r="X16" i="9"/>
  <c r="Z16" i="9" s="1"/>
  <c r="M17" i="7"/>
  <c r="S17" i="7" s="1"/>
  <c r="M12" i="7"/>
  <c r="S12" i="7" s="1"/>
  <c r="B12" i="9"/>
  <c r="N12" i="9" s="1"/>
  <c r="T12" i="9" s="1"/>
  <c r="V18" i="7"/>
  <c r="X18" i="7" s="1"/>
  <c r="Z8" i="1"/>
  <c r="O9" i="1"/>
  <c r="U9" i="1" s="1"/>
  <c r="X9" i="1" s="1"/>
  <c r="B9" i="9"/>
  <c r="N9" i="9" s="1"/>
  <c r="T9" i="9" s="1"/>
  <c r="X10" i="9"/>
  <c r="Z10" i="9" s="1"/>
  <c r="X26" i="1"/>
  <c r="Z26" i="1" s="1"/>
  <c r="B27" i="1"/>
  <c r="O13" i="1"/>
  <c r="U13" i="1" s="1"/>
  <c r="O20" i="1"/>
  <c r="U20" i="1" s="1"/>
  <c r="Z22" i="1"/>
  <c r="B23" i="1"/>
  <c r="X31" i="1"/>
  <c r="Z31" i="1" s="1"/>
  <c r="B32" i="1"/>
  <c r="Z17" i="1"/>
  <c r="O18" i="1"/>
  <c r="U18" i="1" s="1"/>
  <c r="X18" i="1" s="1"/>
  <c r="O11" i="1"/>
  <c r="B11" i="9"/>
  <c r="N11" i="9" s="1"/>
  <c r="T11" i="9" s="1"/>
  <c r="W39" i="7"/>
  <c r="Z37" i="1"/>
  <c r="X37" i="9"/>
  <c r="Z37" i="9" s="1"/>
  <c r="O29" i="1"/>
  <c r="O36" i="1"/>
  <c r="O15" i="1"/>
  <c r="U15" i="1" s="1"/>
  <c r="X15" i="1" s="1"/>
  <c r="X15" i="9" s="1"/>
  <c r="Z15" i="9" s="1"/>
  <c r="B30" i="1"/>
  <c r="O30" i="1" s="1"/>
  <c r="O33" i="1"/>
  <c r="U33" i="1" s="1"/>
  <c r="O39" i="1"/>
  <c r="L39" i="1"/>
  <c r="M39" i="7"/>
  <c r="S38" i="7"/>
  <c r="S39" i="7" s="1"/>
  <c r="Y39" i="9"/>
  <c r="G39" i="9"/>
  <c r="H40" i="9"/>
  <c r="K38" i="9"/>
  <c r="K40" i="9" s="1"/>
  <c r="V12" i="7" l="1"/>
  <c r="X12" i="7" s="1"/>
  <c r="B13" i="7"/>
  <c r="V17" i="7"/>
  <c r="X17" i="7" s="1"/>
  <c r="B18" i="7"/>
  <c r="X20" i="1"/>
  <c r="Z20" i="1" s="1"/>
  <c r="B21" i="1"/>
  <c r="M31" i="7"/>
  <c r="S31" i="7" s="1"/>
  <c r="B31" i="9"/>
  <c r="N31" i="9" s="1"/>
  <c r="T31" i="9" s="1"/>
  <c r="X12" i="9"/>
  <c r="Z12" i="9" s="1"/>
  <c r="X17" i="9"/>
  <c r="Z17" i="9" s="1"/>
  <c r="B23" i="7"/>
  <c r="M23" i="7" s="1"/>
  <c r="S23" i="7" s="1"/>
  <c r="Z9" i="1"/>
  <c r="X9" i="9"/>
  <c r="Z9" i="9" s="1"/>
  <c r="X26" i="9"/>
  <c r="Z26" i="9" s="1"/>
  <c r="U29" i="1"/>
  <c r="X29" i="1" s="1"/>
  <c r="O27" i="1"/>
  <c r="U27" i="1" s="1"/>
  <c r="B14" i="1"/>
  <c r="X13" i="1"/>
  <c r="O23" i="1"/>
  <c r="O32" i="1"/>
  <c r="U32" i="1" s="1"/>
  <c r="X32" i="1" s="1"/>
  <c r="X18" i="9"/>
  <c r="Z18" i="9" s="1"/>
  <c r="Z18" i="1"/>
  <c r="U11" i="1"/>
  <c r="X11" i="1" s="1"/>
  <c r="U36" i="1"/>
  <c r="X36" i="1" s="1"/>
  <c r="U30" i="1"/>
  <c r="X30" i="1" s="1"/>
  <c r="B30" i="9"/>
  <c r="N30" i="9" s="1"/>
  <c r="T30" i="9" s="1"/>
  <c r="Z15" i="1"/>
  <c r="B34" i="1"/>
  <c r="X33" i="1"/>
  <c r="K39" i="9"/>
  <c r="N38" i="9"/>
  <c r="X27" i="1" l="1"/>
  <c r="Z27" i="1" s="1"/>
  <c r="B28" i="1"/>
  <c r="O28" i="1" s="1"/>
  <c r="U28" i="1" s="1"/>
  <c r="X28" i="1" s="1"/>
  <c r="Z28" i="1" s="1"/>
  <c r="V31" i="7"/>
  <c r="B32" i="7"/>
  <c r="O21" i="1"/>
  <c r="U21" i="1" s="1"/>
  <c r="X21" i="1" s="1"/>
  <c r="M18" i="7"/>
  <c r="S18" i="7" s="1"/>
  <c r="B19" i="7" s="1"/>
  <c r="B18" i="9"/>
  <c r="N18" i="9" s="1"/>
  <c r="T18" i="9" s="1"/>
  <c r="M13" i="7"/>
  <c r="S13" i="7" s="1"/>
  <c r="B13" i="9"/>
  <c r="N13" i="9" s="1"/>
  <c r="T13" i="9" s="1"/>
  <c r="V23" i="7"/>
  <c r="X23" i="7" s="1"/>
  <c r="M24" i="7"/>
  <c r="S24" i="7" s="1"/>
  <c r="B23" i="9"/>
  <c r="N23" i="9" s="1"/>
  <c r="T23" i="9" s="1"/>
  <c r="X29" i="9"/>
  <c r="Z29" i="9" s="1"/>
  <c r="Z29" i="1"/>
  <c r="X27" i="9"/>
  <c r="Z27" i="9" s="1"/>
  <c r="Z13" i="1"/>
  <c r="O14" i="1"/>
  <c r="U14" i="1" s="1"/>
  <c r="X14" i="1" s="1"/>
  <c r="U23" i="1"/>
  <c r="Z32" i="1"/>
  <c r="Z11" i="1"/>
  <c r="X11" i="9"/>
  <c r="Z11" i="9" s="1"/>
  <c r="Z36" i="1"/>
  <c r="X36" i="9"/>
  <c r="Z36" i="9" s="1"/>
  <c r="X30" i="9"/>
  <c r="Z30" i="9" s="1"/>
  <c r="Z30" i="1"/>
  <c r="Z33" i="1"/>
  <c r="B34" i="9"/>
  <c r="N34" i="9" s="1"/>
  <c r="T34" i="9" s="1"/>
  <c r="O34" i="1"/>
  <c r="T38" i="9"/>
  <c r="N39" i="9"/>
  <c r="M19" i="7" l="1"/>
  <c r="S19" i="7" s="1"/>
  <c r="B19" i="9"/>
  <c r="N19" i="9" s="1"/>
  <c r="T19" i="9" s="1"/>
  <c r="Z21" i="1"/>
  <c r="M32" i="7"/>
  <c r="S32" i="7" s="1"/>
  <c r="B32" i="9"/>
  <c r="N32" i="9" s="1"/>
  <c r="T32" i="9" s="1"/>
  <c r="V13" i="7"/>
  <c r="B14" i="7"/>
  <c r="X31" i="7"/>
  <c r="X31" i="9"/>
  <c r="Z31" i="9" s="1"/>
  <c r="V24" i="7"/>
  <c r="X24" i="7" s="1"/>
  <c r="B25" i="7"/>
  <c r="M25" i="7" s="1"/>
  <c r="S25" i="7" s="1"/>
  <c r="B26" i="7" s="1"/>
  <c r="X23" i="1"/>
  <c r="X23" i="9" s="1"/>
  <c r="Z23" i="9" s="1"/>
  <c r="B24" i="1"/>
  <c r="Z14" i="1"/>
  <c r="U34" i="1"/>
  <c r="B35" i="1" s="1"/>
  <c r="V32" i="7" l="1"/>
  <c r="B33" i="7"/>
  <c r="X13" i="7"/>
  <c r="X13" i="9"/>
  <c r="Z13" i="9" s="1"/>
  <c r="B35" i="9"/>
  <c r="N35" i="9" s="1"/>
  <c r="T35" i="9" s="1"/>
  <c r="O35" i="1"/>
  <c r="U35" i="1" s="1"/>
  <c r="X35" i="1" s="1"/>
  <c r="M14" i="7"/>
  <c r="S14" i="7" s="1"/>
  <c r="V14" i="7" s="1"/>
  <c r="B14" i="9"/>
  <c r="N14" i="9" s="1"/>
  <c r="T14" i="9" s="1"/>
  <c r="V19" i="7"/>
  <c r="B20" i="7"/>
  <c r="M26" i="7"/>
  <c r="S26" i="7" s="1"/>
  <c r="B27" i="7" s="1"/>
  <c r="B26" i="9"/>
  <c r="N26" i="9" s="1"/>
  <c r="T26" i="9" s="1"/>
  <c r="Z23" i="1"/>
  <c r="O24" i="1"/>
  <c r="U24" i="1" s="1"/>
  <c r="B24" i="9"/>
  <c r="N24" i="9" s="1"/>
  <c r="T24" i="9" s="1"/>
  <c r="X34" i="1"/>
  <c r="X34" i="9" s="1"/>
  <c r="Z34" i="9" s="1"/>
  <c r="X19" i="7" l="1"/>
  <c r="X19" i="9"/>
  <c r="Z19" i="9" s="1"/>
  <c r="X14" i="7"/>
  <c r="X14" i="9"/>
  <c r="Z14" i="9" s="1"/>
  <c r="M20" i="7"/>
  <c r="S20" i="7" s="1"/>
  <c r="B20" i="9"/>
  <c r="N20" i="9" s="1"/>
  <c r="T20" i="9" s="1"/>
  <c r="M33" i="7"/>
  <c r="S33" i="7" s="1"/>
  <c r="V33" i="7" s="1"/>
  <c r="B33" i="9"/>
  <c r="N33" i="9" s="1"/>
  <c r="T33" i="9" s="1"/>
  <c r="Z35" i="1"/>
  <c r="X35" i="9"/>
  <c r="Z35" i="9" s="1"/>
  <c r="X32" i="7"/>
  <c r="X32" i="9"/>
  <c r="Z32" i="9" s="1"/>
  <c r="M27" i="7"/>
  <c r="S27" i="7" s="1"/>
  <c r="B28" i="7" s="1"/>
  <c r="B27" i="9"/>
  <c r="N27" i="9" s="1"/>
  <c r="T27" i="9" s="1"/>
  <c r="B25" i="1"/>
  <c r="O25" i="1" s="1"/>
  <c r="U25" i="1" s="1"/>
  <c r="X25" i="1" s="1"/>
  <c r="X24" i="1"/>
  <c r="Z34" i="1"/>
  <c r="V20" i="7" l="1"/>
  <c r="B21" i="7"/>
  <c r="X33" i="7"/>
  <c r="X33" i="9"/>
  <c r="Z33" i="9" s="1"/>
  <c r="M28" i="7"/>
  <c r="S28" i="7" s="1"/>
  <c r="V28" i="7" s="1"/>
  <c r="B28" i="9"/>
  <c r="N28" i="9" s="1"/>
  <c r="T28" i="9" s="1"/>
  <c r="B25" i="9"/>
  <c r="N25" i="9" s="1"/>
  <c r="T25" i="9" s="1"/>
  <c r="X24" i="9"/>
  <c r="Z24" i="9" s="1"/>
  <c r="Z24" i="1"/>
  <c r="Z25" i="1"/>
  <c r="X25" i="9"/>
  <c r="Z25" i="9" s="1"/>
  <c r="X38" i="1"/>
  <c r="M21" i="7" l="1"/>
  <c r="S21" i="7" s="1"/>
  <c r="B21" i="9"/>
  <c r="N21" i="9" s="1"/>
  <c r="T21" i="9" s="1"/>
  <c r="X20" i="7"/>
  <c r="X20" i="9"/>
  <c r="Z20" i="9" s="1"/>
  <c r="X28" i="7"/>
  <c r="X28" i="9"/>
  <c r="Z28" i="9" s="1"/>
  <c r="Z38" i="1"/>
  <c r="Z39" i="1" s="1"/>
  <c r="X39" i="1"/>
  <c r="V21" i="7" l="1"/>
  <c r="B22" i="7"/>
  <c r="X21" i="7" l="1"/>
  <c r="X21" i="9"/>
  <c r="Z21" i="9" s="1"/>
  <c r="B22" i="9"/>
  <c r="N22" i="9" s="1"/>
  <c r="T22" i="9" s="1"/>
  <c r="T39" i="9" s="1"/>
  <c r="M22" i="7"/>
  <c r="S22" i="7" s="1"/>
  <c r="V22" i="7" s="1"/>
  <c r="X22" i="9" l="1"/>
  <c r="Z22" i="9" s="1"/>
  <c r="X22" i="7"/>
  <c r="Z38" i="9"/>
  <c r="V38" i="7"/>
  <c r="X38" i="7"/>
  <c r="X39" i="7" s="1"/>
  <c r="V39" i="7" l="1"/>
  <c r="X38" i="9"/>
  <c r="X39" i="9" s="1"/>
  <c r="Z39" i="9" s="1"/>
</calcChain>
</file>

<file path=xl/sharedStrings.xml><?xml version="1.0" encoding="utf-8"?>
<sst xmlns="http://schemas.openxmlformats.org/spreadsheetml/2006/main" count="144" uniqueCount="50">
  <si>
    <t>บริษัท ทักษิณปาล์ม (2521) จำกัด</t>
  </si>
  <si>
    <t>วันที่</t>
  </si>
  <si>
    <t>เคลียร์
แรมป์</t>
  </si>
  <si>
    <t>ลูกค้า</t>
  </si>
  <si>
    <t>บางกัน</t>
  </si>
  <si>
    <t>ตะกุก</t>
  </si>
  <si>
    <t>รวม</t>
  </si>
  <si>
    <t>8.00-16.00</t>
  </si>
  <si>
    <t>16.00-19.00</t>
  </si>
  <si>
    <t>น้ำหนักคงเหลือ</t>
  </si>
  <si>
    <t>ปลายราง</t>
  </si>
  <si>
    <t>แรมป์</t>
  </si>
  <si>
    <t>ปาล์มสวนฯ</t>
  </si>
  <si>
    <t>รวมน้ำหนักทั้งหมด</t>
  </si>
  <si>
    <t>น้ำหนักลงแรมป์</t>
  </si>
  <si>
    <t>รวมน้ำหนัก
ลงแรมป์</t>
  </si>
  <si>
    <t>น้ำหนักส่งออก</t>
  </si>
  <si>
    <t>ขนส่ง</t>
  </si>
  <si>
    <t>ช่วงเวลา</t>
  </si>
  <si>
    <t>น้ำหนัก
โรงงาน</t>
  </si>
  <si>
    <t>จำนวน
เที่ยว</t>
  </si>
  <si>
    <t>น้ำหนัก
ยกมา</t>
  </si>
  <si>
    <t>น้ำหนักสูญหาย</t>
  </si>
  <si>
    <t xml:space="preserve">เฉลี่ย / วัน </t>
  </si>
  <si>
    <t>คีรีรัฐ</t>
  </si>
  <si>
    <t>เคลียร์แรมป์</t>
  </si>
  <si>
    <t>จำนวน
คัน</t>
  </si>
  <si>
    <t>บริษัท ทักษิณปาล์ม (2521) จำกัด - ฝ่ายสวนปาล์มคีรีรัฐนิคม</t>
  </si>
  <si>
    <t>รวมน้ำหนักส่งออก</t>
  </si>
  <si>
    <t>ตะกุกเหนือ</t>
  </si>
  <si>
    <t>เครื่องชั่งแรมป์ปลายราง</t>
  </si>
  <si>
    <t>เครื่องชั่งแรมป์ตะกุก</t>
  </si>
  <si>
    <t>เครื่องชั่งแรมป์ปลายราง+เครื่องชั่งแรมป์ตะกุก</t>
  </si>
  <si>
    <t xml:space="preserve"> </t>
  </si>
  <si>
    <t>ตอนล่าง</t>
  </si>
  <si>
    <t>กะเปา</t>
  </si>
  <si>
    <t>น้ำหนักคัดคืน</t>
  </si>
  <si>
    <t>เทปลายราง</t>
  </si>
  <si>
    <t>น้ำหนักชั่งผ่าน</t>
  </si>
  <si>
    <t xml:space="preserve">                                                                          </t>
  </si>
  <si>
    <t>ขาด</t>
  </si>
  <si>
    <t>ธกส.-สวน</t>
  </si>
  <si>
    <t>8.00-17.00</t>
  </si>
  <si>
    <t>17.00-19.00</t>
  </si>
  <si>
    <t>หมายเหตุ</t>
  </si>
  <si>
    <t>รายงานสต๊อคผลปาล์มสด เดือน มีนาคม  2569</t>
  </si>
  <si>
    <t>-</t>
  </si>
  <si>
    <t>คัดกลับพี่กุ้ง1เที่ยว</t>
  </si>
  <si>
    <t>คัดกลับพี่ตั้ง1เที่ยว/คัดกลับพี่เจี๊ยบ1เที่ยว</t>
  </si>
  <si>
    <t>คัดกลับพี่เจี๊ยบ1เที่ยว/คัดกลับพี่กุ้ง1เที่ยว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</si>
</sst>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-* #,##0.00_-;\-* #,##0.00_-;_-* &quot;-&quot;??_-;_-@_-"/>
    <numFmt numFmtId="187" formatCode="#,##0_ ;[Red]\-#,##0\ "/>
    <numFmt numFmtId="188" formatCode="_-* #,##0_-;\-* #,##0_-;_-* &quot;-&quot;??_-;_-@_-"/>
    <numFmt numFmtId="189" formatCode="0.00_ ;[Red]\-0.00\ "/>
    <numFmt numFmtId="190" formatCode="0_ ;[Red]\-0\ "/>
    <numFmt numFmtId="191" formatCode="#,##0.00_ ;[Red]\-#,##0.00\ "/>
    <numFmt numFmtId="192" formatCode="#,##0.000_ ;[Red]\-#,##0.000\ "/>
    <numFmt numFmtId="193" formatCode="[$-1010000]d/m/yyyy;@"/>
    <numFmt numFmtId="194" formatCode="_-* #,##0.0_-;\-* #,##0.0_-;_-* &quot;-&quot;??_-;_-@_-"/>
    <numFmt numFmtId="195" formatCode="0.000"/>
  </numFmts>
  <fonts count="16" x14ac:knownFonts="1">
    <font>
      <sz val="16"/>
      <color theme="1"/>
      <name val="TH SarabunPSK"/>
      <family val="2"/>
      <charset val="222"/>
    </font>
    <font>
      <sz val="10"/>
      <name val="Arial"/>
      <family val="2"/>
      <charset val="222"/>
    </font>
    <font>
      <b/>
      <sz val="16"/>
      <name val="TH SarabunPSK"/>
      <family val="2"/>
    </font>
    <font>
      <sz val="16"/>
      <name val="TH SarabunPSK"/>
      <family val="2"/>
    </font>
    <font>
      <b/>
      <i/>
      <sz val="16"/>
      <name val="TH SarabunPSK"/>
      <family val="2"/>
    </font>
    <font>
      <sz val="15"/>
      <name val="TH SarabunPSK"/>
      <family val="2"/>
    </font>
    <font>
      <sz val="16"/>
      <color theme="1"/>
      <name val="TH SarabunPSK"/>
      <family val="2"/>
      <charset val="222"/>
    </font>
    <font>
      <b/>
      <sz val="16"/>
      <color rgb="FFFF0000"/>
      <name val="TH SarabunPSK"/>
      <family val="2"/>
    </font>
    <font>
      <sz val="16"/>
      <color rgb="FFFF0000"/>
      <name val="TH SarabunPSK"/>
      <family val="2"/>
    </font>
    <font>
      <sz val="16"/>
      <color theme="1"/>
      <name val="TH SarabunPSK"/>
      <family val="2"/>
    </font>
    <font>
      <sz val="15"/>
      <color theme="1"/>
      <name val="TH SarabunPSK"/>
      <family val="2"/>
    </font>
    <font>
      <b/>
      <i/>
      <sz val="16"/>
      <color rgb="FFFF0000"/>
      <name val="TH SarabunPSK"/>
      <family val="2"/>
    </font>
    <font>
      <b/>
      <sz val="15"/>
      <color theme="1"/>
      <name val="TH SarabunPSK"/>
      <family val="2"/>
    </font>
    <font>
      <sz val="12"/>
      <color rgb="FFFF0000"/>
      <name val="TH SarabunPSK"/>
      <family val="2"/>
    </font>
    <font>
      <b/>
      <sz val="12"/>
      <name val="TH SarabunPSK"/>
      <family val="2"/>
    </font>
    <font>
      <b/>
      <sz val="12"/>
      <color theme="1"/>
      <name val="TH SarabunPSK"/>
      <family val="2"/>
    </font>
  </fonts>
  <fills count="9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6" fillId="0" borderId="0" applyFont="0" applyFill="0" applyBorder="0" applyAlignment="0" applyProtection="0"/>
    <xf numFmtId="0" fontId="1" fillId="0" borderId="0"/>
  </cellStyleXfs>
  <cellXfs count="162">
    <xf numFmtId="0" fontId="0" fillId="0" borderId="0" xfId="0"/>
    <xf numFmtId="188" fontId="2" fillId="0" borderId="0" xfId="1" applyNumberFormat="1" applyFont="1" applyFill="1" applyBorder="1"/>
    <xf numFmtId="188" fontId="7" fillId="0" borderId="0" xfId="1" applyNumberFormat="1" applyFont="1" applyFill="1" applyBorder="1"/>
    <xf numFmtId="188" fontId="7" fillId="0" borderId="0" xfId="1" applyNumberFormat="1" applyFont="1" applyFill="1"/>
    <xf numFmtId="188" fontId="8" fillId="0" borderId="0" xfId="1" applyNumberFormat="1" applyFont="1" applyFill="1"/>
    <xf numFmtId="188" fontId="9" fillId="0" borderId="1" xfId="1" applyNumberFormat="1" applyFont="1" applyFill="1" applyBorder="1" applyProtection="1">
      <protection locked="0"/>
    </xf>
    <xf numFmtId="14" fontId="2" fillId="0" borderId="0" xfId="2" applyNumberFormat="1" applyFont="1"/>
    <xf numFmtId="188" fontId="3" fillId="0" borderId="0" xfId="1" applyNumberFormat="1" applyFont="1" applyFill="1" applyBorder="1" applyAlignment="1" applyProtection="1"/>
    <xf numFmtId="188" fontId="3" fillId="0" borderId="0" xfId="1" applyNumberFormat="1" applyFont="1" applyFill="1"/>
    <xf numFmtId="188" fontId="2" fillId="0" borderId="0" xfId="1" applyNumberFormat="1" applyFont="1" applyFill="1"/>
    <xf numFmtId="188" fontId="2" fillId="0" borderId="0" xfId="1" applyNumberFormat="1" applyFont="1" applyFill="1" applyBorder="1" applyAlignment="1">
      <alignment horizontal="center"/>
    </xf>
    <xf numFmtId="188" fontId="3" fillId="0" borderId="0" xfId="1" applyNumberFormat="1" applyFont="1" applyFill="1" applyAlignment="1">
      <alignment horizontal="center"/>
    </xf>
    <xf numFmtId="0" fontId="3" fillId="0" borderId="0" xfId="0" applyFont="1"/>
    <xf numFmtId="188" fontId="10" fillId="0" borderId="1" xfId="1" applyNumberFormat="1" applyFont="1" applyFill="1" applyBorder="1" applyProtection="1">
      <protection locked="0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Protection="1">
      <protection locked="0"/>
    </xf>
    <xf numFmtId="188" fontId="2" fillId="0" borderId="0" xfId="1" applyNumberFormat="1" applyFont="1" applyFill="1" applyProtection="1">
      <protection locked="0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 vertical="top"/>
    </xf>
    <xf numFmtId="3" fontId="3" fillId="0" borderId="1" xfId="0" applyNumberFormat="1" applyFont="1" applyBorder="1" applyAlignment="1">
      <alignment horizontal="center"/>
    </xf>
    <xf numFmtId="188" fontId="3" fillId="0" borderId="1" xfId="1" applyNumberFormat="1" applyFont="1" applyFill="1" applyBorder="1" applyProtection="1">
      <protection locked="0"/>
    </xf>
    <xf numFmtId="188" fontId="3" fillId="0" borderId="1" xfId="1" applyNumberFormat="1" applyFont="1" applyFill="1" applyBorder="1" applyProtection="1"/>
    <xf numFmtId="3" fontId="3" fillId="0" borderId="1" xfId="0" applyNumberFormat="1" applyFont="1" applyBorder="1" applyAlignment="1" applyProtection="1">
      <alignment horizontal="center"/>
      <protection locked="0"/>
    </xf>
    <xf numFmtId="0" fontId="4" fillId="0" borderId="0" xfId="0" applyFont="1"/>
    <xf numFmtId="188" fontId="3" fillId="0" borderId="0" xfId="1" applyNumberFormat="1" applyFont="1" applyFill="1" applyBorder="1"/>
    <xf numFmtId="188" fontId="8" fillId="0" borderId="0" xfId="1" applyNumberFormat="1" applyFont="1" applyFill="1" applyBorder="1"/>
    <xf numFmtId="188" fontId="2" fillId="0" borderId="0" xfId="1" applyNumberFormat="1" applyFont="1" applyFill="1" applyAlignment="1">
      <alignment horizontal="center"/>
    </xf>
    <xf numFmtId="188" fontId="10" fillId="0" borderId="1" xfId="1" applyNumberFormat="1" applyFont="1" applyFill="1" applyBorder="1" applyAlignment="1" applyProtection="1">
      <alignment horizontal="center"/>
      <protection locked="0"/>
    </xf>
    <xf numFmtId="190" fontId="2" fillId="0" borderId="0" xfId="1" applyNumberFormat="1" applyFont="1" applyFill="1"/>
    <xf numFmtId="190" fontId="2" fillId="0" borderId="0" xfId="1" applyNumberFormat="1" applyFont="1" applyFill="1" applyBorder="1"/>
    <xf numFmtId="190" fontId="3" fillId="0" borderId="0" xfId="1" applyNumberFormat="1" applyFont="1" applyFill="1"/>
    <xf numFmtId="188" fontId="3" fillId="2" borderId="1" xfId="1" applyNumberFormat="1" applyFont="1" applyFill="1" applyBorder="1" applyProtection="1"/>
    <xf numFmtId="188" fontId="10" fillId="2" borderId="1" xfId="1" applyNumberFormat="1" applyFont="1" applyFill="1" applyBorder="1" applyProtection="1">
      <protection locked="0"/>
    </xf>
    <xf numFmtId="188" fontId="3" fillId="2" borderId="1" xfId="1" applyNumberFormat="1" applyFont="1" applyFill="1" applyBorder="1"/>
    <xf numFmtId="188" fontId="3" fillId="3" borderId="1" xfId="1" applyNumberFormat="1" applyFont="1" applyFill="1" applyBorder="1" applyProtection="1">
      <protection locked="0"/>
    </xf>
    <xf numFmtId="188" fontId="8" fillId="3" borderId="1" xfId="1" applyNumberFormat="1" applyFont="1" applyFill="1" applyBorder="1" applyProtection="1">
      <protection locked="0"/>
    </xf>
    <xf numFmtId="187" fontId="11" fillId="3" borderId="1" xfId="1" applyNumberFormat="1" applyFont="1" applyFill="1" applyBorder="1"/>
    <xf numFmtId="188" fontId="4" fillId="3" borderId="1" xfId="1" applyNumberFormat="1" applyFont="1" applyFill="1" applyBorder="1"/>
    <xf numFmtId="188" fontId="2" fillId="0" borderId="0" xfId="1" applyNumberFormat="1" applyFont="1" applyFill="1" applyAlignment="1">
      <alignment horizontal="center" vertical="center"/>
    </xf>
    <xf numFmtId="188" fontId="3" fillId="0" borderId="0" xfId="1" applyNumberFormat="1" applyFont="1" applyFill="1" applyAlignment="1">
      <alignment horizontal="center" vertical="center"/>
    </xf>
    <xf numFmtId="188" fontId="7" fillId="0" borderId="0" xfId="1" applyNumberFormat="1" applyFont="1" applyFill="1" applyAlignment="1">
      <alignment horizontal="center" vertical="center"/>
    </xf>
    <xf numFmtId="187" fontId="4" fillId="0" borderId="2" xfId="0" applyNumberFormat="1" applyFont="1" applyBorder="1" applyAlignment="1">
      <alignment horizontal="center"/>
    </xf>
    <xf numFmtId="188" fontId="4" fillId="3" borderId="2" xfId="1" applyNumberFormat="1" applyFont="1" applyFill="1" applyBorder="1"/>
    <xf numFmtId="187" fontId="11" fillId="3" borderId="2" xfId="1" applyNumberFormat="1" applyFont="1" applyFill="1" applyBorder="1"/>
    <xf numFmtId="187" fontId="4" fillId="2" borderId="3" xfId="0" applyNumberFormat="1" applyFont="1" applyFill="1" applyBorder="1" applyAlignment="1">
      <alignment horizontal="center"/>
    </xf>
    <xf numFmtId="188" fontId="9" fillId="0" borderId="1" xfId="1" applyNumberFormat="1" applyFont="1" applyFill="1" applyBorder="1" applyAlignment="1" applyProtection="1">
      <alignment horizontal="center" vertical="center"/>
      <protection locked="0"/>
    </xf>
    <xf numFmtId="3" fontId="9" fillId="0" borderId="1" xfId="0" applyNumberFormat="1" applyFont="1" applyBorder="1" applyAlignment="1" applyProtection="1">
      <alignment horizontal="center"/>
      <protection locked="0"/>
    </xf>
    <xf numFmtId="188" fontId="3" fillId="0" borderId="1" xfId="1" applyNumberFormat="1" applyFont="1" applyFill="1" applyBorder="1" applyAlignment="1" applyProtection="1">
      <alignment horizontal="center"/>
      <protection locked="0"/>
    </xf>
    <xf numFmtId="188" fontId="7" fillId="0" borderId="0" xfId="1" applyNumberFormat="1" applyFont="1" applyFill="1" applyAlignment="1">
      <alignment horizontal="center"/>
    </xf>
    <xf numFmtId="190" fontId="2" fillId="0" borderId="0" xfId="1" applyNumberFormat="1" applyFont="1" applyFill="1" applyAlignment="1"/>
    <xf numFmtId="190" fontId="3" fillId="0" borderId="0" xfId="1" applyNumberFormat="1" applyFont="1" applyFill="1" applyAlignment="1"/>
    <xf numFmtId="43" fontId="2" fillId="0" borderId="0" xfId="1" applyFont="1" applyFill="1" applyBorder="1" applyAlignment="1"/>
    <xf numFmtId="192" fontId="2" fillId="0" borderId="0" xfId="0" applyNumberFormat="1" applyFont="1"/>
    <xf numFmtId="187" fontId="4" fillId="3" borderId="1" xfId="0" applyNumberFormat="1" applyFont="1" applyFill="1" applyBorder="1" applyAlignment="1">
      <alignment horizontal="center"/>
    </xf>
    <xf numFmtId="187" fontId="4" fillId="3" borderId="1" xfId="1" applyNumberFormat="1" applyFont="1" applyFill="1" applyBorder="1"/>
    <xf numFmtId="187" fontId="4" fillId="3" borderId="1" xfId="1" applyNumberFormat="1" applyFont="1" applyFill="1" applyBorder="1" applyProtection="1"/>
    <xf numFmtId="188" fontId="4" fillId="3" borderId="1" xfId="1" applyNumberFormat="1" applyFont="1" applyFill="1" applyBorder="1" applyAlignment="1">
      <alignment horizontal="center"/>
    </xf>
    <xf numFmtId="188" fontId="2" fillId="4" borderId="1" xfId="1" applyNumberFormat="1" applyFont="1" applyFill="1" applyBorder="1"/>
    <xf numFmtId="187" fontId="2" fillId="4" borderId="1" xfId="1" applyNumberFormat="1" applyFont="1" applyFill="1" applyBorder="1"/>
    <xf numFmtId="188" fontId="10" fillId="4" borderId="1" xfId="1" applyNumberFormat="1" applyFont="1" applyFill="1" applyBorder="1" applyAlignment="1" applyProtection="1">
      <alignment horizontal="center"/>
      <protection locked="0"/>
    </xf>
    <xf numFmtId="187" fontId="4" fillId="4" borderId="1" xfId="0" applyNumberFormat="1" applyFont="1" applyFill="1" applyBorder="1" applyAlignment="1">
      <alignment horizontal="center"/>
    </xf>
    <xf numFmtId="187" fontId="4" fillId="3" borderId="2" xfId="0" applyNumberFormat="1" applyFont="1" applyFill="1" applyBorder="1" applyAlignment="1">
      <alignment horizontal="center"/>
    </xf>
    <xf numFmtId="187" fontId="4" fillId="3" borderId="2" xfId="1" applyNumberFormat="1" applyFont="1" applyFill="1" applyBorder="1"/>
    <xf numFmtId="187" fontId="4" fillId="3" borderId="2" xfId="1" applyNumberFormat="1" applyFont="1" applyFill="1" applyBorder="1" applyProtection="1"/>
    <xf numFmtId="188" fontId="4" fillId="3" borderId="2" xfId="1" applyNumberFormat="1" applyFont="1" applyFill="1" applyBorder="1" applyAlignment="1">
      <alignment horizontal="center" vertical="center"/>
    </xf>
    <xf numFmtId="188" fontId="2" fillId="4" borderId="4" xfId="1" applyNumberFormat="1" applyFont="1" applyFill="1" applyBorder="1"/>
    <xf numFmtId="187" fontId="2" fillId="4" borderId="4" xfId="1" applyNumberFormat="1" applyFont="1" applyFill="1" applyBorder="1"/>
    <xf numFmtId="188" fontId="9" fillId="4" borderId="4" xfId="1" applyNumberFormat="1" applyFont="1" applyFill="1" applyBorder="1" applyAlignment="1" applyProtection="1">
      <alignment horizontal="center" vertical="center"/>
      <protection locked="0"/>
    </xf>
    <xf numFmtId="189" fontId="2" fillId="4" borderId="4" xfId="1" applyNumberFormat="1" applyFont="1" applyFill="1" applyBorder="1"/>
    <xf numFmtId="188" fontId="3" fillId="0" borderId="1" xfId="1" applyNumberFormat="1" applyFont="1" applyFill="1" applyBorder="1"/>
    <xf numFmtId="187" fontId="4" fillId="5" borderId="1" xfId="0" applyNumberFormat="1" applyFont="1" applyFill="1" applyBorder="1" applyAlignment="1">
      <alignment horizontal="center"/>
    </xf>
    <xf numFmtId="187" fontId="4" fillId="5" borderId="1" xfId="1" applyNumberFormat="1" applyFont="1" applyFill="1" applyBorder="1"/>
    <xf numFmtId="188" fontId="4" fillId="5" borderId="1" xfId="1" applyNumberFormat="1" applyFont="1" applyFill="1" applyBorder="1"/>
    <xf numFmtId="187" fontId="11" fillId="5" borderId="1" xfId="1" applyNumberFormat="1" applyFont="1" applyFill="1" applyBorder="1"/>
    <xf numFmtId="187" fontId="4" fillId="5" borderId="1" xfId="1" applyNumberFormat="1" applyFont="1" applyFill="1" applyBorder="1" applyProtection="1"/>
    <xf numFmtId="188" fontId="4" fillId="5" borderId="1" xfId="1" applyNumberFormat="1" applyFont="1" applyFill="1" applyBorder="1" applyAlignment="1">
      <alignment horizontal="center"/>
    </xf>
    <xf numFmtId="187" fontId="4" fillId="5" borderId="1" xfId="1" applyNumberFormat="1" applyFont="1" applyFill="1" applyBorder="1" applyAlignment="1"/>
    <xf numFmtId="187" fontId="4" fillId="5" borderId="1" xfId="1" applyNumberFormat="1" applyFont="1" applyFill="1" applyBorder="1" applyAlignment="1" applyProtection="1"/>
    <xf numFmtId="188" fontId="2" fillId="3" borderId="1" xfId="1" applyNumberFormat="1" applyFont="1" applyFill="1" applyBorder="1"/>
    <xf numFmtId="187" fontId="2" fillId="3" borderId="1" xfId="1" applyNumberFormat="1" applyFont="1" applyFill="1" applyBorder="1"/>
    <xf numFmtId="187" fontId="7" fillId="3" borderId="1" xfId="1" applyNumberFormat="1" applyFont="1" applyFill="1" applyBorder="1"/>
    <xf numFmtId="188" fontId="10" fillId="3" borderId="1" xfId="1" applyNumberFormat="1" applyFont="1" applyFill="1" applyBorder="1" applyAlignment="1" applyProtection="1">
      <alignment horizontal="center"/>
      <protection locked="0"/>
    </xf>
    <xf numFmtId="191" fontId="2" fillId="3" borderId="1" xfId="1" applyNumberFormat="1" applyFont="1" applyFill="1" applyBorder="1" applyAlignment="1"/>
    <xf numFmtId="188" fontId="10" fillId="3" borderId="1" xfId="1" applyNumberFormat="1" applyFont="1" applyFill="1" applyBorder="1" applyProtection="1">
      <protection locked="0"/>
    </xf>
    <xf numFmtId="188" fontId="3" fillId="3" borderId="1" xfId="1" applyNumberFormat="1" applyFont="1" applyFill="1" applyBorder="1" applyProtection="1"/>
    <xf numFmtId="188" fontId="9" fillId="3" borderId="1" xfId="1" applyNumberFormat="1" applyFont="1" applyFill="1" applyBorder="1" applyProtection="1">
      <protection locked="0"/>
    </xf>
    <xf numFmtId="187" fontId="9" fillId="6" borderId="1" xfId="0" applyNumberFormat="1" applyFont="1" applyFill="1" applyBorder="1"/>
    <xf numFmtId="187" fontId="3" fillId="6" borderId="1" xfId="1" applyNumberFormat="1" applyFont="1" applyFill="1" applyBorder="1" applyProtection="1"/>
    <xf numFmtId="190" fontId="3" fillId="6" borderId="1" xfId="1" applyNumberFormat="1" applyFont="1" applyFill="1" applyBorder="1" applyProtection="1"/>
    <xf numFmtId="187" fontId="7" fillId="4" borderId="4" xfId="1" applyNumberFormat="1" applyFont="1" applyFill="1" applyBorder="1"/>
    <xf numFmtId="187" fontId="2" fillId="0" borderId="0" xfId="1" applyNumberFormat="1" applyFont="1" applyFill="1"/>
    <xf numFmtId="187" fontId="3" fillId="0" borderId="0" xfId="1" applyNumberFormat="1" applyFont="1" applyFill="1"/>
    <xf numFmtId="3" fontId="2" fillId="0" borderId="0" xfId="1" applyNumberFormat="1" applyFont="1" applyFill="1"/>
    <xf numFmtId="3" fontId="3" fillId="0" borderId="0" xfId="1" applyNumberFormat="1" applyFont="1" applyFill="1"/>
    <xf numFmtId="3" fontId="4" fillId="3" borderId="2" xfId="1" applyNumberFormat="1" applyFont="1" applyFill="1" applyBorder="1" applyProtection="1"/>
    <xf numFmtId="3" fontId="2" fillId="4" borderId="4" xfId="1" applyNumberFormat="1" applyFont="1" applyFill="1" applyBorder="1"/>
    <xf numFmtId="3" fontId="7" fillId="0" borderId="0" xfId="1" applyNumberFormat="1" applyFont="1" applyFill="1"/>
    <xf numFmtId="188" fontId="2" fillId="5" borderId="2" xfId="1" applyNumberFormat="1" applyFont="1" applyFill="1" applyBorder="1" applyAlignment="1">
      <alignment horizontal="center" vertical="center"/>
    </xf>
    <xf numFmtId="191" fontId="2" fillId="4" borderId="1" xfId="1" applyNumberFormat="1" applyFont="1" applyFill="1" applyBorder="1"/>
    <xf numFmtId="188" fontId="2" fillId="5" borderId="5" xfId="1" applyNumberFormat="1" applyFont="1" applyFill="1" applyBorder="1" applyAlignment="1">
      <alignment horizontal="center" vertical="center" wrapText="1"/>
    </xf>
    <xf numFmtId="188" fontId="2" fillId="5" borderId="2" xfId="1" applyNumberFormat="1" applyFont="1" applyFill="1" applyBorder="1" applyAlignment="1">
      <alignment horizontal="center" vertical="center" wrapText="1"/>
    </xf>
    <xf numFmtId="188" fontId="12" fillId="3" borderId="1" xfId="1" applyNumberFormat="1" applyFont="1" applyFill="1" applyBorder="1" applyAlignment="1" applyProtection="1">
      <alignment horizontal="center"/>
      <protection locked="0"/>
    </xf>
    <xf numFmtId="14" fontId="3" fillId="0" borderId="0" xfId="0" applyNumberFormat="1" applyFont="1"/>
    <xf numFmtId="188" fontId="5" fillId="0" borderId="1" xfId="1" applyNumberFormat="1" applyFont="1" applyFill="1" applyBorder="1" applyProtection="1">
      <protection locked="0"/>
    </xf>
    <xf numFmtId="187" fontId="3" fillId="6" borderId="1" xfId="0" applyNumberFormat="1" applyFont="1" applyFill="1" applyBorder="1"/>
    <xf numFmtId="0" fontId="3" fillId="0" borderId="1" xfId="0" applyFont="1" applyBorder="1"/>
    <xf numFmtId="188" fontId="2" fillId="5" borderId="6" xfId="1" applyNumberFormat="1" applyFont="1" applyFill="1" applyBorder="1" applyAlignment="1">
      <alignment horizontal="center" vertical="center"/>
    </xf>
    <xf numFmtId="188" fontId="2" fillId="5" borderId="7" xfId="1" applyNumberFormat="1" applyFont="1" applyFill="1" applyBorder="1" applyAlignment="1">
      <alignment horizontal="center" vertical="center" wrapText="1"/>
    </xf>
    <xf numFmtId="188" fontId="2" fillId="5" borderId="6" xfId="1" applyNumberFormat="1" applyFont="1" applyFill="1" applyBorder="1" applyAlignment="1">
      <alignment horizontal="center" vertical="center" wrapText="1"/>
    </xf>
    <xf numFmtId="187" fontId="2" fillId="5" borderId="1" xfId="1" applyNumberFormat="1" applyFont="1" applyFill="1" applyBorder="1" applyAlignment="1">
      <alignment horizontal="center" vertical="center" wrapText="1"/>
    </xf>
    <xf numFmtId="188" fontId="2" fillId="5" borderId="1" xfId="1" applyNumberFormat="1" applyFont="1" applyFill="1" applyBorder="1" applyAlignment="1">
      <alignment horizontal="center" vertical="center" wrapText="1"/>
    </xf>
    <xf numFmtId="188" fontId="2" fillId="5" borderId="1" xfId="1" applyNumberFormat="1" applyFont="1" applyFill="1" applyBorder="1" applyAlignment="1">
      <alignment horizontal="center" vertical="center"/>
    </xf>
    <xf numFmtId="188" fontId="8" fillId="5" borderId="2" xfId="1" applyNumberFormat="1" applyFont="1" applyFill="1" applyBorder="1" applyAlignment="1">
      <alignment horizontal="center" vertical="center"/>
    </xf>
    <xf numFmtId="190" fontId="2" fillId="5" borderId="1" xfId="1" applyNumberFormat="1" applyFont="1" applyFill="1" applyBorder="1" applyAlignment="1">
      <alignment horizontal="center" vertical="center" wrapText="1"/>
    </xf>
    <xf numFmtId="188" fontId="2" fillId="5" borderId="8" xfId="1" applyNumberFormat="1" applyFont="1" applyFill="1" applyBorder="1" applyAlignment="1">
      <alignment horizontal="center" vertical="center" wrapText="1"/>
    </xf>
    <xf numFmtId="188" fontId="6" fillId="0" borderId="0" xfId="1" applyNumberFormat="1" applyFont="1"/>
    <xf numFmtId="188" fontId="0" fillId="0" borderId="0" xfId="0" applyNumberFormat="1"/>
    <xf numFmtId="193" fontId="0" fillId="0" borderId="0" xfId="0" applyNumberFormat="1"/>
    <xf numFmtId="188" fontId="0" fillId="7" borderId="0" xfId="0" applyNumberFormat="1" applyFill="1"/>
    <xf numFmtId="188" fontId="6" fillId="8" borderId="0" xfId="1" applyNumberFormat="1" applyFont="1" applyFill="1"/>
    <xf numFmtId="0" fontId="0" fillId="8" borderId="0" xfId="0" applyFill="1"/>
    <xf numFmtId="43" fontId="2" fillId="5" borderId="5" xfId="1" applyFont="1" applyFill="1" applyBorder="1" applyAlignment="1">
      <alignment horizontal="center" vertical="center" wrapText="1"/>
    </xf>
    <xf numFmtId="0" fontId="3" fillId="7" borderId="0" xfId="0" applyFont="1" applyFill="1"/>
    <xf numFmtId="188" fontId="3" fillId="7" borderId="0" xfId="1" applyNumberFormat="1" applyFont="1" applyFill="1"/>
    <xf numFmtId="0" fontId="4" fillId="0" borderId="1" xfId="0" applyFont="1" applyBorder="1"/>
    <xf numFmtId="0" fontId="2" fillId="0" borderId="1" xfId="0" applyFont="1" applyBorder="1"/>
    <xf numFmtId="194" fontId="3" fillId="0" borderId="0" xfId="1" applyNumberFormat="1" applyFont="1" applyFill="1" applyAlignment="1">
      <alignment horizontal="center"/>
    </xf>
    <xf numFmtId="43" fontId="3" fillId="0" borderId="0" xfId="0" applyNumberFormat="1" applyFont="1"/>
    <xf numFmtId="195" fontId="4" fillId="0" borderId="0" xfId="0" applyNumberFormat="1" applyFont="1"/>
    <xf numFmtId="0" fontId="13" fillId="0" borderId="0" xfId="0" applyFont="1"/>
    <xf numFmtId="0" fontId="14" fillId="7" borderId="0" xfId="0" applyFont="1" applyFill="1"/>
    <xf numFmtId="0" fontId="15" fillId="7" borderId="0" xfId="0" applyFont="1" applyFill="1"/>
    <xf numFmtId="187" fontId="2" fillId="4" borderId="9" xfId="0" applyNumberFormat="1" applyFont="1" applyFill="1" applyBorder="1" applyAlignment="1">
      <alignment horizontal="center"/>
    </xf>
    <xf numFmtId="187" fontId="2" fillId="4" borderId="10" xfId="0" applyNumberFormat="1" applyFont="1" applyFill="1" applyBorder="1" applyAlignment="1">
      <alignment horizontal="center"/>
    </xf>
    <xf numFmtId="188" fontId="2" fillId="5" borderId="1" xfId="1" applyNumberFormat="1" applyFont="1" applyFill="1" applyBorder="1" applyAlignment="1">
      <alignment horizontal="center" vertical="center" wrapText="1"/>
    </xf>
    <xf numFmtId="187" fontId="2" fillId="5" borderId="1" xfId="1" applyNumberFormat="1" applyFont="1" applyFill="1" applyBorder="1" applyAlignment="1">
      <alignment horizontal="center" wrapText="1"/>
    </xf>
    <xf numFmtId="188" fontId="2" fillId="5" borderId="2" xfId="1" applyNumberFormat="1" applyFont="1" applyFill="1" applyBorder="1" applyAlignment="1">
      <alignment horizontal="center" vertical="center" wrapText="1"/>
    </xf>
    <xf numFmtId="188" fontId="2" fillId="5" borderId="7" xfId="1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0" fontId="2" fillId="5" borderId="1" xfId="1" applyNumberFormat="1" applyFont="1" applyFill="1" applyBorder="1" applyAlignment="1">
      <alignment horizontal="center" vertical="center" wrapText="1"/>
    </xf>
    <xf numFmtId="188" fontId="7" fillId="5" borderId="1" xfId="1" applyNumberFormat="1" applyFont="1" applyFill="1" applyBorder="1" applyAlignment="1">
      <alignment horizontal="center"/>
    </xf>
    <xf numFmtId="188" fontId="2" fillId="5" borderId="9" xfId="1" applyNumberFormat="1" applyFont="1" applyFill="1" applyBorder="1" applyAlignment="1">
      <alignment horizontal="center" vertical="center"/>
    </xf>
    <xf numFmtId="188" fontId="2" fillId="5" borderId="11" xfId="1" applyNumberFormat="1" applyFont="1" applyFill="1" applyBorder="1" applyAlignment="1">
      <alignment horizontal="center" vertical="center"/>
    </xf>
    <xf numFmtId="188" fontId="2" fillId="5" borderId="10" xfId="1" applyNumberFormat="1" applyFont="1" applyFill="1" applyBorder="1" applyAlignment="1">
      <alignment horizontal="center" vertical="center"/>
    </xf>
    <xf numFmtId="188" fontId="2" fillId="5" borderId="9" xfId="1" applyNumberFormat="1" applyFont="1" applyFill="1" applyBorder="1" applyAlignment="1">
      <alignment horizontal="center" vertical="center" wrapText="1"/>
    </xf>
    <xf numFmtId="188" fontId="2" fillId="5" borderId="11" xfId="1" applyNumberFormat="1" applyFont="1" applyFill="1" applyBorder="1" applyAlignment="1">
      <alignment horizontal="center" vertical="center" wrapText="1"/>
    </xf>
    <xf numFmtId="188" fontId="2" fillId="5" borderId="10" xfId="1" applyNumberFormat="1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3" fontId="2" fillId="5" borderId="2" xfId="1" applyNumberFormat="1" applyFont="1" applyFill="1" applyBorder="1" applyAlignment="1">
      <alignment horizontal="center" vertical="center" wrapText="1"/>
    </xf>
    <xf numFmtId="3" fontId="2" fillId="5" borderId="7" xfId="1" applyNumberFormat="1" applyFont="1" applyFill="1" applyBorder="1" applyAlignment="1">
      <alignment horizontal="center" vertical="center" wrapText="1"/>
    </xf>
    <xf numFmtId="187" fontId="2" fillId="4" borderId="4" xfId="0" applyNumberFormat="1" applyFont="1" applyFill="1" applyBorder="1" applyAlignment="1">
      <alignment horizontal="center"/>
    </xf>
    <xf numFmtId="188" fontId="2" fillId="5" borderId="1" xfId="1" applyNumberFormat="1" applyFont="1" applyFill="1" applyBorder="1" applyAlignment="1">
      <alignment horizontal="center" vertical="center"/>
    </xf>
    <xf numFmtId="190" fontId="2" fillId="5" borderId="1" xfId="1" applyNumberFormat="1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vertical="top"/>
    </xf>
    <xf numFmtId="187" fontId="2" fillId="3" borderId="9" xfId="0" applyNumberFormat="1" applyFont="1" applyFill="1" applyBorder="1" applyAlignment="1">
      <alignment horizontal="center"/>
    </xf>
    <xf numFmtId="187" fontId="2" fillId="3" borderId="10" xfId="0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188" fontId="2" fillId="5" borderId="2" xfId="1" applyNumberFormat="1" applyFont="1" applyFill="1" applyBorder="1" applyAlignment="1">
      <alignment horizontal="center" vertical="top" wrapText="1"/>
    </xf>
    <xf numFmtId="188" fontId="2" fillId="5" borderId="7" xfId="1" applyNumberFormat="1" applyFont="1" applyFill="1" applyBorder="1" applyAlignment="1">
      <alignment horizontal="center" vertical="top" wrapText="1"/>
    </xf>
  </cellXfs>
  <cellStyles count="3">
    <cellStyle name="Comma" xfId="1" builtinId="3"/>
    <cellStyle name="Normal" xfId="0" builtinId="0"/>
    <cellStyle name="ปกติ_Sheet1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42"/>
  <sheetViews>
    <sheetView zoomScale="90" zoomScaleNormal="90" workbookViewId="0">
      <pane xSplit="5" ySplit="6" topLeftCell="J7" activePane="bottomRight" state="frozen"/>
      <selection pane="topRight" activeCell="F1" sqref="F1"/>
      <selection pane="bottomLeft" activeCell="A8" sqref="A8"/>
      <selection pane="bottomRight" activeCell="B7" sqref="B7"/>
    </sheetView>
  </sheetViews>
  <sheetFormatPr defaultRowHeight="21" outlineLevelRow="1" outlineLevelCol="1" x14ac:dyDescent="0.35"/>
  <cols>
    <col min="1" max="1" width="6.5" style="12" customWidth="1"/>
    <col min="2" max="2" width="9.5" style="8" customWidth="1"/>
    <col min="3" max="6" width="11.375" style="8" hidden="1" customWidth="1" outlineLevel="1"/>
    <col min="7" max="7" width="9.625" style="8" customWidth="1" collapsed="1"/>
    <col min="8" max="8" width="11.5" style="8" customWidth="1"/>
    <col min="9" max="9" width="9.625" style="8" customWidth="1"/>
    <col min="10" max="10" width="9.375" style="8" bestFit="1" customWidth="1"/>
    <col min="11" max="11" width="11.375" style="8" hidden="1" customWidth="1" outlineLevel="1"/>
    <col min="12" max="12" width="10.375" style="8" bestFit="1" customWidth="1" collapsed="1"/>
    <col min="13" max="13" width="10.625" style="4" hidden="1" customWidth="1" outlineLevel="1"/>
    <col min="14" max="14" width="11.625" style="4" hidden="1" customWidth="1" outlineLevel="1"/>
    <col min="15" max="15" width="11.625" style="8" customWidth="1" collapsed="1"/>
    <col min="16" max="16" width="10.375" style="8" bestFit="1" customWidth="1"/>
    <col min="17" max="17" width="10.625" style="8" bestFit="1" customWidth="1"/>
    <col min="18" max="18" width="8.75" style="8" bestFit="1" customWidth="1"/>
    <col min="19" max="19" width="6.75" style="8" hidden="1" customWidth="1" outlineLevel="1"/>
    <col min="20" max="20" width="11.125" style="8" customWidth="1" collapsed="1"/>
    <col min="21" max="21" width="12.375" style="8" bestFit="1" customWidth="1"/>
    <col min="22" max="22" width="8.375" style="11" customWidth="1"/>
    <col min="23" max="23" width="10.375" style="8" customWidth="1"/>
    <col min="24" max="24" width="9.875" style="92" bestFit="1" customWidth="1"/>
    <col min="25" max="25" width="7.625" style="92" customWidth="1"/>
    <col min="26" max="26" width="9.875" style="92" bestFit="1" customWidth="1"/>
    <col min="27" max="27" width="9.375" style="18" customWidth="1" outlineLevel="1"/>
    <col min="28" max="28" width="9" style="12" customWidth="1" outlineLevel="1"/>
    <col min="29" max="29" width="10.125" style="12" bestFit="1" customWidth="1"/>
    <col min="30" max="30" width="22.625" style="12" customWidth="1"/>
    <col min="31" max="31" width="9" style="12"/>
    <col min="32" max="32" width="10.5" style="12" bestFit="1" customWidth="1"/>
    <col min="33" max="16384" width="9" style="12"/>
  </cols>
  <sheetData>
    <row r="1" spans="1:29" s="14" customFormat="1" x14ac:dyDescent="0.35">
      <c r="A1" s="14" t="s">
        <v>0</v>
      </c>
      <c r="B1" s="9"/>
      <c r="C1" s="9"/>
      <c r="D1" s="9"/>
      <c r="E1" s="9"/>
      <c r="F1" s="9"/>
      <c r="G1" s="9"/>
      <c r="H1" s="8"/>
      <c r="I1" s="9"/>
      <c r="J1" s="9"/>
      <c r="K1" s="9"/>
      <c r="L1" s="9"/>
      <c r="M1" s="3"/>
      <c r="N1" s="3"/>
      <c r="O1" s="8"/>
      <c r="P1" s="9"/>
      <c r="Q1" s="9"/>
      <c r="R1" s="9"/>
      <c r="S1" s="9"/>
      <c r="T1" s="9"/>
      <c r="U1" s="9"/>
      <c r="V1" s="27"/>
      <c r="W1" s="9"/>
      <c r="X1" s="91"/>
      <c r="Y1" s="91"/>
      <c r="Z1" s="91"/>
      <c r="AA1" s="15"/>
    </row>
    <row r="2" spans="1:29" s="14" customFormat="1" x14ac:dyDescent="0.35">
      <c r="A2" s="16" t="s">
        <v>45</v>
      </c>
      <c r="B2" s="17"/>
      <c r="C2" s="17"/>
      <c r="D2" s="17"/>
      <c r="E2" s="9"/>
      <c r="F2" s="9"/>
      <c r="G2" s="9"/>
      <c r="H2" s="8"/>
      <c r="I2" s="9"/>
      <c r="J2" s="9"/>
      <c r="K2" s="9"/>
      <c r="L2" s="9"/>
      <c r="M2" s="3"/>
      <c r="N2" s="3"/>
      <c r="O2" s="8"/>
      <c r="P2" s="9"/>
      <c r="Q2" s="9"/>
      <c r="R2" s="9"/>
      <c r="S2" s="9"/>
      <c r="T2" s="9"/>
      <c r="U2" s="9"/>
      <c r="V2" s="27"/>
      <c r="W2" s="9"/>
      <c r="X2" s="91"/>
      <c r="Y2" s="91"/>
      <c r="Z2" s="91"/>
      <c r="AA2" s="15"/>
    </row>
    <row r="3" spans="1:29" s="14" customFormat="1" x14ac:dyDescent="0.35">
      <c r="A3" s="16" t="s">
        <v>30</v>
      </c>
      <c r="B3" s="17"/>
      <c r="C3" s="17"/>
      <c r="D3" s="17"/>
      <c r="E3" s="9"/>
      <c r="F3" s="9"/>
      <c r="G3" s="9"/>
      <c r="H3" s="8"/>
      <c r="I3" s="9"/>
      <c r="J3" s="9"/>
      <c r="K3" s="9"/>
      <c r="L3" s="9"/>
      <c r="M3" s="3"/>
      <c r="N3" s="3"/>
      <c r="O3" s="8"/>
      <c r="P3" s="9"/>
      <c r="Q3" s="9"/>
      <c r="R3" s="9"/>
      <c r="S3" s="9"/>
      <c r="T3" s="9"/>
      <c r="U3" s="9"/>
      <c r="V3" s="27"/>
      <c r="W3" s="9"/>
      <c r="X3" s="91"/>
      <c r="Y3" s="91"/>
      <c r="Z3" s="91"/>
      <c r="AA3" s="15"/>
    </row>
    <row r="4" spans="1:29" ht="6.75" customHeight="1" x14ac:dyDescent="0.35"/>
    <row r="5" spans="1:29" s="19" customFormat="1" ht="35.25" customHeight="1" x14ac:dyDescent="0.35">
      <c r="A5" s="139" t="s">
        <v>1</v>
      </c>
      <c r="B5" s="140" t="s">
        <v>21</v>
      </c>
      <c r="C5" s="142" t="s">
        <v>37</v>
      </c>
      <c r="D5" s="143"/>
      <c r="E5" s="143"/>
      <c r="F5" s="143"/>
      <c r="G5" s="143"/>
      <c r="H5" s="144"/>
      <c r="I5" s="145" t="s">
        <v>38</v>
      </c>
      <c r="J5" s="146"/>
      <c r="K5" s="147"/>
      <c r="L5" s="135" t="s">
        <v>15</v>
      </c>
      <c r="M5" s="141" t="s">
        <v>18</v>
      </c>
      <c r="N5" s="141"/>
      <c r="O5" s="135" t="s">
        <v>13</v>
      </c>
      <c r="P5" s="145" t="s">
        <v>16</v>
      </c>
      <c r="Q5" s="146"/>
      <c r="R5" s="146"/>
      <c r="S5" s="146"/>
      <c r="T5" s="137" t="s">
        <v>28</v>
      </c>
      <c r="U5" s="135" t="s">
        <v>9</v>
      </c>
      <c r="V5" s="135" t="s">
        <v>2</v>
      </c>
      <c r="W5" s="135" t="s">
        <v>19</v>
      </c>
      <c r="X5" s="136" t="s">
        <v>22</v>
      </c>
      <c r="Y5" s="136"/>
      <c r="Z5" s="136"/>
      <c r="AA5" s="148" t="s">
        <v>26</v>
      </c>
      <c r="AB5" s="137" t="s">
        <v>36</v>
      </c>
    </row>
    <row r="6" spans="1:29" s="19" customFormat="1" ht="44.25" customHeight="1" x14ac:dyDescent="0.35">
      <c r="A6" s="139"/>
      <c r="B6" s="140"/>
      <c r="C6" s="112" t="s">
        <v>3</v>
      </c>
      <c r="D6" s="98" t="s">
        <v>34</v>
      </c>
      <c r="E6" s="98" t="s">
        <v>4</v>
      </c>
      <c r="F6" s="98" t="s">
        <v>5</v>
      </c>
      <c r="G6" s="98" t="s">
        <v>3</v>
      </c>
      <c r="H6" s="112" t="s">
        <v>10</v>
      </c>
      <c r="I6" s="111" t="s">
        <v>4</v>
      </c>
      <c r="J6" s="101" t="s">
        <v>35</v>
      </c>
      <c r="K6" s="101" t="s">
        <v>5</v>
      </c>
      <c r="L6" s="135"/>
      <c r="M6" s="113" t="s">
        <v>42</v>
      </c>
      <c r="N6" s="113" t="s">
        <v>43</v>
      </c>
      <c r="O6" s="135"/>
      <c r="P6" s="111" t="s">
        <v>10</v>
      </c>
      <c r="Q6" s="111" t="s">
        <v>4</v>
      </c>
      <c r="R6" s="100" t="s">
        <v>35</v>
      </c>
      <c r="S6" s="122" t="s">
        <v>5</v>
      </c>
      <c r="T6" s="138"/>
      <c r="U6" s="135"/>
      <c r="V6" s="135"/>
      <c r="W6" s="135"/>
      <c r="X6" s="110" t="s">
        <v>11</v>
      </c>
      <c r="Y6" s="110" t="s">
        <v>17</v>
      </c>
      <c r="Z6" s="110" t="s">
        <v>6</v>
      </c>
      <c r="AA6" s="149"/>
      <c r="AB6" s="138"/>
    </row>
    <row r="7" spans="1:29" ht="23.25" customHeight="1" x14ac:dyDescent="0.35">
      <c r="A7" s="20">
        <v>1</v>
      </c>
      <c r="B7" s="21">
        <v>25330</v>
      </c>
      <c r="C7" s="35">
        <v>11640</v>
      </c>
      <c r="D7" s="35">
        <v>0</v>
      </c>
      <c r="E7" s="35">
        <v>6990</v>
      </c>
      <c r="F7" s="35">
        <v>0</v>
      </c>
      <c r="G7" s="21">
        <f>+C7</f>
        <v>11640</v>
      </c>
      <c r="H7" s="22">
        <f>+D7+E7+F7</f>
        <v>6990</v>
      </c>
      <c r="I7" s="21">
        <v>0</v>
      </c>
      <c r="J7" s="21">
        <v>0</v>
      </c>
      <c r="K7" s="21">
        <v>0</v>
      </c>
      <c r="L7" s="21">
        <f t="shared" ref="L7:L14" si="0">SUM(G7:K7)</f>
        <v>18630</v>
      </c>
      <c r="M7" s="36">
        <v>18630</v>
      </c>
      <c r="N7" s="36">
        <v>0</v>
      </c>
      <c r="O7" s="32">
        <f>+B7+L7</f>
        <v>43960</v>
      </c>
      <c r="P7" s="13">
        <f>+T7-Q7-R7-S7</f>
        <v>44030</v>
      </c>
      <c r="Q7" s="13">
        <v>0</v>
      </c>
      <c r="R7" s="13">
        <v>0</v>
      </c>
      <c r="S7" s="84">
        <v>0</v>
      </c>
      <c r="T7" s="33">
        <v>44030</v>
      </c>
      <c r="U7" s="70">
        <f>+O7-T7</f>
        <v>-70</v>
      </c>
      <c r="V7" s="28">
        <v>0</v>
      </c>
      <c r="W7" s="34">
        <v>43970</v>
      </c>
      <c r="X7" s="87">
        <f>IF(V7="-",0,V7-U7)</f>
        <v>70</v>
      </c>
      <c r="Y7" s="88">
        <f>+W7-T7</f>
        <v>-60</v>
      </c>
      <c r="Z7" s="88">
        <f>+X7+Y7</f>
        <v>10</v>
      </c>
      <c r="AA7" s="23">
        <v>2</v>
      </c>
      <c r="AB7" s="106"/>
      <c r="AC7" s="128">
        <f>Y7*100/T7</f>
        <v>-0.13627072450601863</v>
      </c>
    </row>
    <row r="8" spans="1:29" ht="23.25" customHeight="1" x14ac:dyDescent="0.35">
      <c r="A8" s="20">
        <f t="shared" ref="A8:A36" si="1">+A7+1</f>
        <v>2</v>
      </c>
      <c r="B8" s="22">
        <f>IF(V7="-",U7,V7)</f>
        <v>0</v>
      </c>
      <c r="C8" s="35">
        <v>32370</v>
      </c>
      <c r="D8" s="35">
        <v>47070</v>
      </c>
      <c r="E8" s="35">
        <v>14670</v>
      </c>
      <c r="F8" s="35">
        <v>0</v>
      </c>
      <c r="G8" s="21">
        <f>+C8</f>
        <v>32370</v>
      </c>
      <c r="H8" s="22">
        <f t="shared" ref="H8:H37" si="2">+D8+E8+F8</f>
        <v>61740</v>
      </c>
      <c r="I8" s="21">
        <v>0</v>
      </c>
      <c r="J8" s="21">
        <v>0</v>
      </c>
      <c r="K8" s="21">
        <v>0</v>
      </c>
      <c r="L8" s="21">
        <f t="shared" si="0"/>
        <v>94110</v>
      </c>
      <c r="M8" s="36">
        <v>92830</v>
      </c>
      <c r="N8" s="36">
        <v>1280</v>
      </c>
      <c r="O8" s="32">
        <f>+B8+L8</f>
        <v>94110</v>
      </c>
      <c r="P8" s="13">
        <f t="shared" ref="P8:P24" si="3">+T8-Q8-R8-S8</f>
        <v>93660</v>
      </c>
      <c r="Q8" s="13">
        <v>0</v>
      </c>
      <c r="R8" s="13">
        <v>0</v>
      </c>
      <c r="S8" s="84">
        <v>0</v>
      </c>
      <c r="T8" s="33">
        <v>93660</v>
      </c>
      <c r="U8" s="70">
        <f>+O8-T8</f>
        <v>450</v>
      </c>
      <c r="V8" s="28">
        <v>0</v>
      </c>
      <c r="W8" s="34">
        <v>93310</v>
      </c>
      <c r="X8" s="87">
        <f t="shared" ref="X8:X37" si="4">IF(V8="-",0,V8-U8)</f>
        <v>-450</v>
      </c>
      <c r="Y8" s="88">
        <f t="shared" ref="Y8:Y36" si="5">+W8-T8</f>
        <v>-350</v>
      </c>
      <c r="Z8" s="88">
        <f t="shared" ref="Z8:Z35" si="6">+X8+Y8</f>
        <v>-800</v>
      </c>
      <c r="AA8" s="23">
        <v>4</v>
      </c>
      <c r="AB8" s="106"/>
      <c r="AC8" s="128">
        <f t="shared" ref="AC8:AC37" si="7">Y8*100/T8</f>
        <v>-0.37369207772795215</v>
      </c>
    </row>
    <row r="9" spans="1:29" ht="23.25" customHeight="1" x14ac:dyDescent="0.35">
      <c r="A9" s="20">
        <f t="shared" si="1"/>
        <v>3</v>
      </c>
      <c r="B9" s="22">
        <f t="shared" ref="B9:B37" si="8">IF(V8="-",U8,V8)</f>
        <v>0</v>
      </c>
      <c r="C9" s="35">
        <v>0</v>
      </c>
      <c r="D9" s="35">
        <v>0</v>
      </c>
      <c r="E9" s="35">
        <v>0</v>
      </c>
      <c r="F9" s="35">
        <v>0</v>
      </c>
      <c r="G9" s="21">
        <f t="shared" ref="G9:G37" si="9">+C9</f>
        <v>0</v>
      </c>
      <c r="H9" s="22">
        <f t="shared" si="2"/>
        <v>0</v>
      </c>
      <c r="I9" s="21">
        <v>0</v>
      </c>
      <c r="J9" s="21">
        <v>0</v>
      </c>
      <c r="K9" s="21">
        <v>0</v>
      </c>
      <c r="L9" s="21">
        <f t="shared" si="0"/>
        <v>0</v>
      </c>
      <c r="M9" s="36">
        <v>0</v>
      </c>
      <c r="N9" s="36">
        <v>0</v>
      </c>
      <c r="O9" s="32">
        <f t="shared" ref="O9:O37" si="10">+B9+L9</f>
        <v>0</v>
      </c>
      <c r="P9" s="13">
        <f t="shared" si="3"/>
        <v>0</v>
      </c>
      <c r="Q9" s="13">
        <v>0</v>
      </c>
      <c r="R9" s="13">
        <v>0</v>
      </c>
      <c r="S9" s="84">
        <v>0</v>
      </c>
      <c r="T9" s="33">
        <v>0</v>
      </c>
      <c r="U9" s="70">
        <f t="shared" ref="U9:U17" si="11">+O9-T9</f>
        <v>0</v>
      </c>
      <c r="V9" s="28">
        <v>0</v>
      </c>
      <c r="W9" s="34">
        <v>0</v>
      </c>
      <c r="X9" s="87">
        <f t="shared" si="4"/>
        <v>0</v>
      </c>
      <c r="Y9" s="88">
        <f t="shared" si="5"/>
        <v>0</v>
      </c>
      <c r="Z9" s="88">
        <f t="shared" si="6"/>
        <v>0</v>
      </c>
      <c r="AA9" s="23">
        <v>0</v>
      </c>
      <c r="AB9" s="106"/>
      <c r="AC9" s="128" t="e">
        <f t="shared" si="7"/>
        <v>#DIV/0!</v>
      </c>
    </row>
    <row r="10" spans="1:29" ht="23.25" customHeight="1" x14ac:dyDescent="0.35">
      <c r="A10" s="20">
        <f t="shared" si="1"/>
        <v>4</v>
      </c>
      <c r="B10" s="22">
        <f t="shared" si="8"/>
        <v>0</v>
      </c>
      <c r="C10" s="35">
        <v>37830</v>
      </c>
      <c r="D10" s="35">
        <v>56230</v>
      </c>
      <c r="E10" s="35">
        <v>38910</v>
      </c>
      <c r="F10" s="35">
        <v>0</v>
      </c>
      <c r="G10" s="21">
        <f t="shared" si="9"/>
        <v>37830</v>
      </c>
      <c r="H10" s="22">
        <f t="shared" si="2"/>
        <v>95140</v>
      </c>
      <c r="I10" s="21">
        <v>0</v>
      </c>
      <c r="J10" s="21">
        <v>0</v>
      </c>
      <c r="K10" s="21">
        <v>0</v>
      </c>
      <c r="L10" s="21">
        <f t="shared" si="0"/>
        <v>132970</v>
      </c>
      <c r="M10" s="36">
        <v>111870</v>
      </c>
      <c r="N10" s="36">
        <v>21100</v>
      </c>
      <c r="O10" s="32">
        <f t="shared" si="10"/>
        <v>132970</v>
      </c>
      <c r="P10" s="13">
        <f t="shared" si="3"/>
        <v>112800</v>
      </c>
      <c r="Q10" s="13">
        <v>0</v>
      </c>
      <c r="R10" s="13">
        <v>0</v>
      </c>
      <c r="S10" s="84">
        <v>0</v>
      </c>
      <c r="T10" s="33">
        <v>112800</v>
      </c>
      <c r="U10" s="70">
        <f>+O10-T10</f>
        <v>20170</v>
      </c>
      <c r="V10" s="28">
        <v>19320</v>
      </c>
      <c r="W10" s="34">
        <v>112450</v>
      </c>
      <c r="X10" s="87">
        <f t="shared" si="4"/>
        <v>-850</v>
      </c>
      <c r="Y10" s="88">
        <f t="shared" si="5"/>
        <v>-350</v>
      </c>
      <c r="Z10" s="88">
        <f t="shared" si="6"/>
        <v>-1200</v>
      </c>
      <c r="AA10" s="23">
        <v>4</v>
      </c>
      <c r="AB10" s="106"/>
      <c r="AC10" s="128">
        <f t="shared" si="7"/>
        <v>-0.31028368794326239</v>
      </c>
    </row>
    <row r="11" spans="1:29" ht="23.25" customHeight="1" x14ac:dyDescent="0.35">
      <c r="A11" s="20">
        <f t="shared" si="1"/>
        <v>5</v>
      </c>
      <c r="B11" s="22">
        <f t="shared" si="8"/>
        <v>19320</v>
      </c>
      <c r="C11" s="35">
        <v>29930</v>
      </c>
      <c r="D11" s="35">
        <v>34210</v>
      </c>
      <c r="E11" s="35">
        <v>35090</v>
      </c>
      <c r="F11" s="35">
        <v>0</v>
      </c>
      <c r="G11" s="21">
        <f t="shared" si="9"/>
        <v>29930</v>
      </c>
      <c r="H11" s="22">
        <f t="shared" si="2"/>
        <v>69300</v>
      </c>
      <c r="I11" s="21">
        <v>0</v>
      </c>
      <c r="J11" s="21">
        <v>0</v>
      </c>
      <c r="K11" s="21">
        <v>0</v>
      </c>
      <c r="L11" s="21">
        <f t="shared" si="0"/>
        <v>99230</v>
      </c>
      <c r="M11" s="36">
        <v>88600</v>
      </c>
      <c r="N11" s="36">
        <v>10630</v>
      </c>
      <c r="O11" s="32">
        <f>+B11+L11</f>
        <v>118550</v>
      </c>
      <c r="P11" s="13">
        <f t="shared" si="3"/>
        <v>84680</v>
      </c>
      <c r="Q11" s="13">
        <v>0</v>
      </c>
      <c r="R11" s="13">
        <v>0</v>
      </c>
      <c r="S11" s="84">
        <v>0</v>
      </c>
      <c r="T11" s="33">
        <v>84680</v>
      </c>
      <c r="U11" s="70">
        <f>+O11-T11</f>
        <v>33870</v>
      </c>
      <c r="V11" s="28">
        <v>33020</v>
      </c>
      <c r="W11" s="34">
        <v>84410</v>
      </c>
      <c r="X11" s="87">
        <f t="shared" si="4"/>
        <v>-850</v>
      </c>
      <c r="Y11" s="88">
        <f t="shared" si="5"/>
        <v>-270</v>
      </c>
      <c r="Z11" s="88">
        <f>+X11+Y11</f>
        <v>-1120</v>
      </c>
      <c r="AA11" s="23">
        <v>3</v>
      </c>
      <c r="AB11" s="106"/>
      <c r="AC11" s="128">
        <f t="shared" si="7"/>
        <v>-0.31884742560226736</v>
      </c>
    </row>
    <row r="12" spans="1:29" ht="23.25" customHeight="1" x14ac:dyDescent="0.35">
      <c r="A12" s="20">
        <f t="shared" si="1"/>
        <v>6</v>
      </c>
      <c r="B12" s="22">
        <f t="shared" si="8"/>
        <v>33020</v>
      </c>
      <c r="C12" s="35">
        <v>29170</v>
      </c>
      <c r="D12" s="35">
        <v>45580</v>
      </c>
      <c r="E12" s="35">
        <v>22460</v>
      </c>
      <c r="F12" s="35">
        <v>0</v>
      </c>
      <c r="G12" s="21">
        <f t="shared" si="9"/>
        <v>29170</v>
      </c>
      <c r="H12" s="22">
        <f t="shared" si="2"/>
        <v>68040</v>
      </c>
      <c r="I12" s="21">
        <v>0</v>
      </c>
      <c r="J12" s="21">
        <v>0</v>
      </c>
      <c r="K12" s="21">
        <v>0</v>
      </c>
      <c r="L12" s="21">
        <f t="shared" si="0"/>
        <v>97210</v>
      </c>
      <c r="M12" s="36">
        <v>87080</v>
      </c>
      <c r="N12" s="36">
        <v>10130</v>
      </c>
      <c r="O12" s="32">
        <f>+B12+L12</f>
        <v>130230</v>
      </c>
      <c r="P12" s="13">
        <f t="shared" si="3"/>
        <v>129910</v>
      </c>
      <c r="Q12" s="13">
        <v>0</v>
      </c>
      <c r="R12" s="13">
        <v>0</v>
      </c>
      <c r="S12" s="84">
        <v>0</v>
      </c>
      <c r="T12" s="33">
        <v>129910</v>
      </c>
      <c r="U12" s="70">
        <f>+O12-T12</f>
        <v>320</v>
      </c>
      <c r="V12" s="28">
        <v>0</v>
      </c>
      <c r="W12" s="34">
        <v>129650</v>
      </c>
      <c r="X12" s="87">
        <f t="shared" si="4"/>
        <v>-320</v>
      </c>
      <c r="Y12" s="88">
        <f t="shared" si="5"/>
        <v>-260</v>
      </c>
      <c r="Z12" s="88">
        <f t="shared" si="6"/>
        <v>-580</v>
      </c>
      <c r="AA12" s="23">
        <v>5</v>
      </c>
      <c r="AB12" s="106"/>
      <c r="AC12" s="128">
        <f t="shared" si="7"/>
        <v>-0.20013855746285891</v>
      </c>
    </row>
    <row r="13" spans="1:29" ht="23.25" customHeight="1" x14ac:dyDescent="0.35">
      <c r="A13" s="20">
        <f t="shared" si="1"/>
        <v>7</v>
      </c>
      <c r="B13" s="22">
        <f t="shared" si="8"/>
        <v>0</v>
      </c>
      <c r="C13" s="35">
        <v>33230</v>
      </c>
      <c r="D13" s="35">
        <v>49060</v>
      </c>
      <c r="E13" s="35">
        <v>16600</v>
      </c>
      <c r="F13" s="35">
        <v>0</v>
      </c>
      <c r="G13" s="21">
        <f t="shared" si="9"/>
        <v>33230</v>
      </c>
      <c r="H13" s="22">
        <f t="shared" si="2"/>
        <v>65660</v>
      </c>
      <c r="I13" s="21">
        <v>0</v>
      </c>
      <c r="J13" s="21">
        <v>0</v>
      </c>
      <c r="K13" s="21">
        <v>0</v>
      </c>
      <c r="L13" s="21">
        <f t="shared" si="0"/>
        <v>98890</v>
      </c>
      <c r="M13" s="36">
        <v>91770</v>
      </c>
      <c r="N13" s="36">
        <v>7120</v>
      </c>
      <c r="O13" s="32">
        <f>+B13+L13</f>
        <v>98890</v>
      </c>
      <c r="P13" s="13">
        <f t="shared" si="3"/>
        <v>77250</v>
      </c>
      <c r="Q13" s="13">
        <v>0</v>
      </c>
      <c r="R13" s="13">
        <v>0</v>
      </c>
      <c r="S13" s="84">
        <v>0</v>
      </c>
      <c r="T13" s="33">
        <v>77250</v>
      </c>
      <c r="U13" s="70">
        <f>+O13-T13</f>
        <v>21640</v>
      </c>
      <c r="V13" s="28">
        <v>21190</v>
      </c>
      <c r="W13" s="34">
        <v>77080</v>
      </c>
      <c r="X13" s="87">
        <f t="shared" si="4"/>
        <v>-450</v>
      </c>
      <c r="Y13" s="88">
        <f t="shared" si="5"/>
        <v>-170</v>
      </c>
      <c r="Z13" s="88">
        <f t="shared" si="6"/>
        <v>-620</v>
      </c>
      <c r="AA13" s="23">
        <v>3</v>
      </c>
      <c r="AB13" s="106"/>
      <c r="AC13" s="128">
        <f t="shared" si="7"/>
        <v>-0.22006472491909385</v>
      </c>
    </row>
    <row r="14" spans="1:29" ht="23.25" customHeight="1" x14ac:dyDescent="0.35">
      <c r="A14" s="20">
        <f t="shared" si="1"/>
        <v>8</v>
      </c>
      <c r="B14" s="22">
        <f t="shared" si="8"/>
        <v>21190</v>
      </c>
      <c r="C14" s="35">
        <v>0</v>
      </c>
      <c r="D14" s="35">
        <v>0</v>
      </c>
      <c r="E14" s="35">
        <v>0</v>
      </c>
      <c r="F14" s="35">
        <v>0</v>
      </c>
      <c r="G14" s="21">
        <f t="shared" si="9"/>
        <v>0</v>
      </c>
      <c r="H14" s="22">
        <f t="shared" si="2"/>
        <v>0</v>
      </c>
      <c r="I14" s="21">
        <v>0</v>
      </c>
      <c r="J14" s="21">
        <v>0</v>
      </c>
      <c r="K14" s="21">
        <v>0</v>
      </c>
      <c r="L14" s="21">
        <f t="shared" si="0"/>
        <v>0</v>
      </c>
      <c r="M14" s="36">
        <v>0</v>
      </c>
      <c r="N14" s="36">
        <v>0</v>
      </c>
      <c r="O14" s="32">
        <f>+B14+L14</f>
        <v>21190</v>
      </c>
      <c r="P14" s="13">
        <f t="shared" si="3"/>
        <v>21190</v>
      </c>
      <c r="Q14" s="13">
        <v>0</v>
      </c>
      <c r="R14" s="13">
        <v>0</v>
      </c>
      <c r="S14" s="84">
        <v>0</v>
      </c>
      <c r="T14" s="33">
        <v>21190</v>
      </c>
      <c r="U14" s="70">
        <f>+O14-T14</f>
        <v>0</v>
      </c>
      <c r="V14" s="28">
        <v>0</v>
      </c>
      <c r="W14" s="34">
        <v>21130</v>
      </c>
      <c r="X14" s="87">
        <f t="shared" si="4"/>
        <v>0</v>
      </c>
      <c r="Y14" s="88">
        <f t="shared" si="5"/>
        <v>-60</v>
      </c>
      <c r="Z14" s="88">
        <f t="shared" si="6"/>
        <v>-60</v>
      </c>
      <c r="AA14" s="23">
        <v>1</v>
      </c>
      <c r="AB14" s="106"/>
      <c r="AC14" s="128">
        <f t="shared" si="7"/>
        <v>-0.28315243039169419</v>
      </c>
    </row>
    <row r="15" spans="1:29" ht="23.25" customHeight="1" x14ac:dyDescent="0.35">
      <c r="A15" s="20">
        <f t="shared" si="1"/>
        <v>9</v>
      </c>
      <c r="B15" s="22">
        <f t="shared" si="8"/>
        <v>0</v>
      </c>
      <c r="C15" s="35">
        <v>20710</v>
      </c>
      <c r="D15" s="35">
        <v>48700</v>
      </c>
      <c r="E15" s="35">
        <v>15430</v>
      </c>
      <c r="F15" s="35">
        <v>0</v>
      </c>
      <c r="G15" s="21">
        <f t="shared" si="9"/>
        <v>20710</v>
      </c>
      <c r="H15" s="22">
        <f t="shared" si="2"/>
        <v>64130</v>
      </c>
      <c r="I15" s="21">
        <v>0</v>
      </c>
      <c r="J15" s="21">
        <v>0</v>
      </c>
      <c r="K15" s="21">
        <v>0</v>
      </c>
      <c r="L15" s="21">
        <f t="shared" ref="L15:L37" si="12">SUM(G15:K15)</f>
        <v>84840</v>
      </c>
      <c r="M15" s="36">
        <v>84840</v>
      </c>
      <c r="N15" s="36">
        <v>0</v>
      </c>
      <c r="O15" s="32">
        <f t="shared" si="10"/>
        <v>84840</v>
      </c>
      <c r="P15" s="13">
        <v>55060</v>
      </c>
      <c r="Q15" s="13">
        <v>0</v>
      </c>
      <c r="R15" s="13">
        <v>0</v>
      </c>
      <c r="S15" s="84">
        <v>0</v>
      </c>
      <c r="T15" s="33">
        <v>55060</v>
      </c>
      <c r="U15" s="70">
        <f t="shared" si="11"/>
        <v>29780</v>
      </c>
      <c r="V15" s="28">
        <v>28840</v>
      </c>
      <c r="W15" s="34">
        <v>54910</v>
      </c>
      <c r="X15" s="87">
        <f t="shared" si="4"/>
        <v>-940</v>
      </c>
      <c r="Y15" s="88">
        <f t="shared" si="5"/>
        <v>-150</v>
      </c>
      <c r="Z15" s="88">
        <f t="shared" si="6"/>
        <v>-1090</v>
      </c>
      <c r="AA15" s="23">
        <v>3</v>
      </c>
      <c r="AB15" s="106"/>
      <c r="AC15" s="128">
        <f t="shared" si="7"/>
        <v>-0.27243007628042137</v>
      </c>
    </row>
    <row r="16" spans="1:29" ht="23.25" customHeight="1" x14ac:dyDescent="0.35">
      <c r="A16" s="20">
        <f t="shared" si="1"/>
        <v>10</v>
      </c>
      <c r="B16" s="22">
        <f>IF(V15="-",U15,V15)</f>
        <v>28840</v>
      </c>
      <c r="C16" s="35">
        <v>27140</v>
      </c>
      <c r="D16" s="35">
        <v>47690</v>
      </c>
      <c r="E16" s="35">
        <v>14250</v>
      </c>
      <c r="F16" s="35">
        <v>0</v>
      </c>
      <c r="G16" s="21">
        <f t="shared" si="9"/>
        <v>27140</v>
      </c>
      <c r="H16" s="22">
        <f t="shared" si="2"/>
        <v>61940</v>
      </c>
      <c r="I16" s="21">
        <v>0</v>
      </c>
      <c r="J16" s="21">
        <v>0</v>
      </c>
      <c r="K16" s="21">
        <v>0</v>
      </c>
      <c r="L16" s="21">
        <f t="shared" si="12"/>
        <v>89080</v>
      </c>
      <c r="M16" s="36">
        <v>83810</v>
      </c>
      <c r="N16" s="36">
        <v>5270</v>
      </c>
      <c r="O16" s="32">
        <f t="shared" si="10"/>
        <v>117920</v>
      </c>
      <c r="P16" s="13">
        <v>77460</v>
      </c>
      <c r="Q16" s="13">
        <v>0</v>
      </c>
      <c r="R16" s="13">
        <v>0</v>
      </c>
      <c r="S16" s="84">
        <v>0</v>
      </c>
      <c r="T16" s="33">
        <v>77460</v>
      </c>
      <c r="U16" s="70">
        <f t="shared" si="11"/>
        <v>40460</v>
      </c>
      <c r="V16" s="28">
        <v>39970</v>
      </c>
      <c r="W16" s="34">
        <v>77380</v>
      </c>
      <c r="X16" s="87">
        <f t="shared" si="4"/>
        <v>-490</v>
      </c>
      <c r="Y16" s="88">
        <f t="shared" si="5"/>
        <v>-80</v>
      </c>
      <c r="Z16" s="88">
        <f t="shared" si="6"/>
        <v>-570</v>
      </c>
      <c r="AA16" s="23">
        <v>3</v>
      </c>
      <c r="AB16" s="106"/>
      <c r="AC16" s="128">
        <f t="shared" si="7"/>
        <v>-0.10327911179963853</v>
      </c>
    </row>
    <row r="17" spans="1:32" ht="23.25" customHeight="1" x14ac:dyDescent="0.35">
      <c r="A17" s="20">
        <f t="shared" si="1"/>
        <v>11</v>
      </c>
      <c r="B17" s="22">
        <f>IF(V16="-",U16,V16)</f>
        <v>39970</v>
      </c>
      <c r="C17" s="35">
        <v>37540</v>
      </c>
      <c r="D17" s="35">
        <v>45590</v>
      </c>
      <c r="E17" s="35">
        <v>17890</v>
      </c>
      <c r="F17" s="35">
        <v>0</v>
      </c>
      <c r="G17" s="21">
        <f t="shared" si="9"/>
        <v>37540</v>
      </c>
      <c r="H17" s="22">
        <f t="shared" si="2"/>
        <v>63480</v>
      </c>
      <c r="I17" s="21">
        <v>0</v>
      </c>
      <c r="J17" s="21">
        <v>0</v>
      </c>
      <c r="K17" s="21">
        <v>0</v>
      </c>
      <c r="L17" s="21">
        <f t="shared" si="12"/>
        <v>101020</v>
      </c>
      <c r="M17" s="36">
        <v>92390</v>
      </c>
      <c r="N17" s="36">
        <v>8630</v>
      </c>
      <c r="O17" s="32">
        <f t="shared" si="10"/>
        <v>140990</v>
      </c>
      <c r="P17" s="13">
        <f t="shared" si="3"/>
        <v>110600</v>
      </c>
      <c r="Q17" s="13">
        <v>0</v>
      </c>
      <c r="R17" s="13">
        <v>0</v>
      </c>
      <c r="S17" s="84">
        <v>0</v>
      </c>
      <c r="T17" s="33">
        <v>110600</v>
      </c>
      <c r="U17" s="70">
        <f t="shared" si="11"/>
        <v>30390</v>
      </c>
      <c r="V17" s="28">
        <v>29800</v>
      </c>
      <c r="W17" s="34">
        <v>110380</v>
      </c>
      <c r="X17" s="87">
        <f t="shared" si="4"/>
        <v>-590</v>
      </c>
      <c r="Y17" s="88">
        <f t="shared" si="5"/>
        <v>-220</v>
      </c>
      <c r="Z17" s="88">
        <f t="shared" si="6"/>
        <v>-810</v>
      </c>
      <c r="AA17" s="23">
        <v>6</v>
      </c>
      <c r="AB17" s="106"/>
      <c r="AC17" s="128">
        <f t="shared" si="7"/>
        <v>-0.19891500904159132</v>
      </c>
    </row>
    <row r="18" spans="1:32" ht="23.25" customHeight="1" x14ac:dyDescent="0.35">
      <c r="A18" s="20">
        <f t="shared" si="1"/>
        <v>12</v>
      </c>
      <c r="B18" s="22">
        <f t="shared" si="8"/>
        <v>29800</v>
      </c>
      <c r="C18" s="35">
        <v>32580</v>
      </c>
      <c r="D18" s="35">
        <v>43430</v>
      </c>
      <c r="E18" s="35">
        <v>20620</v>
      </c>
      <c r="F18" s="35">
        <v>0</v>
      </c>
      <c r="G18" s="21">
        <f t="shared" si="9"/>
        <v>32580</v>
      </c>
      <c r="H18" s="22">
        <f t="shared" si="2"/>
        <v>64050</v>
      </c>
      <c r="I18" s="21">
        <v>0</v>
      </c>
      <c r="J18" s="21">
        <v>0</v>
      </c>
      <c r="K18" s="21">
        <v>0</v>
      </c>
      <c r="L18" s="21">
        <f>SUM(G18:K18)</f>
        <v>96630</v>
      </c>
      <c r="M18" s="36">
        <v>85410</v>
      </c>
      <c r="N18" s="36">
        <v>11220</v>
      </c>
      <c r="O18" s="32">
        <f>+B18+L18</f>
        <v>126430</v>
      </c>
      <c r="P18" s="13">
        <f t="shared" si="3"/>
        <v>122140</v>
      </c>
      <c r="Q18" s="13">
        <v>0</v>
      </c>
      <c r="R18" s="104">
        <v>0</v>
      </c>
      <c r="S18" s="84">
        <v>0</v>
      </c>
      <c r="T18" s="33">
        <v>122140</v>
      </c>
      <c r="U18" s="70">
        <f>+O18-T18</f>
        <v>4290</v>
      </c>
      <c r="V18" s="28">
        <v>3750</v>
      </c>
      <c r="W18" s="34">
        <v>121800</v>
      </c>
      <c r="X18" s="105">
        <f>IF(V18="-",0,V18-U18)</f>
        <v>-540</v>
      </c>
      <c r="Y18" s="88">
        <f t="shared" si="5"/>
        <v>-340</v>
      </c>
      <c r="Z18" s="88">
        <f t="shared" si="6"/>
        <v>-880</v>
      </c>
      <c r="AA18" s="23">
        <v>7</v>
      </c>
      <c r="AB18" s="106"/>
      <c r="AC18" s="128">
        <f t="shared" si="7"/>
        <v>-0.27836908465695104</v>
      </c>
    </row>
    <row r="19" spans="1:32" ht="23.25" customHeight="1" x14ac:dyDescent="0.35">
      <c r="A19" s="20">
        <f t="shared" si="1"/>
        <v>13</v>
      </c>
      <c r="B19" s="22">
        <f t="shared" si="8"/>
        <v>3750</v>
      </c>
      <c r="C19" s="35">
        <v>23530</v>
      </c>
      <c r="D19" s="35">
        <v>56040</v>
      </c>
      <c r="E19" s="35">
        <v>13360</v>
      </c>
      <c r="F19" s="35">
        <v>0</v>
      </c>
      <c r="G19" s="21">
        <f t="shared" si="9"/>
        <v>23530</v>
      </c>
      <c r="H19" s="22">
        <f t="shared" si="2"/>
        <v>69400</v>
      </c>
      <c r="I19" s="21">
        <v>0</v>
      </c>
      <c r="J19" s="21">
        <v>0</v>
      </c>
      <c r="K19" s="21">
        <v>0</v>
      </c>
      <c r="L19" s="21">
        <f t="shared" si="12"/>
        <v>92930</v>
      </c>
      <c r="M19" s="36">
        <v>81310</v>
      </c>
      <c r="N19" s="36">
        <v>11620</v>
      </c>
      <c r="O19" s="32">
        <f t="shared" si="10"/>
        <v>96680</v>
      </c>
      <c r="P19" s="13">
        <f t="shared" si="3"/>
        <v>83380</v>
      </c>
      <c r="Q19" s="13">
        <v>0</v>
      </c>
      <c r="R19" s="104">
        <v>0</v>
      </c>
      <c r="S19" s="84">
        <v>0</v>
      </c>
      <c r="T19" s="33">
        <v>83380</v>
      </c>
      <c r="U19" s="70">
        <f>+O19-T19</f>
        <v>13300</v>
      </c>
      <c r="V19" s="28">
        <v>13030</v>
      </c>
      <c r="W19" s="34">
        <v>83170</v>
      </c>
      <c r="X19" s="105">
        <f>IF(V19="-",0,V19-U19)</f>
        <v>-270</v>
      </c>
      <c r="Y19" s="88">
        <f t="shared" si="5"/>
        <v>-210</v>
      </c>
      <c r="Z19" s="88">
        <f t="shared" si="6"/>
        <v>-480</v>
      </c>
      <c r="AA19" s="23">
        <v>4</v>
      </c>
      <c r="AB19" s="106"/>
      <c r="AC19" s="128">
        <f t="shared" si="7"/>
        <v>-0.25185895898296956</v>
      </c>
    </row>
    <row r="20" spans="1:32" ht="23.25" customHeight="1" x14ac:dyDescent="0.35">
      <c r="A20" s="20">
        <f t="shared" si="1"/>
        <v>14</v>
      </c>
      <c r="B20" s="22">
        <f t="shared" si="8"/>
        <v>13030</v>
      </c>
      <c r="C20" s="35">
        <v>24570</v>
      </c>
      <c r="D20" s="35">
        <v>60690</v>
      </c>
      <c r="E20" s="35">
        <v>15160</v>
      </c>
      <c r="F20" s="35">
        <v>0</v>
      </c>
      <c r="G20" s="21">
        <f t="shared" si="9"/>
        <v>24570</v>
      </c>
      <c r="H20" s="22">
        <f t="shared" si="2"/>
        <v>75850</v>
      </c>
      <c r="I20" s="21">
        <v>0</v>
      </c>
      <c r="J20" s="21">
        <v>0</v>
      </c>
      <c r="K20" s="21">
        <v>0</v>
      </c>
      <c r="L20" s="21">
        <f t="shared" si="12"/>
        <v>100420</v>
      </c>
      <c r="M20" s="36">
        <v>87880</v>
      </c>
      <c r="N20" s="36">
        <v>12540</v>
      </c>
      <c r="O20" s="32">
        <f>+B20+L20</f>
        <v>113450</v>
      </c>
      <c r="P20" s="13">
        <f t="shared" si="3"/>
        <v>97770</v>
      </c>
      <c r="Q20" s="13">
        <v>0</v>
      </c>
      <c r="R20" s="104">
        <v>0</v>
      </c>
      <c r="S20" s="84">
        <v>0</v>
      </c>
      <c r="T20" s="33">
        <v>97770</v>
      </c>
      <c r="U20" s="70">
        <f t="shared" ref="U20:U37" si="13">+O20-T20</f>
        <v>15680</v>
      </c>
      <c r="V20" s="28" t="s">
        <v>46</v>
      </c>
      <c r="W20" s="34">
        <v>97500</v>
      </c>
      <c r="X20" s="105">
        <f t="shared" si="4"/>
        <v>0</v>
      </c>
      <c r="Y20" s="88">
        <f t="shared" si="5"/>
        <v>-270</v>
      </c>
      <c r="Z20" s="88">
        <f t="shared" si="6"/>
        <v>-270</v>
      </c>
      <c r="AA20" s="23">
        <v>6</v>
      </c>
      <c r="AB20" s="106"/>
      <c r="AC20" s="128">
        <f t="shared" si="7"/>
        <v>-0.27615833077631174</v>
      </c>
    </row>
    <row r="21" spans="1:32" ht="23.25" customHeight="1" x14ac:dyDescent="0.35">
      <c r="A21" s="20">
        <f t="shared" si="1"/>
        <v>15</v>
      </c>
      <c r="B21" s="22">
        <f>IF(V20="-",U20,V20)</f>
        <v>15680</v>
      </c>
      <c r="C21" s="35">
        <v>15530</v>
      </c>
      <c r="D21" s="35">
        <v>13770</v>
      </c>
      <c r="E21" s="35">
        <v>13410</v>
      </c>
      <c r="F21" s="35">
        <v>0</v>
      </c>
      <c r="G21" s="21">
        <f t="shared" si="9"/>
        <v>15530</v>
      </c>
      <c r="H21" s="22">
        <f t="shared" si="2"/>
        <v>27180</v>
      </c>
      <c r="I21" s="21">
        <v>0</v>
      </c>
      <c r="J21" s="21">
        <v>0</v>
      </c>
      <c r="K21" s="21">
        <v>0</v>
      </c>
      <c r="L21" s="21">
        <f t="shared" si="12"/>
        <v>42710</v>
      </c>
      <c r="M21" s="36">
        <v>42710</v>
      </c>
      <c r="N21" s="36">
        <v>0</v>
      </c>
      <c r="O21" s="32">
        <f t="shared" si="10"/>
        <v>58390</v>
      </c>
      <c r="P21" s="13">
        <f t="shared" si="3"/>
        <v>55370</v>
      </c>
      <c r="Q21" s="13">
        <v>0</v>
      </c>
      <c r="R21" s="104">
        <v>0</v>
      </c>
      <c r="S21" s="84">
        <v>0</v>
      </c>
      <c r="T21" s="33">
        <v>55370</v>
      </c>
      <c r="U21" s="70">
        <f t="shared" si="13"/>
        <v>3020</v>
      </c>
      <c r="V21" s="28">
        <v>2330</v>
      </c>
      <c r="W21" s="34">
        <v>55140</v>
      </c>
      <c r="X21" s="105">
        <f t="shared" si="4"/>
        <v>-690</v>
      </c>
      <c r="Y21" s="88">
        <f t="shared" si="5"/>
        <v>-230</v>
      </c>
      <c r="Z21" s="88">
        <f t="shared" si="6"/>
        <v>-920</v>
      </c>
      <c r="AA21" s="23">
        <v>3</v>
      </c>
      <c r="AB21" s="106"/>
      <c r="AC21" s="128">
        <f t="shared" si="7"/>
        <v>-0.41538739389561136</v>
      </c>
    </row>
    <row r="22" spans="1:32" ht="23.25" customHeight="1" x14ac:dyDescent="0.35">
      <c r="A22" s="20">
        <f t="shared" si="1"/>
        <v>16</v>
      </c>
      <c r="B22" s="22">
        <f t="shared" si="8"/>
        <v>2330</v>
      </c>
      <c r="C22" s="35">
        <v>23370</v>
      </c>
      <c r="D22" s="35">
        <v>49740</v>
      </c>
      <c r="E22" s="35">
        <v>18540</v>
      </c>
      <c r="F22" s="35">
        <v>0</v>
      </c>
      <c r="G22" s="21">
        <f t="shared" si="9"/>
        <v>23370</v>
      </c>
      <c r="H22" s="22">
        <f t="shared" si="2"/>
        <v>68280</v>
      </c>
      <c r="I22" s="21">
        <v>0</v>
      </c>
      <c r="J22" s="21">
        <v>0</v>
      </c>
      <c r="K22" s="21">
        <v>0</v>
      </c>
      <c r="L22" s="21">
        <f t="shared" si="12"/>
        <v>91650</v>
      </c>
      <c r="M22" s="36">
        <v>82670</v>
      </c>
      <c r="N22" s="36">
        <v>8980</v>
      </c>
      <c r="O22" s="32">
        <f t="shared" si="10"/>
        <v>93980</v>
      </c>
      <c r="P22" s="13">
        <f t="shared" si="3"/>
        <v>80480</v>
      </c>
      <c r="Q22" s="13">
        <v>0</v>
      </c>
      <c r="R22" s="13">
        <v>0</v>
      </c>
      <c r="S22" s="84">
        <v>0</v>
      </c>
      <c r="T22" s="33">
        <v>80480</v>
      </c>
      <c r="U22" s="70">
        <f t="shared" si="13"/>
        <v>13500</v>
      </c>
      <c r="V22" s="28">
        <v>13170</v>
      </c>
      <c r="W22" s="34">
        <v>80130</v>
      </c>
      <c r="X22" s="105">
        <f t="shared" si="4"/>
        <v>-330</v>
      </c>
      <c r="Y22" s="88">
        <f t="shared" si="5"/>
        <v>-350</v>
      </c>
      <c r="Z22" s="88">
        <f t="shared" si="6"/>
        <v>-680</v>
      </c>
      <c r="AA22" s="23">
        <v>5</v>
      </c>
      <c r="AB22" s="106"/>
      <c r="AC22" s="128">
        <f t="shared" si="7"/>
        <v>-0.43489065606361826</v>
      </c>
    </row>
    <row r="23" spans="1:32" ht="23.25" customHeight="1" x14ac:dyDescent="0.35">
      <c r="A23" s="20">
        <f t="shared" si="1"/>
        <v>17</v>
      </c>
      <c r="B23" s="22">
        <f t="shared" si="8"/>
        <v>13170</v>
      </c>
      <c r="C23" s="35">
        <v>25450</v>
      </c>
      <c r="D23" s="35">
        <v>56550</v>
      </c>
      <c r="E23" s="35">
        <v>27770</v>
      </c>
      <c r="F23" s="35">
        <v>0</v>
      </c>
      <c r="G23" s="21">
        <f t="shared" si="9"/>
        <v>25450</v>
      </c>
      <c r="H23" s="22">
        <f t="shared" si="2"/>
        <v>84320</v>
      </c>
      <c r="I23" s="21">
        <v>0</v>
      </c>
      <c r="J23" s="21">
        <v>0</v>
      </c>
      <c r="K23" s="21">
        <v>0</v>
      </c>
      <c r="L23" s="21">
        <f t="shared" si="12"/>
        <v>109770</v>
      </c>
      <c r="M23" s="36">
        <v>100380</v>
      </c>
      <c r="N23" s="36">
        <v>9390</v>
      </c>
      <c r="O23" s="32">
        <f t="shared" si="10"/>
        <v>122940</v>
      </c>
      <c r="P23" s="13">
        <f t="shared" si="3"/>
        <v>98570</v>
      </c>
      <c r="Q23" s="13">
        <v>0</v>
      </c>
      <c r="R23" s="13">
        <v>0</v>
      </c>
      <c r="S23" s="84">
        <v>0</v>
      </c>
      <c r="T23" s="33">
        <v>98570</v>
      </c>
      <c r="U23" s="70">
        <f t="shared" si="13"/>
        <v>24370</v>
      </c>
      <c r="V23" s="28">
        <v>23930</v>
      </c>
      <c r="W23" s="34">
        <v>98380</v>
      </c>
      <c r="X23" s="87">
        <f t="shared" si="4"/>
        <v>-440</v>
      </c>
      <c r="Y23" s="88">
        <f t="shared" si="5"/>
        <v>-190</v>
      </c>
      <c r="Z23" s="88">
        <f t="shared" si="6"/>
        <v>-630</v>
      </c>
      <c r="AA23" s="23">
        <v>5</v>
      </c>
      <c r="AB23" s="106"/>
      <c r="AC23" s="128">
        <f t="shared" si="7"/>
        <v>-0.19275641675966318</v>
      </c>
    </row>
    <row r="24" spans="1:32" ht="23.25" customHeight="1" x14ac:dyDescent="0.35">
      <c r="A24" s="20">
        <f t="shared" si="1"/>
        <v>18</v>
      </c>
      <c r="B24" s="22">
        <f t="shared" si="8"/>
        <v>23930</v>
      </c>
      <c r="C24" s="35">
        <v>19750</v>
      </c>
      <c r="D24" s="35">
        <v>54620</v>
      </c>
      <c r="E24" s="35">
        <v>36540</v>
      </c>
      <c r="F24" s="35">
        <v>0</v>
      </c>
      <c r="G24" s="21">
        <f t="shared" si="9"/>
        <v>19750</v>
      </c>
      <c r="H24" s="22">
        <f t="shared" si="2"/>
        <v>91160</v>
      </c>
      <c r="I24" s="21">
        <v>0</v>
      </c>
      <c r="J24" s="21">
        <v>0</v>
      </c>
      <c r="K24" s="21">
        <v>0</v>
      </c>
      <c r="L24" s="21">
        <f>SUM(G24:K24)</f>
        <v>110910</v>
      </c>
      <c r="M24" s="36">
        <v>102180</v>
      </c>
      <c r="N24" s="36">
        <v>8730</v>
      </c>
      <c r="O24" s="32">
        <f>+B24+L24</f>
        <v>134840</v>
      </c>
      <c r="P24" s="13">
        <f t="shared" si="3"/>
        <v>109190</v>
      </c>
      <c r="Q24" s="13">
        <v>0</v>
      </c>
      <c r="R24" s="13">
        <v>0</v>
      </c>
      <c r="S24" s="84">
        <v>0</v>
      </c>
      <c r="T24" s="33">
        <v>109190</v>
      </c>
      <c r="U24" s="70">
        <f t="shared" si="13"/>
        <v>25650</v>
      </c>
      <c r="V24" s="28">
        <v>25000</v>
      </c>
      <c r="W24" s="34">
        <v>108760</v>
      </c>
      <c r="X24" s="87">
        <f>IF(V24="-",0,V24-U24)</f>
        <v>-650</v>
      </c>
      <c r="Y24" s="88">
        <f t="shared" si="5"/>
        <v>-430</v>
      </c>
      <c r="Z24" s="88">
        <f t="shared" si="6"/>
        <v>-1080</v>
      </c>
      <c r="AA24" s="23">
        <v>8</v>
      </c>
      <c r="AB24" s="106"/>
      <c r="AC24" s="128">
        <f t="shared" si="7"/>
        <v>-0.39380895686418171</v>
      </c>
    </row>
    <row r="25" spans="1:32" ht="23.25" customHeight="1" x14ac:dyDescent="0.35">
      <c r="A25" s="20">
        <f t="shared" si="1"/>
        <v>19</v>
      </c>
      <c r="B25" s="22">
        <f t="shared" si="8"/>
        <v>25000</v>
      </c>
      <c r="C25" s="35">
        <v>22600</v>
      </c>
      <c r="D25" s="35">
        <v>37400</v>
      </c>
      <c r="E25" s="35">
        <v>21030</v>
      </c>
      <c r="F25" s="35">
        <v>0</v>
      </c>
      <c r="G25" s="21">
        <f t="shared" si="9"/>
        <v>22600</v>
      </c>
      <c r="H25" s="22">
        <f t="shared" si="2"/>
        <v>58430</v>
      </c>
      <c r="I25" s="21">
        <v>0</v>
      </c>
      <c r="J25" s="21">
        <v>0</v>
      </c>
      <c r="K25" s="21">
        <v>0</v>
      </c>
      <c r="L25" s="21">
        <f t="shared" si="12"/>
        <v>81030</v>
      </c>
      <c r="M25" s="36">
        <v>78020</v>
      </c>
      <c r="N25" s="36">
        <v>3010</v>
      </c>
      <c r="O25" s="32">
        <f>+B25+L25</f>
        <v>106030</v>
      </c>
      <c r="P25" s="13">
        <f t="shared" ref="P25:P37" si="14">+T25-Q25-R25-S25</f>
        <v>105850</v>
      </c>
      <c r="Q25" s="13">
        <v>0</v>
      </c>
      <c r="R25" s="13">
        <v>0</v>
      </c>
      <c r="S25" s="84">
        <v>0</v>
      </c>
      <c r="T25" s="33">
        <v>105850</v>
      </c>
      <c r="U25" s="70">
        <f t="shared" si="13"/>
        <v>180</v>
      </c>
      <c r="V25" s="28">
        <v>0</v>
      </c>
      <c r="W25" s="34">
        <v>105420</v>
      </c>
      <c r="X25" s="87">
        <f>IF(V25="-",0,V25-U25)</f>
        <v>-180</v>
      </c>
      <c r="Y25" s="88">
        <f t="shared" si="5"/>
        <v>-430</v>
      </c>
      <c r="Z25" s="88">
        <f t="shared" si="6"/>
        <v>-610</v>
      </c>
      <c r="AA25" s="23">
        <v>7</v>
      </c>
      <c r="AB25" s="106">
        <v>120</v>
      </c>
      <c r="AC25" s="128">
        <f t="shared" si="7"/>
        <v>-0.40623523854511101</v>
      </c>
      <c r="AD25" s="131" t="s">
        <v>47</v>
      </c>
    </row>
    <row r="26" spans="1:32" ht="23.25" customHeight="1" x14ac:dyDescent="0.35">
      <c r="A26" s="20">
        <f t="shared" si="1"/>
        <v>20</v>
      </c>
      <c r="B26" s="22">
        <f t="shared" si="8"/>
        <v>0</v>
      </c>
      <c r="C26" s="35">
        <v>27980</v>
      </c>
      <c r="D26" s="35">
        <v>48180</v>
      </c>
      <c r="E26" s="35">
        <v>21600</v>
      </c>
      <c r="F26" s="35">
        <v>0</v>
      </c>
      <c r="G26" s="21">
        <f t="shared" si="9"/>
        <v>27980</v>
      </c>
      <c r="H26" s="22">
        <f t="shared" si="2"/>
        <v>69780</v>
      </c>
      <c r="I26" s="21">
        <v>0</v>
      </c>
      <c r="J26" s="21">
        <v>0</v>
      </c>
      <c r="K26" s="21">
        <v>0</v>
      </c>
      <c r="L26" s="21">
        <f t="shared" si="12"/>
        <v>97760</v>
      </c>
      <c r="M26" s="36">
        <v>90810</v>
      </c>
      <c r="N26" s="36">
        <v>6950</v>
      </c>
      <c r="O26" s="32">
        <f t="shared" si="10"/>
        <v>97760</v>
      </c>
      <c r="P26" s="13">
        <f t="shared" si="14"/>
        <v>83910</v>
      </c>
      <c r="Q26" s="13">
        <v>0</v>
      </c>
      <c r="R26" s="13">
        <v>0</v>
      </c>
      <c r="S26" s="84">
        <v>0</v>
      </c>
      <c r="T26" s="33">
        <v>83910</v>
      </c>
      <c r="U26" s="70">
        <f t="shared" si="13"/>
        <v>13850</v>
      </c>
      <c r="V26" s="28">
        <v>13490</v>
      </c>
      <c r="W26" s="34">
        <v>83570</v>
      </c>
      <c r="X26" s="87">
        <f t="shared" si="4"/>
        <v>-360</v>
      </c>
      <c r="Y26" s="88">
        <f t="shared" si="5"/>
        <v>-340</v>
      </c>
      <c r="Z26" s="88">
        <f t="shared" si="6"/>
        <v>-700</v>
      </c>
      <c r="AA26" s="23">
        <v>5</v>
      </c>
      <c r="AB26" s="106"/>
      <c r="AC26" s="128">
        <f t="shared" si="7"/>
        <v>-0.40519604337981169</v>
      </c>
    </row>
    <row r="27" spans="1:32" ht="23.25" customHeight="1" x14ac:dyDescent="0.35">
      <c r="A27" s="20">
        <f t="shared" si="1"/>
        <v>21</v>
      </c>
      <c r="B27" s="22">
        <f t="shared" si="8"/>
        <v>13490</v>
      </c>
      <c r="C27" s="35">
        <v>19030</v>
      </c>
      <c r="D27" s="35">
        <v>43010</v>
      </c>
      <c r="E27" s="35">
        <v>20310</v>
      </c>
      <c r="F27" s="35">
        <v>0</v>
      </c>
      <c r="G27" s="21">
        <f t="shared" si="9"/>
        <v>19030</v>
      </c>
      <c r="H27" s="22">
        <f t="shared" si="2"/>
        <v>63320</v>
      </c>
      <c r="I27" s="21">
        <v>0</v>
      </c>
      <c r="J27" s="21">
        <v>0</v>
      </c>
      <c r="K27" s="21">
        <v>0</v>
      </c>
      <c r="L27" s="21">
        <f t="shared" si="12"/>
        <v>82350</v>
      </c>
      <c r="M27" s="36">
        <v>78490</v>
      </c>
      <c r="N27" s="36">
        <v>3860</v>
      </c>
      <c r="O27" s="32">
        <f t="shared" si="10"/>
        <v>95840</v>
      </c>
      <c r="P27" s="13">
        <f t="shared" si="14"/>
        <v>83700</v>
      </c>
      <c r="Q27" s="13">
        <v>0</v>
      </c>
      <c r="R27" s="13">
        <v>0</v>
      </c>
      <c r="S27" s="84">
        <v>0</v>
      </c>
      <c r="T27" s="33">
        <v>83700</v>
      </c>
      <c r="U27" s="70">
        <f t="shared" si="13"/>
        <v>12140</v>
      </c>
      <c r="V27" s="28" t="s">
        <v>46</v>
      </c>
      <c r="W27" s="34">
        <v>83410</v>
      </c>
      <c r="X27" s="87">
        <f t="shared" si="4"/>
        <v>0</v>
      </c>
      <c r="Y27" s="88">
        <f t="shared" si="5"/>
        <v>-290</v>
      </c>
      <c r="Z27" s="88">
        <f t="shared" si="6"/>
        <v>-290</v>
      </c>
      <c r="AA27" s="23">
        <v>6</v>
      </c>
      <c r="AB27" s="106"/>
      <c r="AC27" s="128">
        <f t="shared" si="7"/>
        <v>-0.34647550776583036</v>
      </c>
      <c r="AF27" s="103"/>
    </row>
    <row r="28" spans="1:32" ht="23.25" customHeight="1" x14ac:dyDescent="0.35">
      <c r="A28" s="20">
        <v>22</v>
      </c>
      <c r="B28" s="22">
        <f t="shared" si="8"/>
        <v>12140</v>
      </c>
      <c r="C28" s="35">
        <v>0</v>
      </c>
      <c r="D28" s="35">
        <v>12280</v>
      </c>
      <c r="E28" s="35">
        <v>0</v>
      </c>
      <c r="F28" s="35">
        <v>0</v>
      </c>
      <c r="G28" s="21">
        <f t="shared" si="9"/>
        <v>0</v>
      </c>
      <c r="H28" s="22">
        <f t="shared" si="2"/>
        <v>12280</v>
      </c>
      <c r="I28" s="21">
        <v>0</v>
      </c>
      <c r="J28" s="21">
        <v>0</v>
      </c>
      <c r="K28" s="21">
        <v>0</v>
      </c>
      <c r="L28" s="21">
        <f t="shared" si="12"/>
        <v>12280</v>
      </c>
      <c r="M28" s="36">
        <v>12280</v>
      </c>
      <c r="N28" s="36">
        <v>0</v>
      </c>
      <c r="O28" s="32">
        <f t="shared" si="10"/>
        <v>24420</v>
      </c>
      <c r="P28" s="13">
        <f t="shared" si="14"/>
        <v>21350</v>
      </c>
      <c r="Q28" s="13">
        <v>0</v>
      </c>
      <c r="R28" s="13">
        <v>0</v>
      </c>
      <c r="S28" s="84">
        <v>0</v>
      </c>
      <c r="T28" s="33">
        <v>21350</v>
      </c>
      <c r="U28" s="70">
        <f t="shared" si="13"/>
        <v>3070</v>
      </c>
      <c r="V28" s="28">
        <v>3220</v>
      </c>
      <c r="W28" s="34">
        <v>21320</v>
      </c>
      <c r="X28" s="87">
        <f>IF(V28="-",0,V28-U28)</f>
        <v>150</v>
      </c>
      <c r="Y28" s="88">
        <f>+W28-T28</f>
        <v>-30</v>
      </c>
      <c r="Z28" s="88">
        <f>+X28+Y28</f>
        <v>120</v>
      </c>
      <c r="AA28" s="23">
        <v>1</v>
      </c>
      <c r="AB28" s="106"/>
      <c r="AC28" s="128">
        <f t="shared" si="7"/>
        <v>-0.14051522248243559</v>
      </c>
    </row>
    <row r="29" spans="1:32" ht="23.25" customHeight="1" x14ac:dyDescent="0.35">
      <c r="A29" s="20">
        <f t="shared" si="1"/>
        <v>23</v>
      </c>
      <c r="B29" s="22">
        <f t="shared" si="8"/>
        <v>3220</v>
      </c>
      <c r="C29" s="35">
        <v>16270</v>
      </c>
      <c r="D29" s="35">
        <v>48720</v>
      </c>
      <c r="E29" s="35">
        <v>13810</v>
      </c>
      <c r="F29" s="35">
        <v>0</v>
      </c>
      <c r="G29" s="21">
        <f t="shared" si="9"/>
        <v>16270</v>
      </c>
      <c r="H29" s="22">
        <f t="shared" si="2"/>
        <v>62530</v>
      </c>
      <c r="I29" s="21">
        <v>0</v>
      </c>
      <c r="J29" s="21">
        <v>0</v>
      </c>
      <c r="K29" s="21">
        <v>0</v>
      </c>
      <c r="L29" s="21">
        <f t="shared" si="12"/>
        <v>78800</v>
      </c>
      <c r="M29" s="36">
        <v>70240</v>
      </c>
      <c r="N29" s="36">
        <v>8560</v>
      </c>
      <c r="O29" s="32">
        <f t="shared" si="10"/>
        <v>82020</v>
      </c>
      <c r="P29" s="13">
        <f t="shared" si="14"/>
        <v>70040</v>
      </c>
      <c r="Q29" s="13">
        <v>0</v>
      </c>
      <c r="R29" s="13">
        <v>0</v>
      </c>
      <c r="S29" s="84">
        <v>0</v>
      </c>
      <c r="T29" s="33">
        <v>70040</v>
      </c>
      <c r="U29" s="70">
        <f>+O29-T29</f>
        <v>11980</v>
      </c>
      <c r="V29" s="28">
        <v>11660</v>
      </c>
      <c r="W29" s="34">
        <v>69760</v>
      </c>
      <c r="X29" s="87">
        <f>IF(V29="-",0,V29-U29)</f>
        <v>-320</v>
      </c>
      <c r="Y29" s="88">
        <f>+W29-T29</f>
        <v>-280</v>
      </c>
      <c r="Z29" s="88">
        <f>+X29+Y29</f>
        <v>-600</v>
      </c>
      <c r="AA29" s="23">
        <v>4</v>
      </c>
      <c r="AB29" s="106"/>
      <c r="AC29" s="128">
        <f t="shared" si="7"/>
        <v>-0.39977155910908052</v>
      </c>
    </row>
    <row r="30" spans="1:32" ht="23.25" customHeight="1" x14ac:dyDescent="0.35">
      <c r="A30" s="20">
        <f t="shared" si="1"/>
        <v>24</v>
      </c>
      <c r="B30" s="22">
        <f t="shared" si="8"/>
        <v>11660</v>
      </c>
      <c r="C30" s="35">
        <v>16320</v>
      </c>
      <c r="D30" s="35">
        <v>53050</v>
      </c>
      <c r="E30" s="35">
        <v>16950</v>
      </c>
      <c r="F30" s="35">
        <v>0</v>
      </c>
      <c r="G30" s="21">
        <f t="shared" si="9"/>
        <v>16320</v>
      </c>
      <c r="H30" s="22">
        <f t="shared" si="2"/>
        <v>70000</v>
      </c>
      <c r="I30" s="21">
        <v>0</v>
      </c>
      <c r="J30" s="21">
        <v>0</v>
      </c>
      <c r="K30" s="21">
        <v>0</v>
      </c>
      <c r="L30" s="21">
        <f>SUM(G30:K30)</f>
        <v>86320</v>
      </c>
      <c r="M30" s="36">
        <v>71910</v>
      </c>
      <c r="N30" s="36">
        <v>14410</v>
      </c>
      <c r="O30" s="32">
        <f>+B30+L30</f>
        <v>97980</v>
      </c>
      <c r="P30" s="13">
        <f>+T30-Q30-R30-S30</f>
        <v>83360</v>
      </c>
      <c r="Q30" s="13">
        <v>0</v>
      </c>
      <c r="R30" s="13">
        <v>0</v>
      </c>
      <c r="S30" s="84">
        <v>0</v>
      </c>
      <c r="T30" s="33">
        <v>83360</v>
      </c>
      <c r="U30" s="70">
        <f t="shared" si="13"/>
        <v>14620</v>
      </c>
      <c r="V30" s="28">
        <v>14240</v>
      </c>
      <c r="W30" s="34">
        <v>83070</v>
      </c>
      <c r="X30" s="87">
        <f>IF(V30="-",0,V30-U30)</f>
        <v>-380</v>
      </c>
      <c r="Y30" s="88">
        <f>+W30-T30</f>
        <v>-290</v>
      </c>
      <c r="Z30" s="88">
        <f>+X30+Y30</f>
        <v>-670</v>
      </c>
      <c r="AA30" s="23">
        <v>5</v>
      </c>
      <c r="AB30" s="106"/>
      <c r="AC30" s="128">
        <f t="shared" si="7"/>
        <v>-0.34788867562380038</v>
      </c>
    </row>
    <row r="31" spans="1:32" ht="23.25" customHeight="1" x14ac:dyDescent="0.35">
      <c r="A31" s="20">
        <f t="shared" si="1"/>
        <v>25</v>
      </c>
      <c r="B31" s="22">
        <f t="shared" si="8"/>
        <v>14240</v>
      </c>
      <c r="C31" s="35">
        <v>8490</v>
      </c>
      <c r="D31" s="35">
        <v>42290</v>
      </c>
      <c r="E31" s="35">
        <v>11380</v>
      </c>
      <c r="F31" s="35">
        <v>0</v>
      </c>
      <c r="G31" s="21">
        <f t="shared" si="9"/>
        <v>8490</v>
      </c>
      <c r="H31" s="22">
        <f t="shared" si="2"/>
        <v>53670</v>
      </c>
      <c r="I31" s="21">
        <v>0</v>
      </c>
      <c r="J31" s="21">
        <v>0</v>
      </c>
      <c r="K31" s="21">
        <v>0</v>
      </c>
      <c r="L31" s="21">
        <f>SUM(G31:K31)</f>
        <v>62160</v>
      </c>
      <c r="M31" s="36">
        <v>50160</v>
      </c>
      <c r="N31" s="36">
        <v>12000</v>
      </c>
      <c r="O31" s="32">
        <f>+B31+L31</f>
        <v>76400</v>
      </c>
      <c r="P31" s="13">
        <f t="shared" si="14"/>
        <v>55290</v>
      </c>
      <c r="Q31" s="13">
        <v>0</v>
      </c>
      <c r="R31" s="13">
        <v>0</v>
      </c>
      <c r="S31" s="84">
        <v>0</v>
      </c>
      <c r="T31" s="33">
        <v>55290</v>
      </c>
      <c r="U31" s="70">
        <f t="shared" si="13"/>
        <v>21110</v>
      </c>
      <c r="V31" s="28">
        <v>20690</v>
      </c>
      <c r="W31" s="34">
        <v>54890</v>
      </c>
      <c r="X31" s="87">
        <f t="shared" si="4"/>
        <v>-420</v>
      </c>
      <c r="Y31" s="88">
        <f t="shared" si="5"/>
        <v>-400</v>
      </c>
      <c r="Z31" s="88">
        <f t="shared" si="6"/>
        <v>-820</v>
      </c>
      <c r="AA31" s="23">
        <v>3</v>
      </c>
      <c r="AB31" s="106">
        <v>210</v>
      </c>
      <c r="AC31" s="128">
        <f t="shared" si="7"/>
        <v>-0.72345812986073432</v>
      </c>
      <c r="AD31" s="132" t="s">
        <v>48</v>
      </c>
      <c r="AE31" s="12" t="s">
        <v>39</v>
      </c>
    </row>
    <row r="32" spans="1:32" ht="23.25" customHeight="1" x14ac:dyDescent="0.35">
      <c r="A32" s="20">
        <f t="shared" si="1"/>
        <v>26</v>
      </c>
      <c r="B32" s="22">
        <f t="shared" si="8"/>
        <v>20690</v>
      </c>
      <c r="C32" s="35">
        <v>34770</v>
      </c>
      <c r="D32" s="35">
        <v>54990</v>
      </c>
      <c r="E32" s="35">
        <v>13730</v>
      </c>
      <c r="F32" s="35">
        <v>0</v>
      </c>
      <c r="G32" s="21">
        <f t="shared" si="9"/>
        <v>34770</v>
      </c>
      <c r="H32" s="22">
        <f t="shared" si="2"/>
        <v>68720</v>
      </c>
      <c r="I32" s="21">
        <v>0</v>
      </c>
      <c r="J32" s="21">
        <v>0</v>
      </c>
      <c r="K32" s="21">
        <v>0</v>
      </c>
      <c r="L32" s="21">
        <f>SUM(G32:K32)</f>
        <v>103490</v>
      </c>
      <c r="M32" s="36">
        <v>87500</v>
      </c>
      <c r="N32" s="36">
        <v>15990</v>
      </c>
      <c r="O32" s="32">
        <f>+B32+L32</f>
        <v>124180</v>
      </c>
      <c r="P32" s="13">
        <f t="shared" si="14"/>
        <v>111470</v>
      </c>
      <c r="Q32" s="13">
        <v>0</v>
      </c>
      <c r="R32" s="13">
        <v>0</v>
      </c>
      <c r="S32" s="84">
        <v>0</v>
      </c>
      <c r="T32" s="33">
        <v>111470</v>
      </c>
      <c r="U32" s="70">
        <f t="shared" si="13"/>
        <v>12710</v>
      </c>
      <c r="V32" s="28">
        <v>12300</v>
      </c>
      <c r="W32" s="34">
        <v>111070</v>
      </c>
      <c r="X32" s="87">
        <f t="shared" si="4"/>
        <v>-410</v>
      </c>
      <c r="Y32" s="88">
        <f t="shared" si="5"/>
        <v>-400</v>
      </c>
      <c r="Z32" s="88">
        <f t="shared" si="6"/>
        <v>-810</v>
      </c>
      <c r="AA32" s="23">
        <v>6</v>
      </c>
      <c r="AB32" s="106"/>
      <c r="AC32" s="128">
        <f t="shared" si="7"/>
        <v>-0.35884094375168207</v>
      </c>
    </row>
    <row r="33" spans="1:30" ht="23.25" customHeight="1" x14ac:dyDescent="0.35">
      <c r="A33" s="20">
        <f t="shared" si="1"/>
        <v>27</v>
      </c>
      <c r="B33" s="22">
        <f t="shared" si="8"/>
        <v>12300</v>
      </c>
      <c r="C33" s="35">
        <v>23870</v>
      </c>
      <c r="D33" s="35">
        <v>41700</v>
      </c>
      <c r="E33" s="35">
        <v>16570</v>
      </c>
      <c r="F33" s="35">
        <v>1550</v>
      </c>
      <c r="G33" s="21">
        <f t="shared" si="9"/>
        <v>23870</v>
      </c>
      <c r="H33" s="22">
        <f t="shared" si="2"/>
        <v>59820</v>
      </c>
      <c r="I33" s="21">
        <v>0</v>
      </c>
      <c r="J33" s="21">
        <v>0</v>
      </c>
      <c r="K33" s="21">
        <v>0</v>
      </c>
      <c r="L33" s="21">
        <f>SUM(G33:K33)</f>
        <v>83690</v>
      </c>
      <c r="M33" s="36">
        <v>79980</v>
      </c>
      <c r="N33" s="36">
        <v>3710</v>
      </c>
      <c r="O33" s="32">
        <f>+B33+L33</f>
        <v>95990</v>
      </c>
      <c r="P33" s="13">
        <f t="shared" si="14"/>
        <v>69410</v>
      </c>
      <c r="Q33" s="13">
        <v>0</v>
      </c>
      <c r="R33" s="13">
        <v>0</v>
      </c>
      <c r="S33" s="84">
        <v>0</v>
      </c>
      <c r="T33" s="33">
        <v>69410</v>
      </c>
      <c r="U33" s="70">
        <f t="shared" si="13"/>
        <v>26580</v>
      </c>
      <c r="V33" s="28">
        <v>26010</v>
      </c>
      <c r="W33" s="34">
        <v>69120</v>
      </c>
      <c r="X33" s="87">
        <f t="shared" si="4"/>
        <v>-570</v>
      </c>
      <c r="Y33" s="88">
        <f t="shared" si="5"/>
        <v>-290</v>
      </c>
      <c r="Z33" s="88">
        <f t="shared" si="6"/>
        <v>-860</v>
      </c>
      <c r="AA33" s="23">
        <v>4</v>
      </c>
      <c r="AB33" s="106"/>
      <c r="AC33" s="128">
        <f t="shared" si="7"/>
        <v>-0.41780723238726408</v>
      </c>
    </row>
    <row r="34" spans="1:30" ht="23.25" customHeight="1" x14ac:dyDescent="0.35">
      <c r="A34" s="20">
        <f t="shared" si="1"/>
        <v>28</v>
      </c>
      <c r="B34" s="22">
        <f t="shared" si="8"/>
        <v>26010</v>
      </c>
      <c r="C34" s="35">
        <v>36940</v>
      </c>
      <c r="D34" s="35">
        <v>58390</v>
      </c>
      <c r="E34" s="35">
        <v>12580</v>
      </c>
      <c r="F34" s="35">
        <v>0</v>
      </c>
      <c r="G34" s="21">
        <f t="shared" si="9"/>
        <v>36940</v>
      </c>
      <c r="H34" s="22">
        <f t="shared" si="2"/>
        <v>70970</v>
      </c>
      <c r="I34" s="21">
        <v>0</v>
      </c>
      <c r="J34" s="21">
        <v>0</v>
      </c>
      <c r="K34" s="21">
        <v>0</v>
      </c>
      <c r="L34" s="21">
        <f t="shared" si="12"/>
        <v>107910</v>
      </c>
      <c r="M34" s="36">
        <v>100140</v>
      </c>
      <c r="N34" s="36">
        <v>7770</v>
      </c>
      <c r="O34" s="32">
        <f t="shared" si="10"/>
        <v>133920</v>
      </c>
      <c r="P34" s="13">
        <f t="shared" si="14"/>
        <v>122640</v>
      </c>
      <c r="Q34" s="13">
        <v>0</v>
      </c>
      <c r="R34" s="13">
        <v>0</v>
      </c>
      <c r="S34" s="84">
        <v>0</v>
      </c>
      <c r="T34" s="33">
        <v>122640</v>
      </c>
      <c r="U34" s="70">
        <f t="shared" si="13"/>
        <v>11280</v>
      </c>
      <c r="V34" s="28" t="s">
        <v>46</v>
      </c>
      <c r="W34" s="34">
        <v>122260</v>
      </c>
      <c r="X34" s="87">
        <f>IF(V34="-",0,V34-U34)</f>
        <v>0</v>
      </c>
      <c r="Y34" s="88">
        <f t="shared" si="5"/>
        <v>-380</v>
      </c>
      <c r="Z34" s="88">
        <f t="shared" si="6"/>
        <v>-380</v>
      </c>
      <c r="AA34" s="23">
        <v>7</v>
      </c>
      <c r="AB34" s="106"/>
      <c r="AC34" s="128">
        <f t="shared" si="7"/>
        <v>-0.30984996738421394</v>
      </c>
    </row>
    <row r="35" spans="1:30" ht="23.25" customHeight="1" x14ac:dyDescent="0.35">
      <c r="A35" s="20">
        <f t="shared" si="1"/>
        <v>29</v>
      </c>
      <c r="B35" s="22">
        <f t="shared" si="8"/>
        <v>11280</v>
      </c>
      <c r="C35" s="35">
        <v>17790</v>
      </c>
      <c r="D35" s="35">
        <v>18160</v>
      </c>
      <c r="E35" s="35">
        <v>0</v>
      </c>
      <c r="F35" s="35">
        <v>0</v>
      </c>
      <c r="G35" s="21">
        <f t="shared" si="9"/>
        <v>17790</v>
      </c>
      <c r="H35" s="22">
        <f t="shared" si="2"/>
        <v>18160</v>
      </c>
      <c r="I35" s="21">
        <v>0</v>
      </c>
      <c r="J35" s="21">
        <v>0</v>
      </c>
      <c r="K35" s="21">
        <v>0</v>
      </c>
      <c r="L35" s="21">
        <f>SUM(G35:K35)</f>
        <v>35950</v>
      </c>
      <c r="M35" s="36">
        <v>35950</v>
      </c>
      <c r="N35" s="36">
        <v>0</v>
      </c>
      <c r="O35" s="32">
        <f t="shared" si="10"/>
        <v>47230</v>
      </c>
      <c r="P35" s="13">
        <f t="shared" si="14"/>
        <v>42190</v>
      </c>
      <c r="Q35" s="13">
        <v>0</v>
      </c>
      <c r="R35" s="13">
        <v>0</v>
      </c>
      <c r="S35" s="84">
        <v>0</v>
      </c>
      <c r="T35" s="33">
        <v>42190</v>
      </c>
      <c r="U35" s="70">
        <f t="shared" si="13"/>
        <v>5040</v>
      </c>
      <c r="V35" s="28">
        <v>4770</v>
      </c>
      <c r="W35" s="34">
        <v>42010</v>
      </c>
      <c r="X35" s="87">
        <f t="shared" si="4"/>
        <v>-270</v>
      </c>
      <c r="Y35" s="88">
        <f t="shared" si="5"/>
        <v>-180</v>
      </c>
      <c r="Z35" s="88">
        <f t="shared" si="6"/>
        <v>-450</v>
      </c>
      <c r="AA35" s="23">
        <v>3</v>
      </c>
      <c r="AB35" s="106"/>
      <c r="AC35" s="128">
        <f t="shared" si="7"/>
        <v>-0.42664138421426878</v>
      </c>
    </row>
    <row r="36" spans="1:30" ht="23.25" customHeight="1" x14ac:dyDescent="0.35">
      <c r="A36" s="20">
        <f t="shared" si="1"/>
        <v>30</v>
      </c>
      <c r="B36" s="22">
        <f t="shared" si="8"/>
        <v>4770</v>
      </c>
      <c r="C36" s="35">
        <v>46450</v>
      </c>
      <c r="D36" s="35">
        <v>39870</v>
      </c>
      <c r="E36" s="35">
        <v>5800</v>
      </c>
      <c r="F36" s="35">
        <v>0</v>
      </c>
      <c r="G36" s="21">
        <f t="shared" si="9"/>
        <v>46450</v>
      </c>
      <c r="H36" s="22">
        <f t="shared" si="2"/>
        <v>45670</v>
      </c>
      <c r="I36" s="21">
        <v>0</v>
      </c>
      <c r="J36" s="21">
        <v>0</v>
      </c>
      <c r="K36" s="21">
        <v>0</v>
      </c>
      <c r="L36" s="21">
        <f t="shared" si="12"/>
        <v>92120</v>
      </c>
      <c r="M36" s="36">
        <v>77890</v>
      </c>
      <c r="N36" s="36">
        <v>14230</v>
      </c>
      <c r="O36" s="32">
        <f t="shared" si="10"/>
        <v>96890</v>
      </c>
      <c r="P36" s="13">
        <f t="shared" si="14"/>
        <v>80720</v>
      </c>
      <c r="Q36" s="13">
        <v>0</v>
      </c>
      <c r="R36" s="13">
        <v>0</v>
      </c>
      <c r="S36" s="84">
        <v>0</v>
      </c>
      <c r="T36" s="33">
        <v>80720</v>
      </c>
      <c r="U36" s="70">
        <f>+O36-T36</f>
        <v>16170</v>
      </c>
      <c r="V36" s="28">
        <v>16540</v>
      </c>
      <c r="W36" s="34">
        <v>80460</v>
      </c>
      <c r="X36" s="87">
        <f t="shared" si="4"/>
        <v>370</v>
      </c>
      <c r="Y36" s="88">
        <f t="shared" si="5"/>
        <v>-260</v>
      </c>
      <c r="Z36" s="88">
        <f>+X36+Y36</f>
        <v>110</v>
      </c>
      <c r="AA36" s="23">
        <v>5</v>
      </c>
      <c r="AB36" s="106"/>
      <c r="AC36" s="128">
        <f t="shared" si="7"/>
        <v>-0.32210109018830524</v>
      </c>
    </row>
    <row r="37" spans="1:30" ht="23.25" customHeight="1" outlineLevel="1" x14ac:dyDescent="0.35">
      <c r="A37" s="20">
        <v>31</v>
      </c>
      <c r="B37" s="22">
        <f t="shared" si="8"/>
        <v>16540</v>
      </c>
      <c r="C37" s="35">
        <v>25150</v>
      </c>
      <c r="D37" s="35">
        <v>35020</v>
      </c>
      <c r="E37" s="35">
        <v>8300</v>
      </c>
      <c r="F37" s="35">
        <v>0</v>
      </c>
      <c r="G37" s="21">
        <f t="shared" si="9"/>
        <v>25150</v>
      </c>
      <c r="H37" s="22">
        <f t="shared" si="2"/>
        <v>43320</v>
      </c>
      <c r="I37" s="21">
        <v>0</v>
      </c>
      <c r="J37" s="21">
        <v>0</v>
      </c>
      <c r="K37" s="21">
        <v>0</v>
      </c>
      <c r="L37" s="21">
        <f t="shared" si="12"/>
        <v>68470</v>
      </c>
      <c r="M37" s="36">
        <v>64670</v>
      </c>
      <c r="N37" s="36">
        <v>3800</v>
      </c>
      <c r="O37" s="32">
        <f t="shared" si="10"/>
        <v>85010</v>
      </c>
      <c r="P37" s="13">
        <f t="shared" si="14"/>
        <v>80930</v>
      </c>
      <c r="Q37" s="13">
        <v>0</v>
      </c>
      <c r="R37" s="13">
        <v>0</v>
      </c>
      <c r="S37" s="84">
        <v>0</v>
      </c>
      <c r="T37" s="33">
        <v>80930</v>
      </c>
      <c r="U37" s="70">
        <f t="shared" si="13"/>
        <v>4080</v>
      </c>
      <c r="V37" s="28">
        <v>4220</v>
      </c>
      <c r="W37" s="34">
        <v>80590</v>
      </c>
      <c r="X37" s="87">
        <f t="shared" si="4"/>
        <v>140</v>
      </c>
      <c r="Y37" s="87">
        <f>+W37-T37</f>
        <v>-340</v>
      </c>
      <c r="Z37" s="88">
        <f>+X37+Y37</f>
        <v>-200</v>
      </c>
      <c r="AA37" s="23">
        <v>6</v>
      </c>
      <c r="AB37" s="106">
        <v>30</v>
      </c>
      <c r="AC37" s="128">
        <f t="shared" si="7"/>
        <v>-0.42011614975905104</v>
      </c>
      <c r="AD37" s="131" t="s">
        <v>49</v>
      </c>
    </row>
    <row r="38" spans="1:30" s="24" customFormat="1" ht="23.25" customHeight="1" x14ac:dyDescent="0.35">
      <c r="A38" s="54" t="s">
        <v>6</v>
      </c>
      <c r="B38" s="55">
        <f>+B7</f>
        <v>25330</v>
      </c>
      <c r="C38" s="38">
        <f>SUM(C7:C37)</f>
        <v>720000</v>
      </c>
      <c r="D38" s="38">
        <f>SUM(D7:D37)</f>
        <v>1242030</v>
      </c>
      <c r="E38" s="38">
        <f t="shared" ref="E38:K38" si="15">SUM(E7:E37)</f>
        <v>489750</v>
      </c>
      <c r="F38" s="38">
        <f>SUM(F7:F37)</f>
        <v>1550</v>
      </c>
      <c r="G38" s="38">
        <f>SUM(G7:G37)</f>
        <v>720000</v>
      </c>
      <c r="H38" s="38">
        <f t="shared" si="15"/>
        <v>1733330</v>
      </c>
      <c r="I38" s="38">
        <f t="shared" si="15"/>
        <v>0</v>
      </c>
      <c r="J38" s="38">
        <f t="shared" si="15"/>
        <v>0</v>
      </c>
      <c r="K38" s="38">
        <f t="shared" si="15"/>
        <v>0</v>
      </c>
      <c r="L38" s="55">
        <f>SUM(L7:L37)</f>
        <v>2453330</v>
      </c>
      <c r="M38" s="37">
        <f>SUM(M7:M37)</f>
        <v>2232400</v>
      </c>
      <c r="N38" s="37">
        <f>SUM(N7:N37)</f>
        <v>220930</v>
      </c>
      <c r="O38" s="56">
        <f>+B38+L38</f>
        <v>2478660</v>
      </c>
      <c r="P38" s="55">
        <f>SUM(P7:P37)</f>
        <v>2464400</v>
      </c>
      <c r="Q38" s="55">
        <f>SUM(Q7:Q37)</f>
        <v>0</v>
      </c>
      <c r="R38" s="55">
        <f>SUM(R7:R37)</f>
        <v>0</v>
      </c>
      <c r="S38" s="55">
        <f>SUM(S7:S37)</f>
        <v>0</v>
      </c>
      <c r="T38" s="55">
        <f>SUM(T7:T37)</f>
        <v>2464400</v>
      </c>
      <c r="U38" s="55">
        <f>+O38-T38</f>
        <v>14260</v>
      </c>
      <c r="V38" s="57">
        <f>+V37</f>
        <v>4220</v>
      </c>
      <c r="W38" s="55">
        <f t="shared" ref="W38:AB38" si="16">SUM(W7:W37)</f>
        <v>2456500</v>
      </c>
      <c r="X38" s="55">
        <f t="shared" si="16"/>
        <v>-10040</v>
      </c>
      <c r="Y38" s="55">
        <f>SUM(Y7:Y37)</f>
        <v>-7900</v>
      </c>
      <c r="Z38" s="56">
        <f t="shared" si="16"/>
        <v>-17940</v>
      </c>
      <c r="AA38" s="54">
        <f t="shared" si="16"/>
        <v>134</v>
      </c>
      <c r="AB38" s="54">
        <f t="shared" si="16"/>
        <v>360</v>
      </c>
      <c r="AC38" s="129">
        <f>AB38*100/T38</f>
        <v>1.4608018178867067E-2</v>
      </c>
    </row>
    <row r="39" spans="1:30" s="14" customFormat="1" ht="23.25" customHeight="1" x14ac:dyDescent="0.35">
      <c r="A39" s="133" t="s">
        <v>23</v>
      </c>
      <c r="B39" s="134"/>
      <c r="C39" s="58">
        <f>+C38/$A$36</f>
        <v>24000</v>
      </c>
      <c r="D39" s="58">
        <f t="shared" ref="D39:I39" si="17">+D38/$A$36</f>
        <v>41401</v>
      </c>
      <c r="E39" s="58">
        <f t="shared" si="17"/>
        <v>16325</v>
      </c>
      <c r="F39" s="58">
        <f>+F38/$A$36</f>
        <v>51.666666666666664</v>
      </c>
      <c r="G39" s="58">
        <f>+G38/$A$36</f>
        <v>24000</v>
      </c>
      <c r="H39" s="59">
        <f t="shared" si="17"/>
        <v>57777.666666666664</v>
      </c>
      <c r="I39" s="59">
        <f t="shared" si="17"/>
        <v>0</v>
      </c>
      <c r="J39" s="59">
        <f t="shared" ref="J39:W39" si="18">+J38/$A$36</f>
        <v>0</v>
      </c>
      <c r="K39" s="59">
        <f t="shared" si="18"/>
        <v>0</v>
      </c>
      <c r="L39" s="59">
        <f t="shared" si="18"/>
        <v>81777.666666666672</v>
      </c>
      <c r="M39" s="59">
        <f t="shared" si="18"/>
        <v>74413.333333333328</v>
      </c>
      <c r="N39" s="59">
        <f t="shared" si="18"/>
        <v>7364.333333333333</v>
      </c>
      <c r="O39" s="59">
        <f t="shared" si="18"/>
        <v>82622</v>
      </c>
      <c r="P39" s="59">
        <f t="shared" si="18"/>
        <v>82146.666666666672</v>
      </c>
      <c r="Q39" s="59">
        <f t="shared" si="18"/>
        <v>0</v>
      </c>
      <c r="R39" s="59">
        <f t="shared" si="18"/>
        <v>0</v>
      </c>
      <c r="S39" s="59">
        <f t="shared" si="18"/>
        <v>0</v>
      </c>
      <c r="T39" s="59">
        <f t="shared" si="18"/>
        <v>82146.666666666672</v>
      </c>
      <c r="U39" s="59">
        <f>+U38/$A$36</f>
        <v>475.33333333333331</v>
      </c>
      <c r="V39" s="60">
        <f>+V38</f>
        <v>4220</v>
      </c>
      <c r="W39" s="59">
        <f t="shared" si="18"/>
        <v>81883.333333333328</v>
      </c>
      <c r="X39" s="99">
        <f>+X38*100/O38</f>
        <v>-0.40505757142972415</v>
      </c>
      <c r="Y39" s="99">
        <f>+Y38*100/T38</f>
        <v>-0.32056484336958285</v>
      </c>
      <c r="Z39" s="99">
        <f>+Z38*100/(O38)</f>
        <v>-0.7237781704630728</v>
      </c>
      <c r="AA39" s="61">
        <f>+AA38/A36</f>
        <v>4.4666666666666668</v>
      </c>
      <c r="AB39" s="61"/>
      <c r="AD39" s="53"/>
    </row>
    <row r="41" spans="1:30" x14ac:dyDescent="0.35">
      <c r="A41" s="123"/>
      <c r="B41" s="124"/>
    </row>
    <row r="42" spans="1:30" x14ac:dyDescent="0.35">
      <c r="A42" s="123"/>
      <c r="B42" s="124"/>
    </row>
  </sheetData>
  <mergeCells count="16">
    <mergeCell ref="AB5:AB6"/>
    <mergeCell ref="A5:A6"/>
    <mergeCell ref="B5:B6"/>
    <mergeCell ref="L5:L6"/>
    <mergeCell ref="M5:N5"/>
    <mergeCell ref="C5:H5"/>
    <mergeCell ref="I5:K5"/>
    <mergeCell ref="AA5:AA6"/>
    <mergeCell ref="P5:S5"/>
    <mergeCell ref="T5:T6"/>
    <mergeCell ref="W5:W6"/>
    <mergeCell ref="A39:B39"/>
    <mergeCell ref="U5:U6"/>
    <mergeCell ref="O5:O6"/>
    <mergeCell ref="V5:V6"/>
    <mergeCell ref="X5:Z5"/>
  </mergeCells>
  <pageMargins left="0.28999999999999998" right="0.11811023622047245" top="0.31496062992125984" bottom="0.19685039370078741" header="0.11811023622047245" footer="0.11811023622047245"/>
  <pageSetup paperSize="9" scale="75" orientation="landscape" r:id="rId1"/>
  <headerFooter>
    <oddHeader>&amp;R&amp;P/&amp;N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42"/>
  <sheetViews>
    <sheetView zoomScale="90" zoomScaleNormal="90" workbookViewId="0">
      <pane xSplit="1" ySplit="6" topLeftCell="B28" activePane="bottomRight" state="frozen"/>
      <selection pane="topRight" activeCell="B1" sqref="B1"/>
      <selection pane="bottomLeft" activeCell="A8" sqref="A8"/>
      <selection pane="bottomRight" activeCell="AB5" sqref="AB5"/>
    </sheetView>
  </sheetViews>
  <sheetFormatPr defaultRowHeight="21" outlineLevelCol="1" x14ac:dyDescent="0.35"/>
  <cols>
    <col min="1" max="1" width="6.5" style="12" customWidth="1"/>
    <col min="2" max="2" width="10" style="8" customWidth="1"/>
    <col min="3" max="3" width="9.875" style="8" hidden="1" customWidth="1" outlineLevel="1"/>
    <col min="4" max="4" width="11" style="8" hidden="1" customWidth="1" outlineLevel="1"/>
    <col min="5" max="5" width="9.875" style="8" hidden="1" customWidth="1" outlineLevel="1"/>
    <col min="6" max="6" width="11.75" style="8" hidden="1" customWidth="1" outlineLevel="1" collapsed="1"/>
    <col min="7" max="7" width="11.75" style="8" hidden="1" customWidth="1" outlineLevel="1"/>
    <col min="8" max="8" width="10" style="8" bestFit="1" customWidth="1" collapsed="1"/>
    <col min="9" max="9" width="10.75" style="8" customWidth="1"/>
    <col min="10" max="10" width="12.75" style="8" customWidth="1"/>
    <col min="11" max="11" width="10.375" style="4" hidden="1" customWidth="1" outlineLevel="1"/>
    <col min="12" max="12" width="9.875" style="4" hidden="1" customWidth="1" outlineLevel="1"/>
    <col min="13" max="13" width="13.5" style="8" customWidth="1" collapsed="1"/>
    <col min="14" max="15" width="11.75" style="8" hidden="1" customWidth="1" outlineLevel="1"/>
    <col min="16" max="16" width="11" style="8" customWidth="1" collapsed="1"/>
    <col min="17" max="17" width="10.625" style="8" customWidth="1"/>
    <col min="18" max="18" width="13.625" style="94" customWidth="1"/>
    <col min="19" max="19" width="11.875" style="8" customWidth="1"/>
    <col min="20" max="20" width="10.875" style="40" customWidth="1"/>
    <col min="21" max="21" width="11.75" style="8" customWidth="1"/>
    <col min="22" max="22" width="9.625" style="31" customWidth="1"/>
    <col min="23" max="23" width="10.125" style="31" customWidth="1"/>
    <col min="24" max="24" width="10" style="31" customWidth="1"/>
    <col min="25" max="25" width="9.375" style="18" customWidth="1" outlineLevel="1"/>
    <col min="26" max="26" width="9" style="12" customWidth="1" outlineLevel="1"/>
    <col min="27" max="27" width="9" style="12"/>
    <col min="28" max="28" width="12.25" style="12" customWidth="1"/>
    <col min="29" max="16384" width="9" style="12"/>
  </cols>
  <sheetData>
    <row r="1" spans="1:28" s="14" customFormat="1" x14ac:dyDescent="0.35">
      <c r="A1" s="14" t="s">
        <v>0</v>
      </c>
      <c r="B1" s="9"/>
      <c r="C1" s="9"/>
      <c r="D1" s="9"/>
      <c r="E1" s="9"/>
      <c r="F1" s="8"/>
      <c r="G1" s="8"/>
      <c r="H1" s="9"/>
      <c r="I1" s="9"/>
      <c r="J1" s="9"/>
      <c r="K1" s="3"/>
      <c r="L1" s="3"/>
      <c r="M1" s="8"/>
      <c r="N1" s="9"/>
      <c r="O1" s="9"/>
      <c r="P1" s="9"/>
      <c r="Q1" s="9"/>
      <c r="R1" s="93"/>
      <c r="S1" s="9"/>
      <c r="T1" s="39"/>
      <c r="U1" s="9"/>
      <c r="V1" s="29"/>
      <c r="W1" s="29"/>
      <c r="X1" s="29"/>
      <c r="Y1" s="15"/>
    </row>
    <row r="2" spans="1:28" s="14" customFormat="1" x14ac:dyDescent="0.35">
      <c r="A2" s="16" t="s">
        <v>45</v>
      </c>
      <c r="B2" s="17"/>
      <c r="C2" s="17"/>
      <c r="D2" s="17"/>
      <c r="E2" s="9"/>
      <c r="F2" s="8"/>
      <c r="G2" s="8"/>
      <c r="H2" s="9"/>
      <c r="I2" s="9"/>
      <c r="J2" s="9"/>
      <c r="K2" s="3"/>
      <c r="L2" s="3"/>
      <c r="M2" s="8"/>
      <c r="N2" s="9"/>
      <c r="O2" s="9"/>
      <c r="P2" s="9"/>
      <c r="Q2" s="9"/>
      <c r="R2" s="93"/>
      <c r="S2" s="9"/>
      <c r="T2" s="39"/>
      <c r="U2" s="9"/>
      <c r="V2" s="29"/>
      <c r="W2" s="29"/>
      <c r="X2" s="29"/>
      <c r="Y2" s="15"/>
    </row>
    <row r="3" spans="1:28" s="14" customFormat="1" x14ac:dyDescent="0.35">
      <c r="A3" s="16" t="s">
        <v>31</v>
      </c>
      <c r="B3" s="17"/>
      <c r="C3" s="17"/>
      <c r="D3" s="17"/>
      <c r="E3" s="9"/>
      <c r="F3" s="8"/>
      <c r="G3" s="8"/>
      <c r="H3" s="9"/>
      <c r="I3" s="9"/>
      <c r="J3" s="9"/>
      <c r="K3" s="3"/>
      <c r="L3" s="3"/>
      <c r="M3" s="8"/>
      <c r="N3" s="9"/>
      <c r="O3" s="9"/>
      <c r="P3" s="9"/>
      <c r="Q3" s="9"/>
      <c r="R3" s="93"/>
      <c r="S3" s="9"/>
      <c r="T3" s="39"/>
      <c r="U3" s="9"/>
      <c r="V3" s="29"/>
      <c r="W3" s="29"/>
      <c r="X3" s="29"/>
      <c r="Y3" s="15"/>
    </row>
    <row r="4" spans="1:28" ht="6.75" customHeight="1" x14ac:dyDescent="0.35"/>
    <row r="5" spans="1:28" s="19" customFormat="1" ht="35.25" customHeight="1" x14ac:dyDescent="0.35">
      <c r="A5" s="139" t="s">
        <v>1</v>
      </c>
      <c r="B5" s="140" t="s">
        <v>21</v>
      </c>
      <c r="C5" s="154" t="s">
        <v>24</v>
      </c>
      <c r="D5" s="154"/>
      <c r="E5" s="154"/>
      <c r="F5" s="135" t="s">
        <v>14</v>
      </c>
      <c r="G5" s="135"/>
      <c r="H5" s="135"/>
      <c r="I5" s="135"/>
      <c r="J5" s="135" t="s">
        <v>15</v>
      </c>
      <c r="K5" s="141" t="s">
        <v>18</v>
      </c>
      <c r="L5" s="141"/>
      <c r="M5" s="135" t="s">
        <v>13</v>
      </c>
      <c r="N5" s="145" t="s">
        <v>16</v>
      </c>
      <c r="O5" s="146"/>
      <c r="P5" s="146"/>
      <c r="Q5" s="146"/>
      <c r="R5" s="151" t="s">
        <v>28</v>
      </c>
      <c r="S5" s="135" t="s">
        <v>9</v>
      </c>
      <c r="T5" s="135" t="s">
        <v>2</v>
      </c>
      <c r="U5" s="135" t="s">
        <v>19</v>
      </c>
      <c r="V5" s="155" t="s">
        <v>22</v>
      </c>
      <c r="W5" s="155"/>
      <c r="X5" s="155"/>
      <c r="Y5" s="150" t="s">
        <v>20</v>
      </c>
      <c r="Z5" s="137" t="s">
        <v>36</v>
      </c>
    </row>
    <row r="6" spans="1:28" s="19" customFormat="1" ht="44.25" customHeight="1" x14ac:dyDescent="0.35">
      <c r="A6" s="139"/>
      <c r="B6" s="140"/>
      <c r="C6" s="112" t="s">
        <v>3</v>
      </c>
      <c r="D6" s="112" t="s">
        <v>10</v>
      </c>
      <c r="E6" s="112" t="s">
        <v>4</v>
      </c>
      <c r="F6" s="112" t="s">
        <v>10</v>
      </c>
      <c r="G6" s="98" t="s">
        <v>4</v>
      </c>
      <c r="H6" s="111" t="s">
        <v>29</v>
      </c>
      <c r="I6" s="101" t="s">
        <v>5</v>
      </c>
      <c r="J6" s="135"/>
      <c r="K6" s="113" t="s">
        <v>42</v>
      </c>
      <c r="L6" s="113" t="s">
        <v>43</v>
      </c>
      <c r="M6" s="135"/>
      <c r="N6" s="111" t="s">
        <v>10</v>
      </c>
      <c r="O6" s="101" t="s">
        <v>4</v>
      </c>
      <c r="P6" s="111" t="s">
        <v>29</v>
      </c>
      <c r="Q6" s="100" t="s">
        <v>5</v>
      </c>
      <c r="R6" s="152"/>
      <c r="S6" s="135"/>
      <c r="T6" s="135"/>
      <c r="U6" s="135"/>
      <c r="V6" s="114" t="s">
        <v>11</v>
      </c>
      <c r="W6" s="114" t="s">
        <v>17</v>
      </c>
      <c r="X6" s="114" t="s">
        <v>6</v>
      </c>
      <c r="Y6" s="150"/>
      <c r="Z6" s="138"/>
    </row>
    <row r="7" spans="1:28" ht="23.25" customHeight="1" x14ac:dyDescent="0.35">
      <c r="A7" s="20">
        <v>1</v>
      </c>
      <c r="B7" s="21">
        <v>0</v>
      </c>
      <c r="C7" s="35"/>
      <c r="D7" s="35"/>
      <c r="E7" s="35"/>
      <c r="F7" s="85"/>
      <c r="G7" s="85"/>
      <c r="H7" s="21">
        <v>0</v>
      </c>
      <c r="I7" s="21">
        <v>0</v>
      </c>
      <c r="J7" s="21">
        <f>SUM(F7:I7)</f>
        <v>0</v>
      </c>
      <c r="K7" s="36">
        <v>0</v>
      </c>
      <c r="L7" s="36">
        <v>0</v>
      </c>
      <c r="M7" s="32">
        <f>+B7+J7</f>
        <v>0</v>
      </c>
      <c r="N7" s="86">
        <v>0</v>
      </c>
      <c r="O7" s="86">
        <v>0</v>
      </c>
      <c r="P7" s="5">
        <v>0</v>
      </c>
      <c r="Q7" s="21">
        <f>+R7-P7</f>
        <v>0</v>
      </c>
      <c r="R7" s="32">
        <v>0</v>
      </c>
      <c r="S7" s="70">
        <f>+M7-R7</f>
        <v>0</v>
      </c>
      <c r="T7" s="46">
        <v>0</v>
      </c>
      <c r="U7" s="32">
        <v>0</v>
      </c>
      <c r="V7" s="87">
        <f>IF(T7="-",0,T7-S7)</f>
        <v>0</v>
      </c>
      <c r="W7" s="88">
        <f>+U7-R7</f>
        <v>0</v>
      </c>
      <c r="X7" s="89">
        <f>+V7+W7</f>
        <v>0</v>
      </c>
      <c r="Y7" s="47">
        <v>0</v>
      </c>
      <c r="Z7" s="47"/>
    </row>
    <row r="8" spans="1:28" ht="23.25" customHeight="1" x14ac:dyDescent="0.35">
      <c r="A8" s="20">
        <f t="shared" ref="A8:A37" si="0">+A7+1</f>
        <v>2</v>
      </c>
      <c r="B8" s="22">
        <f>IF(T7="-",S7,T7)</f>
        <v>0</v>
      </c>
      <c r="C8" s="35"/>
      <c r="D8" s="35"/>
      <c r="E8" s="35"/>
      <c r="F8" s="85"/>
      <c r="G8" s="85"/>
      <c r="H8" s="21">
        <v>0</v>
      </c>
      <c r="I8" s="21">
        <v>8790</v>
      </c>
      <c r="J8" s="21">
        <f>SUM(F8:I8)</f>
        <v>8790</v>
      </c>
      <c r="K8" s="36">
        <v>8790</v>
      </c>
      <c r="L8" s="36">
        <v>0</v>
      </c>
      <c r="M8" s="32">
        <f>+B8+J8</f>
        <v>8790</v>
      </c>
      <c r="N8" s="86">
        <v>0</v>
      </c>
      <c r="O8" s="86">
        <v>0</v>
      </c>
      <c r="P8" s="5">
        <v>0</v>
      </c>
      <c r="Q8" s="21">
        <f>+R8-P8</f>
        <v>8740</v>
      </c>
      <c r="R8" s="32">
        <v>8740</v>
      </c>
      <c r="S8" s="70">
        <f>+M8-R8</f>
        <v>50</v>
      </c>
      <c r="T8" s="46">
        <v>0</v>
      </c>
      <c r="U8" s="32">
        <v>8730</v>
      </c>
      <c r="V8" s="87">
        <f>IF(T8="-",0,T8-S8)</f>
        <v>-50</v>
      </c>
      <c r="W8" s="88">
        <f>+U8-R8</f>
        <v>-10</v>
      </c>
      <c r="X8" s="89">
        <f>+V8+W8</f>
        <v>-60</v>
      </c>
      <c r="Y8" s="47">
        <v>1</v>
      </c>
      <c r="Z8" s="47"/>
      <c r="AA8" s="128">
        <f>W8*100/R8</f>
        <v>-0.11441647597254005</v>
      </c>
    </row>
    <row r="9" spans="1:28" ht="23.25" customHeight="1" x14ac:dyDescent="0.35">
      <c r="A9" s="20">
        <v>3</v>
      </c>
      <c r="B9" s="22">
        <f t="shared" ref="B9:B37" si="1">IF(T8="-",S8,T8)</f>
        <v>0</v>
      </c>
      <c r="C9" s="35"/>
      <c r="D9" s="35"/>
      <c r="E9" s="35"/>
      <c r="F9" s="85"/>
      <c r="G9" s="85"/>
      <c r="H9" s="21">
        <v>0</v>
      </c>
      <c r="I9" s="21">
        <v>0</v>
      </c>
      <c r="J9" s="21">
        <f t="shared" ref="J9:J37" si="2">SUM(F9:I9)</f>
        <v>0</v>
      </c>
      <c r="K9" s="36">
        <v>0</v>
      </c>
      <c r="L9" s="36">
        <v>0</v>
      </c>
      <c r="M9" s="32">
        <f t="shared" ref="M9:M37" si="3">+B9+J9</f>
        <v>0</v>
      </c>
      <c r="N9" s="86">
        <v>0</v>
      </c>
      <c r="O9" s="86">
        <v>0</v>
      </c>
      <c r="P9" s="5">
        <v>0</v>
      </c>
      <c r="Q9" s="21">
        <f t="shared" ref="Q9:Q12" si="4">+R9-P9</f>
        <v>0</v>
      </c>
      <c r="R9" s="32">
        <v>0</v>
      </c>
      <c r="S9" s="70">
        <f>+M9-R9</f>
        <v>0</v>
      </c>
      <c r="T9" s="46">
        <v>0</v>
      </c>
      <c r="U9" s="32">
        <v>0</v>
      </c>
      <c r="V9" s="87">
        <f t="shared" ref="V9:V37" si="5">IF(T9="-",0,T9-S9)</f>
        <v>0</v>
      </c>
      <c r="W9" s="88">
        <f t="shared" ref="W9:W37" si="6">+U9-R9</f>
        <v>0</v>
      </c>
      <c r="X9" s="89">
        <f t="shared" ref="X9:X35" si="7">+V9+W9</f>
        <v>0</v>
      </c>
      <c r="Y9" s="47">
        <v>0</v>
      </c>
      <c r="Z9" s="47"/>
      <c r="AA9" s="128" t="e">
        <f t="shared" ref="AA9:AA37" si="8">W9*100/R9</f>
        <v>#DIV/0!</v>
      </c>
      <c r="AB9" s="130"/>
    </row>
    <row r="10" spans="1:28" ht="23.25" customHeight="1" x14ac:dyDescent="0.35">
      <c r="A10" s="20">
        <f t="shared" si="0"/>
        <v>4</v>
      </c>
      <c r="B10" s="22">
        <f t="shared" si="1"/>
        <v>0</v>
      </c>
      <c r="C10" s="35"/>
      <c r="D10" s="35"/>
      <c r="E10" s="35"/>
      <c r="F10" s="85"/>
      <c r="G10" s="85"/>
      <c r="H10" s="21">
        <v>0</v>
      </c>
      <c r="I10" s="21">
        <v>8860</v>
      </c>
      <c r="J10" s="21">
        <f t="shared" si="2"/>
        <v>8860</v>
      </c>
      <c r="K10" s="36">
        <v>8860</v>
      </c>
      <c r="L10" s="36">
        <v>0</v>
      </c>
      <c r="M10" s="32">
        <f t="shared" si="3"/>
        <v>8860</v>
      </c>
      <c r="N10" s="86">
        <v>0</v>
      </c>
      <c r="O10" s="86">
        <v>0</v>
      </c>
      <c r="P10" s="5">
        <v>0</v>
      </c>
      <c r="Q10" s="21">
        <f t="shared" si="4"/>
        <v>8850</v>
      </c>
      <c r="R10" s="32">
        <v>8850</v>
      </c>
      <c r="S10" s="70">
        <f t="shared" ref="S10:S37" si="9">+M10-R10</f>
        <v>10</v>
      </c>
      <c r="T10" s="46">
        <v>0</v>
      </c>
      <c r="U10" s="32">
        <v>8810</v>
      </c>
      <c r="V10" s="87">
        <f>IF(T10="-",0,T10-S10)</f>
        <v>-10</v>
      </c>
      <c r="W10" s="88">
        <f t="shared" si="6"/>
        <v>-40</v>
      </c>
      <c r="X10" s="89">
        <f t="shared" si="7"/>
        <v>-50</v>
      </c>
      <c r="Y10" s="47">
        <v>1</v>
      </c>
      <c r="Z10" s="47"/>
      <c r="AA10" s="128">
        <f t="shared" si="8"/>
        <v>-0.4519774011299435</v>
      </c>
    </row>
    <row r="11" spans="1:28" ht="23.25" customHeight="1" x14ac:dyDescent="0.35">
      <c r="A11" s="20">
        <f t="shared" si="0"/>
        <v>5</v>
      </c>
      <c r="B11" s="22">
        <f t="shared" si="1"/>
        <v>0</v>
      </c>
      <c r="C11" s="35"/>
      <c r="D11" s="35"/>
      <c r="E11" s="35"/>
      <c r="F11" s="85"/>
      <c r="G11" s="85"/>
      <c r="H11" s="21">
        <v>0</v>
      </c>
      <c r="I11" s="21">
        <v>9400</v>
      </c>
      <c r="J11" s="21">
        <f t="shared" si="2"/>
        <v>9400</v>
      </c>
      <c r="K11" s="36">
        <v>4750</v>
      </c>
      <c r="L11" s="36">
        <v>4650</v>
      </c>
      <c r="M11" s="32">
        <f t="shared" si="3"/>
        <v>9400</v>
      </c>
      <c r="N11" s="86">
        <v>0</v>
      </c>
      <c r="O11" s="86">
        <v>0</v>
      </c>
      <c r="P11" s="5">
        <v>0</v>
      </c>
      <c r="Q11" s="21">
        <f t="shared" si="4"/>
        <v>9410</v>
      </c>
      <c r="R11" s="32">
        <v>9410</v>
      </c>
      <c r="S11" s="70">
        <f>+M11-R11</f>
        <v>-10</v>
      </c>
      <c r="T11" s="46">
        <v>0</v>
      </c>
      <c r="U11" s="32">
        <v>9380</v>
      </c>
      <c r="V11" s="87">
        <f>IF(T11="-",0,T11-S11)</f>
        <v>10</v>
      </c>
      <c r="W11" s="88">
        <f t="shared" si="6"/>
        <v>-30</v>
      </c>
      <c r="X11" s="89">
        <f>+V11+W11</f>
        <v>-20</v>
      </c>
      <c r="Y11" s="47">
        <v>1</v>
      </c>
      <c r="Z11" s="47"/>
      <c r="AA11" s="128">
        <f t="shared" si="8"/>
        <v>-0.3188097768331562</v>
      </c>
    </row>
    <row r="12" spans="1:28" ht="23.25" customHeight="1" x14ac:dyDescent="0.35">
      <c r="A12" s="20">
        <f t="shared" si="0"/>
        <v>6</v>
      </c>
      <c r="B12" s="22">
        <f t="shared" si="1"/>
        <v>0</v>
      </c>
      <c r="C12" s="35"/>
      <c r="D12" s="35"/>
      <c r="E12" s="35"/>
      <c r="F12" s="85"/>
      <c r="G12" s="85"/>
      <c r="H12" s="21">
        <v>0</v>
      </c>
      <c r="I12" s="21">
        <v>22390</v>
      </c>
      <c r="J12" s="21">
        <f>SUM(F12:I12)</f>
        <v>22390</v>
      </c>
      <c r="K12" s="36">
        <v>18310</v>
      </c>
      <c r="L12" s="36">
        <v>4080</v>
      </c>
      <c r="M12" s="32">
        <f t="shared" si="3"/>
        <v>22390</v>
      </c>
      <c r="N12" s="86">
        <v>0</v>
      </c>
      <c r="O12" s="86">
        <v>0</v>
      </c>
      <c r="P12" s="5">
        <v>0</v>
      </c>
      <c r="Q12" s="21">
        <f t="shared" si="4"/>
        <v>12590</v>
      </c>
      <c r="R12" s="32">
        <v>12590</v>
      </c>
      <c r="S12" s="70">
        <f t="shared" si="9"/>
        <v>9800</v>
      </c>
      <c r="T12" s="46" t="s">
        <v>46</v>
      </c>
      <c r="U12" s="32">
        <v>12540</v>
      </c>
      <c r="V12" s="87">
        <f t="shared" si="5"/>
        <v>0</v>
      </c>
      <c r="W12" s="88">
        <f t="shared" si="6"/>
        <v>-50</v>
      </c>
      <c r="X12" s="89">
        <f t="shared" si="7"/>
        <v>-50</v>
      </c>
      <c r="Y12" s="47">
        <v>2</v>
      </c>
      <c r="Z12" s="47"/>
      <c r="AA12" s="128">
        <f t="shared" si="8"/>
        <v>-0.39714058776806987</v>
      </c>
    </row>
    <row r="13" spans="1:28" ht="23.25" customHeight="1" x14ac:dyDescent="0.35">
      <c r="A13" s="20">
        <f t="shared" si="0"/>
        <v>7</v>
      </c>
      <c r="B13" s="22">
        <f t="shared" si="1"/>
        <v>9800</v>
      </c>
      <c r="C13" s="35"/>
      <c r="D13" s="35"/>
      <c r="E13" s="35"/>
      <c r="F13" s="85"/>
      <c r="G13" s="85"/>
      <c r="H13" s="21">
        <v>0</v>
      </c>
      <c r="I13" s="21">
        <v>25220</v>
      </c>
      <c r="J13" s="21">
        <f t="shared" si="2"/>
        <v>25220</v>
      </c>
      <c r="K13" s="36">
        <v>25220</v>
      </c>
      <c r="L13" s="36">
        <v>0</v>
      </c>
      <c r="M13" s="32">
        <f t="shared" si="3"/>
        <v>35020</v>
      </c>
      <c r="N13" s="86">
        <v>0</v>
      </c>
      <c r="O13" s="86">
        <v>0</v>
      </c>
      <c r="P13" s="5">
        <v>0</v>
      </c>
      <c r="Q13" s="21">
        <f t="shared" ref="Q13:Q20" si="10">+R13-P13</f>
        <v>22170</v>
      </c>
      <c r="R13" s="32">
        <v>22170</v>
      </c>
      <c r="S13" s="70">
        <f t="shared" si="9"/>
        <v>12850</v>
      </c>
      <c r="T13" s="46" t="s">
        <v>46</v>
      </c>
      <c r="U13" s="32">
        <v>22110</v>
      </c>
      <c r="V13" s="87">
        <f>IF(T13="-",0,T13-S13)</f>
        <v>0</v>
      </c>
      <c r="W13" s="88">
        <f t="shared" si="6"/>
        <v>-60</v>
      </c>
      <c r="X13" s="89">
        <f t="shared" si="7"/>
        <v>-60</v>
      </c>
      <c r="Y13" s="47">
        <v>2</v>
      </c>
      <c r="Z13" s="47"/>
      <c r="AA13" s="128">
        <f t="shared" si="8"/>
        <v>-0.2706359945872801</v>
      </c>
    </row>
    <row r="14" spans="1:28" ht="23.25" customHeight="1" x14ac:dyDescent="0.35">
      <c r="A14" s="20">
        <f t="shared" si="0"/>
        <v>8</v>
      </c>
      <c r="B14" s="22">
        <f t="shared" si="1"/>
        <v>12850</v>
      </c>
      <c r="C14" s="35"/>
      <c r="D14" s="35"/>
      <c r="E14" s="35"/>
      <c r="F14" s="85"/>
      <c r="G14" s="85"/>
      <c r="H14" s="21">
        <v>0</v>
      </c>
      <c r="I14" s="21">
        <v>31030</v>
      </c>
      <c r="J14" s="21">
        <f t="shared" si="2"/>
        <v>31030</v>
      </c>
      <c r="K14" s="36">
        <v>31030</v>
      </c>
      <c r="L14" s="36">
        <v>0</v>
      </c>
      <c r="M14" s="32">
        <f>+B14+J14</f>
        <v>43880</v>
      </c>
      <c r="N14" s="86">
        <v>0</v>
      </c>
      <c r="O14" s="86">
        <v>0</v>
      </c>
      <c r="P14" s="5">
        <v>0</v>
      </c>
      <c r="Q14" s="21">
        <f t="shared" si="10"/>
        <v>43290</v>
      </c>
      <c r="R14" s="32">
        <v>43290</v>
      </c>
      <c r="S14" s="70">
        <f>+M14-R14</f>
        <v>590</v>
      </c>
      <c r="T14" s="46">
        <v>0</v>
      </c>
      <c r="U14" s="32">
        <v>43190</v>
      </c>
      <c r="V14" s="87">
        <f t="shared" si="5"/>
        <v>-590</v>
      </c>
      <c r="W14" s="88">
        <f t="shared" si="6"/>
        <v>-100</v>
      </c>
      <c r="X14" s="89">
        <f t="shared" si="7"/>
        <v>-690</v>
      </c>
      <c r="Y14" s="47">
        <v>4</v>
      </c>
      <c r="Z14" s="47"/>
      <c r="AA14" s="128">
        <f t="shared" si="8"/>
        <v>-0.23100023100023101</v>
      </c>
    </row>
    <row r="15" spans="1:28" ht="23.25" customHeight="1" x14ac:dyDescent="0.35">
      <c r="A15" s="20">
        <f t="shared" si="0"/>
        <v>9</v>
      </c>
      <c r="B15" s="22">
        <f t="shared" si="1"/>
        <v>0</v>
      </c>
      <c r="C15" s="35"/>
      <c r="D15" s="35"/>
      <c r="E15" s="35"/>
      <c r="F15" s="85"/>
      <c r="G15" s="85"/>
      <c r="H15" s="21">
        <v>0</v>
      </c>
      <c r="I15" s="21">
        <v>33520</v>
      </c>
      <c r="J15" s="21">
        <f t="shared" si="2"/>
        <v>33520</v>
      </c>
      <c r="K15" s="36">
        <v>33520</v>
      </c>
      <c r="L15" s="36">
        <v>0</v>
      </c>
      <c r="M15" s="32">
        <f t="shared" si="3"/>
        <v>33520</v>
      </c>
      <c r="N15" s="86">
        <v>0</v>
      </c>
      <c r="O15" s="86">
        <v>0</v>
      </c>
      <c r="P15" s="5">
        <v>0</v>
      </c>
      <c r="Q15" s="21">
        <f t="shared" si="10"/>
        <v>22030</v>
      </c>
      <c r="R15" s="32">
        <v>22030</v>
      </c>
      <c r="S15" s="70">
        <f t="shared" si="9"/>
        <v>11490</v>
      </c>
      <c r="T15" s="46" t="s">
        <v>46</v>
      </c>
      <c r="U15" s="32">
        <v>21920</v>
      </c>
      <c r="V15" s="87">
        <f t="shared" si="5"/>
        <v>0</v>
      </c>
      <c r="W15" s="88">
        <f t="shared" si="6"/>
        <v>-110</v>
      </c>
      <c r="X15" s="89">
        <f t="shared" si="7"/>
        <v>-110</v>
      </c>
      <c r="Y15" s="47">
        <v>2</v>
      </c>
      <c r="Z15" s="47"/>
      <c r="AA15" s="128">
        <f t="shared" si="8"/>
        <v>-0.49931911030413073</v>
      </c>
    </row>
    <row r="16" spans="1:28" ht="23.25" customHeight="1" x14ac:dyDescent="0.35">
      <c r="A16" s="20">
        <f t="shared" si="0"/>
        <v>10</v>
      </c>
      <c r="B16" s="22">
        <f t="shared" si="1"/>
        <v>11490</v>
      </c>
      <c r="C16" s="35"/>
      <c r="D16" s="35"/>
      <c r="E16" s="35"/>
      <c r="F16" s="85"/>
      <c r="G16" s="85"/>
      <c r="H16" s="21">
        <v>0</v>
      </c>
      <c r="I16" s="21">
        <v>30850</v>
      </c>
      <c r="J16" s="21">
        <f t="shared" si="2"/>
        <v>30850</v>
      </c>
      <c r="K16" s="36">
        <v>30850</v>
      </c>
      <c r="L16" s="36">
        <v>0</v>
      </c>
      <c r="M16" s="32">
        <f t="shared" si="3"/>
        <v>42340</v>
      </c>
      <c r="N16" s="86">
        <v>0</v>
      </c>
      <c r="O16" s="86">
        <v>0</v>
      </c>
      <c r="P16" s="5">
        <v>0</v>
      </c>
      <c r="Q16" s="21">
        <f t="shared" si="10"/>
        <v>22390</v>
      </c>
      <c r="R16" s="32">
        <v>22390</v>
      </c>
      <c r="S16" s="70">
        <f>+M16-R16</f>
        <v>19950</v>
      </c>
      <c r="T16" s="46" t="s">
        <v>46</v>
      </c>
      <c r="U16" s="32">
        <v>22160</v>
      </c>
      <c r="V16" s="87">
        <f t="shared" si="5"/>
        <v>0</v>
      </c>
      <c r="W16" s="88">
        <f t="shared" si="6"/>
        <v>-230</v>
      </c>
      <c r="X16" s="89">
        <f t="shared" si="7"/>
        <v>-230</v>
      </c>
      <c r="Y16" s="47">
        <v>2</v>
      </c>
      <c r="Z16" s="47"/>
      <c r="AA16" s="128">
        <f t="shared" si="8"/>
        <v>-1.0272443054935239</v>
      </c>
    </row>
    <row r="17" spans="1:28" ht="23.25" customHeight="1" x14ac:dyDescent="0.35">
      <c r="A17" s="20">
        <f t="shared" si="0"/>
        <v>11</v>
      </c>
      <c r="B17" s="22">
        <f t="shared" si="1"/>
        <v>19950</v>
      </c>
      <c r="C17" s="35"/>
      <c r="D17" s="35"/>
      <c r="E17" s="35"/>
      <c r="F17" s="85"/>
      <c r="G17" s="85"/>
      <c r="H17" s="21">
        <v>0</v>
      </c>
      <c r="I17" s="21">
        <v>47690</v>
      </c>
      <c r="J17" s="21">
        <f t="shared" si="2"/>
        <v>47690</v>
      </c>
      <c r="K17" s="36">
        <v>47690</v>
      </c>
      <c r="L17" s="36">
        <v>0</v>
      </c>
      <c r="M17" s="32">
        <f t="shared" si="3"/>
        <v>67640</v>
      </c>
      <c r="N17" s="86">
        <v>0</v>
      </c>
      <c r="O17" s="86">
        <v>0</v>
      </c>
      <c r="P17" s="5">
        <v>0</v>
      </c>
      <c r="Q17" s="21">
        <f t="shared" si="10"/>
        <v>66020</v>
      </c>
      <c r="R17" s="32">
        <v>66020</v>
      </c>
      <c r="S17" s="70">
        <f>+M17-R17</f>
        <v>1620</v>
      </c>
      <c r="T17" s="46" t="s">
        <v>46</v>
      </c>
      <c r="U17" s="32">
        <v>65780</v>
      </c>
      <c r="V17" s="87">
        <f t="shared" si="5"/>
        <v>0</v>
      </c>
      <c r="W17" s="88">
        <f t="shared" si="6"/>
        <v>-240</v>
      </c>
      <c r="X17" s="89">
        <f t="shared" si="7"/>
        <v>-240</v>
      </c>
      <c r="Y17" s="47">
        <v>6</v>
      </c>
      <c r="Z17" s="47"/>
      <c r="AA17" s="128">
        <f t="shared" si="8"/>
        <v>-0.36352620418055137</v>
      </c>
    </row>
    <row r="18" spans="1:28" ht="23.25" customHeight="1" x14ac:dyDescent="0.35">
      <c r="A18" s="20">
        <f t="shared" si="0"/>
        <v>12</v>
      </c>
      <c r="B18" s="22">
        <f t="shared" si="1"/>
        <v>1620</v>
      </c>
      <c r="C18" s="35"/>
      <c r="D18" s="35"/>
      <c r="E18" s="35"/>
      <c r="F18" s="85"/>
      <c r="G18" s="85"/>
      <c r="H18" s="21">
        <v>0</v>
      </c>
      <c r="I18" s="21">
        <v>58830</v>
      </c>
      <c r="J18" s="21">
        <f t="shared" si="2"/>
        <v>58830</v>
      </c>
      <c r="K18" s="36">
        <v>54620</v>
      </c>
      <c r="L18" s="36">
        <v>4210</v>
      </c>
      <c r="M18" s="32">
        <f t="shared" si="3"/>
        <v>60450</v>
      </c>
      <c r="N18" s="86">
        <v>0</v>
      </c>
      <c r="O18" s="86">
        <v>0</v>
      </c>
      <c r="P18" s="5">
        <v>0</v>
      </c>
      <c r="Q18" s="21">
        <f t="shared" si="10"/>
        <v>36360</v>
      </c>
      <c r="R18" s="32">
        <v>36360</v>
      </c>
      <c r="S18" s="70">
        <f t="shared" si="9"/>
        <v>24090</v>
      </c>
      <c r="T18" s="46" t="s">
        <v>46</v>
      </c>
      <c r="U18" s="32">
        <v>36150</v>
      </c>
      <c r="V18" s="87">
        <f>IF(T18="-",0,T18-S18)</f>
        <v>0</v>
      </c>
      <c r="W18" s="88">
        <f t="shared" si="6"/>
        <v>-210</v>
      </c>
      <c r="X18" s="89">
        <f t="shared" si="7"/>
        <v>-210</v>
      </c>
      <c r="Y18" s="47">
        <v>3</v>
      </c>
      <c r="Z18" s="47"/>
      <c r="AA18" s="128">
        <f t="shared" si="8"/>
        <v>-0.57755775577557755</v>
      </c>
    </row>
    <row r="19" spans="1:28" ht="23.25" customHeight="1" x14ac:dyDescent="0.35">
      <c r="A19" s="20">
        <f t="shared" si="0"/>
        <v>13</v>
      </c>
      <c r="B19" s="22">
        <f t="shared" si="1"/>
        <v>24090</v>
      </c>
      <c r="C19" s="35"/>
      <c r="D19" s="35"/>
      <c r="E19" s="35"/>
      <c r="F19" s="85"/>
      <c r="G19" s="85"/>
      <c r="H19" s="21">
        <v>0</v>
      </c>
      <c r="I19" s="21">
        <v>48780</v>
      </c>
      <c r="J19" s="21">
        <f t="shared" si="2"/>
        <v>48780</v>
      </c>
      <c r="K19" s="36">
        <v>41080</v>
      </c>
      <c r="L19" s="36">
        <v>7700</v>
      </c>
      <c r="M19" s="32">
        <f t="shared" si="3"/>
        <v>72870</v>
      </c>
      <c r="N19" s="86">
        <v>0</v>
      </c>
      <c r="O19" s="86">
        <v>0</v>
      </c>
      <c r="P19" s="5">
        <v>0</v>
      </c>
      <c r="Q19" s="21">
        <f t="shared" si="10"/>
        <v>57260</v>
      </c>
      <c r="R19" s="32">
        <v>57260</v>
      </c>
      <c r="S19" s="70">
        <f t="shared" si="9"/>
        <v>15610</v>
      </c>
      <c r="T19" s="46" t="s">
        <v>46</v>
      </c>
      <c r="U19" s="32">
        <v>57040</v>
      </c>
      <c r="V19" s="87">
        <f t="shared" si="5"/>
        <v>0</v>
      </c>
      <c r="W19" s="88">
        <f t="shared" si="6"/>
        <v>-220</v>
      </c>
      <c r="X19" s="89">
        <f t="shared" si="7"/>
        <v>-220</v>
      </c>
      <c r="Y19" s="47">
        <v>5</v>
      </c>
      <c r="Z19" s="47"/>
      <c r="AA19" s="128">
        <f t="shared" si="8"/>
        <v>-0.38421236465246245</v>
      </c>
    </row>
    <row r="20" spans="1:28" ht="23.25" customHeight="1" x14ac:dyDescent="0.35">
      <c r="A20" s="20">
        <f t="shared" si="0"/>
        <v>14</v>
      </c>
      <c r="B20" s="22">
        <f t="shared" si="1"/>
        <v>15610</v>
      </c>
      <c r="C20" s="35"/>
      <c r="D20" s="35"/>
      <c r="E20" s="35"/>
      <c r="F20" s="85"/>
      <c r="G20" s="85"/>
      <c r="H20" s="21">
        <v>0</v>
      </c>
      <c r="I20" s="21">
        <v>36930</v>
      </c>
      <c r="J20" s="21">
        <f t="shared" si="2"/>
        <v>36930</v>
      </c>
      <c r="K20" s="36">
        <v>35230</v>
      </c>
      <c r="L20" s="36">
        <v>1700</v>
      </c>
      <c r="M20" s="32">
        <f t="shared" si="3"/>
        <v>52540</v>
      </c>
      <c r="N20" s="86">
        <v>0</v>
      </c>
      <c r="O20" s="86">
        <v>0</v>
      </c>
      <c r="P20" s="21">
        <v>0</v>
      </c>
      <c r="Q20" s="21">
        <f t="shared" si="10"/>
        <v>43990</v>
      </c>
      <c r="R20" s="32">
        <v>43990</v>
      </c>
      <c r="S20" s="70">
        <f t="shared" si="9"/>
        <v>8550</v>
      </c>
      <c r="T20" s="46" t="s">
        <v>46</v>
      </c>
      <c r="U20" s="32">
        <v>43790</v>
      </c>
      <c r="V20" s="87">
        <f t="shared" si="5"/>
        <v>0</v>
      </c>
      <c r="W20" s="88">
        <f t="shared" si="6"/>
        <v>-200</v>
      </c>
      <c r="X20" s="89">
        <f t="shared" si="7"/>
        <v>-200</v>
      </c>
      <c r="Y20" s="47">
        <v>4</v>
      </c>
      <c r="Z20" s="47"/>
      <c r="AA20" s="128">
        <f t="shared" si="8"/>
        <v>-0.4546487838145033</v>
      </c>
    </row>
    <row r="21" spans="1:28" ht="23.25" customHeight="1" x14ac:dyDescent="0.35">
      <c r="A21" s="20">
        <f t="shared" si="0"/>
        <v>15</v>
      </c>
      <c r="B21" s="22">
        <f t="shared" ref="B21" si="11">IF(T20="-",S20,T20)</f>
        <v>8550</v>
      </c>
      <c r="C21" s="35"/>
      <c r="D21" s="35"/>
      <c r="E21" s="35"/>
      <c r="F21" s="85"/>
      <c r="G21" s="85"/>
      <c r="H21" s="21">
        <v>0</v>
      </c>
      <c r="I21" s="21">
        <v>16710</v>
      </c>
      <c r="J21" s="21">
        <f>SUM(F21:I21)</f>
        <v>16710</v>
      </c>
      <c r="K21" s="36">
        <v>16710</v>
      </c>
      <c r="L21" s="36">
        <v>0</v>
      </c>
      <c r="M21" s="32">
        <f t="shared" ref="M21" si="12">+B21+J21</f>
        <v>25260</v>
      </c>
      <c r="N21" s="86">
        <v>0</v>
      </c>
      <c r="O21" s="86">
        <v>0</v>
      </c>
      <c r="P21" s="21">
        <v>0</v>
      </c>
      <c r="Q21" s="21">
        <f>+R21-P21</f>
        <v>22210</v>
      </c>
      <c r="R21" s="32">
        <v>22210</v>
      </c>
      <c r="S21" s="70">
        <f t="shared" ref="S21" si="13">+M21-R21</f>
        <v>3050</v>
      </c>
      <c r="T21" s="46" t="s">
        <v>46</v>
      </c>
      <c r="U21" s="32">
        <v>22160</v>
      </c>
      <c r="V21" s="87">
        <f t="shared" ref="V21" si="14">IF(T21="-",0,T21-S21)</f>
        <v>0</v>
      </c>
      <c r="W21" s="88">
        <f t="shared" ref="W21" si="15">+U21-R21</f>
        <v>-50</v>
      </c>
      <c r="X21" s="89">
        <f t="shared" ref="X21" si="16">+V21+W21</f>
        <v>-50</v>
      </c>
      <c r="Y21" s="47">
        <v>2</v>
      </c>
      <c r="Z21" s="47"/>
      <c r="AA21" s="128">
        <f t="shared" si="8"/>
        <v>-0.22512381809995496</v>
      </c>
    </row>
    <row r="22" spans="1:28" ht="23.25" customHeight="1" x14ac:dyDescent="0.35">
      <c r="A22" s="20">
        <f t="shared" si="0"/>
        <v>16</v>
      </c>
      <c r="B22" s="22">
        <f t="shared" si="1"/>
        <v>3050</v>
      </c>
      <c r="C22" s="35"/>
      <c r="D22" s="35"/>
      <c r="E22" s="35"/>
      <c r="F22" s="85"/>
      <c r="G22" s="85"/>
      <c r="H22" s="21">
        <v>0</v>
      </c>
      <c r="I22" s="21">
        <v>10280</v>
      </c>
      <c r="J22" s="21">
        <f t="shared" si="2"/>
        <v>10280</v>
      </c>
      <c r="K22" s="36">
        <v>10280</v>
      </c>
      <c r="L22" s="36">
        <v>0</v>
      </c>
      <c r="M22" s="32">
        <f t="shared" si="3"/>
        <v>13330</v>
      </c>
      <c r="N22" s="86">
        <v>0</v>
      </c>
      <c r="O22" s="86">
        <v>0</v>
      </c>
      <c r="P22" s="21">
        <v>0</v>
      </c>
      <c r="Q22" s="21">
        <f t="shared" ref="Q22:Q37" si="17">+R22-P22</f>
        <v>11600</v>
      </c>
      <c r="R22" s="32">
        <v>11600</v>
      </c>
      <c r="S22" s="70">
        <f>+M22-R22</f>
        <v>1730</v>
      </c>
      <c r="T22" s="46">
        <v>0</v>
      </c>
      <c r="U22" s="32">
        <v>11520</v>
      </c>
      <c r="V22" s="87">
        <f t="shared" si="5"/>
        <v>-1730</v>
      </c>
      <c r="W22" s="88">
        <f t="shared" si="6"/>
        <v>-80</v>
      </c>
      <c r="X22" s="89">
        <f t="shared" si="7"/>
        <v>-1810</v>
      </c>
      <c r="Y22" s="47">
        <v>1</v>
      </c>
      <c r="Z22" s="47"/>
      <c r="AA22" s="128">
        <f t="shared" si="8"/>
        <v>-0.68965517241379315</v>
      </c>
    </row>
    <row r="23" spans="1:28" ht="23.25" customHeight="1" x14ac:dyDescent="0.35">
      <c r="A23" s="20">
        <f t="shared" si="0"/>
        <v>17</v>
      </c>
      <c r="B23" s="22">
        <f t="shared" si="1"/>
        <v>0</v>
      </c>
      <c r="C23" s="35"/>
      <c r="D23" s="35"/>
      <c r="E23" s="35"/>
      <c r="F23" s="85"/>
      <c r="G23" s="85"/>
      <c r="H23" s="21">
        <v>0</v>
      </c>
      <c r="I23" s="21">
        <v>7140</v>
      </c>
      <c r="J23" s="21">
        <f t="shared" si="2"/>
        <v>7140</v>
      </c>
      <c r="K23" s="36">
        <v>7140</v>
      </c>
      <c r="L23" s="36">
        <v>0</v>
      </c>
      <c r="M23" s="32">
        <f t="shared" si="3"/>
        <v>7140</v>
      </c>
      <c r="N23" s="86">
        <v>0</v>
      </c>
      <c r="O23" s="86">
        <v>0</v>
      </c>
      <c r="P23" s="21">
        <v>0</v>
      </c>
      <c r="Q23" s="21">
        <f t="shared" si="17"/>
        <v>7120</v>
      </c>
      <c r="R23" s="32">
        <v>7120</v>
      </c>
      <c r="S23" s="70">
        <f t="shared" si="9"/>
        <v>20</v>
      </c>
      <c r="T23" s="46">
        <v>0</v>
      </c>
      <c r="U23" s="32">
        <v>7120</v>
      </c>
      <c r="V23" s="87">
        <f t="shared" si="5"/>
        <v>-20</v>
      </c>
      <c r="W23" s="88">
        <f t="shared" si="6"/>
        <v>0</v>
      </c>
      <c r="X23" s="89">
        <f t="shared" si="7"/>
        <v>-20</v>
      </c>
      <c r="Y23" s="47">
        <v>1</v>
      </c>
      <c r="Z23" s="47"/>
      <c r="AA23" s="128">
        <f t="shared" si="8"/>
        <v>0</v>
      </c>
    </row>
    <row r="24" spans="1:28" ht="23.25" customHeight="1" x14ac:dyDescent="0.35">
      <c r="A24" s="20">
        <f t="shared" si="0"/>
        <v>18</v>
      </c>
      <c r="B24" s="22">
        <f t="shared" si="1"/>
        <v>0</v>
      </c>
      <c r="C24" s="35"/>
      <c r="D24" s="35"/>
      <c r="E24" s="35"/>
      <c r="F24" s="85"/>
      <c r="G24" s="85"/>
      <c r="H24" s="21">
        <v>0</v>
      </c>
      <c r="I24" s="21">
        <v>3150</v>
      </c>
      <c r="J24" s="21">
        <f t="shared" si="2"/>
        <v>3150</v>
      </c>
      <c r="K24" s="36">
        <v>3150</v>
      </c>
      <c r="L24" s="36">
        <v>0</v>
      </c>
      <c r="M24" s="32">
        <f t="shared" si="3"/>
        <v>3150</v>
      </c>
      <c r="N24" s="86">
        <v>0</v>
      </c>
      <c r="O24" s="86">
        <v>0</v>
      </c>
      <c r="P24" s="5">
        <v>0</v>
      </c>
      <c r="Q24" s="21">
        <f t="shared" si="17"/>
        <v>0</v>
      </c>
      <c r="R24" s="32">
        <v>0</v>
      </c>
      <c r="S24" s="70">
        <f t="shared" si="9"/>
        <v>3150</v>
      </c>
      <c r="T24" s="46" t="s">
        <v>46</v>
      </c>
      <c r="U24" s="32">
        <v>0</v>
      </c>
      <c r="V24" s="87">
        <f t="shared" si="5"/>
        <v>0</v>
      </c>
      <c r="W24" s="88">
        <f t="shared" si="6"/>
        <v>0</v>
      </c>
      <c r="X24" s="89">
        <f t="shared" si="7"/>
        <v>0</v>
      </c>
      <c r="Y24" s="47">
        <v>0</v>
      </c>
      <c r="Z24" s="47"/>
      <c r="AA24" s="128" t="e">
        <f t="shared" si="8"/>
        <v>#DIV/0!</v>
      </c>
    </row>
    <row r="25" spans="1:28" ht="23.25" customHeight="1" x14ac:dyDescent="0.35">
      <c r="A25" s="20">
        <f t="shared" si="0"/>
        <v>19</v>
      </c>
      <c r="B25" s="22">
        <f t="shared" si="1"/>
        <v>3150</v>
      </c>
      <c r="C25" s="35">
        <v>0</v>
      </c>
      <c r="D25" s="35">
        <v>0</v>
      </c>
      <c r="E25" s="35">
        <v>0</v>
      </c>
      <c r="F25" s="85">
        <v>0</v>
      </c>
      <c r="G25" s="85">
        <v>0</v>
      </c>
      <c r="H25" s="21">
        <v>0</v>
      </c>
      <c r="I25" s="21">
        <v>27020</v>
      </c>
      <c r="J25" s="21">
        <f t="shared" si="2"/>
        <v>27020</v>
      </c>
      <c r="K25" s="36">
        <v>27020</v>
      </c>
      <c r="L25" s="36">
        <v>0</v>
      </c>
      <c r="M25" s="32">
        <f t="shared" si="3"/>
        <v>30170</v>
      </c>
      <c r="N25" s="86">
        <v>0</v>
      </c>
      <c r="O25" s="86">
        <v>0</v>
      </c>
      <c r="P25" s="5">
        <v>0</v>
      </c>
      <c r="Q25" s="21">
        <f t="shared" si="17"/>
        <v>22260</v>
      </c>
      <c r="R25" s="32">
        <v>22260</v>
      </c>
      <c r="S25" s="70">
        <f t="shared" si="9"/>
        <v>7910</v>
      </c>
      <c r="T25" s="46" t="s">
        <v>46</v>
      </c>
      <c r="U25" s="32">
        <v>22120</v>
      </c>
      <c r="V25" s="87">
        <f t="shared" si="5"/>
        <v>0</v>
      </c>
      <c r="W25" s="88">
        <f t="shared" si="6"/>
        <v>-140</v>
      </c>
      <c r="X25" s="89">
        <f t="shared" si="7"/>
        <v>-140</v>
      </c>
      <c r="Y25" s="47">
        <v>2</v>
      </c>
      <c r="Z25" s="47"/>
      <c r="AA25" s="128">
        <f t="shared" si="8"/>
        <v>-0.62893081761006286</v>
      </c>
    </row>
    <row r="26" spans="1:28" ht="23.25" customHeight="1" x14ac:dyDescent="0.35">
      <c r="A26" s="20">
        <f t="shared" si="0"/>
        <v>20</v>
      </c>
      <c r="B26" s="22">
        <f t="shared" si="1"/>
        <v>7910</v>
      </c>
      <c r="C26" s="35"/>
      <c r="D26" s="35"/>
      <c r="E26" s="35"/>
      <c r="F26" s="85"/>
      <c r="G26" s="85"/>
      <c r="H26" s="21">
        <v>0</v>
      </c>
      <c r="I26" s="21">
        <v>25140</v>
      </c>
      <c r="J26" s="21">
        <f t="shared" si="2"/>
        <v>25140</v>
      </c>
      <c r="K26" s="36">
        <v>25140</v>
      </c>
      <c r="L26" s="36">
        <v>0</v>
      </c>
      <c r="M26" s="32">
        <f t="shared" si="3"/>
        <v>33050</v>
      </c>
      <c r="N26" s="86">
        <v>0</v>
      </c>
      <c r="O26" s="86">
        <v>0</v>
      </c>
      <c r="P26" s="5">
        <v>0</v>
      </c>
      <c r="Q26" s="21">
        <f t="shared" si="17"/>
        <v>21590</v>
      </c>
      <c r="R26" s="32">
        <v>21590</v>
      </c>
      <c r="S26" s="70">
        <f>+M26-R26</f>
        <v>11460</v>
      </c>
      <c r="T26" s="46" t="s">
        <v>46</v>
      </c>
      <c r="U26" s="32">
        <v>21530</v>
      </c>
      <c r="V26" s="87">
        <f t="shared" si="5"/>
        <v>0</v>
      </c>
      <c r="W26" s="88">
        <f t="shared" si="6"/>
        <v>-60</v>
      </c>
      <c r="X26" s="89">
        <f t="shared" si="7"/>
        <v>-60</v>
      </c>
      <c r="Y26" s="47">
        <v>2</v>
      </c>
      <c r="Z26" s="47"/>
      <c r="AA26" s="128">
        <f t="shared" si="8"/>
        <v>-0.2779064381658175</v>
      </c>
    </row>
    <row r="27" spans="1:28" ht="23.25" customHeight="1" x14ac:dyDescent="0.35">
      <c r="A27" s="20">
        <f t="shared" si="0"/>
        <v>21</v>
      </c>
      <c r="B27" s="22">
        <f t="shared" si="1"/>
        <v>11460</v>
      </c>
      <c r="C27" s="35"/>
      <c r="D27" s="35"/>
      <c r="E27" s="35"/>
      <c r="F27" s="85"/>
      <c r="G27" s="85"/>
      <c r="H27" s="21">
        <v>0</v>
      </c>
      <c r="I27" s="21">
        <v>25670</v>
      </c>
      <c r="J27" s="21">
        <f t="shared" si="2"/>
        <v>25670</v>
      </c>
      <c r="K27" s="36">
        <v>25670</v>
      </c>
      <c r="L27" s="36">
        <v>0</v>
      </c>
      <c r="M27" s="32">
        <f t="shared" si="3"/>
        <v>37130</v>
      </c>
      <c r="N27" s="86">
        <v>0</v>
      </c>
      <c r="O27" s="86">
        <v>0</v>
      </c>
      <c r="P27" s="5">
        <v>0</v>
      </c>
      <c r="Q27" s="21">
        <f t="shared" si="17"/>
        <v>21530</v>
      </c>
      <c r="R27" s="32">
        <v>21530</v>
      </c>
      <c r="S27" s="70">
        <f t="shared" si="9"/>
        <v>15600</v>
      </c>
      <c r="T27" s="46" t="s">
        <v>46</v>
      </c>
      <c r="U27" s="32">
        <v>21380</v>
      </c>
      <c r="V27" s="87">
        <f t="shared" si="5"/>
        <v>0</v>
      </c>
      <c r="W27" s="88">
        <f t="shared" si="6"/>
        <v>-150</v>
      </c>
      <c r="X27" s="89">
        <f t="shared" si="7"/>
        <v>-150</v>
      </c>
      <c r="Y27" s="47">
        <v>2</v>
      </c>
      <c r="Z27" s="47"/>
      <c r="AA27" s="128">
        <f t="shared" si="8"/>
        <v>-0.69670227589410128</v>
      </c>
    </row>
    <row r="28" spans="1:28" ht="23.25" customHeight="1" x14ac:dyDescent="0.35">
      <c r="A28" s="20">
        <f t="shared" si="0"/>
        <v>22</v>
      </c>
      <c r="B28" s="22">
        <f t="shared" si="1"/>
        <v>15600</v>
      </c>
      <c r="C28" s="35"/>
      <c r="D28" s="35"/>
      <c r="E28" s="35"/>
      <c r="F28" s="85"/>
      <c r="G28" s="85"/>
      <c r="H28" s="21">
        <v>0</v>
      </c>
      <c r="I28" s="21">
        <v>0</v>
      </c>
      <c r="J28" s="21">
        <f t="shared" si="2"/>
        <v>0</v>
      </c>
      <c r="K28" s="36">
        <v>0</v>
      </c>
      <c r="L28" s="36">
        <v>0</v>
      </c>
      <c r="M28" s="32">
        <f t="shared" si="3"/>
        <v>15600</v>
      </c>
      <c r="N28" s="86">
        <v>0</v>
      </c>
      <c r="O28" s="86">
        <v>0</v>
      </c>
      <c r="P28" s="5">
        <v>0</v>
      </c>
      <c r="Q28" s="21">
        <f t="shared" si="17"/>
        <v>14800</v>
      </c>
      <c r="R28" s="32">
        <v>14800</v>
      </c>
      <c r="S28" s="70">
        <f t="shared" si="9"/>
        <v>800</v>
      </c>
      <c r="T28" s="46">
        <v>0</v>
      </c>
      <c r="U28" s="32">
        <v>14760</v>
      </c>
      <c r="V28" s="87">
        <f>IF(T28="-",0,T28-S28)</f>
        <v>-800</v>
      </c>
      <c r="W28" s="88">
        <f>+U28-R28</f>
        <v>-40</v>
      </c>
      <c r="X28" s="89">
        <f t="shared" si="7"/>
        <v>-840</v>
      </c>
      <c r="Y28" s="47">
        <v>2</v>
      </c>
      <c r="Z28" s="47"/>
      <c r="AA28" s="128">
        <f t="shared" si="8"/>
        <v>-0.27027027027027029</v>
      </c>
    </row>
    <row r="29" spans="1:28" ht="23.25" customHeight="1" x14ac:dyDescent="0.35">
      <c r="A29" s="20">
        <f t="shared" si="0"/>
        <v>23</v>
      </c>
      <c r="B29" s="22">
        <f t="shared" si="1"/>
        <v>0</v>
      </c>
      <c r="C29" s="35"/>
      <c r="D29" s="35"/>
      <c r="E29" s="35"/>
      <c r="F29" s="85"/>
      <c r="G29" s="85"/>
      <c r="H29" s="21">
        <v>0</v>
      </c>
      <c r="I29" s="21">
        <v>29350</v>
      </c>
      <c r="J29" s="21">
        <f t="shared" si="2"/>
        <v>29350</v>
      </c>
      <c r="K29" s="36">
        <v>29350</v>
      </c>
      <c r="L29" s="36">
        <v>0</v>
      </c>
      <c r="M29" s="32">
        <f t="shared" si="3"/>
        <v>29350</v>
      </c>
      <c r="N29" s="86">
        <v>0</v>
      </c>
      <c r="O29" s="86">
        <v>0</v>
      </c>
      <c r="P29" s="5">
        <v>0</v>
      </c>
      <c r="Q29" s="21">
        <f t="shared" si="17"/>
        <v>24610</v>
      </c>
      <c r="R29" s="32">
        <v>24610</v>
      </c>
      <c r="S29" s="70">
        <f t="shared" si="9"/>
        <v>4740</v>
      </c>
      <c r="T29" s="46" t="s">
        <v>46</v>
      </c>
      <c r="U29" s="32">
        <v>24500</v>
      </c>
      <c r="V29" s="87">
        <f t="shared" si="5"/>
        <v>0</v>
      </c>
      <c r="W29" s="88">
        <f t="shared" si="6"/>
        <v>-110</v>
      </c>
      <c r="X29" s="89">
        <f t="shared" si="7"/>
        <v>-110</v>
      </c>
      <c r="Y29" s="47">
        <v>2</v>
      </c>
      <c r="Z29" s="47"/>
      <c r="AA29" s="128">
        <f t="shared" si="8"/>
        <v>-0.44697277529459567</v>
      </c>
    </row>
    <row r="30" spans="1:28" ht="23.25" customHeight="1" x14ac:dyDescent="0.35">
      <c r="A30" s="20">
        <f t="shared" si="0"/>
        <v>24</v>
      </c>
      <c r="B30" s="22">
        <f t="shared" si="1"/>
        <v>4740</v>
      </c>
      <c r="C30" s="35"/>
      <c r="D30" s="35"/>
      <c r="E30" s="35"/>
      <c r="F30" s="85"/>
      <c r="G30" s="85"/>
      <c r="H30" s="21">
        <v>0</v>
      </c>
      <c r="I30" s="21">
        <v>36750</v>
      </c>
      <c r="J30" s="21">
        <f t="shared" si="2"/>
        <v>36750</v>
      </c>
      <c r="K30" s="36">
        <v>36750</v>
      </c>
      <c r="L30" s="36">
        <v>0</v>
      </c>
      <c r="M30" s="32">
        <f>+B30+J30</f>
        <v>41490</v>
      </c>
      <c r="N30" s="86">
        <v>0</v>
      </c>
      <c r="O30" s="86">
        <v>0</v>
      </c>
      <c r="P30" s="5">
        <v>0</v>
      </c>
      <c r="Q30" s="21">
        <f t="shared" si="17"/>
        <v>36390</v>
      </c>
      <c r="R30" s="32">
        <v>36390</v>
      </c>
      <c r="S30" s="70">
        <f t="shared" si="9"/>
        <v>5100</v>
      </c>
      <c r="T30" s="46" t="s">
        <v>46</v>
      </c>
      <c r="U30" s="32">
        <v>36270</v>
      </c>
      <c r="V30" s="87">
        <f t="shared" si="5"/>
        <v>0</v>
      </c>
      <c r="W30" s="88">
        <f t="shared" si="6"/>
        <v>-120</v>
      </c>
      <c r="X30" s="89">
        <f t="shared" si="7"/>
        <v>-120</v>
      </c>
      <c r="Y30" s="47">
        <v>3</v>
      </c>
      <c r="Z30" s="47"/>
      <c r="AA30" s="128">
        <f t="shared" si="8"/>
        <v>-0.32976092333058532</v>
      </c>
    </row>
    <row r="31" spans="1:28" ht="23.25" customHeight="1" x14ac:dyDescent="0.35">
      <c r="A31" s="20">
        <f t="shared" si="0"/>
        <v>25</v>
      </c>
      <c r="B31" s="22">
        <f t="shared" si="1"/>
        <v>5100</v>
      </c>
      <c r="C31" s="35"/>
      <c r="D31" s="35"/>
      <c r="E31" s="35"/>
      <c r="F31" s="85"/>
      <c r="G31" s="85"/>
      <c r="H31" s="21">
        <v>0</v>
      </c>
      <c r="I31" s="21">
        <v>55260</v>
      </c>
      <c r="J31" s="21">
        <f>SUM(F31:I31)</f>
        <v>55260</v>
      </c>
      <c r="K31" s="36">
        <v>50590</v>
      </c>
      <c r="L31" s="36">
        <v>4670</v>
      </c>
      <c r="M31" s="32">
        <f t="shared" si="3"/>
        <v>60360</v>
      </c>
      <c r="N31" s="86">
        <v>0</v>
      </c>
      <c r="O31" s="86">
        <v>0</v>
      </c>
      <c r="P31" s="5">
        <v>0</v>
      </c>
      <c r="Q31" s="21">
        <f t="shared" si="17"/>
        <v>36430</v>
      </c>
      <c r="R31" s="32">
        <v>36430</v>
      </c>
      <c r="S31" s="70">
        <f t="shared" si="9"/>
        <v>23930</v>
      </c>
      <c r="T31" s="46" t="s">
        <v>46</v>
      </c>
      <c r="U31" s="32">
        <v>36080</v>
      </c>
      <c r="V31" s="87">
        <f t="shared" si="5"/>
        <v>0</v>
      </c>
      <c r="W31" s="88">
        <f t="shared" si="6"/>
        <v>-350</v>
      </c>
      <c r="X31" s="89">
        <f t="shared" si="7"/>
        <v>-350</v>
      </c>
      <c r="Y31" s="47">
        <v>3</v>
      </c>
      <c r="Z31" s="47">
        <v>180</v>
      </c>
      <c r="AA31" s="128">
        <f t="shared" si="8"/>
        <v>-0.96074663738676913</v>
      </c>
      <c r="AB31" s="132" t="s">
        <v>47</v>
      </c>
    </row>
    <row r="32" spans="1:28" ht="23.25" customHeight="1" x14ac:dyDescent="0.35">
      <c r="A32" s="20">
        <f t="shared" si="0"/>
        <v>26</v>
      </c>
      <c r="B32" s="22">
        <f t="shared" si="1"/>
        <v>23930</v>
      </c>
      <c r="C32" s="35"/>
      <c r="D32" s="35"/>
      <c r="E32" s="35"/>
      <c r="F32" s="85"/>
      <c r="G32" s="85"/>
      <c r="H32" s="21">
        <v>0</v>
      </c>
      <c r="I32" s="21">
        <v>41400</v>
      </c>
      <c r="J32" s="21">
        <f t="shared" si="2"/>
        <v>41400</v>
      </c>
      <c r="K32" s="36">
        <v>41400</v>
      </c>
      <c r="L32" s="36">
        <v>0</v>
      </c>
      <c r="M32" s="32">
        <f t="shared" si="3"/>
        <v>65330</v>
      </c>
      <c r="N32" s="86">
        <v>0</v>
      </c>
      <c r="O32" s="86">
        <v>0</v>
      </c>
      <c r="P32" s="5">
        <v>0</v>
      </c>
      <c r="Q32" s="21">
        <f t="shared" si="17"/>
        <v>61390</v>
      </c>
      <c r="R32" s="32">
        <v>61390</v>
      </c>
      <c r="S32" s="70">
        <f t="shared" si="9"/>
        <v>3940</v>
      </c>
      <c r="T32" s="46" t="s">
        <v>46</v>
      </c>
      <c r="U32" s="32">
        <v>60990</v>
      </c>
      <c r="V32" s="87">
        <f t="shared" si="5"/>
        <v>0</v>
      </c>
      <c r="W32" s="88">
        <f t="shared" si="6"/>
        <v>-400</v>
      </c>
      <c r="X32" s="89">
        <f t="shared" si="7"/>
        <v>-400</v>
      </c>
      <c r="Y32" s="47">
        <v>5</v>
      </c>
      <c r="Z32" s="47">
        <v>170</v>
      </c>
      <c r="AA32" s="128">
        <f t="shared" si="8"/>
        <v>-0.65157191725036656</v>
      </c>
      <c r="AB32" s="131" t="s">
        <v>47</v>
      </c>
    </row>
    <row r="33" spans="1:31" ht="23.25" customHeight="1" x14ac:dyDescent="0.35">
      <c r="A33" s="20">
        <f t="shared" si="0"/>
        <v>27</v>
      </c>
      <c r="B33" s="22">
        <f t="shared" si="1"/>
        <v>3940</v>
      </c>
      <c r="C33" s="35"/>
      <c r="D33" s="35"/>
      <c r="E33" s="35"/>
      <c r="F33" s="85"/>
      <c r="G33" s="85"/>
      <c r="H33" s="21">
        <v>0</v>
      </c>
      <c r="I33" s="21">
        <v>19370</v>
      </c>
      <c r="J33" s="21">
        <f t="shared" si="2"/>
        <v>19370</v>
      </c>
      <c r="K33" s="36">
        <v>19370</v>
      </c>
      <c r="L33" s="36">
        <v>0</v>
      </c>
      <c r="M33" s="32">
        <f t="shared" si="3"/>
        <v>23310</v>
      </c>
      <c r="N33" s="86">
        <v>0</v>
      </c>
      <c r="O33" s="86">
        <v>0</v>
      </c>
      <c r="P33" s="5">
        <v>0</v>
      </c>
      <c r="Q33" s="21">
        <f t="shared" si="17"/>
        <v>22200</v>
      </c>
      <c r="R33" s="32">
        <v>22200</v>
      </c>
      <c r="S33" s="70">
        <f t="shared" si="9"/>
        <v>1110</v>
      </c>
      <c r="T33" s="46">
        <v>0</v>
      </c>
      <c r="U33" s="32">
        <v>22030</v>
      </c>
      <c r="V33" s="87">
        <f t="shared" si="5"/>
        <v>-1110</v>
      </c>
      <c r="W33" s="88">
        <f t="shared" si="6"/>
        <v>-170</v>
      </c>
      <c r="X33" s="89">
        <f t="shared" si="7"/>
        <v>-1280</v>
      </c>
      <c r="Y33" s="47">
        <v>2</v>
      </c>
      <c r="Z33" s="47">
        <v>60</v>
      </c>
      <c r="AA33" s="128">
        <f t="shared" si="8"/>
        <v>-0.76576576576576572</v>
      </c>
      <c r="AB33" s="131" t="s">
        <v>47</v>
      </c>
    </row>
    <row r="34" spans="1:31" ht="23.25" customHeight="1" x14ac:dyDescent="0.35">
      <c r="A34" s="20">
        <f t="shared" si="0"/>
        <v>28</v>
      </c>
      <c r="B34" s="22">
        <f t="shared" si="1"/>
        <v>0</v>
      </c>
      <c r="C34" s="35"/>
      <c r="D34" s="35"/>
      <c r="E34" s="35"/>
      <c r="F34" s="85"/>
      <c r="G34" s="85"/>
      <c r="H34" s="21">
        <v>0</v>
      </c>
      <c r="I34" s="21">
        <v>0</v>
      </c>
      <c r="J34" s="21">
        <f t="shared" si="2"/>
        <v>0</v>
      </c>
      <c r="K34" s="36">
        <v>0</v>
      </c>
      <c r="L34" s="36">
        <v>0</v>
      </c>
      <c r="M34" s="32">
        <f t="shared" si="3"/>
        <v>0</v>
      </c>
      <c r="N34" s="86">
        <v>0</v>
      </c>
      <c r="O34" s="86">
        <v>0</v>
      </c>
      <c r="P34" s="5">
        <v>0</v>
      </c>
      <c r="Q34" s="21">
        <f t="shared" si="17"/>
        <v>0</v>
      </c>
      <c r="R34" s="32">
        <v>0</v>
      </c>
      <c r="S34" s="70">
        <f t="shared" si="9"/>
        <v>0</v>
      </c>
      <c r="T34" s="46">
        <v>0</v>
      </c>
      <c r="U34" s="32">
        <v>0</v>
      </c>
      <c r="V34" s="87">
        <f t="shared" si="5"/>
        <v>0</v>
      </c>
      <c r="W34" s="88">
        <f t="shared" si="6"/>
        <v>0</v>
      </c>
      <c r="X34" s="89">
        <f t="shared" si="7"/>
        <v>0</v>
      </c>
      <c r="Y34" s="47">
        <v>0</v>
      </c>
      <c r="Z34" s="47"/>
      <c r="AA34" s="128" t="e">
        <f t="shared" si="8"/>
        <v>#DIV/0!</v>
      </c>
    </row>
    <row r="35" spans="1:31" ht="23.25" customHeight="1" x14ac:dyDescent="0.35">
      <c r="A35" s="20">
        <f t="shared" si="0"/>
        <v>29</v>
      </c>
      <c r="B35" s="22">
        <f t="shared" si="1"/>
        <v>0</v>
      </c>
      <c r="C35" s="35"/>
      <c r="D35" s="35"/>
      <c r="E35" s="35"/>
      <c r="F35" s="85"/>
      <c r="G35" s="85"/>
      <c r="H35" s="21">
        <v>0</v>
      </c>
      <c r="I35" s="21">
        <v>0</v>
      </c>
      <c r="J35" s="21">
        <f t="shared" si="2"/>
        <v>0</v>
      </c>
      <c r="K35" s="36">
        <v>0</v>
      </c>
      <c r="L35" s="36">
        <v>0</v>
      </c>
      <c r="M35" s="32">
        <f t="shared" si="3"/>
        <v>0</v>
      </c>
      <c r="N35" s="86">
        <v>0</v>
      </c>
      <c r="O35" s="86">
        <v>0</v>
      </c>
      <c r="P35" s="5">
        <v>0</v>
      </c>
      <c r="Q35" s="21">
        <f t="shared" si="17"/>
        <v>0</v>
      </c>
      <c r="R35" s="32">
        <v>0</v>
      </c>
      <c r="S35" s="70">
        <f t="shared" si="9"/>
        <v>0</v>
      </c>
      <c r="T35" s="46">
        <v>0</v>
      </c>
      <c r="U35" s="32">
        <v>0</v>
      </c>
      <c r="V35" s="87">
        <f t="shared" si="5"/>
        <v>0</v>
      </c>
      <c r="W35" s="88">
        <f>+U35-R35</f>
        <v>0</v>
      </c>
      <c r="X35" s="89">
        <f t="shared" si="7"/>
        <v>0</v>
      </c>
      <c r="Y35" s="47">
        <v>0</v>
      </c>
      <c r="Z35" s="47"/>
      <c r="AA35" s="128" t="e">
        <f t="shared" si="8"/>
        <v>#DIV/0!</v>
      </c>
    </row>
    <row r="36" spans="1:31" ht="23.25" customHeight="1" x14ac:dyDescent="0.35">
      <c r="A36" s="20">
        <f t="shared" si="0"/>
        <v>30</v>
      </c>
      <c r="B36" s="22">
        <f t="shared" si="1"/>
        <v>0</v>
      </c>
      <c r="C36" s="35"/>
      <c r="D36" s="35"/>
      <c r="E36" s="35"/>
      <c r="F36" s="85"/>
      <c r="G36" s="85"/>
      <c r="H36" s="21">
        <v>0</v>
      </c>
      <c r="I36" s="21">
        <v>0</v>
      </c>
      <c r="J36" s="21">
        <f t="shared" si="2"/>
        <v>0</v>
      </c>
      <c r="K36" s="36">
        <v>0</v>
      </c>
      <c r="L36" s="36">
        <v>0</v>
      </c>
      <c r="M36" s="32">
        <f t="shared" si="3"/>
        <v>0</v>
      </c>
      <c r="N36" s="86">
        <v>0</v>
      </c>
      <c r="O36" s="86">
        <v>0</v>
      </c>
      <c r="P36" s="5">
        <v>0</v>
      </c>
      <c r="Q36" s="21">
        <f t="shared" si="17"/>
        <v>0</v>
      </c>
      <c r="R36" s="32">
        <v>0</v>
      </c>
      <c r="S36" s="70">
        <f t="shared" si="9"/>
        <v>0</v>
      </c>
      <c r="T36" s="46">
        <v>0</v>
      </c>
      <c r="U36" s="32">
        <v>0</v>
      </c>
      <c r="V36" s="87">
        <f t="shared" si="5"/>
        <v>0</v>
      </c>
      <c r="W36" s="88">
        <f t="shared" si="6"/>
        <v>0</v>
      </c>
      <c r="X36" s="89">
        <f>+V36+W36</f>
        <v>0</v>
      </c>
      <c r="Y36" s="47">
        <v>0</v>
      </c>
      <c r="Z36" s="47"/>
      <c r="AA36" s="128" t="e">
        <f t="shared" si="8"/>
        <v>#DIV/0!</v>
      </c>
    </row>
    <row r="37" spans="1:31" ht="23.25" customHeight="1" x14ac:dyDescent="0.35">
      <c r="A37" s="20">
        <f t="shared" si="0"/>
        <v>31</v>
      </c>
      <c r="B37" s="22">
        <f t="shared" si="1"/>
        <v>0</v>
      </c>
      <c r="C37" s="35"/>
      <c r="D37" s="35"/>
      <c r="E37" s="35"/>
      <c r="F37" s="85"/>
      <c r="G37" s="85"/>
      <c r="H37" s="21">
        <v>0</v>
      </c>
      <c r="I37" s="21">
        <v>0</v>
      </c>
      <c r="J37" s="21">
        <f t="shared" si="2"/>
        <v>0</v>
      </c>
      <c r="K37" s="36">
        <v>0</v>
      </c>
      <c r="L37" s="36">
        <v>0</v>
      </c>
      <c r="M37" s="32">
        <f t="shared" si="3"/>
        <v>0</v>
      </c>
      <c r="N37" s="86"/>
      <c r="O37" s="86"/>
      <c r="P37" s="5">
        <v>0</v>
      </c>
      <c r="Q37" s="21">
        <f t="shared" si="17"/>
        <v>0</v>
      </c>
      <c r="R37" s="32">
        <v>0</v>
      </c>
      <c r="S37" s="70">
        <f t="shared" si="9"/>
        <v>0</v>
      </c>
      <c r="T37" s="46">
        <v>0</v>
      </c>
      <c r="U37" s="32">
        <v>0</v>
      </c>
      <c r="V37" s="87">
        <f t="shared" si="5"/>
        <v>0</v>
      </c>
      <c r="W37" s="88">
        <f t="shared" si="6"/>
        <v>0</v>
      </c>
      <c r="X37" s="89">
        <f>+V37+W37</f>
        <v>0</v>
      </c>
      <c r="Y37" s="47">
        <v>0</v>
      </c>
      <c r="Z37" s="47"/>
      <c r="AA37" s="128" t="e">
        <f t="shared" si="8"/>
        <v>#DIV/0!</v>
      </c>
    </row>
    <row r="38" spans="1:31" s="24" customFormat="1" ht="23.25" customHeight="1" thickBot="1" x14ac:dyDescent="0.4">
      <c r="A38" s="62" t="s">
        <v>6</v>
      </c>
      <c r="B38" s="44">
        <f>+B7</f>
        <v>0</v>
      </c>
      <c r="C38" s="43">
        <f>SUM(C7:C37)</f>
        <v>0</v>
      </c>
      <c r="D38" s="43">
        <f>SUM(D7:D37)</f>
        <v>0</v>
      </c>
      <c r="E38" s="43">
        <f>SUM(E7:E37)</f>
        <v>0</v>
      </c>
      <c r="F38" s="44">
        <f>SUM(F7:F37)</f>
        <v>0</v>
      </c>
      <c r="G38" s="44"/>
      <c r="H38" s="44">
        <f>SUM(H7:H37)</f>
        <v>0</v>
      </c>
      <c r="I38" s="44">
        <f>SUM(I7:I37)</f>
        <v>659530</v>
      </c>
      <c r="J38" s="63">
        <f>SUM(J7:J37)</f>
        <v>659530</v>
      </c>
      <c r="K38" s="44">
        <f>SUM(K7:K37)</f>
        <v>632520</v>
      </c>
      <c r="L38" s="44">
        <f>SUM(L7:L37)</f>
        <v>27010</v>
      </c>
      <c r="M38" s="64">
        <f>+B38+J38</f>
        <v>659530</v>
      </c>
      <c r="N38" s="64">
        <v>0</v>
      </c>
      <c r="O38" s="64">
        <v>0</v>
      </c>
      <c r="P38" s="64">
        <f>SUM(P7:P37)</f>
        <v>0</v>
      </c>
      <c r="Q38" s="64">
        <f>SUM(Q7:Q37)</f>
        <v>655230</v>
      </c>
      <c r="R38" s="95">
        <f>+P38+Q38</f>
        <v>655230</v>
      </c>
      <c r="S38" s="63">
        <f>+M38-R38</f>
        <v>4300</v>
      </c>
      <c r="T38" s="65">
        <f>+T37</f>
        <v>0</v>
      </c>
      <c r="U38" s="95">
        <f>SUM(U7:U37)</f>
        <v>652060</v>
      </c>
      <c r="V38" s="63">
        <f>SUM(V7:V37)</f>
        <v>-4300</v>
      </c>
      <c r="W38" s="63">
        <f>SUM(W7:W37)</f>
        <v>-3170</v>
      </c>
      <c r="X38" s="64">
        <f>SUM(X7:X37)</f>
        <v>-7470</v>
      </c>
      <c r="Y38" s="42">
        <f>SUM(Y7:Y37)</f>
        <v>60</v>
      </c>
      <c r="Z38" s="42">
        <f t="shared" ref="Z38" si="18">SUM(Z7:Z37)</f>
        <v>410</v>
      </c>
      <c r="AA38" s="129">
        <f>Z38*100/U38</f>
        <v>6.2877649296077046E-2</v>
      </c>
    </row>
    <row r="39" spans="1:31" s="14" customFormat="1" ht="23.25" customHeight="1" thickBot="1" x14ac:dyDescent="0.4">
      <c r="A39" s="153" t="s">
        <v>23</v>
      </c>
      <c r="B39" s="153"/>
      <c r="C39" s="66">
        <f>+C38/$A$36</f>
        <v>0</v>
      </c>
      <c r="D39" s="66">
        <f>+D38/$A$36</f>
        <v>0</v>
      </c>
      <c r="E39" s="66">
        <f>+E38/$A$36</f>
        <v>0</v>
      </c>
      <c r="F39" s="67">
        <f>+F38/$A$36</f>
        <v>0</v>
      </c>
      <c r="G39" s="67"/>
      <c r="H39" s="67">
        <f>+H38/A36</f>
        <v>0</v>
      </c>
      <c r="I39" s="67">
        <f>+I38/A36</f>
        <v>21984.333333333332</v>
      </c>
      <c r="J39" s="67">
        <f>+J38/$A$36</f>
        <v>21984.333333333332</v>
      </c>
      <c r="K39" s="90">
        <f t="shared" ref="K39:U39" si="19">+K38/$A$36</f>
        <v>21084</v>
      </c>
      <c r="L39" s="90">
        <f t="shared" si="19"/>
        <v>900.33333333333337</v>
      </c>
      <c r="M39" s="67">
        <f t="shared" si="19"/>
        <v>21984.333333333332</v>
      </c>
      <c r="N39" s="67">
        <f t="shared" si="19"/>
        <v>0</v>
      </c>
      <c r="O39" s="67">
        <f t="shared" si="19"/>
        <v>0</v>
      </c>
      <c r="P39" s="67">
        <f t="shared" si="19"/>
        <v>0</v>
      </c>
      <c r="Q39" s="67">
        <f t="shared" si="19"/>
        <v>21841</v>
      </c>
      <c r="R39" s="96">
        <f t="shared" si="19"/>
        <v>21841</v>
      </c>
      <c r="S39" s="67">
        <f t="shared" si="19"/>
        <v>143.33333333333334</v>
      </c>
      <c r="T39" s="68">
        <v>0</v>
      </c>
      <c r="U39" s="67">
        <f t="shared" si="19"/>
        <v>21735.333333333332</v>
      </c>
      <c r="V39" s="69">
        <f>+V38*100/M38</f>
        <v>-0.65197943990417417</v>
      </c>
      <c r="W39" s="69">
        <f>+W38*100/R38</f>
        <v>-0.48379958182622895</v>
      </c>
      <c r="X39" s="69">
        <f>+X38*100/(M38)</f>
        <v>-1.1326247479265537</v>
      </c>
      <c r="Y39" s="45">
        <f>+Y38/A36</f>
        <v>2</v>
      </c>
      <c r="Z39" s="45"/>
    </row>
    <row r="41" spans="1:31" x14ac:dyDescent="0.35">
      <c r="A41" s="6"/>
      <c r="B41" s="6"/>
      <c r="C41" s="25"/>
      <c r="D41" s="1"/>
      <c r="E41" s="10"/>
      <c r="F41" s="6"/>
      <c r="G41" s="6"/>
      <c r="H41" s="7"/>
      <c r="I41" s="7"/>
      <c r="K41" s="2"/>
      <c r="L41" s="2"/>
      <c r="M41" s="10"/>
      <c r="N41" s="10"/>
      <c r="O41" s="10"/>
      <c r="P41" s="7"/>
      <c r="Q41" s="7"/>
      <c r="R41" s="97"/>
      <c r="S41" s="3"/>
      <c r="T41" s="41"/>
      <c r="U41" s="1"/>
      <c r="V41" s="30"/>
      <c r="W41" s="30"/>
      <c r="X41" s="30"/>
      <c r="Y41" s="1"/>
      <c r="Z41" s="9"/>
      <c r="AA41" s="8"/>
      <c r="AB41" s="11"/>
      <c r="AC41" s="9"/>
      <c r="AD41" s="11"/>
      <c r="AE41" s="9"/>
    </row>
    <row r="42" spans="1:31" x14ac:dyDescent="0.35">
      <c r="B42" s="25"/>
      <c r="C42" s="25"/>
      <c r="D42" s="25"/>
      <c r="E42" s="25"/>
      <c r="F42" s="25"/>
      <c r="G42" s="25"/>
      <c r="H42" s="25"/>
      <c r="I42" s="25"/>
      <c r="K42" s="26"/>
      <c r="L42" s="26"/>
    </row>
  </sheetData>
  <mergeCells count="16">
    <mergeCell ref="A39:B39"/>
    <mergeCell ref="C5:E5"/>
    <mergeCell ref="V5:X5"/>
    <mergeCell ref="U5:U6"/>
    <mergeCell ref="S5:S6"/>
    <mergeCell ref="A5:A6"/>
    <mergeCell ref="B5:B6"/>
    <mergeCell ref="F5:I5"/>
    <mergeCell ref="Z5:Z6"/>
    <mergeCell ref="J5:J6"/>
    <mergeCell ref="M5:M6"/>
    <mergeCell ref="K5:L5"/>
    <mergeCell ref="Y5:Y6"/>
    <mergeCell ref="T5:T6"/>
    <mergeCell ref="N5:Q5"/>
    <mergeCell ref="R5:R6"/>
  </mergeCells>
  <pageMargins left="0.4" right="0.11811023622047245" top="0.39370078740157483" bottom="0.19685039370078741" header="0.19685039370078741" footer="0.11811023622047245"/>
  <pageSetup paperSize="9" scale="83" orientation="landscape" r:id="rId1"/>
  <headerFooter>
    <oddHeader>&amp;R&amp;P/&amp;N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43"/>
  <sheetViews>
    <sheetView tabSelected="1" zoomScale="90" zoomScaleNormal="90" workbookViewId="0">
      <pane xSplit="1" ySplit="6" topLeftCell="B28" activePane="bottomRight" state="frozen"/>
      <selection pane="topRight" activeCell="B1" sqref="B1"/>
      <selection pane="bottomLeft" activeCell="A8" sqref="A8"/>
      <selection pane="bottomRight" activeCell="AC39" sqref="AC39"/>
    </sheetView>
  </sheetViews>
  <sheetFormatPr defaultRowHeight="21" outlineLevelRow="1" outlineLevelCol="1" x14ac:dyDescent="0.35"/>
  <cols>
    <col min="1" max="1" width="6.5" style="12" customWidth="1"/>
    <col min="2" max="2" width="8.5" style="8" bestFit="1" customWidth="1"/>
    <col min="3" max="5" width="11" style="8" hidden="1" customWidth="1" outlineLevel="1"/>
    <col min="6" max="6" width="9.375" style="8" bestFit="1" customWidth="1" collapsed="1"/>
    <col min="7" max="7" width="10.25" style="8" bestFit="1" customWidth="1"/>
    <col min="8" max="8" width="9.875" style="8" bestFit="1" customWidth="1"/>
    <col min="9" max="10" width="8.75" style="8" bestFit="1" customWidth="1"/>
    <col min="11" max="11" width="10.25" style="8" bestFit="1" customWidth="1"/>
    <col min="12" max="12" width="11" style="4" hidden="1" customWidth="1" outlineLevel="1"/>
    <col min="13" max="13" width="12.75" style="4" hidden="1" customWidth="1" outlineLevel="1"/>
    <col min="14" max="14" width="11" style="8" customWidth="1" collapsed="1"/>
    <col min="15" max="15" width="10.25" style="8" bestFit="1" customWidth="1"/>
    <col min="16" max="18" width="8.75" style="8" bestFit="1" customWidth="1"/>
    <col min="19" max="19" width="10.25" style="8" bestFit="1" customWidth="1"/>
    <col min="20" max="20" width="8.5" style="8" bestFit="1" customWidth="1"/>
    <col min="21" max="21" width="8.375" style="11" bestFit="1" customWidth="1"/>
    <col min="22" max="22" width="7.5" style="11" bestFit="1" customWidth="1"/>
    <col min="23" max="23" width="10.25" style="8" bestFit="1" customWidth="1"/>
    <col min="24" max="24" width="9.5" style="51" customWidth="1"/>
    <col min="25" max="25" width="8.625" style="51" customWidth="1"/>
    <col min="26" max="26" width="9.5" style="51" customWidth="1"/>
    <col min="27" max="27" width="9.375" style="18" hidden="1" customWidth="1" outlineLevel="1"/>
    <col min="28" max="28" width="9" style="12" hidden="1" customWidth="1" outlineLevel="1"/>
    <col min="29" max="29" width="34.125" style="12" bestFit="1" customWidth="1" collapsed="1"/>
    <col min="30" max="16384" width="9" style="12"/>
  </cols>
  <sheetData>
    <row r="1" spans="1:29" s="14" customFormat="1" x14ac:dyDescent="0.35">
      <c r="A1" s="14" t="s">
        <v>27</v>
      </c>
      <c r="B1" s="9"/>
      <c r="C1" s="9"/>
      <c r="D1" s="9"/>
      <c r="E1" s="9"/>
      <c r="F1" s="9"/>
      <c r="G1" s="8"/>
      <c r="H1" s="9"/>
      <c r="I1" s="9"/>
      <c r="J1" s="9"/>
      <c r="K1" s="9"/>
      <c r="L1" s="3"/>
      <c r="M1" s="3"/>
      <c r="N1" s="8"/>
      <c r="O1" s="9"/>
      <c r="P1" s="9"/>
      <c r="Q1" s="9"/>
      <c r="R1" s="9"/>
      <c r="S1" s="9"/>
      <c r="T1" s="9"/>
      <c r="U1" s="27"/>
      <c r="V1" s="27"/>
      <c r="W1" s="9"/>
      <c r="X1" s="50"/>
      <c r="Y1" s="50"/>
      <c r="Z1" s="50"/>
      <c r="AA1" s="15"/>
    </row>
    <row r="2" spans="1:29" s="14" customFormat="1" x14ac:dyDescent="0.35">
      <c r="A2" s="16" t="s">
        <v>45</v>
      </c>
      <c r="B2" s="17"/>
      <c r="C2" s="17"/>
      <c r="D2" s="17"/>
      <c r="E2" s="9"/>
      <c r="F2" s="9"/>
      <c r="G2" s="8"/>
      <c r="H2" s="9"/>
      <c r="I2" s="9"/>
      <c r="J2" s="9"/>
      <c r="K2" s="9"/>
      <c r="L2" s="3"/>
      <c r="M2" s="3"/>
      <c r="N2" s="8"/>
      <c r="O2" s="9"/>
      <c r="P2" s="9"/>
      <c r="Q2" s="9"/>
      <c r="R2" s="9"/>
      <c r="S2" s="9"/>
      <c r="T2" s="9"/>
      <c r="U2" s="27"/>
      <c r="V2" s="27"/>
      <c r="W2" s="9"/>
      <c r="X2" s="50"/>
      <c r="Y2" s="50"/>
      <c r="Z2" s="50"/>
      <c r="AA2" s="15"/>
    </row>
    <row r="3" spans="1:29" s="14" customFormat="1" ht="27" customHeight="1" x14ac:dyDescent="0.35">
      <c r="A3" s="16" t="s">
        <v>32</v>
      </c>
      <c r="B3" s="17"/>
      <c r="C3" s="17"/>
      <c r="D3" s="17"/>
      <c r="E3" s="9"/>
      <c r="F3" s="9"/>
      <c r="G3" s="8"/>
      <c r="H3" s="9"/>
      <c r="I3" s="9"/>
      <c r="J3" s="9"/>
      <c r="K3" s="9"/>
      <c r="L3" s="3"/>
      <c r="M3" s="3"/>
      <c r="N3" s="8"/>
      <c r="O3" s="9"/>
      <c r="P3" s="9"/>
      <c r="Q3" s="9"/>
      <c r="R3" s="9"/>
      <c r="S3" s="9"/>
      <c r="T3" s="9"/>
      <c r="U3" s="27"/>
      <c r="V3" s="27"/>
      <c r="W3" s="9"/>
      <c r="X3" s="50"/>
      <c r="Y3" s="50"/>
      <c r="Z3" s="50"/>
      <c r="AA3" s="15"/>
    </row>
    <row r="4" spans="1:29" ht="3" customHeight="1" x14ac:dyDescent="0.35"/>
    <row r="5" spans="1:29" s="19" customFormat="1" ht="28.5" customHeight="1" x14ac:dyDescent="0.35">
      <c r="A5" s="139" t="s">
        <v>1</v>
      </c>
      <c r="B5" s="140" t="s">
        <v>21</v>
      </c>
      <c r="C5" s="154" t="s">
        <v>10</v>
      </c>
      <c r="D5" s="154"/>
      <c r="E5" s="154"/>
      <c r="F5" s="145" t="s">
        <v>14</v>
      </c>
      <c r="G5" s="146"/>
      <c r="H5" s="146"/>
      <c r="I5" s="146"/>
      <c r="J5" s="146"/>
      <c r="K5" s="147"/>
      <c r="L5" s="141" t="s">
        <v>18</v>
      </c>
      <c r="M5" s="141"/>
      <c r="N5" s="137" t="s">
        <v>13</v>
      </c>
      <c r="O5" s="145" t="s">
        <v>16</v>
      </c>
      <c r="P5" s="146"/>
      <c r="Q5" s="146"/>
      <c r="R5" s="146"/>
      <c r="S5" s="147"/>
      <c r="T5" s="160" t="s">
        <v>9</v>
      </c>
      <c r="U5" s="145" t="s">
        <v>25</v>
      </c>
      <c r="V5" s="147"/>
      <c r="W5" s="135" t="s">
        <v>19</v>
      </c>
      <c r="X5" s="155" t="s">
        <v>22</v>
      </c>
      <c r="Y5" s="155"/>
      <c r="Z5" s="155"/>
      <c r="AA5" s="159" t="s">
        <v>20</v>
      </c>
      <c r="AB5" s="137" t="s">
        <v>36</v>
      </c>
      <c r="AC5" s="156" t="s">
        <v>44</v>
      </c>
    </row>
    <row r="6" spans="1:29" s="19" customFormat="1" ht="36.75" customHeight="1" x14ac:dyDescent="0.35">
      <c r="A6" s="139"/>
      <c r="B6" s="140"/>
      <c r="C6" s="112" t="s">
        <v>3</v>
      </c>
      <c r="D6" s="154" t="s">
        <v>12</v>
      </c>
      <c r="E6" s="154"/>
      <c r="F6" s="112" t="s">
        <v>3</v>
      </c>
      <c r="G6" s="107" t="s">
        <v>10</v>
      </c>
      <c r="H6" s="109" t="s">
        <v>4</v>
      </c>
      <c r="I6" s="101" t="s">
        <v>35</v>
      </c>
      <c r="J6" s="108" t="s">
        <v>5</v>
      </c>
      <c r="K6" s="101" t="s">
        <v>6</v>
      </c>
      <c r="L6" s="113" t="s">
        <v>7</v>
      </c>
      <c r="M6" s="113" t="s">
        <v>8</v>
      </c>
      <c r="N6" s="138"/>
      <c r="O6" s="109" t="s">
        <v>10</v>
      </c>
      <c r="P6" s="109" t="s">
        <v>4</v>
      </c>
      <c r="Q6" s="101" t="s">
        <v>35</v>
      </c>
      <c r="R6" s="115" t="s">
        <v>5</v>
      </c>
      <c r="S6" s="101" t="s">
        <v>6</v>
      </c>
      <c r="T6" s="161"/>
      <c r="U6" s="101" t="s">
        <v>10</v>
      </c>
      <c r="V6" s="101" t="s">
        <v>5</v>
      </c>
      <c r="W6" s="135"/>
      <c r="X6" s="114" t="s">
        <v>11</v>
      </c>
      <c r="Y6" s="114" t="s">
        <v>17</v>
      </c>
      <c r="Z6" s="114" t="s">
        <v>6</v>
      </c>
      <c r="AA6" s="159"/>
      <c r="AB6" s="138"/>
      <c r="AC6" s="156"/>
    </row>
    <row r="7" spans="1:29" ht="23.25" customHeight="1" x14ac:dyDescent="0.35">
      <c r="A7" s="20">
        <v>1</v>
      </c>
      <c r="B7" s="21">
        <f>+แรมป์สวน!B7+ตะกุก!B7</f>
        <v>25330</v>
      </c>
      <c r="C7" s="35">
        <f>+แรมป์สวน!C7+ตะกุก!C7</f>
        <v>11640</v>
      </c>
      <c r="D7" s="35">
        <f>+แรมป์สวน!D7+ตะกุก!D7</f>
        <v>0</v>
      </c>
      <c r="E7" s="35">
        <f>+แรมป์สวน!E7+ตะกุก!E7</f>
        <v>6990</v>
      </c>
      <c r="F7" s="21">
        <f>+แรมป์สวน!G7</f>
        <v>11640</v>
      </c>
      <c r="G7" s="21">
        <f>+แรมป์สวน!H7+ตะกุก!F7</f>
        <v>6990</v>
      </c>
      <c r="H7" s="21">
        <f>+แรมป์สวน!I7+ตะกุก!G7</f>
        <v>0</v>
      </c>
      <c r="I7" s="21">
        <f>+แรมป์สวน!J7+ตะกุก!H7</f>
        <v>0</v>
      </c>
      <c r="J7" s="21">
        <f>+แรมป์สวน!K7+ตะกุก!I7</f>
        <v>0</v>
      </c>
      <c r="K7" s="21">
        <f>SUM(F7:J7)</f>
        <v>18630</v>
      </c>
      <c r="L7" s="36">
        <f>+แรมป์สวน!M7+ตะกุก!K7</f>
        <v>18630</v>
      </c>
      <c r="M7" s="36">
        <f>+แรมป์สวน!N7+ตะกุก!L7</f>
        <v>0</v>
      </c>
      <c r="N7" s="32">
        <f t="shared" ref="N7:N36" si="0">+B7+K7</f>
        <v>43960</v>
      </c>
      <c r="O7" s="21">
        <f>+แรมป์สวน!P7+ตะกุก!N7</f>
        <v>44030</v>
      </c>
      <c r="P7" s="21">
        <f>+แรมป์สวน!Q7+ตะกุก!O7</f>
        <v>0</v>
      </c>
      <c r="Q7" s="21">
        <f>+แรมป์สวน!R7+ตะกุก!P7</f>
        <v>0</v>
      </c>
      <c r="R7" s="21">
        <f>+แรมป์สวน!S7+ตะกุก!Q7</f>
        <v>0</v>
      </c>
      <c r="S7" s="32">
        <f>SUM(O7:R7)</f>
        <v>44030</v>
      </c>
      <c r="T7" s="70">
        <f t="shared" ref="T7:T38" si="1">+N7-S7</f>
        <v>-70</v>
      </c>
      <c r="U7" s="48">
        <f>+แรมป์สวน!V7</f>
        <v>0</v>
      </c>
      <c r="V7" s="48">
        <f>+ตะกุก!T7</f>
        <v>0</v>
      </c>
      <c r="W7" s="32">
        <f>+แรมป์สวน!W7+ตะกุก!U7</f>
        <v>43970</v>
      </c>
      <c r="X7" s="87">
        <f>+แรมป์สวน!X7+ตะกุก!V7</f>
        <v>70</v>
      </c>
      <c r="Y7" s="88">
        <f t="shared" ref="Y7:Y36" si="2">+W7-S7</f>
        <v>-60</v>
      </c>
      <c r="Z7" s="88">
        <f t="shared" ref="Z7" si="3">+X7+Y7</f>
        <v>10</v>
      </c>
      <c r="AA7" s="23">
        <f>+แรมป์สวน!AA7+ตะกุก!Y7</f>
        <v>2</v>
      </c>
      <c r="AB7" s="23">
        <f>+แรมป์สวน!AB7+ตะกุก!Z7</f>
        <v>0</v>
      </c>
      <c r="AC7" s="106"/>
    </row>
    <row r="8" spans="1:29" ht="23.25" customHeight="1" x14ac:dyDescent="0.35">
      <c r="A8" s="20">
        <f t="shared" ref="A8:A36" si="4">+A7+1</f>
        <v>2</v>
      </c>
      <c r="B8" s="21">
        <f>+แรมป์สวน!B8+ตะกุก!B8</f>
        <v>0</v>
      </c>
      <c r="C8" s="35">
        <f>+แรมป์สวน!C8+ตะกุก!C8</f>
        <v>32370</v>
      </c>
      <c r="D8" s="35">
        <f>+แรมป์สวน!D8+ตะกุก!D8</f>
        <v>47070</v>
      </c>
      <c r="E8" s="35">
        <f>+แรมป์สวน!E8+ตะกุก!E8</f>
        <v>14670</v>
      </c>
      <c r="F8" s="21">
        <f>+แรมป์สวน!G8</f>
        <v>32370</v>
      </c>
      <c r="G8" s="21">
        <f>+แรมป์สวน!H8+ตะกุก!F8</f>
        <v>61740</v>
      </c>
      <c r="H8" s="21">
        <f>+แรมป์สวน!I8+ตะกุก!G8</f>
        <v>0</v>
      </c>
      <c r="I8" s="21">
        <f>+แรมป์สวน!J8+ตะกุก!H8</f>
        <v>0</v>
      </c>
      <c r="J8" s="21">
        <f>+แรมป์สวน!K8+ตะกุก!I8</f>
        <v>8790</v>
      </c>
      <c r="K8" s="21">
        <f t="shared" ref="K8:K36" si="5">SUM(F8:J8)</f>
        <v>102900</v>
      </c>
      <c r="L8" s="36">
        <f>+แรมป์สวน!M8+ตะกุก!K8</f>
        <v>101620</v>
      </c>
      <c r="M8" s="36">
        <f>+แรมป์สวน!N8+ตะกุก!L8</f>
        <v>1280</v>
      </c>
      <c r="N8" s="32">
        <f t="shared" si="0"/>
        <v>102900</v>
      </c>
      <c r="O8" s="21">
        <f>+แรมป์สวน!P8+ตะกุก!N8</f>
        <v>93660</v>
      </c>
      <c r="P8" s="21">
        <f>+แรมป์สวน!Q8+ตะกุก!O8</f>
        <v>0</v>
      </c>
      <c r="Q8" s="21">
        <f>+แรมป์สวน!R8+ตะกุก!P8</f>
        <v>0</v>
      </c>
      <c r="R8" s="21">
        <f>+แรมป์สวน!S8+ตะกุก!Q8</f>
        <v>8740</v>
      </c>
      <c r="S8" s="32">
        <f t="shared" ref="S8:S36" si="6">SUM(O8:R8)</f>
        <v>102400</v>
      </c>
      <c r="T8" s="70">
        <f t="shared" si="1"/>
        <v>500</v>
      </c>
      <c r="U8" s="48">
        <f>+แรมป์สวน!V8</f>
        <v>0</v>
      </c>
      <c r="V8" s="48">
        <f>+ตะกุก!T8</f>
        <v>0</v>
      </c>
      <c r="W8" s="32">
        <f>+แรมป์สวน!W8+ตะกุก!U8</f>
        <v>102040</v>
      </c>
      <c r="X8" s="87">
        <f>+แรมป์สวน!X8+ตะกุก!V8</f>
        <v>-500</v>
      </c>
      <c r="Y8" s="88">
        <f t="shared" si="2"/>
        <v>-360</v>
      </c>
      <c r="Z8" s="89">
        <f>+X8+Y8</f>
        <v>-860</v>
      </c>
      <c r="AA8" s="23">
        <f>+แรมป์สวน!AA8+ตะกุก!Y8</f>
        <v>5</v>
      </c>
      <c r="AB8" s="23">
        <f>+แรมป์สวน!AB8+ตะกุก!Z8</f>
        <v>0</v>
      </c>
      <c r="AC8" s="106"/>
    </row>
    <row r="9" spans="1:29" ht="23.25" customHeight="1" x14ac:dyDescent="0.35">
      <c r="A9" s="20">
        <f t="shared" si="4"/>
        <v>3</v>
      </c>
      <c r="B9" s="21">
        <f>+แรมป์สวน!B9+ตะกุก!B9</f>
        <v>0</v>
      </c>
      <c r="C9" s="35">
        <f>+แรมป์สวน!C9+ตะกุก!C9</f>
        <v>0</v>
      </c>
      <c r="D9" s="35">
        <f>+แรมป์สวน!D9+ตะกุก!D9</f>
        <v>0</v>
      </c>
      <c r="E9" s="35">
        <f>+แรมป์สวน!E9+ตะกุก!E9</f>
        <v>0</v>
      </c>
      <c r="F9" s="21">
        <f>+แรมป์สวน!G9</f>
        <v>0</v>
      </c>
      <c r="G9" s="21">
        <f>+แรมป์สวน!H9+ตะกุก!F9</f>
        <v>0</v>
      </c>
      <c r="H9" s="21">
        <f>+แรมป์สวน!I9+ตะกุก!G9</f>
        <v>0</v>
      </c>
      <c r="I9" s="21">
        <f>+แรมป์สวน!J9+ตะกุก!H9</f>
        <v>0</v>
      </c>
      <c r="J9" s="21">
        <f>+แรมป์สวน!K9+ตะกุก!I9</f>
        <v>0</v>
      </c>
      <c r="K9" s="21">
        <f t="shared" si="5"/>
        <v>0</v>
      </c>
      <c r="L9" s="36">
        <f>+แรมป์สวน!M9+ตะกุก!K9</f>
        <v>0</v>
      </c>
      <c r="M9" s="36">
        <f>+แรมป์สวน!N9+ตะกุก!L9</f>
        <v>0</v>
      </c>
      <c r="N9" s="32">
        <f t="shared" si="0"/>
        <v>0</v>
      </c>
      <c r="O9" s="21">
        <f>+แรมป์สวน!P9+ตะกุก!N9</f>
        <v>0</v>
      </c>
      <c r="P9" s="21">
        <f>+แรมป์สวน!Q9+ตะกุก!O9</f>
        <v>0</v>
      </c>
      <c r="Q9" s="21">
        <f>+แรมป์สวน!R9+ตะกุก!P9</f>
        <v>0</v>
      </c>
      <c r="R9" s="21">
        <f>+แรมป์สวน!S9+ตะกุก!Q9</f>
        <v>0</v>
      </c>
      <c r="S9" s="32">
        <f t="shared" si="6"/>
        <v>0</v>
      </c>
      <c r="T9" s="70">
        <f t="shared" si="1"/>
        <v>0</v>
      </c>
      <c r="U9" s="48">
        <f>+แรมป์สวน!V9</f>
        <v>0</v>
      </c>
      <c r="V9" s="48">
        <f>+ตะกุก!T9</f>
        <v>0</v>
      </c>
      <c r="W9" s="32">
        <f>+แรมป์สวน!W9+ตะกุก!U9</f>
        <v>0</v>
      </c>
      <c r="X9" s="87">
        <f>+แรมป์สวน!X9+ตะกุก!V9</f>
        <v>0</v>
      </c>
      <c r="Y9" s="88">
        <f t="shared" si="2"/>
        <v>0</v>
      </c>
      <c r="Z9" s="89">
        <f t="shared" ref="Z9:Z35" si="7">+X9+Y9</f>
        <v>0</v>
      </c>
      <c r="AA9" s="23">
        <f>+แรมป์สวน!AA9+ตะกุก!Y9</f>
        <v>0</v>
      </c>
      <c r="AB9" s="23">
        <f>+แรมป์สวน!AB9+ตะกุก!Z9</f>
        <v>0</v>
      </c>
      <c r="AC9" s="106"/>
    </row>
    <row r="10" spans="1:29" ht="23.25" customHeight="1" x14ac:dyDescent="0.35">
      <c r="A10" s="20">
        <f t="shared" si="4"/>
        <v>4</v>
      </c>
      <c r="B10" s="21">
        <f>+แรมป์สวน!B10+ตะกุก!B10</f>
        <v>0</v>
      </c>
      <c r="C10" s="35">
        <f>+แรมป์สวน!C10+ตะกุก!C10</f>
        <v>37830</v>
      </c>
      <c r="D10" s="35">
        <f>+แรมป์สวน!D10+ตะกุก!D10</f>
        <v>56230</v>
      </c>
      <c r="E10" s="35">
        <f>+แรมป์สวน!E10+ตะกุก!E10</f>
        <v>38910</v>
      </c>
      <c r="F10" s="21">
        <f>+แรมป์สวน!G10</f>
        <v>37830</v>
      </c>
      <c r="G10" s="21">
        <f>+แรมป์สวน!H10+ตะกุก!F10</f>
        <v>95140</v>
      </c>
      <c r="H10" s="21">
        <f>+แรมป์สวน!I10+ตะกุก!G10</f>
        <v>0</v>
      </c>
      <c r="I10" s="21">
        <f>+แรมป์สวน!J10+ตะกุก!H10</f>
        <v>0</v>
      </c>
      <c r="J10" s="21">
        <f>+แรมป์สวน!K10+ตะกุก!I10</f>
        <v>8860</v>
      </c>
      <c r="K10" s="21">
        <f>SUM(F10:J10)</f>
        <v>141830</v>
      </c>
      <c r="L10" s="36">
        <f>+แรมป์สวน!M10+ตะกุก!K10</f>
        <v>120730</v>
      </c>
      <c r="M10" s="36">
        <f>+แรมป์สวน!N10+ตะกุก!L10</f>
        <v>21100</v>
      </c>
      <c r="N10" s="32">
        <f t="shared" si="0"/>
        <v>141830</v>
      </c>
      <c r="O10" s="21">
        <f>+แรมป์สวน!P10+ตะกุก!N10</f>
        <v>112800</v>
      </c>
      <c r="P10" s="21">
        <f>+แรมป์สวน!Q10+ตะกุก!O10</f>
        <v>0</v>
      </c>
      <c r="Q10" s="21">
        <f>+แรมป์สวน!R10+ตะกุก!P10</f>
        <v>0</v>
      </c>
      <c r="R10" s="21">
        <f>+แรมป์สวน!S10+ตะกุก!Q10</f>
        <v>8850</v>
      </c>
      <c r="S10" s="32">
        <f t="shared" si="6"/>
        <v>121650</v>
      </c>
      <c r="T10" s="70">
        <f t="shared" si="1"/>
        <v>20180</v>
      </c>
      <c r="U10" s="48">
        <f>+แรมป์สวน!V10</f>
        <v>19320</v>
      </c>
      <c r="V10" s="48">
        <f>+ตะกุก!T10</f>
        <v>0</v>
      </c>
      <c r="W10" s="32">
        <f>+แรมป์สวน!W10+ตะกุก!U10</f>
        <v>121260</v>
      </c>
      <c r="X10" s="87">
        <f>+แรมป์สวน!X10+ตะกุก!V10</f>
        <v>-860</v>
      </c>
      <c r="Y10" s="88">
        <f t="shared" si="2"/>
        <v>-390</v>
      </c>
      <c r="Z10" s="89">
        <f t="shared" si="7"/>
        <v>-1250</v>
      </c>
      <c r="AA10" s="23">
        <f>+แรมป์สวน!AA10+ตะกุก!Y10</f>
        <v>5</v>
      </c>
      <c r="AB10" s="23">
        <f>+แรมป์สวน!AB10+ตะกุก!Z10</f>
        <v>0</v>
      </c>
      <c r="AC10" s="106"/>
    </row>
    <row r="11" spans="1:29" ht="23.25" customHeight="1" x14ac:dyDescent="0.35">
      <c r="A11" s="20">
        <f t="shared" si="4"/>
        <v>5</v>
      </c>
      <c r="B11" s="21">
        <f>+แรมป์สวน!B11+ตะกุก!B11</f>
        <v>19320</v>
      </c>
      <c r="C11" s="35">
        <f>+แรมป์สวน!C11+ตะกุก!C11</f>
        <v>29930</v>
      </c>
      <c r="D11" s="35">
        <f>+แรมป์สวน!D11+ตะกุก!D11</f>
        <v>34210</v>
      </c>
      <c r="E11" s="35">
        <f>+แรมป์สวน!E11+ตะกุก!E11</f>
        <v>35090</v>
      </c>
      <c r="F11" s="21">
        <f>+แรมป์สวน!G11</f>
        <v>29930</v>
      </c>
      <c r="G11" s="21">
        <f>+แรมป์สวน!H11+ตะกุก!F11</f>
        <v>69300</v>
      </c>
      <c r="H11" s="21">
        <f>+แรมป์สวน!I11+ตะกุก!G11</f>
        <v>0</v>
      </c>
      <c r="I11" s="21">
        <f>+แรมป์สวน!J11+ตะกุก!H11</f>
        <v>0</v>
      </c>
      <c r="J11" s="21">
        <f>+แรมป์สวน!K11+ตะกุก!I11</f>
        <v>9400</v>
      </c>
      <c r="K11" s="21">
        <f t="shared" si="5"/>
        <v>108630</v>
      </c>
      <c r="L11" s="36">
        <f>+แรมป์สวน!M11+ตะกุก!K11</f>
        <v>93350</v>
      </c>
      <c r="M11" s="36">
        <f>+แรมป์สวน!N11+ตะกุก!L11</f>
        <v>15280</v>
      </c>
      <c r="N11" s="32">
        <f t="shared" si="0"/>
        <v>127950</v>
      </c>
      <c r="O11" s="21">
        <f>+แรมป์สวน!P11+ตะกุก!N11</f>
        <v>84680</v>
      </c>
      <c r="P11" s="21">
        <f>+แรมป์สวน!Q11+ตะกุก!O11</f>
        <v>0</v>
      </c>
      <c r="Q11" s="21">
        <f>+แรมป์สวน!R11+ตะกุก!P11</f>
        <v>0</v>
      </c>
      <c r="R11" s="21">
        <f>+แรมป์สวน!S11+ตะกุก!Q11</f>
        <v>9410</v>
      </c>
      <c r="S11" s="32">
        <f t="shared" si="6"/>
        <v>94090</v>
      </c>
      <c r="T11" s="70">
        <f t="shared" si="1"/>
        <v>33860</v>
      </c>
      <c r="U11" s="48">
        <f>+แรมป์สวน!V11</f>
        <v>33020</v>
      </c>
      <c r="V11" s="48">
        <f>+ตะกุก!T11</f>
        <v>0</v>
      </c>
      <c r="W11" s="32">
        <f>+แรมป์สวน!W11+ตะกุก!U11</f>
        <v>93790</v>
      </c>
      <c r="X11" s="87">
        <f>+แรมป์สวน!X11+ตะกุก!V11</f>
        <v>-840</v>
      </c>
      <c r="Y11" s="88">
        <f t="shared" si="2"/>
        <v>-300</v>
      </c>
      <c r="Z11" s="89">
        <f>+X11+Y11</f>
        <v>-1140</v>
      </c>
      <c r="AA11" s="23">
        <f>+แรมป์สวน!AA11+ตะกุก!Y11</f>
        <v>4</v>
      </c>
      <c r="AB11" s="23">
        <f>+แรมป์สวน!AB11+ตะกุก!Z11</f>
        <v>0</v>
      </c>
      <c r="AC11" s="106"/>
    </row>
    <row r="12" spans="1:29" ht="23.25" customHeight="1" x14ac:dyDescent="0.35">
      <c r="A12" s="20">
        <f t="shared" si="4"/>
        <v>6</v>
      </c>
      <c r="B12" s="21">
        <f>+แรมป์สวน!B12+ตะกุก!B12</f>
        <v>33020</v>
      </c>
      <c r="C12" s="35">
        <f>+แรมป์สวน!C12+ตะกุก!C12</f>
        <v>29170</v>
      </c>
      <c r="D12" s="35">
        <f>+แรมป์สวน!D12+ตะกุก!D12</f>
        <v>45580</v>
      </c>
      <c r="E12" s="35">
        <f>+แรมป์สวน!E12+ตะกุก!E12</f>
        <v>22460</v>
      </c>
      <c r="F12" s="21">
        <f>+แรมป์สวน!G12</f>
        <v>29170</v>
      </c>
      <c r="G12" s="21">
        <f>+แรมป์สวน!H12+ตะกุก!F12</f>
        <v>68040</v>
      </c>
      <c r="H12" s="21">
        <f>+แรมป์สวน!I12+ตะกุก!G12</f>
        <v>0</v>
      </c>
      <c r="I12" s="21">
        <f>+แรมป์สวน!J12+ตะกุก!H12</f>
        <v>0</v>
      </c>
      <c r="J12" s="21">
        <f>+แรมป์สวน!K12+ตะกุก!I12</f>
        <v>22390</v>
      </c>
      <c r="K12" s="21">
        <f t="shared" si="5"/>
        <v>119600</v>
      </c>
      <c r="L12" s="36">
        <f>+แรมป์สวน!M12+ตะกุก!K12</f>
        <v>105390</v>
      </c>
      <c r="M12" s="36">
        <f>+แรมป์สวน!N12+ตะกุก!L12</f>
        <v>14210</v>
      </c>
      <c r="N12" s="32">
        <f t="shared" si="0"/>
        <v>152620</v>
      </c>
      <c r="O12" s="21">
        <f>+แรมป์สวน!P12+ตะกุก!N12</f>
        <v>129910</v>
      </c>
      <c r="P12" s="21">
        <f>+แรมป์สวน!Q12+ตะกุก!O12</f>
        <v>0</v>
      </c>
      <c r="Q12" s="21">
        <f>+แรมป์สวน!R12+ตะกุก!P12</f>
        <v>0</v>
      </c>
      <c r="R12" s="21">
        <f>+แรมป์สวน!S12+ตะกุก!Q12</f>
        <v>12590</v>
      </c>
      <c r="S12" s="32">
        <f t="shared" si="6"/>
        <v>142500</v>
      </c>
      <c r="T12" s="70">
        <f t="shared" si="1"/>
        <v>10120</v>
      </c>
      <c r="U12" s="48">
        <f>+แรมป์สวน!V12</f>
        <v>0</v>
      </c>
      <c r="V12" s="48" t="str">
        <f>+ตะกุก!T12</f>
        <v>-</v>
      </c>
      <c r="W12" s="32">
        <f>+แรมป์สวน!W12+ตะกุก!U12</f>
        <v>142190</v>
      </c>
      <c r="X12" s="87">
        <f>+แรมป์สวน!X12+ตะกุก!V12</f>
        <v>-320</v>
      </c>
      <c r="Y12" s="88">
        <f t="shared" si="2"/>
        <v>-310</v>
      </c>
      <c r="Z12" s="89">
        <f t="shared" si="7"/>
        <v>-630</v>
      </c>
      <c r="AA12" s="23">
        <f>+แรมป์สวน!AA12+ตะกุก!Y12</f>
        <v>7</v>
      </c>
      <c r="AB12" s="23">
        <f>+แรมป์สวน!AB12+ตะกุก!Z12</f>
        <v>0</v>
      </c>
      <c r="AC12" s="106"/>
    </row>
    <row r="13" spans="1:29" ht="23.25" customHeight="1" x14ac:dyDescent="0.35">
      <c r="A13" s="20">
        <f t="shared" si="4"/>
        <v>7</v>
      </c>
      <c r="B13" s="21">
        <f>+แรมป์สวน!B13+ตะกุก!B13</f>
        <v>9800</v>
      </c>
      <c r="C13" s="35">
        <f>+แรมป์สวน!C13+ตะกุก!C13</f>
        <v>33230</v>
      </c>
      <c r="D13" s="35">
        <f>+แรมป์สวน!D13+ตะกุก!D13</f>
        <v>49060</v>
      </c>
      <c r="E13" s="35">
        <f>+แรมป์สวน!E13+ตะกุก!E13</f>
        <v>16600</v>
      </c>
      <c r="F13" s="21">
        <f>+แรมป์สวน!G13</f>
        <v>33230</v>
      </c>
      <c r="G13" s="21">
        <f>+แรมป์สวน!H13+ตะกุก!F13</f>
        <v>65660</v>
      </c>
      <c r="H13" s="21">
        <f>+แรมป์สวน!I13+ตะกุก!G13</f>
        <v>0</v>
      </c>
      <c r="I13" s="21">
        <f>+แรมป์สวน!J13+ตะกุก!H13</f>
        <v>0</v>
      </c>
      <c r="J13" s="21">
        <f>+แรมป์สวน!K13+ตะกุก!I13</f>
        <v>25220</v>
      </c>
      <c r="K13" s="21">
        <f t="shared" si="5"/>
        <v>124110</v>
      </c>
      <c r="L13" s="36">
        <f>+แรมป์สวน!M13+ตะกุก!K13</f>
        <v>116990</v>
      </c>
      <c r="M13" s="36">
        <f>+แรมป์สวน!N13+ตะกุก!L13</f>
        <v>7120</v>
      </c>
      <c r="N13" s="32">
        <f t="shared" si="0"/>
        <v>133910</v>
      </c>
      <c r="O13" s="21">
        <f>+แรมป์สวน!P13+ตะกุก!N13</f>
        <v>77250</v>
      </c>
      <c r="P13" s="21">
        <f>+แรมป์สวน!Q13+ตะกุก!O13</f>
        <v>0</v>
      </c>
      <c r="Q13" s="21">
        <f>+แรมป์สวน!R13+ตะกุก!P13</f>
        <v>0</v>
      </c>
      <c r="R13" s="21">
        <f>+แรมป์สวน!S13+ตะกุก!Q13</f>
        <v>22170</v>
      </c>
      <c r="S13" s="32">
        <f t="shared" si="6"/>
        <v>99420</v>
      </c>
      <c r="T13" s="70">
        <f t="shared" si="1"/>
        <v>34490</v>
      </c>
      <c r="U13" s="48">
        <f>+แรมป์สวน!V13</f>
        <v>21190</v>
      </c>
      <c r="V13" s="48" t="str">
        <f>+ตะกุก!T13</f>
        <v>-</v>
      </c>
      <c r="W13" s="32">
        <f>+แรมป์สวน!W13+ตะกุก!U13</f>
        <v>99190</v>
      </c>
      <c r="X13" s="87">
        <f>+แรมป์สวน!X13+ตะกุก!V13</f>
        <v>-450</v>
      </c>
      <c r="Y13" s="88">
        <f t="shared" si="2"/>
        <v>-230</v>
      </c>
      <c r="Z13" s="89">
        <f t="shared" si="7"/>
        <v>-680</v>
      </c>
      <c r="AA13" s="23">
        <f>+แรมป์สวน!AA13+ตะกุก!Y13</f>
        <v>5</v>
      </c>
      <c r="AB13" s="23">
        <f>+แรมป์สวน!AB13+ตะกุก!Z13</f>
        <v>0</v>
      </c>
      <c r="AC13" s="106"/>
    </row>
    <row r="14" spans="1:29" ht="23.25" customHeight="1" x14ac:dyDescent="0.35">
      <c r="A14" s="20">
        <f t="shared" si="4"/>
        <v>8</v>
      </c>
      <c r="B14" s="21">
        <f>+แรมป์สวน!B14+ตะกุก!B14</f>
        <v>34040</v>
      </c>
      <c r="C14" s="35">
        <f>+แรมป์สวน!C14+ตะกุก!C14</f>
        <v>0</v>
      </c>
      <c r="D14" s="35">
        <f>+แรมป์สวน!D14+ตะกุก!D14</f>
        <v>0</v>
      </c>
      <c r="E14" s="35">
        <f>+แรมป์สวน!E14+ตะกุก!E14</f>
        <v>0</v>
      </c>
      <c r="F14" s="21">
        <f>+แรมป์สวน!G14</f>
        <v>0</v>
      </c>
      <c r="G14" s="21">
        <f>+แรมป์สวน!H14+ตะกุก!F14</f>
        <v>0</v>
      </c>
      <c r="H14" s="21">
        <f>+แรมป์สวน!I14+ตะกุก!G14</f>
        <v>0</v>
      </c>
      <c r="I14" s="21">
        <f>+แรมป์สวน!J14+ตะกุก!H14</f>
        <v>0</v>
      </c>
      <c r="J14" s="21">
        <f>+แรมป์สวน!K14+ตะกุก!I14</f>
        <v>31030</v>
      </c>
      <c r="K14" s="21">
        <f t="shared" si="5"/>
        <v>31030</v>
      </c>
      <c r="L14" s="36">
        <f>+แรมป์สวน!M14+ตะกุก!K14</f>
        <v>31030</v>
      </c>
      <c r="M14" s="36">
        <f>+แรมป์สวน!N14+ตะกุก!L14</f>
        <v>0</v>
      </c>
      <c r="N14" s="32">
        <f t="shared" si="0"/>
        <v>65070</v>
      </c>
      <c r="O14" s="21">
        <f>+แรมป์สวน!P14+ตะกุก!N14</f>
        <v>21190</v>
      </c>
      <c r="P14" s="21">
        <f>+แรมป์สวน!Q14+ตะกุก!O14</f>
        <v>0</v>
      </c>
      <c r="Q14" s="21">
        <f>+แรมป์สวน!R14+ตะกุก!P14</f>
        <v>0</v>
      </c>
      <c r="R14" s="21">
        <f>+แรมป์สวน!S14+ตะกุก!Q14</f>
        <v>43290</v>
      </c>
      <c r="S14" s="32">
        <f t="shared" si="6"/>
        <v>64480</v>
      </c>
      <c r="T14" s="70">
        <f t="shared" si="1"/>
        <v>590</v>
      </c>
      <c r="U14" s="48">
        <f>+แรมป์สวน!V14</f>
        <v>0</v>
      </c>
      <c r="V14" s="48">
        <f>+ตะกุก!T14</f>
        <v>0</v>
      </c>
      <c r="W14" s="32">
        <f>+แรมป์สวน!W14+ตะกุก!U14</f>
        <v>64320</v>
      </c>
      <c r="X14" s="87">
        <f>+แรมป์สวน!X14+ตะกุก!V14</f>
        <v>-590</v>
      </c>
      <c r="Y14" s="88">
        <f t="shared" si="2"/>
        <v>-160</v>
      </c>
      <c r="Z14" s="89">
        <f t="shared" si="7"/>
        <v>-750</v>
      </c>
      <c r="AA14" s="23">
        <f>+แรมป์สวน!AA14+ตะกุก!Y14</f>
        <v>5</v>
      </c>
      <c r="AB14" s="23">
        <f>+แรมป์สวน!AB14+ตะกุก!Z14</f>
        <v>0</v>
      </c>
      <c r="AC14" s="106"/>
    </row>
    <row r="15" spans="1:29" ht="23.25" customHeight="1" x14ac:dyDescent="0.35">
      <c r="A15" s="20">
        <f t="shared" si="4"/>
        <v>9</v>
      </c>
      <c r="B15" s="21">
        <f>+แรมป์สวน!B15+ตะกุก!B15</f>
        <v>0</v>
      </c>
      <c r="C15" s="35">
        <f>+แรมป์สวน!C15+ตะกุก!C15</f>
        <v>20710</v>
      </c>
      <c r="D15" s="35">
        <f>+แรมป์สวน!D15+ตะกุก!D15</f>
        <v>48700</v>
      </c>
      <c r="E15" s="35">
        <f>+แรมป์สวน!E15+ตะกุก!E15</f>
        <v>15430</v>
      </c>
      <c r="F15" s="21">
        <f>+แรมป์สวน!G15</f>
        <v>20710</v>
      </c>
      <c r="G15" s="21">
        <f>+แรมป์สวน!H15+ตะกุก!F15</f>
        <v>64130</v>
      </c>
      <c r="H15" s="21">
        <f>+แรมป์สวน!I15+ตะกุก!G15</f>
        <v>0</v>
      </c>
      <c r="I15" s="21">
        <f>+แรมป์สวน!J15+ตะกุก!H15</f>
        <v>0</v>
      </c>
      <c r="J15" s="21">
        <f>+แรมป์สวน!K15+ตะกุก!I15</f>
        <v>33520</v>
      </c>
      <c r="K15" s="21">
        <f t="shared" si="5"/>
        <v>118360</v>
      </c>
      <c r="L15" s="36">
        <f>+แรมป์สวน!M15+ตะกุก!K15</f>
        <v>118360</v>
      </c>
      <c r="M15" s="36">
        <f>+แรมป์สวน!N15+ตะกุก!L15</f>
        <v>0</v>
      </c>
      <c r="N15" s="32">
        <f t="shared" si="0"/>
        <v>118360</v>
      </c>
      <c r="O15" s="21">
        <f>+แรมป์สวน!P15+ตะกุก!N15</f>
        <v>55060</v>
      </c>
      <c r="P15" s="21">
        <f>+แรมป์สวน!Q15+ตะกุก!O15</f>
        <v>0</v>
      </c>
      <c r="Q15" s="21">
        <f>+แรมป์สวน!R15+ตะกุก!P15</f>
        <v>0</v>
      </c>
      <c r="R15" s="21">
        <f>+แรมป์สวน!S15+ตะกุก!Q15</f>
        <v>22030</v>
      </c>
      <c r="S15" s="32">
        <f t="shared" si="6"/>
        <v>77090</v>
      </c>
      <c r="T15" s="70">
        <f t="shared" si="1"/>
        <v>41270</v>
      </c>
      <c r="U15" s="48">
        <f>+แรมป์สวน!V15</f>
        <v>28840</v>
      </c>
      <c r="V15" s="48" t="str">
        <f>+ตะกุก!T15</f>
        <v>-</v>
      </c>
      <c r="W15" s="32">
        <f>+แรมป์สวน!W15+ตะกุก!U15</f>
        <v>76830</v>
      </c>
      <c r="X15" s="87">
        <f>+แรมป์สวน!X15+ตะกุก!V15</f>
        <v>-940</v>
      </c>
      <c r="Y15" s="88">
        <f t="shared" si="2"/>
        <v>-260</v>
      </c>
      <c r="Z15" s="89">
        <f t="shared" si="7"/>
        <v>-1200</v>
      </c>
      <c r="AA15" s="23">
        <f>+แรมป์สวน!AA15+ตะกุก!Y15</f>
        <v>5</v>
      </c>
      <c r="AB15" s="23">
        <f>+แรมป์สวน!AB15+ตะกุก!Z15</f>
        <v>0</v>
      </c>
      <c r="AC15" s="106"/>
    </row>
    <row r="16" spans="1:29" ht="23.25" customHeight="1" x14ac:dyDescent="0.35">
      <c r="A16" s="20">
        <f t="shared" si="4"/>
        <v>10</v>
      </c>
      <c r="B16" s="21">
        <f>+แรมป์สวน!B16+ตะกุก!B16</f>
        <v>40330</v>
      </c>
      <c r="C16" s="35">
        <f>+แรมป์สวน!C16+ตะกุก!C16</f>
        <v>27140</v>
      </c>
      <c r="D16" s="35">
        <f>+แรมป์สวน!D16+ตะกุก!D16</f>
        <v>47690</v>
      </c>
      <c r="E16" s="35">
        <f>+แรมป์สวน!E16+ตะกุก!E16</f>
        <v>14250</v>
      </c>
      <c r="F16" s="21">
        <f>+แรมป์สวน!G16</f>
        <v>27140</v>
      </c>
      <c r="G16" s="21">
        <f>+แรมป์สวน!H16+ตะกุก!F16</f>
        <v>61940</v>
      </c>
      <c r="H16" s="21">
        <f>+แรมป์สวน!I16+ตะกุก!G16</f>
        <v>0</v>
      </c>
      <c r="I16" s="21">
        <f>+แรมป์สวน!J16+ตะกุก!H16</f>
        <v>0</v>
      </c>
      <c r="J16" s="21">
        <f>+แรมป์สวน!K16+ตะกุก!I16</f>
        <v>30850</v>
      </c>
      <c r="K16" s="21">
        <f t="shared" si="5"/>
        <v>119930</v>
      </c>
      <c r="L16" s="36">
        <f>+แรมป์สวน!M16+ตะกุก!K16</f>
        <v>114660</v>
      </c>
      <c r="M16" s="36">
        <f>+แรมป์สวน!N16+ตะกุก!L16</f>
        <v>5270</v>
      </c>
      <c r="N16" s="32">
        <f t="shared" si="0"/>
        <v>160260</v>
      </c>
      <c r="O16" s="21">
        <f>+แรมป์สวน!P16+ตะกุก!N16</f>
        <v>77460</v>
      </c>
      <c r="P16" s="21">
        <f>+แรมป์สวน!Q16+ตะกุก!O16</f>
        <v>0</v>
      </c>
      <c r="Q16" s="21">
        <f>+แรมป์สวน!R16+ตะกุก!P16</f>
        <v>0</v>
      </c>
      <c r="R16" s="21">
        <f>+แรมป์สวน!S16+ตะกุก!Q16</f>
        <v>22390</v>
      </c>
      <c r="S16" s="32">
        <f t="shared" si="6"/>
        <v>99850</v>
      </c>
      <c r="T16" s="70">
        <f t="shared" si="1"/>
        <v>60410</v>
      </c>
      <c r="U16" s="48">
        <f>+แรมป์สวน!V16</f>
        <v>39970</v>
      </c>
      <c r="V16" s="48" t="str">
        <f>+ตะกุก!T16</f>
        <v>-</v>
      </c>
      <c r="W16" s="32">
        <f>+แรมป์สวน!W16+ตะกุก!U16</f>
        <v>99540</v>
      </c>
      <c r="X16" s="87">
        <f>+แรมป์สวน!X16+ตะกุก!V16</f>
        <v>-490</v>
      </c>
      <c r="Y16" s="88">
        <f t="shared" si="2"/>
        <v>-310</v>
      </c>
      <c r="Z16" s="89">
        <f t="shared" si="7"/>
        <v>-800</v>
      </c>
      <c r="AA16" s="23">
        <f>+แรมป์สวน!AA16+ตะกุก!Y16</f>
        <v>5</v>
      </c>
      <c r="AB16" s="23">
        <f>+แรมป์สวน!AB16+ตะกุก!Z16</f>
        <v>0</v>
      </c>
      <c r="AC16" s="106"/>
    </row>
    <row r="17" spans="1:29" ht="23.25" customHeight="1" x14ac:dyDescent="0.35">
      <c r="A17" s="20">
        <f t="shared" si="4"/>
        <v>11</v>
      </c>
      <c r="B17" s="21">
        <f>+แรมป์สวน!B17+ตะกุก!B17</f>
        <v>59920</v>
      </c>
      <c r="C17" s="35">
        <f>+แรมป์สวน!C17+ตะกุก!C17</f>
        <v>37540</v>
      </c>
      <c r="D17" s="35">
        <f>+แรมป์สวน!D17+ตะกุก!D17</f>
        <v>45590</v>
      </c>
      <c r="E17" s="35">
        <f>+แรมป์สวน!E17+ตะกุก!E17</f>
        <v>17890</v>
      </c>
      <c r="F17" s="21">
        <f>+แรมป์สวน!G17</f>
        <v>37540</v>
      </c>
      <c r="G17" s="21">
        <f>+แรมป์สวน!H17+ตะกุก!F17</f>
        <v>63480</v>
      </c>
      <c r="H17" s="21">
        <f>+แรมป์สวน!I17+ตะกุก!G17</f>
        <v>0</v>
      </c>
      <c r="I17" s="21">
        <f>+แรมป์สวน!J17+ตะกุก!H17</f>
        <v>0</v>
      </c>
      <c r="J17" s="21">
        <f>+แรมป์สวน!K17+ตะกุก!I17</f>
        <v>47690</v>
      </c>
      <c r="K17" s="21">
        <f t="shared" si="5"/>
        <v>148710</v>
      </c>
      <c r="L17" s="36">
        <f>+แรมป์สวน!M17+ตะกุก!K17</f>
        <v>140080</v>
      </c>
      <c r="M17" s="36">
        <f>+แรมป์สวน!N17+ตะกุก!L17</f>
        <v>8630</v>
      </c>
      <c r="N17" s="32">
        <f t="shared" si="0"/>
        <v>208630</v>
      </c>
      <c r="O17" s="21">
        <f>+แรมป์สวน!P17+ตะกุก!N17</f>
        <v>110600</v>
      </c>
      <c r="P17" s="21">
        <f>+แรมป์สวน!Q17+ตะกุก!O17</f>
        <v>0</v>
      </c>
      <c r="Q17" s="21">
        <f>+แรมป์สวน!R17+ตะกุก!P17</f>
        <v>0</v>
      </c>
      <c r="R17" s="21">
        <f>+แรมป์สวน!S17+ตะกุก!Q17</f>
        <v>66020</v>
      </c>
      <c r="S17" s="32">
        <f t="shared" si="6"/>
        <v>176620</v>
      </c>
      <c r="T17" s="70">
        <f t="shared" si="1"/>
        <v>32010</v>
      </c>
      <c r="U17" s="48">
        <f>+แรมป์สวน!V17</f>
        <v>29800</v>
      </c>
      <c r="V17" s="48" t="str">
        <f>+ตะกุก!T17</f>
        <v>-</v>
      </c>
      <c r="W17" s="32">
        <f>+แรมป์สวน!W17+ตะกุก!U17</f>
        <v>176160</v>
      </c>
      <c r="X17" s="87">
        <f>+แรมป์สวน!X17+ตะกุก!V17</f>
        <v>-590</v>
      </c>
      <c r="Y17" s="88">
        <f t="shared" si="2"/>
        <v>-460</v>
      </c>
      <c r="Z17" s="89">
        <f t="shared" si="7"/>
        <v>-1050</v>
      </c>
      <c r="AA17" s="23">
        <f>+แรมป์สวน!AA17+ตะกุก!Y17</f>
        <v>12</v>
      </c>
      <c r="AB17" s="23">
        <f>+แรมป์สวน!AB17+ตะกุก!Z17</f>
        <v>0</v>
      </c>
      <c r="AC17" s="106"/>
    </row>
    <row r="18" spans="1:29" ht="23.25" customHeight="1" x14ac:dyDescent="0.35">
      <c r="A18" s="20">
        <f t="shared" si="4"/>
        <v>12</v>
      </c>
      <c r="B18" s="21">
        <f>+แรมป์สวน!B18+ตะกุก!B18</f>
        <v>31420</v>
      </c>
      <c r="C18" s="35">
        <f>+แรมป์สวน!C18+ตะกุก!C18</f>
        <v>32580</v>
      </c>
      <c r="D18" s="35">
        <f>+แรมป์สวน!D18+ตะกุก!D18</f>
        <v>43430</v>
      </c>
      <c r="E18" s="35">
        <f>+แรมป์สวน!E18+ตะกุก!E18</f>
        <v>20620</v>
      </c>
      <c r="F18" s="21">
        <f>+แรมป์สวน!G18</f>
        <v>32580</v>
      </c>
      <c r="G18" s="21">
        <f>+แรมป์สวน!H18+ตะกุก!F18</f>
        <v>64050</v>
      </c>
      <c r="H18" s="21">
        <f>+แรมป์สวน!I18+ตะกุก!G18</f>
        <v>0</v>
      </c>
      <c r="I18" s="21">
        <f>+แรมป์สวน!J18+ตะกุก!H18</f>
        <v>0</v>
      </c>
      <c r="J18" s="21">
        <f>+แรมป์สวน!K18+ตะกุก!I18</f>
        <v>58830</v>
      </c>
      <c r="K18" s="21">
        <f t="shared" si="5"/>
        <v>155460</v>
      </c>
      <c r="L18" s="36">
        <f>+แรมป์สวน!M18+ตะกุก!K18</f>
        <v>140030</v>
      </c>
      <c r="M18" s="36">
        <f>+แรมป์สวน!N18+ตะกุก!L18</f>
        <v>15430</v>
      </c>
      <c r="N18" s="32">
        <f t="shared" si="0"/>
        <v>186880</v>
      </c>
      <c r="O18" s="21">
        <f>+แรมป์สวน!P18+ตะกุก!N18</f>
        <v>122140</v>
      </c>
      <c r="P18" s="21">
        <f>+แรมป์สวน!Q18+ตะกุก!O18</f>
        <v>0</v>
      </c>
      <c r="Q18" s="21">
        <f>+แรมป์สวน!R18+ตะกุก!P18</f>
        <v>0</v>
      </c>
      <c r="R18" s="21">
        <f>+แรมป์สวน!S18+ตะกุก!Q18</f>
        <v>36360</v>
      </c>
      <c r="S18" s="32">
        <f t="shared" si="6"/>
        <v>158500</v>
      </c>
      <c r="T18" s="70">
        <f t="shared" si="1"/>
        <v>28380</v>
      </c>
      <c r="U18" s="48">
        <f>+แรมป์สวน!V18</f>
        <v>3750</v>
      </c>
      <c r="V18" s="48" t="str">
        <f>+ตะกุก!T18</f>
        <v>-</v>
      </c>
      <c r="W18" s="32">
        <f>+แรมป์สวน!W18+ตะกุก!U18</f>
        <v>157950</v>
      </c>
      <c r="X18" s="87">
        <f>+แรมป์สวน!X18+ตะกุก!V18</f>
        <v>-540</v>
      </c>
      <c r="Y18" s="88">
        <f t="shared" si="2"/>
        <v>-550</v>
      </c>
      <c r="Z18" s="89">
        <f t="shared" si="7"/>
        <v>-1090</v>
      </c>
      <c r="AA18" s="23">
        <f>+แรมป์สวน!AA18+ตะกุก!Y18</f>
        <v>10</v>
      </c>
      <c r="AB18" s="23">
        <f>+แรมป์สวน!AB18+ตะกุก!Z18</f>
        <v>0</v>
      </c>
      <c r="AC18" s="106"/>
    </row>
    <row r="19" spans="1:29" ht="23.25" customHeight="1" x14ac:dyDescent="0.35">
      <c r="A19" s="20">
        <f t="shared" si="4"/>
        <v>13</v>
      </c>
      <c r="B19" s="21">
        <f>+แรมป์สวน!B19+ตะกุก!B19</f>
        <v>27840</v>
      </c>
      <c r="C19" s="35">
        <f>+แรมป์สวน!C19+ตะกุก!C19</f>
        <v>23530</v>
      </c>
      <c r="D19" s="35">
        <f>+แรมป์สวน!D19+ตะกุก!D19</f>
        <v>56040</v>
      </c>
      <c r="E19" s="35">
        <f>+แรมป์สวน!E19+ตะกุก!E19</f>
        <v>13360</v>
      </c>
      <c r="F19" s="21">
        <f>+แรมป์สวน!G19</f>
        <v>23530</v>
      </c>
      <c r="G19" s="21">
        <f>+แรมป์สวน!H19+ตะกุก!F19</f>
        <v>69400</v>
      </c>
      <c r="H19" s="21">
        <f>+แรมป์สวน!I19+ตะกุก!G19</f>
        <v>0</v>
      </c>
      <c r="I19" s="21">
        <f>+แรมป์สวน!J19+ตะกุก!H19</f>
        <v>0</v>
      </c>
      <c r="J19" s="21">
        <f>+แรมป์สวน!K19+ตะกุก!I19</f>
        <v>48780</v>
      </c>
      <c r="K19" s="21">
        <f t="shared" si="5"/>
        <v>141710</v>
      </c>
      <c r="L19" s="36">
        <f>+แรมป์สวน!M19+ตะกุก!K19</f>
        <v>122390</v>
      </c>
      <c r="M19" s="36">
        <f>+แรมป์สวน!N19+ตะกุก!L19</f>
        <v>19320</v>
      </c>
      <c r="N19" s="32">
        <f t="shared" si="0"/>
        <v>169550</v>
      </c>
      <c r="O19" s="21">
        <f>+แรมป์สวน!P19+ตะกุก!N19</f>
        <v>83380</v>
      </c>
      <c r="P19" s="21">
        <f>+แรมป์สวน!Q19+ตะกุก!O19</f>
        <v>0</v>
      </c>
      <c r="Q19" s="21">
        <f>+แรมป์สวน!R19+ตะกุก!P19</f>
        <v>0</v>
      </c>
      <c r="R19" s="21">
        <f>+แรมป์สวน!S19+ตะกุก!Q19</f>
        <v>57260</v>
      </c>
      <c r="S19" s="32">
        <f t="shared" si="6"/>
        <v>140640</v>
      </c>
      <c r="T19" s="70">
        <f t="shared" si="1"/>
        <v>28910</v>
      </c>
      <c r="U19" s="48">
        <f>+แรมป์สวน!V19</f>
        <v>13030</v>
      </c>
      <c r="V19" s="48" t="str">
        <f>+ตะกุก!T19</f>
        <v>-</v>
      </c>
      <c r="W19" s="32">
        <f>+แรมป์สวน!W19+ตะกุก!U19</f>
        <v>140210</v>
      </c>
      <c r="X19" s="87">
        <f>+แรมป์สวน!X19+ตะกุก!V19</f>
        <v>-270</v>
      </c>
      <c r="Y19" s="88">
        <f t="shared" si="2"/>
        <v>-430</v>
      </c>
      <c r="Z19" s="89">
        <f t="shared" si="7"/>
        <v>-700</v>
      </c>
      <c r="AA19" s="23">
        <f>+แรมป์สวน!AA19+ตะกุก!Y19</f>
        <v>9</v>
      </c>
      <c r="AB19" s="23">
        <f>+แรมป์สวน!AB19+ตะกุก!Z19</f>
        <v>0</v>
      </c>
      <c r="AC19" s="106"/>
    </row>
    <row r="20" spans="1:29" ht="23.25" customHeight="1" x14ac:dyDescent="0.35">
      <c r="A20" s="20">
        <f t="shared" si="4"/>
        <v>14</v>
      </c>
      <c r="B20" s="21">
        <f>+แรมป์สวน!B20+ตะกุก!B20</f>
        <v>28640</v>
      </c>
      <c r="C20" s="35">
        <f>+แรมป์สวน!C20+ตะกุก!C20</f>
        <v>24570</v>
      </c>
      <c r="D20" s="35">
        <f>+แรมป์สวน!D20+ตะกุก!D20</f>
        <v>60690</v>
      </c>
      <c r="E20" s="35">
        <f>+แรมป์สวน!E20+ตะกุก!E20</f>
        <v>15160</v>
      </c>
      <c r="F20" s="21">
        <f>+แรมป์สวน!G20</f>
        <v>24570</v>
      </c>
      <c r="G20" s="21">
        <f>+แรมป์สวน!H20+ตะกุก!F20</f>
        <v>75850</v>
      </c>
      <c r="H20" s="21">
        <f>+แรมป์สวน!I20+ตะกุก!G20</f>
        <v>0</v>
      </c>
      <c r="I20" s="21">
        <f>+แรมป์สวน!J20+ตะกุก!H20</f>
        <v>0</v>
      </c>
      <c r="J20" s="21">
        <f>+แรมป์สวน!K20+ตะกุก!I20</f>
        <v>36930</v>
      </c>
      <c r="K20" s="21">
        <f t="shared" si="5"/>
        <v>137350</v>
      </c>
      <c r="L20" s="36">
        <f>+แรมป์สวน!M20+ตะกุก!K20</f>
        <v>123110</v>
      </c>
      <c r="M20" s="36">
        <f>+แรมป์สวน!N20+ตะกุก!L20</f>
        <v>14240</v>
      </c>
      <c r="N20" s="32">
        <f t="shared" si="0"/>
        <v>165990</v>
      </c>
      <c r="O20" s="21">
        <f>+แรมป์สวน!P20+ตะกุก!N20</f>
        <v>97770</v>
      </c>
      <c r="P20" s="21">
        <f>+แรมป์สวน!Q20+ตะกุก!O20</f>
        <v>0</v>
      </c>
      <c r="Q20" s="21">
        <f>+แรมป์สวน!R20+ตะกุก!P20</f>
        <v>0</v>
      </c>
      <c r="R20" s="21">
        <f>+แรมป์สวน!S20+ตะกุก!Q20</f>
        <v>43990</v>
      </c>
      <c r="S20" s="32">
        <f t="shared" si="6"/>
        <v>141760</v>
      </c>
      <c r="T20" s="70">
        <f t="shared" si="1"/>
        <v>24230</v>
      </c>
      <c r="U20" s="48" t="str">
        <f>+แรมป์สวน!V20</f>
        <v>-</v>
      </c>
      <c r="V20" s="48" t="str">
        <f>+ตะกุก!T20</f>
        <v>-</v>
      </c>
      <c r="W20" s="32">
        <f>+แรมป์สวน!W20+ตะกุก!U20</f>
        <v>141290</v>
      </c>
      <c r="X20" s="87">
        <f>+แรมป์สวน!X20+ตะกุก!V20</f>
        <v>0</v>
      </c>
      <c r="Y20" s="88">
        <f t="shared" si="2"/>
        <v>-470</v>
      </c>
      <c r="Z20" s="89">
        <f t="shared" si="7"/>
        <v>-470</v>
      </c>
      <c r="AA20" s="23">
        <f>+แรมป์สวน!AA20+ตะกุก!Y20</f>
        <v>10</v>
      </c>
      <c r="AB20" s="23">
        <f>+แรมป์สวน!AB20+ตะกุก!Z20</f>
        <v>0</v>
      </c>
      <c r="AC20" s="106"/>
    </row>
    <row r="21" spans="1:29" ht="23.25" customHeight="1" x14ac:dyDescent="0.35">
      <c r="A21" s="20">
        <f t="shared" si="4"/>
        <v>15</v>
      </c>
      <c r="B21" s="21">
        <f>+แรมป์สวน!B21+ตะกุก!B21</f>
        <v>24230</v>
      </c>
      <c r="C21" s="35">
        <f>+แรมป์สวน!C21+ตะกุก!C21</f>
        <v>15530</v>
      </c>
      <c r="D21" s="35">
        <f>+แรมป์สวน!D21+ตะกุก!D21</f>
        <v>13770</v>
      </c>
      <c r="E21" s="35">
        <f>+แรมป์สวน!E21+ตะกุก!E21</f>
        <v>13410</v>
      </c>
      <c r="F21" s="21">
        <f>+แรมป์สวน!G21</f>
        <v>15530</v>
      </c>
      <c r="G21" s="21">
        <f>+แรมป์สวน!H21+ตะกุก!F21</f>
        <v>27180</v>
      </c>
      <c r="H21" s="21">
        <f>+แรมป์สวน!I21+ตะกุก!G21</f>
        <v>0</v>
      </c>
      <c r="I21" s="21">
        <f>+แรมป์สวน!J21+ตะกุก!H21</f>
        <v>0</v>
      </c>
      <c r="J21" s="21">
        <f>+แรมป์สวน!K21+ตะกุก!I21</f>
        <v>16710</v>
      </c>
      <c r="K21" s="21">
        <f t="shared" si="5"/>
        <v>59420</v>
      </c>
      <c r="L21" s="36">
        <f>+แรมป์สวน!M21+ตะกุก!K21</f>
        <v>59420</v>
      </c>
      <c r="M21" s="36">
        <f>+แรมป์สวน!N21+ตะกุก!L21</f>
        <v>0</v>
      </c>
      <c r="N21" s="32">
        <f t="shared" si="0"/>
        <v>83650</v>
      </c>
      <c r="O21" s="21">
        <f>+แรมป์สวน!P21+ตะกุก!N21</f>
        <v>55370</v>
      </c>
      <c r="P21" s="21">
        <f>+แรมป์สวน!Q21+ตะกุก!O21</f>
        <v>0</v>
      </c>
      <c r="Q21" s="21">
        <f>+แรมป์สวน!R21+ตะกุก!P21</f>
        <v>0</v>
      </c>
      <c r="R21" s="21">
        <f>+แรมป์สวน!S21+ตะกุก!Q21</f>
        <v>22210</v>
      </c>
      <c r="S21" s="32">
        <f t="shared" si="6"/>
        <v>77580</v>
      </c>
      <c r="T21" s="70">
        <f t="shared" si="1"/>
        <v>6070</v>
      </c>
      <c r="U21" s="48">
        <f>+แรมป์สวน!V21</f>
        <v>2330</v>
      </c>
      <c r="V21" s="48" t="str">
        <f>+ตะกุก!T21</f>
        <v>-</v>
      </c>
      <c r="W21" s="32">
        <f>+แรมป์สวน!W21+ตะกุก!U21</f>
        <v>77300</v>
      </c>
      <c r="X21" s="87">
        <f>+แรมป์สวน!X21+ตะกุก!V21</f>
        <v>-690</v>
      </c>
      <c r="Y21" s="88">
        <f t="shared" si="2"/>
        <v>-280</v>
      </c>
      <c r="Z21" s="89">
        <f t="shared" si="7"/>
        <v>-970</v>
      </c>
      <c r="AA21" s="23">
        <f>+แรมป์สวน!AA21+ตะกุก!Y21</f>
        <v>5</v>
      </c>
      <c r="AB21" s="23">
        <f>+แรมป์สวน!AB21+ตะกุก!Z21</f>
        <v>0</v>
      </c>
      <c r="AC21" s="106"/>
    </row>
    <row r="22" spans="1:29" ht="23.25" customHeight="1" x14ac:dyDescent="0.35">
      <c r="A22" s="20">
        <f t="shared" si="4"/>
        <v>16</v>
      </c>
      <c r="B22" s="21">
        <f>+แรมป์สวน!B22+ตะกุก!B22</f>
        <v>5380</v>
      </c>
      <c r="C22" s="35">
        <f>+แรมป์สวน!C22+ตะกุก!C22</f>
        <v>23370</v>
      </c>
      <c r="D22" s="35">
        <f>+แรมป์สวน!D22+ตะกุก!D22</f>
        <v>49740</v>
      </c>
      <c r="E22" s="35">
        <f>+แรมป์สวน!E22+ตะกุก!E22</f>
        <v>18540</v>
      </c>
      <c r="F22" s="21">
        <f>+แรมป์สวน!G22</f>
        <v>23370</v>
      </c>
      <c r="G22" s="21">
        <f>+แรมป์สวน!H22+ตะกุก!F22</f>
        <v>68280</v>
      </c>
      <c r="H22" s="21">
        <f>+แรมป์สวน!I22+ตะกุก!G22</f>
        <v>0</v>
      </c>
      <c r="I22" s="21">
        <f>+แรมป์สวน!J22+ตะกุก!H22</f>
        <v>0</v>
      </c>
      <c r="J22" s="21">
        <f>+แรมป์สวน!K22+ตะกุก!I22</f>
        <v>10280</v>
      </c>
      <c r="K22" s="21">
        <f t="shared" si="5"/>
        <v>101930</v>
      </c>
      <c r="L22" s="36">
        <f>+แรมป์สวน!M22+ตะกุก!K22</f>
        <v>92950</v>
      </c>
      <c r="M22" s="36">
        <f>+แรมป์สวน!N22+ตะกุก!L22</f>
        <v>8980</v>
      </c>
      <c r="N22" s="32">
        <f t="shared" si="0"/>
        <v>107310</v>
      </c>
      <c r="O22" s="21">
        <f>+แรมป์สวน!P22+ตะกุก!N22</f>
        <v>80480</v>
      </c>
      <c r="P22" s="21">
        <f>+แรมป์สวน!Q22+ตะกุก!O22</f>
        <v>0</v>
      </c>
      <c r="Q22" s="21">
        <f>+แรมป์สวน!R22+ตะกุก!P22</f>
        <v>0</v>
      </c>
      <c r="R22" s="21">
        <f>+แรมป์สวน!S22+ตะกุก!Q22</f>
        <v>11600</v>
      </c>
      <c r="S22" s="32">
        <f t="shared" si="6"/>
        <v>92080</v>
      </c>
      <c r="T22" s="70">
        <f t="shared" si="1"/>
        <v>15230</v>
      </c>
      <c r="U22" s="48">
        <f>+แรมป์สวน!V22</f>
        <v>13170</v>
      </c>
      <c r="V22" s="48">
        <f>+ตะกุก!T22</f>
        <v>0</v>
      </c>
      <c r="W22" s="32">
        <f>+แรมป์สวน!W22+ตะกุก!U22</f>
        <v>91650</v>
      </c>
      <c r="X22" s="87">
        <f>+แรมป์สวน!X22+ตะกุก!V22</f>
        <v>-2060</v>
      </c>
      <c r="Y22" s="88">
        <f t="shared" si="2"/>
        <v>-430</v>
      </c>
      <c r="Z22" s="89">
        <f t="shared" si="7"/>
        <v>-2490</v>
      </c>
      <c r="AA22" s="23">
        <f>+แรมป์สวน!AA22+ตะกุก!Y22</f>
        <v>6</v>
      </c>
      <c r="AB22" s="23">
        <f>+แรมป์สวน!AB22+ตะกุก!Z22</f>
        <v>0</v>
      </c>
      <c r="AC22" s="106"/>
    </row>
    <row r="23" spans="1:29" ht="23.25" customHeight="1" x14ac:dyDescent="0.35">
      <c r="A23" s="20">
        <f t="shared" si="4"/>
        <v>17</v>
      </c>
      <c r="B23" s="21">
        <f>+แรมป์สวน!B23+ตะกุก!B23</f>
        <v>13170</v>
      </c>
      <c r="C23" s="35">
        <f>+แรมป์สวน!C23+ตะกุก!C23</f>
        <v>25450</v>
      </c>
      <c r="D23" s="35">
        <f>+แรมป์สวน!D23+ตะกุก!D23</f>
        <v>56550</v>
      </c>
      <c r="E23" s="35">
        <f>+แรมป์สวน!E23+ตะกุก!E23</f>
        <v>27770</v>
      </c>
      <c r="F23" s="21">
        <f>+แรมป์สวน!G23</f>
        <v>25450</v>
      </c>
      <c r="G23" s="21">
        <f>+แรมป์สวน!H23+ตะกุก!F23</f>
        <v>84320</v>
      </c>
      <c r="H23" s="21">
        <f>+แรมป์สวน!I23+ตะกุก!G23</f>
        <v>0</v>
      </c>
      <c r="I23" s="21">
        <f>+แรมป์สวน!J23+ตะกุก!H23</f>
        <v>0</v>
      </c>
      <c r="J23" s="21">
        <f>+แรมป์สวน!K23+ตะกุก!I23</f>
        <v>7140</v>
      </c>
      <c r="K23" s="21">
        <f t="shared" si="5"/>
        <v>116910</v>
      </c>
      <c r="L23" s="36">
        <f>+แรมป์สวน!M23+ตะกุก!K23</f>
        <v>107520</v>
      </c>
      <c r="M23" s="36">
        <f>+แรมป์สวน!N23+ตะกุก!L23</f>
        <v>9390</v>
      </c>
      <c r="N23" s="32">
        <f t="shared" si="0"/>
        <v>130080</v>
      </c>
      <c r="O23" s="21">
        <f>+แรมป์สวน!P23+ตะกุก!N23</f>
        <v>98570</v>
      </c>
      <c r="P23" s="21">
        <f>+แรมป์สวน!Q23+ตะกุก!O23</f>
        <v>0</v>
      </c>
      <c r="Q23" s="21">
        <f>+แรมป์สวน!R23+ตะกุก!P23</f>
        <v>0</v>
      </c>
      <c r="R23" s="21">
        <f>+แรมป์สวน!S23+ตะกุก!Q23</f>
        <v>7120</v>
      </c>
      <c r="S23" s="32">
        <f t="shared" si="6"/>
        <v>105690</v>
      </c>
      <c r="T23" s="70">
        <f t="shared" si="1"/>
        <v>24390</v>
      </c>
      <c r="U23" s="48">
        <f>+แรมป์สวน!V23</f>
        <v>23930</v>
      </c>
      <c r="V23" s="48">
        <f>+ตะกุก!T23</f>
        <v>0</v>
      </c>
      <c r="W23" s="32">
        <f>+แรมป์สวน!W23+ตะกุก!U23</f>
        <v>105500</v>
      </c>
      <c r="X23" s="87">
        <f>+แรมป์สวน!X23+ตะกุก!V23</f>
        <v>-460</v>
      </c>
      <c r="Y23" s="88">
        <f t="shared" si="2"/>
        <v>-190</v>
      </c>
      <c r="Z23" s="89">
        <f t="shared" si="7"/>
        <v>-650</v>
      </c>
      <c r="AA23" s="23">
        <f>+แรมป์สวน!AA23+ตะกุก!Y23</f>
        <v>6</v>
      </c>
      <c r="AB23" s="23">
        <f>+แรมป์สวน!AB23+ตะกุก!Z23</f>
        <v>0</v>
      </c>
      <c r="AC23" s="106"/>
    </row>
    <row r="24" spans="1:29" ht="23.25" customHeight="1" x14ac:dyDescent="0.35">
      <c r="A24" s="20">
        <f t="shared" si="4"/>
        <v>18</v>
      </c>
      <c r="B24" s="21">
        <f>+แรมป์สวน!B24+ตะกุก!B24</f>
        <v>23930</v>
      </c>
      <c r="C24" s="35">
        <f>+แรมป์สวน!C24+ตะกุก!C24</f>
        <v>19750</v>
      </c>
      <c r="D24" s="35">
        <f>+แรมป์สวน!D24+ตะกุก!D24</f>
        <v>54620</v>
      </c>
      <c r="E24" s="35">
        <f>+แรมป์สวน!E24+ตะกุก!E24</f>
        <v>36540</v>
      </c>
      <c r="F24" s="21">
        <f>+แรมป์สวน!G24</f>
        <v>19750</v>
      </c>
      <c r="G24" s="21">
        <f>+แรมป์สวน!H24+ตะกุก!F24</f>
        <v>91160</v>
      </c>
      <c r="H24" s="21">
        <f>+แรมป์สวน!I24+ตะกุก!G24</f>
        <v>0</v>
      </c>
      <c r="I24" s="21">
        <f>+แรมป์สวน!J24+ตะกุก!H24</f>
        <v>0</v>
      </c>
      <c r="J24" s="21">
        <f>+แรมป์สวน!K24+ตะกุก!I24</f>
        <v>3150</v>
      </c>
      <c r="K24" s="21">
        <f t="shared" si="5"/>
        <v>114060</v>
      </c>
      <c r="L24" s="36">
        <f>+แรมป์สวน!M24+ตะกุก!K24</f>
        <v>105330</v>
      </c>
      <c r="M24" s="36">
        <f>+แรมป์สวน!N24+ตะกุก!L24</f>
        <v>8730</v>
      </c>
      <c r="N24" s="32">
        <f t="shared" si="0"/>
        <v>137990</v>
      </c>
      <c r="O24" s="21">
        <f>+แรมป์สวน!P24+ตะกุก!N24</f>
        <v>109190</v>
      </c>
      <c r="P24" s="21">
        <f>+แรมป์สวน!Q24+ตะกุก!O24</f>
        <v>0</v>
      </c>
      <c r="Q24" s="21">
        <f>+แรมป์สวน!R24+ตะกุก!P24</f>
        <v>0</v>
      </c>
      <c r="R24" s="21">
        <f>+แรมป์สวน!S24+ตะกุก!Q24</f>
        <v>0</v>
      </c>
      <c r="S24" s="32">
        <f t="shared" si="6"/>
        <v>109190</v>
      </c>
      <c r="T24" s="70">
        <f t="shared" si="1"/>
        <v>28800</v>
      </c>
      <c r="U24" s="48">
        <f>+แรมป์สวน!V24</f>
        <v>25000</v>
      </c>
      <c r="V24" s="48" t="str">
        <f>+ตะกุก!T24</f>
        <v>-</v>
      </c>
      <c r="W24" s="32">
        <f>+แรมป์สวน!W24+ตะกุก!U24</f>
        <v>108760</v>
      </c>
      <c r="X24" s="87">
        <f>+แรมป์สวน!X24+ตะกุก!V24</f>
        <v>-650</v>
      </c>
      <c r="Y24" s="88">
        <f t="shared" si="2"/>
        <v>-430</v>
      </c>
      <c r="Z24" s="89">
        <f t="shared" si="7"/>
        <v>-1080</v>
      </c>
      <c r="AA24" s="23">
        <f>+แรมป์สวน!AA24+ตะกุก!Y24</f>
        <v>8</v>
      </c>
      <c r="AB24" s="23">
        <f>+แรมป์สวน!AB24+ตะกุก!Z24</f>
        <v>0</v>
      </c>
      <c r="AC24" s="106"/>
    </row>
    <row r="25" spans="1:29" ht="23.25" customHeight="1" x14ac:dyDescent="0.35">
      <c r="A25" s="20">
        <f t="shared" si="4"/>
        <v>19</v>
      </c>
      <c r="B25" s="21">
        <f>+แรมป์สวน!B25+ตะกุก!B25</f>
        <v>28150</v>
      </c>
      <c r="C25" s="35">
        <f>+แรมป์สวน!C25+ตะกุก!C25</f>
        <v>22600</v>
      </c>
      <c r="D25" s="35">
        <f>+แรมป์สวน!D25+ตะกุก!D25</f>
        <v>37400</v>
      </c>
      <c r="E25" s="35">
        <f>+แรมป์สวน!E25+ตะกุก!E25</f>
        <v>21030</v>
      </c>
      <c r="F25" s="21">
        <f>+แรมป์สวน!G25</f>
        <v>22600</v>
      </c>
      <c r="G25" s="21">
        <f>+แรมป์สวน!H25+ตะกุก!F25</f>
        <v>58430</v>
      </c>
      <c r="H25" s="21">
        <f>+แรมป์สวน!I25+ตะกุก!G25</f>
        <v>0</v>
      </c>
      <c r="I25" s="21">
        <f>+แรมป์สวน!J25+ตะกุก!H25</f>
        <v>0</v>
      </c>
      <c r="J25" s="21">
        <f>+แรมป์สวน!K25+ตะกุก!I25</f>
        <v>27020</v>
      </c>
      <c r="K25" s="21">
        <f t="shared" si="5"/>
        <v>108050</v>
      </c>
      <c r="L25" s="36">
        <f>+แรมป์สวน!M25+ตะกุก!K25</f>
        <v>105040</v>
      </c>
      <c r="M25" s="36">
        <f>+แรมป์สวน!N25+ตะกุก!L25</f>
        <v>3010</v>
      </c>
      <c r="N25" s="32">
        <f t="shared" si="0"/>
        <v>136200</v>
      </c>
      <c r="O25" s="21">
        <f>+แรมป์สวน!P25+ตะกุก!N25</f>
        <v>105850</v>
      </c>
      <c r="P25" s="21">
        <f>+แรมป์สวน!Q25+ตะกุก!O25</f>
        <v>0</v>
      </c>
      <c r="Q25" s="21">
        <f>+แรมป์สวน!R25+ตะกุก!P25</f>
        <v>0</v>
      </c>
      <c r="R25" s="21">
        <f>+แรมป์สวน!S25+ตะกุก!Q25</f>
        <v>22260</v>
      </c>
      <c r="S25" s="32">
        <f>SUM(O25:R25)</f>
        <v>128110</v>
      </c>
      <c r="T25" s="70">
        <f t="shared" si="1"/>
        <v>8090</v>
      </c>
      <c r="U25" s="48">
        <f>+แรมป์สวน!V25</f>
        <v>0</v>
      </c>
      <c r="V25" s="48" t="str">
        <f>+ตะกุก!T25</f>
        <v>-</v>
      </c>
      <c r="W25" s="32">
        <f>+แรมป์สวน!W25+ตะกุก!U25</f>
        <v>127540</v>
      </c>
      <c r="X25" s="87">
        <f>+แรมป์สวน!X25+ตะกุก!V25</f>
        <v>-180</v>
      </c>
      <c r="Y25" s="88">
        <f t="shared" si="2"/>
        <v>-570</v>
      </c>
      <c r="Z25" s="89">
        <f t="shared" si="7"/>
        <v>-750</v>
      </c>
      <c r="AA25" s="23">
        <f>+แรมป์สวน!AA25+ตะกุก!Y25</f>
        <v>9</v>
      </c>
      <c r="AB25" s="23">
        <f>+แรมป์สวน!AB25+ตะกุก!Z25</f>
        <v>120</v>
      </c>
      <c r="AC25" s="106"/>
    </row>
    <row r="26" spans="1:29" ht="23.25" customHeight="1" x14ac:dyDescent="0.35">
      <c r="A26" s="20">
        <f t="shared" si="4"/>
        <v>20</v>
      </c>
      <c r="B26" s="21">
        <f>+แรมป์สวน!B26+ตะกุก!B26</f>
        <v>7910</v>
      </c>
      <c r="C26" s="35">
        <f>+แรมป์สวน!C26+ตะกุก!C26</f>
        <v>27980</v>
      </c>
      <c r="D26" s="35">
        <f>+แรมป์สวน!D26+ตะกุก!D26</f>
        <v>48180</v>
      </c>
      <c r="E26" s="35">
        <f>+แรมป์สวน!E26+ตะกุก!E26</f>
        <v>21600</v>
      </c>
      <c r="F26" s="21">
        <f>+แรมป์สวน!G26</f>
        <v>27980</v>
      </c>
      <c r="G26" s="21">
        <f>+แรมป์สวน!H26+ตะกุก!F26</f>
        <v>69780</v>
      </c>
      <c r="H26" s="21">
        <f>+แรมป์สวน!I26+ตะกุก!G26</f>
        <v>0</v>
      </c>
      <c r="I26" s="21">
        <f>+แรมป์สวน!J26+ตะกุก!H26</f>
        <v>0</v>
      </c>
      <c r="J26" s="21">
        <f>+แรมป์สวน!K26+ตะกุก!I26</f>
        <v>25140</v>
      </c>
      <c r="K26" s="21">
        <f t="shared" si="5"/>
        <v>122900</v>
      </c>
      <c r="L26" s="36">
        <f>+แรมป์สวน!M26+ตะกุก!K26</f>
        <v>115950</v>
      </c>
      <c r="M26" s="36">
        <f>+แรมป์สวน!N26+ตะกุก!L26</f>
        <v>6950</v>
      </c>
      <c r="N26" s="32">
        <f t="shared" si="0"/>
        <v>130810</v>
      </c>
      <c r="O26" s="21">
        <f>+แรมป์สวน!P26+ตะกุก!N26</f>
        <v>83910</v>
      </c>
      <c r="P26" s="21">
        <f>+แรมป์สวน!Q26+ตะกุก!O26</f>
        <v>0</v>
      </c>
      <c r="Q26" s="21">
        <f>+แรมป์สวน!R26+ตะกุก!P26</f>
        <v>0</v>
      </c>
      <c r="R26" s="21">
        <f>+แรมป์สวน!S26+ตะกุก!Q26</f>
        <v>21590</v>
      </c>
      <c r="S26" s="32">
        <f t="shared" si="6"/>
        <v>105500</v>
      </c>
      <c r="T26" s="70">
        <f t="shared" si="1"/>
        <v>25310</v>
      </c>
      <c r="U26" s="48">
        <f>+แรมป์สวน!V26</f>
        <v>13490</v>
      </c>
      <c r="V26" s="48" t="str">
        <f>+ตะกุก!T26</f>
        <v>-</v>
      </c>
      <c r="W26" s="32">
        <f>+แรมป์สวน!W26+ตะกุก!U26</f>
        <v>105100</v>
      </c>
      <c r="X26" s="87">
        <f>+แรมป์สวน!X26+ตะกุก!V26</f>
        <v>-360</v>
      </c>
      <c r="Y26" s="88">
        <f t="shared" si="2"/>
        <v>-400</v>
      </c>
      <c r="Z26" s="89">
        <f t="shared" si="7"/>
        <v>-760</v>
      </c>
      <c r="AA26" s="23">
        <f>+แรมป์สวน!AA26+ตะกุก!Y26</f>
        <v>7</v>
      </c>
      <c r="AB26" s="23">
        <f>+แรมป์สวน!AB26+ตะกุก!Z26</f>
        <v>0</v>
      </c>
      <c r="AC26" s="106"/>
    </row>
    <row r="27" spans="1:29" ht="23.25" customHeight="1" x14ac:dyDescent="0.35">
      <c r="A27" s="20">
        <f t="shared" si="4"/>
        <v>21</v>
      </c>
      <c r="B27" s="21">
        <f>+แรมป์สวน!B27+ตะกุก!B27</f>
        <v>24950</v>
      </c>
      <c r="C27" s="35">
        <f>+แรมป์สวน!C27+ตะกุก!C27</f>
        <v>19030</v>
      </c>
      <c r="D27" s="35">
        <f>+แรมป์สวน!D27+ตะกุก!D27</f>
        <v>43010</v>
      </c>
      <c r="E27" s="35">
        <f>+แรมป์สวน!E27+ตะกุก!E27</f>
        <v>20310</v>
      </c>
      <c r="F27" s="21">
        <f>+แรมป์สวน!G27</f>
        <v>19030</v>
      </c>
      <c r="G27" s="21">
        <f>+แรมป์สวน!H27+ตะกุก!F27</f>
        <v>63320</v>
      </c>
      <c r="H27" s="21">
        <f>+แรมป์สวน!I27+ตะกุก!G27</f>
        <v>0</v>
      </c>
      <c r="I27" s="21">
        <f>+แรมป์สวน!J27+ตะกุก!H27</f>
        <v>0</v>
      </c>
      <c r="J27" s="21">
        <f>+แรมป์สวน!K27+ตะกุก!I27</f>
        <v>25670</v>
      </c>
      <c r="K27" s="21">
        <f t="shared" si="5"/>
        <v>108020</v>
      </c>
      <c r="L27" s="36">
        <f>+แรมป์สวน!M27+ตะกุก!K27</f>
        <v>104160</v>
      </c>
      <c r="M27" s="36">
        <f>+แรมป์สวน!N27+ตะกุก!L27</f>
        <v>3860</v>
      </c>
      <c r="N27" s="32">
        <f t="shared" si="0"/>
        <v>132970</v>
      </c>
      <c r="O27" s="21">
        <f>+แรมป์สวน!P27+ตะกุก!N27</f>
        <v>83700</v>
      </c>
      <c r="P27" s="21">
        <f>+แรมป์สวน!Q27+ตะกุก!O27</f>
        <v>0</v>
      </c>
      <c r="Q27" s="21">
        <f>+แรมป์สวน!R27+ตะกุก!P27</f>
        <v>0</v>
      </c>
      <c r="R27" s="21">
        <f>+แรมป์สวน!S27+ตะกุก!Q27</f>
        <v>21530</v>
      </c>
      <c r="S27" s="32">
        <f t="shared" si="6"/>
        <v>105230</v>
      </c>
      <c r="T27" s="70">
        <f t="shared" si="1"/>
        <v>27740</v>
      </c>
      <c r="U27" s="48" t="str">
        <f>+แรมป์สวน!V27</f>
        <v>-</v>
      </c>
      <c r="V27" s="48" t="str">
        <f>+ตะกุก!T27</f>
        <v>-</v>
      </c>
      <c r="W27" s="32">
        <f>+แรมป์สวน!W27+ตะกุก!U27</f>
        <v>104790</v>
      </c>
      <c r="X27" s="87">
        <f>+แรมป์สวน!X27+ตะกุก!V27</f>
        <v>0</v>
      </c>
      <c r="Y27" s="88">
        <f t="shared" si="2"/>
        <v>-440</v>
      </c>
      <c r="Z27" s="89">
        <f t="shared" si="7"/>
        <v>-440</v>
      </c>
      <c r="AA27" s="23">
        <f>+แรมป์สวน!AA27+ตะกุก!Y27</f>
        <v>8</v>
      </c>
      <c r="AB27" s="23">
        <f>+แรมป์สวน!AB27+ตะกุก!Z27</f>
        <v>0</v>
      </c>
      <c r="AC27" s="106"/>
    </row>
    <row r="28" spans="1:29" ht="23.25" customHeight="1" x14ac:dyDescent="0.35">
      <c r="A28" s="20">
        <f t="shared" si="4"/>
        <v>22</v>
      </c>
      <c r="B28" s="21">
        <f>+แรมป์สวน!B28+ตะกุก!B28</f>
        <v>27740</v>
      </c>
      <c r="C28" s="35">
        <f>+แรมป์สวน!C28+ตะกุก!C28</f>
        <v>0</v>
      </c>
      <c r="D28" s="35">
        <f>+แรมป์สวน!D28+ตะกุก!D28</f>
        <v>12280</v>
      </c>
      <c r="E28" s="35">
        <f>+แรมป์สวน!E28+ตะกุก!E28</f>
        <v>0</v>
      </c>
      <c r="F28" s="21">
        <f>+แรมป์สวน!G28</f>
        <v>0</v>
      </c>
      <c r="G28" s="21">
        <f>+แรมป์สวน!H28+ตะกุก!F28</f>
        <v>12280</v>
      </c>
      <c r="H28" s="21">
        <f>+แรมป์สวน!I28+ตะกุก!G28</f>
        <v>0</v>
      </c>
      <c r="I28" s="21">
        <f>+แรมป์สวน!J28+ตะกุก!H28</f>
        <v>0</v>
      </c>
      <c r="J28" s="21">
        <f>+แรมป์สวน!K28+ตะกุก!I28</f>
        <v>0</v>
      </c>
      <c r="K28" s="21">
        <f t="shared" si="5"/>
        <v>12280</v>
      </c>
      <c r="L28" s="36">
        <f>+แรมป์สวน!M28+ตะกุก!K28</f>
        <v>12280</v>
      </c>
      <c r="M28" s="36">
        <f>+แรมป์สวน!N28+ตะกุก!L28</f>
        <v>0</v>
      </c>
      <c r="N28" s="32">
        <f t="shared" si="0"/>
        <v>40020</v>
      </c>
      <c r="O28" s="21">
        <f>+แรมป์สวน!P28+ตะกุก!N28</f>
        <v>21350</v>
      </c>
      <c r="P28" s="21">
        <f>+แรมป์สวน!Q28+ตะกุก!O28</f>
        <v>0</v>
      </c>
      <c r="Q28" s="21">
        <f>+แรมป์สวน!R28+ตะกุก!P28</f>
        <v>0</v>
      </c>
      <c r="R28" s="21">
        <f>+แรมป์สวน!S28+ตะกุก!Q28</f>
        <v>14800</v>
      </c>
      <c r="S28" s="32">
        <f t="shared" si="6"/>
        <v>36150</v>
      </c>
      <c r="T28" s="70">
        <f t="shared" si="1"/>
        <v>3870</v>
      </c>
      <c r="U28" s="48">
        <f>+แรมป์สวน!V28</f>
        <v>3220</v>
      </c>
      <c r="V28" s="48">
        <f>+ตะกุก!T28</f>
        <v>0</v>
      </c>
      <c r="W28" s="32">
        <f>+แรมป์สวน!W28+ตะกุก!U28</f>
        <v>36080</v>
      </c>
      <c r="X28" s="87">
        <f>+แรมป์สวน!X28+ตะกุก!V28</f>
        <v>-650</v>
      </c>
      <c r="Y28" s="88">
        <f t="shared" si="2"/>
        <v>-70</v>
      </c>
      <c r="Z28" s="89">
        <f t="shared" si="7"/>
        <v>-720</v>
      </c>
      <c r="AA28" s="23">
        <f>+แรมป์สวน!AA28+ตะกุก!Y28</f>
        <v>3</v>
      </c>
      <c r="AB28" s="23">
        <f>+แรมป์สวน!AB28+ตะกุก!Z28</f>
        <v>0</v>
      </c>
      <c r="AC28" s="106"/>
    </row>
    <row r="29" spans="1:29" ht="23.25" customHeight="1" x14ac:dyDescent="0.35">
      <c r="A29" s="20">
        <f t="shared" si="4"/>
        <v>23</v>
      </c>
      <c r="B29" s="21">
        <f>+แรมป์สวน!B29+ตะกุก!B29</f>
        <v>3220</v>
      </c>
      <c r="C29" s="35">
        <f>+แรมป์สวน!C29+ตะกุก!C29</f>
        <v>16270</v>
      </c>
      <c r="D29" s="35">
        <f>+แรมป์สวน!D29+ตะกุก!D29</f>
        <v>48720</v>
      </c>
      <c r="E29" s="35">
        <f>+แรมป์สวน!E29+ตะกุก!E29</f>
        <v>13810</v>
      </c>
      <c r="F29" s="21">
        <f>+แรมป์สวน!G29</f>
        <v>16270</v>
      </c>
      <c r="G29" s="21">
        <f>+แรมป์สวน!H29+ตะกุก!F29</f>
        <v>62530</v>
      </c>
      <c r="H29" s="21">
        <f>+แรมป์สวน!I29+ตะกุก!G29</f>
        <v>0</v>
      </c>
      <c r="I29" s="21">
        <f>+แรมป์สวน!J29+ตะกุก!H29</f>
        <v>0</v>
      </c>
      <c r="J29" s="21">
        <f>+แรมป์สวน!K29+ตะกุก!I29</f>
        <v>29350</v>
      </c>
      <c r="K29" s="21">
        <f t="shared" si="5"/>
        <v>108150</v>
      </c>
      <c r="L29" s="36">
        <f>+แรมป์สวน!M29+ตะกุก!K29</f>
        <v>99590</v>
      </c>
      <c r="M29" s="36">
        <f>+แรมป์สวน!N29+ตะกุก!L29</f>
        <v>8560</v>
      </c>
      <c r="N29" s="32">
        <f t="shared" si="0"/>
        <v>111370</v>
      </c>
      <c r="O29" s="21">
        <f>+แรมป์สวน!P29+ตะกุก!N29</f>
        <v>70040</v>
      </c>
      <c r="P29" s="21">
        <f>+แรมป์สวน!Q29+ตะกุก!O29</f>
        <v>0</v>
      </c>
      <c r="Q29" s="21">
        <f>+แรมป์สวน!R29+ตะกุก!P29</f>
        <v>0</v>
      </c>
      <c r="R29" s="21">
        <f>+แรมป์สวน!S29+ตะกุก!Q29</f>
        <v>24610</v>
      </c>
      <c r="S29" s="32">
        <f t="shared" si="6"/>
        <v>94650</v>
      </c>
      <c r="T29" s="70">
        <f t="shared" si="1"/>
        <v>16720</v>
      </c>
      <c r="U29" s="48">
        <f>+แรมป์สวน!V29</f>
        <v>11660</v>
      </c>
      <c r="V29" s="48" t="str">
        <f>+ตะกุก!T29</f>
        <v>-</v>
      </c>
      <c r="W29" s="32">
        <f>+แรมป์สวน!W29+ตะกุก!U29</f>
        <v>94260</v>
      </c>
      <c r="X29" s="87">
        <f>+แรมป์สวน!X29+ตะกุก!V29</f>
        <v>-320</v>
      </c>
      <c r="Y29" s="88">
        <f t="shared" si="2"/>
        <v>-390</v>
      </c>
      <c r="Z29" s="89">
        <f t="shared" si="7"/>
        <v>-710</v>
      </c>
      <c r="AA29" s="23">
        <f>+แรมป์สวน!AA29+ตะกุก!Y29</f>
        <v>6</v>
      </c>
      <c r="AB29" s="23">
        <f>+แรมป์สวน!AB29+ตะกุก!Z29</f>
        <v>0</v>
      </c>
      <c r="AC29" s="106"/>
    </row>
    <row r="30" spans="1:29" ht="23.25" customHeight="1" x14ac:dyDescent="0.35">
      <c r="A30" s="20">
        <f t="shared" si="4"/>
        <v>24</v>
      </c>
      <c r="B30" s="21">
        <f>+แรมป์สวน!B30+ตะกุก!B30</f>
        <v>16400</v>
      </c>
      <c r="C30" s="35">
        <f>+แรมป์สวน!C30+ตะกุก!C30</f>
        <v>16320</v>
      </c>
      <c r="D30" s="35">
        <f>+แรมป์สวน!D30+ตะกุก!D30</f>
        <v>53050</v>
      </c>
      <c r="E30" s="35">
        <f>+แรมป์สวน!E30+ตะกุก!E30</f>
        <v>16950</v>
      </c>
      <c r="F30" s="21">
        <f>+แรมป์สวน!G30</f>
        <v>16320</v>
      </c>
      <c r="G30" s="21">
        <f>+แรมป์สวน!H30+ตะกุก!F30</f>
        <v>70000</v>
      </c>
      <c r="H30" s="21">
        <f>+แรมป์สวน!I30+ตะกุก!G30</f>
        <v>0</v>
      </c>
      <c r="I30" s="21">
        <f>+แรมป์สวน!J30+ตะกุก!H30</f>
        <v>0</v>
      </c>
      <c r="J30" s="21">
        <f>+แรมป์สวน!K30+ตะกุก!I30</f>
        <v>36750</v>
      </c>
      <c r="K30" s="21">
        <f>SUM(F30:J30)</f>
        <v>123070</v>
      </c>
      <c r="L30" s="36">
        <f>+แรมป์สวน!M30+ตะกุก!K30</f>
        <v>108660</v>
      </c>
      <c r="M30" s="36">
        <f>+แรมป์สวน!N30+ตะกุก!L30</f>
        <v>14410</v>
      </c>
      <c r="N30" s="32">
        <f t="shared" si="0"/>
        <v>139470</v>
      </c>
      <c r="O30" s="21">
        <f>+แรมป์สวน!P30+ตะกุก!N30</f>
        <v>83360</v>
      </c>
      <c r="P30" s="21">
        <f>+แรมป์สวน!Q30+ตะกุก!O30</f>
        <v>0</v>
      </c>
      <c r="Q30" s="21">
        <f>+แรมป์สวน!R30+ตะกุก!P30</f>
        <v>0</v>
      </c>
      <c r="R30" s="21">
        <f>+แรมป์สวน!S30+ตะกุก!Q30</f>
        <v>36390</v>
      </c>
      <c r="S30" s="32">
        <f t="shared" si="6"/>
        <v>119750</v>
      </c>
      <c r="T30" s="70">
        <f t="shared" si="1"/>
        <v>19720</v>
      </c>
      <c r="U30" s="48">
        <f>+แรมป์สวน!V30</f>
        <v>14240</v>
      </c>
      <c r="V30" s="48" t="str">
        <f>+ตะกุก!T30</f>
        <v>-</v>
      </c>
      <c r="W30" s="32">
        <f>+แรมป์สวน!W30+ตะกุก!U30</f>
        <v>119340</v>
      </c>
      <c r="X30" s="87">
        <f>+แรมป์สวน!X30+ตะกุก!V30</f>
        <v>-380</v>
      </c>
      <c r="Y30" s="88">
        <f t="shared" si="2"/>
        <v>-410</v>
      </c>
      <c r="Z30" s="89">
        <f t="shared" si="7"/>
        <v>-790</v>
      </c>
      <c r="AA30" s="23">
        <f>+แรมป์สวน!AA30+ตะกุก!Y30</f>
        <v>8</v>
      </c>
      <c r="AB30" s="23">
        <f>+แรมป์สวน!AB30+ตะกุก!Z30</f>
        <v>0</v>
      </c>
      <c r="AC30" s="106"/>
    </row>
    <row r="31" spans="1:29" ht="23.25" customHeight="1" x14ac:dyDescent="0.35">
      <c r="A31" s="20">
        <f>+A30+1</f>
        <v>25</v>
      </c>
      <c r="B31" s="21">
        <f>+แรมป์สวน!B31+ตะกุก!B31</f>
        <v>19340</v>
      </c>
      <c r="C31" s="35">
        <f>+แรมป์สวน!C31+ตะกุก!C31</f>
        <v>8490</v>
      </c>
      <c r="D31" s="35">
        <f>+แรมป์สวน!D31+ตะกุก!D31</f>
        <v>42290</v>
      </c>
      <c r="E31" s="35">
        <f>+แรมป์สวน!E31+ตะกุก!E31</f>
        <v>11380</v>
      </c>
      <c r="F31" s="21">
        <f>+แรมป์สวน!G31</f>
        <v>8490</v>
      </c>
      <c r="G31" s="21">
        <f>+แรมป์สวน!H31+ตะกุก!F31</f>
        <v>53670</v>
      </c>
      <c r="H31" s="21">
        <f>+แรมป์สวน!I31+ตะกุก!G31</f>
        <v>0</v>
      </c>
      <c r="I31" s="21">
        <f>+แรมป์สวน!J31+ตะกุก!H31</f>
        <v>0</v>
      </c>
      <c r="J31" s="21">
        <f>+แรมป์สวน!K31+ตะกุก!I31</f>
        <v>55260</v>
      </c>
      <c r="K31" s="21">
        <f>SUM(F31:J31)</f>
        <v>117420</v>
      </c>
      <c r="L31" s="36">
        <f>+แรมป์สวน!M31+ตะกุก!K31</f>
        <v>100750</v>
      </c>
      <c r="M31" s="36">
        <f>+แรมป์สวน!N31+ตะกุก!L31</f>
        <v>16670</v>
      </c>
      <c r="N31" s="32">
        <f>+B31+K31</f>
        <v>136760</v>
      </c>
      <c r="O31" s="21">
        <f>+แรมป์สวน!P31+ตะกุก!N31</f>
        <v>55290</v>
      </c>
      <c r="P31" s="21">
        <f>+แรมป์สวน!Q31+ตะกุก!O31</f>
        <v>0</v>
      </c>
      <c r="Q31" s="21">
        <f>+แรมป์สวน!R31+ตะกุก!P31</f>
        <v>0</v>
      </c>
      <c r="R31" s="21">
        <f>+แรมป์สวน!S31+ตะกุก!Q31</f>
        <v>36430</v>
      </c>
      <c r="S31" s="32">
        <f>SUM(O31:R31)</f>
        <v>91720</v>
      </c>
      <c r="T31" s="70">
        <f t="shared" si="1"/>
        <v>45040</v>
      </c>
      <c r="U31" s="48">
        <f>+แรมป์สวน!V31</f>
        <v>20690</v>
      </c>
      <c r="V31" s="48" t="str">
        <f>+ตะกุก!T31</f>
        <v>-</v>
      </c>
      <c r="W31" s="32">
        <f>+แรมป์สวน!W31+ตะกุก!U31</f>
        <v>90970</v>
      </c>
      <c r="X31" s="87">
        <f>+แรมป์สวน!X31+ตะกุก!V31</f>
        <v>-420</v>
      </c>
      <c r="Y31" s="88">
        <f t="shared" si="2"/>
        <v>-750</v>
      </c>
      <c r="Z31" s="89">
        <f t="shared" si="7"/>
        <v>-1170</v>
      </c>
      <c r="AA31" s="23">
        <f>+แรมป์สวน!AA31+ตะกุก!Y31</f>
        <v>6</v>
      </c>
      <c r="AB31" s="23">
        <v>0</v>
      </c>
      <c r="AC31" s="106"/>
    </row>
    <row r="32" spans="1:29" ht="23.25" customHeight="1" x14ac:dyDescent="0.35">
      <c r="A32" s="20">
        <f t="shared" si="4"/>
        <v>26</v>
      </c>
      <c r="B32" s="21">
        <f>+แรมป์สวน!B32+ตะกุก!B32</f>
        <v>44620</v>
      </c>
      <c r="C32" s="35">
        <f>+แรมป์สวน!C32+ตะกุก!C32</f>
        <v>34770</v>
      </c>
      <c r="D32" s="35">
        <f>+แรมป์สวน!D32+ตะกุก!D32</f>
        <v>54990</v>
      </c>
      <c r="E32" s="35">
        <f>+แรมป์สวน!E32+ตะกุก!E32</f>
        <v>13730</v>
      </c>
      <c r="F32" s="21">
        <f>+แรมป์สวน!G32</f>
        <v>34770</v>
      </c>
      <c r="G32" s="21">
        <f>+แรมป์สวน!H32+ตะกุก!F32</f>
        <v>68720</v>
      </c>
      <c r="H32" s="21">
        <f>+แรมป์สวน!I32+ตะกุก!G32</f>
        <v>0</v>
      </c>
      <c r="I32" s="21">
        <f>+แรมป์สวน!J32+ตะกุก!H32</f>
        <v>0</v>
      </c>
      <c r="J32" s="21">
        <f>+แรมป์สวน!K32+ตะกุก!I32</f>
        <v>41400</v>
      </c>
      <c r="K32" s="21">
        <f t="shared" si="5"/>
        <v>144890</v>
      </c>
      <c r="L32" s="36">
        <f>+แรมป์สวน!M32+ตะกุก!K32</f>
        <v>128900</v>
      </c>
      <c r="M32" s="36">
        <f>+แรมป์สวน!N33+ตะกุก!L32</f>
        <v>3710</v>
      </c>
      <c r="N32" s="32">
        <f t="shared" si="0"/>
        <v>189510</v>
      </c>
      <c r="O32" s="21">
        <f>+แรมป์สวน!P32+ตะกุก!N32</f>
        <v>111470</v>
      </c>
      <c r="P32" s="21">
        <f>+แรมป์สวน!Q32+ตะกุก!O32</f>
        <v>0</v>
      </c>
      <c r="Q32" s="21">
        <f>+แรมป์สวน!R32+ตะกุก!P32</f>
        <v>0</v>
      </c>
      <c r="R32" s="21">
        <f>+แรมป์สวน!S32+ตะกุก!Q32</f>
        <v>61390</v>
      </c>
      <c r="S32" s="32">
        <f t="shared" si="6"/>
        <v>172860</v>
      </c>
      <c r="T32" s="70">
        <f t="shared" si="1"/>
        <v>16650</v>
      </c>
      <c r="U32" s="48">
        <f>+แรมป์สวน!V32</f>
        <v>12300</v>
      </c>
      <c r="V32" s="48" t="str">
        <f>+ตะกุก!T32</f>
        <v>-</v>
      </c>
      <c r="W32" s="32">
        <f>+แรมป์สวน!W32+ตะกุก!U32</f>
        <v>172060</v>
      </c>
      <c r="X32" s="87">
        <f>+แรมป์สวน!X32+ตะกุก!V32</f>
        <v>-410</v>
      </c>
      <c r="Y32" s="88">
        <f t="shared" si="2"/>
        <v>-800</v>
      </c>
      <c r="Z32" s="89">
        <f t="shared" si="7"/>
        <v>-1210</v>
      </c>
      <c r="AA32" s="23">
        <f>+แรมป์สวน!AA32+ตะกุก!Y32</f>
        <v>11</v>
      </c>
      <c r="AB32" s="23">
        <f>+แรมป์สวน!AB32+ตะกุก!Z32</f>
        <v>170</v>
      </c>
      <c r="AC32" s="106"/>
    </row>
    <row r="33" spans="1:33" ht="23.25" customHeight="1" x14ac:dyDescent="0.35">
      <c r="A33" s="20">
        <f t="shared" si="4"/>
        <v>27</v>
      </c>
      <c r="B33" s="21">
        <f>+แรมป์สวน!B33+ตะกุก!B33</f>
        <v>16240</v>
      </c>
      <c r="C33" s="35">
        <f>+แรมป์สวน!C33+ตะกุก!C33</f>
        <v>23870</v>
      </c>
      <c r="D33" s="35">
        <f>+แรมป์สวน!D33+ตะกุก!D33</f>
        <v>41700</v>
      </c>
      <c r="E33" s="35">
        <f>+แรมป์สวน!E33+ตะกุก!E33</f>
        <v>16570</v>
      </c>
      <c r="F33" s="21">
        <f>+แรมป์สวน!G33</f>
        <v>23870</v>
      </c>
      <c r="G33" s="21">
        <f>+แรมป์สวน!H33+ตะกุก!F33</f>
        <v>59820</v>
      </c>
      <c r="H33" s="21">
        <f>+แรมป์สวน!I33+ตะกุก!G33</f>
        <v>0</v>
      </c>
      <c r="I33" s="21">
        <f>+แรมป์สวน!J33+ตะกุก!H33</f>
        <v>0</v>
      </c>
      <c r="J33" s="21">
        <f>+แรมป์สวน!K33+ตะกุก!I33</f>
        <v>19370</v>
      </c>
      <c r="K33" s="21">
        <f t="shared" si="5"/>
        <v>103060</v>
      </c>
      <c r="L33" s="36">
        <f>+แรมป์สวน!M33+ตะกุก!K33</f>
        <v>99350</v>
      </c>
      <c r="M33" s="36">
        <f>+แรมป์สวน!N34+ตะกุก!L33</f>
        <v>7770</v>
      </c>
      <c r="N33" s="32">
        <f t="shared" si="0"/>
        <v>119300</v>
      </c>
      <c r="O33" s="21">
        <f>+แรมป์สวน!P33+ตะกุก!N33</f>
        <v>69410</v>
      </c>
      <c r="P33" s="21">
        <f>+แรมป์สวน!Q33+ตะกุก!O33</f>
        <v>0</v>
      </c>
      <c r="Q33" s="21">
        <f>+แรมป์สวน!R33+ตะกุก!P33</f>
        <v>0</v>
      </c>
      <c r="R33" s="21">
        <f>+แรมป์สวน!S33+ตะกุก!Q33</f>
        <v>22200</v>
      </c>
      <c r="S33" s="32">
        <f t="shared" si="6"/>
        <v>91610</v>
      </c>
      <c r="T33" s="70">
        <f t="shared" si="1"/>
        <v>27690</v>
      </c>
      <c r="U33" s="48">
        <f>+แรมป์สวน!V33</f>
        <v>26010</v>
      </c>
      <c r="V33" s="48">
        <f>+ตะกุก!T33</f>
        <v>0</v>
      </c>
      <c r="W33" s="32">
        <f>+แรมป์สวน!W33+ตะกุก!U33</f>
        <v>91150</v>
      </c>
      <c r="X33" s="87">
        <f>+แรมป์สวน!X33+ตะกุก!V33</f>
        <v>-1680</v>
      </c>
      <c r="Y33" s="88">
        <f t="shared" si="2"/>
        <v>-460</v>
      </c>
      <c r="Z33" s="89">
        <f t="shared" si="7"/>
        <v>-2140</v>
      </c>
      <c r="AA33" s="23">
        <f>+แรมป์สวน!AA33+ตะกุก!Y33</f>
        <v>6</v>
      </c>
      <c r="AB33" s="23">
        <f>+แรมป์สวน!AB33+ตะกุก!Z33</f>
        <v>60</v>
      </c>
      <c r="AC33" s="106"/>
    </row>
    <row r="34" spans="1:33" ht="23.25" customHeight="1" x14ac:dyDescent="0.35">
      <c r="A34" s="20">
        <f t="shared" si="4"/>
        <v>28</v>
      </c>
      <c r="B34" s="21">
        <f>+แรมป์สวน!B34+ตะกุก!B34</f>
        <v>26010</v>
      </c>
      <c r="C34" s="35">
        <f>+แรมป์สวน!C34+ตะกุก!C34</f>
        <v>36940</v>
      </c>
      <c r="D34" s="35">
        <f>+แรมป์สวน!D34+ตะกุก!D34</f>
        <v>58390</v>
      </c>
      <c r="E34" s="35">
        <f>+แรมป์สวน!E34+ตะกุก!E34</f>
        <v>12580</v>
      </c>
      <c r="F34" s="21">
        <f>+แรมป์สวน!G34</f>
        <v>36940</v>
      </c>
      <c r="G34" s="21">
        <f>+แรมป์สวน!H34+ตะกุก!F34</f>
        <v>70970</v>
      </c>
      <c r="H34" s="21">
        <f>+แรมป์สวน!I34+ตะกุก!G34</f>
        <v>0</v>
      </c>
      <c r="I34" s="21">
        <f>+แรมป์สวน!J34+ตะกุก!H34</f>
        <v>0</v>
      </c>
      <c r="J34" s="21">
        <f>+แรมป์สวน!K34+ตะกุก!I34</f>
        <v>0</v>
      </c>
      <c r="K34" s="21">
        <f t="shared" si="5"/>
        <v>107910</v>
      </c>
      <c r="L34" s="36">
        <f>+แรมป์สวน!M34+ตะกุก!K34</f>
        <v>100140</v>
      </c>
      <c r="M34" s="36">
        <f>+แรมป์สวน!N34+ตะกุก!L34</f>
        <v>7770</v>
      </c>
      <c r="N34" s="32">
        <f t="shared" si="0"/>
        <v>133920</v>
      </c>
      <c r="O34" s="21">
        <f>+แรมป์สวน!P34+ตะกุก!N34</f>
        <v>122640</v>
      </c>
      <c r="P34" s="21">
        <f>+แรมป์สวน!Q34+ตะกุก!O34</f>
        <v>0</v>
      </c>
      <c r="Q34" s="21">
        <f>+แรมป์สวน!R34+ตะกุก!P34</f>
        <v>0</v>
      </c>
      <c r="R34" s="21">
        <f>+แรมป์สวน!S34+ตะกุก!Q34</f>
        <v>0</v>
      </c>
      <c r="S34" s="32">
        <f t="shared" si="6"/>
        <v>122640</v>
      </c>
      <c r="T34" s="70">
        <f t="shared" si="1"/>
        <v>11280</v>
      </c>
      <c r="U34" s="48" t="str">
        <f>+แรมป์สวน!V34</f>
        <v>-</v>
      </c>
      <c r="V34" s="48">
        <f>+ตะกุก!T34</f>
        <v>0</v>
      </c>
      <c r="W34" s="32">
        <f>+แรมป์สวน!W34+ตะกุก!U34</f>
        <v>122260</v>
      </c>
      <c r="X34" s="87">
        <f>+แรมป์สวน!X34+ตะกุก!V34</f>
        <v>0</v>
      </c>
      <c r="Y34" s="88">
        <f t="shared" si="2"/>
        <v>-380</v>
      </c>
      <c r="Z34" s="89">
        <f>+X34+Y34</f>
        <v>-380</v>
      </c>
      <c r="AA34" s="23">
        <f>+แรมป์สวน!AA34+ตะกุก!Y34</f>
        <v>7</v>
      </c>
      <c r="AB34" s="23">
        <f>+แรมป์สวน!AB34+ตะกุก!Z34</f>
        <v>0</v>
      </c>
      <c r="AC34" s="106"/>
    </row>
    <row r="35" spans="1:33" ht="23.25" customHeight="1" x14ac:dyDescent="0.35">
      <c r="A35" s="20">
        <f t="shared" si="4"/>
        <v>29</v>
      </c>
      <c r="B35" s="21">
        <f>+แรมป์สวน!B35+ตะกุก!B35</f>
        <v>11280</v>
      </c>
      <c r="C35" s="35">
        <f>+แรมป์สวน!C35+ตะกุก!C35</f>
        <v>17790</v>
      </c>
      <c r="D35" s="35">
        <f>+แรมป์สวน!D35+ตะกุก!D35</f>
        <v>18160</v>
      </c>
      <c r="E35" s="35">
        <f>+แรมป์สวน!E35+ตะกุก!E35</f>
        <v>0</v>
      </c>
      <c r="F35" s="21">
        <f>+แรมป์สวน!G35</f>
        <v>17790</v>
      </c>
      <c r="G35" s="21">
        <f>+แรมป์สวน!H35+ตะกุก!F35</f>
        <v>18160</v>
      </c>
      <c r="H35" s="21">
        <f>+แรมป์สวน!I35+ตะกุก!G35</f>
        <v>0</v>
      </c>
      <c r="I35" s="21">
        <f>+แรมป์สวน!J35+ตะกุก!H35</f>
        <v>0</v>
      </c>
      <c r="J35" s="21">
        <f>+แรมป์สวน!K35+ตะกุก!I35</f>
        <v>0</v>
      </c>
      <c r="K35" s="21">
        <f t="shared" si="5"/>
        <v>35950</v>
      </c>
      <c r="L35" s="36">
        <f>+แรมป์สวน!M35+ตะกุก!K35</f>
        <v>35950</v>
      </c>
      <c r="M35" s="36">
        <f>+แรมป์สวน!N35+ตะกุก!L35</f>
        <v>0</v>
      </c>
      <c r="N35" s="32">
        <f t="shared" si="0"/>
        <v>47230</v>
      </c>
      <c r="O35" s="21">
        <f>+แรมป์สวน!P35+ตะกุก!N35</f>
        <v>42190</v>
      </c>
      <c r="P35" s="21">
        <f>+แรมป์สวน!Q35+ตะกุก!O35</f>
        <v>0</v>
      </c>
      <c r="Q35" s="21">
        <f>+แรมป์สวน!R35+ตะกุก!P35</f>
        <v>0</v>
      </c>
      <c r="R35" s="21">
        <f>+แรมป์สวน!S35+ตะกุก!Q35</f>
        <v>0</v>
      </c>
      <c r="S35" s="32">
        <f t="shared" si="6"/>
        <v>42190</v>
      </c>
      <c r="T35" s="70">
        <f t="shared" si="1"/>
        <v>5040</v>
      </c>
      <c r="U35" s="48">
        <f>+แรมป์สวน!V35</f>
        <v>4770</v>
      </c>
      <c r="V35" s="48">
        <f>+ตะกุก!T35</f>
        <v>0</v>
      </c>
      <c r="W35" s="32">
        <f>+แรมป์สวน!W35+ตะกุก!U35</f>
        <v>42010</v>
      </c>
      <c r="X35" s="87">
        <f>+แรมป์สวน!X35+ตะกุก!V35</f>
        <v>-270</v>
      </c>
      <c r="Y35" s="88">
        <f t="shared" si="2"/>
        <v>-180</v>
      </c>
      <c r="Z35" s="89">
        <f t="shared" si="7"/>
        <v>-450</v>
      </c>
      <c r="AA35" s="23">
        <f>+แรมป์สวน!AA35+ตะกุก!Y35</f>
        <v>3</v>
      </c>
      <c r="AB35" s="23">
        <f>+แรมป์สวน!AB35+ตะกุก!Z35</f>
        <v>0</v>
      </c>
      <c r="AC35" s="106"/>
    </row>
    <row r="36" spans="1:33" ht="23.25" customHeight="1" x14ac:dyDescent="0.35">
      <c r="A36" s="20">
        <f t="shared" si="4"/>
        <v>30</v>
      </c>
      <c r="B36" s="21">
        <f>+แรมป์สวน!B36+ตะกุก!B36</f>
        <v>4770</v>
      </c>
      <c r="C36" s="35">
        <f>+แรมป์สวน!C36+ตะกุก!C36</f>
        <v>46450</v>
      </c>
      <c r="D36" s="35">
        <f>+แรมป์สวน!D36+ตะกุก!D36</f>
        <v>39870</v>
      </c>
      <c r="E36" s="35">
        <f>+แรมป์สวน!E36+ตะกุก!E36</f>
        <v>5800</v>
      </c>
      <c r="F36" s="21">
        <f>+แรมป์สวน!G36</f>
        <v>46450</v>
      </c>
      <c r="G36" s="21">
        <f>+แรมป์สวน!H36+ตะกุก!F36</f>
        <v>45670</v>
      </c>
      <c r="H36" s="21">
        <f>+แรมป์สวน!I36+ตะกุก!G36</f>
        <v>0</v>
      </c>
      <c r="I36" s="21">
        <f>+แรมป์สวน!J36+ตะกุก!H36</f>
        <v>0</v>
      </c>
      <c r="J36" s="21">
        <f>+แรมป์สวน!K36+ตะกุก!I36</f>
        <v>0</v>
      </c>
      <c r="K36" s="21">
        <f t="shared" si="5"/>
        <v>92120</v>
      </c>
      <c r="L36" s="36">
        <f>+แรมป์สวน!M36+ตะกุก!K36</f>
        <v>77890</v>
      </c>
      <c r="M36" s="36">
        <f>+แรมป์สวน!N36+ตะกุก!L36</f>
        <v>14230</v>
      </c>
      <c r="N36" s="32">
        <f t="shared" si="0"/>
        <v>96890</v>
      </c>
      <c r="O36" s="21">
        <f>+แรมป์สวน!P36+ตะกุก!N36</f>
        <v>80720</v>
      </c>
      <c r="P36" s="21">
        <f>+แรมป์สวน!Q36+ตะกุก!O36</f>
        <v>0</v>
      </c>
      <c r="Q36" s="21">
        <f>+แรมป์สวน!R36+ตะกุก!P36</f>
        <v>0</v>
      </c>
      <c r="R36" s="21">
        <f>+แรมป์สวน!S36+ตะกุก!Q36</f>
        <v>0</v>
      </c>
      <c r="S36" s="32">
        <f t="shared" si="6"/>
        <v>80720</v>
      </c>
      <c r="T36" s="70">
        <f t="shared" si="1"/>
        <v>16170</v>
      </c>
      <c r="U36" s="48">
        <f>+แรมป์สวน!V36</f>
        <v>16540</v>
      </c>
      <c r="V36" s="48">
        <f>+ตะกุก!T36</f>
        <v>0</v>
      </c>
      <c r="W36" s="32">
        <f>+แรมป์สวน!W36+ตะกุก!U36</f>
        <v>80460</v>
      </c>
      <c r="X36" s="87">
        <f>+แรมป์สวน!X36+ตะกุก!V36</f>
        <v>370</v>
      </c>
      <c r="Y36" s="88">
        <f t="shared" si="2"/>
        <v>-260</v>
      </c>
      <c r="Z36" s="89">
        <f>+X36+Y36</f>
        <v>110</v>
      </c>
      <c r="AA36" s="23">
        <f>+แรมป์สวน!AA36+ตะกุก!Y36</f>
        <v>5</v>
      </c>
      <c r="AB36" s="23">
        <f>+แรมป์สวน!AB36+ตะกุก!Z36</f>
        <v>0</v>
      </c>
      <c r="AC36" s="106"/>
    </row>
    <row r="37" spans="1:33" ht="23.25" customHeight="1" outlineLevel="1" x14ac:dyDescent="0.35">
      <c r="A37" s="20">
        <v>31</v>
      </c>
      <c r="B37" s="21">
        <f>+แรมป์สวน!B37+ตะกุก!B37</f>
        <v>16540</v>
      </c>
      <c r="C37" s="35">
        <f>+แรมป์สวน!C37+ตะกุก!C37</f>
        <v>25150</v>
      </c>
      <c r="D37" s="35">
        <f>+แรมป์สวน!D37+ตะกุก!D37</f>
        <v>35020</v>
      </c>
      <c r="E37" s="35">
        <f>+แรมป์สวน!E37+ตะกุก!E37</f>
        <v>8300</v>
      </c>
      <c r="F37" s="21">
        <f>+แรมป์สวน!G37</f>
        <v>25150</v>
      </c>
      <c r="G37" s="21">
        <f>+แรมป์สวน!H37+ตะกุก!F37</f>
        <v>43320</v>
      </c>
      <c r="H37" s="21">
        <f>+แรมป์สวน!I37+ตะกุก!G37</f>
        <v>0</v>
      </c>
      <c r="I37" s="21">
        <f>+แรมป์สวน!J37+ตะกุก!H37</f>
        <v>0</v>
      </c>
      <c r="J37" s="21">
        <f>+แรมป์สวน!K37+ตะกุก!I37</f>
        <v>0</v>
      </c>
      <c r="K37" s="21">
        <f>SUM(F37:J37)</f>
        <v>68470</v>
      </c>
      <c r="L37" s="36">
        <f>+แรมป์สวน!M37+ตะกุก!K37</f>
        <v>64670</v>
      </c>
      <c r="M37" s="36">
        <f>+แรมป์สวน!N37+ตะกุก!L37</f>
        <v>3800</v>
      </c>
      <c r="N37" s="32">
        <f>+B37+K37</f>
        <v>85010</v>
      </c>
      <c r="O37" s="21">
        <f>+แรมป์สวน!P37+ตะกุก!N37</f>
        <v>80930</v>
      </c>
      <c r="P37" s="21">
        <f>+แรมป์สวน!Q37+ตะกุก!O37</f>
        <v>0</v>
      </c>
      <c r="Q37" s="21">
        <f>+แรมป์สวน!R37+ตะกุก!P37</f>
        <v>0</v>
      </c>
      <c r="R37" s="21">
        <f>+แรมป์สวน!S37+ตะกุก!Q37</f>
        <v>0</v>
      </c>
      <c r="S37" s="32">
        <f>SUM(O37:R37)</f>
        <v>80930</v>
      </c>
      <c r="T37" s="70">
        <f>+N37-S37</f>
        <v>4080</v>
      </c>
      <c r="U37" s="48">
        <f>+แรมป์สวน!V37</f>
        <v>4220</v>
      </c>
      <c r="V37" s="48">
        <f>+ตะกุก!T37</f>
        <v>0</v>
      </c>
      <c r="W37" s="32">
        <f>+แรมป์สวน!W37+ตะกุก!U37</f>
        <v>80590</v>
      </c>
      <c r="X37" s="87">
        <f>+แรมป์สวน!X37+ตะกุก!V37</f>
        <v>140</v>
      </c>
      <c r="Y37" s="88">
        <f>+W37-S37</f>
        <v>-340</v>
      </c>
      <c r="Z37" s="89">
        <f>+X37+Y37</f>
        <v>-200</v>
      </c>
      <c r="AA37" s="23">
        <f>+แรมป์สวน!AA37+ตะกุก!Y37</f>
        <v>6</v>
      </c>
      <c r="AB37" s="23">
        <f>+แรมป์สวน!AB37+ตะกุก!Z37</f>
        <v>30</v>
      </c>
      <c r="AC37" s="106"/>
    </row>
    <row r="38" spans="1:33" s="24" customFormat="1" ht="23.25" customHeight="1" x14ac:dyDescent="0.35">
      <c r="A38" s="71" t="s">
        <v>6</v>
      </c>
      <c r="B38" s="72">
        <f>B7</f>
        <v>25330</v>
      </c>
      <c r="C38" s="73">
        <f>SUM(C7:C37)</f>
        <v>720000</v>
      </c>
      <c r="D38" s="73">
        <f>SUM(D7:D37)</f>
        <v>1242030</v>
      </c>
      <c r="E38" s="73">
        <f>SUM(E7:E37)</f>
        <v>489750</v>
      </c>
      <c r="F38" s="73">
        <f>SUM(F7:F37)</f>
        <v>720000</v>
      </c>
      <c r="G38" s="72">
        <f>SUM(G7:G37)</f>
        <v>1733330</v>
      </c>
      <c r="H38" s="72">
        <f t="shared" ref="H38:M38" si="8">SUM(H7:H37)</f>
        <v>0</v>
      </c>
      <c r="I38" s="72">
        <f>SUM(I7:I37)</f>
        <v>0</v>
      </c>
      <c r="J38" s="72">
        <f>SUM(J7:J37)</f>
        <v>659530</v>
      </c>
      <c r="K38" s="72">
        <f>SUM(K7:K37)</f>
        <v>3112860</v>
      </c>
      <c r="L38" s="74">
        <f t="shared" si="8"/>
        <v>2864920</v>
      </c>
      <c r="M38" s="74">
        <f t="shared" si="8"/>
        <v>239720</v>
      </c>
      <c r="N38" s="75">
        <f>+B38+K38</f>
        <v>3138190</v>
      </c>
      <c r="O38" s="72">
        <f>SUM(O7:O37)</f>
        <v>2464400</v>
      </c>
      <c r="P38" s="72">
        <f>SUM(P7:P37)</f>
        <v>0</v>
      </c>
      <c r="Q38" s="72">
        <f>SUM(Q7:Q37)</f>
        <v>0</v>
      </c>
      <c r="R38" s="72">
        <f>SUM(R7:R37)</f>
        <v>655230</v>
      </c>
      <c r="S38" s="72">
        <f>SUM(S7:S37)</f>
        <v>3119630</v>
      </c>
      <c r="T38" s="72">
        <f t="shared" si="1"/>
        <v>18560</v>
      </c>
      <c r="U38" s="76">
        <f>+U37</f>
        <v>4220</v>
      </c>
      <c r="V38" s="76">
        <f>+V36</f>
        <v>0</v>
      </c>
      <c r="W38" s="72">
        <f>SUM(W7:W37)</f>
        <v>3108560</v>
      </c>
      <c r="X38" s="77">
        <f>+แรมป์สวน!X38+ตะกุก!V38</f>
        <v>-14340</v>
      </c>
      <c r="Y38" s="77">
        <f>SUM(Y7:Y37)</f>
        <v>-11070</v>
      </c>
      <c r="Z38" s="78">
        <f>SUM(Z7:Z37)</f>
        <v>-25410</v>
      </c>
      <c r="AA38" s="76">
        <f>SUM(AA7:AA37)</f>
        <v>194</v>
      </c>
      <c r="AB38" s="76">
        <f>SUM(AB7:AB37)</f>
        <v>380</v>
      </c>
      <c r="AC38" s="125"/>
    </row>
    <row r="39" spans="1:33" s="14" customFormat="1" ht="23.25" customHeight="1" x14ac:dyDescent="0.35">
      <c r="A39" s="157" t="s">
        <v>23</v>
      </c>
      <c r="B39" s="158"/>
      <c r="C39" s="79">
        <f>+C38/$A$37</f>
        <v>23225.806451612902</v>
      </c>
      <c r="D39" s="79">
        <f>+D38/$A$37</f>
        <v>40065.483870967742</v>
      </c>
      <c r="E39" s="79">
        <f t="shared" ref="E39:K39" si="9">+E38/$A$37</f>
        <v>15798.387096774193</v>
      </c>
      <c r="F39" s="80">
        <f t="shared" si="9"/>
        <v>23225.806451612902</v>
      </c>
      <c r="G39" s="80">
        <f t="shared" si="9"/>
        <v>55913.870967741932</v>
      </c>
      <c r="H39" s="80">
        <f t="shared" si="9"/>
        <v>0</v>
      </c>
      <c r="I39" s="80">
        <f>+I38/$A$37</f>
        <v>0</v>
      </c>
      <c r="J39" s="80">
        <f t="shared" si="9"/>
        <v>21275.16129032258</v>
      </c>
      <c r="K39" s="80">
        <f t="shared" si="9"/>
        <v>100414.83870967742</v>
      </c>
      <c r="L39" s="81">
        <f>+L38/$A$36</f>
        <v>95497.333333333328</v>
      </c>
      <c r="M39" s="81">
        <f>+M38/$A$36</f>
        <v>7990.666666666667</v>
      </c>
      <c r="N39" s="80">
        <f t="shared" ref="N39:S39" si="10">+N38/$A$37</f>
        <v>101231.93548387097</v>
      </c>
      <c r="O39" s="80">
        <f t="shared" si="10"/>
        <v>79496.774193548394</v>
      </c>
      <c r="P39" s="80">
        <f t="shared" si="10"/>
        <v>0</v>
      </c>
      <c r="Q39" s="80">
        <f t="shared" si="10"/>
        <v>0</v>
      </c>
      <c r="R39" s="80">
        <f t="shared" si="10"/>
        <v>21136.451612903227</v>
      </c>
      <c r="S39" s="80">
        <f t="shared" si="10"/>
        <v>100633.22580645161</v>
      </c>
      <c r="T39" s="80">
        <f>SUM(T7:T37)/A37</f>
        <v>19895.806451612902</v>
      </c>
      <c r="U39" s="82">
        <v>0</v>
      </c>
      <c r="V39" s="102">
        <v>0</v>
      </c>
      <c r="W39" s="80">
        <f>+W38/$A$37</f>
        <v>100276.12903225806</v>
      </c>
      <c r="X39" s="83">
        <f>+X38*100/N38</f>
        <v>-0.4569512999531577</v>
      </c>
      <c r="Y39" s="83">
        <f>+Y38*100/S38</f>
        <v>-0.35484977385138622</v>
      </c>
      <c r="Z39" s="83">
        <f>X39+Y39</f>
        <v>-0.81180107380454392</v>
      </c>
      <c r="AA39" s="82">
        <f>+AA38/A36</f>
        <v>6.4666666666666668</v>
      </c>
      <c r="AB39" s="102">
        <f>+AB38/A36</f>
        <v>12.666666666666666</v>
      </c>
      <c r="AC39" s="126"/>
    </row>
    <row r="40" spans="1:33" x14ac:dyDescent="0.35">
      <c r="H40" s="8">
        <f>+G38+H38</f>
        <v>1733330</v>
      </c>
      <c r="K40" s="8">
        <f>+K38-F38</f>
        <v>2392860</v>
      </c>
    </row>
    <row r="41" spans="1:33" x14ac:dyDescent="0.35">
      <c r="A41" s="6"/>
      <c r="B41" s="6"/>
      <c r="C41" s="25"/>
      <c r="D41" s="1"/>
      <c r="E41" s="10"/>
      <c r="F41" s="10"/>
      <c r="G41" s="6"/>
      <c r="H41" s="7"/>
      <c r="I41" s="7"/>
      <c r="J41" s="7"/>
      <c r="L41" s="2"/>
      <c r="M41" s="2"/>
      <c r="N41" s="10"/>
      <c r="O41" s="10"/>
      <c r="P41" s="7"/>
      <c r="Q41" s="7"/>
      <c r="R41" s="7"/>
      <c r="T41" s="3"/>
      <c r="U41" s="49"/>
      <c r="V41" s="49"/>
      <c r="W41" s="1"/>
      <c r="X41" s="52"/>
      <c r="Y41" s="52"/>
      <c r="Z41" s="52"/>
      <c r="AA41" s="1"/>
      <c r="AB41" s="9"/>
      <c r="AC41" s="8"/>
      <c r="AD41" s="11"/>
      <c r="AE41" s="9"/>
      <c r="AF41" s="11"/>
      <c r="AG41" s="9"/>
    </row>
    <row r="42" spans="1:33" x14ac:dyDescent="0.35">
      <c r="B42" s="25"/>
      <c r="C42" s="25"/>
      <c r="D42" s="25"/>
      <c r="E42" s="25"/>
      <c r="F42" s="25"/>
      <c r="G42" s="25"/>
      <c r="H42" s="25"/>
      <c r="I42" s="25"/>
      <c r="J42" s="25"/>
      <c r="L42" s="26"/>
      <c r="M42" s="26"/>
      <c r="U42" s="127"/>
    </row>
    <row r="43" spans="1:33" x14ac:dyDescent="0.35">
      <c r="A43" s="12" t="s">
        <v>33</v>
      </c>
    </row>
  </sheetData>
  <mergeCells count="16">
    <mergeCell ref="AC5:AC6"/>
    <mergeCell ref="AB5:AB6"/>
    <mergeCell ref="A39:B39"/>
    <mergeCell ref="A5:A6"/>
    <mergeCell ref="B5:B6"/>
    <mergeCell ref="F5:K5"/>
    <mergeCell ref="AA5:AA6"/>
    <mergeCell ref="L5:M5"/>
    <mergeCell ref="D6:E6"/>
    <mergeCell ref="C5:E5"/>
    <mergeCell ref="N5:N6"/>
    <mergeCell ref="O5:S5"/>
    <mergeCell ref="T5:T6"/>
    <mergeCell ref="W5:W6"/>
    <mergeCell ref="X5:Z5"/>
    <mergeCell ref="U5:V5"/>
  </mergeCells>
  <printOptions horizontalCentered="1"/>
  <pageMargins left="0.15748031496062992" right="0.15748031496062992" top="0.31496062992125984" bottom="0.31496062992125984" header="0" footer="0.11811023622047244"/>
  <pageSetup paperSize="9" scale="65" fitToWidth="0" fitToHeight="0" orientation="landscape" r:id="rId1"/>
  <headerFooter>
    <oddHeader>&amp;R&amp;P/&amp;N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09"/>
  <sheetViews>
    <sheetView workbookViewId="0">
      <selection activeCell="K10" sqref="K10"/>
    </sheetView>
  </sheetViews>
  <sheetFormatPr defaultRowHeight="21" x14ac:dyDescent="0.35"/>
  <cols>
    <col min="4" max="4" width="9.375" style="118" bestFit="1" customWidth="1"/>
    <col min="6" max="6" width="9.375" bestFit="1" customWidth="1"/>
  </cols>
  <sheetData>
    <row r="1" spans="1:9" x14ac:dyDescent="0.35">
      <c r="E1" t="s">
        <v>41</v>
      </c>
      <c r="G1" t="s">
        <v>41</v>
      </c>
    </row>
    <row r="2" spans="1:9" x14ac:dyDescent="0.35">
      <c r="A2">
        <v>1</v>
      </c>
      <c r="B2">
        <v>0</v>
      </c>
      <c r="D2" s="118">
        <v>45141</v>
      </c>
      <c r="E2" s="116">
        <v>200</v>
      </c>
      <c r="F2" s="118">
        <v>45143</v>
      </c>
      <c r="G2" s="121">
        <v>375</v>
      </c>
    </row>
    <row r="3" spans="1:9" x14ac:dyDescent="0.35">
      <c r="A3">
        <v>2</v>
      </c>
      <c r="B3">
        <v>0</v>
      </c>
      <c r="D3" s="118">
        <v>45143</v>
      </c>
      <c r="E3" s="120">
        <v>1795</v>
      </c>
      <c r="F3" s="118">
        <v>45143</v>
      </c>
      <c r="G3" s="121">
        <v>555</v>
      </c>
    </row>
    <row r="4" spans="1:9" x14ac:dyDescent="0.35">
      <c r="A4">
        <v>3</v>
      </c>
      <c r="B4">
        <v>200</v>
      </c>
      <c r="C4" s="117">
        <f>+E2</f>
        <v>200</v>
      </c>
      <c r="D4" s="118">
        <v>45145</v>
      </c>
      <c r="E4" s="116">
        <v>2560</v>
      </c>
      <c r="F4" s="118">
        <v>45143</v>
      </c>
      <c r="G4" s="121">
        <v>435</v>
      </c>
    </row>
    <row r="5" spans="1:9" x14ac:dyDescent="0.35">
      <c r="A5">
        <v>4</v>
      </c>
      <c r="B5">
        <v>0</v>
      </c>
      <c r="D5" s="118">
        <v>45145</v>
      </c>
      <c r="E5" s="116">
        <v>3160</v>
      </c>
      <c r="F5" s="118">
        <v>45143</v>
      </c>
      <c r="G5" s="121">
        <v>587</v>
      </c>
      <c r="I5" t="s">
        <v>40</v>
      </c>
    </row>
    <row r="6" spans="1:9" x14ac:dyDescent="0.35">
      <c r="A6">
        <v>5</v>
      </c>
      <c r="B6">
        <v>4650</v>
      </c>
      <c r="C6" s="119">
        <f>+E3+G3+G4+G5+G2</f>
        <v>3747</v>
      </c>
      <c r="D6" s="118">
        <v>45145</v>
      </c>
      <c r="E6" s="116">
        <v>2045</v>
      </c>
      <c r="F6" s="118">
        <v>45146</v>
      </c>
      <c r="G6">
        <v>1123</v>
      </c>
      <c r="I6" s="117">
        <f>+B6-C6</f>
        <v>903</v>
      </c>
    </row>
    <row r="7" spans="1:9" x14ac:dyDescent="0.35">
      <c r="A7">
        <v>6</v>
      </c>
      <c r="B7">
        <v>0</v>
      </c>
      <c r="D7" s="118">
        <v>45145</v>
      </c>
      <c r="E7" s="116">
        <v>790</v>
      </c>
      <c r="F7" s="118">
        <v>45146</v>
      </c>
      <c r="G7">
        <v>2297</v>
      </c>
    </row>
    <row r="8" spans="1:9" x14ac:dyDescent="0.35">
      <c r="A8">
        <v>7</v>
      </c>
      <c r="B8">
        <v>8555</v>
      </c>
      <c r="C8" s="117">
        <f>+E4+E5+E6+E7</f>
        <v>8555</v>
      </c>
      <c r="D8" s="118">
        <v>45146</v>
      </c>
      <c r="E8" s="116">
        <v>1785</v>
      </c>
      <c r="F8" s="118">
        <v>45146</v>
      </c>
      <c r="G8">
        <v>350</v>
      </c>
    </row>
    <row r="9" spans="1:9" x14ac:dyDescent="0.35">
      <c r="A9">
        <v>8</v>
      </c>
      <c r="B9">
        <v>12995</v>
      </c>
      <c r="C9" s="117">
        <f>+E8+E9+E10+E11+G6+G7+G8+G9</f>
        <v>12995</v>
      </c>
      <c r="D9" s="118">
        <v>45146</v>
      </c>
      <c r="E9" s="116">
        <v>2220</v>
      </c>
      <c r="F9" s="118">
        <v>45146</v>
      </c>
      <c r="G9" s="117">
        <v>2015</v>
      </c>
    </row>
    <row r="10" spans="1:9" x14ac:dyDescent="0.35">
      <c r="A10">
        <v>9</v>
      </c>
      <c r="B10">
        <v>26290</v>
      </c>
      <c r="C10" s="117">
        <f>+E12+E13+E14+E15+G10+G11</f>
        <v>26290</v>
      </c>
      <c r="D10" s="118">
        <v>45146</v>
      </c>
      <c r="E10" s="116">
        <v>1050</v>
      </c>
      <c r="F10" s="118">
        <v>45147</v>
      </c>
      <c r="G10">
        <v>3203</v>
      </c>
    </row>
    <row r="11" spans="1:9" x14ac:dyDescent="0.35">
      <c r="A11">
        <v>10</v>
      </c>
      <c r="B11">
        <v>14475</v>
      </c>
      <c r="C11" s="117">
        <f>+E16+E17+E18+E19+E20</f>
        <v>14475</v>
      </c>
      <c r="D11" s="118">
        <v>45146</v>
      </c>
      <c r="E11" s="116">
        <v>2155</v>
      </c>
      <c r="F11" s="118">
        <v>45147</v>
      </c>
      <c r="G11">
        <v>3632</v>
      </c>
    </row>
    <row r="12" spans="1:9" x14ac:dyDescent="0.35">
      <c r="A12">
        <v>11</v>
      </c>
      <c r="B12">
        <v>28535</v>
      </c>
      <c r="C12" s="117">
        <f>+E21+E22+E23+E24+E25+E26+G12+G13</f>
        <v>28535</v>
      </c>
      <c r="D12" s="118">
        <v>45147</v>
      </c>
      <c r="E12" s="116">
        <v>7225</v>
      </c>
      <c r="F12" s="118">
        <v>45149</v>
      </c>
      <c r="G12">
        <v>1050</v>
      </c>
    </row>
    <row r="13" spans="1:9" x14ac:dyDescent="0.35">
      <c r="A13">
        <v>12</v>
      </c>
      <c r="B13">
        <v>0</v>
      </c>
      <c r="D13" s="118">
        <v>45147</v>
      </c>
      <c r="E13" s="116">
        <v>2990</v>
      </c>
      <c r="F13" s="118">
        <v>45149</v>
      </c>
      <c r="G13">
        <v>4460</v>
      </c>
    </row>
    <row r="14" spans="1:9" x14ac:dyDescent="0.35">
      <c r="A14">
        <v>13</v>
      </c>
      <c r="B14">
        <v>0</v>
      </c>
      <c r="D14" s="118">
        <v>45147</v>
      </c>
      <c r="E14" s="116">
        <v>2090</v>
      </c>
      <c r="F14" s="118">
        <v>45159</v>
      </c>
      <c r="G14">
        <v>162</v>
      </c>
    </row>
    <row r="15" spans="1:9" x14ac:dyDescent="0.35">
      <c r="A15">
        <v>14</v>
      </c>
      <c r="B15">
        <v>26675</v>
      </c>
      <c r="C15" s="117">
        <f>+E27+E28+E29+E30+E31+E32+E33</f>
        <v>26675</v>
      </c>
      <c r="D15" s="118">
        <v>45147</v>
      </c>
      <c r="E15" s="116">
        <v>7150</v>
      </c>
      <c r="F15" s="118">
        <v>45159</v>
      </c>
      <c r="G15">
        <v>352</v>
      </c>
    </row>
    <row r="16" spans="1:9" x14ac:dyDescent="0.35">
      <c r="A16">
        <v>15</v>
      </c>
      <c r="B16">
        <v>15890</v>
      </c>
      <c r="C16" s="117">
        <f>+E34+E35+E36+E37+E38+E39</f>
        <v>15890</v>
      </c>
      <c r="D16" s="118">
        <v>45148</v>
      </c>
      <c r="E16" s="116">
        <v>2425</v>
      </c>
      <c r="F16" s="118">
        <v>45159</v>
      </c>
      <c r="G16">
        <v>596</v>
      </c>
    </row>
    <row r="17" spans="1:9" x14ac:dyDescent="0.35">
      <c r="A17">
        <v>16</v>
      </c>
      <c r="B17">
        <v>2075</v>
      </c>
      <c r="C17" s="117">
        <f>+E40</f>
        <v>2075</v>
      </c>
      <c r="D17" s="118">
        <v>45148</v>
      </c>
      <c r="E17" s="116">
        <v>3405</v>
      </c>
      <c r="F17" s="118">
        <v>45159</v>
      </c>
      <c r="G17">
        <v>149</v>
      </c>
    </row>
    <row r="18" spans="1:9" x14ac:dyDescent="0.35">
      <c r="A18">
        <v>17</v>
      </c>
      <c r="B18">
        <v>0</v>
      </c>
      <c r="D18" s="118">
        <v>45148</v>
      </c>
      <c r="E18" s="116">
        <v>3120</v>
      </c>
      <c r="F18" s="118">
        <v>45159</v>
      </c>
      <c r="G18">
        <v>180</v>
      </c>
    </row>
    <row r="19" spans="1:9" x14ac:dyDescent="0.35">
      <c r="A19">
        <v>18</v>
      </c>
      <c r="B19">
        <v>0</v>
      </c>
      <c r="D19" s="118">
        <v>45148</v>
      </c>
      <c r="E19" s="116">
        <v>2425</v>
      </c>
      <c r="F19" s="118">
        <v>45159</v>
      </c>
      <c r="G19">
        <v>806</v>
      </c>
    </row>
    <row r="20" spans="1:9" x14ac:dyDescent="0.35">
      <c r="A20">
        <v>19</v>
      </c>
      <c r="B20">
        <v>0</v>
      </c>
      <c r="D20" s="118">
        <v>45148</v>
      </c>
      <c r="E20" s="116">
        <v>3100</v>
      </c>
      <c r="F20" s="118">
        <v>45161</v>
      </c>
      <c r="G20">
        <v>1827</v>
      </c>
    </row>
    <row r="21" spans="1:9" x14ac:dyDescent="0.35">
      <c r="A21">
        <v>20</v>
      </c>
      <c r="B21">
        <v>0</v>
      </c>
      <c r="D21" s="118">
        <v>45149</v>
      </c>
      <c r="E21" s="116">
        <v>2710</v>
      </c>
      <c r="F21" s="118">
        <v>45161</v>
      </c>
      <c r="G21">
        <v>533</v>
      </c>
    </row>
    <row r="22" spans="1:9" x14ac:dyDescent="0.35">
      <c r="A22">
        <v>21</v>
      </c>
      <c r="B22">
        <v>9045</v>
      </c>
      <c r="C22" s="117">
        <f>+E41+E42+E43+G14+G15+G16+G17+G18+G19</f>
        <v>9045</v>
      </c>
      <c r="D22" s="118">
        <v>45149</v>
      </c>
      <c r="E22" s="116">
        <v>7050</v>
      </c>
      <c r="F22" s="118">
        <v>45161</v>
      </c>
      <c r="G22">
        <v>1911</v>
      </c>
      <c r="I22" s="117">
        <f>+B22-C22</f>
        <v>0</v>
      </c>
    </row>
    <row r="23" spans="1:9" x14ac:dyDescent="0.35">
      <c r="A23">
        <v>22</v>
      </c>
      <c r="B23">
        <v>7730</v>
      </c>
      <c r="C23" s="117">
        <f>+E44+E45+E46</f>
        <v>7730</v>
      </c>
      <c r="D23" s="118">
        <v>45149</v>
      </c>
      <c r="E23" s="116">
        <v>3380</v>
      </c>
      <c r="F23" s="118">
        <v>45161</v>
      </c>
      <c r="G23">
        <v>1174</v>
      </c>
    </row>
    <row r="24" spans="1:9" x14ac:dyDescent="0.35">
      <c r="A24">
        <v>23</v>
      </c>
      <c r="B24">
        <v>16910</v>
      </c>
      <c r="C24" s="117">
        <f>+E47+E48+E49+E50+E51+G20+G21+G22+G23</f>
        <v>16910</v>
      </c>
      <c r="D24" s="118">
        <v>45149</v>
      </c>
      <c r="E24" s="116">
        <v>1655</v>
      </c>
      <c r="F24" s="118">
        <v>45162</v>
      </c>
      <c r="G24">
        <v>1288</v>
      </c>
    </row>
    <row r="25" spans="1:9" x14ac:dyDescent="0.35">
      <c r="A25">
        <v>24</v>
      </c>
      <c r="B25">
        <v>10705</v>
      </c>
      <c r="C25" s="117">
        <f>+E52+E53+G24+G25+G26+G27</f>
        <v>10705</v>
      </c>
      <c r="D25" s="118">
        <v>45149</v>
      </c>
      <c r="E25" s="116">
        <v>5435</v>
      </c>
      <c r="F25" s="118">
        <v>45162</v>
      </c>
      <c r="G25">
        <v>1287</v>
      </c>
    </row>
    <row r="26" spans="1:9" x14ac:dyDescent="0.35">
      <c r="A26">
        <v>25</v>
      </c>
      <c r="B26">
        <v>11220</v>
      </c>
      <c r="C26" s="117">
        <f>+E54+E55+E56+E57</f>
        <v>11220</v>
      </c>
      <c r="D26" s="118">
        <v>45149</v>
      </c>
      <c r="E26" s="116">
        <v>2795</v>
      </c>
      <c r="F26" s="118">
        <v>45162</v>
      </c>
      <c r="G26">
        <v>1192</v>
      </c>
    </row>
    <row r="27" spans="1:9" x14ac:dyDescent="0.35">
      <c r="A27">
        <v>26</v>
      </c>
      <c r="B27">
        <v>11250</v>
      </c>
      <c r="C27" s="117">
        <f>+E58+E59+E60+G28+G29</f>
        <v>11250</v>
      </c>
      <c r="D27" s="118">
        <v>45152</v>
      </c>
      <c r="E27" s="116">
        <v>5775</v>
      </c>
      <c r="F27" s="118">
        <v>45162</v>
      </c>
      <c r="G27">
        <v>1528</v>
      </c>
    </row>
    <row r="28" spans="1:9" x14ac:dyDescent="0.35">
      <c r="A28">
        <v>27</v>
      </c>
      <c r="B28">
        <v>0</v>
      </c>
      <c r="D28" s="118">
        <v>45152</v>
      </c>
      <c r="E28" s="116">
        <v>2575</v>
      </c>
      <c r="F28" s="118">
        <v>45164</v>
      </c>
      <c r="G28">
        <v>1410</v>
      </c>
    </row>
    <row r="29" spans="1:9" x14ac:dyDescent="0.35">
      <c r="A29">
        <v>28</v>
      </c>
      <c r="B29">
        <v>36685</v>
      </c>
      <c r="C29" s="117">
        <f>+E61+E62+E63+E64+E65+E66+G30+G31</f>
        <v>36685</v>
      </c>
      <c r="D29" s="118">
        <v>45152</v>
      </c>
      <c r="E29" s="116">
        <v>3470</v>
      </c>
      <c r="F29" s="118">
        <v>45164</v>
      </c>
      <c r="G29">
        <v>970</v>
      </c>
    </row>
    <row r="30" spans="1:9" x14ac:dyDescent="0.35">
      <c r="A30">
        <v>29</v>
      </c>
      <c r="B30">
        <v>28170</v>
      </c>
      <c r="C30" s="117">
        <f>+E67+E68+E69+E70+E71+E72</f>
        <v>28170</v>
      </c>
      <c r="D30" s="118">
        <v>45152</v>
      </c>
      <c r="E30" s="116">
        <v>5055</v>
      </c>
      <c r="F30" s="118">
        <v>45166</v>
      </c>
      <c r="G30">
        <v>6473</v>
      </c>
    </row>
    <row r="31" spans="1:9" x14ac:dyDescent="0.35">
      <c r="A31">
        <v>30</v>
      </c>
      <c r="B31">
        <v>19005</v>
      </c>
      <c r="C31" s="117">
        <f>+E73+E74+E75+G32+G33</f>
        <v>19005</v>
      </c>
      <c r="D31" s="118">
        <v>45152</v>
      </c>
      <c r="E31" s="116">
        <v>2675</v>
      </c>
      <c r="F31" s="118">
        <v>45166</v>
      </c>
      <c r="G31">
        <v>812</v>
      </c>
    </row>
    <row r="32" spans="1:9" x14ac:dyDescent="0.35">
      <c r="A32">
        <v>31</v>
      </c>
      <c r="B32">
        <v>5020</v>
      </c>
      <c r="C32" s="117">
        <f>+E76</f>
        <v>5020</v>
      </c>
      <c r="D32" s="118">
        <v>45152</v>
      </c>
      <c r="E32" s="116">
        <v>3805</v>
      </c>
      <c r="F32" s="118">
        <v>45168</v>
      </c>
      <c r="G32">
        <v>682</v>
      </c>
    </row>
    <row r="33" spans="2:7" x14ac:dyDescent="0.35">
      <c r="B33">
        <f>SUM(B2:B32)</f>
        <v>296080</v>
      </c>
      <c r="D33" s="118">
        <v>45152</v>
      </c>
      <c r="E33" s="116">
        <v>3320</v>
      </c>
      <c r="F33" s="118">
        <v>45168</v>
      </c>
      <c r="G33">
        <v>3738</v>
      </c>
    </row>
    <row r="34" spans="2:7" x14ac:dyDescent="0.35">
      <c r="D34" s="118">
        <v>45153</v>
      </c>
      <c r="E34" s="116">
        <v>2805</v>
      </c>
    </row>
    <row r="35" spans="2:7" x14ac:dyDescent="0.35">
      <c r="D35" s="118">
        <v>45153</v>
      </c>
      <c r="E35" s="116">
        <v>2600</v>
      </c>
    </row>
    <row r="36" spans="2:7" x14ac:dyDescent="0.35">
      <c r="D36" s="118">
        <v>45153</v>
      </c>
      <c r="E36" s="116">
        <v>1875</v>
      </c>
    </row>
    <row r="37" spans="2:7" x14ac:dyDescent="0.35">
      <c r="D37" s="118">
        <v>45153</v>
      </c>
      <c r="E37" s="116">
        <v>2795</v>
      </c>
    </row>
    <row r="38" spans="2:7" x14ac:dyDescent="0.35">
      <c r="D38" s="118">
        <v>45153</v>
      </c>
      <c r="E38" s="116">
        <v>2640</v>
      </c>
    </row>
    <row r="39" spans="2:7" x14ac:dyDescent="0.35">
      <c r="D39" s="118">
        <v>45153</v>
      </c>
      <c r="E39" s="116">
        <v>3175</v>
      </c>
    </row>
    <row r="40" spans="2:7" x14ac:dyDescent="0.35">
      <c r="D40" s="118">
        <v>45154</v>
      </c>
      <c r="E40" s="116">
        <v>2075</v>
      </c>
    </row>
    <row r="41" spans="2:7" x14ac:dyDescent="0.35">
      <c r="D41" s="118">
        <v>45159</v>
      </c>
      <c r="E41" s="116">
        <v>2135</v>
      </c>
    </row>
    <row r="42" spans="2:7" x14ac:dyDescent="0.35">
      <c r="D42" s="118">
        <v>45159</v>
      </c>
      <c r="E42" s="116">
        <v>2430</v>
      </c>
    </row>
    <row r="43" spans="2:7" x14ac:dyDescent="0.35">
      <c r="D43" s="118">
        <v>45159</v>
      </c>
      <c r="E43" s="116">
        <v>2235</v>
      </c>
    </row>
    <row r="44" spans="2:7" x14ac:dyDescent="0.35">
      <c r="D44" s="118">
        <v>45160</v>
      </c>
      <c r="E44" s="116">
        <v>2590</v>
      </c>
    </row>
    <row r="45" spans="2:7" x14ac:dyDescent="0.35">
      <c r="D45" s="118">
        <v>45160</v>
      </c>
      <c r="E45" s="116">
        <v>2505</v>
      </c>
    </row>
    <row r="46" spans="2:7" x14ac:dyDescent="0.35">
      <c r="D46" s="118">
        <v>45160</v>
      </c>
      <c r="E46" s="116">
        <v>2635</v>
      </c>
    </row>
    <row r="47" spans="2:7" x14ac:dyDescent="0.35">
      <c r="D47" s="118">
        <v>45161</v>
      </c>
      <c r="E47" s="116">
        <v>2585</v>
      </c>
    </row>
    <row r="48" spans="2:7" x14ac:dyDescent="0.35">
      <c r="D48" s="118">
        <v>45161</v>
      </c>
      <c r="E48" s="116">
        <v>2750</v>
      </c>
    </row>
    <row r="49" spans="4:5" x14ac:dyDescent="0.35">
      <c r="D49" s="118">
        <v>45161</v>
      </c>
      <c r="E49" s="116">
        <v>1750</v>
      </c>
    </row>
    <row r="50" spans="4:5" x14ac:dyDescent="0.35">
      <c r="D50" s="118">
        <v>45161</v>
      </c>
      <c r="E50" s="116">
        <v>1640</v>
      </c>
    </row>
    <row r="51" spans="4:5" x14ac:dyDescent="0.35">
      <c r="D51" s="118">
        <v>45161</v>
      </c>
      <c r="E51" s="116">
        <v>2740</v>
      </c>
    </row>
    <row r="52" spans="4:5" x14ac:dyDescent="0.35">
      <c r="D52" s="118">
        <v>45162</v>
      </c>
      <c r="E52" s="116">
        <v>2820</v>
      </c>
    </row>
    <row r="53" spans="4:5" x14ac:dyDescent="0.35">
      <c r="D53" s="118">
        <v>45162</v>
      </c>
      <c r="E53" s="116">
        <v>2590</v>
      </c>
    </row>
    <row r="54" spans="4:5" x14ac:dyDescent="0.35">
      <c r="D54" s="118">
        <v>45163</v>
      </c>
      <c r="E54" s="116">
        <v>3145</v>
      </c>
    </row>
    <row r="55" spans="4:5" x14ac:dyDescent="0.35">
      <c r="D55" s="118">
        <v>45163</v>
      </c>
      <c r="E55" s="116">
        <v>2635</v>
      </c>
    </row>
    <row r="56" spans="4:5" x14ac:dyDescent="0.35">
      <c r="D56" s="118">
        <v>45163</v>
      </c>
      <c r="E56" s="116">
        <v>2960</v>
      </c>
    </row>
    <row r="57" spans="4:5" x14ac:dyDescent="0.35">
      <c r="D57" s="118">
        <v>45163</v>
      </c>
      <c r="E57" s="116">
        <v>2480</v>
      </c>
    </row>
    <row r="58" spans="4:5" x14ac:dyDescent="0.35">
      <c r="D58" s="118">
        <v>45164</v>
      </c>
      <c r="E58" s="116">
        <v>3135</v>
      </c>
    </row>
    <row r="59" spans="4:5" x14ac:dyDescent="0.35">
      <c r="D59" s="118">
        <v>45164</v>
      </c>
      <c r="E59" s="116">
        <v>2395</v>
      </c>
    </row>
    <row r="60" spans="4:5" x14ac:dyDescent="0.35">
      <c r="D60" s="118">
        <v>45164</v>
      </c>
      <c r="E60" s="116">
        <v>3340</v>
      </c>
    </row>
    <row r="61" spans="4:5" x14ac:dyDescent="0.35">
      <c r="D61" s="118">
        <v>45166</v>
      </c>
      <c r="E61" s="116">
        <v>2430</v>
      </c>
    </row>
    <row r="62" spans="4:5" x14ac:dyDescent="0.35">
      <c r="D62" s="118">
        <v>45166</v>
      </c>
      <c r="E62" s="116">
        <v>8955</v>
      </c>
    </row>
    <row r="63" spans="4:5" x14ac:dyDescent="0.35">
      <c r="D63" s="118">
        <v>45166</v>
      </c>
      <c r="E63" s="116">
        <v>3350</v>
      </c>
    </row>
    <row r="64" spans="4:5" x14ac:dyDescent="0.35">
      <c r="D64" s="118">
        <v>45166</v>
      </c>
      <c r="E64" s="116">
        <v>2775</v>
      </c>
    </row>
    <row r="65" spans="4:5" x14ac:dyDescent="0.35">
      <c r="D65" s="118">
        <v>45166</v>
      </c>
      <c r="E65" s="116">
        <v>8810</v>
      </c>
    </row>
    <row r="66" spans="4:5" x14ac:dyDescent="0.35">
      <c r="D66" s="118">
        <v>45166</v>
      </c>
      <c r="E66" s="116">
        <v>3080</v>
      </c>
    </row>
    <row r="67" spans="4:5" x14ac:dyDescent="0.35">
      <c r="D67" s="118">
        <v>45167</v>
      </c>
      <c r="E67" s="116">
        <v>7990</v>
      </c>
    </row>
    <row r="68" spans="4:5" x14ac:dyDescent="0.35">
      <c r="D68" s="118">
        <v>45167</v>
      </c>
      <c r="E68" s="116">
        <v>3750</v>
      </c>
    </row>
    <row r="69" spans="4:5" x14ac:dyDescent="0.35">
      <c r="D69" s="118">
        <v>45167</v>
      </c>
      <c r="E69" s="116">
        <v>3290</v>
      </c>
    </row>
    <row r="70" spans="4:5" x14ac:dyDescent="0.35">
      <c r="D70" s="118">
        <v>45167</v>
      </c>
      <c r="E70" s="116">
        <v>4445</v>
      </c>
    </row>
    <row r="71" spans="4:5" x14ac:dyDescent="0.35">
      <c r="D71" s="118">
        <v>45167</v>
      </c>
      <c r="E71" s="116">
        <v>6005</v>
      </c>
    </row>
    <row r="72" spans="4:5" x14ac:dyDescent="0.35">
      <c r="D72" s="118">
        <v>45167</v>
      </c>
      <c r="E72" s="116">
        <v>2690</v>
      </c>
    </row>
    <row r="73" spans="4:5" x14ac:dyDescent="0.35">
      <c r="D73" s="118">
        <v>45168</v>
      </c>
      <c r="E73" s="116">
        <v>2665</v>
      </c>
    </row>
    <row r="74" spans="4:5" x14ac:dyDescent="0.35">
      <c r="D74" s="118">
        <v>45168</v>
      </c>
      <c r="E74" s="116">
        <v>7755</v>
      </c>
    </row>
    <row r="75" spans="4:5" x14ac:dyDescent="0.35">
      <c r="D75" s="118">
        <v>45168</v>
      </c>
      <c r="E75" s="116">
        <v>4165</v>
      </c>
    </row>
    <row r="76" spans="4:5" x14ac:dyDescent="0.35">
      <c r="D76" s="118">
        <v>45169</v>
      </c>
      <c r="E76" s="116">
        <v>5020</v>
      </c>
    </row>
    <row r="77" spans="4:5" x14ac:dyDescent="0.35">
      <c r="E77" s="117"/>
    </row>
    <row r="109" spans="5:5" x14ac:dyDescent="0.35">
      <c r="E109" s="117">
        <f>SUM(E2:E108)</f>
        <v>248025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แรมป์สวน</vt:lpstr>
      <vt:lpstr>ตะกุก</vt:lpstr>
      <vt:lpstr>รวม</vt:lpstr>
      <vt:lpstr>Sheet1</vt:lpstr>
      <vt:lpstr>ตะกุก!Print_Area</vt:lpstr>
      <vt:lpstr>รวม!Print_Area</vt:lpstr>
      <vt:lpstr>แรมป์สวน!Print_Area</vt:lpstr>
      <vt:lpstr>ตะกุก!Print_Titles</vt:lpstr>
      <vt:lpstr>รวม!Print_Titles</vt:lpstr>
      <vt:lpstr>แรมป์สวน!Print_Titles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นันทพร คชรักษ์</cp:lastModifiedBy>
  <cp:lastPrinted>2026-04-02T09:01:43Z</cp:lastPrinted>
  <dcterms:created xsi:type="dcterms:W3CDTF">2022-06-02T07:24:02Z</dcterms:created>
  <dcterms:modified xsi:type="dcterms:W3CDTF">2026-04-24T05:01:37Z</dcterms:modified>
</cp:coreProperties>
</file>